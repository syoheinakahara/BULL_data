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18/BULL_data/master_excel/"/>
    </mc:Choice>
  </mc:AlternateContent>
  <bookViews>
    <workbookView xWindow="11240" yWindow="560" windowWidth="24720" windowHeight="17680" tabRatio="740" activeTab="6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8" l="1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B46" i="21"/>
  <c r="I46" i="21"/>
  <c r="J46" i="21"/>
  <c r="G46" i="21"/>
  <c r="F46" i="21"/>
  <c r="D46" i="21"/>
  <c r="C46" i="21"/>
  <c r="B45" i="21"/>
  <c r="I45" i="21"/>
  <c r="J45" i="21"/>
  <c r="G45" i="21"/>
  <c r="F45" i="21"/>
  <c r="D45" i="21"/>
  <c r="C45" i="21"/>
  <c r="B44" i="21"/>
  <c r="I44" i="21"/>
  <c r="J44" i="21"/>
  <c r="G44" i="21"/>
  <c r="F44" i="21"/>
  <c r="D44" i="21"/>
  <c r="C44" i="21"/>
  <c r="B43" i="21"/>
  <c r="I43" i="21"/>
  <c r="J43" i="21"/>
  <c r="G43" i="21"/>
  <c r="F43" i="21"/>
  <c r="D43" i="21"/>
  <c r="C43" i="21"/>
  <c r="B42" i="21"/>
  <c r="I42" i="21"/>
  <c r="J42" i="21"/>
  <c r="G42" i="21"/>
  <c r="F42" i="21"/>
  <c r="D42" i="21"/>
  <c r="C42" i="21"/>
  <c r="B41" i="21"/>
  <c r="I41" i="21"/>
  <c r="J41" i="21"/>
  <c r="G41" i="21"/>
  <c r="F41" i="21"/>
  <c r="D41" i="21"/>
  <c r="C41" i="21"/>
  <c r="B40" i="21"/>
  <c r="I40" i="21"/>
  <c r="J40" i="21"/>
  <c r="G40" i="21"/>
  <c r="F40" i="21"/>
  <c r="D40" i="21"/>
  <c r="C40" i="21"/>
  <c r="B39" i="21"/>
  <c r="I39" i="21"/>
  <c r="J39" i="21"/>
  <c r="G39" i="21"/>
  <c r="F39" i="21"/>
  <c r="D39" i="21"/>
  <c r="C39" i="21"/>
  <c r="B38" i="21"/>
  <c r="I38" i="21"/>
  <c r="J38" i="21"/>
  <c r="G38" i="21"/>
  <c r="F38" i="21"/>
  <c r="D38" i="21"/>
  <c r="C38" i="21"/>
  <c r="B37" i="21"/>
  <c r="I37" i="21"/>
  <c r="J37" i="21"/>
  <c r="G37" i="21"/>
  <c r="F37" i="21"/>
  <c r="D37" i="21"/>
  <c r="C37" i="21"/>
  <c r="B36" i="21"/>
  <c r="I36" i="21"/>
  <c r="J36" i="21"/>
  <c r="G36" i="21"/>
  <c r="F36" i="21"/>
  <c r="D36" i="21"/>
  <c r="C36" i="21"/>
  <c r="B35" i="21"/>
  <c r="I35" i="21"/>
  <c r="J35" i="21"/>
  <c r="G35" i="21"/>
  <c r="F35" i="21"/>
  <c r="D35" i="21"/>
  <c r="C35" i="21"/>
  <c r="B34" i="21"/>
  <c r="I34" i="21"/>
  <c r="J34" i="21"/>
  <c r="G34" i="21"/>
  <c r="F34" i="21"/>
  <c r="D34" i="21"/>
  <c r="C34" i="21"/>
  <c r="B33" i="21"/>
  <c r="I33" i="21"/>
  <c r="J33" i="21"/>
  <c r="G33" i="21"/>
  <c r="F33" i="21"/>
  <c r="D33" i="21"/>
  <c r="C33" i="21"/>
  <c r="B32" i="21"/>
  <c r="I32" i="21"/>
  <c r="J32" i="21"/>
  <c r="G32" i="21"/>
  <c r="F32" i="21"/>
  <c r="D32" i="21"/>
  <c r="C32" i="21"/>
  <c r="B31" i="21"/>
  <c r="I31" i="21"/>
  <c r="J31" i="21"/>
  <c r="G31" i="21"/>
  <c r="F31" i="21"/>
  <c r="D31" i="21"/>
  <c r="C31" i="21"/>
  <c r="B30" i="21"/>
  <c r="I30" i="21"/>
  <c r="J30" i="21"/>
  <c r="G30" i="21"/>
  <c r="F30" i="21"/>
  <c r="D30" i="21"/>
  <c r="C30" i="21"/>
  <c r="B29" i="21"/>
  <c r="I29" i="21"/>
  <c r="J29" i="21"/>
  <c r="G29" i="21"/>
  <c r="F29" i="21"/>
  <c r="D29" i="21"/>
  <c r="C29" i="21"/>
  <c r="B28" i="21"/>
  <c r="I28" i="21"/>
  <c r="J28" i="21"/>
  <c r="G28" i="21"/>
  <c r="F28" i="21"/>
  <c r="D28" i="21"/>
  <c r="C28" i="21"/>
  <c r="B27" i="21"/>
  <c r="I27" i="21"/>
  <c r="J27" i="21"/>
  <c r="G27" i="21"/>
  <c r="F27" i="21"/>
  <c r="D27" i="21"/>
  <c r="C27" i="21"/>
  <c r="B26" i="21"/>
  <c r="I26" i="21"/>
  <c r="J26" i="21"/>
  <c r="G26" i="21"/>
  <c r="F26" i="21"/>
  <c r="D26" i="21"/>
  <c r="C26" i="21"/>
  <c r="B25" i="21"/>
  <c r="I25" i="21"/>
  <c r="J25" i="21"/>
  <c r="G25" i="21"/>
  <c r="F25" i="21"/>
  <c r="D25" i="21"/>
  <c r="C25" i="21"/>
  <c r="B24" i="21"/>
  <c r="I24" i="21"/>
  <c r="J24" i="21"/>
  <c r="G24" i="21"/>
  <c r="F24" i="21"/>
  <c r="D24" i="21"/>
  <c r="C24" i="21"/>
  <c r="B23" i="21"/>
  <c r="I23" i="21"/>
  <c r="J23" i="21"/>
  <c r="G23" i="21"/>
  <c r="F23" i="21"/>
  <c r="D23" i="21"/>
  <c r="C23" i="21"/>
  <c r="B22" i="21"/>
  <c r="I22" i="21"/>
  <c r="J22" i="21"/>
  <c r="G22" i="21"/>
  <c r="F22" i="21"/>
  <c r="D22" i="21"/>
  <c r="C22" i="21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J394" i="11"/>
  <c r="J393" i="11"/>
  <c r="J392" i="11"/>
  <c r="J391" i="11"/>
  <c r="O394" i="9"/>
  <c r="N394" i="9"/>
  <c r="M394" i="9"/>
  <c r="L394" i="9"/>
  <c r="K394" i="9"/>
  <c r="J394" i="9"/>
  <c r="I394" i="9"/>
  <c r="H394" i="9"/>
  <c r="G394" i="9"/>
  <c r="E394" i="9"/>
  <c r="D394" i="9"/>
  <c r="A394" i="9"/>
  <c r="J390" i="11"/>
  <c r="O393" i="9"/>
  <c r="N393" i="9"/>
  <c r="M393" i="9"/>
  <c r="L393" i="9"/>
  <c r="K393" i="9"/>
  <c r="J393" i="9"/>
  <c r="I393" i="9"/>
  <c r="H393" i="9"/>
  <c r="G393" i="9"/>
  <c r="E393" i="9"/>
  <c r="D393" i="9"/>
  <c r="A393" i="9"/>
  <c r="J389" i="11"/>
  <c r="O392" i="9"/>
  <c r="N392" i="9"/>
  <c r="M392" i="9"/>
  <c r="L392" i="9"/>
  <c r="K392" i="9"/>
  <c r="J392" i="9"/>
  <c r="I392" i="9"/>
  <c r="H392" i="9"/>
  <c r="G392" i="9"/>
  <c r="E392" i="9"/>
  <c r="D392" i="9"/>
  <c r="A392" i="9"/>
  <c r="J388" i="11"/>
  <c r="O391" i="9"/>
  <c r="N391" i="9"/>
  <c r="M391" i="9"/>
  <c r="L391" i="9"/>
  <c r="K391" i="9"/>
  <c r="J391" i="9"/>
  <c r="I391" i="9"/>
  <c r="H391" i="9"/>
  <c r="G391" i="9"/>
  <c r="E391" i="9"/>
  <c r="D391" i="9"/>
  <c r="A391" i="9"/>
  <c r="J387" i="11"/>
  <c r="O390" i="9"/>
  <c r="N390" i="9"/>
  <c r="M390" i="9"/>
  <c r="L390" i="9"/>
  <c r="K390" i="9"/>
  <c r="J390" i="9"/>
  <c r="I390" i="9"/>
  <c r="H390" i="9"/>
  <c r="G390" i="9"/>
  <c r="E390" i="9"/>
  <c r="D390" i="9"/>
  <c r="A390" i="9"/>
  <c r="J386" i="11"/>
  <c r="O389" i="9"/>
  <c r="N389" i="9"/>
  <c r="M389" i="9"/>
  <c r="L389" i="9"/>
  <c r="K389" i="9"/>
  <c r="J389" i="9"/>
  <c r="I389" i="9"/>
  <c r="H389" i="9"/>
  <c r="G389" i="9"/>
  <c r="E389" i="9"/>
  <c r="D389" i="9"/>
  <c r="A389" i="9"/>
  <c r="J385" i="11"/>
  <c r="O388" i="9"/>
  <c r="N388" i="9"/>
  <c r="M388" i="9"/>
  <c r="L388" i="9"/>
  <c r="K388" i="9"/>
  <c r="J388" i="9"/>
  <c r="I388" i="9"/>
  <c r="H388" i="9"/>
  <c r="G388" i="9"/>
  <c r="E388" i="9"/>
  <c r="D388" i="9"/>
  <c r="A388" i="9"/>
  <c r="J384" i="11"/>
  <c r="O387" i="9"/>
  <c r="N387" i="9"/>
  <c r="M387" i="9"/>
  <c r="L387" i="9"/>
  <c r="K387" i="9"/>
  <c r="J387" i="9"/>
  <c r="I387" i="9"/>
  <c r="H387" i="9"/>
  <c r="G387" i="9"/>
  <c r="E387" i="9"/>
  <c r="D387" i="9"/>
  <c r="A387" i="9"/>
  <c r="J383" i="11"/>
  <c r="O386" i="9"/>
  <c r="N386" i="9"/>
  <c r="M386" i="9"/>
  <c r="L386" i="9"/>
  <c r="K386" i="9"/>
  <c r="J386" i="9"/>
  <c r="I386" i="9"/>
  <c r="H386" i="9"/>
  <c r="G386" i="9"/>
  <c r="E386" i="9"/>
  <c r="D386" i="9"/>
  <c r="A386" i="9"/>
  <c r="J382" i="11"/>
  <c r="O385" i="9"/>
  <c r="N385" i="9"/>
  <c r="M385" i="9"/>
  <c r="L385" i="9"/>
  <c r="K385" i="9"/>
  <c r="J385" i="9"/>
  <c r="I385" i="9"/>
  <c r="H385" i="9"/>
  <c r="G385" i="9"/>
  <c r="E385" i="9"/>
  <c r="D385" i="9"/>
  <c r="A385" i="9"/>
  <c r="O384" i="9"/>
  <c r="N384" i="9"/>
  <c r="M384" i="9"/>
  <c r="L384" i="9"/>
  <c r="K384" i="9"/>
  <c r="J384" i="9"/>
  <c r="I384" i="9"/>
  <c r="H384" i="9"/>
  <c r="G384" i="9"/>
  <c r="E384" i="9"/>
  <c r="D384" i="9"/>
  <c r="A384" i="9"/>
  <c r="J381" i="11"/>
  <c r="O383" i="9"/>
  <c r="N383" i="9"/>
  <c r="M383" i="9"/>
  <c r="L383" i="9"/>
  <c r="K383" i="9"/>
  <c r="J383" i="9"/>
  <c r="I383" i="9"/>
  <c r="H383" i="9"/>
  <c r="G383" i="9"/>
  <c r="E383" i="9"/>
  <c r="D383" i="9"/>
  <c r="A383" i="9"/>
  <c r="J380" i="11"/>
  <c r="O382" i="9"/>
  <c r="N382" i="9"/>
  <c r="M382" i="9"/>
  <c r="L382" i="9"/>
  <c r="K382" i="9"/>
  <c r="J382" i="9"/>
  <c r="I382" i="9"/>
  <c r="H382" i="9"/>
  <c r="G382" i="9"/>
  <c r="E382" i="9"/>
  <c r="D382" i="9"/>
  <c r="A382" i="9"/>
  <c r="J379" i="11"/>
  <c r="O381" i="9"/>
  <c r="N381" i="9"/>
  <c r="M381" i="9"/>
  <c r="L381" i="9"/>
  <c r="K381" i="9"/>
  <c r="J381" i="9"/>
  <c r="I381" i="9"/>
  <c r="H381" i="9"/>
  <c r="G381" i="9"/>
  <c r="E381" i="9"/>
  <c r="D381" i="9"/>
  <c r="A381" i="9"/>
  <c r="O380" i="9"/>
  <c r="N380" i="9"/>
  <c r="M380" i="9"/>
  <c r="L380" i="9"/>
  <c r="K380" i="9"/>
  <c r="J380" i="9"/>
  <c r="I380" i="9"/>
  <c r="H380" i="9"/>
  <c r="G380" i="9"/>
  <c r="E380" i="9"/>
  <c r="D380" i="9"/>
  <c r="A380" i="9"/>
  <c r="J378" i="11"/>
  <c r="O379" i="9"/>
  <c r="N379" i="9"/>
  <c r="M379" i="9"/>
  <c r="L379" i="9"/>
  <c r="K379" i="9"/>
  <c r="J379" i="9"/>
  <c r="I379" i="9"/>
  <c r="H379" i="9"/>
  <c r="G379" i="9"/>
  <c r="E379" i="9"/>
  <c r="D379" i="9"/>
  <c r="A379" i="9"/>
  <c r="J377" i="11"/>
  <c r="O378" i="9"/>
  <c r="N378" i="9"/>
  <c r="M378" i="9"/>
  <c r="L378" i="9"/>
  <c r="K378" i="9"/>
  <c r="J378" i="9"/>
  <c r="I378" i="9"/>
  <c r="H378" i="9"/>
  <c r="G378" i="9"/>
  <c r="E378" i="9"/>
  <c r="D378" i="9"/>
  <c r="A378" i="9"/>
  <c r="J376" i="11"/>
  <c r="O377" i="9"/>
  <c r="N377" i="9"/>
  <c r="M377" i="9"/>
  <c r="L377" i="9"/>
  <c r="K377" i="9"/>
  <c r="J377" i="9"/>
  <c r="I377" i="9"/>
  <c r="H377" i="9"/>
  <c r="G377" i="9"/>
  <c r="E377" i="9"/>
  <c r="D377" i="9"/>
  <c r="A377" i="9"/>
  <c r="O376" i="9"/>
  <c r="N376" i="9"/>
  <c r="M376" i="9"/>
  <c r="L376" i="9"/>
  <c r="K376" i="9"/>
  <c r="J376" i="9"/>
  <c r="I376" i="9"/>
  <c r="H376" i="9"/>
  <c r="G376" i="9"/>
  <c r="E376" i="9"/>
  <c r="D376" i="9"/>
  <c r="A376" i="9"/>
  <c r="J375" i="11"/>
  <c r="O375" i="9"/>
  <c r="N375" i="9"/>
  <c r="M375" i="9"/>
  <c r="L375" i="9"/>
  <c r="K375" i="9"/>
  <c r="J375" i="9"/>
  <c r="I375" i="9"/>
  <c r="H375" i="9"/>
  <c r="G375" i="9"/>
  <c r="E375" i="9"/>
  <c r="D375" i="9"/>
  <c r="A375" i="9"/>
  <c r="J374" i="11"/>
  <c r="O374" i="9"/>
  <c r="N374" i="9"/>
  <c r="M374" i="9"/>
  <c r="L374" i="9"/>
  <c r="K374" i="9"/>
  <c r="J374" i="9"/>
  <c r="I374" i="9"/>
  <c r="H374" i="9"/>
  <c r="G374" i="9"/>
  <c r="E374" i="9"/>
  <c r="D374" i="9"/>
  <c r="A374" i="9"/>
  <c r="J373" i="11"/>
  <c r="O373" i="9"/>
  <c r="N373" i="9"/>
  <c r="M373" i="9"/>
  <c r="L373" i="9"/>
  <c r="K373" i="9"/>
  <c r="J373" i="9"/>
  <c r="I373" i="9"/>
  <c r="H373" i="9"/>
  <c r="G373" i="9"/>
  <c r="E373" i="9"/>
  <c r="D373" i="9"/>
  <c r="A373" i="9"/>
  <c r="J372" i="11"/>
  <c r="O372" i="9"/>
  <c r="N372" i="9"/>
  <c r="M372" i="9"/>
  <c r="L372" i="9"/>
  <c r="K372" i="9"/>
  <c r="J372" i="9"/>
  <c r="I372" i="9"/>
  <c r="H372" i="9"/>
  <c r="G372" i="9"/>
  <c r="E372" i="9"/>
  <c r="D372" i="9"/>
  <c r="A372" i="9"/>
  <c r="J371" i="11"/>
  <c r="O371" i="9"/>
  <c r="N371" i="9"/>
  <c r="M371" i="9"/>
  <c r="L371" i="9"/>
  <c r="K371" i="9"/>
  <c r="J371" i="9"/>
  <c r="I371" i="9"/>
  <c r="H371" i="9"/>
  <c r="G371" i="9"/>
  <c r="E371" i="9"/>
  <c r="D371" i="9"/>
  <c r="A371" i="9"/>
  <c r="J370" i="11"/>
  <c r="O370" i="9"/>
  <c r="N370" i="9"/>
  <c r="M370" i="9"/>
  <c r="L370" i="9"/>
  <c r="K370" i="9"/>
  <c r="J370" i="9"/>
  <c r="I370" i="9"/>
  <c r="H370" i="9"/>
  <c r="G370" i="9"/>
  <c r="E370" i="9"/>
  <c r="D370" i="9"/>
  <c r="A370" i="9"/>
  <c r="J369" i="11"/>
  <c r="O369" i="9"/>
  <c r="N369" i="9"/>
  <c r="M369" i="9"/>
  <c r="L369" i="9"/>
  <c r="K369" i="9"/>
  <c r="J369" i="9"/>
  <c r="I369" i="9"/>
  <c r="H369" i="9"/>
  <c r="G369" i="9"/>
  <c r="E369" i="9"/>
  <c r="D369" i="9"/>
  <c r="A369" i="9"/>
  <c r="J368" i="11"/>
  <c r="O368" i="9"/>
  <c r="N368" i="9"/>
  <c r="M368" i="9"/>
  <c r="L368" i="9"/>
  <c r="K368" i="9"/>
  <c r="J368" i="9"/>
  <c r="I368" i="9"/>
  <c r="H368" i="9"/>
  <c r="G368" i="9"/>
  <c r="E368" i="9"/>
  <c r="D368" i="9"/>
  <c r="A368" i="9"/>
  <c r="J367" i="11"/>
  <c r="O367" i="9"/>
  <c r="N367" i="9"/>
  <c r="M367" i="9"/>
  <c r="L367" i="9"/>
  <c r="K367" i="9"/>
  <c r="J367" i="9"/>
  <c r="I367" i="9"/>
  <c r="H367" i="9"/>
  <c r="G367" i="9"/>
  <c r="E367" i="9"/>
  <c r="D367" i="9"/>
  <c r="A367" i="9"/>
  <c r="J366" i="11"/>
  <c r="O366" i="9"/>
  <c r="N366" i="9"/>
  <c r="M366" i="9"/>
  <c r="L366" i="9"/>
  <c r="K366" i="9"/>
  <c r="J366" i="9"/>
  <c r="I366" i="9"/>
  <c r="H366" i="9"/>
  <c r="G366" i="9"/>
  <c r="E366" i="9"/>
  <c r="D366" i="9"/>
  <c r="A366" i="9"/>
  <c r="J365" i="11"/>
  <c r="O365" i="9"/>
  <c r="N365" i="9"/>
  <c r="M365" i="9"/>
  <c r="L365" i="9"/>
  <c r="K365" i="9"/>
  <c r="J365" i="9"/>
  <c r="I365" i="9"/>
  <c r="H365" i="9"/>
  <c r="G365" i="9"/>
  <c r="E365" i="9"/>
  <c r="D365" i="9"/>
  <c r="A365" i="9"/>
  <c r="J364" i="11"/>
  <c r="O364" i="9"/>
  <c r="N364" i="9"/>
  <c r="M364" i="9"/>
  <c r="L364" i="9"/>
  <c r="K364" i="9"/>
  <c r="J364" i="9"/>
  <c r="I364" i="9"/>
  <c r="H364" i="9"/>
  <c r="G364" i="9"/>
  <c r="E364" i="9"/>
  <c r="D364" i="9"/>
  <c r="A364" i="9"/>
  <c r="J363" i="11"/>
  <c r="O363" i="9"/>
  <c r="N363" i="9"/>
  <c r="M363" i="9"/>
  <c r="L363" i="9"/>
  <c r="K363" i="9"/>
  <c r="J363" i="9"/>
  <c r="I363" i="9"/>
  <c r="H363" i="9"/>
  <c r="G363" i="9"/>
  <c r="E363" i="9"/>
  <c r="D363" i="9"/>
  <c r="A363" i="9"/>
  <c r="J362" i="11"/>
  <c r="O362" i="9"/>
  <c r="N362" i="9"/>
  <c r="M362" i="9"/>
  <c r="L362" i="9"/>
  <c r="K362" i="9"/>
  <c r="J362" i="9"/>
  <c r="I362" i="9"/>
  <c r="H362" i="9"/>
  <c r="G362" i="9"/>
  <c r="E362" i="9"/>
  <c r="D362" i="9"/>
  <c r="A362" i="9"/>
  <c r="J361" i="11"/>
  <c r="O361" i="9"/>
  <c r="N361" i="9"/>
  <c r="M361" i="9"/>
  <c r="L361" i="9"/>
  <c r="K361" i="9"/>
  <c r="J361" i="9"/>
  <c r="I361" i="9"/>
  <c r="H361" i="9"/>
  <c r="G361" i="9"/>
  <c r="E361" i="9"/>
  <c r="D361" i="9"/>
  <c r="A361" i="9"/>
  <c r="J360" i="11"/>
  <c r="O360" i="9"/>
  <c r="N360" i="9"/>
  <c r="M360" i="9"/>
  <c r="L360" i="9"/>
  <c r="K360" i="9"/>
  <c r="J360" i="9"/>
  <c r="I360" i="9"/>
  <c r="H360" i="9"/>
  <c r="G360" i="9"/>
  <c r="E360" i="9"/>
  <c r="D360" i="9"/>
  <c r="A360" i="9"/>
  <c r="J359" i="11"/>
  <c r="O359" i="9"/>
  <c r="N359" i="9"/>
  <c r="M359" i="9"/>
  <c r="L359" i="9"/>
  <c r="K359" i="9"/>
  <c r="J359" i="9"/>
  <c r="I359" i="9"/>
  <c r="H359" i="9"/>
  <c r="G359" i="9"/>
  <c r="E359" i="9"/>
  <c r="D359" i="9"/>
  <c r="A359" i="9"/>
  <c r="J358" i="11"/>
  <c r="O358" i="9"/>
  <c r="N358" i="9"/>
  <c r="M358" i="9"/>
  <c r="L358" i="9"/>
  <c r="K358" i="9"/>
  <c r="J358" i="9"/>
  <c r="I358" i="9"/>
  <c r="H358" i="9"/>
  <c r="G358" i="9"/>
  <c r="E358" i="9"/>
  <c r="D358" i="9"/>
  <c r="A358" i="9"/>
  <c r="J357" i="11"/>
  <c r="O357" i="9"/>
  <c r="N357" i="9"/>
  <c r="M357" i="9"/>
  <c r="L357" i="9"/>
  <c r="K357" i="9"/>
  <c r="J357" i="9"/>
  <c r="I357" i="9"/>
  <c r="H357" i="9"/>
  <c r="G357" i="9"/>
  <c r="E357" i="9"/>
  <c r="D357" i="9"/>
  <c r="A357" i="9"/>
  <c r="J356" i="11"/>
  <c r="O356" i="9"/>
  <c r="N356" i="9"/>
  <c r="M356" i="9"/>
  <c r="L356" i="9"/>
  <c r="K356" i="9"/>
  <c r="J356" i="9"/>
  <c r="I356" i="9"/>
  <c r="H356" i="9"/>
  <c r="G356" i="9"/>
  <c r="E356" i="9"/>
  <c r="D356" i="9"/>
  <c r="A356" i="9"/>
  <c r="J355" i="11"/>
  <c r="O355" i="9"/>
  <c r="N355" i="9"/>
  <c r="M355" i="9"/>
  <c r="L355" i="9"/>
  <c r="K355" i="9"/>
  <c r="J355" i="9"/>
  <c r="I355" i="9"/>
  <c r="H355" i="9"/>
  <c r="G355" i="9"/>
  <c r="E355" i="9"/>
  <c r="D355" i="9"/>
  <c r="A355" i="9"/>
  <c r="J354" i="11"/>
  <c r="O354" i="9"/>
  <c r="N354" i="9"/>
  <c r="M354" i="9"/>
  <c r="L354" i="9"/>
  <c r="K354" i="9"/>
  <c r="J354" i="9"/>
  <c r="I354" i="9"/>
  <c r="H354" i="9"/>
  <c r="G354" i="9"/>
  <c r="E354" i="9"/>
  <c r="D354" i="9"/>
  <c r="A354" i="9"/>
  <c r="J353" i="11"/>
  <c r="O353" i="9"/>
  <c r="N353" i="9"/>
  <c r="M353" i="9"/>
  <c r="L353" i="9"/>
  <c r="K353" i="9"/>
  <c r="J353" i="9"/>
  <c r="I353" i="9"/>
  <c r="H353" i="9"/>
  <c r="G353" i="9"/>
  <c r="E353" i="9"/>
  <c r="D353" i="9"/>
  <c r="A353" i="9"/>
  <c r="J352" i="11"/>
  <c r="O352" i="9"/>
  <c r="N352" i="9"/>
  <c r="M352" i="9"/>
  <c r="L352" i="9"/>
  <c r="K352" i="9"/>
  <c r="J352" i="9"/>
  <c r="I352" i="9"/>
  <c r="H352" i="9"/>
  <c r="G352" i="9"/>
  <c r="E352" i="9"/>
  <c r="D352" i="9"/>
  <c r="A352" i="9"/>
  <c r="J351" i="11"/>
  <c r="O351" i="9"/>
  <c r="N351" i="9"/>
  <c r="M351" i="9"/>
  <c r="L351" i="9"/>
  <c r="K351" i="9"/>
  <c r="J351" i="9"/>
  <c r="I351" i="9"/>
  <c r="H351" i="9"/>
  <c r="G351" i="9"/>
  <c r="E351" i="9"/>
  <c r="D351" i="9"/>
  <c r="A351" i="9"/>
  <c r="J350" i="11"/>
  <c r="O350" i="9"/>
  <c r="N350" i="9"/>
  <c r="M350" i="9"/>
  <c r="L350" i="9"/>
  <c r="K350" i="9"/>
  <c r="J350" i="9"/>
  <c r="I350" i="9"/>
  <c r="H350" i="9"/>
  <c r="G350" i="9"/>
  <c r="E350" i="9"/>
  <c r="D350" i="9"/>
  <c r="A350" i="9"/>
  <c r="J349" i="11"/>
  <c r="O349" i="9"/>
  <c r="N349" i="9"/>
  <c r="M349" i="9"/>
  <c r="L349" i="9"/>
  <c r="K349" i="9"/>
  <c r="J349" i="9"/>
  <c r="I349" i="9"/>
  <c r="H349" i="9"/>
  <c r="G349" i="9"/>
  <c r="E349" i="9"/>
  <c r="D349" i="9"/>
  <c r="A349" i="9"/>
  <c r="J348" i="11"/>
  <c r="O348" i="9"/>
  <c r="N348" i="9"/>
  <c r="M348" i="9"/>
  <c r="L348" i="9"/>
  <c r="K348" i="9"/>
  <c r="J348" i="9"/>
  <c r="I348" i="9"/>
  <c r="H348" i="9"/>
  <c r="G348" i="9"/>
  <c r="E348" i="9"/>
  <c r="D348" i="9"/>
  <c r="A348" i="9"/>
  <c r="J347" i="11"/>
  <c r="O347" i="9"/>
  <c r="N347" i="9"/>
  <c r="M347" i="9"/>
  <c r="L347" i="9"/>
  <c r="K347" i="9"/>
  <c r="J347" i="9"/>
  <c r="I347" i="9"/>
  <c r="H347" i="9"/>
  <c r="G347" i="9"/>
  <c r="E347" i="9"/>
  <c r="D347" i="9"/>
  <c r="A347" i="9"/>
  <c r="J346" i="11"/>
  <c r="O346" i="9"/>
  <c r="N346" i="9"/>
  <c r="M346" i="9"/>
  <c r="L346" i="9"/>
  <c r="K346" i="9"/>
  <c r="J346" i="9"/>
  <c r="I346" i="9"/>
  <c r="H346" i="9"/>
  <c r="G346" i="9"/>
  <c r="E346" i="9"/>
  <c r="D346" i="9"/>
  <c r="A346" i="9"/>
  <c r="J345" i="11"/>
  <c r="O345" i="9"/>
  <c r="N345" i="9"/>
  <c r="M345" i="9"/>
  <c r="L345" i="9"/>
  <c r="K345" i="9"/>
  <c r="J345" i="9"/>
  <c r="I345" i="9"/>
  <c r="H345" i="9"/>
  <c r="G345" i="9"/>
  <c r="E345" i="9"/>
  <c r="D345" i="9"/>
  <c r="A345" i="9"/>
  <c r="J344" i="11"/>
  <c r="O344" i="9"/>
  <c r="N344" i="9"/>
  <c r="M344" i="9"/>
  <c r="L344" i="9"/>
  <c r="K344" i="9"/>
  <c r="J344" i="9"/>
  <c r="I344" i="9"/>
  <c r="H344" i="9"/>
  <c r="G344" i="9"/>
  <c r="E344" i="9"/>
  <c r="D344" i="9"/>
  <c r="A344" i="9"/>
  <c r="J343" i="11"/>
  <c r="O343" i="9"/>
  <c r="N343" i="9"/>
  <c r="M343" i="9"/>
  <c r="L343" i="9"/>
  <c r="K343" i="9"/>
  <c r="J343" i="9"/>
  <c r="I343" i="9"/>
  <c r="H343" i="9"/>
  <c r="G343" i="9"/>
  <c r="E343" i="9"/>
  <c r="D343" i="9"/>
  <c r="A343" i="9"/>
  <c r="J342" i="11"/>
  <c r="O342" i="9"/>
  <c r="N342" i="9"/>
  <c r="M342" i="9"/>
  <c r="L342" i="9"/>
  <c r="K342" i="9"/>
  <c r="J342" i="9"/>
  <c r="I342" i="9"/>
  <c r="H342" i="9"/>
  <c r="G342" i="9"/>
  <c r="E342" i="9"/>
  <c r="D342" i="9"/>
  <c r="A342" i="9"/>
  <c r="J341" i="11"/>
  <c r="O341" i="9"/>
  <c r="N341" i="9"/>
  <c r="M341" i="9"/>
  <c r="L341" i="9"/>
  <c r="K341" i="9"/>
  <c r="J341" i="9"/>
  <c r="I341" i="9"/>
  <c r="H341" i="9"/>
  <c r="G341" i="9"/>
  <c r="E341" i="9"/>
  <c r="D341" i="9"/>
  <c r="A341" i="9"/>
  <c r="J340" i="11"/>
  <c r="O340" i="9"/>
  <c r="N340" i="9"/>
  <c r="M340" i="9"/>
  <c r="L340" i="9"/>
  <c r="K340" i="9"/>
  <c r="J340" i="9"/>
  <c r="I340" i="9"/>
  <c r="H340" i="9"/>
  <c r="G340" i="9"/>
  <c r="E340" i="9"/>
  <c r="D340" i="9"/>
  <c r="A340" i="9"/>
  <c r="J339" i="11"/>
  <c r="O339" i="9"/>
  <c r="N339" i="9"/>
  <c r="M339" i="9"/>
  <c r="L339" i="9"/>
  <c r="K339" i="9"/>
  <c r="J339" i="9"/>
  <c r="I339" i="9"/>
  <c r="H339" i="9"/>
  <c r="G339" i="9"/>
  <c r="E339" i="9"/>
  <c r="D339" i="9"/>
  <c r="A339" i="9"/>
  <c r="J338" i="11"/>
  <c r="O338" i="9"/>
  <c r="N338" i="9"/>
  <c r="M338" i="9"/>
  <c r="L338" i="9"/>
  <c r="K338" i="9"/>
  <c r="J338" i="9"/>
  <c r="I338" i="9"/>
  <c r="H338" i="9"/>
  <c r="G338" i="9"/>
  <c r="E338" i="9"/>
  <c r="D338" i="9"/>
  <c r="A338" i="9"/>
  <c r="J337" i="11"/>
  <c r="O337" i="9"/>
  <c r="N337" i="9"/>
  <c r="M337" i="9"/>
  <c r="L337" i="9"/>
  <c r="K337" i="9"/>
  <c r="J337" i="9"/>
  <c r="I337" i="9"/>
  <c r="H337" i="9"/>
  <c r="G337" i="9"/>
  <c r="E337" i="9"/>
  <c r="D337" i="9"/>
  <c r="A337" i="9"/>
  <c r="J336" i="11"/>
  <c r="O336" i="9"/>
  <c r="N336" i="9"/>
  <c r="M336" i="9"/>
  <c r="L336" i="9"/>
  <c r="K336" i="9"/>
  <c r="J336" i="9"/>
  <c r="I336" i="9"/>
  <c r="H336" i="9"/>
  <c r="G336" i="9"/>
  <c r="E336" i="9"/>
  <c r="D336" i="9"/>
  <c r="A336" i="9"/>
  <c r="J335" i="11"/>
  <c r="O335" i="9"/>
  <c r="N335" i="9"/>
  <c r="M335" i="9"/>
  <c r="L335" i="9"/>
  <c r="K335" i="9"/>
  <c r="J335" i="9"/>
  <c r="I335" i="9"/>
  <c r="H335" i="9"/>
  <c r="G335" i="9"/>
  <c r="E335" i="9"/>
  <c r="D335" i="9"/>
  <c r="A335" i="9"/>
  <c r="J334" i="11"/>
  <c r="O334" i="9"/>
  <c r="N334" i="9"/>
  <c r="M334" i="9"/>
  <c r="L334" i="9"/>
  <c r="K334" i="9"/>
  <c r="J334" i="9"/>
  <c r="I334" i="9"/>
  <c r="H334" i="9"/>
  <c r="G334" i="9"/>
  <c r="E334" i="9"/>
  <c r="D334" i="9"/>
  <c r="A334" i="9"/>
  <c r="J333" i="11"/>
  <c r="O333" i="9"/>
  <c r="N333" i="9"/>
  <c r="M333" i="9"/>
  <c r="L333" i="9"/>
  <c r="K333" i="9"/>
  <c r="J333" i="9"/>
  <c r="I333" i="9"/>
  <c r="H333" i="9"/>
  <c r="G333" i="9"/>
  <c r="E333" i="9"/>
  <c r="D333" i="9"/>
  <c r="A333" i="9"/>
  <c r="J332" i="11"/>
  <c r="O332" i="9"/>
  <c r="N332" i="9"/>
  <c r="M332" i="9"/>
  <c r="L332" i="9"/>
  <c r="K332" i="9"/>
  <c r="J332" i="9"/>
  <c r="I332" i="9"/>
  <c r="H332" i="9"/>
  <c r="G332" i="9"/>
  <c r="E332" i="9"/>
  <c r="D332" i="9"/>
  <c r="A332" i="9"/>
  <c r="J331" i="11"/>
  <c r="O331" i="9"/>
  <c r="N331" i="9"/>
  <c r="M331" i="9"/>
  <c r="L331" i="9"/>
  <c r="K331" i="9"/>
  <c r="J331" i="9"/>
  <c r="I331" i="9"/>
  <c r="H331" i="9"/>
  <c r="G331" i="9"/>
  <c r="E331" i="9"/>
  <c r="D331" i="9"/>
  <c r="A331" i="9"/>
  <c r="J330" i="11"/>
  <c r="O330" i="9"/>
  <c r="N330" i="9"/>
  <c r="M330" i="9"/>
  <c r="L330" i="9"/>
  <c r="K330" i="9"/>
  <c r="J330" i="9"/>
  <c r="I330" i="9"/>
  <c r="H330" i="9"/>
  <c r="G330" i="9"/>
  <c r="E330" i="9"/>
  <c r="D330" i="9"/>
  <c r="A330" i="9"/>
  <c r="J329" i="11"/>
  <c r="O329" i="9"/>
  <c r="N329" i="9"/>
  <c r="M329" i="9"/>
  <c r="L329" i="9"/>
  <c r="K329" i="9"/>
  <c r="J329" i="9"/>
  <c r="I329" i="9"/>
  <c r="H329" i="9"/>
  <c r="G329" i="9"/>
  <c r="E329" i="9"/>
  <c r="D329" i="9"/>
  <c r="A329" i="9"/>
  <c r="J328" i="11"/>
  <c r="O328" i="9"/>
  <c r="N328" i="9"/>
  <c r="M328" i="9"/>
  <c r="L328" i="9"/>
  <c r="K328" i="9"/>
  <c r="J328" i="9"/>
  <c r="I328" i="9"/>
  <c r="H328" i="9"/>
  <c r="G328" i="9"/>
  <c r="E328" i="9"/>
  <c r="D328" i="9"/>
  <c r="A328" i="9"/>
  <c r="J327" i="11"/>
  <c r="O327" i="9"/>
  <c r="N327" i="9"/>
  <c r="M327" i="9"/>
  <c r="L327" i="9"/>
  <c r="K327" i="9"/>
  <c r="J327" i="9"/>
  <c r="I327" i="9"/>
  <c r="H327" i="9"/>
  <c r="G327" i="9"/>
  <c r="E327" i="9"/>
  <c r="D327" i="9"/>
  <c r="A327" i="9"/>
  <c r="J326" i="11"/>
  <c r="O326" i="9"/>
  <c r="N326" i="9"/>
  <c r="M326" i="9"/>
  <c r="L326" i="9"/>
  <c r="K326" i="9"/>
  <c r="J326" i="9"/>
  <c r="I326" i="9"/>
  <c r="H326" i="9"/>
  <c r="G326" i="9"/>
  <c r="E326" i="9"/>
  <c r="D326" i="9"/>
  <c r="A326" i="9"/>
  <c r="J325" i="11"/>
  <c r="O325" i="9"/>
  <c r="N325" i="9"/>
  <c r="M325" i="9"/>
  <c r="L325" i="9"/>
  <c r="K325" i="9"/>
  <c r="J325" i="9"/>
  <c r="I325" i="9"/>
  <c r="H325" i="9"/>
  <c r="G325" i="9"/>
  <c r="E325" i="9"/>
  <c r="D325" i="9"/>
  <c r="A325" i="9"/>
  <c r="J324" i="11"/>
  <c r="O324" i="9"/>
  <c r="N324" i="9"/>
  <c r="M324" i="9"/>
  <c r="L324" i="9"/>
  <c r="K324" i="9"/>
  <c r="J324" i="9"/>
  <c r="I324" i="9"/>
  <c r="H324" i="9"/>
  <c r="G324" i="9"/>
  <c r="E324" i="9"/>
  <c r="D324" i="9"/>
  <c r="A324" i="9"/>
  <c r="J323" i="11"/>
  <c r="O323" i="9"/>
  <c r="N323" i="9"/>
  <c r="M323" i="9"/>
  <c r="L323" i="9"/>
  <c r="K323" i="9"/>
  <c r="J323" i="9"/>
  <c r="I323" i="9"/>
  <c r="H323" i="9"/>
  <c r="G323" i="9"/>
  <c r="E323" i="9"/>
  <c r="D323" i="9"/>
  <c r="A323" i="9"/>
  <c r="J322" i="11"/>
  <c r="O322" i="9"/>
  <c r="N322" i="9"/>
  <c r="M322" i="9"/>
  <c r="L322" i="9"/>
  <c r="K322" i="9"/>
  <c r="J322" i="9"/>
  <c r="I322" i="9"/>
  <c r="H322" i="9"/>
  <c r="G322" i="9"/>
  <c r="E322" i="9"/>
  <c r="D322" i="9"/>
  <c r="A322" i="9"/>
  <c r="J321" i="11"/>
  <c r="O321" i="9"/>
  <c r="N321" i="9"/>
  <c r="M321" i="9"/>
  <c r="L321" i="9"/>
  <c r="K321" i="9"/>
  <c r="J321" i="9"/>
  <c r="I321" i="9"/>
  <c r="H321" i="9"/>
  <c r="G321" i="9"/>
  <c r="E321" i="9"/>
  <c r="D321" i="9"/>
  <c r="A321" i="9"/>
  <c r="J320" i="11"/>
  <c r="O320" i="9"/>
  <c r="N320" i="9"/>
  <c r="M320" i="9"/>
  <c r="L320" i="9"/>
  <c r="K320" i="9"/>
  <c r="J320" i="9"/>
  <c r="I320" i="9"/>
  <c r="H320" i="9"/>
  <c r="G320" i="9"/>
  <c r="E320" i="9"/>
  <c r="D320" i="9"/>
  <c r="A320" i="9"/>
  <c r="J319" i="11"/>
  <c r="O319" i="9"/>
  <c r="N319" i="9"/>
  <c r="M319" i="9"/>
  <c r="L319" i="9"/>
  <c r="K319" i="9"/>
  <c r="J319" i="9"/>
  <c r="I319" i="9"/>
  <c r="H319" i="9"/>
  <c r="G319" i="9"/>
  <c r="E319" i="9"/>
  <c r="D319" i="9"/>
  <c r="A319" i="9"/>
  <c r="J318" i="11"/>
  <c r="O318" i="9"/>
  <c r="N318" i="9"/>
  <c r="M318" i="9"/>
  <c r="L318" i="9"/>
  <c r="K318" i="9"/>
  <c r="J318" i="9"/>
  <c r="I318" i="9"/>
  <c r="H318" i="9"/>
  <c r="G318" i="9"/>
  <c r="E318" i="9"/>
  <c r="D318" i="9"/>
  <c r="A318" i="9"/>
  <c r="J317" i="11"/>
  <c r="O317" i="9"/>
  <c r="N317" i="9"/>
  <c r="M317" i="9"/>
  <c r="L317" i="9"/>
  <c r="K317" i="9"/>
  <c r="J317" i="9"/>
  <c r="I317" i="9"/>
  <c r="H317" i="9"/>
  <c r="G317" i="9"/>
  <c r="E317" i="9"/>
  <c r="D317" i="9"/>
  <c r="A317" i="9"/>
  <c r="J316" i="11"/>
  <c r="O316" i="9"/>
  <c r="N316" i="9"/>
  <c r="M316" i="9"/>
  <c r="L316" i="9"/>
  <c r="K316" i="9"/>
  <c r="J316" i="9"/>
  <c r="I316" i="9"/>
  <c r="H316" i="9"/>
  <c r="G316" i="9"/>
  <c r="E316" i="9"/>
  <c r="D316" i="9"/>
  <c r="A316" i="9"/>
  <c r="J315" i="11"/>
  <c r="O315" i="9"/>
  <c r="N315" i="9"/>
  <c r="M315" i="9"/>
  <c r="L315" i="9"/>
  <c r="K315" i="9"/>
  <c r="J315" i="9"/>
  <c r="I315" i="9"/>
  <c r="H315" i="9"/>
  <c r="G315" i="9"/>
  <c r="E315" i="9"/>
  <c r="D315" i="9"/>
  <c r="A315" i="9"/>
  <c r="J314" i="11"/>
  <c r="O314" i="9"/>
  <c r="N314" i="9"/>
  <c r="M314" i="9"/>
  <c r="L314" i="9"/>
  <c r="K314" i="9"/>
  <c r="J314" i="9"/>
  <c r="I314" i="9"/>
  <c r="H314" i="9"/>
  <c r="G314" i="9"/>
  <c r="E314" i="9"/>
  <c r="D314" i="9"/>
  <c r="A314" i="9"/>
  <c r="J313" i="11"/>
  <c r="O313" i="9"/>
  <c r="N313" i="9"/>
  <c r="M313" i="9"/>
  <c r="L313" i="9"/>
  <c r="K313" i="9"/>
  <c r="J313" i="9"/>
  <c r="I313" i="9"/>
  <c r="H313" i="9"/>
  <c r="G313" i="9"/>
  <c r="E313" i="9"/>
  <c r="D313" i="9"/>
  <c r="A313" i="9"/>
  <c r="J312" i="11"/>
  <c r="O312" i="9"/>
  <c r="N312" i="9"/>
  <c r="M312" i="9"/>
  <c r="L312" i="9"/>
  <c r="K312" i="9"/>
  <c r="J312" i="9"/>
  <c r="I312" i="9"/>
  <c r="H312" i="9"/>
  <c r="G312" i="9"/>
  <c r="E312" i="9"/>
  <c r="D312" i="9"/>
  <c r="A312" i="9"/>
  <c r="J311" i="11"/>
  <c r="O311" i="9"/>
  <c r="N311" i="9"/>
  <c r="M311" i="9"/>
  <c r="L311" i="9"/>
  <c r="K311" i="9"/>
  <c r="J311" i="9"/>
  <c r="I311" i="9"/>
  <c r="H311" i="9"/>
  <c r="G311" i="9"/>
  <c r="E311" i="9"/>
  <c r="D311" i="9"/>
  <c r="A311" i="9"/>
  <c r="J310" i="11"/>
  <c r="O310" i="9"/>
  <c r="N310" i="9"/>
  <c r="M310" i="9"/>
  <c r="L310" i="9"/>
  <c r="K310" i="9"/>
  <c r="J310" i="9"/>
  <c r="I310" i="9"/>
  <c r="H310" i="9"/>
  <c r="G310" i="9"/>
  <c r="E310" i="9"/>
  <c r="D310" i="9"/>
  <c r="A310" i="9"/>
  <c r="J309" i="11"/>
  <c r="O309" i="9"/>
  <c r="N309" i="9"/>
  <c r="M309" i="9"/>
  <c r="L309" i="9"/>
  <c r="K309" i="9"/>
  <c r="J309" i="9"/>
  <c r="I309" i="9"/>
  <c r="H309" i="9"/>
  <c r="G309" i="9"/>
  <c r="E309" i="9"/>
  <c r="D309" i="9"/>
  <c r="A309" i="9"/>
  <c r="J308" i="11"/>
  <c r="O308" i="9"/>
  <c r="N308" i="9"/>
  <c r="M308" i="9"/>
  <c r="L308" i="9"/>
  <c r="K308" i="9"/>
  <c r="J308" i="9"/>
  <c r="I308" i="9"/>
  <c r="H308" i="9"/>
  <c r="G308" i="9"/>
  <c r="E308" i="9"/>
  <c r="D308" i="9"/>
  <c r="A308" i="9"/>
  <c r="J307" i="11"/>
  <c r="O307" i="9"/>
  <c r="N307" i="9"/>
  <c r="M307" i="9"/>
  <c r="L307" i="9"/>
  <c r="K307" i="9"/>
  <c r="J307" i="9"/>
  <c r="I307" i="9"/>
  <c r="H307" i="9"/>
  <c r="G307" i="9"/>
  <c r="E307" i="9"/>
  <c r="D307" i="9"/>
  <c r="A307" i="9"/>
  <c r="J306" i="11"/>
  <c r="O306" i="9"/>
  <c r="N306" i="9"/>
  <c r="M306" i="9"/>
  <c r="L306" i="9"/>
  <c r="K306" i="9"/>
  <c r="J306" i="9"/>
  <c r="I306" i="9"/>
  <c r="H306" i="9"/>
  <c r="G306" i="9"/>
  <c r="E306" i="9"/>
  <c r="D306" i="9"/>
  <c r="A306" i="9"/>
  <c r="J305" i="11"/>
  <c r="O305" i="9"/>
  <c r="N305" i="9"/>
  <c r="M305" i="9"/>
  <c r="L305" i="9"/>
  <c r="K305" i="9"/>
  <c r="J305" i="9"/>
  <c r="I305" i="9"/>
  <c r="H305" i="9"/>
  <c r="G305" i="9"/>
  <c r="E305" i="9"/>
  <c r="D305" i="9"/>
  <c r="A305" i="9"/>
  <c r="J304" i="11"/>
  <c r="O304" i="9"/>
  <c r="N304" i="9"/>
  <c r="M304" i="9"/>
  <c r="L304" i="9"/>
  <c r="K304" i="9"/>
  <c r="J304" i="9"/>
  <c r="I304" i="9"/>
  <c r="H304" i="9"/>
  <c r="G304" i="9"/>
  <c r="E304" i="9"/>
  <c r="D304" i="9"/>
  <c r="A304" i="9"/>
  <c r="J303" i="11"/>
  <c r="O303" i="9"/>
  <c r="N303" i="9"/>
  <c r="M303" i="9"/>
  <c r="L303" i="9"/>
  <c r="K303" i="9"/>
  <c r="J303" i="9"/>
  <c r="I303" i="9"/>
  <c r="H303" i="9"/>
  <c r="G303" i="9"/>
  <c r="E303" i="9"/>
  <c r="D303" i="9"/>
  <c r="A303" i="9"/>
  <c r="J302" i="11"/>
  <c r="O302" i="9"/>
  <c r="N302" i="9"/>
  <c r="M302" i="9"/>
  <c r="L302" i="9"/>
  <c r="K302" i="9"/>
  <c r="J302" i="9"/>
  <c r="I302" i="9"/>
  <c r="H302" i="9"/>
  <c r="G302" i="9"/>
  <c r="E302" i="9"/>
  <c r="D302" i="9"/>
  <c r="A302" i="9"/>
  <c r="J301" i="11"/>
  <c r="O301" i="9"/>
  <c r="N301" i="9"/>
  <c r="M301" i="9"/>
  <c r="L301" i="9"/>
  <c r="K301" i="9"/>
  <c r="J301" i="9"/>
  <c r="I301" i="9"/>
  <c r="H301" i="9"/>
  <c r="G301" i="9"/>
  <c r="E301" i="9"/>
  <c r="D301" i="9"/>
  <c r="A301" i="9"/>
  <c r="J300" i="11"/>
  <c r="O300" i="9"/>
  <c r="N300" i="9"/>
  <c r="M300" i="9"/>
  <c r="L300" i="9"/>
  <c r="K300" i="9"/>
  <c r="J300" i="9"/>
  <c r="I300" i="9"/>
  <c r="H300" i="9"/>
  <c r="G300" i="9"/>
  <c r="E300" i="9"/>
  <c r="D300" i="9"/>
  <c r="A300" i="9"/>
  <c r="J299" i="11"/>
  <c r="O299" i="9"/>
  <c r="N299" i="9"/>
  <c r="M299" i="9"/>
  <c r="L299" i="9"/>
  <c r="K299" i="9"/>
  <c r="J299" i="9"/>
  <c r="I299" i="9"/>
  <c r="H299" i="9"/>
  <c r="G299" i="9"/>
  <c r="E299" i="9"/>
  <c r="D299" i="9"/>
  <c r="A299" i="9"/>
  <c r="J298" i="11"/>
  <c r="O298" i="9"/>
  <c r="N298" i="9"/>
  <c r="M298" i="9"/>
  <c r="L298" i="9"/>
  <c r="K298" i="9"/>
  <c r="J298" i="9"/>
  <c r="I298" i="9"/>
  <c r="H298" i="9"/>
  <c r="G298" i="9"/>
  <c r="E298" i="9"/>
  <c r="D298" i="9"/>
  <c r="A298" i="9"/>
  <c r="J297" i="11"/>
  <c r="O297" i="9"/>
  <c r="N297" i="9"/>
  <c r="M297" i="9"/>
  <c r="L297" i="9"/>
  <c r="K297" i="9"/>
  <c r="J297" i="9"/>
  <c r="I297" i="9"/>
  <c r="H297" i="9"/>
  <c r="G297" i="9"/>
  <c r="E297" i="9"/>
  <c r="D297" i="9"/>
  <c r="A297" i="9"/>
  <c r="J296" i="11"/>
  <c r="O296" i="9"/>
  <c r="N296" i="9"/>
  <c r="M296" i="9"/>
  <c r="L296" i="9"/>
  <c r="K296" i="9"/>
  <c r="J296" i="9"/>
  <c r="I296" i="9"/>
  <c r="H296" i="9"/>
  <c r="G296" i="9"/>
  <c r="E296" i="9"/>
  <c r="D296" i="9"/>
  <c r="A296" i="9"/>
  <c r="J295" i="11"/>
  <c r="O295" i="9"/>
  <c r="N295" i="9"/>
  <c r="M295" i="9"/>
  <c r="L295" i="9"/>
  <c r="K295" i="9"/>
  <c r="J295" i="9"/>
  <c r="I295" i="9"/>
  <c r="H295" i="9"/>
  <c r="G295" i="9"/>
  <c r="E295" i="9"/>
  <c r="D295" i="9"/>
  <c r="A295" i="9"/>
  <c r="J294" i="11"/>
  <c r="O294" i="9"/>
  <c r="N294" i="9"/>
  <c r="M294" i="9"/>
  <c r="L294" i="9"/>
  <c r="K294" i="9"/>
  <c r="J294" i="9"/>
  <c r="I294" i="9"/>
  <c r="H294" i="9"/>
  <c r="G294" i="9"/>
  <c r="E294" i="9"/>
  <c r="D294" i="9"/>
  <c r="A294" i="9"/>
  <c r="J293" i="11"/>
  <c r="O293" i="9"/>
  <c r="N293" i="9"/>
  <c r="M293" i="9"/>
  <c r="L293" i="9"/>
  <c r="K293" i="9"/>
  <c r="J293" i="9"/>
  <c r="I293" i="9"/>
  <c r="H293" i="9"/>
  <c r="G293" i="9"/>
  <c r="E293" i="9"/>
  <c r="D293" i="9"/>
  <c r="A293" i="9"/>
  <c r="J292" i="11"/>
  <c r="O292" i="9"/>
  <c r="N292" i="9"/>
  <c r="M292" i="9"/>
  <c r="L292" i="9"/>
  <c r="K292" i="9"/>
  <c r="J292" i="9"/>
  <c r="I292" i="9"/>
  <c r="H292" i="9"/>
  <c r="G292" i="9"/>
  <c r="E292" i="9"/>
  <c r="D292" i="9"/>
  <c r="A292" i="9"/>
  <c r="J291" i="11"/>
  <c r="O291" i="9"/>
  <c r="N291" i="9"/>
  <c r="M291" i="9"/>
  <c r="L291" i="9"/>
  <c r="K291" i="9"/>
  <c r="J291" i="9"/>
  <c r="I291" i="9"/>
  <c r="H291" i="9"/>
  <c r="G291" i="9"/>
  <c r="E291" i="9"/>
  <c r="D291" i="9"/>
  <c r="A291" i="9"/>
  <c r="J290" i="11"/>
  <c r="O290" i="9"/>
  <c r="N290" i="9"/>
  <c r="M290" i="9"/>
  <c r="L290" i="9"/>
  <c r="K290" i="9"/>
  <c r="J290" i="9"/>
  <c r="I290" i="9"/>
  <c r="H290" i="9"/>
  <c r="G290" i="9"/>
  <c r="E290" i="9"/>
  <c r="D290" i="9"/>
  <c r="A290" i="9"/>
  <c r="J289" i="11"/>
  <c r="O289" i="9"/>
  <c r="N289" i="9"/>
  <c r="M289" i="9"/>
  <c r="L289" i="9"/>
  <c r="K289" i="9"/>
  <c r="J289" i="9"/>
  <c r="I289" i="9"/>
  <c r="H289" i="9"/>
  <c r="G289" i="9"/>
  <c r="E289" i="9"/>
  <c r="D289" i="9"/>
  <c r="A289" i="9"/>
  <c r="J288" i="11"/>
  <c r="O288" i="9"/>
  <c r="N288" i="9"/>
  <c r="M288" i="9"/>
  <c r="L288" i="9"/>
  <c r="K288" i="9"/>
  <c r="J288" i="9"/>
  <c r="I288" i="9"/>
  <c r="H288" i="9"/>
  <c r="G288" i="9"/>
  <c r="E288" i="9"/>
  <c r="D288" i="9"/>
  <c r="A288" i="9"/>
  <c r="J287" i="11"/>
  <c r="O287" i="9"/>
  <c r="N287" i="9"/>
  <c r="M287" i="9"/>
  <c r="L287" i="9"/>
  <c r="K287" i="9"/>
  <c r="J287" i="9"/>
  <c r="I287" i="9"/>
  <c r="H287" i="9"/>
  <c r="G287" i="9"/>
  <c r="E287" i="9"/>
  <c r="D287" i="9"/>
  <c r="A287" i="9"/>
  <c r="J286" i="11"/>
  <c r="O286" i="9"/>
  <c r="N286" i="9"/>
  <c r="M286" i="9"/>
  <c r="L286" i="9"/>
  <c r="K286" i="9"/>
  <c r="J286" i="9"/>
  <c r="I286" i="9"/>
  <c r="H286" i="9"/>
  <c r="G286" i="9"/>
  <c r="E286" i="9"/>
  <c r="D286" i="9"/>
  <c r="A286" i="9"/>
  <c r="J285" i="11"/>
  <c r="O285" i="9"/>
  <c r="N285" i="9"/>
  <c r="M285" i="9"/>
  <c r="L285" i="9"/>
  <c r="K285" i="9"/>
  <c r="J285" i="9"/>
  <c r="I285" i="9"/>
  <c r="H285" i="9"/>
  <c r="G285" i="9"/>
  <c r="E285" i="9"/>
  <c r="D285" i="9"/>
  <c r="A285" i="9"/>
  <c r="J284" i="11"/>
  <c r="O284" i="9"/>
  <c r="N284" i="9"/>
  <c r="M284" i="9"/>
  <c r="L284" i="9"/>
  <c r="K284" i="9"/>
  <c r="J284" i="9"/>
  <c r="I284" i="9"/>
  <c r="H284" i="9"/>
  <c r="G284" i="9"/>
  <c r="E284" i="9"/>
  <c r="D284" i="9"/>
  <c r="A284" i="9"/>
  <c r="J283" i="11"/>
  <c r="O283" i="9"/>
  <c r="N283" i="9"/>
  <c r="M283" i="9"/>
  <c r="L283" i="9"/>
  <c r="K283" i="9"/>
  <c r="J283" i="9"/>
  <c r="I283" i="9"/>
  <c r="H283" i="9"/>
  <c r="G283" i="9"/>
  <c r="E283" i="9"/>
  <c r="D283" i="9"/>
  <c r="A283" i="9"/>
  <c r="J282" i="11"/>
  <c r="O282" i="9"/>
  <c r="N282" i="9"/>
  <c r="M282" i="9"/>
  <c r="L282" i="9"/>
  <c r="K282" i="9"/>
  <c r="J282" i="9"/>
  <c r="I282" i="9"/>
  <c r="H282" i="9"/>
  <c r="G282" i="9"/>
  <c r="E282" i="9"/>
  <c r="D282" i="9"/>
  <c r="A282" i="9"/>
  <c r="J281" i="11"/>
  <c r="O281" i="9"/>
  <c r="N281" i="9"/>
  <c r="M281" i="9"/>
  <c r="L281" i="9"/>
  <c r="K281" i="9"/>
  <c r="J281" i="9"/>
  <c r="I281" i="9"/>
  <c r="H281" i="9"/>
  <c r="G281" i="9"/>
  <c r="E281" i="9"/>
  <c r="D281" i="9"/>
  <c r="A281" i="9"/>
  <c r="J280" i="11"/>
  <c r="O280" i="9"/>
  <c r="N280" i="9"/>
  <c r="M280" i="9"/>
  <c r="L280" i="9"/>
  <c r="K280" i="9"/>
  <c r="J280" i="9"/>
  <c r="I280" i="9"/>
  <c r="H280" i="9"/>
  <c r="G280" i="9"/>
  <c r="E280" i="9"/>
  <c r="D280" i="9"/>
  <c r="A280" i="9"/>
  <c r="J279" i="11"/>
  <c r="O279" i="9"/>
  <c r="N279" i="9"/>
  <c r="M279" i="9"/>
  <c r="L279" i="9"/>
  <c r="K279" i="9"/>
  <c r="J279" i="9"/>
  <c r="I279" i="9"/>
  <c r="H279" i="9"/>
  <c r="G279" i="9"/>
  <c r="E279" i="9"/>
  <c r="D279" i="9"/>
  <c r="A279" i="9"/>
  <c r="J278" i="11"/>
  <c r="O278" i="9"/>
  <c r="N278" i="9"/>
  <c r="M278" i="9"/>
  <c r="L278" i="9"/>
  <c r="K278" i="9"/>
  <c r="J278" i="9"/>
  <c r="I278" i="9"/>
  <c r="H278" i="9"/>
  <c r="G278" i="9"/>
  <c r="E278" i="9"/>
  <c r="D278" i="9"/>
  <c r="A278" i="9"/>
  <c r="J277" i="11"/>
  <c r="O277" i="9"/>
  <c r="N277" i="9"/>
  <c r="M277" i="9"/>
  <c r="L277" i="9"/>
  <c r="K277" i="9"/>
  <c r="J277" i="9"/>
  <c r="I277" i="9"/>
  <c r="H277" i="9"/>
  <c r="G277" i="9"/>
  <c r="E277" i="9"/>
  <c r="D277" i="9"/>
  <c r="A277" i="9"/>
  <c r="J276" i="11"/>
  <c r="O276" i="9"/>
  <c r="N276" i="9"/>
  <c r="M276" i="9"/>
  <c r="L276" i="9"/>
  <c r="K276" i="9"/>
  <c r="J276" i="9"/>
  <c r="I276" i="9"/>
  <c r="H276" i="9"/>
  <c r="G276" i="9"/>
  <c r="E276" i="9"/>
  <c r="D276" i="9"/>
  <c r="A276" i="9"/>
  <c r="J275" i="11"/>
  <c r="O275" i="9"/>
  <c r="N275" i="9"/>
  <c r="M275" i="9"/>
  <c r="L275" i="9"/>
  <c r="K275" i="9"/>
  <c r="J275" i="9"/>
  <c r="I275" i="9"/>
  <c r="H275" i="9"/>
  <c r="G275" i="9"/>
  <c r="E275" i="9"/>
  <c r="D275" i="9"/>
  <c r="A275" i="9"/>
  <c r="J274" i="11"/>
  <c r="O274" i="9"/>
  <c r="N274" i="9"/>
  <c r="M274" i="9"/>
  <c r="L274" i="9"/>
  <c r="K274" i="9"/>
  <c r="J274" i="9"/>
  <c r="I274" i="9"/>
  <c r="H274" i="9"/>
  <c r="G274" i="9"/>
  <c r="E274" i="9"/>
  <c r="D274" i="9"/>
  <c r="A274" i="9"/>
  <c r="J273" i="11"/>
  <c r="O273" i="9"/>
  <c r="N273" i="9"/>
  <c r="M273" i="9"/>
  <c r="L273" i="9"/>
  <c r="K273" i="9"/>
  <c r="J273" i="9"/>
  <c r="I273" i="9"/>
  <c r="H273" i="9"/>
  <c r="G273" i="9"/>
  <c r="E273" i="9"/>
  <c r="D273" i="9"/>
  <c r="A273" i="9"/>
  <c r="J272" i="11"/>
  <c r="O272" i="9"/>
  <c r="N272" i="9"/>
  <c r="M272" i="9"/>
  <c r="L272" i="9"/>
  <c r="K272" i="9"/>
  <c r="J272" i="9"/>
  <c r="I272" i="9"/>
  <c r="H272" i="9"/>
  <c r="G272" i="9"/>
  <c r="E272" i="9"/>
  <c r="D272" i="9"/>
  <c r="A272" i="9"/>
  <c r="J271" i="11"/>
  <c r="O271" i="9"/>
  <c r="N271" i="9"/>
  <c r="M271" i="9"/>
  <c r="L271" i="9"/>
  <c r="K271" i="9"/>
  <c r="J271" i="9"/>
  <c r="I271" i="9"/>
  <c r="H271" i="9"/>
  <c r="G271" i="9"/>
  <c r="E271" i="9"/>
  <c r="D271" i="9"/>
  <c r="A271" i="9"/>
  <c r="J270" i="11"/>
  <c r="O270" i="9"/>
  <c r="N270" i="9"/>
  <c r="M270" i="9"/>
  <c r="L270" i="9"/>
  <c r="K270" i="9"/>
  <c r="J270" i="9"/>
  <c r="I270" i="9"/>
  <c r="H270" i="9"/>
  <c r="G270" i="9"/>
  <c r="E270" i="9"/>
  <c r="D270" i="9"/>
  <c r="A270" i="9"/>
  <c r="J269" i="11"/>
  <c r="O269" i="9"/>
  <c r="N269" i="9"/>
  <c r="M269" i="9"/>
  <c r="L269" i="9"/>
  <c r="K269" i="9"/>
  <c r="J269" i="9"/>
  <c r="I269" i="9"/>
  <c r="H269" i="9"/>
  <c r="G269" i="9"/>
  <c r="E269" i="9"/>
  <c r="D269" i="9"/>
  <c r="A269" i="9"/>
  <c r="J268" i="11"/>
  <c r="O268" i="9"/>
  <c r="N268" i="9"/>
  <c r="M268" i="9"/>
  <c r="L268" i="9"/>
  <c r="K268" i="9"/>
  <c r="J268" i="9"/>
  <c r="I268" i="9"/>
  <c r="H268" i="9"/>
  <c r="G268" i="9"/>
  <c r="E268" i="9"/>
  <c r="D268" i="9"/>
  <c r="A268" i="9"/>
  <c r="J267" i="11"/>
  <c r="O267" i="9"/>
  <c r="N267" i="9"/>
  <c r="M267" i="9"/>
  <c r="L267" i="9"/>
  <c r="K267" i="9"/>
  <c r="J267" i="9"/>
  <c r="I267" i="9"/>
  <c r="H267" i="9"/>
  <c r="G267" i="9"/>
  <c r="E267" i="9"/>
  <c r="D267" i="9"/>
  <c r="A267" i="9"/>
  <c r="J266" i="11"/>
  <c r="O266" i="9"/>
  <c r="N266" i="9"/>
  <c r="M266" i="9"/>
  <c r="L266" i="9"/>
  <c r="K266" i="9"/>
  <c r="J266" i="9"/>
  <c r="I266" i="9"/>
  <c r="H266" i="9"/>
  <c r="G266" i="9"/>
  <c r="E266" i="9"/>
  <c r="D266" i="9"/>
  <c r="A266" i="9"/>
  <c r="M295" i="10"/>
  <c r="T295" i="10"/>
  <c r="W295" i="10"/>
  <c r="V295" i="10"/>
  <c r="X295" i="10"/>
  <c r="U295" i="10"/>
  <c r="Y295" i="10"/>
  <c r="N295" i="10"/>
  <c r="Q295" i="10"/>
  <c r="P295" i="10"/>
  <c r="R295" i="10"/>
  <c r="O295" i="10"/>
  <c r="S295" i="10"/>
  <c r="G295" i="10"/>
  <c r="J295" i="10"/>
  <c r="I295" i="10"/>
  <c r="K295" i="10"/>
  <c r="H295" i="10"/>
  <c r="L295" i="10"/>
  <c r="M294" i="10"/>
  <c r="T294" i="10"/>
  <c r="W294" i="10"/>
  <c r="V294" i="10"/>
  <c r="X294" i="10"/>
  <c r="U294" i="10"/>
  <c r="Y294" i="10"/>
  <c r="N294" i="10"/>
  <c r="Q294" i="10"/>
  <c r="P294" i="10"/>
  <c r="R294" i="10"/>
  <c r="O294" i="10"/>
  <c r="S294" i="10"/>
  <c r="G294" i="10"/>
  <c r="J294" i="10"/>
  <c r="I294" i="10"/>
  <c r="K294" i="10"/>
  <c r="H294" i="10"/>
  <c r="L294" i="10"/>
  <c r="M293" i="10"/>
  <c r="T293" i="10"/>
  <c r="W293" i="10"/>
  <c r="V293" i="10"/>
  <c r="X293" i="10"/>
  <c r="U293" i="10"/>
  <c r="Y293" i="10"/>
  <c r="N293" i="10"/>
  <c r="Q293" i="10"/>
  <c r="P293" i="10"/>
  <c r="R293" i="10"/>
  <c r="O293" i="10"/>
  <c r="S293" i="10"/>
  <c r="G293" i="10"/>
  <c r="J293" i="10"/>
  <c r="I293" i="10"/>
  <c r="K293" i="10"/>
  <c r="H293" i="10"/>
  <c r="L293" i="10"/>
  <c r="M292" i="10"/>
  <c r="T292" i="10"/>
  <c r="W292" i="10"/>
  <c r="V292" i="10"/>
  <c r="X292" i="10"/>
  <c r="U292" i="10"/>
  <c r="Y292" i="10"/>
  <c r="N292" i="10"/>
  <c r="Q292" i="10"/>
  <c r="P292" i="10"/>
  <c r="R292" i="10"/>
  <c r="O292" i="10"/>
  <c r="S292" i="10"/>
  <c r="G292" i="10"/>
  <c r="J292" i="10"/>
  <c r="I292" i="10"/>
  <c r="K292" i="10"/>
  <c r="H292" i="10"/>
  <c r="L292" i="10"/>
  <c r="M291" i="10"/>
  <c r="T291" i="10"/>
  <c r="W291" i="10"/>
  <c r="V291" i="10"/>
  <c r="X291" i="10"/>
  <c r="U291" i="10"/>
  <c r="Y291" i="10"/>
  <c r="N291" i="10"/>
  <c r="Q291" i="10"/>
  <c r="P291" i="10"/>
  <c r="R291" i="10"/>
  <c r="O291" i="10"/>
  <c r="S291" i="10"/>
  <c r="G291" i="10"/>
  <c r="J291" i="10"/>
  <c r="I291" i="10"/>
  <c r="K291" i="10"/>
  <c r="H291" i="10"/>
  <c r="L291" i="10"/>
  <c r="M290" i="10"/>
  <c r="T290" i="10"/>
  <c r="W290" i="10"/>
  <c r="V290" i="10"/>
  <c r="X290" i="10"/>
  <c r="U290" i="10"/>
  <c r="Y290" i="10"/>
  <c r="N290" i="10"/>
  <c r="Q290" i="10"/>
  <c r="P290" i="10"/>
  <c r="R290" i="10"/>
  <c r="O290" i="10"/>
  <c r="S290" i="10"/>
  <c r="G290" i="10"/>
  <c r="J290" i="10"/>
  <c r="I290" i="10"/>
  <c r="K290" i="10"/>
  <c r="H290" i="10"/>
  <c r="L290" i="10"/>
  <c r="M289" i="10"/>
  <c r="T289" i="10"/>
  <c r="W289" i="10"/>
  <c r="V289" i="10"/>
  <c r="X289" i="10"/>
  <c r="U289" i="10"/>
  <c r="Y289" i="10"/>
  <c r="N289" i="10"/>
  <c r="Q289" i="10"/>
  <c r="P289" i="10"/>
  <c r="R289" i="10"/>
  <c r="O289" i="10"/>
  <c r="S289" i="10"/>
  <c r="G289" i="10"/>
  <c r="J289" i="10"/>
  <c r="I289" i="10"/>
  <c r="K289" i="10"/>
  <c r="H289" i="10"/>
  <c r="L289" i="10"/>
  <c r="M288" i="10"/>
  <c r="T288" i="10"/>
  <c r="W288" i="10"/>
  <c r="V288" i="10"/>
  <c r="X288" i="10"/>
  <c r="U288" i="10"/>
  <c r="Y288" i="10"/>
  <c r="N288" i="10"/>
  <c r="Q288" i="10"/>
  <c r="P288" i="10"/>
  <c r="R288" i="10"/>
  <c r="O288" i="10"/>
  <c r="S288" i="10"/>
  <c r="G288" i="10"/>
  <c r="J288" i="10"/>
  <c r="I288" i="10"/>
  <c r="K288" i="10"/>
  <c r="H288" i="10"/>
  <c r="L288" i="10"/>
  <c r="M287" i="10"/>
  <c r="T287" i="10"/>
  <c r="W287" i="10"/>
  <c r="V287" i="10"/>
  <c r="X287" i="10"/>
  <c r="U287" i="10"/>
  <c r="Y287" i="10"/>
  <c r="N287" i="10"/>
  <c r="Q287" i="10"/>
  <c r="P287" i="10"/>
  <c r="R287" i="10"/>
  <c r="O287" i="10"/>
  <c r="S287" i="10"/>
  <c r="G287" i="10"/>
  <c r="J287" i="10"/>
  <c r="I287" i="10"/>
  <c r="K287" i="10"/>
  <c r="H287" i="10"/>
  <c r="L287" i="10"/>
  <c r="M286" i="10"/>
  <c r="T286" i="10"/>
  <c r="W286" i="10"/>
  <c r="V286" i="10"/>
  <c r="X286" i="10"/>
  <c r="U286" i="10"/>
  <c r="Y286" i="10"/>
  <c r="N286" i="10"/>
  <c r="Q286" i="10"/>
  <c r="P286" i="10"/>
  <c r="R286" i="10"/>
  <c r="O286" i="10"/>
  <c r="S286" i="10"/>
  <c r="G286" i="10"/>
  <c r="J286" i="10"/>
  <c r="I286" i="10"/>
  <c r="K286" i="10"/>
  <c r="H286" i="10"/>
  <c r="L286" i="10"/>
  <c r="M285" i="10"/>
  <c r="T285" i="10"/>
  <c r="W285" i="10"/>
  <c r="V285" i="10"/>
  <c r="X285" i="10"/>
  <c r="U285" i="10"/>
  <c r="Y285" i="10"/>
  <c r="N285" i="10"/>
  <c r="Q285" i="10"/>
  <c r="P285" i="10"/>
  <c r="R285" i="10"/>
  <c r="O285" i="10"/>
  <c r="S285" i="10"/>
  <c r="G285" i="10"/>
  <c r="J285" i="10"/>
  <c r="I285" i="10"/>
  <c r="K285" i="10"/>
  <c r="H285" i="10"/>
  <c r="L285" i="10"/>
  <c r="M284" i="10"/>
  <c r="T284" i="10"/>
  <c r="W284" i="10"/>
  <c r="V284" i="10"/>
  <c r="X284" i="10"/>
  <c r="U284" i="10"/>
  <c r="Y284" i="10"/>
  <c r="N284" i="10"/>
  <c r="Q284" i="10"/>
  <c r="P284" i="10"/>
  <c r="R284" i="10"/>
  <c r="O284" i="10"/>
  <c r="S284" i="10"/>
  <c r="G284" i="10"/>
  <c r="J284" i="10"/>
  <c r="I284" i="10"/>
  <c r="K284" i="10"/>
  <c r="H284" i="10"/>
  <c r="L284" i="10"/>
  <c r="M283" i="10"/>
  <c r="T283" i="10"/>
  <c r="W283" i="10"/>
  <c r="V283" i="10"/>
  <c r="X283" i="10"/>
  <c r="U283" i="10"/>
  <c r="Y283" i="10"/>
  <c r="N283" i="10"/>
  <c r="Q283" i="10"/>
  <c r="P283" i="10"/>
  <c r="R283" i="10"/>
  <c r="O283" i="10"/>
  <c r="S283" i="10"/>
  <c r="G283" i="10"/>
  <c r="J283" i="10"/>
  <c r="I283" i="10"/>
  <c r="K283" i="10"/>
  <c r="H283" i="10"/>
  <c r="L283" i="10"/>
  <c r="M282" i="10"/>
  <c r="T282" i="10"/>
  <c r="W282" i="10"/>
  <c r="V282" i="10"/>
  <c r="X282" i="10"/>
  <c r="U282" i="10"/>
  <c r="Y282" i="10"/>
  <c r="N282" i="10"/>
  <c r="Q282" i="10"/>
  <c r="P282" i="10"/>
  <c r="R282" i="10"/>
  <c r="O282" i="10"/>
  <c r="S282" i="10"/>
  <c r="G282" i="10"/>
  <c r="J282" i="10"/>
  <c r="I282" i="10"/>
  <c r="K282" i="10"/>
  <c r="H282" i="10"/>
  <c r="L282" i="10"/>
  <c r="M281" i="10"/>
  <c r="T281" i="10"/>
  <c r="W281" i="10"/>
  <c r="V281" i="10"/>
  <c r="X281" i="10"/>
  <c r="U281" i="10"/>
  <c r="Y281" i="10"/>
  <c r="N281" i="10"/>
  <c r="Q281" i="10"/>
  <c r="P281" i="10"/>
  <c r="R281" i="10"/>
  <c r="O281" i="10"/>
  <c r="S281" i="10"/>
  <c r="G281" i="10"/>
  <c r="J281" i="10"/>
  <c r="I281" i="10"/>
  <c r="K281" i="10"/>
  <c r="H281" i="10"/>
  <c r="L281" i="10"/>
  <c r="M280" i="10"/>
  <c r="T280" i="10"/>
  <c r="W280" i="10"/>
  <c r="V280" i="10"/>
  <c r="X280" i="10"/>
  <c r="U280" i="10"/>
  <c r="Y280" i="10"/>
  <c r="N280" i="10"/>
  <c r="Q280" i="10"/>
  <c r="P280" i="10"/>
  <c r="R280" i="10"/>
  <c r="O280" i="10"/>
  <c r="S280" i="10"/>
  <c r="G280" i="10"/>
  <c r="J280" i="10"/>
  <c r="I280" i="10"/>
  <c r="K280" i="10"/>
  <c r="H280" i="10"/>
  <c r="L280" i="10"/>
  <c r="M279" i="10"/>
  <c r="T279" i="10"/>
  <c r="W279" i="10"/>
  <c r="V279" i="10"/>
  <c r="X279" i="10"/>
  <c r="U279" i="10"/>
  <c r="Y279" i="10"/>
  <c r="N279" i="10"/>
  <c r="Q279" i="10"/>
  <c r="P279" i="10"/>
  <c r="R279" i="10"/>
  <c r="O279" i="10"/>
  <c r="S279" i="10"/>
  <c r="G279" i="10"/>
  <c r="J279" i="10"/>
  <c r="I279" i="10"/>
  <c r="K279" i="10"/>
  <c r="H279" i="10"/>
  <c r="L279" i="10"/>
  <c r="M278" i="10"/>
  <c r="T278" i="10"/>
  <c r="W278" i="10"/>
  <c r="V278" i="10"/>
  <c r="X278" i="10"/>
  <c r="U278" i="10"/>
  <c r="Y278" i="10"/>
  <c r="N278" i="10"/>
  <c r="Q278" i="10"/>
  <c r="P278" i="10"/>
  <c r="R278" i="10"/>
  <c r="O278" i="10"/>
  <c r="S278" i="10"/>
  <c r="G278" i="10"/>
  <c r="J278" i="10"/>
  <c r="I278" i="10"/>
  <c r="K278" i="10"/>
  <c r="H278" i="10"/>
  <c r="L278" i="10"/>
  <c r="M277" i="10"/>
  <c r="T277" i="10"/>
  <c r="W277" i="10"/>
  <c r="V277" i="10"/>
  <c r="X277" i="10"/>
  <c r="U277" i="10"/>
  <c r="Y277" i="10"/>
  <c r="N277" i="10"/>
  <c r="Q277" i="10"/>
  <c r="P277" i="10"/>
  <c r="R277" i="10"/>
  <c r="O277" i="10"/>
  <c r="S277" i="10"/>
  <c r="G277" i="10"/>
  <c r="J277" i="10"/>
  <c r="I277" i="10"/>
  <c r="K277" i="10"/>
  <c r="H277" i="10"/>
  <c r="L277" i="10"/>
  <c r="M276" i="10"/>
  <c r="T276" i="10"/>
  <c r="W276" i="10"/>
  <c r="V276" i="10"/>
  <c r="X276" i="10"/>
  <c r="U276" i="10"/>
  <c r="Y276" i="10"/>
  <c r="N276" i="10"/>
  <c r="Q276" i="10"/>
  <c r="P276" i="10"/>
  <c r="R276" i="10"/>
  <c r="O276" i="10"/>
  <c r="S276" i="10"/>
  <c r="G276" i="10"/>
  <c r="J276" i="10"/>
  <c r="I276" i="10"/>
  <c r="K276" i="10"/>
  <c r="H276" i="10"/>
  <c r="L276" i="10"/>
  <c r="M275" i="10"/>
  <c r="T275" i="10"/>
  <c r="W275" i="10"/>
  <c r="V275" i="10"/>
  <c r="X275" i="10"/>
  <c r="U275" i="10"/>
  <c r="Y275" i="10"/>
  <c r="N275" i="10"/>
  <c r="Q275" i="10"/>
  <c r="P275" i="10"/>
  <c r="R275" i="10"/>
  <c r="O275" i="10"/>
  <c r="S275" i="10"/>
  <c r="G275" i="10"/>
  <c r="J275" i="10"/>
  <c r="I275" i="10"/>
  <c r="K275" i="10"/>
  <c r="H275" i="10"/>
  <c r="L275" i="10"/>
  <c r="M274" i="10"/>
  <c r="T274" i="10"/>
  <c r="W274" i="10"/>
  <c r="V274" i="10"/>
  <c r="X274" i="10"/>
  <c r="U274" i="10"/>
  <c r="Y274" i="10"/>
  <c r="N274" i="10"/>
  <c r="Q274" i="10"/>
  <c r="P274" i="10"/>
  <c r="R274" i="10"/>
  <c r="O274" i="10"/>
  <c r="S274" i="10"/>
  <c r="G274" i="10"/>
  <c r="J274" i="10"/>
  <c r="I274" i="10"/>
  <c r="K274" i="10"/>
  <c r="H274" i="10"/>
  <c r="L274" i="10"/>
  <c r="M273" i="10"/>
  <c r="T273" i="10"/>
  <c r="W273" i="10"/>
  <c r="V273" i="10"/>
  <c r="X273" i="10"/>
  <c r="U273" i="10"/>
  <c r="Y273" i="10"/>
  <c r="N273" i="10"/>
  <c r="Q273" i="10"/>
  <c r="P273" i="10"/>
  <c r="R273" i="10"/>
  <c r="O273" i="10"/>
  <c r="S273" i="10"/>
  <c r="G273" i="10"/>
  <c r="J273" i="10"/>
  <c r="I273" i="10"/>
  <c r="K273" i="10"/>
  <c r="H273" i="10"/>
  <c r="L273" i="10"/>
  <c r="M272" i="10"/>
  <c r="T272" i="10"/>
  <c r="W272" i="10"/>
  <c r="V272" i="10"/>
  <c r="X272" i="10"/>
  <c r="U272" i="10"/>
  <c r="Y272" i="10"/>
  <c r="N272" i="10"/>
  <c r="Q272" i="10"/>
  <c r="P272" i="10"/>
  <c r="R272" i="10"/>
  <c r="O272" i="10"/>
  <c r="S272" i="10"/>
  <c r="G272" i="10"/>
  <c r="J272" i="10"/>
  <c r="I272" i="10"/>
  <c r="K272" i="10"/>
  <c r="H272" i="10"/>
  <c r="L272" i="10"/>
  <c r="M271" i="10"/>
  <c r="T271" i="10"/>
  <c r="W271" i="10"/>
  <c r="V271" i="10"/>
  <c r="X271" i="10"/>
  <c r="U271" i="10"/>
  <c r="Y271" i="10"/>
  <c r="N271" i="10"/>
  <c r="Q271" i="10"/>
  <c r="P271" i="10"/>
  <c r="R271" i="10"/>
  <c r="O271" i="10"/>
  <c r="S271" i="10"/>
  <c r="G271" i="10"/>
  <c r="J271" i="10"/>
  <c r="I271" i="10"/>
  <c r="K271" i="10"/>
  <c r="H271" i="10"/>
  <c r="L271" i="10"/>
  <c r="M270" i="10"/>
  <c r="T270" i="10"/>
  <c r="W270" i="10"/>
  <c r="V270" i="10"/>
  <c r="X270" i="10"/>
  <c r="U270" i="10"/>
  <c r="Y270" i="10"/>
  <c r="N270" i="10"/>
  <c r="Q270" i="10"/>
  <c r="P270" i="10"/>
  <c r="R270" i="10"/>
  <c r="O270" i="10"/>
  <c r="S270" i="10"/>
  <c r="G270" i="10"/>
  <c r="J270" i="10"/>
  <c r="I270" i="10"/>
  <c r="K270" i="10"/>
  <c r="H270" i="10"/>
  <c r="L270" i="10"/>
  <c r="M269" i="10"/>
  <c r="T269" i="10"/>
  <c r="W269" i="10"/>
  <c r="V269" i="10"/>
  <c r="X269" i="10"/>
  <c r="U269" i="10"/>
  <c r="Y269" i="10"/>
  <c r="N269" i="10"/>
  <c r="Q269" i="10"/>
  <c r="P269" i="10"/>
  <c r="R269" i="10"/>
  <c r="O269" i="10"/>
  <c r="S269" i="10"/>
  <c r="G269" i="10"/>
  <c r="J269" i="10"/>
  <c r="I269" i="10"/>
  <c r="K269" i="10"/>
  <c r="H269" i="10"/>
  <c r="L269" i="10"/>
  <c r="M268" i="10"/>
  <c r="T268" i="10"/>
  <c r="W268" i="10"/>
  <c r="V268" i="10"/>
  <c r="X268" i="10"/>
  <c r="U268" i="10"/>
  <c r="Y268" i="10"/>
  <c r="N268" i="10"/>
  <c r="Q268" i="10"/>
  <c r="P268" i="10"/>
  <c r="R268" i="10"/>
  <c r="O268" i="10"/>
  <c r="S268" i="10"/>
  <c r="G268" i="10"/>
  <c r="J268" i="10"/>
  <c r="I268" i="10"/>
  <c r="K268" i="10"/>
  <c r="H268" i="10"/>
  <c r="L268" i="10"/>
  <c r="M267" i="10"/>
  <c r="T267" i="10"/>
  <c r="W267" i="10"/>
  <c r="V267" i="10"/>
  <c r="X267" i="10"/>
  <c r="U267" i="10"/>
  <c r="Y267" i="10"/>
  <c r="N267" i="10"/>
  <c r="Q267" i="10"/>
  <c r="P267" i="10"/>
  <c r="R267" i="10"/>
  <c r="O267" i="10"/>
  <c r="S267" i="10"/>
  <c r="G267" i="10"/>
  <c r="J267" i="10"/>
  <c r="I267" i="10"/>
  <c r="K267" i="10"/>
  <c r="H267" i="10"/>
  <c r="L267" i="10"/>
  <c r="M266" i="10"/>
  <c r="T266" i="10"/>
  <c r="W266" i="10"/>
  <c r="V266" i="10"/>
  <c r="X266" i="10"/>
  <c r="U266" i="10"/>
  <c r="Y266" i="10"/>
  <c r="N266" i="10"/>
  <c r="Q266" i="10"/>
  <c r="P266" i="10"/>
  <c r="R266" i="10"/>
  <c r="O266" i="10"/>
  <c r="S266" i="10"/>
  <c r="G266" i="10"/>
  <c r="J266" i="10"/>
  <c r="I266" i="10"/>
  <c r="K266" i="10"/>
  <c r="H266" i="10"/>
  <c r="L266" i="10"/>
  <c r="M265" i="10"/>
  <c r="T265" i="10"/>
  <c r="W265" i="10"/>
  <c r="V265" i="10"/>
  <c r="X265" i="10"/>
  <c r="U265" i="10"/>
  <c r="Y265" i="10"/>
  <c r="N265" i="10"/>
  <c r="Q265" i="10"/>
  <c r="P265" i="10"/>
  <c r="R265" i="10"/>
  <c r="O265" i="10"/>
  <c r="S265" i="10"/>
  <c r="G265" i="10"/>
  <c r="J265" i="10"/>
  <c r="I265" i="10"/>
  <c r="K265" i="10"/>
  <c r="H265" i="10"/>
  <c r="L265" i="10"/>
  <c r="M264" i="10"/>
  <c r="T264" i="10"/>
  <c r="W264" i="10"/>
  <c r="V264" i="10"/>
  <c r="X264" i="10"/>
  <c r="U264" i="10"/>
  <c r="Y264" i="10"/>
  <c r="N264" i="10"/>
  <c r="Q264" i="10"/>
  <c r="P264" i="10"/>
  <c r="R264" i="10"/>
  <c r="O264" i="10"/>
  <c r="S264" i="10"/>
  <c r="G264" i="10"/>
  <c r="J264" i="10"/>
  <c r="I264" i="10"/>
  <c r="K264" i="10"/>
  <c r="H264" i="10"/>
  <c r="L264" i="10"/>
  <c r="M263" i="10"/>
  <c r="T263" i="10"/>
  <c r="W263" i="10"/>
  <c r="V263" i="10"/>
  <c r="X263" i="10"/>
  <c r="U263" i="10"/>
  <c r="Y263" i="10"/>
  <c r="N263" i="10"/>
  <c r="Q263" i="10"/>
  <c r="P263" i="10"/>
  <c r="R263" i="10"/>
  <c r="O263" i="10"/>
  <c r="S263" i="10"/>
  <c r="G263" i="10"/>
  <c r="J263" i="10"/>
  <c r="I263" i="10"/>
  <c r="K263" i="10"/>
  <c r="H263" i="10"/>
  <c r="L263" i="10"/>
  <c r="M262" i="10"/>
  <c r="T262" i="10"/>
  <c r="W262" i="10"/>
  <c r="V262" i="10"/>
  <c r="X262" i="10"/>
  <c r="U262" i="10"/>
  <c r="Y262" i="10"/>
  <c r="N262" i="10"/>
  <c r="Q262" i="10"/>
  <c r="P262" i="10"/>
  <c r="R262" i="10"/>
  <c r="O262" i="10"/>
  <c r="S262" i="10"/>
  <c r="G262" i="10"/>
  <c r="J262" i="10"/>
  <c r="I262" i="10"/>
  <c r="K262" i="10"/>
  <c r="H262" i="10"/>
  <c r="L262" i="10"/>
  <c r="M261" i="10"/>
  <c r="T261" i="10"/>
  <c r="W261" i="10"/>
  <c r="V261" i="10"/>
  <c r="X261" i="10"/>
  <c r="U261" i="10"/>
  <c r="Y261" i="10"/>
  <c r="N261" i="10"/>
  <c r="Q261" i="10"/>
  <c r="P261" i="10"/>
  <c r="R261" i="10"/>
  <c r="O261" i="10"/>
  <c r="S261" i="10"/>
  <c r="G261" i="10"/>
  <c r="J261" i="10"/>
  <c r="I261" i="10"/>
  <c r="K261" i="10"/>
  <c r="H261" i="10"/>
  <c r="L261" i="10"/>
  <c r="M260" i="10"/>
  <c r="T260" i="10"/>
  <c r="W260" i="10"/>
  <c r="V260" i="10"/>
  <c r="X260" i="10"/>
  <c r="U260" i="10"/>
  <c r="Y260" i="10"/>
  <c r="N260" i="10"/>
  <c r="Q260" i="10"/>
  <c r="P260" i="10"/>
  <c r="R260" i="10"/>
  <c r="O260" i="10"/>
  <c r="S260" i="10"/>
  <c r="G260" i="10"/>
  <c r="J260" i="10"/>
  <c r="I260" i="10"/>
  <c r="K260" i="10"/>
  <c r="H260" i="10"/>
  <c r="L260" i="10"/>
  <c r="M259" i="10"/>
  <c r="T259" i="10"/>
  <c r="W259" i="10"/>
  <c r="V259" i="10"/>
  <c r="X259" i="10"/>
  <c r="U259" i="10"/>
  <c r="Y259" i="10"/>
  <c r="N259" i="10"/>
  <c r="Q259" i="10"/>
  <c r="P259" i="10"/>
  <c r="R259" i="10"/>
  <c r="O259" i="10"/>
  <c r="S259" i="10"/>
  <c r="G259" i="10"/>
  <c r="J259" i="10"/>
  <c r="I259" i="10"/>
  <c r="K259" i="10"/>
  <c r="H259" i="10"/>
  <c r="L259" i="10"/>
  <c r="M258" i="10"/>
  <c r="T258" i="10"/>
  <c r="W258" i="10"/>
  <c r="V258" i="10"/>
  <c r="X258" i="10"/>
  <c r="U258" i="10"/>
  <c r="Y258" i="10"/>
  <c r="N258" i="10"/>
  <c r="Q258" i="10"/>
  <c r="P258" i="10"/>
  <c r="R258" i="10"/>
  <c r="O258" i="10"/>
  <c r="S258" i="10"/>
  <c r="G258" i="10"/>
  <c r="J258" i="10"/>
  <c r="I258" i="10"/>
  <c r="K258" i="10"/>
  <c r="H258" i="10"/>
  <c r="L258" i="10"/>
  <c r="M257" i="10"/>
  <c r="T257" i="10"/>
  <c r="W257" i="10"/>
  <c r="V257" i="10"/>
  <c r="X257" i="10"/>
  <c r="U257" i="10"/>
  <c r="Y257" i="10"/>
  <c r="N257" i="10"/>
  <c r="Q257" i="10"/>
  <c r="P257" i="10"/>
  <c r="R257" i="10"/>
  <c r="O257" i="10"/>
  <c r="S257" i="10"/>
  <c r="G257" i="10"/>
  <c r="J257" i="10"/>
  <c r="I257" i="10"/>
  <c r="K257" i="10"/>
  <c r="H257" i="10"/>
  <c r="L257" i="10"/>
  <c r="M256" i="10"/>
  <c r="T256" i="10"/>
  <c r="W256" i="10"/>
  <c r="V256" i="10"/>
  <c r="X256" i="10"/>
  <c r="U256" i="10"/>
  <c r="Y256" i="10"/>
  <c r="N256" i="10"/>
  <c r="Q256" i="10"/>
  <c r="P256" i="10"/>
  <c r="R256" i="10"/>
  <c r="O256" i="10"/>
  <c r="S256" i="10"/>
  <c r="G256" i="10"/>
  <c r="J256" i="10"/>
  <c r="I256" i="10"/>
  <c r="K256" i="10"/>
  <c r="H256" i="10"/>
  <c r="L256" i="10"/>
  <c r="M255" i="10"/>
  <c r="T255" i="10"/>
  <c r="W255" i="10"/>
  <c r="V255" i="10"/>
  <c r="X255" i="10"/>
  <c r="U255" i="10"/>
  <c r="Y255" i="10"/>
  <c r="N255" i="10"/>
  <c r="Q255" i="10"/>
  <c r="P255" i="10"/>
  <c r="R255" i="10"/>
  <c r="O255" i="10"/>
  <c r="S255" i="10"/>
  <c r="G255" i="10"/>
  <c r="J255" i="10"/>
  <c r="I255" i="10"/>
  <c r="K255" i="10"/>
  <c r="H255" i="10"/>
  <c r="L255" i="10"/>
  <c r="M254" i="10"/>
  <c r="T254" i="10"/>
  <c r="W254" i="10"/>
  <c r="V254" i="10"/>
  <c r="X254" i="10"/>
  <c r="U254" i="10"/>
  <c r="Y254" i="10"/>
  <c r="N254" i="10"/>
  <c r="Q254" i="10"/>
  <c r="P254" i="10"/>
  <c r="R254" i="10"/>
  <c r="O254" i="10"/>
  <c r="S254" i="10"/>
  <c r="G254" i="10"/>
  <c r="J254" i="10"/>
  <c r="I254" i="10"/>
  <c r="K254" i="10"/>
  <c r="H254" i="10"/>
  <c r="L254" i="10"/>
  <c r="M253" i="10"/>
  <c r="T253" i="10"/>
  <c r="W253" i="10"/>
  <c r="V253" i="10"/>
  <c r="X253" i="10"/>
  <c r="U253" i="10"/>
  <c r="Y253" i="10"/>
  <c r="N253" i="10"/>
  <c r="Q253" i="10"/>
  <c r="P253" i="10"/>
  <c r="R253" i="10"/>
  <c r="O253" i="10"/>
  <c r="S253" i="10"/>
  <c r="G253" i="10"/>
  <c r="J253" i="10"/>
  <c r="I253" i="10"/>
  <c r="K253" i="10"/>
  <c r="H253" i="10"/>
  <c r="L253" i="10"/>
  <c r="M252" i="10"/>
  <c r="T252" i="10"/>
  <c r="W252" i="10"/>
  <c r="V252" i="10"/>
  <c r="X252" i="10"/>
  <c r="U252" i="10"/>
  <c r="Y252" i="10"/>
  <c r="N252" i="10"/>
  <c r="Q252" i="10"/>
  <c r="P252" i="10"/>
  <c r="R252" i="10"/>
  <c r="O252" i="10"/>
  <c r="S252" i="10"/>
  <c r="G252" i="10"/>
  <c r="J252" i="10"/>
  <c r="I252" i="10"/>
  <c r="K252" i="10"/>
  <c r="H252" i="10"/>
  <c r="L252" i="10"/>
  <c r="M251" i="10"/>
  <c r="T251" i="10"/>
  <c r="W251" i="10"/>
  <c r="V251" i="10"/>
  <c r="X251" i="10"/>
  <c r="U251" i="10"/>
  <c r="Y251" i="10"/>
  <c r="N251" i="10"/>
  <c r="Q251" i="10"/>
  <c r="P251" i="10"/>
  <c r="R251" i="10"/>
  <c r="O251" i="10"/>
  <c r="S251" i="10"/>
  <c r="G251" i="10"/>
  <c r="J251" i="10"/>
  <c r="I251" i="10"/>
  <c r="K251" i="10"/>
  <c r="H251" i="10"/>
  <c r="L251" i="10"/>
  <c r="M250" i="10"/>
  <c r="T250" i="10"/>
  <c r="W250" i="10"/>
  <c r="V250" i="10"/>
  <c r="X250" i="10"/>
  <c r="U250" i="10"/>
  <c r="Y250" i="10"/>
  <c r="N250" i="10"/>
  <c r="Q250" i="10"/>
  <c r="P250" i="10"/>
  <c r="R250" i="10"/>
  <c r="O250" i="10"/>
  <c r="S250" i="10"/>
  <c r="G250" i="10"/>
  <c r="J250" i="10"/>
  <c r="I250" i="10"/>
  <c r="K250" i="10"/>
  <c r="H250" i="10"/>
  <c r="L250" i="10"/>
  <c r="M249" i="10"/>
  <c r="T249" i="10"/>
  <c r="W249" i="10"/>
  <c r="V249" i="10"/>
  <c r="X249" i="10"/>
  <c r="U249" i="10"/>
  <c r="Y249" i="10"/>
  <c r="N249" i="10"/>
  <c r="Q249" i="10"/>
  <c r="P249" i="10"/>
  <c r="R249" i="10"/>
  <c r="O249" i="10"/>
  <c r="S249" i="10"/>
  <c r="G249" i="10"/>
  <c r="J249" i="10"/>
  <c r="I249" i="10"/>
  <c r="K249" i="10"/>
  <c r="H249" i="10"/>
  <c r="L249" i="10"/>
  <c r="M248" i="10"/>
  <c r="T248" i="10"/>
  <c r="W248" i="10"/>
  <c r="V248" i="10"/>
  <c r="X248" i="10"/>
  <c r="U248" i="10"/>
  <c r="Y248" i="10"/>
  <c r="N248" i="10"/>
  <c r="Q248" i="10"/>
  <c r="P248" i="10"/>
  <c r="R248" i="10"/>
  <c r="O248" i="10"/>
  <c r="S248" i="10"/>
  <c r="G248" i="10"/>
  <c r="J248" i="10"/>
  <c r="I248" i="10"/>
  <c r="K248" i="10"/>
  <c r="H248" i="10"/>
  <c r="L248" i="10"/>
  <c r="M247" i="10"/>
  <c r="T247" i="10"/>
  <c r="W247" i="10"/>
  <c r="V247" i="10"/>
  <c r="X247" i="10"/>
  <c r="U247" i="10"/>
  <c r="Y247" i="10"/>
  <c r="N247" i="10"/>
  <c r="Q247" i="10"/>
  <c r="P247" i="10"/>
  <c r="R247" i="10"/>
  <c r="O247" i="10"/>
  <c r="S247" i="10"/>
  <c r="G247" i="10"/>
  <c r="J247" i="10"/>
  <c r="I247" i="10"/>
  <c r="K247" i="10"/>
  <c r="H247" i="10"/>
  <c r="L247" i="10"/>
  <c r="M246" i="10"/>
  <c r="T246" i="10"/>
  <c r="W246" i="10"/>
  <c r="V246" i="10"/>
  <c r="X246" i="10"/>
  <c r="U246" i="10"/>
  <c r="Y246" i="10"/>
  <c r="N246" i="10"/>
  <c r="Q246" i="10"/>
  <c r="P246" i="10"/>
  <c r="R246" i="10"/>
  <c r="O246" i="10"/>
  <c r="S246" i="10"/>
  <c r="G246" i="10"/>
  <c r="J246" i="10"/>
  <c r="I246" i="10"/>
  <c r="K246" i="10"/>
  <c r="H246" i="10"/>
  <c r="L246" i="10"/>
  <c r="M245" i="10"/>
  <c r="T245" i="10"/>
  <c r="W245" i="10"/>
  <c r="V245" i="10"/>
  <c r="X245" i="10"/>
  <c r="U245" i="10"/>
  <c r="Y245" i="10"/>
  <c r="N245" i="10"/>
  <c r="Q245" i="10"/>
  <c r="P245" i="10"/>
  <c r="R245" i="10"/>
  <c r="O245" i="10"/>
  <c r="S245" i="10"/>
  <c r="G245" i="10"/>
  <c r="J245" i="10"/>
  <c r="I245" i="10"/>
  <c r="K245" i="10"/>
  <c r="H245" i="10"/>
  <c r="L245" i="10"/>
  <c r="M244" i="10"/>
  <c r="T244" i="10"/>
  <c r="W244" i="10"/>
  <c r="V244" i="10"/>
  <c r="X244" i="10"/>
  <c r="U244" i="10"/>
  <c r="Y244" i="10"/>
  <c r="N244" i="10"/>
  <c r="Q244" i="10"/>
  <c r="P244" i="10"/>
  <c r="R244" i="10"/>
  <c r="O244" i="10"/>
  <c r="S244" i="10"/>
  <c r="G244" i="10"/>
  <c r="J244" i="10"/>
  <c r="I244" i="10"/>
  <c r="K244" i="10"/>
  <c r="H244" i="10"/>
  <c r="L244" i="10"/>
  <c r="M243" i="10"/>
  <c r="T243" i="10"/>
  <c r="W243" i="10"/>
  <c r="V243" i="10"/>
  <c r="X243" i="10"/>
  <c r="U243" i="10"/>
  <c r="Y243" i="10"/>
  <c r="N243" i="10"/>
  <c r="Q243" i="10"/>
  <c r="P243" i="10"/>
  <c r="R243" i="10"/>
  <c r="O243" i="10"/>
  <c r="S243" i="10"/>
  <c r="G243" i="10"/>
  <c r="J243" i="10"/>
  <c r="I243" i="10"/>
  <c r="K243" i="10"/>
  <c r="H243" i="10"/>
  <c r="L243" i="10"/>
  <c r="M242" i="10"/>
  <c r="T242" i="10"/>
  <c r="W242" i="10"/>
  <c r="V242" i="10"/>
  <c r="X242" i="10"/>
  <c r="U242" i="10"/>
  <c r="Y242" i="10"/>
  <c r="N242" i="10"/>
  <c r="Q242" i="10"/>
  <c r="P242" i="10"/>
  <c r="R242" i="10"/>
  <c r="O242" i="10"/>
  <c r="S242" i="10"/>
  <c r="G242" i="10"/>
  <c r="J242" i="10"/>
  <c r="I242" i="10"/>
  <c r="K242" i="10"/>
  <c r="H242" i="10"/>
  <c r="L242" i="10"/>
  <c r="M241" i="10"/>
  <c r="T241" i="10"/>
  <c r="W241" i="10"/>
  <c r="V241" i="10"/>
  <c r="X241" i="10"/>
  <c r="U241" i="10"/>
  <c r="Y241" i="10"/>
  <c r="N241" i="10"/>
  <c r="Q241" i="10"/>
  <c r="P241" i="10"/>
  <c r="R241" i="10"/>
  <c r="O241" i="10"/>
  <c r="S241" i="10"/>
  <c r="G241" i="10"/>
  <c r="J241" i="10"/>
  <c r="I241" i="10"/>
  <c r="K241" i="10"/>
  <c r="H241" i="10"/>
  <c r="L241" i="10"/>
  <c r="M240" i="10"/>
  <c r="T240" i="10"/>
  <c r="W240" i="10"/>
  <c r="V240" i="10"/>
  <c r="X240" i="10"/>
  <c r="U240" i="10"/>
  <c r="Y240" i="10"/>
  <c r="N240" i="10"/>
  <c r="Q240" i="10"/>
  <c r="P240" i="10"/>
  <c r="R240" i="10"/>
  <c r="O240" i="10"/>
  <c r="S240" i="10"/>
  <c r="G240" i="10"/>
  <c r="J240" i="10"/>
  <c r="I240" i="10"/>
  <c r="K240" i="10"/>
  <c r="H240" i="10"/>
  <c r="L240" i="10"/>
  <c r="M239" i="10"/>
  <c r="T239" i="10"/>
  <c r="W239" i="10"/>
  <c r="V239" i="10"/>
  <c r="X239" i="10"/>
  <c r="U239" i="10"/>
  <c r="Y239" i="10"/>
  <c r="N239" i="10"/>
  <c r="Q239" i="10"/>
  <c r="P239" i="10"/>
  <c r="R239" i="10"/>
  <c r="O239" i="10"/>
  <c r="S239" i="10"/>
  <c r="G239" i="10"/>
  <c r="J239" i="10"/>
  <c r="I239" i="10"/>
  <c r="K239" i="10"/>
  <c r="H239" i="10"/>
  <c r="L239" i="10"/>
  <c r="M238" i="10"/>
  <c r="T238" i="10"/>
  <c r="W238" i="10"/>
  <c r="V238" i="10"/>
  <c r="X238" i="10"/>
  <c r="U238" i="10"/>
  <c r="Y238" i="10"/>
  <c r="N238" i="10"/>
  <c r="Q238" i="10"/>
  <c r="P238" i="10"/>
  <c r="R238" i="10"/>
  <c r="O238" i="10"/>
  <c r="S238" i="10"/>
  <c r="G238" i="10"/>
  <c r="J238" i="10"/>
  <c r="I238" i="10"/>
  <c r="K238" i="10"/>
  <c r="H238" i="10"/>
  <c r="L238" i="10"/>
  <c r="M237" i="10"/>
  <c r="T237" i="10"/>
  <c r="W237" i="10"/>
  <c r="V237" i="10"/>
  <c r="X237" i="10"/>
  <c r="U237" i="10"/>
  <c r="Y237" i="10"/>
  <c r="N237" i="10"/>
  <c r="Q237" i="10"/>
  <c r="P237" i="10"/>
  <c r="R237" i="10"/>
  <c r="O237" i="10"/>
  <c r="S237" i="10"/>
  <c r="G237" i="10"/>
  <c r="J237" i="10"/>
  <c r="I237" i="10"/>
  <c r="K237" i="10"/>
  <c r="H237" i="10"/>
  <c r="L237" i="10"/>
  <c r="M236" i="10"/>
  <c r="T236" i="10"/>
  <c r="W236" i="10"/>
  <c r="V236" i="10"/>
  <c r="X236" i="10"/>
  <c r="U236" i="10"/>
  <c r="Y236" i="10"/>
  <c r="N236" i="10"/>
  <c r="Q236" i="10"/>
  <c r="P236" i="10"/>
  <c r="R236" i="10"/>
  <c r="O236" i="10"/>
  <c r="S236" i="10"/>
  <c r="G236" i="10"/>
  <c r="J236" i="10"/>
  <c r="I236" i="10"/>
  <c r="K236" i="10"/>
  <c r="H236" i="10"/>
  <c r="L236" i="10"/>
  <c r="M235" i="10"/>
  <c r="T235" i="10"/>
  <c r="W235" i="10"/>
  <c r="V235" i="10"/>
  <c r="X235" i="10"/>
  <c r="U235" i="10"/>
  <c r="Y235" i="10"/>
  <c r="N235" i="10"/>
  <c r="Q235" i="10"/>
  <c r="P235" i="10"/>
  <c r="R235" i="10"/>
  <c r="O235" i="10"/>
  <c r="S235" i="10"/>
  <c r="G235" i="10"/>
  <c r="J235" i="10"/>
  <c r="I235" i="10"/>
  <c r="K235" i="10"/>
  <c r="H235" i="10"/>
  <c r="L235" i="10"/>
  <c r="M234" i="10"/>
  <c r="T234" i="10"/>
  <c r="W234" i="10"/>
  <c r="V234" i="10"/>
  <c r="X234" i="10"/>
  <c r="U234" i="10"/>
  <c r="Y234" i="10"/>
  <c r="N234" i="10"/>
  <c r="Q234" i="10"/>
  <c r="P234" i="10"/>
  <c r="R234" i="10"/>
  <c r="O234" i="10"/>
  <c r="S234" i="10"/>
  <c r="G234" i="10"/>
  <c r="J234" i="10"/>
  <c r="I234" i="10"/>
  <c r="K234" i="10"/>
  <c r="H234" i="10"/>
  <c r="L234" i="10"/>
  <c r="M233" i="10"/>
  <c r="T233" i="10"/>
  <c r="W233" i="10"/>
  <c r="V233" i="10"/>
  <c r="X233" i="10"/>
  <c r="U233" i="10"/>
  <c r="Y233" i="10"/>
  <c r="N233" i="10"/>
  <c r="Q233" i="10"/>
  <c r="P233" i="10"/>
  <c r="R233" i="10"/>
  <c r="O233" i="10"/>
  <c r="S233" i="10"/>
  <c r="G233" i="10"/>
  <c r="J233" i="10"/>
  <c r="I233" i="10"/>
  <c r="K233" i="10"/>
  <c r="H233" i="10"/>
  <c r="L233" i="10"/>
  <c r="M232" i="10"/>
  <c r="T232" i="10"/>
  <c r="W232" i="10"/>
  <c r="V232" i="10"/>
  <c r="X232" i="10"/>
  <c r="U232" i="10"/>
  <c r="Y232" i="10"/>
  <c r="N232" i="10"/>
  <c r="Q232" i="10"/>
  <c r="P232" i="10"/>
  <c r="R232" i="10"/>
  <c r="O232" i="10"/>
  <c r="S232" i="10"/>
  <c r="G232" i="10"/>
  <c r="J232" i="10"/>
  <c r="I232" i="10"/>
  <c r="K232" i="10"/>
  <c r="H232" i="10"/>
  <c r="L232" i="10"/>
  <c r="M231" i="10"/>
  <c r="T231" i="10"/>
  <c r="W231" i="10"/>
  <c r="V231" i="10"/>
  <c r="X231" i="10"/>
  <c r="U231" i="10"/>
  <c r="Y231" i="10"/>
  <c r="N231" i="10"/>
  <c r="Q231" i="10"/>
  <c r="P231" i="10"/>
  <c r="R231" i="10"/>
  <c r="O231" i="10"/>
  <c r="S231" i="10"/>
  <c r="G231" i="10"/>
  <c r="J231" i="10"/>
  <c r="I231" i="10"/>
  <c r="K231" i="10"/>
  <c r="H231" i="10"/>
  <c r="L231" i="10"/>
  <c r="M230" i="10"/>
  <c r="T230" i="10"/>
  <c r="W230" i="10"/>
  <c r="V230" i="10"/>
  <c r="X230" i="10"/>
  <c r="U230" i="10"/>
  <c r="Y230" i="10"/>
  <c r="N230" i="10"/>
  <c r="Q230" i="10"/>
  <c r="P230" i="10"/>
  <c r="R230" i="10"/>
  <c r="O230" i="10"/>
  <c r="S230" i="10"/>
  <c r="G230" i="10"/>
  <c r="J230" i="10"/>
  <c r="I230" i="10"/>
  <c r="K230" i="10"/>
  <c r="H230" i="10"/>
  <c r="L230" i="10"/>
  <c r="M229" i="10"/>
  <c r="T229" i="10"/>
  <c r="W229" i="10"/>
  <c r="V229" i="10"/>
  <c r="X229" i="10"/>
  <c r="U229" i="10"/>
  <c r="Y229" i="10"/>
  <c r="N229" i="10"/>
  <c r="Q229" i="10"/>
  <c r="P229" i="10"/>
  <c r="R229" i="10"/>
  <c r="O229" i="10"/>
  <c r="S229" i="10"/>
  <c r="G229" i="10"/>
  <c r="J229" i="10"/>
  <c r="I229" i="10"/>
  <c r="K229" i="10"/>
  <c r="H229" i="10"/>
  <c r="L229" i="10"/>
  <c r="M228" i="10"/>
  <c r="T228" i="10"/>
  <c r="W228" i="10"/>
  <c r="V228" i="10"/>
  <c r="X228" i="10"/>
  <c r="U228" i="10"/>
  <c r="Y228" i="10"/>
  <c r="N228" i="10"/>
  <c r="Q228" i="10"/>
  <c r="P228" i="10"/>
  <c r="R228" i="10"/>
  <c r="O228" i="10"/>
  <c r="S228" i="10"/>
  <c r="G228" i="10"/>
  <c r="J228" i="10"/>
  <c r="I228" i="10"/>
  <c r="K228" i="10"/>
  <c r="H228" i="10"/>
  <c r="L228" i="10"/>
  <c r="M227" i="10"/>
  <c r="T227" i="10"/>
  <c r="W227" i="10"/>
  <c r="V227" i="10"/>
  <c r="X227" i="10"/>
  <c r="U227" i="10"/>
  <c r="Y227" i="10"/>
  <c r="N227" i="10"/>
  <c r="Q227" i="10"/>
  <c r="P227" i="10"/>
  <c r="R227" i="10"/>
  <c r="O227" i="10"/>
  <c r="S227" i="10"/>
  <c r="G227" i="10"/>
  <c r="J227" i="10"/>
  <c r="I227" i="10"/>
  <c r="K227" i="10"/>
  <c r="H227" i="10"/>
  <c r="L227" i="10"/>
  <c r="M226" i="10"/>
  <c r="T226" i="10"/>
  <c r="W226" i="10"/>
  <c r="V226" i="10"/>
  <c r="X226" i="10"/>
  <c r="U226" i="10"/>
  <c r="Y226" i="10"/>
  <c r="N226" i="10"/>
  <c r="Q226" i="10"/>
  <c r="P226" i="10"/>
  <c r="R226" i="10"/>
  <c r="O226" i="10"/>
  <c r="S226" i="10"/>
  <c r="G226" i="10"/>
  <c r="J226" i="10"/>
  <c r="I226" i="10"/>
  <c r="K226" i="10"/>
  <c r="H226" i="10"/>
  <c r="L226" i="10"/>
  <c r="M225" i="10"/>
  <c r="T225" i="10"/>
  <c r="W225" i="10"/>
  <c r="V225" i="10"/>
  <c r="X225" i="10"/>
  <c r="U225" i="10"/>
  <c r="Y225" i="10"/>
  <c r="N225" i="10"/>
  <c r="Q225" i="10"/>
  <c r="P225" i="10"/>
  <c r="R225" i="10"/>
  <c r="O225" i="10"/>
  <c r="S225" i="10"/>
  <c r="G225" i="10"/>
  <c r="J225" i="10"/>
  <c r="I225" i="10"/>
  <c r="K225" i="10"/>
  <c r="H225" i="10"/>
  <c r="L225" i="10"/>
  <c r="M224" i="10"/>
  <c r="T224" i="10"/>
  <c r="W224" i="10"/>
  <c r="V224" i="10"/>
  <c r="X224" i="10"/>
  <c r="U224" i="10"/>
  <c r="Y224" i="10"/>
  <c r="N224" i="10"/>
  <c r="Q224" i="10"/>
  <c r="P224" i="10"/>
  <c r="R224" i="10"/>
  <c r="O224" i="10"/>
  <c r="S224" i="10"/>
  <c r="G224" i="10"/>
  <c r="J224" i="10"/>
  <c r="I224" i="10"/>
  <c r="K224" i="10"/>
  <c r="H224" i="10"/>
  <c r="L224" i="10"/>
  <c r="M223" i="10"/>
  <c r="T223" i="10"/>
  <c r="W223" i="10"/>
  <c r="V223" i="10"/>
  <c r="X223" i="10"/>
  <c r="U223" i="10"/>
  <c r="Y223" i="10"/>
  <c r="N223" i="10"/>
  <c r="Q223" i="10"/>
  <c r="P223" i="10"/>
  <c r="R223" i="10"/>
  <c r="O223" i="10"/>
  <c r="S223" i="10"/>
  <c r="G223" i="10"/>
  <c r="J223" i="10"/>
  <c r="I223" i="10"/>
  <c r="K223" i="10"/>
  <c r="H223" i="10"/>
  <c r="L223" i="10"/>
  <c r="M222" i="10"/>
  <c r="T222" i="10"/>
  <c r="W222" i="10"/>
  <c r="V222" i="10"/>
  <c r="X222" i="10"/>
  <c r="U222" i="10"/>
  <c r="Y222" i="10"/>
  <c r="N222" i="10"/>
  <c r="Q222" i="10"/>
  <c r="P222" i="10"/>
  <c r="R222" i="10"/>
  <c r="O222" i="10"/>
  <c r="S222" i="10"/>
  <c r="G222" i="10"/>
  <c r="J222" i="10"/>
  <c r="I222" i="10"/>
  <c r="K222" i="10"/>
  <c r="H222" i="10"/>
  <c r="L222" i="10"/>
  <c r="M221" i="10"/>
  <c r="T221" i="10"/>
  <c r="W221" i="10"/>
  <c r="V221" i="10"/>
  <c r="X221" i="10"/>
  <c r="U221" i="10"/>
  <c r="Y221" i="10"/>
  <c r="N221" i="10"/>
  <c r="Q221" i="10"/>
  <c r="P221" i="10"/>
  <c r="R221" i="10"/>
  <c r="O221" i="10"/>
  <c r="S221" i="10"/>
  <c r="G221" i="10"/>
  <c r="J221" i="10"/>
  <c r="I221" i="10"/>
  <c r="K221" i="10"/>
  <c r="H221" i="10"/>
  <c r="L221" i="10"/>
  <c r="M220" i="10"/>
  <c r="T220" i="10"/>
  <c r="W220" i="10"/>
  <c r="V220" i="10"/>
  <c r="X220" i="10"/>
  <c r="U220" i="10"/>
  <c r="Y220" i="10"/>
  <c r="N220" i="10"/>
  <c r="Q220" i="10"/>
  <c r="P220" i="10"/>
  <c r="R220" i="10"/>
  <c r="O220" i="10"/>
  <c r="S220" i="10"/>
  <c r="G220" i="10"/>
  <c r="J220" i="10"/>
  <c r="I220" i="10"/>
  <c r="K220" i="10"/>
  <c r="H220" i="10"/>
  <c r="L220" i="10"/>
  <c r="M219" i="10"/>
  <c r="T219" i="10"/>
  <c r="W219" i="10"/>
  <c r="V219" i="10"/>
  <c r="X219" i="10"/>
  <c r="U219" i="10"/>
  <c r="Y219" i="10"/>
  <c r="N219" i="10"/>
  <c r="Q219" i="10"/>
  <c r="P219" i="10"/>
  <c r="R219" i="10"/>
  <c r="O219" i="10"/>
  <c r="S219" i="10"/>
  <c r="G219" i="10"/>
  <c r="J219" i="10"/>
  <c r="I219" i="10"/>
  <c r="K219" i="10"/>
  <c r="H219" i="10"/>
  <c r="L219" i="10"/>
  <c r="M218" i="10"/>
  <c r="T218" i="10"/>
  <c r="W218" i="10"/>
  <c r="V218" i="10"/>
  <c r="X218" i="10"/>
  <c r="U218" i="10"/>
  <c r="Y218" i="10"/>
  <c r="N218" i="10"/>
  <c r="Q218" i="10"/>
  <c r="P218" i="10"/>
  <c r="R218" i="10"/>
  <c r="O218" i="10"/>
  <c r="S218" i="10"/>
  <c r="G218" i="10"/>
  <c r="J218" i="10"/>
  <c r="I218" i="10"/>
  <c r="K218" i="10"/>
  <c r="H218" i="10"/>
  <c r="L218" i="10"/>
  <c r="M217" i="10"/>
  <c r="T217" i="10"/>
  <c r="W217" i="10"/>
  <c r="V217" i="10"/>
  <c r="X217" i="10"/>
  <c r="U217" i="10"/>
  <c r="Y217" i="10"/>
  <c r="N217" i="10"/>
  <c r="Q217" i="10"/>
  <c r="P217" i="10"/>
  <c r="R217" i="10"/>
  <c r="O217" i="10"/>
  <c r="S217" i="10"/>
  <c r="G217" i="10"/>
  <c r="J217" i="10"/>
  <c r="I217" i="10"/>
  <c r="K217" i="10"/>
  <c r="H217" i="10"/>
  <c r="L217" i="10"/>
  <c r="M216" i="10"/>
  <c r="T216" i="10"/>
  <c r="W216" i="10"/>
  <c r="V216" i="10"/>
  <c r="X216" i="10"/>
  <c r="U216" i="10"/>
  <c r="Y216" i="10"/>
  <c r="N216" i="10"/>
  <c r="Q216" i="10"/>
  <c r="P216" i="10"/>
  <c r="R216" i="10"/>
  <c r="O216" i="10"/>
  <c r="S216" i="10"/>
  <c r="G216" i="10"/>
  <c r="J216" i="10"/>
  <c r="I216" i="10"/>
  <c r="K216" i="10"/>
  <c r="H216" i="10"/>
  <c r="L216" i="10"/>
  <c r="M215" i="10"/>
  <c r="T215" i="10"/>
  <c r="W215" i="10"/>
  <c r="V215" i="10"/>
  <c r="X215" i="10"/>
  <c r="U215" i="10"/>
  <c r="Y215" i="10"/>
  <c r="N215" i="10"/>
  <c r="Q215" i="10"/>
  <c r="P215" i="10"/>
  <c r="R215" i="10"/>
  <c r="O215" i="10"/>
  <c r="S215" i="10"/>
  <c r="G215" i="10"/>
  <c r="J215" i="10"/>
  <c r="I215" i="10"/>
  <c r="K215" i="10"/>
  <c r="H215" i="10"/>
  <c r="L215" i="10"/>
  <c r="M214" i="10"/>
  <c r="T214" i="10"/>
  <c r="W214" i="10"/>
  <c r="V214" i="10"/>
  <c r="X214" i="10"/>
  <c r="U214" i="10"/>
  <c r="Y214" i="10"/>
  <c r="N214" i="10"/>
  <c r="Q214" i="10"/>
  <c r="P214" i="10"/>
  <c r="R214" i="10"/>
  <c r="O214" i="10"/>
  <c r="S214" i="10"/>
  <c r="G214" i="10"/>
  <c r="J214" i="10"/>
  <c r="I214" i="10"/>
  <c r="K214" i="10"/>
  <c r="H214" i="10"/>
  <c r="L214" i="10"/>
  <c r="M213" i="10"/>
  <c r="T213" i="10"/>
  <c r="W213" i="10"/>
  <c r="V213" i="10"/>
  <c r="X213" i="10"/>
  <c r="U213" i="10"/>
  <c r="Y213" i="10"/>
  <c r="N213" i="10"/>
  <c r="Q213" i="10"/>
  <c r="P213" i="10"/>
  <c r="R213" i="10"/>
  <c r="O213" i="10"/>
  <c r="S213" i="10"/>
  <c r="G213" i="10"/>
  <c r="J213" i="10"/>
  <c r="I213" i="10"/>
  <c r="K213" i="10"/>
  <c r="H213" i="10"/>
  <c r="L213" i="10"/>
  <c r="M212" i="10"/>
  <c r="T212" i="10"/>
  <c r="W212" i="10"/>
  <c r="V212" i="10"/>
  <c r="X212" i="10"/>
  <c r="U212" i="10"/>
  <c r="Y212" i="10"/>
  <c r="N212" i="10"/>
  <c r="Q212" i="10"/>
  <c r="P212" i="10"/>
  <c r="R212" i="10"/>
  <c r="O212" i="10"/>
  <c r="S212" i="10"/>
  <c r="G212" i="10"/>
  <c r="J212" i="10"/>
  <c r="I212" i="10"/>
  <c r="K212" i="10"/>
  <c r="H212" i="10"/>
  <c r="L212" i="10"/>
  <c r="M211" i="10"/>
  <c r="T211" i="10"/>
  <c r="W211" i="10"/>
  <c r="V211" i="10"/>
  <c r="X211" i="10"/>
  <c r="U211" i="10"/>
  <c r="Y211" i="10"/>
  <c r="N211" i="10"/>
  <c r="Q211" i="10"/>
  <c r="P211" i="10"/>
  <c r="R211" i="10"/>
  <c r="O211" i="10"/>
  <c r="S211" i="10"/>
  <c r="G211" i="10"/>
  <c r="J211" i="10"/>
  <c r="I211" i="10"/>
  <c r="K211" i="10"/>
  <c r="H211" i="10"/>
  <c r="L211" i="10"/>
  <c r="M210" i="10"/>
  <c r="T210" i="10"/>
  <c r="W210" i="10"/>
  <c r="V210" i="10"/>
  <c r="X210" i="10"/>
  <c r="U210" i="10"/>
  <c r="Y210" i="10"/>
  <c r="N210" i="10"/>
  <c r="Q210" i="10"/>
  <c r="P210" i="10"/>
  <c r="R210" i="10"/>
  <c r="O210" i="10"/>
  <c r="S210" i="10"/>
  <c r="G210" i="10"/>
  <c r="J210" i="10"/>
  <c r="I210" i="10"/>
  <c r="K210" i="10"/>
  <c r="H210" i="10"/>
  <c r="L210" i="10"/>
  <c r="M209" i="10"/>
  <c r="T209" i="10"/>
  <c r="W209" i="10"/>
  <c r="V209" i="10"/>
  <c r="X209" i="10"/>
  <c r="U209" i="10"/>
  <c r="Y209" i="10"/>
  <c r="N209" i="10"/>
  <c r="Q209" i="10"/>
  <c r="P209" i="10"/>
  <c r="R209" i="10"/>
  <c r="O209" i="10"/>
  <c r="S209" i="10"/>
  <c r="G209" i="10"/>
  <c r="J209" i="10"/>
  <c r="I209" i="10"/>
  <c r="K209" i="10"/>
  <c r="H209" i="10"/>
  <c r="L209" i="10"/>
  <c r="M208" i="10"/>
  <c r="T208" i="10"/>
  <c r="W208" i="10"/>
  <c r="V208" i="10"/>
  <c r="X208" i="10"/>
  <c r="U208" i="10"/>
  <c r="Y208" i="10"/>
  <c r="N208" i="10"/>
  <c r="Q208" i="10"/>
  <c r="P208" i="10"/>
  <c r="R208" i="10"/>
  <c r="O208" i="10"/>
  <c r="S208" i="10"/>
  <c r="G208" i="10"/>
  <c r="J208" i="10"/>
  <c r="I208" i="10"/>
  <c r="K208" i="10"/>
  <c r="H208" i="10"/>
  <c r="L208" i="10"/>
  <c r="M207" i="10"/>
  <c r="T207" i="10"/>
  <c r="W207" i="10"/>
  <c r="V207" i="10"/>
  <c r="X207" i="10"/>
  <c r="U207" i="10"/>
  <c r="Y207" i="10"/>
  <c r="N207" i="10"/>
  <c r="Q207" i="10"/>
  <c r="P207" i="10"/>
  <c r="R207" i="10"/>
  <c r="O207" i="10"/>
  <c r="S207" i="10"/>
  <c r="G207" i="10"/>
  <c r="J207" i="10"/>
  <c r="I207" i="10"/>
  <c r="K207" i="10"/>
  <c r="H207" i="10"/>
  <c r="L207" i="10"/>
  <c r="M206" i="10"/>
  <c r="T206" i="10"/>
  <c r="W206" i="10"/>
  <c r="V206" i="10"/>
  <c r="X206" i="10"/>
  <c r="U206" i="10"/>
  <c r="Y206" i="10"/>
  <c r="N206" i="10"/>
  <c r="Q206" i="10"/>
  <c r="P206" i="10"/>
  <c r="R206" i="10"/>
  <c r="O206" i="10"/>
  <c r="S206" i="10"/>
  <c r="G206" i="10"/>
  <c r="J206" i="10"/>
  <c r="I206" i="10"/>
  <c r="K206" i="10"/>
  <c r="H206" i="10"/>
  <c r="L206" i="10"/>
  <c r="M205" i="10"/>
  <c r="T205" i="10"/>
  <c r="W205" i="10"/>
  <c r="V205" i="10"/>
  <c r="X205" i="10"/>
  <c r="U205" i="10"/>
  <c r="Y205" i="10"/>
  <c r="N205" i="10"/>
  <c r="Q205" i="10"/>
  <c r="P205" i="10"/>
  <c r="R205" i="10"/>
  <c r="O205" i="10"/>
  <c r="S205" i="10"/>
  <c r="G205" i="10"/>
  <c r="J205" i="10"/>
  <c r="I205" i="10"/>
  <c r="K205" i="10"/>
  <c r="H205" i="10"/>
  <c r="L205" i="10"/>
  <c r="M204" i="10"/>
  <c r="T204" i="10"/>
  <c r="W204" i="10"/>
  <c r="V204" i="10"/>
  <c r="X204" i="10"/>
  <c r="U204" i="10"/>
  <c r="Y204" i="10"/>
  <c r="N204" i="10"/>
  <c r="Q204" i="10"/>
  <c r="P204" i="10"/>
  <c r="R204" i="10"/>
  <c r="O204" i="10"/>
  <c r="S204" i="10"/>
  <c r="G204" i="10"/>
  <c r="J204" i="10"/>
  <c r="I204" i="10"/>
  <c r="K204" i="10"/>
  <c r="H204" i="10"/>
  <c r="L204" i="10"/>
  <c r="M203" i="10"/>
  <c r="T203" i="10"/>
  <c r="W203" i="10"/>
  <c r="V203" i="10"/>
  <c r="X203" i="10"/>
  <c r="U203" i="10"/>
  <c r="Y203" i="10"/>
  <c r="N203" i="10"/>
  <c r="Q203" i="10"/>
  <c r="P203" i="10"/>
  <c r="R203" i="10"/>
  <c r="O203" i="10"/>
  <c r="S203" i="10"/>
  <c r="G203" i="10"/>
  <c r="J203" i="10"/>
  <c r="I203" i="10"/>
  <c r="K203" i="10"/>
  <c r="H203" i="10"/>
  <c r="L203" i="10"/>
  <c r="M202" i="10"/>
  <c r="T202" i="10"/>
  <c r="W202" i="10"/>
  <c r="V202" i="10"/>
  <c r="X202" i="10"/>
  <c r="U202" i="10"/>
  <c r="Y202" i="10"/>
  <c r="N202" i="10"/>
  <c r="Q202" i="10"/>
  <c r="P202" i="10"/>
  <c r="R202" i="10"/>
  <c r="O202" i="10"/>
  <c r="S202" i="10"/>
  <c r="G202" i="10"/>
  <c r="J202" i="10"/>
  <c r="I202" i="10"/>
  <c r="K202" i="10"/>
  <c r="H202" i="10"/>
  <c r="L202" i="10"/>
  <c r="M201" i="10"/>
  <c r="T201" i="10"/>
  <c r="W201" i="10"/>
  <c r="V201" i="10"/>
  <c r="X201" i="10"/>
  <c r="U201" i="10"/>
  <c r="Y201" i="10"/>
  <c r="N201" i="10"/>
  <c r="Q201" i="10"/>
  <c r="P201" i="10"/>
  <c r="R201" i="10"/>
  <c r="O201" i="10"/>
  <c r="S201" i="10"/>
  <c r="G201" i="10"/>
  <c r="J201" i="10"/>
  <c r="I201" i="10"/>
  <c r="K201" i="10"/>
  <c r="H201" i="10"/>
  <c r="L201" i="10"/>
  <c r="M200" i="10"/>
  <c r="T200" i="10"/>
  <c r="W200" i="10"/>
  <c r="V200" i="10"/>
  <c r="X200" i="10"/>
  <c r="U200" i="10"/>
  <c r="Y200" i="10"/>
  <c r="N200" i="10"/>
  <c r="Q200" i="10"/>
  <c r="P200" i="10"/>
  <c r="R200" i="10"/>
  <c r="O200" i="10"/>
  <c r="S200" i="10"/>
  <c r="G200" i="10"/>
  <c r="J200" i="10"/>
  <c r="I200" i="10"/>
  <c r="K200" i="10"/>
  <c r="H200" i="10"/>
  <c r="L200" i="10"/>
  <c r="Y19" i="7"/>
  <c r="W19" i="7"/>
  <c r="U19" i="7"/>
  <c r="R19" i="7"/>
  <c r="Q19" i="7"/>
  <c r="P19" i="7"/>
  <c r="O19" i="7"/>
  <c r="N19" i="7"/>
  <c r="H19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19" i="7"/>
  <c r="I19" i="7"/>
  <c r="D19" i="7"/>
  <c r="F19" i="7"/>
  <c r="E19" i="7"/>
  <c r="A19" i="7"/>
  <c r="Y18" i="7"/>
  <c r="W18" i="7"/>
  <c r="U18" i="7"/>
  <c r="R18" i="7"/>
  <c r="Q18" i="7"/>
  <c r="P18" i="7"/>
  <c r="O18" i="7"/>
  <c r="N18" i="7"/>
  <c r="H18" i="7"/>
  <c r="J18" i="7"/>
  <c r="I18" i="7"/>
  <c r="D18" i="7"/>
  <c r="F18" i="7"/>
  <c r="E18" i="7"/>
  <c r="A18" i="7"/>
  <c r="Y17" i="7"/>
  <c r="W17" i="7"/>
  <c r="U17" i="7"/>
  <c r="R17" i="7"/>
  <c r="Q17" i="7"/>
  <c r="P17" i="7"/>
  <c r="O17" i="7"/>
  <c r="N17" i="7"/>
  <c r="H17" i="7"/>
  <c r="J17" i="7"/>
  <c r="I17" i="7"/>
  <c r="D17" i="7"/>
  <c r="F17" i="7"/>
  <c r="E17" i="7"/>
  <c r="A17" i="7"/>
  <c r="Y16" i="7"/>
  <c r="W16" i="7"/>
  <c r="U16" i="7"/>
  <c r="R16" i="7"/>
  <c r="Q16" i="7"/>
  <c r="P16" i="7"/>
  <c r="O16" i="7"/>
  <c r="N16" i="7"/>
  <c r="H16" i="7"/>
  <c r="J16" i="7"/>
  <c r="I16" i="7"/>
  <c r="D16" i="7"/>
  <c r="F16" i="7"/>
  <c r="E16" i="7"/>
  <c r="A16" i="7"/>
  <c r="Y15" i="7"/>
  <c r="W15" i="7"/>
  <c r="U15" i="7"/>
  <c r="R15" i="7"/>
  <c r="Q15" i="7"/>
  <c r="P15" i="7"/>
  <c r="O15" i="7"/>
  <c r="N15" i="7"/>
  <c r="H15" i="7"/>
  <c r="J15" i="7"/>
  <c r="I15" i="7"/>
  <c r="D15" i="7"/>
  <c r="F15" i="7"/>
  <c r="E15" i="7"/>
  <c r="A15" i="7"/>
  <c r="Y14" i="7"/>
  <c r="W14" i="7"/>
  <c r="U14" i="7"/>
  <c r="R14" i="7"/>
  <c r="Q14" i="7"/>
  <c r="P14" i="7"/>
  <c r="O14" i="7"/>
  <c r="N14" i="7"/>
  <c r="H14" i="7"/>
  <c r="J14" i="7"/>
  <c r="I14" i="7"/>
  <c r="D14" i="7"/>
  <c r="F14" i="7"/>
  <c r="E14" i="7"/>
  <c r="A14" i="7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E230" i="9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E195" i="9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E155" i="9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E134" i="9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J265" i="11"/>
  <c r="O265" i="9"/>
  <c r="N265" i="9"/>
  <c r="M265" i="9"/>
  <c r="L265" i="9"/>
  <c r="K265" i="9"/>
  <c r="J265" i="9"/>
  <c r="I265" i="9"/>
  <c r="H265" i="9"/>
  <c r="G265" i="9"/>
  <c r="E265" i="9"/>
  <c r="D265" i="9"/>
  <c r="A265" i="9"/>
  <c r="J264" i="11"/>
  <c r="O264" i="9"/>
  <c r="N264" i="9"/>
  <c r="M264" i="9"/>
  <c r="L264" i="9"/>
  <c r="K264" i="9"/>
  <c r="J264" i="9"/>
  <c r="I264" i="9"/>
  <c r="H264" i="9"/>
  <c r="G264" i="9"/>
  <c r="E264" i="9"/>
  <c r="D264" i="9"/>
  <c r="A264" i="9"/>
  <c r="J263" i="11"/>
  <c r="O263" i="9"/>
  <c r="N263" i="9"/>
  <c r="M263" i="9"/>
  <c r="L263" i="9"/>
  <c r="K263" i="9"/>
  <c r="J263" i="9"/>
  <c r="I263" i="9"/>
  <c r="H263" i="9"/>
  <c r="G263" i="9"/>
  <c r="E263" i="9"/>
  <c r="D263" i="9"/>
  <c r="A263" i="9"/>
  <c r="J262" i="11"/>
  <c r="O262" i="9"/>
  <c r="N262" i="9"/>
  <c r="M262" i="9"/>
  <c r="L262" i="9"/>
  <c r="K262" i="9"/>
  <c r="J262" i="9"/>
  <c r="I262" i="9"/>
  <c r="H262" i="9"/>
  <c r="G262" i="9"/>
  <c r="E262" i="9"/>
  <c r="D262" i="9"/>
  <c r="A262" i="9"/>
  <c r="J261" i="11"/>
  <c r="O261" i="9"/>
  <c r="N261" i="9"/>
  <c r="M261" i="9"/>
  <c r="L261" i="9"/>
  <c r="K261" i="9"/>
  <c r="J261" i="9"/>
  <c r="I261" i="9"/>
  <c r="H261" i="9"/>
  <c r="G261" i="9"/>
  <c r="E261" i="9"/>
  <c r="D261" i="9"/>
  <c r="A261" i="9"/>
  <c r="J260" i="11"/>
  <c r="O260" i="9"/>
  <c r="N260" i="9"/>
  <c r="M260" i="9"/>
  <c r="L260" i="9"/>
  <c r="K260" i="9"/>
  <c r="J260" i="9"/>
  <c r="I260" i="9"/>
  <c r="H260" i="9"/>
  <c r="G260" i="9"/>
  <c r="E260" i="9"/>
  <c r="D260" i="9"/>
  <c r="A260" i="9"/>
  <c r="J259" i="11"/>
  <c r="O259" i="9"/>
  <c r="N259" i="9"/>
  <c r="M259" i="9"/>
  <c r="L259" i="9"/>
  <c r="K259" i="9"/>
  <c r="J259" i="9"/>
  <c r="I259" i="9"/>
  <c r="H259" i="9"/>
  <c r="G259" i="9"/>
  <c r="E259" i="9"/>
  <c r="D259" i="9"/>
  <c r="A259" i="9"/>
  <c r="J258" i="11"/>
  <c r="O258" i="9"/>
  <c r="N258" i="9"/>
  <c r="M258" i="9"/>
  <c r="L258" i="9"/>
  <c r="K258" i="9"/>
  <c r="J258" i="9"/>
  <c r="I258" i="9"/>
  <c r="H258" i="9"/>
  <c r="G258" i="9"/>
  <c r="E258" i="9"/>
  <c r="D258" i="9"/>
  <c r="A258" i="9"/>
  <c r="J257" i="11"/>
  <c r="O257" i="9"/>
  <c r="N257" i="9"/>
  <c r="M257" i="9"/>
  <c r="L257" i="9"/>
  <c r="K257" i="9"/>
  <c r="J257" i="9"/>
  <c r="I257" i="9"/>
  <c r="H257" i="9"/>
  <c r="G257" i="9"/>
  <c r="E257" i="9"/>
  <c r="D257" i="9"/>
  <c r="A257" i="9"/>
  <c r="J256" i="11"/>
  <c r="O256" i="9"/>
  <c r="N256" i="9"/>
  <c r="M256" i="9"/>
  <c r="L256" i="9"/>
  <c r="K256" i="9"/>
  <c r="J256" i="9"/>
  <c r="I256" i="9"/>
  <c r="H256" i="9"/>
  <c r="G256" i="9"/>
  <c r="E256" i="9"/>
  <c r="D256" i="9"/>
  <c r="A256" i="9"/>
  <c r="J255" i="11"/>
  <c r="O255" i="9"/>
  <c r="N255" i="9"/>
  <c r="M255" i="9"/>
  <c r="L255" i="9"/>
  <c r="K255" i="9"/>
  <c r="J255" i="9"/>
  <c r="I255" i="9"/>
  <c r="H255" i="9"/>
  <c r="G255" i="9"/>
  <c r="E255" i="9"/>
  <c r="D255" i="9"/>
  <c r="A255" i="9"/>
  <c r="J254" i="11"/>
  <c r="O254" i="9"/>
  <c r="N254" i="9"/>
  <c r="M254" i="9"/>
  <c r="L254" i="9"/>
  <c r="K254" i="9"/>
  <c r="J254" i="9"/>
  <c r="I254" i="9"/>
  <c r="H254" i="9"/>
  <c r="G254" i="9"/>
  <c r="E254" i="9"/>
  <c r="D254" i="9"/>
  <c r="A254" i="9"/>
  <c r="J253" i="11"/>
  <c r="O253" i="9"/>
  <c r="N253" i="9"/>
  <c r="M253" i="9"/>
  <c r="L253" i="9"/>
  <c r="K253" i="9"/>
  <c r="J253" i="9"/>
  <c r="I253" i="9"/>
  <c r="H253" i="9"/>
  <c r="G253" i="9"/>
  <c r="E253" i="9"/>
  <c r="D253" i="9"/>
  <c r="A253" i="9"/>
  <c r="J252" i="11"/>
  <c r="O252" i="9"/>
  <c r="N252" i="9"/>
  <c r="M252" i="9"/>
  <c r="L252" i="9"/>
  <c r="K252" i="9"/>
  <c r="J252" i="9"/>
  <c r="I252" i="9"/>
  <c r="H252" i="9"/>
  <c r="G252" i="9"/>
  <c r="E252" i="9"/>
  <c r="D252" i="9"/>
  <c r="A252" i="9"/>
  <c r="J251" i="11"/>
  <c r="O251" i="9"/>
  <c r="N251" i="9"/>
  <c r="M251" i="9"/>
  <c r="L251" i="9"/>
  <c r="K251" i="9"/>
  <c r="J251" i="9"/>
  <c r="I251" i="9"/>
  <c r="H251" i="9"/>
  <c r="G251" i="9"/>
  <c r="E251" i="9"/>
  <c r="D251" i="9"/>
  <c r="A251" i="9"/>
  <c r="J250" i="11"/>
  <c r="O250" i="9"/>
  <c r="N250" i="9"/>
  <c r="M250" i="9"/>
  <c r="L250" i="9"/>
  <c r="K250" i="9"/>
  <c r="J250" i="9"/>
  <c r="I250" i="9"/>
  <c r="H250" i="9"/>
  <c r="G250" i="9"/>
  <c r="E250" i="9"/>
  <c r="D250" i="9"/>
  <c r="A250" i="9"/>
  <c r="J249" i="11"/>
  <c r="O249" i="9"/>
  <c r="N249" i="9"/>
  <c r="M249" i="9"/>
  <c r="L249" i="9"/>
  <c r="K249" i="9"/>
  <c r="J249" i="9"/>
  <c r="I249" i="9"/>
  <c r="H249" i="9"/>
  <c r="G249" i="9"/>
  <c r="E249" i="9"/>
  <c r="D249" i="9"/>
  <c r="A249" i="9"/>
  <c r="J248" i="11"/>
  <c r="O248" i="9"/>
  <c r="N248" i="9"/>
  <c r="M248" i="9"/>
  <c r="L248" i="9"/>
  <c r="K248" i="9"/>
  <c r="J248" i="9"/>
  <c r="I248" i="9"/>
  <c r="H248" i="9"/>
  <c r="G248" i="9"/>
  <c r="E248" i="9"/>
  <c r="D248" i="9"/>
  <c r="A248" i="9"/>
  <c r="J247" i="11"/>
  <c r="O247" i="9"/>
  <c r="N247" i="9"/>
  <c r="M247" i="9"/>
  <c r="L247" i="9"/>
  <c r="K247" i="9"/>
  <c r="J247" i="9"/>
  <c r="I247" i="9"/>
  <c r="H247" i="9"/>
  <c r="G247" i="9"/>
  <c r="E247" i="9"/>
  <c r="D247" i="9"/>
  <c r="A247" i="9"/>
  <c r="J246" i="11"/>
  <c r="O246" i="9"/>
  <c r="N246" i="9"/>
  <c r="M246" i="9"/>
  <c r="L246" i="9"/>
  <c r="K246" i="9"/>
  <c r="J246" i="9"/>
  <c r="I246" i="9"/>
  <c r="H246" i="9"/>
  <c r="G246" i="9"/>
  <c r="E246" i="9"/>
  <c r="D246" i="9"/>
  <c r="A246" i="9"/>
  <c r="J245" i="11"/>
  <c r="O245" i="9"/>
  <c r="N245" i="9"/>
  <c r="M245" i="9"/>
  <c r="L245" i="9"/>
  <c r="K245" i="9"/>
  <c r="J245" i="9"/>
  <c r="I245" i="9"/>
  <c r="H245" i="9"/>
  <c r="G245" i="9"/>
  <c r="E245" i="9"/>
  <c r="D245" i="9"/>
  <c r="A245" i="9"/>
  <c r="J244" i="11"/>
  <c r="O244" i="9"/>
  <c r="N244" i="9"/>
  <c r="M244" i="9"/>
  <c r="L244" i="9"/>
  <c r="K244" i="9"/>
  <c r="J244" i="9"/>
  <c r="I244" i="9"/>
  <c r="H244" i="9"/>
  <c r="G244" i="9"/>
  <c r="E244" i="9"/>
  <c r="D244" i="9"/>
  <c r="A244" i="9"/>
  <c r="J243" i="11"/>
  <c r="O243" i="9"/>
  <c r="N243" i="9"/>
  <c r="M243" i="9"/>
  <c r="L243" i="9"/>
  <c r="K243" i="9"/>
  <c r="J243" i="9"/>
  <c r="I243" i="9"/>
  <c r="H243" i="9"/>
  <c r="G243" i="9"/>
  <c r="E243" i="9"/>
  <c r="D243" i="9"/>
  <c r="A243" i="9"/>
  <c r="J242" i="11"/>
  <c r="O242" i="9"/>
  <c r="N242" i="9"/>
  <c r="M242" i="9"/>
  <c r="L242" i="9"/>
  <c r="K242" i="9"/>
  <c r="J242" i="9"/>
  <c r="I242" i="9"/>
  <c r="H242" i="9"/>
  <c r="G242" i="9"/>
  <c r="E242" i="9"/>
  <c r="D242" i="9"/>
  <c r="A242" i="9"/>
  <c r="J241" i="11"/>
  <c r="O241" i="9"/>
  <c r="N241" i="9"/>
  <c r="M241" i="9"/>
  <c r="L241" i="9"/>
  <c r="K241" i="9"/>
  <c r="J241" i="9"/>
  <c r="I241" i="9"/>
  <c r="H241" i="9"/>
  <c r="G241" i="9"/>
  <c r="E241" i="9"/>
  <c r="D241" i="9"/>
  <c r="A241" i="9"/>
  <c r="J240" i="11"/>
  <c r="O240" i="9"/>
  <c r="N240" i="9"/>
  <c r="M240" i="9"/>
  <c r="L240" i="9"/>
  <c r="K240" i="9"/>
  <c r="J240" i="9"/>
  <c r="I240" i="9"/>
  <c r="H240" i="9"/>
  <c r="G240" i="9"/>
  <c r="E240" i="9"/>
  <c r="D240" i="9"/>
  <c r="A240" i="9"/>
  <c r="J239" i="11"/>
  <c r="O239" i="9"/>
  <c r="N239" i="9"/>
  <c r="M239" i="9"/>
  <c r="L239" i="9"/>
  <c r="K239" i="9"/>
  <c r="J239" i="9"/>
  <c r="I239" i="9"/>
  <c r="H239" i="9"/>
  <c r="G239" i="9"/>
  <c r="E239" i="9"/>
  <c r="D239" i="9"/>
  <c r="A239" i="9"/>
  <c r="J238" i="11"/>
  <c r="O238" i="9"/>
  <c r="N238" i="9"/>
  <c r="M238" i="9"/>
  <c r="L238" i="9"/>
  <c r="K238" i="9"/>
  <c r="J238" i="9"/>
  <c r="I238" i="9"/>
  <c r="H238" i="9"/>
  <c r="G238" i="9"/>
  <c r="E238" i="9"/>
  <c r="D238" i="9"/>
  <c r="A238" i="9"/>
  <c r="J237" i="11"/>
  <c r="O237" i="9"/>
  <c r="N237" i="9"/>
  <c r="M237" i="9"/>
  <c r="L237" i="9"/>
  <c r="K237" i="9"/>
  <c r="J237" i="9"/>
  <c r="I237" i="9"/>
  <c r="H237" i="9"/>
  <c r="G237" i="9"/>
  <c r="E237" i="9"/>
  <c r="D237" i="9"/>
  <c r="A237" i="9"/>
  <c r="J236" i="11"/>
  <c r="O236" i="9"/>
  <c r="N236" i="9"/>
  <c r="M236" i="9"/>
  <c r="L236" i="9"/>
  <c r="K236" i="9"/>
  <c r="J236" i="9"/>
  <c r="I236" i="9"/>
  <c r="H236" i="9"/>
  <c r="G236" i="9"/>
  <c r="E236" i="9"/>
  <c r="D236" i="9"/>
  <c r="A236" i="9"/>
  <c r="J235" i="11"/>
  <c r="O235" i="9"/>
  <c r="N235" i="9"/>
  <c r="M235" i="9"/>
  <c r="L235" i="9"/>
  <c r="K235" i="9"/>
  <c r="J235" i="9"/>
  <c r="I235" i="9"/>
  <c r="H235" i="9"/>
  <c r="G235" i="9"/>
  <c r="E235" i="9"/>
  <c r="D235" i="9"/>
  <c r="A235" i="9"/>
  <c r="J234" i="11"/>
  <c r="O234" i="9"/>
  <c r="N234" i="9"/>
  <c r="M234" i="9"/>
  <c r="L234" i="9"/>
  <c r="K234" i="9"/>
  <c r="J234" i="9"/>
  <c r="I234" i="9"/>
  <c r="H234" i="9"/>
  <c r="G234" i="9"/>
  <c r="E234" i="9"/>
  <c r="D234" i="9"/>
  <c r="A234" i="9"/>
  <c r="J233" i="11"/>
  <c r="O233" i="9"/>
  <c r="N233" i="9"/>
  <c r="M233" i="9"/>
  <c r="L233" i="9"/>
  <c r="K233" i="9"/>
  <c r="J233" i="9"/>
  <c r="I233" i="9"/>
  <c r="H233" i="9"/>
  <c r="G233" i="9"/>
  <c r="E233" i="9"/>
  <c r="D233" i="9"/>
  <c r="A233" i="9"/>
  <c r="J232" i="11"/>
  <c r="O232" i="9"/>
  <c r="N232" i="9"/>
  <c r="M232" i="9"/>
  <c r="L232" i="9"/>
  <c r="K232" i="9"/>
  <c r="J232" i="9"/>
  <c r="I232" i="9"/>
  <c r="H232" i="9"/>
  <c r="G232" i="9"/>
  <c r="E232" i="9"/>
  <c r="D232" i="9"/>
  <c r="A232" i="9"/>
  <c r="J231" i="11"/>
  <c r="O231" i="9"/>
  <c r="N231" i="9"/>
  <c r="M231" i="9"/>
  <c r="L231" i="9"/>
  <c r="K231" i="9"/>
  <c r="J231" i="9"/>
  <c r="I231" i="9"/>
  <c r="H231" i="9"/>
  <c r="G231" i="9"/>
  <c r="E231" i="9"/>
  <c r="D231" i="9"/>
  <c r="A231" i="9"/>
  <c r="J230" i="11"/>
  <c r="O230" i="9"/>
  <c r="N230" i="9"/>
  <c r="M230" i="9"/>
  <c r="L230" i="9"/>
  <c r="K230" i="9"/>
  <c r="J230" i="9"/>
  <c r="I230" i="9"/>
  <c r="H230" i="9"/>
  <c r="G230" i="9"/>
  <c r="D230" i="9"/>
  <c r="A230" i="9"/>
  <c r="J229" i="11"/>
  <c r="O229" i="9"/>
  <c r="N229" i="9"/>
  <c r="M229" i="9"/>
  <c r="L229" i="9"/>
  <c r="K229" i="9"/>
  <c r="J229" i="9"/>
  <c r="I229" i="9"/>
  <c r="H229" i="9"/>
  <c r="G229" i="9"/>
  <c r="E229" i="9"/>
  <c r="D229" i="9"/>
  <c r="A229" i="9"/>
  <c r="J228" i="11"/>
  <c r="O228" i="9"/>
  <c r="N228" i="9"/>
  <c r="M228" i="9"/>
  <c r="L228" i="9"/>
  <c r="K228" i="9"/>
  <c r="J228" i="9"/>
  <c r="I228" i="9"/>
  <c r="H228" i="9"/>
  <c r="G228" i="9"/>
  <c r="E228" i="9"/>
  <c r="D228" i="9"/>
  <c r="A228" i="9"/>
  <c r="J227" i="11"/>
  <c r="O227" i="9"/>
  <c r="N227" i="9"/>
  <c r="M227" i="9"/>
  <c r="L227" i="9"/>
  <c r="K227" i="9"/>
  <c r="J227" i="9"/>
  <c r="I227" i="9"/>
  <c r="H227" i="9"/>
  <c r="G227" i="9"/>
  <c r="E227" i="9"/>
  <c r="D227" i="9"/>
  <c r="A227" i="9"/>
  <c r="J226" i="11"/>
  <c r="O226" i="9"/>
  <c r="N226" i="9"/>
  <c r="M226" i="9"/>
  <c r="L226" i="9"/>
  <c r="K226" i="9"/>
  <c r="J226" i="9"/>
  <c r="I226" i="9"/>
  <c r="H226" i="9"/>
  <c r="G226" i="9"/>
  <c r="E226" i="9"/>
  <c r="D226" i="9"/>
  <c r="A226" i="9"/>
  <c r="J225" i="11"/>
  <c r="O225" i="9"/>
  <c r="N225" i="9"/>
  <c r="M225" i="9"/>
  <c r="L225" i="9"/>
  <c r="K225" i="9"/>
  <c r="J225" i="9"/>
  <c r="I225" i="9"/>
  <c r="H225" i="9"/>
  <c r="G225" i="9"/>
  <c r="E225" i="9"/>
  <c r="D225" i="9"/>
  <c r="A225" i="9"/>
  <c r="J224" i="11"/>
  <c r="O224" i="9"/>
  <c r="N224" i="9"/>
  <c r="M224" i="9"/>
  <c r="L224" i="9"/>
  <c r="K224" i="9"/>
  <c r="J224" i="9"/>
  <c r="I224" i="9"/>
  <c r="H224" i="9"/>
  <c r="G224" i="9"/>
  <c r="E224" i="9"/>
  <c r="D224" i="9"/>
  <c r="A224" i="9"/>
  <c r="J223" i="11"/>
  <c r="O223" i="9"/>
  <c r="N223" i="9"/>
  <c r="M223" i="9"/>
  <c r="L223" i="9"/>
  <c r="K223" i="9"/>
  <c r="J223" i="9"/>
  <c r="I223" i="9"/>
  <c r="H223" i="9"/>
  <c r="G223" i="9"/>
  <c r="E223" i="9"/>
  <c r="D223" i="9"/>
  <c r="A223" i="9"/>
  <c r="J222" i="11"/>
  <c r="O222" i="9"/>
  <c r="N222" i="9"/>
  <c r="M222" i="9"/>
  <c r="L222" i="9"/>
  <c r="K222" i="9"/>
  <c r="J222" i="9"/>
  <c r="I222" i="9"/>
  <c r="H222" i="9"/>
  <c r="G222" i="9"/>
  <c r="E222" i="9"/>
  <c r="D222" i="9"/>
  <c r="A222" i="9"/>
  <c r="J221" i="11"/>
  <c r="O221" i="9"/>
  <c r="N221" i="9"/>
  <c r="M221" i="9"/>
  <c r="L221" i="9"/>
  <c r="K221" i="9"/>
  <c r="J221" i="9"/>
  <c r="I221" i="9"/>
  <c r="H221" i="9"/>
  <c r="G221" i="9"/>
  <c r="E221" i="9"/>
  <c r="D221" i="9"/>
  <c r="A221" i="9"/>
  <c r="J220" i="11"/>
  <c r="O220" i="9"/>
  <c r="N220" i="9"/>
  <c r="M220" i="9"/>
  <c r="L220" i="9"/>
  <c r="K220" i="9"/>
  <c r="J220" i="9"/>
  <c r="I220" i="9"/>
  <c r="H220" i="9"/>
  <c r="G220" i="9"/>
  <c r="E220" i="9"/>
  <c r="D220" i="9"/>
  <c r="A220" i="9"/>
  <c r="J219" i="11"/>
  <c r="O219" i="9"/>
  <c r="N219" i="9"/>
  <c r="M219" i="9"/>
  <c r="L219" i="9"/>
  <c r="K219" i="9"/>
  <c r="J219" i="9"/>
  <c r="I219" i="9"/>
  <c r="H219" i="9"/>
  <c r="G219" i="9"/>
  <c r="E219" i="9"/>
  <c r="D219" i="9"/>
  <c r="A219" i="9"/>
  <c r="J218" i="11"/>
  <c r="O218" i="9"/>
  <c r="N218" i="9"/>
  <c r="M218" i="9"/>
  <c r="L218" i="9"/>
  <c r="K218" i="9"/>
  <c r="J218" i="9"/>
  <c r="I218" i="9"/>
  <c r="H218" i="9"/>
  <c r="G218" i="9"/>
  <c r="E218" i="9"/>
  <c r="D218" i="9"/>
  <c r="A218" i="9"/>
  <c r="J217" i="11"/>
  <c r="O217" i="9"/>
  <c r="N217" i="9"/>
  <c r="M217" i="9"/>
  <c r="L217" i="9"/>
  <c r="K217" i="9"/>
  <c r="J217" i="9"/>
  <c r="I217" i="9"/>
  <c r="H217" i="9"/>
  <c r="G217" i="9"/>
  <c r="E217" i="9"/>
  <c r="D217" i="9"/>
  <c r="A217" i="9"/>
  <c r="J216" i="11"/>
  <c r="O216" i="9"/>
  <c r="N216" i="9"/>
  <c r="M216" i="9"/>
  <c r="L216" i="9"/>
  <c r="K216" i="9"/>
  <c r="J216" i="9"/>
  <c r="I216" i="9"/>
  <c r="H216" i="9"/>
  <c r="G216" i="9"/>
  <c r="E216" i="9"/>
  <c r="D216" i="9"/>
  <c r="A216" i="9"/>
  <c r="J215" i="11"/>
  <c r="O215" i="9"/>
  <c r="N215" i="9"/>
  <c r="M215" i="9"/>
  <c r="L215" i="9"/>
  <c r="K215" i="9"/>
  <c r="J215" i="9"/>
  <c r="I215" i="9"/>
  <c r="H215" i="9"/>
  <c r="G215" i="9"/>
  <c r="E215" i="9"/>
  <c r="D215" i="9"/>
  <c r="A215" i="9"/>
  <c r="J214" i="11"/>
  <c r="O214" i="9"/>
  <c r="N214" i="9"/>
  <c r="M214" i="9"/>
  <c r="L214" i="9"/>
  <c r="K214" i="9"/>
  <c r="J214" i="9"/>
  <c r="I214" i="9"/>
  <c r="H214" i="9"/>
  <c r="G214" i="9"/>
  <c r="E214" i="9"/>
  <c r="D214" i="9"/>
  <c r="A214" i="9"/>
  <c r="J213" i="11"/>
  <c r="O213" i="9"/>
  <c r="N213" i="9"/>
  <c r="M213" i="9"/>
  <c r="L213" i="9"/>
  <c r="K213" i="9"/>
  <c r="J213" i="9"/>
  <c r="I213" i="9"/>
  <c r="H213" i="9"/>
  <c r="G213" i="9"/>
  <c r="E213" i="9"/>
  <c r="D213" i="9"/>
  <c r="A213" i="9"/>
  <c r="J212" i="11"/>
  <c r="O212" i="9"/>
  <c r="N212" i="9"/>
  <c r="M212" i="9"/>
  <c r="L212" i="9"/>
  <c r="K212" i="9"/>
  <c r="J212" i="9"/>
  <c r="I212" i="9"/>
  <c r="H212" i="9"/>
  <c r="G212" i="9"/>
  <c r="E212" i="9"/>
  <c r="D212" i="9"/>
  <c r="A212" i="9"/>
  <c r="J211" i="11"/>
  <c r="O211" i="9"/>
  <c r="N211" i="9"/>
  <c r="M211" i="9"/>
  <c r="L211" i="9"/>
  <c r="K211" i="9"/>
  <c r="J211" i="9"/>
  <c r="I211" i="9"/>
  <c r="H211" i="9"/>
  <c r="G211" i="9"/>
  <c r="E211" i="9"/>
  <c r="D211" i="9"/>
  <c r="A211" i="9"/>
  <c r="J210" i="11"/>
  <c r="O210" i="9"/>
  <c r="N210" i="9"/>
  <c r="M210" i="9"/>
  <c r="L210" i="9"/>
  <c r="K210" i="9"/>
  <c r="J210" i="9"/>
  <c r="I210" i="9"/>
  <c r="H210" i="9"/>
  <c r="G210" i="9"/>
  <c r="E210" i="9"/>
  <c r="D210" i="9"/>
  <c r="A210" i="9"/>
  <c r="J209" i="11"/>
  <c r="O209" i="9"/>
  <c r="N209" i="9"/>
  <c r="M209" i="9"/>
  <c r="L209" i="9"/>
  <c r="K209" i="9"/>
  <c r="J209" i="9"/>
  <c r="I209" i="9"/>
  <c r="H209" i="9"/>
  <c r="G209" i="9"/>
  <c r="E209" i="9"/>
  <c r="D209" i="9"/>
  <c r="A209" i="9"/>
  <c r="J208" i="11"/>
  <c r="O208" i="9"/>
  <c r="N208" i="9"/>
  <c r="M208" i="9"/>
  <c r="L208" i="9"/>
  <c r="K208" i="9"/>
  <c r="J208" i="9"/>
  <c r="I208" i="9"/>
  <c r="H208" i="9"/>
  <c r="G208" i="9"/>
  <c r="E208" i="9"/>
  <c r="D208" i="9"/>
  <c r="A208" i="9"/>
  <c r="J207" i="11"/>
  <c r="O207" i="9"/>
  <c r="N207" i="9"/>
  <c r="M207" i="9"/>
  <c r="L207" i="9"/>
  <c r="K207" i="9"/>
  <c r="J207" i="9"/>
  <c r="I207" i="9"/>
  <c r="H207" i="9"/>
  <c r="G207" i="9"/>
  <c r="E207" i="9"/>
  <c r="D207" i="9"/>
  <c r="A207" i="9"/>
  <c r="J206" i="11"/>
  <c r="O206" i="9"/>
  <c r="N206" i="9"/>
  <c r="M206" i="9"/>
  <c r="L206" i="9"/>
  <c r="K206" i="9"/>
  <c r="J206" i="9"/>
  <c r="I206" i="9"/>
  <c r="H206" i="9"/>
  <c r="G206" i="9"/>
  <c r="E206" i="9"/>
  <c r="D206" i="9"/>
  <c r="A206" i="9"/>
  <c r="J205" i="11"/>
  <c r="O205" i="9"/>
  <c r="N205" i="9"/>
  <c r="M205" i="9"/>
  <c r="L205" i="9"/>
  <c r="K205" i="9"/>
  <c r="J205" i="9"/>
  <c r="I205" i="9"/>
  <c r="H205" i="9"/>
  <c r="G205" i="9"/>
  <c r="E205" i="9"/>
  <c r="D205" i="9"/>
  <c r="A205" i="9"/>
  <c r="J204" i="11"/>
  <c r="O204" i="9"/>
  <c r="N204" i="9"/>
  <c r="M204" i="9"/>
  <c r="L204" i="9"/>
  <c r="K204" i="9"/>
  <c r="J204" i="9"/>
  <c r="I204" i="9"/>
  <c r="H204" i="9"/>
  <c r="G204" i="9"/>
  <c r="E204" i="9"/>
  <c r="D204" i="9"/>
  <c r="A204" i="9"/>
  <c r="J203" i="11"/>
  <c r="O203" i="9"/>
  <c r="N203" i="9"/>
  <c r="M203" i="9"/>
  <c r="L203" i="9"/>
  <c r="K203" i="9"/>
  <c r="J203" i="9"/>
  <c r="I203" i="9"/>
  <c r="H203" i="9"/>
  <c r="G203" i="9"/>
  <c r="E203" i="9"/>
  <c r="D203" i="9"/>
  <c r="A203" i="9"/>
  <c r="J202" i="11"/>
  <c r="O202" i="9"/>
  <c r="N202" i="9"/>
  <c r="M202" i="9"/>
  <c r="L202" i="9"/>
  <c r="K202" i="9"/>
  <c r="J202" i="9"/>
  <c r="I202" i="9"/>
  <c r="H202" i="9"/>
  <c r="G202" i="9"/>
  <c r="E202" i="9"/>
  <c r="D202" i="9"/>
  <c r="A202" i="9"/>
  <c r="J201" i="11"/>
  <c r="O201" i="9"/>
  <c r="N201" i="9"/>
  <c r="M201" i="9"/>
  <c r="L201" i="9"/>
  <c r="K201" i="9"/>
  <c r="J201" i="9"/>
  <c r="I201" i="9"/>
  <c r="H201" i="9"/>
  <c r="G201" i="9"/>
  <c r="E201" i="9"/>
  <c r="D201" i="9"/>
  <c r="A201" i="9"/>
  <c r="J200" i="11"/>
  <c r="O200" i="9"/>
  <c r="N200" i="9"/>
  <c r="M200" i="9"/>
  <c r="L200" i="9"/>
  <c r="K200" i="9"/>
  <c r="J200" i="9"/>
  <c r="I200" i="9"/>
  <c r="H200" i="9"/>
  <c r="G200" i="9"/>
  <c r="E200" i="9"/>
  <c r="D200" i="9"/>
  <c r="A200" i="9"/>
  <c r="J199" i="11"/>
  <c r="O199" i="9"/>
  <c r="N199" i="9"/>
  <c r="M199" i="9"/>
  <c r="L199" i="9"/>
  <c r="K199" i="9"/>
  <c r="J199" i="9"/>
  <c r="I199" i="9"/>
  <c r="H199" i="9"/>
  <c r="G199" i="9"/>
  <c r="E199" i="9"/>
  <c r="D199" i="9"/>
  <c r="A199" i="9"/>
  <c r="J198" i="11"/>
  <c r="O198" i="9"/>
  <c r="N198" i="9"/>
  <c r="M198" i="9"/>
  <c r="L198" i="9"/>
  <c r="K198" i="9"/>
  <c r="J198" i="9"/>
  <c r="I198" i="9"/>
  <c r="H198" i="9"/>
  <c r="G198" i="9"/>
  <c r="E198" i="9"/>
  <c r="D198" i="9"/>
  <c r="A198" i="9"/>
  <c r="J197" i="11"/>
  <c r="O197" i="9"/>
  <c r="N197" i="9"/>
  <c r="M197" i="9"/>
  <c r="L197" i="9"/>
  <c r="K197" i="9"/>
  <c r="J197" i="9"/>
  <c r="I197" i="9"/>
  <c r="H197" i="9"/>
  <c r="G197" i="9"/>
  <c r="E197" i="9"/>
  <c r="D197" i="9"/>
  <c r="A197" i="9"/>
  <c r="J196" i="11"/>
  <c r="O196" i="9"/>
  <c r="N196" i="9"/>
  <c r="M196" i="9"/>
  <c r="L196" i="9"/>
  <c r="K196" i="9"/>
  <c r="J196" i="9"/>
  <c r="I196" i="9"/>
  <c r="H196" i="9"/>
  <c r="G196" i="9"/>
  <c r="E196" i="9"/>
  <c r="D196" i="9"/>
  <c r="A196" i="9"/>
  <c r="J195" i="11"/>
  <c r="O195" i="9"/>
  <c r="N195" i="9"/>
  <c r="M195" i="9"/>
  <c r="L195" i="9"/>
  <c r="K195" i="9"/>
  <c r="J195" i="9"/>
  <c r="I195" i="9"/>
  <c r="H195" i="9"/>
  <c r="G195" i="9"/>
  <c r="D195" i="9"/>
  <c r="A195" i="9"/>
  <c r="J194" i="11"/>
  <c r="O194" i="9"/>
  <c r="N194" i="9"/>
  <c r="M194" i="9"/>
  <c r="L194" i="9"/>
  <c r="K194" i="9"/>
  <c r="J194" i="9"/>
  <c r="I194" i="9"/>
  <c r="H194" i="9"/>
  <c r="G194" i="9"/>
  <c r="E194" i="9"/>
  <c r="D194" i="9"/>
  <c r="A194" i="9"/>
  <c r="J193" i="11"/>
  <c r="O193" i="9"/>
  <c r="N193" i="9"/>
  <c r="M193" i="9"/>
  <c r="L193" i="9"/>
  <c r="K193" i="9"/>
  <c r="J193" i="9"/>
  <c r="I193" i="9"/>
  <c r="H193" i="9"/>
  <c r="G193" i="9"/>
  <c r="E193" i="9"/>
  <c r="D193" i="9"/>
  <c r="A193" i="9"/>
  <c r="J192" i="11"/>
  <c r="O192" i="9"/>
  <c r="N192" i="9"/>
  <c r="M192" i="9"/>
  <c r="L192" i="9"/>
  <c r="K192" i="9"/>
  <c r="J192" i="9"/>
  <c r="I192" i="9"/>
  <c r="H192" i="9"/>
  <c r="G192" i="9"/>
  <c r="E192" i="9"/>
  <c r="D192" i="9"/>
  <c r="A192" i="9"/>
  <c r="J191" i="11"/>
  <c r="O191" i="9"/>
  <c r="N191" i="9"/>
  <c r="M191" i="9"/>
  <c r="L191" i="9"/>
  <c r="K191" i="9"/>
  <c r="J191" i="9"/>
  <c r="I191" i="9"/>
  <c r="H191" i="9"/>
  <c r="G191" i="9"/>
  <c r="E191" i="9"/>
  <c r="D191" i="9"/>
  <c r="A191" i="9"/>
  <c r="J190" i="11"/>
  <c r="O190" i="9"/>
  <c r="N190" i="9"/>
  <c r="M190" i="9"/>
  <c r="L190" i="9"/>
  <c r="K190" i="9"/>
  <c r="J190" i="9"/>
  <c r="I190" i="9"/>
  <c r="H190" i="9"/>
  <c r="G190" i="9"/>
  <c r="E190" i="9"/>
  <c r="D190" i="9"/>
  <c r="A190" i="9"/>
  <c r="J189" i="11"/>
  <c r="O189" i="9"/>
  <c r="N189" i="9"/>
  <c r="M189" i="9"/>
  <c r="L189" i="9"/>
  <c r="K189" i="9"/>
  <c r="J189" i="9"/>
  <c r="I189" i="9"/>
  <c r="H189" i="9"/>
  <c r="G189" i="9"/>
  <c r="E189" i="9"/>
  <c r="D189" i="9"/>
  <c r="A189" i="9"/>
  <c r="J188" i="11"/>
  <c r="O188" i="9"/>
  <c r="N188" i="9"/>
  <c r="M188" i="9"/>
  <c r="L188" i="9"/>
  <c r="K188" i="9"/>
  <c r="J188" i="9"/>
  <c r="I188" i="9"/>
  <c r="H188" i="9"/>
  <c r="G188" i="9"/>
  <c r="E188" i="9"/>
  <c r="D188" i="9"/>
  <c r="A188" i="9"/>
  <c r="J187" i="11"/>
  <c r="O187" i="9"/>
  <c r="N187" i="9"/>
  <c r="M187" i="9"/>
  <c r="L187" i="9"/>
  <c r="K187" i="9"/>
  <c r="J187" i="9"/>
  <c r="I187" i="9"/>
  <c r="H187" i="9"/>
  <c r="G187" i="9"/>
  <c r="E187" i="9"/>
  <c r="D187" i="9"/>
  <c r="A187" i="9"/>
  <c r="J186" i="11"/>
  <c r="O186" i="9"/>
  <c r="N186" i="9"/>
  <c r="M186" i="9"/>
  <c r="L186" i="9"/>
  <c r="K186" i="9"/>
  <c r="J186" i="9"/>
  <c r="I186" i="9"/>
  <c r="H186" i="9"/>
  <c r="G186" i="9"/>
  <c r="E186" i="9"/>
  <c r="D186" i="9"/>
  <c r="A186" i="9"/>
  <c r="J185" i="11"/>
  <c r="O185" i="9"/>
  <c r="N185" i="9"/>
  <c r="M185" i="9"/>
  <c r="L185" i="9"/>
  <c r="K185" i="9"/>
  <c r="J185" i="9"/>
  <c r="I185" i="9"/>
  <c r="H185" i="9"/>
  <c r="G185" i="9"/>
  <c r="E185" i="9"/>
  <c r="D185" i="9"/>
  <c r="A185" i="9"/>
  <c r="J184" i="11"/>
  <c r="O184" i="9"/>
  <c r="N184" i="9"/>
  <c r="M184" i="9"/>
  <c r="L184" i="9"/>
  <c r="K184" i="9"/>
  <c r="J184" i="9"/>
  <c r="I184" i="9"/>
  <c r="H184" i="9"/>
  <c r="G184" i="9"/>
  <c r="E184" i="9"/>
  <c r="D184" i="9"/>
  <c r="A184" i="9"/>
  <c r="J183" i="11"/>
  <c r="O183" i="9"/>
  <c r="N183" i="9"/>
  <c r="M183" i="9"/>
  <c r="L183" i="9"/>
  <c r="K183" i="9"/>
  <c r="J183" i="9"/>
  <c r="I183" i="9"/>
  <c r="H183" i="9"/>
  <c r="G183" i="9"/>
  <c r="E183" i="9"/>
  <c r="D183" i="9"/>
  <c r="A183" i="9"/>
  <c r="J182" i="11"/>
  <c r="O182" i="9"/>
  <c r="N182" i="9"/>
  <c r="M182" i="9"/>
  <c r="L182" i="9"/>
  <c r="K182" i="9"/>
  <c r="J182" i="9"/>
  <c r="I182" i="9"/>
  <c r="H182" i="9"/>
  <c r="G182" i="9"/>
  <c r="E182" i="9"/>
  <c r="D182" i="9"/>
  <c r="A182" i="9"/>
  <c r="J181" i="11"/>
  <c r="O181" i="9"/>
  <c r="N181" i="9"/>
  <c r="M181" i="9"/>
  <c r="L181" i="9"/>
  <c r="K181" i="9"/>
  <c r="J181" i="9"/>
  <c r="I181" i="9"/>
  <c r="H181" i="9"/>
  <c r="G181" i="9"/>
  <c r="E181" i="9"/>
  <c r="D181" i="9"/>
  <c r="A181" i="9"/>
  <c r="J180" i="11"/>
  <c r="O180" i="9"/>
  <c r="N180" i="9"/>
  <c r="M180" i="9"/>
  <c r="L180" i="9"/>
  <c r="K180" i="9"/>
  <c r="J180" i="9"/>
  <c r="I180" i="9"/>
  <c r="H180" i="9"/>
  <c r="G180" i="9"/>
  <c r="E180" i="9"/>
  <c r="D180" i="9"/>
  <c r="A180" i="9"/>
  <c r="J179" i="11"/>
  <c r="O179" i="9"/>
  <c r="N179" i="9"/>
  <c r="M179" i="9"/>
  <c r="L179" i="9"/>
  <c r="K179" i="9"/>
  <c r="J179" i="9"/>
  <c r="I179" i="9"/>
  <c r="H179" i="9"/>
  <c r="G179" i="9"/>
  <c r="E179" i="9"/>
  <c r="D179" i="9"/>
  <c r="A179" i="9"/>
  <c r="J178" i="11"/>
  <c r="O178" i="9"/>
  <c r="N178" i="9"/>
  <c r="M178" i="9"/>
  <c r="L178" i="9"/>
  <c r="K178" i="9"/>
  <c r="J178" i="9"/>
  <c r="I178" i="9"/>
  <c r="H178" i="9"/>
  <c r="G178" i="9"/>
  <c r="E178" i="9"/>
  <c r="D178" i="9"/>
  <c r="A178" i="9"/>
  <c r="J177" i="11"/>
  <c r="O177" i="9"/>
  <c r="N177" i="9"/>
  <c r="M177" i="9"/>
  <c r="L177" i="9"/>
  <c r="K177" i="9"/>
  <c r="J177" i="9"/>
  <c r="I177" i="9"/>
  <c r="H177" i="9"/>
  <c r="G177" i="9"/>
  <c r="E177" i="9"/>
  <c r="D177" i="9"/>
  <c r="A177" i="9"/>
  <c r="J176" i="11"/>
  <c r="O176" i="9"/>
  <c r="N176" i="9"/>
  <c r="M176" i="9"/>
  <c r="L176" i="9"/>
  <c r="K176" i="9"/>
  <c r="J176" i="9"/>
  <c r="I176" i="9"/>
  <c r="H176" i="9"/>
  <c r="G176" i="9"/>
  <c r="E176" i="9"/>
  <c r="D176" i="9"/>
  <c r="A176" i="9"/>
  <c r="J175" i="11"/>
  <c r="O175" i="9"/>
  <c r="N175" i="9"/>
  <c r="M175" i="9"/>
  <c r="L175" i="9"/>
  <c r="K175" i="9"/>
  <c r="J175" i="9"/>
  <c r="I175" i="9"/>
  <c r="H175" i="9"/>
  <c r="G175" i="9"/>
  <c r="E175" i="9"/>
  <c r="D175" i="9"/>
  <c r="A175" i="9"/>
  <c r="J174" i="11"/>
  <c r="O174" i="9"/>
  <c r="N174" i="9"/>
  <c r="M174" i="9"/>
  <c r="L174" i="9"/>
  <c r="K174" i="9"/>
  <c r="J174" i="9"/>
  <c r="I174" i="9"/>
  <c r="H174" i="9"/>
  <c r="G174" i="9"/>
  <c r="E174" i="9"/>
  <c r="D174" i="9"/>
  <c r="A174" i="9"/>
  <c r="J173" i="11"/>
  <c r="O173" i="9"/>
  <c r="N173" i="9"/>
  <c r="M173" i="9"/>
  <c r="L173" i="9"/>
  <c r="K173" i="9"/>
  <c r="J173" i="9"/>
  <c r="I173" i="9"/>
  <c r="H173" i="9"/>
  <c r="G173" i="9"/>
  <c r="E173" i="9"/>
  <c r="D173" i="9"/>
  <c r="A173" i="9"/>
  <c r="J172" i="11"/>
  <c r="O172" i="9"/>
  <c r="N172" i="9"/>
  <c r="M172" i="9"/>
  <c r="L172" i="9"/>
  <c r="K172" i="9"/>
  <c r="J172" i="9"/>
  <c r="I172" i="9"/>
  <c r="H172" i="9"/>
  <c r="G172" i="9"/>
  <c r="E172" i="9"/>
  <c r="D172" i="9"/>
  <c r="A172" i="9"/>
  <c r="J171" i="11"/>
  <c r="O171" i="9"/>
  <c r="N171" i="9"/>
  <c r="M171" i="9"/>
  <c r="L171" i="9"/>
  <c r="K171" i="9"/>
  <c r="J171" i="9"/>
  <c r="I171" i="9"/>
  <c r="H171" i="9"/>
  <c r="G171" i="9"/>
  <c r="E171" i="9"/>
  <c r="D171" i="9"/>
  <c r="A171" i="9"/>
  <c r="J170" i="11"/>
  <c r="O170" i="9"/>
  <c r="N170" i="9"/>
  <c r="M170" i="9"/>
  <c r="L170" i="9"/>
  <c r="K170" i="9"/>
  <c r="J170" i="9"/>
  <c r="I170" i="9"/>
  <c r="H170" i="9"/>
  <c r="G170" i="9"/>
  <c r="E170" i="9"/>
  <c r="D170" i="9"/>
  <c r="A170" i="9"/>
  <c r="J169" i="11"/>
  <c r="O169" i="9"/>
  <c r="N169" i="9"/>
  <c r="M169" i="9"/>
  <c r="L169" i="9"/>
  <c r="K169" i="9"/>
  <c r="J169" i="9"/>
  <c r="I169" i="9"/>
  <c r="H169" i="9"/>
  <c r="G169" i="9"/>
  <c r="E169" i="9"/>
  <c r="D169" i="9"/>
  <c r="A169" i="9"/>
  <c r="J168" i="11"/>
  <c r="O168" i="9"/>
  <c r="N168" i="9"/>
  <c r="M168" i="9"/>
  <c r="L168" i="9"/>
  <c r="K168" i="9"/>
  <c r="J168" i="9"/>
  <c r="I168" i="9"/>
  <c r="H168" i="9"/>
  <c r="G168" i="9"/>
  <c r="E168" i="9"/>
  <c r="D168" i="9"/>
  <c r="A168" i="9"/>
  <c r="J167" i="11"/>
  <c r="O167" i="9"/>
  <c r="N167" i="9"/>
  <c r="M167" i="9"/>
  <c r="L167" i="9"/>
  <c r="K167" i="9"/>
  <c r="J167" i="9"/>
  <c r="I167" i="9"/>
  <c r="H167" i="9"/>
  <c r="G167" i="9"/>
  <c r="E167" i="9"/>
  <c r="D167" i="9"/>
  <c r="A167" i="9"/>
  <c r="J166" i="11"/>
  <c r="O166" i="9"/>
  <c r="N166" i="9"/>
  <c r="M166" i="9"/>
  <c r="L166" i="9"/>
  <c r="K166" i="9"/>
  <c r="J166" i="9"/>
  <c r="I166" i="9"/>
  <c r="H166" i="9"/>
  <c r="G166" i="9"/>
  <c r="E166" i="9"/>
  <c r="D166" i="9"/>
  <c r="A166" i="9"/>
  <c r="J165" i="11"/>
  <c r="O165" i="9"/>
  <c r="N165" i="9"/>
  <c r="M165" i="9"/>
  <c r="L165" i="9"/>
  <c r="K165" i="9"/>
  <c r="J165" i="9"/>
  <c r="I165" i="9"/>
  <c r="H165" i="9"/>
  <c r="G165" i="9"/>
  <c r="E165" i="9"/>
  <c r="D165" i="9"/>
  <c r="A165" i="9"/>
  <c r="J164" i="11"/>
  <c r="O164" i="9"/>
  <c r="N164" i="9"/>
  <c r="M164" i="9"/>
  <c r="L164" i="9"/>
  <c r="K164" i="9"/>
  <c r="J164" i="9"/>
  <c r="I164" i="9"/>
  <c r="H164" i="9"/>
  <c r="G164" i="9"/>
  <c r="E164" i="9"/>
  <c r="D164" i="9"/>
  <c r="A164" i="9"/>
  <c r="J163" i="11"/>
  <c r="O163" i="9"/>
  <c r="N163" i="9"/>
  <c r="M163" i="9"/>
  <c r="L163" i="9"/>
  <c r="K163" i="9"/>
  <c r="J163" i="9"/>
  <c r="I163" i="9"/>
  <c r="H163" i="9"/>
  <c r="G163" i="9"/>
  <c r="E163" i="9"/>
  <c r="D163" i="9"/>
  <c r="A163" i="9"/>
  <c r="J162" i="11"/>
  <c r="O162" i="9"/>
  <c r="N162" i="9"/>
  <c r="M162" i="9"/>
  <c r="L162" i="9"/>
  <c r="K162" i="9"/>
  <c r="J162" i="9"/>
  <c r="I162" i="9"/>
  <c r="H162" i="9"/>
  <c r="G162" i="9"/>
  <c r="E162" i="9"/>
  <c r="D162" i="9"/>
  <c r="A162" i="9"/>
  <c r="J161" i="11"/>
  <c r="O161" i="9"/>
  <c r="N161" i="9"/>
  <c r="M161" i="9"/>
  <c r="L161" i="9"/>
  <c r="K161" i="9"/>
  <c r="J161" i="9"/>
  <c r="I161" i="9"/>
  <c r="H161" i="9"/>
  <c r="G161" i="9"/>
  <c r="E161" i="9"/>
  <c r="D161" i="9"/>
  <c r="A161" i="9"/>
  <c r="J160" i="11"/>
  <c r="O160" i="9"/>
  <c r="N160" i="9"/>
  <c r="M160" i="9"/>
  <c r="L160" i="9"/>
  <c r="K160" i="9"/>
  <c r="J160" i="9"/>
  <c r="I160" i="9"/>
  <c r="H160" i="9"/>
  <c r="G160" i="9"/>
  <c r="E160" i="9"/>
  <c r="D160" i="9"/>
  <c r="A160" i="9"/>
  <c r="J159" i="11"/>
  <c r="O159" i="9"/>
  <c r="N159" i="9"/>
  <c r="M159" i="9"/>
  <c r="L159" i="9"/>
  <c r="K159" i="9"/>
  <c r="J159" i="9"/>
  <c r="I159" i="9"/>
  <c r="H159" i="9"/>
  <c r="G159" i="9"/>
  <c r="E159" i="9"/>
  <c r="D159" i="9"/>
  <c r="A159" i="9"/>
  <c r="J158" i="11"/>
  <c r="O158" i="9"/>
  <c r="N158" i="9"/>
  <c r="M158" i="9"/>
  <c r="L158" i="9"/>
  <c r="K158" i="9"/>
  <c r="J158" i="9"/>
  <c r="I158" i="9"/>
  <c r="H158" i="9"/>
  <c r="G158" i="9"/>
  <c r="E158" i="9"/>
  <c r="D158" i="9"/>
  <c r="A158" i="9"/>
  <c r="J157" i="11"/>
  <c r="O157" i="9"/>
  <c r="N157" i="9"/>
  <c r="M157" i="9"/>
  <c r="L157" i="9"/>
  <c r="K157" i="9"/>
  <c r="J157" i="9"/>
  <c r="I157" i="9"/>
  <c r="H157" i="9"/>
  <c r="G157" i="9"/>
  <c r="E157" i="9"/>
  <c r="D157" i="9"/>
  <c r="A157" i="9"/>
  <c r="J156" i="11"/>
  <c r="O156" i="9"/>
  <c r="N156" i="9"/>
  <c r="M156" i="9"/>
  <c r="L156" i="9"/>
  <c r="K156" i="9"/>
  <c r="J156" i="9"/>
  <c r="I156" i="9"/>
  <c r="H156" i="9"/>
  <c r="G156" i="9"/>
  <c r="E156" i="9"/>
  <c r="D156" i="9"/>
  <c r="A156" i="9"/>
  <c r="J155" i="11"/>
  <c r="O155" i="9"/>
  <c r="N155" i="9"/>
  <c r="M155" i="9"/>
  <c r="L155" i="9"/>
  <c r="K155" i="9"/>
  <c r="J155" i="9"/>
  <c r="I155" i="9"/>
  <c r="H155" i="9"/>
  <c r="G155" i="9"/>
  <c r="D155" i="9"/>
  <c r="A155" i="9"/>
  <c r="J154" i="11"/>
  <c r="O154" i="9"/>
  <c r="N154" i="9"/>
  <c r="M154" i="9"/>
  <c r="L154" i="9"/>
  <c r="K154" i="9"/>
  <c r="J154" i="9"/>
  <c r="I154" i="9"/>
  <c r="H154" i="9"/>
  <c r="G154" i="9"/>
  <c r="E154" i="9"/>
  <c r="D154" i="9"/>
  <c r="A154" i="9"/>
  <c r="J153" i="11"/>
  <c r="O153" i="9"/>
  <c r="N153" i="9"/>
  <c r="M153" i="9"/>
  <c r="L153" i="9"/>
  <c r="K153" i="9"/>
  <c r="J153" i="9"/>
  <c r="I153" i="9"/>
  <c r="H153" i="9"/>
  <c r="G153" i="9"/>
  <c r="E153" i="9"/>
  <c r="D153" i="9"/>
  <c r="A153" i="9"/>
  <c r="J152" i="11"/>
  <c r="O152" i="9"/>
  <c r="N152" i="9"/>
  <c r="M152" i="9"/>
  <c r="L152" i="9"/>
  <c r="K152" i="9"/>
  <c r="J152" i="9"/>
  <c r="I152" i="9"/>
  <c r="H152" i="9"/>
  <c r="G152" i="9"/>
  <c r="E152" i="9"/>
  <c r="D152" i="9"/>
  <c r="A152" i="9"/>
  <c r="J151" i="11"/>
  <c r="O151" i="9"/>
  <c r="N151" i="9"/>
  <c r="M151" i="9"/>
  <c r="L151" i="9"/>
  <c r="K151" i="9"/>
  <c r="J151" i="9"/>
  <c r="I151" i="9"/>
  <c r="H151" i="9"/>
  <c r="G151" i="9"/>
  <c r="E151" i="9"/>
  <c r="D151" i="9"/>
  <c r="A151" i="9"/>
  <c r="J150" i="11"/>
  <c r="O150" i="9"/>
  <c r="N150" i="9"/>
  <c r="M150" i="9"/>
  <c r="L150" i="9"/>
  <c r="K150" i="9"/>
  <c r="J150" i="9"/>
  <c r="I150" i="9"/>
  <c r="H150" i="9"/>
  <c r="G150" i="9"/>
  <c r="E150" i="9"/>
  <c r="D150" i="9"/>
  <c r="A150" i="9"/>
  <c r="J149" i="11"/>
  <c r="O149" i="9"/>
  <c r="N149" i="9"/>
  <c r="M149" i="9"/>
  <c r="L149" i="9"/>
  <c r="K149" i="9"/>
  <c r="J149" i="9"/>
  <c r="I149" i="9"/>
  <c r="H149" i="9"/>
  <c r="G149" i="9"/>
  <c r="E149" i="9"/>
  <c r="D149" i="9"/>
  <c r="A149" i="9"/>
  <c r="J148" i="11"/>
  <c r="O148" i="9"/>
  <c r="N148" i="9"/>
  <c r="M148" i="9"/>
  <c r="L148" i="9"/>
  <c r="K148" i="9"/>
  <c r="J148" i="9"/>
  <c r="I148" i="9"/>
  <c r="H148" i="9"/>
  <c r="G148" i="9"/>
  <c r="E148" i="9"/>
  <c r="D148" i="9"/>
  <c r="A148" i="9"/>
  <c r="J147" i="11"/>
  <c r="O147" i="9"/>
  <c r="N147" i="9"/>
  <c r="M147" i="9"/>
  <c r="L147" i="9"/>
  <c r="K147" i="9"/>
  <c r="J147" i="9"/>
  <c r="I147" i="9"/>
  <c r="H147" i="9"/>
  <c r="G147" i="9"/>
  <c r="E147" i="9"/>
  <c r="D147" i="9"/>
  <c r="A147" i="9"/>
  <c r="J146" i="11"/>
  <c r="O146" i="9"/>
  <c r="N146" i="9"/>
  <c r="M146" i="9"/>
  <c r="L146" i="9"/>
  <c r="K146" i="9"/>
  <c r="J146" i="9"/>
  <c r="I146" i="9"/>
  <c r="H146" i="9"/>
  <c r="G146" i="9"/>
  <c r="E146" i="9"/>
  <c r="D146" i="9"/>
  <c r="A146" i="9"/>
  <c r="J145" i="11"/>
  <c r="O145" i="9"/>
  <c r="N145" i="9"/>
  <c r="M145" i="9"/>
  <c r="L145" i="9"/>
  <c r="K145" i="9"/>
  <c r="J145" i="9"/>
  <c r="I145" i="9"/>
  <c r="H145" i="9"/>
  <c r="G145" i="9"/>
  <c r="E145" i="9"/>
  <c r="D145" i="9"/>
  <c r="A145" i="9"/>
  <c r="J144" i="11"/>
  <c r="O144" i="9"/>
  <c r="N144" i="9"/>
  <c r="M144" i="9"/>
  <c r="L144" i="9"/>
  <c r="K144" i="9"/>
  <c r="J144" i="9"/>
  <c r="I144" i="9"/>
  <c r="H144" i="9"/>
  <c r="G144" i="9"/>
  <c r="E144" i="9"/>
  <c r="D144" i="9"/>
  <c r="A144" i="9"/>
  <c r="J143" i="11"/>
  <c r="O143" i="9"/>
  <c r="N143" i="9"/>
  <c r="M143" i="9"/>
  <c r="L143" i="9"/>
  <c r="K143" i="9"/>
  <c r="J143" i="9"/>
  <c r="I143" i="9"/>
  <c r="H143" i="9"/>
  <c r="G143" i="9"/>
  <c r="E143" i="9"/>
  <c r="D143" i="9"/>
  <c r="A143" i="9"/>
  <c r="J142" i="11"/>
  <c r="O142" i="9"/>
  <c r="N142" i="9"/>
  <c r="M142" i="9"/>
  <c r="L142" i="9"/>
  <c r="K142" i="9"/>
  <c r="J142" i="9"/>
  <c r="I142" i="9"/>
  <c r="H142" i="9"/>
  <c r="G142" i="9"/>
  <c r="E142" i="9"/>
  <c r="D142" i="9"/>
  <c r="A142" i="9"/>
  <c r="J141" i="11"/>
  <c r="O141" i="9"/>
  <c r="N141" i="9"/>
  <c r="M141" i="9"/>
  <c r="L141" i="9"/>
  <c r="K141" i="9"/>
  <c r="J141" i="9"/>
  <c r="I141" i="9"/>
  <c r="H141" i="9"/>
  <c r="G141" i="9"/>
  <c r="E141" i="9"/>
  <c r="D141" i="9"/>
  <c r="A141" i="9"/>
  <c r="J140" i="11"/>
  <c r="O140" i="9"/>
  <c r="N140" i="9"/>
  <c r="M140" i="9"/>
  <c r="L140" i="9"/>
  <c r="K140" i="9"/>
  <c r="J140" i="9"/>
  <c r="I140" i="9"/>
  <c r="H140" i="9"/>
  <c r="G140" i="9"/>
  <c r="E140" i="9"/>
  <c r="D140" i="9"/>
  <c r="A140" i="9"/>
  <c r="J139" i="11"/>
  <c r="O139" i="9"/>
  <c r="N139" i="9"/>
  <c r="M139" i="9"/>
  <c r="L139" i="9"/>
  <c r="K139" i="9"/>
  <c r="J139" i="9"/>
  <c r="I139" i="9"/>
  <c r="H139" i="9"/>
  <c r="G139" i="9"/>
  <c r="E139" i="9"/>
  <c r="D139" i="9"/>
  <c r="A139" i="9"/>
  <c r="J138" i="11"/>
  <c r="O138" i="9"/>
  <c r="N138" i="9"/>
  <c r="M138" i="9"/>
  <c r="L138" i="9"/>
  <c r="K138" i="9"/>
  <c r="J138" i="9"/>
  <c r="I138" i="9"/>
  <c r="H138" i="9"/>
  <c r="G138" i="9"/>
  <c r="E138" i="9"/>
  <c r="D138" i="9"/>
  <c r="A138" i="9"/>
  <c r="J137" i="11"/>
  <c r="O137" i="9"/>
  <c r="N137" i="9"/>
  <c r="M137" i="9"/>
  <c r="L137" i="9"/>
  <c r="K137" i="9"/>
  <c r="J137" i="9"/>
  <c r="I137" i="9"/>
  <c r="H137" i="9"/>
  <c r="G137" i="9"/>
  <c r="E137" i="9"/>
  <c r="D137" i="9"/>
  <c r="A137" i="9"/>
  <c r="J136" i="11"/>
  <c r="O136" i="9"/>
  <c r="N136" i="9"/>
  <c r="M136" i="9"/>
  <c r="L136" i="9"/>
  <c r="K136" i="9"/>
  <c r="J136" i="9"/>
  <c r="I136" i="9"/>
  <c r="H136" i="9"/>
  <c r="G136" i="9"/>
  <c r="E136" i="9"/>
  <c r="D136" i="9"/>
  <c r="A136" i="9"/>
  <c r="J135" i="11"/>
  <c r="O135" i="9"/>
  <c r="N135" i="9"/>
  <c r="M135" i="9"/>
  <c r="L135" i="9"/>
  <c r="K135" i="9"/>
  <c r="J135" i="9"/>
  <c r="I135" i="9"/>
  <c r="H135" i="9"/>
  <c r="G135" i="9"/>
  <c r="E135" i="9"/>
  <c r="D135" i="9"/>
  <c r="A135" i="9"/>
  <c r="J134" i="11"/>
  <c r="O134" i="9"/>
  <c r="N134" i="9"/>
  <c r="M134" i="9"/>
  <c r="L134" i="9"/>
  <c r="K134" i="9"/>
  <c r="J134" i="9"/>
  <c r="I134" i="9"/>
  <c r="H134" i="9"/>
  <c r="G134" i="9"/>
  <c r="D134" i="9"/>
  <c r="A134" i="9"/>
  <c r="M199" i="10"/>
  <c r="T199" i="10"/>
  <c r="W199" i="10"/>
  <c r="V199" i="10"/>
  <c r="X199" i="10"/>
  <c r="U199" i="10"/>
  <c r="Y199" i="10"/>
  <c r="N199" i="10"/>
  <c r="Q199" i="10"/>
  <c r="P199" i="10"/>
  <c r="R199" i="10"/>
  <c r="O199" i="10"/>
  <c r="S199" i="10"/>
  <c r="G199" i="10"/>
  <c r="J199" i="10"/>
  <c r="I199" i="10"/>
  <c r="K199" i="10"/>
  <c r="H199" i="10"/>
  <c r="L199" i="10"/>
  <c r="M198" i="10"/>
  <c r="T198" i="10"/>
  <c r="W198" i="10"/>
  <c r="V198" i="10"/>
  <c r="X198" i="10"/>
  <c r="U198" i="10"/>
  <c r="Y198" i="10"/>
  <c r="N198" i="10"/>
  <c r="Q198" i="10"/>
  <c r="P198" i="10"/>
  <c r="R198" i="10"/>
  <c r="O198" i="10"/>
  <c r="S198" i="10"/>
  <c r="G198" i="10"/>
  <c r="J198" i="10"/>
  <c r="I198" i="10"/>
  <c r="K198" i="10"/>
  <c r="H198" i="10"/>
  <c r="L198" i="10"/>
  <c r="M197" i="10"/>
  <c r="T197" i="10"/>
  <c r="W197" i="10"/>
  <c r="V197" i="10"/>
  <c r="X197" i="10"/>
  <c r="U197" i="10"/>
  <c r="Y197" i="10"/>
  <c r="N197" i="10"/>
  <c r="Q197" i="10"/>
  <c r="P197" i="10"/>
  <c r="R197" i="10"/>
  <c r="O197" i="10"/>
  <c r="S197" i="10"/>
  <c r="G197" i="10"/>
  <c r="J197" i="10"/>
  <c r="I197" i="10"/>
  <c r="K197" i="10"/>
  <c r="H197" i="10"/>
  <c r="L197" i="10"/>
  <c r="M196" i="10"/>
  <c r="T196" i="10"/>
  <c r="W196" i="10"/>
  <c r="V196" i="10"/>
  <c r="X196" i="10"/>
  <c r="U196" i="10"/>
  <c r="Y196" i="10"/>
  <c r="N196" i="10"/>
  <c r="Q196" i="10"/>
  <c r="P196" i="10"/>
  <c r="R196" i="10"/>
  <c r="O196" i="10"/>
  <c r="S196" i="10"/>
  <c r="G196" i="10"/>
  <c r="J196" i="10"/>
  <c r="I196" i="10"/>
  <c r="K196" i="10"/>
  <c r="H196" i="10"/>
  <c r="L196" i="10"/>
  <c r="M195" i="10"/>
  <c r="T195" i="10"/>
  <c r="W195" i="10"/>
  <c r="V195" i="10"/>
  <c r="X195" i="10"/>
  <c r="U195" i="10"/>
  <c r="Y195" i="10"/>
  <c r="N195" i="10"/>
  <c r="Q195" i="10"/>
  <c r="P195" i="10"/>
  <c r="R195" i="10"/>
  <c r="O195" i="10"/>
  <c r="S195" i="10"/>
  <c r="G195" i="10"/>
  <c r="J195" i="10"/>
  <c r="I195" i="10"/>
  <c r="K195" i="10"/>
  <c r="H195" i="10"/>
  <c r="L195" i="10"/>
  <c r="M194" i="10"/>
  <c r="T194" i="10"/>
  <c r="W194" i="10"/>
  <c r="V194" i="10"/>
  <c r="X194" i="10"/>
  <c r="U194" i="10"/>
  <c r="Y194" i="10"/>
  <c r="N194" i="10"/>
  <c r="Q194" i="10"/>
  <c r="P194" i="10"/>
  <c r="R194" i="10"/>
  <c r="O194" i="10"/>
  <c r="S194" i="10"/>
  <c r="G194" i="10"/>
  <c r="J194" i="10"/>
  <c r="I194" i="10"/>
  <c r="K194" i="10"/>
  <c r="H194" i="10"/>
  <c r="L194" i="10"/>
  <c r="M193" i="10"/>
  <c r="T193" i="10"/>
  <c r="W193" i="10"/>
  <c r="V193" i="10"/>
  <c r="X193" i="10"/>
  <c r="U193" i="10"/>
  <c r="Y193" i="10"/>
  <c r="N193" i="10"/>
  <c r="Q193" i="10"/>
  <c r="P193" i="10"/>
  <c r="R193" i="10"/>
  <c r="O193" i="10"/>
  <c r="S193" i="10"/>
  <c r="G193" i="10"/>
  <c r="J193" i="10"/>
  <c r="I193" i="10"/>
  <c r="K193" i="10"/>
  <c r="H193" i="10"/>
  <c r="L193" i="10"/>
  <c r="M192" i="10"/>
  <c r="T192" i="10"/>
  <c r="W192" i="10"/>
  <c r="V192" i="10"/>
  <c r="X192" i="10"/>
  <c r="U192" i="10"/>
  <c r="Y192" i="10"/>
  <c r="N192" i="10"/>
  <c r="Q192" i="10"/>
  <c r="P192" i="10"/>
  <c r="R192" i="10"/>
  <c r="O192" i="10"/>
  <c r="S192" i="10"/>
  <c r="G192" i="10"/>
  <c r="J192" i="10"/>
  <c r="I192" i="10"/>
  <c r="K192" i="10"/>
  <c r="H192" i="10"/>
  <c r="L192" i="10"/>
  <c r="M191" i="10"/>
  <c r="T191" i="10"/>
  <c r="W191" i="10"/>
  <c r="V191" i="10"/>
  <c r="X191" i="10"/>
  <c r="U191" i="10"/>
  <c r="Y191" i="10"/>
  <c r="N191" i="10"/>
  <c r="Q191" i="10"/>
  <c r="P191" i="10"/>
  <c r="R191" i="10"/>
  <c r="O191" i="10"/>
  <c r="S191" i="10"/>
  <c r="G191" i="10"/>
  <c r="J191" i="10"/>
  <c r="I191" i="10"/>
  <c r="K191" i="10"/>
  <c r="H191" i="10"/>
  <c r="L191" i="10"/>
  <c r="M190" i="10"/>
  <c r="T190" i="10"/>
  <c r="W190" i="10"/>
  <c r="V190" i="10"/>
  <c r="X190" i="10"/>
  <c r="U190" i="10"/>
  <c r="Y190" i="10"/>
  <c r="N190" i="10"/>
  <c r="Q190" i="10"/>
  <c r="P190" i="10"/>
  <c r="R190" i="10"/>
  <c r="O190" i="10"/>
  <c r="S190" i="10"/>
  <c r="G190" i="10"/>
  <c r="J190" i="10"/>
  <c r="I190" i="10"/>
  <c r="K190" i="10"/>
  <c r="H190" i="10"/>
  <c r="L190" i="10"/>
  <c r="M189" i="10"/>
  <c r="T189" i="10"/>
  <c r="W189" i="10"/>
  <c r="V189" i="10"/>
  <c r="X189" i="10"/>
  <c r="U189" i="10"/>
  <c r="Y189" i="10"/>
  <c r="N189" i="10"/>
  <c r="Q189" i="10"/>
  <c r="P189" i="10"/>
  <c r="R189" i="10"/>
  <c r="O189" i="10"/>
  <c r="S189" i="10"/>
  <c r="G189" i="10"/>
  <c r="J189" i="10"/>
  <c r="I189" i="10"/>
  <c r="K189" i="10"/>
  <c r="H189" i="10"/>
  <c r="L189" i="10"/>
  <c r="M188" i="10"/>
  <c r="T188" i="10"/>
  <c r="W188" i="10"/>
  <c r="V188" i="10"/>
  <c r="X188" i="10"/>
  <c r="U188" i="10"/>
  <c r="Y188" i="10"/>
  <c r="N188" i="10"/>
  <c r="Q188" i="10"/>
  <c r="P188" i="10"/>
  <c r="R188" i="10"/>
  <c r="O188" i="10"/>
  <c r="S188" i="10"/>
  <c r="G188" i="10"/>
  <c r="J188" i="10"/>
  <c r="I188" i="10"/>
  <c r="K188" i="10"/>
  <c r="H188" i="10"/>
  <c r="L188" i="10"/>
  <c r="M187" i="10"/>
  <c r="T187" i="10"/>
  <c r="W187" i="10"/>
  <c r="V187" i="10"/>
  <c r="X187" i="10"/>
  <c r="U187" i="10"/>
  <c r="Y187" i="10"/>
  <c r="N187" i="10"/>
  <c r="Q187" i="10"/>
  <c r="P187" i="10"/>
  <c r="R187" i="10"/>
  <c r="O187" i="10"/>
  <c r="S187" i="10"/>
  <c r="G187" i="10"/>
  <c r="J187" i="10"/>
  <c r="I187" i="10"/>
  <c r="K187" i="10"/>
  <c r="H187" i="10"/>
  <c r="L187" i="10"/>
  <c r="M186" i="10"/>
  <c r="T186" i="10"/>
  <c r="W186" i="10"/>
  <c r="V186" i="10"/>
  <c r="X186" i="10"/>
  <c r="U186" i="10"/>
  <c r="Y186" i="10"/>
  <c r="N186" i="10"/>
  <c r="Q186" i="10"/>
  <c r="P186" i="10"/>
  <c r="R186" i="10"/>
  <c r="O186" i="10"/>
  <c r="S186" i="10"/>
  <c r="G186" i="10"/>
  <c r="J186" i="10"/>
  <c r="I186" i="10"/>
  <c r="K186" i="10"/>
  <c r="H186" i="10"/>
  <c r="L186" i="10"/>
  <c r="M185" i="10"/>
  <c r="T185" i="10"/>
  <c r="W185" i="10"/>
  <c r="V185" i="10"/>
  <c r="X185" i="10"/>
  <c r="U185" i="10"/>
  <c r="Y185" i="10"/>
  <c r="N185" i="10"/>
  <c r="Q185" i="10"/>
  <c r="P185" i="10"/>
  <c r="R185" i="10"/>
  <c r="O185" i="10"/>
  <c r="S185" i="10"/>
  <c r="G185" i="10"/>
  <c r="J185" i="10"/>
  <c r="I185" i="10"/>
  <c r="K185" i="10"/>
  <c r="H185" i="10"/>
  <c r="L185" i="10"/>
  <c r="M184" i="10"/>
  <c r="T184" i="10"/>
  <c r="W184" i="10"/>
  <c r="V184" i="10"/>
  <c r="X184" i="10"/>
  <c r="U184" i="10"/>
  <c r="Y184" i="10"/>
  <c r="N184" i="10"/>
  <c r="Q184" i="10"/>
  <c r="P184" i="10"/>
  <c r="R184" i="10"/>
  <c r="O184" i="10"/>
  <c r="S184" i="10"/>
  <c r="G184" i="10"/>
  <c r="J184" i="10"/>
  <c r="I184" i="10"/>
  <c r="K184" i="10"/>
  <c r="H184" i="10"/>
  <c r="L184" i="10"/>
  <c r="M183" i="10"/>
  <c r="T183" i="10"/>
  <c r="W183" i="10"/>
  <c r="V183" i="10"/>
  <c r="X183" i="10"/>
  <c r="U183" i="10"/>
  <c r="Y183" i="10"/>
  <c r="N183" i="10"/>
  <c r="Q183" i="10"/>
  <c r="P183" i="10"/>
  <c r="R183" i="10"/>
  <c r="O183" i="10"/>
  <c r="S183" i="10"/>
  <c r="G183" i="10"/>
  <c r="J183" i="10"/>
  <c r="I183" i="10"/>
  <c r="K183" i="10"/>
  <c r="H183" i="10"/>
  <c r="L183" i="10"/>
  <c r="M182" i="10"/>
  <c r="T182" i="10"/>
  <c r="W182" i="10"/>
  <c r="V182" i="10"/>
  <c r="X182" i="10"/>
  <c r="U182" i="10"/>
  <c r="Y182" i="10"/>
  <c r="N182" i="10"/>
  <c r="Q182" i="10"/>
  <c r="P182" i="10"/>
  <c r="R182" i="10"/>
  <c r="O182" i="10"/>
  <c r="S182" i="10"/>
  <c r="G182" i="10"/>
  <c r="J182" i="10"/>
  <c r="I182" i="10"/>
  <c r="K182" i="10"/>
  <c r="H182" i="10"/>
  <c r="L182" i="10"/>
  <c r="M181" i="10"/>
  <c r="T181" i="10"/>
  <c r="W181" i="10"/>
  <c r="V181" i="10"/>
  <c r="X181" i="10"/>
  <c r="U181" i="10"/>
  <c r="Y181" i="10"/>
  <c r="N181" i="10"/>
  <c r="Q181" i="10"/>
  <c r="P181" i="10"/>
  <c r="R181" i="10"/>
  <c r="O181" i="10"/>
  <c r="S181" i="10"/>
  <c r="G181" i="10"/>
  <c r="J181" i="10"/>
  <c r="I181" i="10"/>
  <c r="K181" i="10"/>
  <c r="H181" i="10"/>
  <c r="L181" i="10"/>
  <c r="M180" i="10"/>
  <c r="T180" i="10"/>
  <c r="W180" i="10"/>
  <c r="V180" i="10"/>
  <c r="X180" i="10"/>
  <c r="U180" i="10"/>
  <c r="Y180" i="10"/>
  <c r="N180" i="10"/>
  <c r="Q180" i="10"/>
  <c r="P180" i="10"/>
  <c r="R180" i="10"/>
  <c r="O180" i="10"/>
  <c r="S180" i="10"/>
  <c r="G180" i="10"/>
  <c r="J180" i="10"/>
  <c r="I180" i="10"/>
  <c r="K180" i="10"/>
  <c r="H180" i="10"/>
  <c r="L180" i="10"/>
  <c r="M179" i="10"/>
  <c r="T179" i="10"/>
  <c r="W179" i="10"/>
  <c r="V179" i="10"/>
  <c r="X179" i="10"/>
  <c r="U179" i="10"/>
  <c r="Y179" i="10"/>
  <c r="N179" i="10"/>
  <c r="Q179" i="10"/>
  <c r="P179" i="10"/>
  <c r="R179" i="10"/>
  <c r="O179" i="10"/>
  <c r="S179" i="10"/>
  <c r="G179" i="10"/>
  <c r="J179" i="10"/>
  <c r="I179" i="10"/>
  <c r="K179" i="10"/>
  <c r="H179" i="10"/>
  <c r="L179" i="10"/>
  <c r="M178" i="10"/>
  <c r="T178" i="10"/>
  <c r="W178" i="10"/>
  <c r="V178" i="10"/>
  <c r="X178" i="10"/>
  <c r="U178" i="10"/>
  <c r="Y178" i="10"/>
  <c r="N178" i="10"/>
  <c r="Q178" i="10"/>
  <c r="P178" i="10"/>
  <c r="R178" i="10"/>
  <c r="O178" i="10"/>
  <c r="S178" i="10"/>
  <c r="G178" i="10"/>
  <c r="J178" i="10"/>
  <c r="I178" i="10"/>
  <c r="K178" i="10"/>
  <c r="H178" i="10"/>
  <c r="L178" i="10"/>
  <c r="M177" i="10"/>
  <c r="T177" i="10"/>
  <c r="W177" i="10"/>
  <c r="V177" i="10"/>
  <c r="X177" i="10"/>
  <c r="U177" i="10"/>
  <c r="Y177" i="10"/>
  <c r="N177" i="10"/>
  <c r="Q177" i="10"/>
  <c r="P177" i="10"/>
  <c r="R177" i="10"/>
  <c r="O177" i="10"/>
  <c r="S177" i="10"/>
  <c r="G177" i="10"/>
  <c r="J177" i="10"/>
  <c r="I177" i="10"/>
  <c r="K177" i="10"/>
  <c r="H177" i="10"/>
  <c r="L177" i="10"/>
  <c r="M176" i="10"/>
  <c r="T176" i="10"/>
  <c r="W176" i="10"/>
  <c r="V176" i="10"/>
  <c r="X176" i="10"/>
  <c r="U176" i="10"/>
  <c r="Y176" i="10"/>
  <c r="N176" i="10"/>
  <c r="Q176" i="10"/>
  <c r="P176" i="10"/>
  <c r="R176" i="10"/>
  <c r="O176" i="10"/>
  <c r="S176" i="10"/>
  <c r="G176" i="10"/>
  <c r="J176" i="10"/>
  <c r="I176" i="10"/>
  <c r="K176" i="10"/>
  <c r="H176" i="10"/>
  <c r="L176" i="10"/>
  <c r="M175" i="10"/>
  <c r="T175" i="10"/>
  <c r="W175" i="10"/>
  <c r="V175" i="10"/>
  <c r="X175" i="10"/>
  <c r="U175" i="10"/>
  <c r="Y175" i="10"/>
  <c r="N175" i="10"/>
  <c r="Q175" i="10"/>
  <c r="P175" i="10"/>
  <c r="R175" i="10"/>
  <c r="O175" i="10"/>
  <c r="S175" i="10"/>
  <c r="G175" i="10"/>
  <c r="J175" i="10"/>
  <c r="I175" i="10"/>
  <c r="K175" i="10"/>
  <c r="H175" i="10"/>
  <c r="L175" i="10"/>
  <c r="M174" i="10"/>
  <c r="T174" i="10"/>
  <c r="W174" i="10"/>
  <c r="V174" i="10"/>
  <c r="X174" i="10"/>
  <c r="U174" i="10"/>
  <c r="Y174" i="10"/>
  <c r="N174" i="10"/>
  <c r="Q174" i="10"/>
  <c r="P174" i="10"/>
  <c r="R174" i="10"/>
  <c r="O174" i="10"/>
  <c r="S174" i="10"/>
  <c r="G174" i="10"/>
  <c r="J174" i="10"/>
  <c r="I174" i="10"/>
  <c r="K174" i="10"/>
  <c r="H174" i="10"/>
  <c r="L174" i="10"/>
  <c r="M173" i="10"/>
  <c r="T173" i="10"/>
  <c r="W173" i="10"/>
  <c r="V173" i="10"/>
  <c r="X173" i="10"/>
  <c r="U173" i="10"/>
  <c r="Y173" i="10"/>
  <c r="N173" i="10"/>
  <c r="Q173" i="10"/>
  <c r="P173" i="10"/>
  <c r="R173" i="10"/>
  <c r="O173" i="10"/>
  <c r="S173" i="10"/>
  <c r="G173" i="10"/>
  <c r="J173" i="10"/>
  <c r="I173" i="10"/>
  <c r="K173" i="10"/>
  <c r="H173" i="10"/>
  <c r="L173" i="10"/>
  <c r="M172" i="10"/>
  <c r="T172" i="10"/>
  <c r="W172" i="10"/>
  <c r="V172" i="10"/>
  <c r="X172" i="10"/>
  <c r="U172" i="10"/>
  <c r="Y172" i="10"/>
  <c r="N172" i="10"/>
  <c r="Q172" i="10"/>
  <c r="P172" i="10"/>
  <c r="R172" i="10"/>
  <c r="O172" i="10"/>
  <c r="S172" i="10"/>
  <c r="G172" i="10"/>
  <c r="J172" i="10"/>
  <c r="I172" i="10"/>
  <c r="K172" i="10"/>
  <c r="H172" i="10"/>
  <c r="L172" i="10"/>
  <c r="M171" i="10"/>
  <c r="T171" i="10"/>
  <c r="W171" i="10"/>
  <c r="V171" i="10"/>
  <c r="X171" i="10"/>
  <c r="U171" i="10"/>
  <c r="Y171" i="10"/>
  <c r="N171" i="10"/>
  <c r="Q171" i="10"/>
  <c r="P171" i="10"/>
  <c r="R171" i="10"/>
  <c r="O171" i="10"/>
  <c r="S171" i="10"/>
  <c r="G171" i="10"/>
  <c r="J171" i="10"/>
  <c r="I171" i="10"/>
  <c r="K171" i="10"/>
  <c r="H171" i="10"/>
  <c r="L171" i="10"/>
  <c r="M170" i="10"/>
  <c r="T170" i="10"/>
  <c r="W170" i="10"/>
  <c r="V170" i="10"/>
  <c r="X170" i="10"/>
  <c r="U170" i="10"/>
  <c r="Y170" i="10"/>
  <c r="N170" i="10"/>
  <c r="Q170" i="10"/>
  <c r="P170" i="10"/>
  <c r="R170" i="10"/>
  <c r="O170" i="10"/>
  <c r="S170" i="10"/>
  <c r="G170" i="10"/>
  <c r="J170" i="10"/>
  <c r="I170" i="10"/>
  <c r="K170" i="10"/>
  <c r="H170" i="10"/>
  <c r="L170" i="10"/>
  <c r="M169" i="10"/>
  <c r="T169" i="10"/>
  <c r="W169" i="10"/>
  <c r="V169" i="10"/>
  <c r="X169" i="10"/>
  <c r="U169" i="10"/>
  <c r="Y169" i="10"/>
  <c r="N169" i="10"/>
  <c r="Q169" i="10"/>
  <c r="P169" i="10"/>
  <c r="R169" i="10"/>
  <c r="O169" i="10"/>
  <c r="S169" i="10"/>
  <c r="G169" i="10"/>
  <c r="J169" i="10"/>
  <c r="I169" i="10"/>
  <c r="K169" i="10"/>
  <c r="H169" i="10"/>
  <c r="L169" i="10"/>
  <c r="M168" i="10"/>
  <c r="T168" i="10"/>
  <c r="W168" i="10"/>
  <c r="V168" i="10"/>
  <c r="X168" i="10"/>
  <c r="U168" i="10"/>
  <c r="Y168" i="10"/>
  <c r="N168" i="10"/>
  <c r="Q168" i="10"/>
  <c r="P168" i="10"/>
  <c r="R168" i="10"/>
  <c r="O168" i="10"/>
  <c r="S168" i="10"/>
  <c r="G168" i="10"/>
  <c r="J168" i="10"/>
  <c r="I168" i="10"/>
  <c r="K168" i="10"/>
  <c r="H168" i="10"/>
  <c r="L168" i="10"/>
  <c r="M167" i="10"/>
  <c r="T167" i="10"/>
  <c r="W167" i="10"/>
  <c r="V167" i="10"/>
  <c r="X167" i="10"/>
  <c r="U167" i="10"/>
  <c r="Y167" i="10"/>
  <c r="N167" i="10"/>
  <c r="Q167" i="10"/>
  <c r="P167" i="10"/>
  <c r="R167" i="10"/>
  <c r="O167" i="10"/>
  <c r="S167" i="10"/>
  <c r="G167" i="10"/>
  <c r="J167" i="10"/>
  <c r="I167" i="10"/>
  <c r="K167" i="10"/>
  <c r="H167" i="10"/>
  <c r="L167" i="10"/>
  <c r="M166" i="10"/>
  <c r="T166" i="10"/>
  <c r="W166" i="10"/>
  <c r="V166" i="10"/>
  <c r="X166" i="10"/>
  <c r="U166" i="10"/>
  <c r="Y166" i="10"/>
  <c r="N166" i="10"/>
  <c r="Q166" i="10"/>
  <c r="P166" i="10"/>
  <c r="R166" i="10"/>
  <c r="O166" i="10"/>
  <c r="S166" i="10"/>
  <c r="G166" i="10"/>
  <c r="J166" i="10"/>
  <c r="I166" i="10"/>
  <c r="K166" i="10"/>
  <c r="H166" i="10"/>
  <c r="L166" i="10"/>
  <c r="M165" i="10"/>
  <c r="T165" i="10"/>
  <c r="W165" i="10"/>
  <c r="V165" i="10"/>
  <c r="X165" i="10"/>
  <c r="U165" i="10"/>
  <c r="Y165" i="10"/>
  <c r="N165" i="10"/>
  <c r="Q165" i="10"/>
  <c r="P165" i="10"/>
  <c r="R165" i="10"/>
  <c r="O165" i="10"/>
  <c r="S165" i="10"/>
  <c r="G165" i="10"/>
  <c r="J165" i="10"/>
  <c r="I165" i="10"/>
  <c r="K165" i="10"/>
  <c r="H165" i="10"/>
  <c r="L165" i="10"/>
  <c r="M164" i="10"/>
  <c r="T164" i="10"/>
  <c r="W164" i="10"/>
  <c r="V164" i="10"/>
  <c r="X164" i="10"/>
  <c r="U164" i="10"/>
  <c r="Y164" i="10"/>
  <c r="N164" i="10"/>
  <c r="Q164" i="10"/>
  <c r="P164" i="10"/>
  <c r="R164" i="10"/>
  <c r="O164" i="10"/>
  <c r="S164" i="10"/>
  <c r="G164" i="10"/>
  <c r="J164" i="10"/>
  <c r="I164" i="10"/>
  <c r="K164" i="10"/>
  <c r="H164" i="10"/>
  <c r="L164" i="10"/>
  <c r="M163" i="10"/>
  <c r="T163" i="10"/>
  <c r="W163" i="10"/>
  <c r="V163" i="10"/>
  <c r="X163" i="10"/>
  <c r="U163" i="10"/>
  <c r="Y163" i="10"/>
  <c r="N163" i="10"/>
  <c r="Q163" i="10"/>
  <c r="P163" i="10"/>
  <c r="R163" i="10"/>
  <c r="O163" i="10"/>
  <c r="S163" i="10"/>
  <c r="G163" i="10"/>
  <c r="J163" i="10"/>
  <c r="I163" i="10"/>
  <c r="K163" i="10"/>
  <c r="H163" i="10"/>
  <c r="L163" i="10"/>
  <c r="M162" i="10"/>
  <c r="T162" i="10"/>
  <c r="W162" i="10"/>
  <c r="V162" i="10"/>
  <c r="X162" i="10"/>
  <c r="U162" i="10"/>
  <c r="Y162" i="10"/>
  <c r="N162" i="10"/>
  <c r="Q162" i="10"/>
  <c r="P162" i="10"/>
  <c r="R162" i="10"/>
  <c r="O162" i="10"/>
  <c r="S162" i="10"/>
  <c r="G162" i="10"/>
  <c r="J162" i="10"/>
  <c r="I162" i="10"/>
  <c r="K162" i="10"/>
  <c r="H162" i="10"/>
  <c r="L162" i="10"/>
  <c r="M161" i="10"/>
  <c r="T161" i="10"/>
  <c r="W161" i="10"/>
  <c r="V161" i="10"/>
  <c r="X161" i="10"/>
  <c r="U161" i="10"/>
  <c r="Y161" i="10"/>
  <c r="N161" i="10"/>
  <c r="Q161" i="10"/>
  <c r="P161" i="10"/>
  <c r="R161" i="10"/>
  <c r="O161" i="10"/>
  <c r="S161" i="10"/>
  <c r="G161" i="10"/>
  <c r="J161" i="10"/>
  <c r="I161" i="10"/>
  <c r="K161" i="10"/>
  <c r="H161" i="10"/>
  <c r="L161" i="10"/>
  <c r="M160" i="10"/>
  <c r="T160" i="10"/>
  <c r="W160" i="10"/>
  <c r="V160" i="10"/>
  <c r="X160" i="10"/>
  <c r="U160" i="10"/>
  <c r="Y160" i="10"/>
  <c r="N160" i="10"/>
  <c r="Q160" i="10"/>
  <c r="P160" i="10"/>
  <c r="R160" i="10"/>
  <c r="O160" i="10"/>
  <c r="S160" i="10"/>
  <c r="G160" i="10"/>
  <c r="J160" i="10"/>
  <c r="I160" i="10"/>
  <c r="K160" i="10"/>
  <c r="H160" i="10"/>
  <c r="L160" i="10"/>
  <c r="M159" i="10"/>
  <c r="T159" i="10"/>
  <c r="W159" i="10"/>
  <c r="V159" i="10"/>
  <c r="X159" i="10"/>
  <c r="U159" i="10"/>
  <c r="Y159" i="10"/>
  <c r="N159" i="10"/>
  <c r="Q159" i="10"/>
  <c r="P159" i="10"/>
  <c r="R159" i="10"/>
  <c r="O159" i="10"/>
  <c r="S159" i="10"/>
  <c r="G159" i="10"/>
  <c r="J159" i="10"/>
  <c r="I159" i="10"/>
  <c r="K159" i="10"/>
  <c r="H159" i="10"/>
  <c r="L159" i="10"/>
  <c r="M158" i="10"/>
  <c r="T158" i="10"/>
  <c r="W158" i="10"/>
  <c r="V158" i="10"/>
  <c r="X158" i="10"/>
  <c r="U158" i="10"/>
  <c r="Y158" i="10"/>
  <c r="N158" i="10"/>
  <c r="Q158" i="10"/>
  <c r="P158" i="10"/>
  <c r="R158" i="10"/>
  <c r="O158" i="10"/>
  <c r="S158" i="10"/>
  <c r="G158" i="10"/>
  <c r="J158" i="10"/>
  <c r="I158" i="10"/>
  <c r="K158" i="10"/>
  <c r="H158" i="10"/>
  <c r="L158" i="10"/>
  <c r="M157" i="10"/>
  <c r="T157" i="10"/>
  <c r="W157" i="10"/>
  <c r="V157" i="10"/>
  <c r="X157" i="10"/>
  <c r="U157" i="10"/>
  <c r="Y157" i="10"/>
  <c r="N157" i="10"/>
  <c r="Q157" i="10"/>
  <c r="P157" i="10"/>
  <c r="R157" i="10"/>
  <c r="O157" i="10"/>
  <c r="S157" i="10"/>
  <c r="G157" i="10"/>
  <c r="J157" i="10"/>
  <c r="I157" i="10"/>
  <c r="K157" i="10"/>
  <c r="H157" i="10"/>
  <c r="L157" i="10"/>
  <c r="M156" i="10"/>
  <c r="T156" i="10"/>
  <c r="W156" i="10"/>
  <c r="V156" i="10"/>
  <c r="X156" i="10"/>
  <c r="U156" i="10"/>
  <c r="Y156" i="10"/>
  <c r="N156" i="10"/>
  <c r="Q156" i="10"/>
  <c r="P156" i="10"/>
  <c r="R156" i="10"/>
  <c r="O156" i="10"/>
  <c r="S156" i="10"/>
  <c r="G156" i="10"/>
  <c r="J156" i="10"/>
  <c r="I156" i="10"/>
  <c r="K156" i="10"/>
  <c r="H156" i="10"/>
  <c r="L156" i="10"/>
  <c r="M155" i="10"/>
  <c r="T155" i="10"/>
  <c r="W155" i="10"/>
  <c r="V155" i="10"/>
  <c r="X155" i="10"/>
  <c r="U155" i="10"/>
  <c r="Y155" i="10"/>
  <c r="N155" i="10"/>
  <c r="Q155" i="10"/>
  <c r="P155" i="10"/>
  <c r="R155" i="10"/>
  <c r="O155" i="10"/>
  <c r="S155" i="10"/>
  <c r="G155" i="10"/>
  <c r="J155" i="10"/>
  <c r="I155" i="10"/>
  <c r="K155" i="10"/>
  <c r="H155" i="10"/>
  <c r="L155" i="10"/>
  <c r="M154" i="10"/>
  <c r="T154" i="10"/>
  <c r="W154" i="10"/>
  <c r="V154" i="10"/>
  <c r="X154" i="10"/>
  <c r="U154" i="10"/>
  <c r="Y154" i="10"/>
  <c r="N154" i="10"/>
  <c r="Q154" i="10"/>
  <c r="P154" i="10"/>
  <c r="R154" i="10"/>
  <c r="O154" i="10"/>
  <c r="S154" i="10"/>
  <c r="G154" i="10"/>
  <c r="J154" i="10"/>
  <c r="I154" i="10"/>
  <c r="K154" i="10"/>
  <c r="H154" i="10"/>
  <c r="L154" i="10"/>
  <c r="M153" i="10"/>
  <c r="T153" i="10"/>
  <c r="W153" i="10"/>
  <c r="V153" i="10"/>
  <c r="X153" i="10"/>
  <c r="U153" i="10"/>
  <c r="Y153" i="10"/>
  <c r="N153" i="10"/>
  <c r="Q153" i="10"/>
  <c r="P153" i="10"/>
  <c r="R153" i="10"/>
  <c r="O153" i="10"/>
  <c r="S153" i="10"/>
  <c r="G153" i="10"/>
  <c r="J153" i="10"/>
  <c r="I153" i="10"/>
  <c r="K153" i="10"/>
  <c r="H153" i="10"/>
  <c r="L153" i="10"/>
  <c r="M152" i="10"/>
  <c r="T152" i="10"/>
  <c r="W152" i="10"/>
  <c r="V152" i="10"/>
  <c r="X152" i="10"/>
  <c r="U152" i="10"/>
  <c r="Y152" i="10"/>
  <c r="N152" i="10"/>
  <c r="Q152" i="10"/>
  <c r="P152" i="10"/>
  <c r="R152" i="10"/>
  <c r="O152" i="10"/>
  <c r="S152" i="10"/>
  <c r="G152" i="10"/>
  <c r="J152" i="10"/>
  <c r="I152" i="10"/>
  <c r="K152" i="10"/>
  <c r="H152" i="10"/>
  <c r="L152" i="10"/>
  <c r="M151" i="10"/>
  <c r="T151" i="10"/>
  <c r="W151" i="10"/>
  <c r="V151" i="10"/>
  <c r="X151" i="10"/>
  <c r="U151" i="10"/>
  <c r="Y151" i="10"/>
  <c r="N151" i="10"/>
  <c r="Q151" i="10"/>
  <c r="P151" i="10"/>
  <c r="R151" i="10"/>
  <c r="O151" i="10"/>
  <c r="S151" i="10"/>
  <c r="G151" i="10"/>
  <c r="J151" i="10"/>
  <c r="I151" i="10"/>
  <c r="K151" i="10"/>
  <c r="H151" i="10"/>
  <c r="L151" i="10"/>
  <c r="M150" i="10"/>
  <c r="T150" i="10"/>
  <c r="W150" i="10"/>
  <c r="V150" i="10"/>
  <c r="X150" i="10"/>
  <c r="U150" i="10"/>
  <c r="Y150" i="10"/>
  <c r="N150" i="10"/>
  <c r="Q150" i="10"/>
  <c r="P150" i="10"/>
  <c r="R150" i="10"/>
  <c r="O150" i="10"/>
  <c r="S150" i="10"/>
  <c r="G150" i="10"/>
  <c r="J150" i="10"/>
  <c r="I150" i="10"/>
  <c r="K150" i="10"/>
  <c r="H150" i="10"/>
  <c r="L150" i="10"/>
  <c r="M149" i="10"/>
  <c r="T149" i="10"/>
  <c r="W149" i="10"/>
  <c r="V149" i="10"/>
  <c r="X149" i="10"/>
  <c r="U149" i="10"/>
  <c r="Y149" i="10"/>
  <c r="N149" i="10"/>
  <c r="Q149" i="10"/>
  <c r="P149" i="10"/>
  <c r="R149" i="10"/>
  <c r="O149" i="10"/>
  <c r="S149" i="10"/>
  <c r="G149" i="10"/>
  <c r="J149" i="10"/>
  <c r="I149" i="10"/>
  <c r="K149" i="10"/>
  <c r="H149" i="10"/>
  <c r="L149" i="10"/>
  <c r="M148" i="10"/>
  <c r="T148" i="10"/>
  <c r="W148" i="10"/>
  <c r="V148" i="10"/>
  <c r="X148" i="10"/>
  <c r="U148" i="10"/>
  <c r="Y148" i="10"/>
  <c r="N148" i="10"/>
  <c r="Q148" i="10"/>
  <c r="P148" i="10"/>
  <c r="R148" i="10"/>
  <c r="O148" i="10"/>
  <c r="S148" i="10"/>
  <c r="G148" i="10"/>
  <c r="J148" i="10"/>
  <c r="I148" i="10"/>
  <c r="K148" i="10"/>
  <c r="H148" i="10"/>
  <c r="L148" i="10"/>
  <c r="M147" i="10"/>
  <c r="T147" i="10"/>
  <c r="W147" i="10"/>
  <c r="V147" i="10"/>
  <c r="X147" i="10"/>
  <c r="U147" i="10"/>
  <c r="Y147" i="10"/>
  <c r="N147" i="10"/>
  <c r="Q147" i="10"/>
  <c r="P147" i="10"/>
  <c r="R147" i="10"/>
  <c r="O147" i="10"/>
  <c r="S147" i="10"/>
  <c r="G147" i="10"/>
  <c r="J147" i="10"/>
  <c r="I147" i="10"/>
  <c r="K147" i="10"/>
  <c r="H147" i="10"/>
  <c r="L147" i="10"/>
  <c r="M146" i="10"/>
  <c r="T146" i="10"/>
  <c r="W146" i="10"/>
  <c r="V146" i="10"/>
  <c r="X146" i="10"/>
  <c r="U146" i="10"/>
  <c r="Y146" i="10"/>
  <c r="N146" i="10"/>
  <c r="Q146" i="10"/>
  <c r="P146" i="10"/>
  <c r="R146" i="10"/>
  <c r="O146" i="10"/>
  <c r="S146" i="10"/>
  <c r="G146" i="10"/>
  <c r="J146" i="10"/>
  <c r="I146" i="10"/>
  <c r="K146" i="10"/>
  <c r="H146" i="10"/>
  <c r="L146" i="10"/>
  <c r="M145" i="10"/>
  <c r="T145" i="10"/>
  <c r="W145" i="10"/>
  <c r="V145" i="10"/>
  <c r="X145" i="10"/>
  <c r="U145" i="10"/>
  <c r="Y145" i="10"/>
  <c r="N145" i="10"/>
  <c r="Q145" i="10"/>
  <c r="P145" i="10"/>
  <c r="R145" i="10"/>
  <c r="O145" i="10"/>
  <c r="S145" i="10"/>
  <c r="G145" i="10"/>
  <c r="J145" i="10"/>
  <c r="I145" i="10"/>
  <c r="K145" i="10"/>
  <c r="H145" i="10"/>
  <c r="L145" i="10"/>
  <c r="M144" i="10"/>
  <c r="T144" i="10"/>
  <c r="W144" i="10"/>
  <c r="V144" i="10"/>
  <c r="X144" i="10"/>
  <c r="U144" i="10"/>
  <c r="Y144" i="10"/>
  <c r="N144" i="10"/>
  <c r="Q144" i="10"/>
  <c r="P144" i="10"/>
  <c r="R144" i="10"/>
  <c r="O144" i="10"/>
  <c r="S144" i="10"/>
  <c r="G144" i="10"/>
  <c r="J144" i="10"/>
  <c r="I144" i="10"/>
  <c r="K144" i="10"/>
  <c r="H144" i="10"/>
  <c r="L144" i="10"/>
  <c r="M143" i="10"/>
  <c r="T143" i="10"/>
  <c r="W143" i="10"/>
  <c r="V143" i="10"/>
  <c r="X143" i="10"/>
  <c r="U143" i="10"/>
  <c r="Y143" i="10"/>
  <c r="N143" i="10"/>
  <c r="Q143" i="10"/>
  <c r="P143" i="10"/>
  <c r="R143" i="10"/>
  <c r="O143" i="10"/>
  <c r="S143" i="10"/>
  <c r="G143" i="10"/>
  <c r="J143" i="10"/>
  <c r="I143" i="10"/>
  <c r="K143" i="10"/>
  <c r="H143" i="10"/>
  <c r="L143" i="10"/>
  <c r="M142" i="10"/>
  <c r="T142" i="10"/>
  <c r="W142" i="10"/>
  <c r="V142" i="10"/>
  <c r="X142" i="10"/>
  <c r="U142" i="10"/>
  <c r="Y142" i="10"/>
  <c r="N142" i="10"/>
  <c r="Q142" i="10"/>
  <c r="P142" i="10"/>
  <c r="R142" i="10"/>
  <c r="O142" i="10"/>
  <c r="S142" i="10"/>
  <c r="G142" i="10"/>
  <c r="J142" i="10"/>
  <c r="I142" i="10"/>
  <c r="K142" i="10"/>
  <c r="H142" i="10"/>
  <c r="L142" i="10"/>
  <c r="M141" i="10"/>
  <c r="T141" i="10"/>
  <c r="W141" i="10"/>
  <c r="V141" i="10"/>
  <c r="X141" i="10"/>
  <c r="U141" i="10"/>
  <c r="Y141" i="10"/>
  <c r="N141" i="10"/>
  <c r="Q141" i="10"/>
  <c r="P141" i="10"/>
  <c r="R141" i="10"/>
  <c r="O141" i="10"/>
  <c r="S141" i="10"/>
  <c r="G141" i="10"/>
  <c r="J141" i="10"/>
  <c r="I141" i="10"/>
  <c r="K141" i="10"/>
  <c r="H141" i="10"/>
  <c r="L141" i="10"/>
  <c r="M140" i="10"/>
  <c r="T140" i="10"/>
  <c r="W140" i="10"/>
  <c r="V140" i="10"/>
  <c r="X140" i="10"/>
  <c r="U140" i="10"/>
  <c r="Y140" i="10"/>
  <c r="N140" i="10"/>
  <c r="Q140" i="10"/>
  <c r="P140" i="10"/>
  <c r="R140" i="10"/>
  <c r="O140" i="10"/>
  <c r="S140" i="10"/>
  <c r="G140" i="10"/>
  <c r="J140" i="10"/>
  <c r="I140" i="10"/>
  <c r="K140" i="10"/>
  <c r="H140" i="10"/>
  <c r="L140" i="10"/>
  <c r="M139" i="10"/>
  <c r="T139" i="10"/>
  <c r="W139" i="10"/>
  <c r="V139" i="10"/>
  <c r="X139" i="10"/>
  <c r="U139" i="10"/>
  <c r="Y139" i="10"/>
  <c r="N139" i="10"/>
  <c r="Q139" i="10"/>
  <c r="P139" i="10"/>
  <c r="R139" i="10"/>
  <c r="O139" i="10"/>
  <c r="S139" i="10"/>
  <c r="G139" i="10"/>
  <c r="J139" i="10"/>
  <c r="I139" i="10"/>
  <c r="K139" i="10"/>
  <c r="H139" i="10"/>
  <c r="L139" i="10"/>
  <c r="M138" i="10"/>
  <c r="T138" i="10"/>
  <c r="W138" i="10"/>
  <c r="V138" i="10"/>
  <c r="X138" i="10"/>
  <c r="U138" i="10"/>
  <c r="Y138" i="10"/>
  <c r="N138" i="10"/>
  <c r="Q138" i="10"/>
  <c r="P138" i="10"/>
  <c r="R138" i="10"/>
  <c r="O138" i="10"/>
  <c r="S138" i="10"/>
  <c r="G138" i="10"/>
  <c r="J138" i="10"/>
  <c r="I138" i="10"/>
  <c r="K138" i="10"/>
  <c r="H138" i="10"/>
  <c r="L138" i="10"/>
  <c r="M137" i="10"/>
  <c r="T137" i="10"/>
  <c r="W137" i="10"/>
  <c r="V137" i="10"/>
  <c r="X137" i="10"/>
  <c r="U137" i="10"/>
  <c r="Y137" i="10"/>
  <c r="N137" i="10"/>
  <c r="Q137" i="10"/>
  <c r="P137" i="10"/>
  <c r="R137" i="10"/>
  <c r="O137" i="10"/>
  <c r="S137" i="10"/>
  <c r="G137" i="10"/>
  <c r="J137" i="10"/>
  <c r="I137" i="10"/>
  <c r="K137" i="10"/>
  <c r="H137" i="10"/>
  <c r="L137" i="10"/>
  <c r="M136" i="10"/>
  <c r="T136" i="10"/>
  <c r="W136" i="10"/>
  <c r="V136" i="10"/>
  <c r="X136" i="10"/>
  <c r="U136" i="10"/>
  <c r="Y136" i="10"/>
  <c r="N136" i="10"/>
  <c r="Q136" i="10"/>
  <c r="P136" i="10"/>
  <c r="R136" i="10"/>
  <c r="O136" i="10"/>
  <c r="S136" i="10"/>
  <c r="G136" i="10"/>
  <c r="J136" i="10"/>
  <c r="I136" i="10"/>
  <c r="K136" i="10"/>
  <c r="H136" i="10"/>
  <c r="L136" i="10"/>
  <c r="M135" i="10"/>
  <c r="T135" i="10"/>
  <c r="W135" i="10"/>
  <c r="V135" i="10"/>
  <c r="X135" i="10"/>
  <c r="U135" i="10"/>
  <c r="Y135" i="10"/>
  <c r="N135" i="10"/>
  <c r="Q135" i="10"/>
  <c r="P135" i="10"/>
  <c r="R135" i="10"/>
  <c r="O135" i="10"/>
  <c r="S135" i="10"/>
  <c r="G135" i="10"/>
  <c r="J135" i="10"/>
  <c r="I135" i="10"/>
  <c r="K135" i="10"/>
  <c r="H135" i="10"/>
  <c r="L135" i="10"/>
  <c r="M134" i="10"/>
  <c r="T134" i="10"/>
  <c r="W134" i="10"/>
  <c r="V134" i="10"/>
  <c r="X134" i="10"/>
  <c r="U134" i="10"/>
  <c r="Y134" i="10"/>
  <c r="N134" i="10"/>
  <c r="Q134" i="10"/>
  <c r="P134" i="10"/>
  <c r="R134" i="10"/>
  <c r="O134" i="10"/>
  <c r="S134" i="10"/>
  <c r="G134" i="10"/>
  <c r="J134" i="10"/>
  <c r="I134" i="10"/>
  <c r="K134" i="10"/>
  <c r="H134" i="10"/>
  <c r="L134" i="10"/>
  <c r="M133" i="10"/>
  <c r="T133" i="10"/>
  <c r="W133" i="10"/>
  <c r="V133" i="10"/>
  <c r="X133" i="10"/>
  <c r="U133" i="10"/>
  <c r="Y133" i="10"/>
  <c r="N133" i="10"/>
  <c r="Q133" i="10"/>
  <c r="P133" i="10"/>
  <c r="R133" i="10"/>
  <c r="O133" i="10"/>
  <c r="S133" i="10"/>
  <c r="G133" i="10"/>
  <c r="J133" i="10"/>
  <c r="I133" i="10"/>
  <c r="K133" i="10"/>
  <c r="H133" i="10"/>
  <c r="L133" i="10"/>
  <c r="M132" i="10"/>
  <c r="T132" i="10"/>
  <c r="W132" i="10"/>
  <c r="V132" i="10"/>
  <c r="X132" i="10"/>
  <c r="U132" i="10"/>
  <c r="Y132" i="10"/>
  <c r="N132" i="10"/>
  <c r="Q132" i="10"/>
  <c r="P132" i="10"/>
  <c r="R132" i="10"/>
  <c r="O132" i="10"/>
  <c r="S132" i="10"/>
  <c r="G132" i="10"/>
  <c r="J132" i="10"/>
  <c r="I132" i="10"/>
  <c r="K132" i="10"/>
  <c r="H132" i="10"/>
  <c r="L132" i="10"/>
  <c r="M131" i="10"/>
  <c r="T131" i="10"/>
  <c r="W131" i="10"/>
  <c r="V131" i="10"/>
  <c r="X131" i="10"/>
  <c r="U131" i="10"/>
  <c r="Y131" i="10"/>
  <c r="N131" i="10"/>
  <c r="Q131" i="10"/>
  <c r="P131" i="10"/>
  <c r="R131" i="10"/>
  <c r="O131" i="10"/>
  <c r="S131" i="10"/>
  <c r="G131" i="10"/>
  <c r="J131" i="10"/>
  <c r="I131" i="10"/>
  <c r="K131" i="10"/>
  <c r="H131" i="10"/>
  <c r="L131" i="10"/>
  <c r="M130" i="10"/>
  <c r="T130" i="10"/>
  <c r="W130" i="10"/>
  <c r="V130" i="10"/>
  <c r="X130" i="10"/>
  <c r="U130" i="10"/>
  <c r="Y130" i="10"/>
  <c r="N130" i="10"/>
  <c r="Q130" i="10"/>
  <c r="P130" i="10"/>
  <c r="R130" i="10"/>
  <c r="O130" i="10"/>
  <c r="S130" i="10"/>
  <c r="G130" i="10"/>
  <c r="J130" i="10"/>
  <c r="I130" i="10"/>
  <c r="K130" i="10"/>
  <c r="H130" i="10"/>
  <c r="L130" i="10"/>
  <c r="M129" i="10"/>
  <c r="T129" i="10"/>
  <c r="W129" i="10"/>
  <c r="V129" i="10"/>
  <c r="X129" i="10"/>
  <c r="U129" i="10"/>
  <c r="Y129" i="10"/>
  <c r="N129" i="10"/>
  <c r="Q129" i="10"/>
  <c r="P129" i="10"/>
  <c r="R129" i="10"/>
  <c r="O129" i="10"/>
  <c r="S129" i="10"/>
  <c r="G129" i="10"/>
  <c r="J129" i="10"/>
  <c r="I129" i="10"/>
  <c r="K129" i="10"/>
  <c r="H129" i="10"/>
  <c r="L129" i="10"/>
  <c r="M128" i="10"/>
  <c r="T128" i="10"/>
  <c r="W128" i="10"/>
  <c r="V128" i="10"/>
  <c r="X128" i="10"/>
  <c r="U128" i="10"/>
  <c r="Y128" i="10"/>
  <c r="N128" i="10"/>
  <c r="Q128" i="10"/>
  <c r="P128" i="10"/>
  <c r="R128" i="10"/>
  <c r="O128" i="10"/>
  <c r="S128" i="10"/>
  <c r="G128" i="10"/>
  <c r="J128" i="10"/>
  <c r="I128" i="10"/>
  <c r="K128" i="10"/>
  <c r="H128" i="10"/>
  <c r="L128" i="10"/>
  <c r="M127" i="10"/>
  <c r="T127" i="10"/>
  <c r="W127" i="10"/>
  <c r="V127" i="10"/>
  <c r="X127" i="10"/>
  <c r="U127" i="10"/>
  <c r="Y127" i="10"/>
  <c r="N127" i="10"/>
  <c r="Q127" i="10"/>
  <c r="P127" i="10"/>
  <c r="R127" i="10"/>
  <c r="O127" i="10"/>
  <c r="S127" i="10"/>
  <c r="G127" i="10"/>
  <c r="J127" i="10"/>
  <c r="I127" i="10"/>
  <c r="K127" i="10"/>
  <c r="H127" i="10"/>
  <c r="L127" i="10"/>
  <c r="M126" i="10"/>
  <c r="T126" i="10"/>
  <c r="W126" i="10"/>
  <c r="V126" i="10"/>
  <c r="X126" i="10"/>
  <c r="U126" i="10"/>
  <c r="Y126" i="10"/>
  <c r="N126" i="10"/>
  <c r="Q126" i="10"/>
  <c r="P126" i="10"/>
  <c r="R126" i="10"/>
  <c r="O126" i="10"/>
  <c r="S126" i="10"/>
  <c r="G126" i="10"/>
  <c r="J126" i="10"/>
  <c r="I126" i="10"/>
  <c r="K126" i="10"/>
  <c r="H126" i="10"/>
  <c r="L126" i="10"/>
  <c r="M125" i="10"/>
  <c r="T125" i="10"/>
  <c r="W125" i="10"/>
  <c r="V125" i="10"/>
  <c r="X125" i="10"/>
  <c r="U125" i="10"/>
  <c r="Y125" i="10"/>
  <c r="N125" i="10"/>
  <c r="Q125" i="10"/>
  <c r="P125" i="10"/>
  <c r="R125" i="10"/>
  <c r="O125" i="10"/>
  <c r="S125" i="10"/>
  <c r="G125" i="10"/>
  <c r="J125" i="10"/>
  <c r="I125" i="10"/>
  <c r="K125" i="10"/>
  <c r="H125" i="10"/>
  <c r="L125" i="10"/>
  <c r="M124" i="10"/>
  <c r="T124" i="10"/>
  <c r="W124" i="10"/>
  <c r="V124" i="10"/>
  <c r="X124" i="10"/>
  <c r="U124" i="10"/>
  <c r="Y124" i="10"/>
  <c r="N124" i="10"/>
  <c r="Q124" i="10"/>
  <c r="P124" i="10"/>
  <c r="R124" i="10"/>
  <c r="O124" i="10"/>
  <c r="S124" i="10"/>
  <c r="G124" i="10"/>
  <c r="J124" i="10"/>
  <c r="I124" i="10"/>
  <c r="K124" i="10"/>
  <c r="H124" i="10"/>
  <c r="L124" i="10"/>
  <c r="M123" i="10"/>
  <c r="T123" i="10"/>
  <c r="W123" i="10"/>
  <c r="V123" i="10"/>
  <c r="X123" i="10"/>
  <c r="U123" i="10"/>
  <c r="Y123" i="10"/>
  <c r="N123" i="10"/>
  <c r="Q123" i="10"/>
  <c r="P123" i="10"/>
  <c r="R123" i="10"/>
  <c r="O123" i="10"/>
  <c r="S123" i="10"/>
  <c r="G123" i="10"/>
  <c r="J123" i="10"/>
  <c r="I123" i="10"/>
  <c r="K123" i="10"/>
  <c r="H123" i="10"/>
  <c r="L123" i="10"/>
  <c r="M122" i="10"/>
  <c r="T122" i="10"/>
  <c r="W122" i="10"/>
  <c r="V122" i="10"/>
  <c r="X122" i="10"/>
  <c r="U122" i="10"/>
  <c r="Y122" i="10"/>
  <c r="N122" i="10"/>
  <c r="Q122" i="10"/>
  <c r="P122" i="10"/>
  <c r="R122" i="10"/>
  <c r="O122" i="10"/>
  <c r="S122" i="10"/>
  <c r="G122" i="10"/>
  <c r="J122" i="10"/>
  <c r="I122" i="10"/>
  <c r="K122" i="10"/>
  <c r="H122" i="10"/>
  <c r="L122" i="10"/>
  <c r="M121" i="10"/>
  <c r="T121" i="10"/>
  <c r="W121" i="10"/>
  <c r="V121" i="10"/>
  <c r="X121" i="10"/>
  <c r="U121" i="10"/>
  <c r="Y121" i="10"/>
  <c r="N121" i="10"/>
  <c r="Q121" i="10"/>
  <c r="P121" i="10"/>
  <c r="R121" i="10"/>
  <c r="O121" i="10"/>
  <c r="S121" i="10"/>
  <c r="G121" i="10"/>
  <c r="J121" i="10"/>
  <c r="I121" i="10"/>
  <c r="K121" i="10"/>
  <c r="H121" i="10"/>
  <c r="L121" i="10"/>
  <c r="M120" i="10"/>
  <c r="T120" i="10"/>
  <c r="W120" i="10"/>
  <c r="V120" i="10"/>
  <c r="X120" i="10"/>
  <c r="U120" i="10"/>
  <c r="Y120" i="10"/>
  <c r="N120" i="10"/>
  <c r="Q120" i="10"/>
  <c r="P120" i="10"/>
  <c r="R120" i="10"/>
  <c r="O120" i="10"/>
  <c r="S120" i="10"/>
  <c r="G120" i="10"/>
  <c r="J120" i="10"/>
  <c r="I120" i="10"/>
  <c r="K120" i="10"/>
  <c r="H120" i="10"/>
  <c r="L120" i="10"/>
  <c r="M119" i="10"/>
  <c r="T119" i="10"/>
  <c r="W119" i="10"/>
  <c r="V119" i="10"/>
  <c r="X119" i="10"/>
  <c r="U119" i="10"/>
  <c r="Y119" i="10"/>
  <c r="N119" i="10"/>
  <c r="Q119" i="10"/>
  <c r="P119" i="10"/>
  <c r="R119" i="10"/>
  <c r="O119" i="10"/>
  <c r="S119" i="10"/>
  <c r="G119" i="10"/>
  <c r="J119" i="10"/>
  <c r="I119" i="10"/>
  <c r="K119" i="10"/>
  <c r="H119" i="10"/>
  <c r="L119" i="10"/>
  <c r="M118" i="10"/>
  <c r="T118" i="10"/>
  <c r="W118" i="10"/>
  <c r="V118" i="10"/>
  <c r="X118" i="10"/>
  <c r="U118" i="10"/>
  <c r="Y118" i="10"/>
  <c r="N118" i="10"/>
  <c r="Q118" i="10"/>
  <c r="P118" i="10"/>
  <c r="R118" i="10"/>
  <c r="O118" i="10"/>
  <c r="S118" i="10"/>
  <c r="G118" i="10"/>
  <c r="J118" i="10"/>
  <c r="I118" i="10"/>
  <c r="K118" i="10"/>
  <c r="H118" i="10"/>
  <c r="L118" i="10"/>
  <c r="M117" i="10"/>
  <c r="T117" i="10"/>
  <c r="W117" i="10"/>
  <c r="V117" i="10"/>
  <c r="X117" i="10"/>
  <c r="U117" i="10"/>
  <c r="Y117" i="10"/>
  <c r="N117" i="10"/>
  <c r="Q117" i="10"/>
  <c r="P117" i="10"/>
  <c r="R117" i="10"/>
  <c r="O117" i="10"/>
  <c r="S117" i="10"/>
  <c r="G117" i="10"/>
  <c r="J117" i="10"/>
  <c r="I117" i="10"/>
  <c r="K117" i="10"/>
  <c r="H117" i="10"/>
  <c r="L117" i="10"/>
  <c r="M116" i="10"/>
  <c r="T116" i="10"/>
  <c r="W116" i="10"/>
  <c r="V116" i="10"/>
  <c r="X116" i="10"/>
  <c r="U116" i="10"/>
  <c r="Y116" i="10"/>
  <c r="N116" i="10"/>
  <c r="Q116" i="10"/>
  <c r="P116" i="10"/>
  <c r="R116" i="10"/>
  <c r="O116" i="10"/>
  <c r="S116" i="10"/>
  <c r="G116" i="10"/>
  <c r="J116" i="10"/>
  <c r="I116" i="10"/>
  <c r="K116" i="10"/>
  <c r="H116" i="10"/>
  <c r="L116" i="10"/>
  <c r="M115" i="10"/>
  <c r="T115" i="10"/>
  <c r="W115" i="10"/>
  <c r="V115" i="10"/>
  <c r="X115" i="10"/>
  <c r="U115" i="10"/>
  <c r="Y115" i="10"/>
  <c r="N115" i="10"/>
  <c r="Q115" i="10"/>
  <c r="P115" i="10"/>
  <c r="R115" i="10"/>
  <c r="O115" i="10"/>
  <c r="S115" i="10"/>
  <c r="G115" i="10"/>
  <c r="J115" i="10"/>
  <c r="I115" i="10"/>
  <c r="K115" i="10"/>
  <c r="H115" i="10"/>
  <c r="L115" i="10"/>
  <c r="M114" i="10"/>
  <c r="T114" i="10"/>
  <c r="W114" i="10"/>
  <c r="V114" i="10"/>
  <c r="X114" i="10"/>
  <c r="U114" i="10"/>
  <c r="Y114" i="10"/>
  <c r="N114" i="10"/>
  <c r="Q114" i="10"/>
  <c r="P114" i="10"/>
  <c r="R114" i="10"/>
  <c r="O114" i="10"/>
  <c r="S114" i="10"/>
  <c r="G114" i="10"/>
  <c r="J114" i="10"/>
  <c r="I114" i="10"/>
  <c r="K114" i="10"/>
  <c r="H114" i="10"/>
  <c r="L114" i="10"/>
  <c r="M113" i="10"/>
  <c r="T113" i="10"/>
  <c r="W113" i="10"/>
  <c r="V113" i="10"/>
  <c r="X113" i="10"/>
  <c r="U113" i="10"/>
  <c r="Y113" i="10"/>
  <c r="N113" i="10"/>
  <c r="Q113" i="10"/>
  <c r="P113" i="10"/>
  <c r="R113" i="10"/>
  <c r="O113" i="10"/>
  <c r="S113" i="10"/>
  <c r="G113" i="10"/>
  <c r="J113" i="10"/>
  <c r="I113" i="10"/>
  <c r="K113" i="10"/>
  <c r="H113" i="10"/>
  <c r="L113" i="10"/>
  <c r="M112" i="10"/>
  <c r="T112" i="10"/>
  <c r="W112" i="10"/>
  <c r="V112" i="10"/>
  <c r="X112" i="10"/>
  <c r="U112" i="10"/>
  <c r="Y112" i="10"/>
  <c r="N112" i="10"/>
  <c r="Q112" i="10"/>
  <c r="P112" i="10"/>
  <c r="R112" i="10"/>
  <c r="O112" i="10"/>
  <c r="S112" i="10"/>
  <c r="G112" i="10"/>
  <c r="J112" i="10"/>
  <c r="I112" i="10"/>
  <c r="K112" i="10"/>
  <c r="H112" i="10"/>
  <c r="L112" i="10"/>
  <c r="M111" i="10"/>
  <c r="T111" i="10"/>
  <c r="W111" i="10"/>
  <c r="V111" i="10"/>
  <c r="X111" i="10"/>
  <c r="U111" i="10"/>
  <c r="Y111" i="10"/>
  <c r="N111" i="10"/>
  <c r="Q111" i="10"/>
  <c r="P111" i="10"/>
  <c r="R111" i="10"/>
  <c r="O111" i="10"/>
  <c r="S111" i="10"/>
  <c r="G111" i="10"/>
  <c r="J111" i="10"/>
  <c r="I111" i="10"/>
  <c r="K111" i="10"/>
  <c r="H111" i="10"/>
  <c r="L111" i="10"/>
  <c r="M110" i="10"/>
  <c r="T110" i="10"/>
  <c r="W110" i="10"/>
  <c r="V110" i="10"/>
  <c r="X110" i="10"/>
  <c r="U110" i="10"/>
  <c r="Y110" i="10"/>
  <c r="N110" i="10"/>
  <c r="Q110" i="10"/>
  <c r="P110" i="10"/>
  <c r="R110" i="10"/>
  <c r="O110" i="10"/>
  <c r="S110" i="10"/>
  <c r="G110" i="10"/>
  <c r="J110" i="10"/>
  <c r="I110" i="10"/>
  <c r="K110" i="10"/>
  <c r="H110" i="10"/>
  <c r="L110" i="10"/>
  <c r="M109" i="10"/>
  <c r="T109" i="10"/>
  <c r="W109" i="10"/>
  <c r="V109" i="10"/>
  <c r="X109" i="10"/>
  <c r="U109" i="10"/>
  <c r="Y109" i="10"/>
  <c r="N109" i="10"/>
  <c r="Q109" i="10"/>
  <c r="P109" i="10"/>
  <c r="R109" i="10"/>
  <c r="O109" i="10"/>
  <c r="S109" i="10"/>
  <c r="G109" i="10"/>
  <c r="J109" i="10"/>
  <c r="I109" i="10"/>
  <c r="K109" i="10"/>
  <c r="H109" i="10"/>
  <c r="L109" i="10"/>
  <c r="M108" i="10"/>
  <c r="T108" i="10"/>
  <c r="W108" i="10"/>
  <c r="V108" i="10"/>
  <c r="X108" i="10"/>
  <c r="U108" i="10"/>
  <c r="Y108" i="10"/>
  <c r="N108" i="10"/>
  <c r="Q108" i="10"/>
  <c r="P108" i="10"/>
  <c r="R108" i="10"/>
  <c r="O108" i="10"/>
  <c r="S108" i="10"/>
  <c r="G108" i="10"/>
  <c r="J108" i="10"/>
  <c r="I108" i="10"/>
  <c r="K108" i="10"/>
  <c r="H108" i="10"/>
  <c r="L108" i="10"/>
  <c r="M107" i="10"/>
  <c r="T107" i="10"/>
  <c r="W107" i="10"/>
  <c r="V107" i="10"/>
  <c r="X107" i="10"/>
  <c r="U107" i="10"/>
  <c r="Y107" i="10"/>
  <c r="N107" i="10"/>
  <c r="Q107" i="10"/>
  <c r="P107" i="10"/>
  <c r="R107" i="10"/>
  <c r="O107" i="10"/>
  <c r="S107" i="10"/>
  <c r="G107" i="10"/>
  <c r="J107" i="10"/>
  <c r="I107" i="10"/>
  <c r="K107" i="10"/>
  <c r="H107" i="10"/>
  <c r="L107" i="10"/>
  <c r="M106" i="10"/>
  <c r="T106" i="10"/>
  <c r="W106" i="10"/>
  <c r="V106" i="10"/>
  <c r="X106" i="10"/>
  <c r="U106" i="10"/>
  <c r="Y106" i="10"/>
  <c r="N106" i="10"/>
  <c r="Q106" i="10"/>
  <c r="P106" i="10"/>
  <c r="R106" i="10"/>
  <c r="O106" i="10"/>
  <c r="S106" i="10"/>
  <c r="G106" i="10"/>
  <c r="J106" i="10"/>
  <c r="I106" i="10"/>
  <c r="K106" i="10"/>
  <c r="H106" i="10"/>
  <c r="L106" i="10"/>
  <c r="M105" i="10"/>
  <c r="T105" i="10"/>
  <c r="W105" i="10"/>
  <c r="V105" i="10"/>
  <c r="X105" i="10"/>
  <c r="U105" i="10"/>
  <c r="Y105" i="10"/>
  <c r="N105" i="10"/>
  <c r="Q105" i="10"/>
  <c r="P105" i="10"/>
  <c r="R105" i="10"/>
  <c r="O105" i="10"/>
  <c r="S105" i="10"/>
  <c r="G105" i="10"/>
  <c r="J105" i="10"/>
  <c r="I105" i="10"/>
  <c r="K105" i="10"/>
  <c r="H105" i="10"/>
  <c r="L105" i="10"/>
  <c r="M104" i="10"/>
  <c r="T104" i="10"/>
  <c r="W104" i="10"/>
  <c r="V104" i="10"/>
  <c r="X104" i="10"/>
  <c r="U104" i="10"/>
  <c r="Y104" i="10"/>
  <c r="N104" i="10"/>
  <c r="Q104" i="10"/>
  <c r="P104" i="10"/>
  <c r="R104" i="10"/>
  <c r="O104" i="10"/>
  <c r="S104" i="10"/>
  <c r="G104" i="10"/>
  <c r="J104" i="10"/>
  <c r="I104" i="10"/>
  <c r="K104" i="10"/>
  <c r="H104" i="10"/>
  <c r="L104" i="10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Y13" i="7"/>
  <c r="W13" i="7"/>
  <c r="U13" i="7"/>
  <c r="R13" i="7"/>
  <c r="Q13" i="7"/>
  <c r="P13" i="7"/>
  <c r="O13" i="7"/>
  <c r="N13" i="7"/>
  <c r="H13" i="7"/>
  <c r="J13" i="7"/>
  <c r="I13" i="7"/>
  <c r="D13" i="7"/>
  <c r="F13" i="7"/>
  <c r="E13" i="7"/>
  <c r="A13" i="7"/>
  <c r="Y12" i="7"/>
  <c r="W12" i="7"/>
  <c r="U12" i="7"/>
  <c r="R12" i="7"/>
  <c r="Q12" i="7"/>
  <c r="P12" i="7"/>
  <c r="O12" i="7"/>
  <c r="N12" i="7"/>
  <c r="H12" i="7"/>
  <c r="J12" i="7"/>
  <c r="I12" i="7"/>
  <c r="D12" i="7"/>
  <c r="F12" i="7"/>
  <c r="E12" i="7"/>
  <c r="A12" i="7"/>
  <c r="Y11" i="7"/>
  <c r="W11" i="7"/>
  <c r="U11" i="7"/>
  <c r="R11" i="7"/>
  <c r="Q11" i="7"/>
  <c r="P11" i="7"/>
  <c r="O11" i="7"/>
  <c r="N11" i="7"/>
  <c r="H11" i="7"/>
  <c r="J11" i="7"/>
  <c r="I11" i="7"/>
  <c r="D11" i="7"/>
  <c r="F11" i="7"/>
  <c r="E11" i="7"/>
  <c r="A11" i="7"/>
  <c r="Y10" i="7"/>
  <c r="W10" i="7"/>
  <c r="U10" i="7"/>
  <c r="R10" i="7"/>
  <c r="Q10" i="7"/>
  <c r="P10" i="7"/>
  <c r="O10" i="7"/>
  <c r="N10" i="7"/>
  <c r="H10" i="7"/>
  <c r="J10" i="7"/>
  <c r="I10" i="7"/>
  <c r="D10" i="7"/>
  <c r="F10" i="7"/>
  <c r="E10" i="7"/>
  <c r="A10" i="7"/>
  <c r="Y9" i="7"/>
  <c r="W9" i="7"/>
  <c r="U9" i="7"/>
  <c r="R9" i="7"/>
  <c r="Q9" i="7"/>
  <c r="P9" i="7"/>
  <c r="O9" i="7"/>
  <c r="N9" i="7"/>
  <c r="H9" i="7"/>
  <c r="J9" i="7"/>
  <c r="I9" i="7"/>
  <c r="D9" i="7"/>
  <c r="F9" i="7"/>
  <c r="E9" i="7"/>
  <c r="A9" i="7"/>
  <c r="Y8" i="7"/>
  <c r="W8" i="7"/>
  <c r="U8" i="7"/>
  <c r="R8" i="7"/>
  <c r="Q8" i="7"/>
  <c r="P8" i="7"/>
  <c r="O8" i="7"/>
  <c r="N8" i="7"/>
  <c r="H8" i="7"/>
  <c r="J8" i="7"/>
  <c r="I8" i="7"/>
  <c r="D8" i="7"/>
  <c r="F8" i="7"/>
  <c r="E8" i="7"/>
  <c r="A8" i="7"/>
  <c r="E114" i="9"/>
  <c r="M90" i="10"/>
  <c r="M99" i="10"/>
  <c r="N99" i="10"/>
  <c r="Q99" i="10"/>
  <c r="P99" i="10"/>
  <c r="R99" i="10"/>
  <c r="O99" i="10"/>
  <c r="S99" i="10"/>
  <c r="N90" i="10"/>
  <c r="Q90" i="10"/>
  <c r="P90" i="10"/>
  <c r="R90" i="10"/>
  <c r="O90" i="10"/>
  <c r="S90" i="10"/>
  <c r="M95" i="10"/>
  <c r="N95" i="10"/>
  <c r="Q95" i="10"/>
  <c r="P95" i="10"/>
  <c r="R95" i="10"/>
  <c r="O95" i="10"/>
  <c r="S95" i="10"/>
  <c r="B9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G4" i="9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J5" i="11"/>
  <c r="O5" i="9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J7" i="11"/>
  <c r="O7" i="9"/>
  <c r="G8" i="9"/>
  <c r="H8" i="9"/>
  <c r="I8" i="9"/>
  <c r="J8" i="9"/>
  <c r="K8" i="9"/>
  <c r="L8" i="9"/>
  <c r="M8" i="9"/>
  <c r="N8" i="9"/>
  <c r="J8" i="11"/>
  <c r="O8" i="9"/>
  <c r="G9" i="9"/>
  <c r="H9" i="9"/>
  <c r="I9" i="9"/>
  <c r="J9" i="9"/>
  <c r="K9" i="9"/>
  <c r="L9" i="9"/>
  <c r="M9" i="9"/>
  <c r="N9" i="9"/>
  <c r="J9" i="11"/>
  <c r="O9" i="9"/>
  <c r="G10" i="9"/>
  <c r="H10" i="9"/>
  <c r="I10" i="9"/>
  <c r="J10" i="9"/>
  <c r="K10" i="9"/>
  <c r="L10" i="9"/>
  <c r="M10" i="9"/>
  <c r="N10" i="9"/>
  <c r="J10" i="11"/>
  <c r="O10" i="9"/>
  <c r="G11" i="9"/>
  <c r="H11" i="9"/>
  <c r="I11" i="9"/>
  <c r="J11" i="9"/>
  <c r="K11" i="9"/>
  <c r="L11" i="9"/>
  <c r="M11" i="9"/>
  <c r="N11" i="9"/>
  <c r="J11" i="11"/>
  <c r="O11" i="9"/>
  <c r="G12" i="9"/>
  <c r="H12" i="9"/>
  <c r="I12" i="9"/>
  <c r="J12" i="9"/>
  <c r="K12" i="9"/>
  <c r="L12" i="9"/>
  <c r="M12" i="9"/>
  <c r="N12" i="9"/>
  <c r="J12" i="11"/>
  <c r="O12" i="9"/>
  <c r="G13" i="9"/>
  <c r="H13" i="9"/>
  <c r="I13" i="9"/>
  <c r="J13" i="9"/>
  <c r="K13" i="9"/>
  <c r="L13" i="9"/>
  <c r="M13" i="9"/>
  <c r="N13" i="9"/>
  <c r="J13" i="11"/>
  <c r="O13" i="9"/>
  <c r="G14" i="9"/>
  <c r="H14" i="9"/>
  <c r="I14" i="9"/>
  <c r="J14" i="9"/>
  <c r="K14" i="9"/>
  <c r="L14" i="9"/>
  <c r="M14" i="9"/>
  <c r="N14" i="9"/>
  <c r="J14" i="11"/>
  <c r="O14" i="9"/>
  <c r="G15" i="9"/>
  <c r="H15" i="9"/>
  <c r="I15" i="9"/>
  <c r="J15" i="9"/>
  <c r="K15" i="9"/>
  <c r="L15" i="9"/>
  <c r="M15" i="9"/>
  <c r="N15" i="9"/>
  <c r="J15" i="11"/>
  <c r="O15" i="9"/>
  <c r="G16" i="9"/>
  <c r="H16" i="9"/>
  <c r="I16" i="9"/>
  <c r="J16" i="9"/>
  <c r="K16" i="9"/>
  <c r="L16" i="9"/>
  <c r="M16" i="9"/>
  <c r="N16" i="9"/>
  <c r="J16" i="11"/>
  <c r="O16" i="9"/>
  <c r="G17" i="9"/>
  <c r="H17" i="9"/>
  <c r="I17" i="9"/>
  <c r="J17" i="9"/>
  <c r="K17" i="9"/>
  <c r="L17" i="9"/>
  <c r="M17" i="9"/>
  <c r="N17" i="9"/>
  <c r="J17" i="11"/>
  <c r="O17" i="9"/>
  <c r="G18" i="9"/>
  <c r="H18" i="9"/>
  <c r="I18" i="9"/>
  <c r="J18" i="9"/>
  <c r="K18" i="9"/>
  <c r="L18" i="9"/>
  <c r="M18" i="9"/>
  <c r="N18" i="9"/>
  <c r="J18" i="11"/>
  <c r="O18" i="9"/>
  <c r="G19" i="9"/>
  <c r="H19" i="9"/>
  <c r="I19" i="9"/>
  <c r="J19" i="9"/>
  <c r="K19" i="9"/>
  <c r="L19" i="9"/>
  <c r="M19" i="9"/>
  <c r="N19" i="9"/>
  <c r="J19" i="11"/>
  <c r="O19" i="9"/>
  <c r="G20" i="9"/>
  <c r="H20" i="9"/>
  <c r="I20" i="9"/>
  <c r="J20" i="9"/>
  <c r="K20" i="9"/>
  <c r="L20" i="9"/>
  <c r="M20" i="9"/>
  <c r="N20" i="9"/>
  <c r="J20" i="11"/>
  <c r="O20" i="9"/>
  <c r="G21" i="9"/>
  <c r="H21" i="9"/>
  <c r="I21" i="9"/>
  <c r="J21" i="9"/>
  <c r="K21" i="9"/>
  <c r="L21" i="9"/>
  <c r="M21" i="9"/>
  <c r="N21" i="9"/>
  <c r="J21" i="11"/>
  <c r="O21" i="9"/>
  <c r="G22" i="9"/>
  <c r="H22" i="9"/>
  <c r="I22" i="9"/>
  <c r="J22" i="9"/>
  <c r="K22" i="9"/>
  <c r="L22" i="9"/>
  <c r="M22" i="9"/>
  <c r="N22" i="9"/>
  <c r="J22" i="11"/>
  <c r="O22" i="9"/>
  <c r="G23" i="9"/>
  <c r="H23" i="9"/>
  <c r="I23" i="9"/>
  <c r="J23" i="9"/>
  <c r="K23" i="9"/>
  <c r="L23" i="9"/>
  <c r="M23" i="9"/>
  <c r="N23" i="9"/>
  <c r="J23" i="11"/>
  <c r="O23" i="9"/>
  <c r="G24" i="9"/>
  <c r="H24" i="9"/>
  <c r="I24" i="9"/>
  <c r="J24" i="9"/>
  <c r="K24" i="9"/>
  <c r="L24" i="9"/>
  <c r="M24" i="9"/>
  <c r="N24" i="9"/>
  <c r="J24" i="11"/>
  <c r="O24" i="9"/>
  <c r="G25" i="9"/>
  <c r="H25" i="9"/>
  <c r="I25" i="9"/>
  <c r="J25" i="9"/>
  <c r="K25" i="9"/>
  <c r="L25" i="9"/>
  <c r="M25" i="9"/>
  <c r="N25" i="9"/>
  <c r="J25" i="11"/>
  <c r="O25" i="9"/>
  <c r="G26" i="9"/>
  <c r="H26" i="9"/>
  <c r="I26" i="9"/>
  <c r="J26" i="9"/>
  <c r="K26" i="9"/>
  <c r="L26" i="9"/>
  <c r="M26" i="9"/>
  <c r="N26" i="9"/>
  <c r="J26" i="11"/>
  <c r="O26" i="9"/>
  <c r="G27" i="9"/>
  <c r="H27" i="9"/>
  <c r="I27" i="9"/>
  <c r="J27" i="9"/>
  <c r="K27" i="9"/>
  <c r="L27" i="9"/>
  <c r="M27" i="9"/>
  <c r="N27" i="9"/>
  <c r="J27" i="11"/>
  <c r="O27" i="9"/>
  <c r="G28" i="9"/>
  <c r="H28" i="9"/>
  <c r="I28" i="9"/>
  <c r="J28" i="9"/>
  <c r="K28" i="9"/>
  <c r="L28" i="9"/>
  <c r="M28" i="9"/>
  <c r="N28" i="9"/>
  <c r="J28" i="11"/>
  <c r="O28" i="9"/>
  <c r="G29" i="9"/>
  <c r="H29" i="9"/>
  <c r="I29" i="9"/>
  <c r="J29" i="9"/>
  <c r="K29" i="9"/>
  <c r="L29" i="9"/>
  <c r="M29" i="9"/>
  <c r="N29" i="9"/>
  <c r="J29" i="11"/>
  <c r="O29" i="9"/>
  <c r="G30" i="9"/>
  <c r="H30" i="9"/>
  <c r="I30" i="9"/>
  <c r="J30" i="9"/>
  <c r="K30" i="9"/>
  <c r="L30" i="9"/>
  <c r="M30" i="9"/>
  <c r="N30" i="9"/>
  <c r="J30" i="11"/>
  <c r="O30" i="9"/>
  <c r="G31" i="9"/>
  <c r="H31" i="9"/>
  <c r="I31" i="9"/>
  <c r="J31" i="9"/>
  <c r="K31" i="9"/>
  <c r="L31" i="9"/>
  <c r="M31" i="9"/>
  <c r="N31" i="9"/>
  <c r="J31" i="11"/>
  <c r="O31" i="9"/>
  <c r="G32" i="9"/>
  <c r="H32" i="9"/>
  <c r="I32" i="9"/>
  <c r="J32" i="9"/>
  <c r="K32" i="9"/>
  <c r="L32" i="9"/>
  <c r="M32" i="9"/>
  <c r="N32" i="9"/>
  <c r="J32" i="11"/>
  <c r="O32" i="9"/>
  <c r="G33" i="9"/>
  <c r="H33" i="9"/>
  <c r="I33" i="9"/>
  <c r="J33" i="9"/>
  <c r="K33" i="9"/>
  <c r="L33" i="9"/>
  <c r="M33" i="9"/>
  <c r="N33" i="9"/>
  <c r="J33" i="11"/>
  <c r="O33" i="9"/>
  <c r="G34" i="9"/>
  <c r="H34" i="9"/>
  <c r="I34" i="9"/>
  <c r="J34" i="9"/>
  <c r="K34" i="9"/>
  <c r="L34" i="9"/>
  <c r="M34" i="9"/>
  <c r="N34" i="9"/>
  <c r="J34" i="11"/>
  <c r="O34" i="9"/>
  <c r="G35" i="9"/>
  <c r="H35" i="9"/>
  <c r="I35" i="9"/>
  <c r="J35" i="9"/>
  <c r="K35" i="9"/>
  <c r="L35" i="9"/>
  <c r="M35" i="9"/>
  <c r="N35" i="9"/>
  <c r="J35" i="11"/>
  <c r="O35" i="9"/>
  <c r="G36" i="9"/>
  <c r="H36" i="9"/>
  <c r="I36" i="9"/>
  <c r="J36" i="9"/>
  <c r="K36" i="9"/>
  <c r="L36" i="9"/>
  <c r="M36" i="9"/>
  <c r="N36" i="9"/>
  <c r="J36" i="11"/>
  <c r="O36" i="9"/>
  <c r="G37" i="9"/>
  <c r="H37" i="9"/>
  <c r="I37" i="9"/>
  <c r="J37" i="9"/>
  <c r="K37" i="9"/>
  <c r="L37" i="9"/>
  <c r="M37" i="9"/>
  <c r="N37" i="9"/>
  <c r="J37" i="11"/>
  <c r="O37" i="9"/>
  <c r="G38" i="9"/>
  <c r="H38" i="9"/>
  <c r="I38" i="9"/>
  <c r="J38" i="9"/>
  <c r="K38" i="9"/>
  <c r="L38" i="9"/>
  <c r="M38" i="9"/>
  <c r="N38" i="9"/>
  <c r="J38" i="11"/>
  <c r="O38" i="9"/>
  <c r="G39" i="9"/>
  <c r="H39" i="9"/>
  <c r="I39" i="9"/>
  <c r="J39" i="9"/>
  <c r="K39" i="9"/>
  <c r="L39" i="9"/>
  <c r="M39" i="9"/>
  <c r="N39" i="9"/>
  <c r="J39" i="11"/>
  <c r="O39" i="9"/>
  <c r="G40" i="9"/>
  <c r="H40" i="9"/>
  <c r="I40" i="9"/>
  <c r="J40" i="9"/>
  <c r="K40" i="9"/>
  <c r="L40" i="9"/>
  <c r="M40" i="9"/>
  <c r="N40" i="9"/>
  <c r="J40" i="11"/>
  <c r="O40" i="9"/>
  <c r="G41" i="9"/>
  <c r="H41" i="9"/>
  <c r="I41" i="9"/>
  <c r="J41" i="9"/>
  <c r="K41" i="9"/>
  <c r="L41" i="9"/>
  <c r="M41" i="9"/>
  <c r="N41" i="9"/>
  <c r="J41" i="11"/>
  <c r="O41" i="9"/>
  <c r="G42" i="9"/>
  <c r="H42" i="9"/>
  <c r="I42" i="9"/>
  <c r="J42" i="9"/>
  <c r="K42" i="9"/>
  <c r="L42" i="9"/>
  <c r="M42" i="9"/>
  <c r="N42" i="9"/>
  <c r="J42" i="11"/>
  <c r="O42" i="9"/>
  <c r="G43" i="9"/>
  <c r="H43" i="9"/>
  <c r="I43" i="9"/>
  <c r="J43" i="9"/>
  <c r="K43" i="9"/>
  <c r="L43" i="9"/>
  <c r="M43" i="9"/>
  <c r="N43" i="9"/>
  <c r="J43" i="11"/>
  <c r="O43" i="9"/>
  <c r="G44" i="9"/>
  <c r="H44" i="9"/>
  <c r="I44" i="9"/>
  <c r="J44" i="9"/>
  <c r="K44" i="9"/>
  <c r="L44" i="9"/>
  <c r="M44" i="9"/>
  <c r="N44" i="9"/>
  <c r="J44" i="11"/>
  <c r="O44" i="9"/>
  <c r="G45" i="9"/>
  <c r="H45" i="9"/>
  <c r="I45" i="9"/>
  <c r="J45" i="9"/>
  <c r="K45" i="9"/>
  <c r="L45" i="9"/>
  <c r="M45" i="9"/>
  <c r="N45" i="9"/>
  <c r="J45" i="11"/>
  <c r="O45" i="9"/>
  <c r="G46" i="9"/>
  <c r="H46" i="9"/>
  <c r="I46" i="9"/>
  <c r="J46" i="9"/>
  <c r="K46" i="9"/>
  <c r="L46" i="9"/>
  <c r="M46" i="9"/>
  <c r="N46" i="9"/>
  <c r="J46" i="11"/>
  <c r="O46" i="9"/>
  <c r="G47" i="9"/>
  <c r="H47" i="9"/>
  <c r="I47" i="9"/>
  <c r="J47" i="9"/>
  <c r="K47" i="9"/>
  <c r="L47" i="9"/>
  <c r="M47" i="9"/>
  <c r="N47" i="9"/>
  <c r="J47" i="11"/>
  <c r="O47" i="9"/>
  <c r="G48" i="9"/>
  <c r="H48" i="9"/>
  <c r="I48" i="9"/>
  <c r="J48" i="9"/>
  <c r="K48" i="9"/>
  <c r="L48" i="9"/>
  <c r="M48" i="9"/>
  <c r="N48" i="9"/>
  <c r="J48" i="11"/>
  <c r="O48" i="9"/>
  <c r="G49" i="9"/>
  <c r="H49" i="9"/>
  <c r="I49" i="9"/>
  <c r="J49" i="9"/>
  <c r="K49" i="9"/>
  <c r="L49" i="9"/>
  <c r="M49" i="9"/>
  <c r="N49" i="9"/>
  <c r="J49" i="11"/>
  <c r="O49" i="9"/>
  <c r="G50" i="9"/>
  <c r="H50" i="9"/>
  <c r="I50" i="9"/>
  <c r="J50" i="9"/>
  <c r="K50" i="9"/>
  <c r="L50" i="9"/>
  <c r="M50" i="9"/>
  <c r="N50" i="9"/>
  <c r="J50" i="11"/>
  <c r="O50" i="9"/>
  <c r="G51" i="9"/>
  <c r="H51" i="9"/>
  <c r="I51" i="9"/>
  <c r="J51" i="9"/>
  <c r="K51" i="9"/>
  <c r="L51" i="9"/>
  <c r="M51" i="9"/>
  <c r="N51" i="9"/>
  <c r="J51" i="11"/>
  <c r="O51" i="9"/>
  <c r="G52" i="9"/>
  <c r="H52" i="9"/>
  <c r="I52" i="9"/>
  <c r="J52" i="9"/>
  <c r="K52" i="9"/>
  <c r="L52" i="9"/>
  <c r="M52" i="9"/>
  <c r="N52" i="9"/>
  <c r="J52" i="11"/>
  <c r="O52" i="9"/>
  <c r="G53" i="9"/>
  <c r="H53" i="9"/>
  <c r="I53" i="9"/>
  <c r="J53" i="9"/>
  <c r="K53" i="9"/>
  <c r="L53" i="9"/>
  <c r="M53" i="9"/>
  <c r="N53" i="9"/>
  <c r="J53" i="11"/>
  <c r="O53" i="9"/>
  <c r="G54" i="9"/>
  <c r="H54" i="9"/>
  <c r="I54" i="9"/>
  <c r="J54" i="9"/>
  <c r="K54" i="9"/>
  <c r="L54" i="9"/>
  <c r="M54" i="9"/>
  <c r="N54" i="9"/>
  <c r="J54" i="11"/>
  <c r="O54" i="9"/>
  <c r="G55" i="9"/>
  <c r="H55" i="9"/>
  <c r="I55" i="9"/>
  <c r="J55" i="9"/>
  <c r="K55" i="9"/>
  <c r="L55" i="9"/>
  <c r="M55" i="9"/>
  <c r="N55" i="9"/>
  <c r="J55" i="11"/>
  <c r="O55" i="9"/>
  <c r="G56" i="9"/>
  <c r="H56" i="9"/>
  <c r="I56" i="9"/>
  <c r="J56" i="9"/>
  <c r="K56" i="9"/>
  <c r="L56" i="9"/>
  <c r="M56" i="9"/>
  <c r="N56" i="9"/>
  <c r="J56" i="11"/>
  <c r="O56" i="9"/>
  <c r="G57" i="9"/>
  <c r="H57" i="9"/>
  <c r="I57" i="9"/>
  <c r="J57" i="9"/>
  <c r="K57" i="9"/>
  <c r="L57" i="9"/>
  <c r="M57" i="9"/>
  <c r="N57" i="9"/>
  <c r="J57" i="11"/>
  <c r="O57" i="9"/>
  <c r="G58" i="9"/>
  <c r="H58" i="9"/>
  <c r="I58" i="9"/>
  <c r="J58" i="9"/>
  <c r="K58" i="9"/>
  <c r="L58" i="9"/>
  <c r="M58" i="9"/>
  <c r="N58" i="9"/>
  <c r="J58" i="11"/>
  <c r="O58" i="9"/>
  <c r="G59" i="9"/>
  <c r="H59" i="9"/>
  <c r="I59" i="9"/>
  <c r="J59" i="9"/>
  <c r="K59" i="9"/>
  <c r="L59" i="9"/>
  <c r="M59" i="9"/>
  <c r="N59" i="9"/>
  <c r="J59" i="11"/>
  <c r="O59" i="9"/>
  <c r="G60" i="9"/>
  <c r="H60" i="9"/>
  <c r="I60" i="9"/>
  <c r="J60" i="9"/>
  <c r="K60" i="9"/>
  <c r="L60" i="9"/>
  <c r="M60" i="9"/>
  <c r="N60" i="9"/>
  <c r="J60" i="11"/>
  <c r="O60" i="9"/>
  <c r="G61" i="9"/>
  <c r="H61" i="9"/>
  <c r="I61" i="9"/>
  <c r="J61" i="9"/>
  <c r="K61" i="9"/>
  <c r="L61" i="9"/>
  <c r="M61" i="9"/>
  <c r="N61" i="9"/>
  <c r="J61" i="11"/>
  <c r="O61" i="9"/>
  <c r="G62" i="9"/>
  <c r="H62" i="9"/>
  <c r="I62" i="9"/>
  <c r="J62" i="9"/>
  <c r="K62" i="9"/>
  <c r="L62" i="9"/>
  <c r="M62" i="9"/>
  <c r="N62" i="9"/>
  <c r="J62" i="11"/>
  <c r="O62" i="9"/>
  <c r="G63" i="9"/>
  <c r="H63" i="9"/>
  <c r="I63" i="9"/>
  <c r="J63" i="9"/>
  <c r="K63" i="9"/>
  <c r="L63" i="9"/>
  <c r="M63" i="9"/>
  <c r="N63" i="9"/>
  <c r="J63" i="11"/>
  <c r="O63" i="9"/>
  <c r="G64" i="9"/>
  <c r="H64" i="9"/>
  <c r="I64" i="9"/>
  <c r="J64" i="9"/>
  <c r="K64" i="9"/>
  <c r="L64" i="9"/>
  <c r="M64" i="9"/>
  <c r="N64" i="9"/>
  <c r="J64" i="11"/>
  <c r="O64" i="9"/>
  <c r="G65" i="9"/>
  <c r="H65" i="9"/>
  <c r="I65" i="9"/>
  <c r="J65" i="9"/>
  <c r="K65" i="9"/>
  <c r="L65" i="9"/>
  <c r="M65" i="9"/>
  <c r="N65" i="9"/>
  <c r="J65" i="11"/>
  <c r="O65" i="9"/>
  <c r="G66" i="9"/>
  <c r="H66" i="9"/>
  <c r="I66" i="9"/>
  <c r="J66" i="9"/>
  <c r="K66" i="9"/>
  <c r="L66" i="9"/>
  <c r="M66" i="9"/>
  <c r="N66" i="9"/>
  <c r="J66" i="11"/>
  <c r="O66" i="9"/>
  <c r="G67" i="9"/>
  <c r="H67" i="9"/>
  <c r="I67" i="9"/>
  <c r="J67" i="9"/>
  <c r="K67" i="9"/>
  <c r="L67" i="9"/>
  <c r="M67" i="9"/>
  <c r="N67" i="9"/>
  <c r="J67" i="11"/>
  <c r="O67" i="9"/>
  <c r="G68" i="9"/>
  <c r="H68" i="9"/>
  <c r="I68" i="9"/>
  <c r="J68" i="9"/>
  <c r="K68" i="9"/>
  <c r="L68" i="9"/>
  <c r="M68" i="9"/>
  <c r="N68" i="9"/>
  <c r="J68" i="11"/>
  <c r="O68" i="9"/>
  <c r="G69" i="9"/>
  <c r="H69" i="9"/>
  <c r="I69" i="9"/>
  <c r="J69" i="9"/>
  <c r="K69" i="9"/>
  <c r="L69" i="9"/>
  <c r="M69" i="9"/>
  <c r="N69" i="9"/>
  <c r="J69" i="11"/>
  <c r="O69" i="9"/>
  <c r="G70" i="9"/>
  <c r="H70" i="9"/>
  <c r="I70" i="9"/>
  <c r="J70" i="9"/>
  <c r="K70" i="9"/>
  <c r="L70" i="9"/>
  <c r="M70" i="9"/>
  <c r="N70" i="9"/>
  <c r="J70" i="11"/>
  <c r="O70" i="9"/>
  <c r="G71" i="9"/>
  <c r="H71" i="9"/>
  <c r="I71" i="9"/>
  <c r="J71" i="9"/>
  <c r="K71" i="9"/>
  <c r="L71" i="9"/>
  <c r="M71" i="9"/>
  <c r="N71" i="9"/>
  <c r="J71" i="11"/>
  <c r="O71" i="9"/>
  <c r="G72" i="9"/>
  <c r="H72" i="9"/>
  <c r="I72" i="9"/>
  <c r="J72" i="9"/>
  <c r="K72" i="9"/>
  <c r="L72" i="9"/>
  <c r="M72" i="9"/>
  <c r="N72" i="9"/>
  <c r="J72" i="11"/>
  <c r="O72" i="9"/>
  <c r="G73" i="9"/>
  <c r="H73" i="9"/>
  <c r="I73" i="9"/>
  <c r="J73" i="9"/>
  <c r="K73" i="9"/>
  <c r="L73" i="9"/>
  <c r="M73" i="9"/>
  <c r="N73" i="9"/>
  <c r="J73" i="11"/>
  <c r="O73" i="9"/>
  <c r="G74" i="9"/>
  <c r="H74" i="9"/>
  <c r="I74" i="9"/>
  <c r="J74" i="9"/>
  <c r="K74" i="9"/>
  <c r="L74" i="9"/>
  <c r="M74" i="9"/>
  <c r="N74" i="9"/>
  <c r="J74" i="11"/>
  <c r="O74" i="9"/>
  <c r="G75" i="9"/>
  <c r="H75" i="9"/>
  <c r="I75" i="9"/>
  <c r="J75" i="9"/>
  <c r="K75" i="9"/>
  <c r="L75" i="9"/>
  <c r="M75" i="9"/>
  <c r="N75" i="9"/>
  <c r="J75" i="11"/>
  <c r="O75" i="9"/>
  <c r="G76" i="9"/>
  <c r="H76" i="9"/>
  <c r="I76" i="9"/>
  <c r="J76" i="9"/>
  <c r="K76" i="9"/>
  <c r="L76" i="9"/>
  <c r="M76" i="9"/>
  <c r="N76" i="9"/>
  <c r="J76" i="11"/>
  <c r="O76" i="9"/>
  <c r="G77" i="9"/>
  <c r="H77" i="9"/>
  <c r="I77" i="9"/>
  <c r="J77" i="9"/>
  <c r="K77" i="9"/>
  <c r="L77" i="9"/>
  <c r="M77" i="9"/>
  <c r="N77" i="9"/>
  <c r="J77" i="11"/>
  <c r="O77" i="9"/>
  <c r="G78" i="9"/>
  <c r="H78" i="9"/>
  <c r="I78" i="9"/>
  <c r="J78" i="9"/>
  <c r="K78" i="9"/>
  <c r="L78" i="9"/>
  <c r="M78" i="9"/>
  <c r="N78" i="9"/>
  <c r="J78" i="11"/>
  <c r="O78" i="9"/>
  <c r="G79" i="9"/>
  <c r="H79" i="9"/>
  <c r="I79" i="9"/>
  <c r="J79" i="9"/>
  <c r="K79" i="9"/>
  <c r="L79" i="9"/>
  <c r="M79" i="9"/>
  <c r="N79" i="9"/>
  <c r="J79" i="11"/>
  <c r="O79" i="9"/>
  <c r="G80" i="9"/>
  <c r="H80" i="9"/>
  <c r="I80" i="9"/>
  <c r="J80" i="9"/>
  <c r="K80" i="9"/>
  <c r="L80" i="9"/>
  <c r="M80" i="9"/>
  <c r="N80" i="9"/>
  <c r="J80" i="11"/>
  <c r="O80" i="9"/>
  <c r="G81" i="9"/>
  <c r="H81" i="9"/>
  <c r="I81" i="9"/>
  <c r="J81" i="9"/>
  <c r="K81" i="9"/>
  <c r="L81" i="9"/>
  <c r="M81" i="9"/>
  <c r="N81" i="9"/>
  <c r="J81" i="11"/>
  <c r="O81" i="9"/>
  <c r="G82" i="9"/>
  <c r="H82" i="9"/>
  <c r="I82" i="9"/>
  <c r="J82" i="9"/>
  <c r="K82" i="9"/>
  <c r="L82" i="9"/>
  <c r="M82" i="9"/>
  <c r="N82" i="9"/>
  <c r="J82" i="11"/>
  <c r="O82" i="9"/>
  <c r="G83" i="9"/>
  <c r="H83" i="9"/>
  <c r="I83" i="9"/>
  <c r="J83" i="9"/>
  <c r="K83" i="9"/>
  <c r="L83" i="9"/>
  <c r="M83" i="9"/>
  <c r="N83" i="9"/>
  <c r="J83" i="11"/>
  <c r="O83" i="9"/>
  <c r="G84" i="9"/>
  <c r="H84" i="9"/>
  <c r="I84" i="9"/>
  <c r="J84" i="9"/>
  <c r="K84" i="9"/>
  <c r="L84" i="9"/>
  <c r="M84" i="9"/>
  <c r="N84" i="9"/>
  <c r="J84" i="11"/>
  <c r="O84" i="9"/>
  <c r="G85" i="9"/>
  <c r="H85" i="9"/>
  <c r="I85" i="9"/>
  <c r="J85" i="9"/>
  <c r="K85" i="9"/>
  <c r="L85" i="9"/>
  <c r="M85" i="9"/>
  <c r="N85" i="9"/>
  <c r="J85" i="11"/>
  <c r="O85" i="9"/>
  <c r="G86" i="9"/>
  <c r="H86" i="9"/>
  <c r="I86" i="9"/>
  <c r="J86" i="9"/>
  <c r="K86" i="9"/>
  <c r="L86" i="9"/>
  <c r="M86" i="9"/>
  <c r="N86" i="9"/>
  <c r="J86" i="11"/>
  <c r="O86" i="9"/>
  <c r="G87" i="9"/>
  <c r="H87" i="9"/>
  <c r="I87" i="9"/>
  <c r="J87" i="9"/>
  <c r="K87" i="9"/>
  <c r="L87" i="9"/>
  <c r="M87" i="9"/>
  <c r="N87" i="9"/>
  <c r="J87" i="11"/>
  <c r="O87" i="9"/>
  <c r="G88" i="9"/>
  <c r="H88" i="9"/>
  <c r="I88" i="9"/>
  <c r="J88" i="9"/>
  <c r="K88" i="9"/>
  <c r="L88" i="9"/>
  <c r="M88" i="9"/>
  <c r="N88" i="9"/>
  <c r="J88" i="11"/>
  <c r="O88" i="9"/>
  <c r="G89" i="9"/>
  <c r="H89" i="9"/>
  <c r="I89" i="9"/>
  <c r="J89" i="9"/>
  <c r="K89" i="9"/>
  <c r="L89" i="9"/>
  <c r="M89" i="9"/>
  <c r="N89" i="9"/>
  <c r="J89" i="11"/>
  <c r="O89" i="9"/>
  <c r="G90" i="9"/>
  <c r="H90" i="9"/>
  <c r="I90" i="9"/>
  <c r="J90" i="9"/>
  <c r="K90" i="9"/>
  <c r="L90" i="9"/>
  <c r="M90" i="9"/>
  <c r="N90" i="9"/>
  <c r="J90" i="11"/>
  <c r="O90" i="9"/>
  <c r="G91" i="9"/>
  <c r="H91" i="9"/>
  <c r="I91" i="9"/>
  <c r="J91" i="9"/>
  <c r="K91" i="9"/>
  <c r="L91" i="9"/>
  <c r="M91" i="9"/>
  <c r="N91" i="9"/>
  <c r="J91" i="11"/>
  <c r="O91" i="9"/>
  <c r="G92" i="9"/>
  <c r="H92" i="9"/>
  <c r="I92" i="9"/>
  <c r="J92" i="9"/>
  <c r="K92" i="9"/>
  <c r="L92" i="9"/>
  <c r="M92" i="9"/>
  <c r="N92" i="9"/>
  <c r="J92" i="11"/>
  <c r="O92" i="9"/>
  <c r="G93" i="9"/>
  <c r="H93" i="9"/>
  <c r="I93" i="9"/>
  <c r="J93" i="9"/>
  <c r="K93" i="9"/>
  <c r="L93" i="9"/>
  <c r="M93" i="9"/>
  <c r="N93" i="9"/>
  <c r="J93" i="11"/>
  <c r="O93" i="9"/>
  <c r="G94" i="9"/>
  <c r="H94" i="9"/>
  <c r="I94" i="9"/>
  <c r="J94" i="9"/>
  <c r="K94" i="9"/>
  <c r="L94" i="9"/>
  <c r="M94" i="9"/>
  <c r="N94" i="9"/>
  <c r="J94" i="11"/>
  <c r="O94" i="9"/>
  <c r="G95" i="9"/>
  <c r="H95" i="9"/>
  <c r="I95" i="9"/>
  <c r="J95" i="9"/>
  <c r="K95" i="9"/>
  <c r="L95" i="9"/>
  <c r="M95" i="9"/>
  <c r="N95" i="9"/>
  <c r="J95" i="11"/>
  <c r="O95" i="9"/>
  <c r="G96" i="9"/>
  <c r="H96" i="9"/>
  <c r="I96" i="9"/>
  <c r="J96" i="9"/>
  <c r="K96" i="9"/>
  <c r="L96" i="9"/>
  <c r="M96" i="9"/>
  <c r="N96" i="9"/>
  <c r="J96" i="11"/>
  <c r="O96" i="9"/>
  <c r="G97" i="9"/>
  <c r="H97" i="9"/>
  <c r="I97" i="9"/>
  <c r="J97" i="9"/>
  <c r="K97" i="9"/>
  <c r="L97" i="9"/>
  <c r="M97" i="9"/>
  <c r="N97" i="9"/>
  <c r="J97" i="11"/>
  <c r="O97" i="9"/>
  <c r="G98" i="9"/>
  <c r="H98" i="9"/>
  <c r="I98" i="9"/>
  <c r="J98" i="9"/>
  <c r="K98" i="9"/>
  <c r="L98" i="9"/>
  <c r="M98" i="9"/>
  <c r="N98" i="9"/>
  <c r="J98" i="11"/>
  <c r="O98" i="9"/>
  <c r="G99" i="9"/>
  <c r="H99" i="9"/>
  <c r="I99" i="9"/>
  <c r="J99" i="9"/>
  <c r="K99" i="9"/>
  <c r="L99" i="9"/>
  <c r="M99" i="9"/>
  <c r="N99" i="9"/>
  <c r="J99" i="11"/>
  <c r="O99" i="9"/>
  <c r="G100" i="9"/>
  <c r="H100" i="9"/>
  <c r="I100" i="9"/>
  <c r="J100" i="9"/>
  <c r="K100" i="9"/>
  <c r="L100" i="9"/>
  <c r="M100" i="9"/>
  <c r="N100" i="9"/>
  <c r="J100" i="11"/>
  <c r="O100" i="9"/>
  <c r="G101" i="9"/>
  <c r="H101" i="9"/>
  <c r="I101" i="9"/>
  <c r="J101" i="9"/>
  <c r="K101" i="9"/>
  <c r="L101" i="9"/>
  <c r="M101" i="9"/>
  <c r="N101" i="9"/>
  <c r="J101" i="11"/>
  <c r="O101" i="9"/>
  <c r="G102" i="9"/>
  <c r="H102" i="9"/>
  <c r="I102" i="9"/>
  <c r="J102" i="9"/>
  <c r="K102" i="9"/>
  <c r="L102" i="9"/>
  <c r="M102" i="9"/>
  <c r="N102" i="9"/>
  <c r="J102" i="11"/>
  <c r="O102" i="9"/>
  <c r="G103" i="9"/>
  <c r="H103" i="9"/>
  <c r="I103" i="9"/>
  <c r="J103" i="9"/>
  <c r="K103" i="9"/>
  <c r="L103" i="9"/>
  <c r="M103" i="9"/>
  <c r="N103" i="9"/>
  <c r="J103" i="11"/>
  <c r="O103" i="9"/>
  <c r="G104" i="9"/>
  <c r="H104" i="9"/>
  <c r="I104" i="9"/>
  <c r="J104" i="9"/>
  <c r="K104" i="9"/>
  <c r="L104" i="9"/>
  <c r="M104" i="9"/>
  <c r="N104" i="9"/>
  <c r="J104" i="11"/>
  <c r="O104" i="9"/>
  <c r="G105" i="9"/>
  <c r="H105" i="9"/>
  <c r="I105" i="9"/>
  <c r="J105" i="9"/>
  <c r="K105" i="9"/>
  <c r="L105" i="9"/>
  <c r="M105" i="9"/>
  <c r="N105" i="9"/>
  <c r="J105" i="11"/>
  <c r="O105" i="9"/>
  <c r="G106" i="9"/>
  <c r="H106" i="9"/>
  <c r="I106" i="9"/>
  <c r="J106" i="9"/>
  <c r="K106" i="9"/>
  <c r="L106" i="9"/>
  <c r="M106" i="9"/>
  <c r="N106" i="9"/>
  <c r="J106" i="11"/>
  <c r="O106" i="9"/>
  <c r="G107" i="9"/>
  <c r="H107" i="9"/>
  <c r="I107" i="9"/>
  <c r="J107" i="9"/>
  <c r="K107" i="9"/>
  <c r="L107" i="9"/>
  <c r="M107" i="9"/>
  <c r="N107" i="9"/>
  <c r="J107" i="11"/>
  <c r="O107" i="9"/>
  <c r="G108" i="9"/>
  <c r="H108" i="9"/>
  <c r="I108" i="9"/>
  <c r="J108" i="9"/>
  <c r="K108" i="9"/>
  <c r="L108" i="9"/>
  <c r="M108" i="9"/>
  <c r="N108" i="9"/>
  <c r="J108" i="11"/>
  <c r="O108" i="9"/>
  <c r="G109" i="9"/>
  <c r="H109" i="9"/>
  <c r="I109" i="9"/>
  <c r="J109" i="9"/>
  <c r="K109" i="9"/>
  <c r="L109" i="9"/>
  <c r="M109" i="9"/>
  <c r="N109" i="9"/>
  <c r="J109" i="11"/>
  <c r="O109" i="9"/>
  <c r="G110" i="9"/>
  <c r="H110" i="9"/>
  <c r="I110" i="9"/>
  <c r="J110" i="9"/>
  <c r="K110" i="9"/>
  <c r="L110" i="9"/>
  <c r="M110" i="9"/>
  <c r="N110" i="9"/>
  <c r="J110" i="11"/>
  <c r="O110" i="9"/>
  <c r="G111" i="9"/>
  <c r="H111" i="9"/>
  <c r="I111" i="9"/>
  <c r="J111" i="9"/>
  <c r="K111" i="9"/>
  <c r="L111" i="9"/>
  <c r="M111" i="9"/>
  <c r="N111" i="9"/>
  <c r="J111" i="11"/>
  <c r="O111" i="9"/>
  <c r="G112" i="9"/>
  <c r="H112" i="9"/>
  <c r="I112" i="9"/>
  <c r="J112" i="9"/>
  <c r="K112" i="9"/>
  <c r="L112" i="9"/>
  <c r="M112" i="9"/>
  <c r="N112" i="9"/>
  <c r="J112" i="11"/>
  <c r="O112" i="9"/>
  <c r="G113" i="9"/>
  <c r="H113" i="9"/>
  <c r="I113" i="9"/>
  <c r="J113" i="9"/>
  <c r="K113" i="9"/>
  <c r="L113" i="9"/>
  <c r="M113" i="9"/>
  <c r="N113" i="9"/>
  <c r="J113" i="11"/>
  <c r="O113" i="9"/>
  <c r="G114" i="9"/>
  <c r="H114" i="9"/>
  <c r="I114" i="9"/>
  <c r="J114" i="9"/>
  <c r="K114" i="9"/>
  <c r="L114" i="9"/>
  <c r="M114" i="9"/>
  <c r="N114" i="9"/>
  <c r="J114" i="11"/>
  <c r="O114" i="9"/>
  <c r="G115" i="9"/>
  <c r="H115" i="9"/>
  <c r="I115" i="9"/>
  <c r="J115" i="9"/>
  <c r="K115" i="9"/>
  <c r="L115" i="9"/>
  <c r="M115" i="9"/>
  <c r="N115" i="9"/>
  <c r="J115" i="11"/>
  <c r="O115" i="9"/>
  <c r="G116" i="9"/>
  <c r="H116" i="9"/>
  <c r="I116" i="9"/>
  <c r="J116" i="9"/>
  <c r="K116" i="9"/>
  <c r="L116" i="9"/>
  <c r="M116" i="9"/>
  <c r="N116" i="9"/>
  <c r="J116" i="11"/>
  <c r="O116" i="9"/>
  <c r="G117" i="9"/>
  <c r="H117" i="9"/>
  <c r="I117" i="9"/>
  <c r="J117" i="9"/>
  <c r="K117" i="9"/>
  <c r="L117" i="9"/>
  <c r="M117" i="9"/>
  <c r="N117" i="9"/>
  <c r="J117" i="11"/>
  <c r="O117" i="9"/>
  <c r="G118" i="9"/>
  <c r="H118" i="9"/>
  <c r="I118" i="9"/>
  <c r="J118" i="9"/>
  <c r="K118" i="9"/>
  <c r="L118" i="9"/>
  <c r="M118" i="9"/>
  <c r="N118" i="9"/>
  <c r="J118" i="11"/>
  <c r="O118" i="9"/>
  <c r="G119" i="9"/>
  <c r="H119" i="9"/>
  <c r="I119" i="9"/>
  <c r="J119" i="9"/>
  <c r="K119" i="9"/>
  <c r="L119" i="9"/>
  <c r="M119" i="9"/>
  <c r="N119" i="9"/>
  <c r="J119" i="11"/>
  <c r="O119" i="9"/>
  <c r="G120" i="9"/>
  <c r="H120" i="9"/>
  <c r="I120" i="9"/>
  <c r="J120" i="9"/>
  <c r="K120" i="9"/>
  <c r="L120" i="9"/>
  <c r="M120" i="9"/>
  <c r="N120" i="9"/>
  <c r="J120" i="11"/>
  <c r="O120" i="9"/>
  <c r="G121" i="9"/>
  <c r="H121" i="9"/>
  <c r="I121" i="9"/>
  <c r="J121" i="9"/>
  <c r="K121" i="9"/>
  <c r="L121" i="9"/>
  <c r="M121" i="9"/>
  <c r="N121" i="9"/>
  <c r="J121" i="11"/>
  <c r="O121" i="9"/>
  <c r="G122" i="9"/>
  <c r="H122" i="9"/>
  <c r="I122" i="9"/>
  <c r="J122" i="9"/>
  <c r="K122" i="9"/>
  <c r="L122" i="9"/>
  <c r="M122" i="9"/>
  <c r="N122" i="9"/>
  <c r="J122" i="11"/>
  <c r="O122" i="9"/>
  <c r="G123" i="9"/>
  <c r="H123" i="9"/>
  <c r="I123" i="9"/>
  <c r="J123" i="9"/>
  <c r="K123" i="9"/>
  <c r="L123" i="9"/>
  <c r="M123" i="9"/>
  <c r="N123" i="9"/>
  <c r="J123" i="11"/>
  <c r="O123" i="9"/>
  <c r="G124" i="9"/>
  <c r="H124" i="9"/>
  <c r="I124" i="9"/>
  <c r="J124" i="9"/>
  <c r="K124" i="9"/>
  <c r="L124" i="9"/>
  <c r="M124" i="9"/>
  <c r="N124" i="9"/>
  <c r="J124" i="11"/>
  <c r="O124" i="9"/>
  <c r="G125" i="9"/>
  <c r="H125" i="9"/>
  <c r="I125" i="9"/>
  <c r="J125" i="9"/>
  <c r="K125" i="9"/>
  <c r="L125" i="9"/>
  <c r="M125" i="9"/>
  <c r="N125" i="9"/>
  <c r="J125" i="11"/>
  <c r="O125" i="9"/>
  <c r="G126" i="9"/>
  <c r="H126" i="9"/>
  <c r="I126" i="9"/>
  <c r="J126" i="9"/>
  <c r="K126" i="9"/>
  <c r="L126" i="9"/>
  <c r="M126" i="9"/>
  <c r="N126" i="9"/>
  <c r="J126" i="11"/>
  <c r="O126" i="9"/>
  <c r="G127" i="9"/>
  <c r="H127" i="9"/>
  <c r="I127" i="9"/>
  <c r="J127" i="9"/>
  <c r="K127" i="9"/>
  <c r="L127" i="9"/>
  <c r="M127" i="9"/>
  <c r="N127" i="9"/>
  <c r="J127" i="11"/>
  <c r="O127" i="9"/>
  <c r="G128" i="9"/>
  <c r="H128" i="9"/>
  <c r="I128" i="9"/>
  <c r="J128" i="9"/>
  <c r="K128" i="9"/>
  <c r="L128" i="9"/>
  <c r="M128" i="9"/>
  <c r="N128" i="9"/>
  <c r="J128" i="11"/>
  <c r="O128" i="9"/>
  <c r="G129" i="9"/>
  <c r="H129" i="9"/>
  <c r="I129" i="9"/>
  <c r="J129" i="9"/>
  <c r="K129" i="9"/>
  <c r="L129" i="9"/>
  <c r="M129" i="9"/>
  <c r="N129" i="9"/>
  <c r="J129" i="11"/>
  <c r="O129" i="9"/>
  <c r="G130" i="9"/>
  <c r="H130" i="9"/>
  <c r="I130" i="9"/>
  <c r="J130" i="9"/>
  <c r="K130" i="9"/>
  <c r="L130" i="9"/>
  <c r="M130" i="9"/>
  <c r="N130" i="9"/>
  <c r="J130" i="11"/>
  <c r="O130" i="9"/>
  <c r="G131" i="9"/>
  <c r="H131" i="9"/>
  <c r="I131" i="9"/>
  <c r="J131" i="9"/>
  <c r="K131" i="9"/>
  <c r="L131" i="9"/>
  <c r="M131" i="9"/>
  <c r="N131" i="9"/>
  <c r="J131" i="11"/>
  <c r="O131" i="9"/>
  <c r="G132" i="9"/>
  <c r="H132" i="9"/>
  <c r="I132" i="9"/>
  <c r="J132" i="9"/>
  <c r="K132" i="9"/>
  <c r="L132" i="9"/>
  <c r="M132" i="9"/>
  <c r="N132" i="9"/>
  <c r="J132" i="11"/>
  <c r="O132" i="9"/>
  <c r="G133" i="9"/>
  <c r="H133" i="9"/>
  <c r="I133" i="9"/>
  <c r="J133" i="9"/>
  <c r="K133" i="9"/>
  <c r="L133" i="9"/>
  <c r="M133" i="9"/>
  <c r="N133" i="9"/>
  <c r="J133" i="11"/>
  <c r="O133" i="9"/>
  <c r="D23" i="9"/>
  <c r="E23" i="9"/>
  <c r="D24" i="9"/>
  <c r="E24" i="9"/>
  <c r="D25" i="9"/>
  <c r="E25" i="9"/>
  <c r="D26" i="9"/>
  <c r="E26" i="9"/>
  <c r="D27" i="9"/>
  <c r="E27" i="9"/>
  <c r="D28" i="9"/>
  <c r="E28" i="9"/>
  <c r="D29" i="9"/>
  <c r="E29" i="9"/>
  <c r="D30" i="9"/>
  <c r="E30" i="9"/>
  <c r="D31" i="9"/>
  <c r="E31" i="9"/>
  <c r="D32" i="9"/>
  <c r="E32" i="9"/>
  <c r="D33" i="9"/>
  <c r="E33" i="9"/>
  <c r="D34" i="9"/>
  <c r="E34" i="9"/>
  <c r="D35" i="9"/>
  <c r="E35" i="9"/>
  <c r="D36" i="9"/>
  <c r="E36" i="9"/>
  <c r="D37" i="9"/>
  <c r="E37" i="9"/>
  <c r="D38" i="9"/>
  <c r="E38" i="9"/>
  <c r="D39" i="9"/>
  <c r="E39" i="9"/>
  <c r="D40" i="9"/>
  <c r="E40" i="9"/>
  <c r="D41" i="9"/>
  <c r="E41" i="9"/>
  <c r="D42" i="9"/>
  <c r="E42" i="9"/>
  <c r="D43" i="9"/>
  <c r="E43" i="9"/>
  <c r="D44" i="9"/>
  <c r="E44" i="9"/>
  <c r="D45" i="9"/>
  <c r="E45" i="9"/>
  <c r="D46" i="9"/>
  <c r="E46" i="9"/>
  <c r="D47" i="9"/>
  <c r="E47" i="9"/>
  <c r="D48" i="9"/>
  <c r="E48" i="9"/>
  <c r="D49" i="9"/>
  <c r="E49" i="9"/>
  <c r="D50" i="9"/>
  <c r="E50" i="9"/>
  <c r="D51" i="9"/>
  <c r="E51" i="9"/>
  <c r="D52" i="9"/>
  <c r="E52" i="9"/>
  <c r="D53" i="9"/>
  <c r="E53" i="9"/>
  <c r="D54" i="9"/>
  <c r="E54" i="9"/>
  <c r="D55" i="9"/>
  <c r="E55" i="9"/>
  <c r="D56" i="9"/>
  <c r="E56" i="9"/>
  <c r="D57" i="9"/>
  <c r="E57" i="9"/>
  <c r="D58" i="9"/>
  <c r="E58" i="9"/>
  <c r="D59" i="9"/>
  <c r="E59" i="9"/>
  <c r="D60" i="9"/>
  <c r="E60" i="9"/>
  <c r="D61" i="9"/>
  <c r="E61" i="9"/>
  <c r="D62" i="9"/>
  <c r="E62" i="9"/>
  <c r="D63" i="9"/>
  <c r="E63" i="9"/>
  <c r="D64" i="9"/>
  <c r="E64" i="9"/>
  <c r="D65" i="9"/>
  <c r="E65" i="9"/>
  <c r="D66" i="9"/>
  <c r="E66" i="9"/>
  <c r="D67" i="9"/>
  <c r="E67" i="9"/>
  <c r="D68" i="9"/>
  <c r="E68" i="9"/>
  <c r="D69" i="9"/>
  <c r="E69" i="9"/>
  <c r="D70" i="9"/>
  <c r="E70" i="9"/>
  <c r="D71" i="9"/>
  <c r="E71" i="9"/>
  <c r="D72" i="9"/>
  <c r="E72" i="9"/>
  <c r="D73" i="9"/>
  <c r="E73" i="9"/>
  <c r="D74" i="9"/>
  <c r="E74" i="9"/>
  <c r="D75" i="9"/>
  <c r="E75" i="9"/>
  <c r="D76" i="9"/>
  <c r="E76" i="9"/>
  <c r="D77" i="9"/>
  <c r="E77" i="9"/>
  <c r="D78" i="9"/>
  <c r="E78" i="9"/>
  <c r="D79" i="9"/>
  <c r="E79" i="9"/>
  <c r="D80" i="9"/>
  <c r="E80" i="9"/>
  <c r="D81" i="9"/>
  <c r="E81" i="9"/>
  <c r="D82" i="9"/>
  <c r="E82" i="9"/>
  <c r="D83" i="9"/>
  <c r="E83" i="9"/>
  <c r="D84" i="9"/>
  <c r="E84" i="9"/>
  <c r="D85" i="9"/>
  <c r="E85" i="9"/>
  <c r="D86" i="9"/>
  <c r="E86" i="9"/>
  <c r="D87" i="9"/>
  <c r="E87" i="9"/>
  <c r="D88" i="9"/>
  <c r="E88" i="9"/>
  <c r="D89" i="9"/>
  <c r="E89" i="9"/>
  <c r="D90" i="9"/>
  <c r="E90" i="9"/>
  <c r="D91" i="9"/>
  <c r="E91" i="9"/>
  <c r="D92" i="9"/>
  <c r="E92" i="9"/>
  <c r="D93" i="9"/>
  <c r="E93" i="9"/>
  <c r="D94" i="9"/>
  <c r="E94" i="9"/>
  <c r="D95" i="9"/>
  <c r="E95" i="9"/>
  <c r="D96" i="9"/>
  <c r="E96" i="9"/>
  <c r="D97" i="9"/>
  <c r="E97" i="9"/>
  <c r="D98" i="9"/>
  <c r="E98" i="9"/>
  <c r="D99" i="9"/>
  <c r="E99" i="9"/>
  <c r="D100" i="9"/>
  <c r="E100" i="9"/>
  <c r="D101" i="9"/>
  <c r="E101" i="9"/>
  <c r="D102" i="9"/>
  <c r="E102" i="9"/>
  <c r="D103" i="9"/>
  <c r="E103" i="9"/>
  <c r="D104" i="9"/>
  <c r="E104" i="9"/>
  <c r="D105" i="9"/>
  <c r="E105" i="9"/>
  <c r="D106" i="9"/>
  <c r="E106" i="9"/>
  <c r="D107" i="9"/>
  <c r="E107" i="9"/>
  <c r="D108" i="9"/>
  <c r="E108" i="9"/>
  <c r="D109" i="9"/>
  <c r="E109" i="9"/>
  <c r="D110" i="9"/>
  <c r="E110" i="9"/>
  <c r="D111" i="9"/>
  <c r="E111" i="9"/>
  <c r="D112" i="9"/>
  <c r="E112" i="9"/>
  <c r="D113" i="9"/>
  <c r="E113" i="9"/>
  <c r="D114" i="9"/>
  <c r="D115" i="9"/>
  <c r="E115" i="9"/>
  <c r="D116" i="9"/>
  <c r="E116" i="9"/>
  <c r="D117" i="9"/>
  <c r="E117" i="9"/>
  <c r="D118" i="9"/>
  <c r="E118" i="9"/>
  <c r="D119" i="9"/>
  <c r="E119" i="9"/>
  <c r="D120" i="9"/>
  <c r="E120" i="9"/>
  <c r="D121" i="9"/>
  <c r="E121" i="9"/>
  <c r="D122" i="9"/>
  <c r="E122" i="9"/>
  <c r="D123" i="9"/>
  <c r="E123" i="9"/>
  <c r="D124" i="9"/>
  <c r="E124" i="9"/>
  <c r="D125" i="9"/>
  <c r="E125" i="9"/>
  <c r="D126" i="9"/>
  <c r="E126" i="9"/>
  <c r="D127" i="9"/>
  <c r="E127" i="9"/>
  <c r="D128" i="9"/>
  <c r="E128" i="9"/>
  <c r="D129" i="9"/>
  <c r="E129" i="9"/>
  <c r="D130" i="9"/>
  <c r="E130" i="9"/>
  <c r="D131" i="9"/>
  <c r="E131" i="9"/>
  <c r="D132" i="9"/>
  <c r="E132" i="9"/>
  <c r="D133" i="9"/>
  <c r="E133" i="9"/>
  <c r="D4" i="9"/>
  <c r="E4" i="9"/>
  <c r="D5" i="9"/>
  <c r="E5" i="9"/>
  <c r="D6" i="9"/>
  <c r="E6" i="9"/>
  <c r="D7" i="9"/>
  <c r="E7" i="9"/>
  <c r="D8" i="9"/>
  <c r="E8" i="9"/>
  <c r="D9" i="9"/>
  <c r="E9" i="9"/>
  <c r="D10" i="9"/>
  <c r="E10" i="9"/>
  <c r="D11" i="9"/>
  <c r="E11" i="9"/>
  <c r="D12" i="9"/>
  <c r="E12" i="9"/>
  <c r="D13" i="9"/>
  <c r="E13" i="9"/>
  <c r="D14" i="9"/>
  <c r="E14" i="9"/>
  <c r="D15" i="9"/>
  <c r="E15" i="9"/>
  <c r="D16" i="9"/>
  <c r="E16" i="9"/>
  <c r="D17" i="9"/>
  <c r="E17" i="9"/>
  <c r="D18" i="9"/>
  <c r="E18" i="9"/>
  <c r="D19" i="9"/>
  <c r="E19" i="9"/>
  <c r="D20" i="9"/>
  <c r="E20" i="9"/>
  <c r="D21" i="9"/>
  <c r="E21" i="9"/>
  <c r="D22" i="9"/>
  <c r="E22" i="9"/>
  <c r="J3" i="11"/>
  <c r="O3" i="9"/>
  <c r="N3" i="9"/>
  <c r="M3" i="9"/>
  <c r="L3" i="9"/>
  <c r="K3" i="9"/>
  <c r="J3" i="9"/>
  <c r="I3" i="9"/>
  <c r="H3" i="9"/>
  <c r="G3" i="9"/>
  <c r="E3" i="9"/>
  <c r="D3" i="9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T99" i="10"/>
  <c r="W99" i="10"/>
  <c r="V99" i="10"/>
  <c r="X99" i="10"/>
  <c r="U99" i="10"/>
  <c r="Y99" i="10"/>
  <c r="G99" i="10"/>
  <c r="J99" i="10"/>
  <c r="I99" i="10"/>
  <c r="K99" i="10"/>
  <c r="H99" i="10"/>
  <c r="L99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T95" i="10"/>
  <c r="W95" i="10"/>
  <c r="V95" i="10"/>
  <c r="X95" i="10"/>
  <c r="U95" i="10"/>
  <c r="Y95" i="10"/>
  <c r="G95" i="10"/>
  <c r="J95" i="10"/>
  <c r="I95" i="10"/>
  <c r="K95" i="10"/>
  <c r="H95" i="10"/>
  <c r="L95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T90" i="10"/>
  <c r="W90" i="10"/>
  <c r="V90" i="10"/>
  <c r="X90" i="10"/>
  <c r="U90" i="10"/>
  <c r="Y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G63" i="10"/>
  <c r="H63" i="10"/>
  <c r="I63" i="10"/>
  <c r="J63" i="10"/>
  <c r="K63" i="10"/>
  <c r="L63" i="10"/>
  <c r="M63" i="10"/>
  <c r="N63" i="10"/>
  <c r="O63" i="10"/>
  <c r="P63" i="10"/>
  <c r="Q63" i="10"/>
  <c r="R63" i="10"/>
  <c r="S63" i="10"/>
  <c r="T63" i="10"/>
  <c r="U63" i="10"/>
  <c r="V63" i="10"/>
  <c r="W63" i="10"/>
  <c r="X63" i="10"/>
  <c r="Y6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Y7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5" i="1"/>
  <c r="AF5" i="1"/>
  <c r="AI5" i="1"/>
  <c r="AG5" i="1"/>
  <c r="AE5" i="1"/>
  <c r="E2" i="9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13" i="2"/>
  <c r="E13" i="2"/>
  <c r="D13" i="2"/>
  <c r="H2" i="1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Y2" i="7"/>
  <c r="R2" i="7"/>
  <c r="Q2" i="7"/>
  <c r="P2" i="7"/>
  <c r="O2" i="7"/>
  <c r="N2" i="7"/>
  <c r="AD2" i="1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<sst xmlns="http://schemas.openxmlformats.org/spreadsheetml/2006/main" count="3266" uniqueCount="611">
  <si>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</si>
  <si>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</si>
  <si>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</si>
  <si>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</si>
  <si>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</si>
  <si>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</si>
  <si>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</si>
  <si>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</si>
  <si>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</si>
  <si>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</si>
  <si>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</si>
  <si>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</si>
  <si>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</si>
  <si>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</si>
  <si>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</si>
  <si>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</si>
  <si>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</si>
  <si>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</si>
  <si>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</si>
  <si>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</si>
  <si>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</si>
  <si>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</si>
  <si>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</si>
  <si>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</si>
  <si>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</si>
  <si>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</si>
  <si>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</si>
  <si>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</si>
  <si>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</si>
  <si>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</si>
  <si>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</si>
  <si>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</si>
  <si>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</si>
  <si>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</si>
  <si>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</si>
  <si>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</si>
  <si>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</si>
  <si>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</si>
  <si>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</si>
  <si>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</si>
  <si>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</si>
  <si>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</si>
  <si>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</si>
  <si>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</si>
  <si>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</si>
  <si>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</si>
  <si>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</si>
  <si>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</si>
  <si>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</si>
  <si>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</si>
  <si>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</si>
  <si>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</si>
  <si>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</si>
  <si>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</si>
  <si>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</si>
  <si>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</si>
  <si>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</si>
  <si>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</si>
  <si>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</si>
  <si>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</si>
  <si>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</si>
  <si>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</si>
  <si>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</si>
  <si>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</si>
  <si>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</si>
  <si>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</si>
  <si>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</si>
  <si>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</si>
  <si>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</si>
  <si>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</si>
  <si>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</si>
  <si>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</si>
  <si>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</si>
  <si>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</si>
  <si>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</si>
  <si>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</si>
  <si>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</si>
  <si>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</si>
  <si>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</si>
  <si>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</si>
  <si>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</si>
  <si>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</si>
  <si>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</si>
  <si>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</si>
  <si>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</si>
  <si>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</si>
  <si>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</si>
  <si>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</si>
  <si>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</si>
  <si>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</si>
  <si>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</si>
  <si>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</si>
  <si>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</si>
  <si>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</si>
  <si>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</si>
  <si>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</si>
  <si>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</si>
  <si>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</si>
  <si>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</si>
  <si>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</si>
  <si>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</si>
  <si>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</si>
  <si>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</si>
  <si>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</si>
  <si>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</si>
  <si>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</si>
  <si>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</si>
  <si>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</si>
  <si>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</si>
  <si>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</si>
  <si>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</si>
  <si>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</si>
  <si>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</si>
  <si>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</si>
  <si>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</si>
  <si>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</si>
  <si>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</si>
  <si>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</si>
  <si>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</si>
  <si>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</si>
  <si>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</si>
  <si>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</si>
  <si>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</si>
  <si>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</si>
  <si>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</si>
  <si>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</si>
  <si>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</si>
  <si>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</si>
  <si>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</si>
  <si>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</si>
  <si>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</si>
  <si>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</si>
  <si>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</si>
  <si>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</si>
  <si>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</si>
  <si>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</si>
  <si>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</si>
  <si>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</si>
  <si>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</si>
  <si>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</si>
  <si>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</si>
  <si>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</si>
  <si>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</si>
  <si>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</si>
  <si>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</si>
  <si>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</si>
  <si>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</si>
  <si>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</si>
  <si>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</si>
  <si>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</si>
  <si>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</si>
  <si>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</si>
  <si>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</si>
  <si>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</si>
  <si>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</si>
  <si>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</si>
  <si>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</si>
  <si>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</si>
  <si>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</si>
  <si>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</si>
  <si>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</si>
  <si>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</si>
  <si>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</si>
  <si>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</si>
  <si>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</si>
  <si>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</si>
  <si>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</si>
  <si>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</si>
  <si>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</si>
  <si>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</si>
  <si>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</si>
  <si>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</si>
  <si>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</si>
  <si>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</si>
  <si>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</si>
  <si>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</si>
  <si>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</si>
  <si>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</si>
  <si>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</si>
  <si>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</si>
  <si>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</si>
  <si>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</si>
  <si>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</si>
  <si>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</si>
  <si>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</si>
  <si>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</si>
  <si>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</si>
  <si>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</si>
  <si>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</si>
  <si>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</si>
  <si>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</si>
  <si>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</si>
  <si>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</si>
  <si>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</si>
  <si>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</si>
  <si>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</si>
  <si>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</si>
  <si>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</si>
  <si>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</si>
  <si>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</si>
  <si>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</si>
  <si>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</si>
  <si>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</si>
  <si>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</si>
  <si>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</si>
  <si>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</si>
  <si>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</si>
  <si>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</si>
  <si>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</si>
  <si>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</si>
  <si>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</si>
  <si>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</si>
  <si>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</si>
  <si>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</si>
  <si>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</si>
  <si>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</si>
  <si>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</si>
  <si>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</si>
  <si>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</si>
  <si>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</si>
  <si>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</si>
  <si>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</si>
  <si>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</si>
  <si>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</si>
  <si>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</si>
  <si>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</si>
  <si>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</si>
  <si>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</si>
  <si>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</si>
  <si>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</si>
  <si>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</si>
  <si>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</si>
  <si>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</si>
  <si>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</si>
  <si>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</si>
  <si>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</si>
  <si>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</si>
  <si>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</si>
  <si>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</si>
  <si>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</si>
  <si>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</si>
  <si>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</si>
  <si>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</si>
  <si>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</si>
  <si>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</si>
  <si>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</si>
  <si>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</si>
  <si>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</si>
  <si>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</si>
  <si>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</si>
  <si>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</si>
  <si>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</si>
  <si>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</si>
  <si>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</si>
  <si>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君の腕前を試してやろう</t>
    <phoneticPr fontId="5"/>
  </si>
  <si>
    <t>君一人で行くのはやめたまえ</t>
    <rPh sb="0" eb="3">
      <t>キミヒトリデ</t>
    </rPh>
    <rPh sb="4" eb="5">
      <t>イクノハ</t>
    </rPh>
    <phoneticPr fontId="52"/>
  </si>
  <si>
    <t>私を越えていこうというのかね？</t>
    <rPh sb="0" eb="1">
      <t>ワタシヲ</t>
    </rPh>
    <rPh sb="2" eb="3">
      <t>コエテイコウトイウノカネ</t>
    </rPh>
    <phoneticPr fontId="52"/>
  </si>
  <si>
    <t>面白い！かかって来たまえ鋼の錬金術師！</t>
    <rPh sb="0" eb="2">
      <t>オモシロイ</t>
    </rPh>
    <rPh sb="12" eb="13">
      <t>ハガネノレンキンジュツシ</t>
    </rPh>
    <phoneticPr fontId="52"/>
  </si>
  <si>
    <t>ロイ・マスタング大佐何をしている</t>
    <rPh sb="10" eb="11">
      <t>ナニヲシテイル</t>
    </rPh>
    <phoneticPr fontId="52"/>
  </si>
  <si>
    <t>私に反抗するというのか？</t>
    <rPh sb="0" eb="1">
      <t>ワタシニ</t>
    </rPh>
    <rPh sb="2" eb="4">
      <t>ハンコウ</t>
    </rPh>
    <phoneticPr fontId="52"/>
  </si>
  <si>
    <t>マスタングの犬が私に挑むというのか？</t>
    <rPh sb="6" eb="7">
      <t>イヌ</t>
    </rPh>
    <rPh sb="8" eb="9">
      <t>ワタシニイドムトイウカ</t>
    </rPh>
    <rPh sb="10" eb="11">
      <t>イドム</t>
    </rPh>
    <phoneticPr fontId="52"/>
  </si>
  <si>
    <t>（表示しない）</t>
    <phoneticPr fontId="52"/>
  </si>
  <si>
    <t>人間に愛着を持ったか嫉妬よ！</t>
    <rPh sb="0" eb="2">
      <t>ニンゲンイ</t>
    </rPh>
    <rPh sb="3" eb="5">
      <t>アイチャクヲ</t>
    </rPh>
    <rPh sb="6" eb="7">
      <t>モッタカ</t>
    </rPh>
    <rPh sb="10" eb="12">
      <t>シットヨ</t>
    </rPh>
    <phoneticPr fontId="52"/>
  </si>
  <si>
    <t>私を倒そうというのかね？</t>
    <rPh sb="0" eb="1">
      <t>ワタシヲ</t>
    </rPh>
    <rPh sb="2" eb="3">
      <t>タオソウトイウノカネ</t>
    </rPh>
    <phoneticPr fontId="52"/>
  </si>
  <si>
    <t>それこそ傲慢というものだ！</t>
    <rPh sb="4" eb="6">
      <t>ゴウマントイウ</t>
    </rPh>
    <phoneticPr fontId="52"/>
  </si>
  <si>
    <t>スカーよ、イシュヴァールの恨みか？</t>
    <rPh sb="13" eb="14">
      <t>ウラミカ</t>
    </rPh>
    <phoneticPr fontId="52"/>
  </si>
  <si>
    <t>『あの戦、忘れはせんぞ！キング・ブラッドレイ！』</t>
    <rPh sb="3" eb="4">
      <t>センソウ</t>
    </rPh>
    <rPh sb="5" eb="6">
      <t>ワスレハセンゾ</t>
    </rPh>
    <phoneticPr fontId="52"/>
  </si>
  <si>
    <t>ブラッドレイ式剣術</t>
    <phoneticPr fontId="5"/>
  </si>
  <si>
    <t>4回連続攻撃</t>
    <phoneticPr fontId="5"/>
  </si>
  <si>
    <t>全体攻撃</t>
    <phoneticPr fontId="5"/>
  </si>
  <si>
    <t>最強の目を持って迎えてやろう</t>
    <phoneticPr fontId="5"/>
  </si>
  <si>
    <t>昔のようにいかんな</t>
    <phoneticPr fontId="5"/>
  </si>
  <si>
    <t>私はあちらに戻ろう</t>
    <phoneticPr fontId="5"/>
  </si>
  <si>
    <t>ふむ潮時か</t>
    <phoneticPr fontId="5"/>
  </si>
  <si>
    <t>やあ鋼のおチビさん！
こっちの世界に来てたのか</t>
    <rPh sb="2" eb="3">
      <t>ハガネノ</t>
    </rPh>
    <phoneticPr fontId="52"/>
  </si>
  <si>
    <t>『誰が豆粒どチビだあ！』</t>
    <rPh sb="1" eb="2">
      <t>ダレガ</t>
    </rPh>
    <rPh sb="3" eb="5">
      <t>マメツブドチビダア</t>
    </rPh>
    <phoneticPr fontId="52"/>
  </si>
  <si>
    <t>鋼のおチビさんとは一緒ではないのか？</t>
    <rPh sb="0" eb="1">
      <t>ハガネノ</t>
    </rPh>
    <rPh sb="9" eb="11">
      <t>イッショデハ</t>
    </rPh>
    <phoneticPr fontId="52"/>
  </si>
  <si>
    <t>こっちに来てもお得意の炎で
燃やしまくってるのかい？</t>
    <rPh sb="11" eb="12">
      <t>ホノオデ</t>
    </rPh>
    <rPh sb="14" eb="15">
      <t>モヤシマクッテルノカイ</t>
    </rPh>
    <phoneticPr fontId="52"/>
  </si>
  <si>
    <t>あんたもいるなら大佐もいるな！</t>
    <rPh sb="8" eb="10">
      <t>タイサモイルナ</t>
    </rPh>
    <phoneticPr fontId="52"/>
  </si>
  <si>
    <t>『大佐に会わすわけにはいかないわ』</t>
    <rPh sb="1" eb="3">
      <t>タイサニ</t>
    </rPh>
    <rPh sb="4" eb="5">
      <t>アワスワケニハ</t>
    </rPh>
    <phoneticPr fontId="52"/>
  </si>
  <si>
    <t>『貴様には関係ない話だ』</t>
    <rPh sb="1" eb="3">
      <t>キサマニハ</t>
    </rPh>
    <rPh sb="5" eb="7">
      <t>カンケイナイ</t>
    </rPh>
    <rPh sb="9" eb="10">
      <t>ハナシダ</t>
    </rPh>
    <phoneticPr fontId="52"/>
  </si>
  <si>
    <t>大事な人柱を殺されるわけにはいかねえ！</t>
    <rPh sb="0" eb="2">
      <t>ダイジナヒトバシラ</t>
    </rPh>
    <rPh sb="6" eb="7">
      <t>コロサレルワケニハイカネエ</t>
    </rPh>
    <phoneticPr fontId="52"/>
  </si>
  <si>
    <t>『邪魔をするなホムンクルス！』</t>
    <phoneticPr fontId="52"/>
  </si>
  <si>
    <t>戦るか？</t>
    <phoneticPr fontId="5"/>
  </si>
  <si>
    <t>クリティカル！</t>
    <phoneticPr fontId="52"/>
  </si>
  <si>
    <t>踏みつぶすぞ！</t>
    <phoneticPr fontId="5"/>
  </si>
  <si>
    <t>クソ人間が！</t>
    <phoneticPr fontId="5"/>
  </si>
  <si>
    <t>くっそラースの野郎！</t>
    <phoneticPr fontId="5"/>
  </si>
  <si>
    <t>紛れ込んでやってやる！</t>
    <phoneticPr fontId="52"/>
  </si>
  <si>
    <t>（表示しない）</t>
    <phoneticPr fontId="52"/>
  </si>
  <si>
    <t>ツインターゲット</t>
    <phoneticPr fontId="5"/>
  </si>
  <si>
    <t>2回連続攻撃</t>
    <phoneticPr fontId="5"/>
  </si>
  <si>
    <t>ゴミカスが調子にのるなよ！</t>
    <phoneticPr fontId="5"/>
  </si>
  <si>
    <t>ストライクバック</t>
    <phoneticPr fontId="5"/>
  </si>
  <si>
    <t>糞が…</t>
    <phoneticPr fontId="5"/>
  </si>
  <si>
    <t>変身が解けていく</t>
    <rPh sb="0" eb="2">
      <t>hensin</t>
    </rPh>
    <rPh sb="3" eb="4">
      <t>トケテイク</t>
    </rPh>
    <phoneticPr fontId="5"/>
  </si>
  <si>
    <t>もうやりあう気なんかねえよ</t>
    <phoneticPr fontId="52"/>
  </si>
  <si>
    <t>ったく！しつこい！</t>
    <phoneticPr fontId="5"/>
  </si>
  <si>
    <t>全体攻撃</t>
    <phoneticPr fontId="5"/>
  </si>
  <si>
    <t>下等生物に…</t>
    <phoneticPr fontId="52"/>
  </si>
  <si>
    <t>やられるとは…</t>
    <phoneticPr fontId="52"/>
  </si>
  <si>
    <t>エドワード…エル…リック…</t>
    <phoneticPr fontId="52"/>
  </si>
  <si>
    <t>殺さないようにしたのが…</t>
    <phoneticPr fontId="52"/>
  </si>
  <si>
    <t>失敗だったか…</t>
    <phoneticPr fontId="5"/>
  </si>
  <si>
    <t>散々燃やしやがって…</t>
    <phoneticPr fontId="52"/>
  </si>
  <si>
    <t>これだから…人間は…</t>
    <phoneticPr fontId="52"/>
  </si>
  <si>
    <t>この…傲慢め…</t>
    <phoneticPr fontId="52"/>
  </si>
  <si>
    <t>俺を食らいやがって…</t>
    <phoneticPr fontId="5"/>
  </si>
  <si>
    <t>くそったれめ…</t>
    <phoneticPr fontId="52"/>
  </si>
  <si>
    <t>ばかすか殺しやがって…</t>
    <phoneticPr fontId="52"/>
  </si>
  <si>
    <t>エンヴィーは何をやってるのやら…</t>
    <phoneticPr fontId="5"/>
  </si>
  <si>
    <t>暗闇操作術</t>
    <phoneticPr fontId="52"/>
  </si>
  <si>
    <t>油断はしませんよ</t>
    <phoneticPr fontId="52"/>
  </si>
  <si>
    <t>傲慢</t>
    <phoneticPr fontId="52"/>
  </si>
  <si>
    <t>やあ小さい錬金術師さん！</t>
    <phoneticPr fontId="52"/>
  </si>
  <si>
    <t>君たち兄弟は大事な人柱だ</t>
    <phoneticPr fontId="52"/>
  </si>
  <si>
    <t>貴方も人柱候補ですから</t>
    <phoneticPr fontId="52"/>
  </si>
  <si>
    <t>やあホークアイ中尉貴方もいるのですね</t>
    <phoneticPr fontId="52"/>
  </si>
  <si>
    <t>貴方は邪魔です！</t>
    <phoneticPr fontId="52"/>
  </si>
  <si>
    <t>無駄なあがきを…</t>
    <phoneticPr fontId="5"/>
  </si>
  <si>
    <t>面白い人たちだ</t>
    <phoneticPr fontId="5"/>
  </si>
  <si>
    <t>逃がしませんよ</t>
    <phoneticPr fontId="5"/>
  </si>
  <si>
    <t>単体攻撃+
フィーバーゲージ20%減少</t>
    <phoneticPr fontId="5"/>
  </si>
  <si>
    <t>油断はしませんよ</t>
    <phoneticPr fontId="5"/>
  </si>
  <si>
    <t>這い寄る暗闇</t>
    <phoneticPr fontId="5"/>
  </si>
  <si>
    <t>約束の日が…</t>
    <phoneticPr fontId="52"/>
  </si>
  <si>
    <t>侮りすぎました…</t>
    <phoneticPr fontId="52"/>
  </si>
  <si>
    <t>さすが…人柱…</t>
    <phoneticPr fontId="52"/>
  </si>
  <si>
    <t>手加減を…しすぎましたね…</t>
    <phoneticPr fontId="52"/>
  </si>
  <si>
    <t>貴方にやられるとは…</t>
    <phoneticPr fontId="52"/>
  </si>
  <si>
    <t>やはり…仲間に…</t>
    <phoneticPr fontId="52"/>
  </si>
  <si>
    <t>私に…嫉妬したのか…？</t>
    <phoneticPr fontId="5"/>
  </si>
  <si>
    <t>約束の日のために…</t>
    <phoneticPr fontId="52"/>
  </si>
  <si>
    <t>邪魔するものは排除する</t>
    <phoneticPr fontId="52"/>
  </si>
  <si>
    <t>我らイシュヴァールの恨み！
思い知るが良いキング・ブラッドレイ！</t>
    <phoneticPr fontId="5"/>
  </si>
  <si>
    <t>分解</t>
    <phoneticPr fontId="5"/>
  </si>
  <si>
    <t>これも神の加護か！</t>
    <phoneticPr fontId="5"/>
  </si>
  <si>
    <t>破壊の理</t>
    <phoneticPr fontId="5"/>
  </si>
  <si>
    <t>破壊させてもらう！</t>
    <phoneticPr fontId="5"/>
  </si>
  <si>
    <t>破壊の右腕</t>
    <phoneticPr fontId="5"/>
  </si>
  <si>
    <t>状態異常耐性</t>
    <rPh sb="0" eb="6">
      <t>ジョウタイイジョウタイセイ</t>
    </rPh>
    <phoneticPr fontId="5"/>
  </si>
  <si>
    <t>神に祈る間をやろう</t>
    <phoneticPr fontId="5"/>
  </si>
  <si>
    <t>同胞たちよ、すまぬ…</t>
    <phoneticPr fontId="52"/>
  </si>
  <si>
    <t>畜生の道のまま堕ちるか…</t>
    <phoneticPr fontId="52"/>
  </si>
  <si>
    <t>国家の犬め…</t>
    <phoneticPr fontId="52"/>
  </si>
  <si>
    <t>神よ…兄者よ…</t>
    <phoneticPr fontId="52"/>
  </si>
  <si>
    <t>貴様たち錬金術師は…</t>
    <phoneticPr fontId="52"/>
  </si>
  <si>
    <t>同胞のように撃たれるというのか…</t>
    <phoneticPr fontId="52"/>
  </si>
  <si>
    <t>俺も兄者の元に…</t>
    <phoneticPr fontId="52"/>
  </si>
  <si>
    <t>今…向かいます…</t>
    <phoneticPr fontId="5"/>
  </si>
  <si>
    <t>ホムンクルスとは…</t>
    <phoneticPr fontId="52"/>
  </si>
  <si>
    <t>俺もまだ修練が足りんということか…</t>
    <phoneticPr fontId="52"/>
  </si>
  <si>
    <t>[effect:enemy_message, val1:1.2, val2:1.2, dead_type:escape]</t>
    <phoneticPr fontId="5"/>
  </si>
  <si>
    <t>残りHPの50%ダメージ！</t>
    <phoneticPr fontId="5"/>
  </si>
  <si>
    <t>old</t>
  </si>
  <si>
    <t>[effect:enemy_message, val1:1.2, val2:1.2],[effect:suicide, target:myself, val:1, dead_type:escape, animation:enemy_suicide]</t>
    <phoneticPr fontId="5"/>
  </si>
  <si>
    <t>[effect:enemy_message, val1:1.2, val2:0, dead_type:escape]</t>
    <phoneticPr fontId="5"/>
  </si>
  <si>
    <t>単体攻撃+3ターン攻撃力UP</t>
    <phoneticPr fontId="52"/>
  </si>
  <si>
    <t>裁きを受けるがよい！</t>
    <phoneticPr fontId="5"/>
  </si>
  <si>
    <t>[effect:enemy_message, val1:1.2, val2:0],[effect:fix_speed, target:myself, turn:1]</t>
    <phoneticPr fontId="5"/>
  </si>
  <si>
    <t>(表示しない)</t>
    <phoneticPr fontId="5"/>
  </si>
  <si>
    <t>[effect:enemy_message, val1:1.5, val2:1.9],[effect:fix_speed, target:myself, turn:1]</t>
    <phoneticPr fontId="5"/>
  </si>
  <si>
    <t>[effect:enemy_message, val1:1.6, val2:1.2],[effect:fix_speed, target:myself, turn:1]</t>
    <phoneticPr fontId="5"/>
  </si>
  <si>
    <t>（表示しない）</t>
    <phoneticPr fontId="52"/>
  </si>
  <si>
    <t>[effect:enemy_message, val1:1.8, val2:0],[effect:fix_speed, target:myself, turn:1]</t>
    <phoneticPr fontId="5"/>
  </si>
  <si>
    <t>[effect:enemy_message, val1:1.4, val2:0],[effect:fix_speed, target:myself, turn:1]</t>
    <phoneticPr fontId="5"/>
  </si>
  <si>
    <t>[effect:enemy_message, val1:1.2, val2:1.3],[effect:fix_speed, target:myself, turn:1]</t>
    <phoneticPr fontId="5"/>
  </si>
  <si>
    <t>[effect:enemy_message, val1:1.7, val2:2.4],[effect:fix_speed, target:myself, turn:1]</t>
    <phoneticPr fontId="5"/>
  </si>
  <si>
    <t>[effect:enemy_message, val1:1.6, val2:1.2],[effect:spread, val:0.15]</t>
    <phoneticPr fontId="5"/>
  </si>
  <si>
    <t>歳はとりたくないものだ</t>
    <phoneticPr fontId="5"/>
  </si>
  <si>
    <t>[effect:enemy_message, val1:1.2, val2:1.2],[effect:critical, val:1.1, animation:enemy_critical]</t>
    <phoneticPr fontId="5"/>
  </si>
  <si>
    <t>初めまして、こちらの世界の方</t>
    <phoneticPr fontId="5"/>
  </si>
  <si>
    <t>おい、ラースなんでそっち側にいるんだ？</t>
    <phoneticPr fontId="52"/>
  </si>
  <si>
    <t>[effect:enemy_message, val1:1.2, val2:0],[effect:fix_speed, target:myself, turn:2]</t>
    <phoneticPr fontId="5"/>
  </si>
  <si>
    <t>[effect:enemy_message, val1:1.2, val2:1.2],[effect:rush, count:2, val:0.4]</t>
    <phoneticPr fontId="5"/>
  </si>
  <si>
    <t>[effect:enemy_message, val1:1.2, val2:1.2],[effect:suicide, target:myself, val:1]</t>
    <phoneticPr fontId="5"/>
  </si>
  <si>
    <t>クソが…ストックが切れちまった…</t>
    <phoneticPr fontId="52"/>
  </si>
  <si>
    <t>[effect:enemy_message, val1:1.6, val2:0, dead_type:escape]</t>
    <phoneticPr fontId="5"/>
  </si>
  <si>
    <t>こんな所で何をやっているのですか？</t>
    <phoneticPr fontId="52"/>
  </si>
  <si>
    <t>自分の役割をちゃんと理解しなさい</t>
    <phoneticPr fontId="52"/>
  </si>
  <si>
    <t>全体攻撃+
１ターン全ユニットにスキルバインド</t>
    <phoneticPr fontId="5"/>
  </si>
  <si>
    <t>[effect:enemy_message, val1:1.2, val2:1.8],[effect:rush, count:1, val:0.6],[effect:degrade_fever, val:200, animation:fevergauge_down]</t>
    <phoneticPr fontId="5"/>
  </si>
  <si>
    <t>[effect:enemy_message, val1:1.2, val2:1.3],[effect:damage_gravity, val:0.5, animation:fevergauge_down]</t>
    <phoneticPr fontId="5"/>
  </si>
  <si>
    <t>貴方たち人間は足掻き続けますか…</t>
    <phoneticPr fontId="52"/>
  </si>
  <si>
    <t>ラース…人間に加担すると…</t>
    <phoneticPr fontId="52"/>
  </si>
  <si>
    <t>私達を…裏切るというのですか…</t>
    <phoneticPr fontId="52"/>
  </si>
  <si>
    <t>[effect:enemy_message, val1:1.3, val2:1.5, dead_type:escape]</t>
    <phoneticPr fontId="5"/>
  </si>
  <si>
    <t>父上が…なんというか…</t>
    <phoneticPr fontId="52"/>
  </si>
  <si>
    <t>こんなところで…やられるわけには…</t>
    <phoneticPr fontId="52"/>
  </si>
  <si>
    <t>[effect:enemy_message, val1:1.2, val2:1.7, dead_type:escape]</t>
    <phoneticPr fontId="5"/>
  </si>
  <si>
    <t>[effect:enemy_message, val1:1.2, val2:1.2],[effect:fix_speed, target:myself, turn:2],[effect:tolerance, target:myself, turn:-1, count:-1, tolerance_effect:all, animation:enemy_tolerance]</t>
    <phoneticPr fontId="5"/>
  </si>
  <si>
    <t>単体攻撃+
ランダムでお邪魔パネルに最大3個変換</t>
    <phoneticPr fontId="5"/>
  </si>
  <si>
    <t>[effect:enemy_message, val1:1.7, val2:1.7, dead_type:escape]</t>
    <phoneticPr fontId="5"/>
  </si>
  <si>
    <t>悲劇ばかり生み出す…</t>
    <phoneticPr fontId="5"/>
  </si>
  <si>
    <t>俺の…志半ばで…</t>
    <phoneticPr fontId="52"/>
  </si>
  <si>
    <t>[effect:enemy_message, val1:1.7, val2:2.1, dead_type:escape]</t>
    <phoneticPr fontId="5"/>
  </si>
  <si>
    <t>我らの恨み…晴らすことかなわず…</t>
    <phoneticPr fontId="52"/>
  </si>
  <si>
    <t>[effect:enemy_message, val1:1.7, val2:2.2, dead_type:escape]</t>
    <phoneticPr fontId="5"/>
  </si>
  <si>
    <t>傷の男</t>
    <phoneticPr fontId="5"/>
  </si>
  <si>
    <t>ホムンクルス</t>
    <phoneticPr fontId="5"/>
  </si>
  <si>
    <t>エルリック兄弟</t>
    <phoneticPr fontId="5"/>
  </si>
  <si>
    <t>真理の扉</t>
    <phoneticPr fontId="5"/>
  </si>
  <si>
    <t>再錬成</t>
    <phoneticPr fontId="5"/>
  </si>
  <si>
    <t>complete</t>
  </si>
  <si>
    <t>人間風情が！</t>
    <phoneticPr fontId="5"/>
  </si>
  <si>
    <t>[effect:enemy_message, val1:1.3, val2:0, dead_type:escape]</t>
    <phoneticPr fontId="5"/>
  </si>
  <si>
    <t>[effect:enemy_message, val1:2.1, val2:1.7, dead_type:escape]</t>
    <phoneticPr fontId="5"/>
  </si>
  <si>
    <t>イシュヴァールの同胞たちよ…</t>
    <phoneticPr fontId="52"/>
  </si>
  <si>
    <t>[effect:enemy_message, val1:1.9, val2:1.7, dead_type:escape]</t>
    <phoneticPr fontId="5"/>
  </si>
  <si>
    <t>単体攻撃+
ランダムで赤のダメージパネルに最大3個変換</t>
    <rPh sb="11" eb="12">
      <t>アカ</t>
    </rPh>
    <phoneticPr fontId="5"/>
  </si>
  <si>
    <t>ランダムで緑のダメージパネルに最大3個変換</t>
    <rPh sb="5" eb="6">
      <t>ミドリノ</t>
    </rPh>
    <phoneticPr fontId="5"/>
  </si>
  <si>
    <t>『兄さんとは別行動だよ』</t>
    <rPh sb="1" eb="2">
      <t>ニイサントハ</t>
    </rPh>
    <rPh sb="6" eb="9">
      <t>ベツコウドウダヨ</t>
    </rPh>
    <phoneticPr fontId="5"/>
  </si>
  <si>
    <t>『早くあちらの世界に戻りますよ』</t>
    <phoneticPr fontId="5"/>
  </si>
  <si>
    <t>俺が…やられるとは…</t>
    <rPh sb="0" eb="1">
      <t>オレガ</t>
    </rPh>
    <phoneticPr fontId="52"/>
  </si>
  <si>
    <t>[effect:enemy_message, val1:1.2, val2:1.2],[effect:rush, count:2, val:0.3]</t>
    <phoneticPr fontId="5"/>
  </si>
  <si>
    <t>[effect:enemy_message, val1:1.2, val2:1.2],[effect:spread, val:0.15]</t>
    <phoneticPr fontId="5"/>
  </si>
  <si>
    <t>そこをどけ</t>
    <phoneticPr fontId="52"/>
  </si>
  <si>
    <t>貴様一人か？</t>
    <rPh sb="0" eb="4">
      <t>キサマヒトリカ</t>
    </rPh>
    <phoneticPr fontId="52"/>
  </si>
  <si>
    <t>鋼の錬金術師はどうした？</t>
    <rPh sb="0" eb="1">
      <t>ハガネノ</t>
    </rPh>
    <rPh sb="2" eb="6">
      <t>レンキンジュツ</t>
    </rPh>
    <phoneticPr fontId="52"/>
  </si>
  <si>
    <t>貴様の業火にやられた同胞の恨み！</t>
    <rPh sb="0" eb="2">
      <t>キサマノ</t>
    </rPh>
    <rPh sb="3" eb="5">
      <t>gouka</t>
    </rPh>
    <rPh sb="10" eb="12">
      <t>ドウホウノウラミ</t>
    </rPh>
    <phoneticPr fontId="52"/>
  </si>
  <si>
    <t>思い知らせてくれる！</t>
    <phoneticPr fontId="52"/>
  </si>
  <si>
    <t>貴様が鷹の目か！</t>
    <rPh sb="0" eb="2">
      <t>キサマガ</t>
    </rPh>
    <rPh sb="3" eb="4">
      <t>タカノメ</t>
    </rPh>
    <phoneticPr fontId="52"/>
  </si>
  <si>
    <t>貴様に撃たれた同胞の恨み思い知れ！</t>
    <rPh sb="3" eb="4">
      <t>utareta</t>
    </rPh>
    <rPh sb="7" eb="9">
      <t>ドウホウノウラミ</t>
    </rPh>
    <rPh sb="12" eb="13">
      <t>オモイシレ</t>
    </rPh>
    <phoneticPr fontId="52"/>
  </si>
  <si>
    <t>姿を変える奇妙なものよ！</t>
    <rPh sb="0" eb="1">
      <t>スガタヲ</t>
    </rPh>
    <rPh sb="2" eb="3">
      <t>カエル</t>
    </rPh>
    <rPh sb="5" eb="7">
      <t>キミョウナ</t>
    </rPh>
    <phoneticPr fontId="52"/>
  </si>
  <si>
    <t>安息も救いも与えられぬものと思え！</t>
    <rPh sb="0" eb="2">
      <t>アンソクモ</t>
    </rPh>
    <rPh sb="3" eb="4">
      <t>スクイモ</t>
    </rPh>
    <rPh sb="6" eb="7">
      <t>アタエラレヌ</t>
    </rPh>
    <phoneticPr fontId="52"/>
  </si>
  <si>
    <t>なんだ貴様</t>
    <phoneticPr fontId="52"/>
  </si>
  <si>
    <t>…子供か？</t>
    <rPh sb="1" eb="3">
      <t>コドモカ</t>
    </rPh>
    <phoneticPr fontId="52"/>
  </si>
  <si>
    <t>神の名の下に</t>
    <rPh sb="0" eb="1">
      <t>カミノナノモトニ</t>
    </rPh>
    <phoneticPr fontId="5"/>
  </si>
  <si>
    <t>嫉妬</t>
    <rPh sb="0" eb="2">
      <t>シット</t>
    </rPh>
    <phoneticPr fontId="5"/>
  </si>
  <si>
    <t>暗闇状態のユニットに大ダメージ</t>
    <phoneticPr fontId="52"/>
  </si>
  <si>
    <t>[effect:enemy_message, val1:1.2, val2:1.5],[effect:damage_anti_abnormal, target:unit_one, target_effect01:dark, val1:0.9, val2:0.6]</t>
    <phoneticPr fontId="5"/>
  </si>
  <si>
    <t>[effect:enemy_message, val1:1.2, val2:1.2],[effect:spread, val:0.25]</t>
    <phoneticPr fontId="5"/>
  </si>
  <si>
    <t>単体攻撃+
ランダムで赤のダメージパネルに最大2個変換</t>
    <rPh sb="11" eb="12">
      <t>アカ</t>
    </rPh>
    <phoneticPr fontId="5"/>
  </si>
  <si>
    <t>単体攻撃+
ランダムでお邪魔パネルに最大2個変換</t>
    <phoneticPr fontId="5"/>
  </si>
  <si>
    <t>[effect:enemy_message, val1:1.2, val2:1.2],[effect:rush, count:2, val:0.2]</t>
    <phoneticPr fontId="5"/>
  </si>
  <si>
    <t>[effect:enemy_message, val1:1.2, val2:1.2],[effect:rush, count:1, val:0.9]</t>
    <phoneticPr fontId="5"/>
  </si>
  <si>
    <t>単体攻撃</t>
    <rPh sb="0" eb="4">
      <t>タンタイコウゲキ</t>
    </rPh>
    <phoneticPr fontId="52"/>
  </si>
  <si>
    <t>[effect:enemy_message, val1:1.2, val2:1.2],[effect:rush, count:4, val:0.1]</t>
    <phoneticPr fontId="5"/>
  </si>
  <si>
    <t>特定エリアをお邪魔パネルに変換</t>
    <rPh sb="0" eb="2">
      <t>トクテイ</t>
    </rPh>
    <rPh sb="13" eb="15">
      <t>ヘンカn</t>
    </rPh>
    <phoneticPr fontId="5"/>
  </si>
  <si>
    <t>特定エリアをハートパネルに変換</t>
    <rPh sb="0" eb="2">
      <t>トクテイ</t>
    </rPh>
    <rPh sb="13" eb="15">
      <t>ヘンカn</t>
    </rPh>
    <phoneticPr fontId="52"/>
  </si>
  <si>
    <t>単体攻撃+
特定エリアをお邪魔パネルに変換</t>
    <rPh sb="6" eb="8">
      <t>トクテイ</t>
    </rPh>
    <rPh sb="19" eb="21">
      <t>ヘンカn</t>
    </rPh>
    <phoneticPr fontId="5"/>
  </si>
  <si>
    <t>単体攻撃+
特定エリアをお邪魔パネルに変換</t>
    <rPh sb="6" eb="8">
      <t>トクテイ</t>
    </rPh>
    <phoneticPr fontId="5"/>
  </si>
  <si>
    <t>全体攻撃+
特定エリアをお邪魔パネルに変換</t>
    <rPh sb="6" eb="8">
      <t>トクテイ</t>
    </rPh>
    <rPh sb="19" eb="21">
      <t>ヘンカn</t>
    </rPh>
    <phoneticPr fontId="5"/>
  </si>
  <si>
    <t>特定エリアをお邪魔パネルと緑パネルに変換</t>
    <rPh sb="0" eb="2">
      <t>トクテイ</t>
    </rPh>
    <phoneticPr fontId="5"/>
  </si>
  <si>
    <t>[effect:enemy_message, val1:1.2, val2:1.2],[effect:rush, count:4, val:0.14]</t>
    <phoneticPr fontId="5"/>
  </si>
  <si>
    <t>[effect:enemy_message, val1:1.6, val2:1.2],[effect:spread, val:0.16]</t>
    <phoneticPr fontId="5"/>
  </si>
  <si>
    <t>[effect:enemy_message, val1:1.6, val2:1.2],[effect:spread, val:0.11]</t>
    <phoneticPr fontId="5"/>
  </si>
  <si>
    <t>[effect:enemy_message, val1:1.2, val2:1.2],[effect:rush, count:4, val:0.12]</t>
    <phoneticPr fontId="5"/>
  </si>
  <si>
    <t>君の腕前を試してやろう</t>
    <phoneticPr fontId="5"/>
  </si>
  <si>
    <t>我らイシュヴァールの恨み！
思い知るが良いキング・ブラッドレイ！</t>
    <phoneticPr fontId="5"/>
  </si>
  <si>
    <t>[effect:enemy_message, val1:1.2, val2:1.2],[effect:critical, val:1.11, animation:enemy_critical]</t>
    <phoneticPr fontId="5"/>
  </si>
  <si>
    <t>単体攻撃+
フィーバーゲージ10%減少</t>
    <phoneticPr fontId="5"/>
  </si>
  <si>
    <t>[effect:enemy_message, val1:1.2, val2:1.3],[effect:damage_gravity, val:0.3, animation:fevergauge_down]</t>
    <phoneticPr fontId="5"/>
  </si>
  <si>
    <t>[effect:enemy_message, val1:1.2, val2:0, dead_type:escape]</t>
    <phoneticPr fontId="5"/>
  </si>
  <si>
    <t>残りHPの20%ダメージ！</t>
    <phoneticPr fontId="5"/>
  </si>
  <si>
    <t>[effect:enemy_message, val1:1.2, val2:1.3],[effect:damage_gravity, val:0.2, animation:fevergauge_down]</t>
    <phoneticPr fontId="5"/>
  </si>
  <si>
    <t>残りHPの30%ダメージ！</t>
    <phoneticPr fontId="5"/>
  </si>
  <si>
    <t>[effect:enemy_message, val1:1.2, val2:2.3],[effect:rush, count:1, val:0.4],[effect:hungup, target:unit_one, turn:1, rate:1, animation:hungup01]</t>
    <phoneticPr fontId="5"/>
  </si>
  <si>
    <t>[effect:enemy_message, val1:1.2, val2:1.2],[effect:spread, val:0.12]</t>
    <phoneticPr fontId="5"/>
  </si>
  <si>
    <t>[effect:enemy_message, val1:1.2, val2:1.2],[effect:spread, val:0.3]</t>
    <phoneticPr fontId="5"/>
  </si>
  <si>
    <t>[effect:enemy_message, val1:1.2, val2:1.8],[effect:rush, count:1, val:0.3],[effect:degrade_fever, val:100, animation:fevergauge_down]</t>
    <phoneticPr fontId="5"/>
  </si>
  <si>
    <t>[effect:enemy_message, val1:1.2, val2:2.2],[effect:spread, val:0.08],[effect:hungup, target:unit_all, turn:1, rate:1, animation:hungup01]</t>
    <phoneticPr fontId="5"/>
  </si>
  <si>
    <t>[effect:enemy_message, val1:1.6, val2:1.2],[effect:spread, val:0.14]</t>
    <phoneticPr fontId="5"/>
  </si>
  <si>
    <t>[effect:enemy_message, val1:1.2, val2:1.2],[effect:rush, count:4, val:0.18]</t>
    <phoneticPr fontId="5"/>
  </si>
  <si>
    <t>[effect:enemy_message, val1:1.3, val2:4.0],[effect:fix_speed, target:myself, turn:1],[effect:sp_boost, target:unit_all, val:4, animation:sp_boost_one02]</t>
    <phoneticPr fontId="5"/>
  </si>
  <si>
    <t>なんという僥倖！
このような世界で会えるとは！</t>
    <phoneticPr fontId="52"/>
  </si>
  <si>
    <t>【エドは黄パネルを錬成し始めた！】</t>
    <rPh sb="4" eb="5">
      <t>キパネル</t>
    </rPh>
    <rPh sb="9" eb="11">
      <t>レンセイシハジメタ</t>
    </rPh>
    <phoneticPr fontId="5"/>
  </si>
  <si>
    <t>クソが！クソ虫が！！
調子にのるんじゃねえ！！！</t>
    <phoneticPr fontId="5"/>
  </si>
  <si>
    <t>特定エリアをお邪魔パネルと
緑の時限式ダメージパネルに変換</t>
    <phoneticPr fontId="5"/>
  </si>
  <si>
    <t>ブラッドレイの2ゲージ目は
HPが一定以下になると撤退します
大ダメージを受ける前に
速やかに攻撃しましょう</t>
    <phoneticPr fontId="5"/>
  </si>
  <si>
    <t>エンヴィーは
エリア変換スキルを多用します
整地中のパネルをまとめて
変換されないように気をつけましょう</t>
    <phoneticPr fontId="5"/>
  </si>
  <si>
    <t>エンヴィーの3ゲージ目は
お邪魔パネルと
時限式ダメージパネルを
同時に変換します</t>
    <rPh sb="21" eb="24">
      <t>ジゲンシキ</t>
    </rPh>
    <phoneticPr fontId="5"/>
  </si>
  <si>
    <t>プライドの2ゲージ目では
スキルバインドやフィーバーゲージ減少など
多用しますので素早く突破しましょう</t>
    <phoneticPr fontId="5"/>
  </si>
  <si>
    <t>スカーの2ゲージ目は中央を
お邪魔パネルに変換します
整地を行う際には注意しましょう</t>
    <phoneticPr fontId="5"/>
  </si>
  <si>
    <t>スカーの3ゲージ目は
割合ダメージ攻撃を使用します
すぐに回復できるよう
準備しておきましょう</t>
    <phoneticPr fontId="5"/>
  </si>
  <si>
    <t>[effect:enemy_message, val1:1.2, val2:2.9],[effect:freq_turn, target:myself, turn:1, val:1, animation:enemy_freq_turn],[effect:enemy_counter, target:myself, invoke_condition:unit_all, counter_target:attacker, turn:2, val:0.2, animation:enemy_counter]</t>
    <phoneticPr fontId="5"/>
  </si>
  <si>
    <t>[effect:enemy_message, val1:1.2, val2:1.2],[effect:spread, val:0.18]</t>
    <phoneticPr fontId="5"/>
  </si>
  <si>
    <t>[effect:enemy_message, val1:1.2, val2:1.5],[effect:damage_anti_abnormal, target:unit_one, target_effect01:dark, val1:0.9, val2:0.7]</t>
    <phoneticPr fontId="5"/>
  </si>
  <si>
    <t>[effect:enemy_message, val1:1.2, val2:2.3],[effect:rush, count:1, val:0.7],[effect:hungup, target:unit_one, turn:1, rate:1, animation:hungup01]</t>
    <phoneticPr fontId="5"/>
  </si>
  <si>
    <t>単体攻撃+
1ターンユニット1体にスキルバインド</t>
    <phoneticPr fontId="52"/>
  </si>
  <si>
    <t>[effect:enemy_message, val1:1.2, val2:2.2],[effect:spread, val:0.22],[effect:hungup, target:unit_all, turn:1, rate:1, animation:hungup01]</t>
    <phoneticPr fontId="5"/>
  </si>
  <si>
    <t>[effect:enemy_message, val1:1.2, val2:2.3],[effect:rush, count:1, val:0.5],[effect:hungup, target:unit_one, turn:1, rate:1, animation:hungup01]</t>
    <phoneticPr fontId="5"/>
  </si>
  <si>
    <t>ホムンクルスは不死身の人造人間です
その不死身さは体内に存在する
賢者の石により保たれているようです</t>
    <phoneticPr fontId="5"/>
  </si>
  <si>
    <t>エルリック兄弟とアメストリス軍の活躍で
スカーの傷害事件は沈静化しました
彼らは再度真理の扉を介し
自分たちの世界へ戻りました</t>
    <phoneticPr fontId="5"/>
  </si>
  <si>
    <t>スカーは顔の大きな傷から傷の男といわれ
畏怖の対象となっています
錬金術師への募った恨みは
彼を殺人鬼へと駆り立てました</t>
    <phoneticPr fontId="5"/>
  </si>
  <si>
    <t>過去の人体錬成により
エドは右腕と左足を
アルは自身の体を失いました
その体を取り戻すその日まで
彼らの旅は続きます</t>
    <phoneticPr fontId="5"/>
  </si>
  <si>
    <t>突如出現した彼らは
ホムンクルス達が錬成した際に発生した
真理の扉を介してこちら側の世界に
連れて来られたようです</t>
    <phoneticPr fontId="5"/>
  </si>
  <si>
    <t>ブラッドレイの1ゲージ目は4ターン毎に
クリティカルを使用します
整地を行い回復できるよう努めましょう</t>
    <phoneticPr fontId="5"/>
  </si>
  <si>
    <t>スカーの1ゲージ目は
お邪魔パネル吸収攻撃を使用します
スキルやフィーバーでお邪魔パネルを
処理してダメージを抑えましょう</t>
    <phoneticPr fontId="5"/>
  </si>
  <si>
    <t>特定エリアを緑の時限式ダメージパネルに変換</t>
    <rPh sb="0" eb="2">
      <t>トクテイエリアヲ</t>
    </rPh>
    <phoneticPr fontId="5"/>
  </si>
  <si>
    <t>特定エリアをお邪魔パネルと
緑の時限式ダメージパネルに変換</t>
    <phoneticPr fontId="5"/>
  </si>
  <si>
    <t>[effect:enemy_message, val1:1.2, val2:1.8],[effect:rush, count:1, val:0.5],[effect:degrade_fever, val:100, animation:fevergauge_down]</t>
    <phoneticPr fontId="5"/>
  </si>
  <si>
    <t>[effect:enemy_message, val1:1.2, val2:2.2],[effect:spread, val:0.18],[effect:hungup, target:unit_all, turn:1, rate:1, animation:hungup01]</t>
    <phoneticPr fontId="5"/>
  </si>
  <si>
    <t>[effect:enemy_message, val1:1.3, val2:1.4],[effect:rush, count:1, val:0.35],[effect:enhance_enemy, target:myself, turn:3, status:attack, val:0.2, calc:mul, animation:enemy_enhance_attack]</t>
    <phoneticPr fontId="5"/>
  </si>
  <si>
    <t>[effect:enemy_message, val1:1.3, val2:1.4],[effect:rush, count:1, val:0.5],[effect:enhance_enemy, target:myself, turn:3, status:attack, val:0.3, calc:mul, animation:enemy_enhance_attack]</t>
    <phoneticPr fontId="5"/>
  </si>
  <si>
    <t>お邪魔パネルを吸収して全体攻撃</t>
    <rPh sb="11" eb="13">
      <t>ゼンタイ</t>
    </rPh>
    <phoneticPr fontId="5"/>
  </si>
  <si>
    <t>[effect:enemy_message, val1:1.2, val2:1.5],[effect:break_attack, target:unit_all, val:0.02, lowest_val:1200, count:-1, color:blue, block01:jammer]</t>
    <phoneticPr fontId="5"/>
  </si>
  <si>
    <t>お邪魔パネルを吸収して全体攻撃</t>
    <phoneticPr fontId="5"/>
  </si>
  <si>
    <t>[effect:enemy_message, val1:1.2, val2:1.5],[effect:break_attack, target:unit_all, val:0.02, lowest_val:1500, count:-1, color:blue, block01:jammer]</t>
    <phoneticPr fontId="5"/>
  </si>
  <si>
    <t>[effect:enemy_message, val1:1.2, val2:1.5],[effect:break_attack, target:unit_all, val:0.02, lowest_val:1000, count:-1, color:blue, block01:jammer]</t>
    <phoneticPr fontId="5"/>
  </si>
  <si>
    <t>[effect:enemy_message, val1:1.2, val2:1.5],[effect:break_attack, target:unit_all, val:0.01, lowest_val:900, count:-1, color:blue, block01:jammer]</t>
    <phoneticPr fontId="5"/>
  </si>
  <si>
    <t>単体攻撃+
ランダムで緑の時限式ダメージパネルに最大3個変換</t>
    <rPh sb="11" eb="12">
      <t>ミドリノ</t>
    </rPh>
    <rPh sb="24" eb="26">
      <t>サイダイ</t>
    </rPh>
    <phoneticPr fontId="52"/>
  </si>
  <si>
    <t>無駄なあがきを…</t>
    <phoneticPr fontId="5"/>
  </si>
  <si>
    <t>[effect:enemy_message, val1:1.2, val2:1.5],[effect:break_attack, target:unit_all, val:0.01, lowest_val:1000, count:-1, color:blue, block01:jammer]</t>
    <phoneticPr fontId="5"/>
  </si>
  <si>
    <t>[effect:enemy_message, val1:1.2, val2:1.5],[effect:break_attack, target:unit_all, val:0.01, lowest_val:800, count:-1, color:blue, block01:jammer]</t>
    <phoneticPr fontId="5"/>
  </si>
  <si>
    <t>[effect:enemy_message, val1:1.2, val2:1.2],[effect:fix_speed,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t>
    <phoneticPr fontId="5"/>
  </si>
  <si>
    <t>[effect:enemy_message, val1:1.4, val2:2.0],[effect:fix_speed,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t>
    <phoneticPr fontId="5"/>
  </si>
  <si>
    <t>[effect:enemy_message, val1:2.2, val2:1.2],[effect:fix_speed,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t>
    <phoneticPr fontId="5"/>
  </si>
  <si>
    <t>[effect:enemy_message, val1:1.8, val2:1.2],[effect:fix_speed,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t>
    <phoneticPr fontId="5"/>
  </si>
  <si>
    <t>[effect:enemy_message, val1:1.5, val2:1.7],[effect:fix_speed,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t>
    <phoneticPr fontId="5"/>
  </si>
  <si>
    <t>[effect:enemy_message, val1:1.9, val2:1.2],[effect:fix_speed, target:myself, turn:2],[effect:change_range_block, block_change:1, base_type:0, square_count:2, position01:0,  value_h01:2, value_w01:1,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t>
    <phoneticPr fontId="5"/>
  </si>
  <si>
    <t>[effect:enemy_message, val1:1.9, val2:1.5],[effect:fix_speed,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t>
    <phoneticPr fontId="5"/>
  </si>
  <si>
    <t>[effect:enemy_message, val1:1.9, val2:1.2],[effect:fix_speed,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t>
    <phoneticPr fontId="5"/>
  </si>
  <si>
    <t>[effect:enemy_message, val1:1.2, val2:2.1],[effect:force_change_block, new_block:damage, target:block_all, ignore01:block_positive, ignore02:damage, count:3, val:0.08, animation:change_block]</t>
    <phoneticPr fontId="5"/>
  </si>
  <si>
    <t>[effect:enemy_message, val1:1.3, val2:1.5],[effect:fix_speed, target:myself, turn:1],[effect:change_range_block, block_change:1, base_type:1, square_count:5, position01:12, value_rad01:3.0, value_h01:1.0, value_w01:1.0, new_block:block_heart, target:block_all, ignore01:block_positive, ignore02:block_heart, count:0, val:0, animation:change_range_block]</t>
    <phoneticPr fontId="5"/>
  </si>
  <si>
    <t>[effect:enemy_message, val1:1.2, val2:1.5],[effect:change_range_block, block_change:1, base_type:0, square_count:5, position01:2,  value_h01:5, value_w01:1,  new_block:jammer, target:block_all, ignore01:block_positive, ignore02:jammer, count:0, val:0, animation:change_range_block]</t>
    <phoneticPr fontId="5"/>
  </si>
  <si>
    <t>[effect:enemy_message, val1:1.2, val2:2.0],[effect:rush, count:1, val:0.6],[effect:change_range_block, block_change:1, base_type:1, square_count:5, position01:17, value_rad01:3.0, value_h01:1.0, value_w01:1.0, new_block:jammer, target:block_all, ignore01:block_positive, ignore02:jammer, count:0, val:0, animation:change_range_block]</t>
    <phoneticPr fontId="5"/>
  </si>
  <si>
    <t>[effect:enemy_message, val1:2.3, val2:2.8],[effect:change_range_block, block_change:1, base_type:0, square_count:3, position01:1, position02:6, position03:8, value_h01:1.0, value_h02:1.0, value_h03:1.0, value_w01:1.0, value_w02:1.0, value_w03:1.0, new_block:jammer, target:block_all, ignore01:block_positive, ignore02:jammer, count:0, val:0, animation:change_range_block],[effect:change_range_block, block_change:1, base_type:0, square_count:3, position01:3, position02:5, position03:7, value_h01:1.0, value_h02:1.0, value_h03:1.0, value_w01:1.0, value_w02:1.0, value_w03:1.0, new_block:time_bomb, target:block_all, ignore01:block_positive, ignore02:time_bomb, color:block_green, count:0, val:0.04, min_time_count:3, max_time_count:3, animation:change_range_block]</t>
    <phoneticPr fontId="5"/>
  </si>
  <si>
    <t>[effect:enemy_message, val1:1.2, val2:2.6],[effect:rush, count:1, val:0.7],[effect:force_change_block, new_block:damage, target:block_all, ignore01:block_positive, ignore02:damage, count:3, val:0.08, animation:change_block]</t>
    <phoneticPr fontId="5"/>
  </si>
  <si>
    <t>[effect:enemy_message, val1:1.2, val2:2.6],[effect:rush, count:1, val:0.6],[effect:force_change_block, new_block:damage, target:block_all, ignore01:block_positive, ignore02:damage, count:3, val:0.08, animation:change_block]</t>
    <phoneticPr fontId="5"/>
  </si>
  <si>
    <t>[effect:enemy_message, val1:1.2, val2:1.2],[effect:fix_speed,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t>
    <phoneticPr fontId="5"/>
  </si>
  <si>
    <t>[effect:enemy_message, val1:2.2, val2:1.7],[effect:fix_speed, target:myself, turn:2],[effect:set_background, turn:-1, background_id:994, switching_mode:go_front, duration:2],[effect:tolerance, target:myself, turn:-1, count:-1, tolerance_effect:all, animation:enemy_tolerance],[effect:change_panel_ratio, turn:-1, block_type:yellow, val:0.6, animation:block_incidence04],[effect:remove_enhancement,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t>
    <phoneticPr fontId="5"/>
  </si>
  <si>
    <t>[effect:enemy_message, val1:1.6, val2:1.2],[effect:fix_speed,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t>
    <phoneticPr fontId="5"/>
  </si>
  <si>
    <t>[effect:enemy_message, val1:1.2, val2:1.7],[effect:fix_speed,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t>
    <phoneticPr fontId="5"/>
  </si>
  <si>
    <t>[effect:enemy_message, val1:3.1, val2:1.2],[effect:fix_speed,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t>
    <phoneticPr fontId="5"/>
  </si>
  <si>
    <t>[effect:enemy_message, val1:1.2, val2:2.3],[effect:rush, count:1, val:1],[effect:force_change_block, new_block:jammer, target:block_all, ignore01:block_positive, ignore02:jammer, count:3, val:0, animation:change_block]</t>
    <phoneticPr fontId="5"/>
  </si>
  <si>
    <t>[effect:enemy_message, val1:1.2, val2:2.0],[effect:rush, count:1, val:1],[effect:change_range_block, block_change:1, base_type:0, square_count:5, position01:10,  value_h01:1, value_w01:5, new_block:jammer, target:block_all, ignore01:block_positive, ignore02:jammer, count:0, val:0, animation:change_range_block]</t>
    <phoneticPr fontId="5"/>
  </si>
  <si>
    <t>[effect:enemy_message, val1:1.2, val2:2.0],[effect:rush, count:1, val:1],[effect:change_range_block, block_change:1, base_type:0, square_count:5, position01:2,  value_h01:5, value_w01:1,  new_block:jammer, target:block_all, ignore01:block_positive, ignore02:jammer, count:0, val:0, animation:change_range_block]</t>
    <phoneticPr fontId="5"/>
  </si>
  <si>
    <t>[effect:enemy_message, val1:1.2, val2:2.1],[effect:force_change_block, new_block:damage, target:block_all, ignore01:block_positive, ignore02:damage, count:3, val:0.06, animation:change_block]</t>
    <phoneticPr fontId="5"/>
  </si>
  <si>
    <t>[effect:enemy_message, val1:1.2, val2:1.5],[effect:change_range_block, block_change:1, base_type:0, square_count:5, position01:2,  value_h01:5, value_w01:1,  new_block:jammer, target:block_all, ignore01:block_positive, ignore02:jammer, count:5, val:0, animation:change_range_block]</t>
    <phoneticPr fontId="5"/>
  </si>
  <si>
    <t>[effect:enemy_message, val1:1.2, val2:2.0],[effect:rush, count:1, val:0.6],[effect:change_range_block, block_change:1, base_type:1, square_count:5, position01:17, value_rad01:3.0, value_h01:1.0, value_w01:1.0, new_block:jammer, target:block_all, ignore01:block_positive, ignore02:jammer, count:4, val:0 animation:change_range_block]</t>
    <phoneticPr fontId="5"/>
  </si>
  <si>
    <t>[effect:enemy_message, val1:1.2, val2:2.9],[effect:rush, count:1, val:0.6],[effect:force_change_block, new_block:time_bomb, target:block_all, ignore01:block_positive, ignore02:time_bomb, color:block_green, count:3, val:0.06, min_time_count:3, max_time_count:3, animation:change_block]</t>
    <phoneticPr fontId="5"/>
  </si>
  <si>
    <t>[effect:enemy_message, val1:2.3, val2:2.8],[effect:change_range_block, block_change:1, base_type:1, square_count:5, position01:7, value_rad01:2.0, value_h01:1.0, value_w01:1.0, new_block:jammer, target:block_all, ignore01:block_positive, ignore02:jammer, count:3, val:0 animation:change_range_block],[effect:change_range_block, block_change:1, base_type:1, square_count:5, position01:17, value_rad01:2.0, value_h01:1.0, value_w01:1.0, new_block:time_bomb, target:block_all, ignore01:block_positive, ignore02:time_bomb, color:block_green, count:3, val:0.03, min_time_count:3, max_time_count:3, animation:change_range_block]</t>
    <phoneticPr fontId="5"/>
  </si>
  <si>
    <t>[effect:enemy_message, val1:1.2, val2:2.6],[effect:rush, count:1, val:0.5],[effect:force_change_block, new_block:damage, target:block_all, ignore01:block_positive, ignore02:damage, count:3, val:0.06, animation:change_block]</t>
    <phoneticPr fontId="5"/>
  </si>
  <si>
    <t>[effect:enemy_message, val1:1.2, val2:2.3],[effect:rush, count:1, val:0.8],[effect:force_change_block, new_block:jammer, target:block_all, ignore01:block_positive, ignore02:jammer, count:3, val:0, animation:change_block]</t>
    <phoneticPr fontId="5"/>
  </si>
  <si>
    <t>[effect:enemy_message, val1:1.2, val2:2.0],[effect:rush, count:1, val:0.8],[effect:change_range_block, block_change:1, base_type:0, square_count:5, position01:10,  value_h01:1, value_w01:5, new_block:jammer, target:block_all, ignore01:block_positive, ignore02:jammer, count:4, val:0, animation:change_range_block]</t>
    <phoneticPr fontId="5"/>
  </si>
  <si>
    <t>[effect:enemy_message, val1:1.2, val2:2.0],[effect:rush, count:1, val:0.8],[effect:change_range_block, block_change:1, base_type:0, square_count:5, position01:2,  value_h01:5, value_w01:1,  new_block:jammer, target:block_all, ignore01:block_positive, ignore02:jammer, count:4, val:0, animation:change_range_block]</t>
    <phoneticPr fontId="5"/>
  </si>
  <si>
    <t>[effect:enemy_message, val1:1.2, val2:1.2],[effect:fix_speed, target:myself, turn:1],[effect:tolerance, target:myself, turn:-1, count:-1, tolerance_effect:all, animation:enemy_tolerance],[effect:change_range_block, block_change:1, base_type:0, square_count:7, position01:1, position02:3, position03:5, value_h01:7.0, value_h02:7.0, value_h03:7.0, value_w01:1.0, value_w02:1.0, value_w03:1.0, new_block:jammer, target:block_all, ignore01:block_positive, ignore02:jammer, count:0, val:0, animation:change_range_block]</t>
    <phoneticPr fontId="5"/>
  </si>
  <si>
    <t>[effect:enemy_message, val1:1.2, val2:2.0],[effect:spread, val:0.25],[effect:change_range_block, block_change:1, base_type:1, square_count:5, position01:12, value_rad01:3.0, value_h01:1.0, value_w01:1.0, new_block:jammer, target:block_all, ignore01:block_positive, ignore02:jammer, count:3, val:0, animation:change_range_block]</t>
    <phoneticPr fontId="5"/>
  </si>
  <si>
    <t>[effect:enemy_message, val1:1.2, val2:2.1],[effect:force_change_block, new_block:damage, target:block_all, ignore01:block_positive, ignore02:damage, count:3, val:0.03, animation:change_block]</t>
    <phoneticPr fontId="5"/>
  </si>
  <si>
    <t>[effect:enemy_message, val1:1.2, val2:1.5],[effect:change_range_block, block_change:1, base_type:0, square_count:5, position01:2,  value_h01:5, value_w01:1,  new_block:jammer, target:block_all, ignore01:block_positive, ignore02:jammer, count:3, val:0, animation:change_range_block]</t>
    <phoneticPr fontId="5"/>
  </si>
  <si>
    <t>[effect:enemy_message, val1:1.2, val2:2.9],[effect:rush, count:1, val:0.32],[effect:force_change_block, new_block:time_bomb, target:block_all, ignore01:block_positive, ignore02:time_bomb, color:block_green, count:3, val:0.03, min_time_count:3, max_time_count:3, animation:change_block]</t>
    <phoneticPr fontId="5"/>
  </si>
  <si>
    <t>[effect:enemy_message, val1:1.2, val2:1.9],[effect:rush, count:1, val:0.32],[effect:change_range_block, block_change:1, base_type:1, square_count:5, position01:17, value_rad01:3.0, value_h01:1.0, value_w01:1.0, new_block:jammer, target:block_all, ignore01:block_positive, ignore02:jammer, count:2, val:0 animation:change_range_block]</t>
    <phoneticPr fontId="5"/>
  </si>
  <si>
    <t>[effect:enemy_message, val1:2.3, val2:2.8],[effect:change_range_block, block_change:1, base_type:1, square_count:5, position01:7, value_rad01:2.0, value_h01:1.0, value_w01:1.0, new_block:jammer, target:block_all, ignore01:block_positive, ignore02:jammer, count:3, val:0 animation:change_range_block],[effect:change_range_block, block_change:1, base_type:1, square_count:5, position01:17, value_rad01:2.0, value_h01:1.0, value_w01:1.0, new_block:time_bomb, target:block_all, ignore01:block_positive, ignore02:time_bomb, color:block_green, count:0, val:0.03, min_time_count:3, max_time_count:3, animation:change_range_block]</t>
    <phoneticPr fontId="5"/>
  </si>
  <si>
    <t>[effect:enemy_message, val1:1.2, val2:2.6],[effect:rush, count:1, val:0.4],[effect:force_change_block, new_block:damage, target:block_all, ignore01:block_positive, ignore02:damage, count:2, val:0.03, animation:change_block]</t>
    <phoneticPr fontId="5"/>
  </si>
  <si>
    <t>[effect:enemy_message, val1:1.2, val2:2.6],[effect:rush, count:1, val:0.3],[effect:force_change_block, new_block:damage, target:block_all, ignore01:block_positive, ignore02:damage, count:2, val:0.03, animation:change_block]</t>
    <phoneticPr fontId="5"/>
  </si>
  <si>
    <t>[effect:enemy_message, val1:1.2, val2:2.3],[effect:rush, count:1, val:0.8],[effect:force_change_block, new_block:jammer, target:block_all, ignore01:block_positive, ignore02:jammer, count:2, val:0, animation:change_block]</t>
    <phoneticPr fontId="5"/>
  </si>
  <si>
    <t>[effect:enemy_message, val1:1.2, val2:2.3],[effect:rush, count:1, val:0.9],[effect:force_change_block, new_block:jammer, target:block_all, ignore01:block_positive, ignore02:jammer, count:2, val:0, animation:change_block]</t>
    <phoneticPr fontId="5"/>
  </si>
  <si>
    <t>[effect:enemy_message, val1:1.2, val2:1.2],[effect:fix_speed,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t>
    <phoneticPr fontId="5"/>
  </si>
  <si>
    <t>[effect:enemy_message, val1:1.6, val2:1.2],[effect:fix_speed,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t>
    <phoneticPr fontId="5"/>
  </si>
  <si>
    <t>[effect:enemy_message, val1:1.2, val2:1.2],[effect:rush, count:1, val:1]</t>
    <phoneticPr fontId="5"/>
  </si>
  <si>
    <t>[effect:enemy_message, val1:1.2, val2:2.1],[effect:change_range_block, block_change:1, base_type:0, square_count:5, position01:10,  value_h01:1, value_w01:5,  new_block:time_bomb, target:block_all, ignore01:block_positive, ignore02:time_bomb, color:block_green, count:0, val:0.03, min_time_count:3, max_time_count:3, animation:change_range_block]</t>
    <phoneticPr fontId="5"/>
  </si>
  <si>
    <t>[effect:enemy_message, val1:1.3, val2:1.4],[effect:rush, count:1, val:0.6],[effect:enhance_enemy, target:myself, turn:3, status:attack, val:0.3, calc:mul, animation:enemy_enhance_attack]</t>
    <phoneticPr fontId="5"/>
  </si>
  <si>
    <t>[effect:enemy_message, val1:1.2, val2:1.2],[effect:spread, val:0.35]</t>
    <phoneticPr fontId="5"/>
  </si>
  <si>
    <t>[effect:enemy_message, val1:1.2, val2:2.0],[effect:spread, val:0.3],[effect:change_range_block, block_change:1, base_type:1, square_count:5, position01:12, value_rad01:3.0, value_h01:1.0, value_w01:1.0, new_block:jammer, target:block_all, ignore01:block_positive, ignore02:jammer, count:0, val:0, animation:change_range_block]</t>
    <phoneticPr fontId="5"/>
  </si>
  <si>
    <t>[effect:enemy_message, val1:1.6, val2:1.2],[effect:fix_speed, target:myself, turn:2],[effect:dark, target:unit_all, turn:4, animation:enemy_dark]</t>
  </si>
  <si>
    <t>[effect:enemy_message, val1:1.6, val2:1.2],[effect:fix_speed, target:myself, turn:2],[effect:dark, target:unit_all, turn:4, animation:enemy_dark]</t>
    <phoneticPr fontId="5"/>
  </si>
  <si>
    <t>[effect:enemy_message, val1:1.7, val2:1.2],[effect:fix_speed, target:myself, turn:2],[effect:dark, target:unit_all, turn:4, animation:enemy_dark]</t>
  </si>
  <si>
    <t>[effect:enemy_message, val1:1.2, val2:1.2],[effect:fix_speed, target:myself, turn:2],[effect:dark, target:unit_all, turn:4, animation:enemy_dark]</t>
  </si>
  <si>
    <t>4ターン暗闇</t>
    <rPh sb="4" eb="6">
      <t>クラヤミ</t>
    </rPh>
    <phoneticPr fontId="5"/>
  </si>
  <si>
    <t>『お前もチビというか！！』
【4ターン暗闇】</t>
    <phoneticPr fontId="52"/>
  </si>
  <si>
    <t>あまりこちらで目立たないように
【4ターン暗闇】</t>
    <phoneticPr fontId="5"/>
  </si>
  <si>
    <t>あまり無茶はしないでもらいたい
【4ターン暗闇】</t>
    <phoneticPr fontId="52"/>
  </si>
  <si>
    <t>『奇遇ね、こんな所で会いたくなかったわ』
【4ターン暗闇】</t>
    <phoneticPr fontId="52"/>
  </si>
  <si>
    <t>[effect:enemy_message, val1:1.2, val2:2.3],[effect:fix_speed, target:myself, turn:2],[effect:dark, target:unit_all, turn:4, animation:enemy_dark]</t>
    <phoneticPr fontId="5"/>
  </si>
  <si>
    <t>4ターン暗闇+
ランダムで赤のCBPに最大2個変換+
ランダムで赤のダメージパネルに最大5個変換</t>
    <phoneticPr fontId="52"/>
  </si>
  <si>
    <t>4ターン暗闇</t>
    <phoneticPr fontId="5"/>
  </si>
  <si>
    <t>hp_coefficient</t>
    <phoneticPr fontId="5"/>
  </si>
  <si>
    <t>[effect:enemy_message, val1:1.2, val2:2.1],[effect:fix_speed, target:myself, turn:2],[effect:dark, target:unit_all, turn:4, animation:enemy_dark]</t>
    <phoneticPr fontId="5"/>
  </si>
  <si>
    <t>[effect:enemy_message, val1:1.2, val2:4.6],[effect:fix_speed, target:myself, turn:1],[effect:force_change_block, new_block:color_break, target:block_all, ignore01:block_positive, ignore02:damage, color:block_red, count:2, val:0, animation:change_block],[effect:force_change_block, new_block:damage, target:block_all, ignore01:block_positive, ignore02:damage, count:5, val:0.05, animation:change_block],[effect:dark, target:unit_all, turn:4, animation:enemy_dark]</t>
    <phoneticPr fontId="5"/>
  </si>
  <si>
    <t>[effect:enemy_message, val1:1.2, val2:4.6],[effect:fix_speed, target:myself, turn:1],[effect:force_change_block, new_block:color_break, target:block_all, ignore01:block_positive, ignore02:damage, color:block_red, count:2, val:0, animation:change_block],[effect:force_change_block, new_block:damage, target:block_all, ignore01:block_positive, ignore02:damage, count:5, val:0.04, animation:change_block],[effect:dark, target:unit_all, turn:4, animation:enemy_dark]</t>
    <phoneticPr fontId="5"/>
  </si>
  <si>
    <t>[effect:enemy_message, val1:1.2, val2:4.6],[effect:fix_speed, target:myself, turn:1],[effect:force_change_block, new_block:color_break, target:block_all, ignore01:block_positive, ignore02:damage, color:block_red, count:2, val:0, animation:change_block],[effect:force_change_block, new_block:damage, target:block_all, ignore01:block_positive, ignore02:damage, count:5, val:0.02, animation:change_block],[effect:dark, target:unit_all, turn:4, animation:enemy_dark]</t>
    <phoneticPr fontId="5"/>
  </si>
  <si>
    <t>プライドの1ゲージ目は2ターン目に
暗闇状態のユニットに大ダメージを
与える攻撃を行います</t>
    <rPh sb="15" eb="16">
      <t>メ</t>
    </rPh>
    <phoneticPr fontId="5"/>
  </si>
  <si>
    <t>full_member</t>
    <phoneticPr fontId="5"/>
  </si>
  <si>
    <t>これが焔の錬金術師の炎…</t>
    <phoneticPr fontId="5"/>
  </si>
  <si>
    <t>焔の錬金術師！貴様の…</t>
    <phoneticPr fontId="5"/>
  </si>
  <si>
    <t>貴様の業火忘れんぞ！</t>
    <phoneticPr fontId="52"/>
  </si>
  <si>
    <t>unit</t>
  </si>
  <si>
    <t>link</t>
  </si>
  <si>
    <t>2ゲージ目のオセは
カウンターを使用します
残りHPに注意して
戦いましょう</t>
    <phoneticPr fontId="5"/>
  </si>
  <si>
    <t>[effect:enemy_message, val1:1.2, val2:2.1],[effect:fix_speed, target:myself, turn:2],[effect:dark, target:unit_all, turn:4, animation:enemy_dark]</t>
    <phoneticPr fontId="5"/>
  </si>
  <si>
    <t>[effect:enemy_message, val1:1.2, val2:2.3],[effect:fix_speed, target:myself, turn:2],[effect:dark, target:unit_all, turn:4, animation:enemy_dark]</t>
    <phoneticPr fontId="5"/>
  </si>
  <si>
    <t>[effect:enemy_message, val1:1.2, val2:2.9],[effect:rush, count:1, val:0.6],[effect:force_change_block, new_block:time_bomb, target:block_all, ignore01:block_positive, ignore02:time_bomb, color:block_green, count:3, val:0.08, min_time_count:3, max_time_count:3, animation:change_block]</t>
    <phoneticPr fontId="5"/>
  </si>
  <si>
    <t>[effect:enemy_message, val1:1.8, val2:2.8],[effect:fix_speed, target:myself, turn:2],[effect:dark, target:unit_all, turn:4, animation:enemy_dark],[effect:force_change_block, new_block:crash, target:block_all, ignore01:block_positive, count:1, val:12]</t>
    <phoneticPr fontId="5"/>
  </si>
  <si>
    <t>[effect:enemy_message, val1:1.2, val2:1.5],[effect:damage_anti_abnormal, target:unit_one, target_effect01:dark, val1:0.9, val2:0.5]</t>
    <phoneticPr fontId="5"/>
  </si>
  <si>
    <t>[effect:enemy_message, val1:1.2, val2:1.5],[effect:damage_anti_abnormal, target:unit_one, target_effect01:dark, val1:0.7, val2:0.45]</t>
    <phoneticPr fontId="5"/>
  </si>
  <si>
    <t>[effect:enemy_message, val1:1.2, val2:1.5],[effect:damage_anti_abnormal, target:unit_one, target_effect01:dark, val1:0.6, val2:0.18]</t>
    <phoneticPr fontId="5"/>
  </si>
  <si>
    <t>[effect:enemy_message, val1:1.2, val2:2.9],[effect:freq_turn, target:myself, turn:1, val:1, animation:enemy_freq_turn],[effect:enemy_counter, target:myself, invoke_condition:unit_all, counter_target:attacker, turn:2, val:0.2, animation:enemy_counter]</t>
    <phoneticPr fontId="5"/>
  </si>
  <si>
    <t>[effect:enemy_message, val1:1.2, val2:1.3, dead_type:escape]</t>
    <phoneticPr fontId="5"/>
  </si>
  <si>
    <t>エドワード…エル…リック…</t>
    <phoneticPr fontId="52"/>
  </si>
  <si>
    <t>ストライクバック</t>
    <phoneticPr fontId="5"/>
  </si>
  <si>
    <t>[effect:enemy_message, val1:1.2, val2:2.9],[effect:freq_turn, target:myself, turn:1, val:1, animation:enemy_freq_turn],[effect:enemy_counter, target:myself, invoke_condition:unit_all, counter_target:attacker, turn:2, val:0.18, animation:enemy_counter]</t>
    <phoneticPr fontId="5"/>
  </si>
  <si>
    <t>『復讐鬼が！面白い！！』</t>
    <phoneticPr fontId="5"/>
  </si>
  <si>
    <t>[effect:enemy_message, val1:1.6, val2:0, dead_type:escape]</t>
    <phoneticPr fontId="5"/>
  </si>
  <si>
    <t>お前も巻き込まれていたのか！</t>
    <phoneticPr fontId="52"/>
  </si>
  <si>
    <t>[effect:enemy_message, val1:1.4, val2:1.6],[effect:fix_speed,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t>
    <phoneticPr fontId="5"/>
  </si>
  <si>
    <t>『貴様も燃やしてやろう！』
【特定ユニットの攻撃力大UP】</t>
    <rPh sb="1" eb="3">
      <t>キサマモ</t>
    </rPh>
    <rPh sb="15" eb="17">
      <t>トクテイユニット</t>
    </rPh>
    <rPh sb="22" eb="25">
      <t>コウゲキリョク</t>
    </rPh>
    <rPh sb="25" eb="26">
      <t>ダイ</t>
    </rPh>
    <phoneticPr fontId="52"/>
  </si>
  <si>
    <t>[effect:enemy_message, val1:2.5, val2:2.8],[effect:fix_speed, target:myself, turn:2],[effect:enhance_unit, target:unit_red/unit_human/unit_hero/unit_attack/and, turn:-1, status:attack, val:0.7, calc:mul],[effect:change_range_block,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t>
    <phoneticPr fontId="5"/>
  </si>
  <si>
    <t>『貴様も燃やしてやろう！』
【特定ユニットの攻撃力大UP】</t>
    <rPh sb="15" eb="17">
      <t>トクテイユ</t>
    </rPh>
    <phoneticPr fontId="52"/>
  </si>
  <si>
    <t>[effect:enemy_message, val1:2.5, val2:2.8],[effect:fix_speed, target:myself, turn:2],[effect:enhance_unit, target:unit_red/unit_human/unit_hero/unit_attack/and, turn:-1, status:attack, val:0.7, calc:mul],[effect:change_range_block, block_change:1, base_type:0, square_count:2, position01:0,  value_h01:2, value_w01:1,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t>
    <phoneticPr fontId="5"/>
  </si>
  <si>
    <t>『貴様も燃やしてやろう！』
【特定ユニットの攻撃力大UP】</t>
    <rPh sb="1" eb="3">
      <t>キサマモ</t>
    </rPh>
    <rPh sb="22" eb="25">
      <t>コウゲキリョク</t>
    </rPh>
    <rPh sb="25" eb="26">
      <t>ダイ</t>
    </rPh>
    <phoneticPr fontId="52"/>
  </si>
  <si>
    <t>1ターン行動頻度UP+
2ターン全ユニットの攻撃をカウンター</t>
    <rPh sb="4" eb="6">
      <t>コウドウ</t>
    </rPh>
    <phoneticPr fontId="5"/>
  </si>
  <si>
    <t>残りHPの50％ダメージ！+
ランダムでお邪魔パネルに最大5個変換</t>
    <rPh sb="27" eb="29">
      <t>サイダイ</t>
    </rPh>
    <phoneticPr fontId="5"/>
  </si>
  <si>
    <t>[effect:enemy_message, val1:1.2, val2:3.2],[effect:damage_gravity, val:0.5, animation:fevergauge_down],[effect:force_change_block, new_block:jammer, target:block_all, ignore01:block_positive, ignore02:jammer, count:5, val:0, animation:change_block]</t>
    <phoneticPr fontId="5"/>
  </si>
  <si>
    <t>残りHPの25％ダメージ！+
ランダムでお邪魔パネルに最大2個変換</t>
    <rPh sb="27" eb="29">
      <t>サイダイ</t>
    </rPh>
    <phoneticPr fontId="5"/>
  </si>
  <si>
    <t>[effect:enemy_message, val1:1.2, val2:3.2],[effect:damage_gravity, val:0.25, animation:fevergauge_down],[effect:force_change_block, new_block:jammer, target:block_all, ignore01:block_positive, ignore02:jammer, count:2, val:0, animation:change_block]</t>
    <phoneticPr fontId="5"/>
  </si>
  <si>
    <t>残りHPの10％ダメージ！+
ランダムでお邪魔パネルに最大2個変換</t>
    <rPh sb="27" eb="29">
      <t>サイダイ</t>
    </rPh>
    <phoneticPr fontId="5"/>
  </si>
  <si>
    <t>[effect:enemy_message, val1:1.2, val2:3.2],[effect:damage_gravity, val:0.10, animation:fevergauge_down],[effect:force_change_block, new_block:jammer, target:block_all, ignore01:block_positive, ignore02:jammer, count:2, val:0, animation:change_block]</t>
    <phoneticPr fontId="5"/>
  </si>
  <si>
    <t>特定エリアをお邪魔パネルと緑パネルに変換</t>
    <phoneticPr fontId="5"/>
  </si>
  <si>
    <t>それでもというなら押し退けて行きたまえ
【全ユニットのスキルターンを4ターン短縮】</t>
    <rPh sb="9" eb="10">
      <t>osinoketeイキタマエ</t>
    </rPh>
    <rPh sb="21" eb="22">
      <t>ゼンユニットノ</t>
    </rPh>
    <phoneticPr fontId="52"/>
  </si>
  <si>
    <t>こっちの得物の方がしっくりくるわ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</si>
</sst>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6"/>
      <name val="MS PGothic"/>
      <family val="3"/>
      <charset val="128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theme="9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1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23" fillId="0" borderId="7" xfId="0" applyFont="1" applyBorder="1" applyAlignment="1"/>
    <xf numFmtId="0" fontId="16" fillId="0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vertical="center"/>
    </xf>
    <xf numFmtId="14" fontId="16" fillId="0" borderId="12" xfId="0" applyNumberFormat="1" applyFont="1" applyFill="1" applyBorder="1" applyAlignment="1">
      <alignment horizontal="left" vertical="center"/>
    </xf>
    <xf numFmtId="0" fontId="16" fillId="0" borderId="23" xfId="0" applyFont="1" applyFill="1" applyBorder="1" applyAlignment="1">
      <alignment vertical="center"/>
    </xf>
    <xf numFmtId="0" fontId="16" fillId="0" borderId="23" xfId="0" applyFont="1" applyFill="1" applyBorder="1" applyAlignment="1">
      <alignment horizontal="left" vertical="center"/>
    </xf>
    <xf numFmtId="0" fontId="16" fillId="3" borderId="23" xfId="0" applyFont="1" applyFill="1" applyBorder="1" applyAlignment="1">
      <alignment horizontal="left" vertical="center" wrapText="1"/>
    </xf>
    <xf numFmtId="0" fontId="16" fillId="3" borderId="23" xfId="0" applyFont="1" applyFill="1" applyBorder="1" applyAlignment="1">
      <alignment vertical="center"/>
    </xf>
    <xf numFmtId="14" fontId="16" fillId="0" borderId="23" xfId="0" applyNumberFormat="1" applyFont="1" applyFill="1" applyBorder="1" applyAlignment="1">
      <alignment horizontal="left" vertical="center"/>
    </xf>
    <xf numFmtId="0" fontId="23" fillId="0" borderId="7" xfId="0" applyFont="1" applyFill="1" applyBorder="1" applyAlignment="1">
      <alignment horizontal="left" vertical="center" wrapText="1"/>
    </xf>
    <xf numFmtId="0" fontId="23" fillId="0" borderId="23" xfId="0" applyFont="1" applyBorder="1" applyAlignment="1"/>
    <xf numFmtId="0" fontId="23" fillId="0" borderId="12" xfId="0" applyFont="1" applyFill="1" applyBorder="1" applyAlignment="1">
      <alignment horizontal="left" vertical="center" wrapText="1"/>
    </xf>
    <xf numFmtId="0" fontId="23" fillId="0" borderId="7" xfId="0" applyFont="1" applyBorder="1" applyAlignment="1">
      <alignment wrapText="1"/>
    </xf>
    <xf numFmtId="0" fontId="23" fillId="0" borderId="12" xfId="0" applyFont="1" applyBorder="1" applyAlignment="1"/>
    <xf numFmtId="0" fontId="16" fillId="32" borderId="7" xfId="0" applyFont="1" applyFill="1" applyBorder="1" applyAlignment="1">
      <alignment vertical="center"/>
    </xf>
    <xf numFmtId="0" fontId="16" fillId="32" borderId="23" xfId="0" applyFont="1" applyFill="1" applyBorder="1" applyAlignment="1">
      <alignment vertical="center"/>
    </xf>
    <xf numFmtId="0" fontId="16" fillId="32" borderId="12" xfId="0" applyFont="1" applyFill="1" applyBorder="1" applyAlignment="1">
      <alignment vertical="center"/>
    </xf>
    <xf numFmtId="0" fontId="16" fillId="33" borderId="12" xfId="0" applyFont="1" applyFill="1" applyBorder="1" applyAlignment="1">
      <alignment vertical="center"/>
    </xf>
    <xf numFmtId="0" fontId="16" fillId="33" borderId="23" xfId="0" applyFont="1" applyFill="1" applyBorder="1" applyAlignment="1">
      <alignment vertical="center"/>
    </xf>
    <xf numFmtId="0" fontId="16" fillId="34" borderId="12" xfId="0" applyFont="1" applyFill="1" applyBorder="1" applyAlignment="1">
      <alignment vertical="center"/>
    </xf>
    <xf numFmtId="0" fontId="16" fillId="34" borderId="23" xfId="0" applyFont="1" applyFill="1" applyBorder="1" applyAlignment="1">
      <alignment vertical="center"/>
    </xf>
    <xf numFmtId="0" fontId="23" fillId="0" borderId="23" xfId="0" applyFont="1" applyBorder="1" applyAlignment="1">
      <alignment wrapText="1"/>
    </xf>
    <xf numFmtId="0" fontId="16" fillId="0" borderId="2" xfId="0" applyFont="1" applyFill="1" applyBorder="1" applyAlignment="1">
      <alignment vertical="center"/>
    </xf>
    <xf numFmtId="0" fontId="16" fillId="0" borderId="2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horizontal="left" vertical="center" wrapText="1"/>
    </xf>
    <xf numFmtId="0" fontId="16" fillId="3" borderId="2" xfId="0" applyFont="1" applyFill="1" applyBorder="1" applyAlignment="1">
      <alignment vertical="center"/>
    </xf>
    <xf numFmtId="14" fontId="16" fillId="0" borderId="2" xfId="0" applyNumberFormat="1" applyFont="1" applyFill="1" applyBorder="1" applyAlignment="1">
      <alignment horizontal="left" vertical="center"/>
    </xf>
    <xf numFmtId="0" fontId="16" fillId="34" borderId="24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6" borderId="23" xfId="0" applyFont="1" applyFill="1" applyBorder="1" applyAlignment="1">
      <alignment vertical="center"/>
    </xf>
    <xf numFmtId="0" fontId="16" fillId="6" borderId="12" xfId="0" applyFont="1" applyFill="1" applyBorder="1" applyAlignment="1">
      <alignment vertical="center"/>
    </xf>
    <xf numFmtId="0" fontId="14" fillId="7" borderId="7" xfId="0" applyFont="1" applyFill="1" applyBorder="1" applyAlignment="1">
      <alignment vertical="center"/>
    </xf>
    <xf numFmtId="0" fontId="14" fillId="7" borderId="12" xfId="0" applyFont="1" applyFill="1" applyBorder="1" applyAlignment="1">
      <alignment vertical="center"/>
    </xf>
    <xf numFmtId="0" fontId="14" fillId="7" borderId="25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3" borderId="24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23" xfId="0" applyFont="1" applyFill="1" applyBorder="1" applyAlignment="1">
      <alignment horizontal="left" vertical="center"/>
    </xf>
    <xf numFmtId="0" fontId="23" fillId="0" borderId="12" xfId="0" applyFont="1" applyFill="1" applyBorder="1" applyAlignment="1">
      <alignment vertical="center"/>
    </xf>
    <xf numFmtId="0" fontId="16" fillId="33" borderId="2" xfId="0" applyFont="1" applyFill="1" applyBorder="1" applyAlignment="1">
      <alignment vertical="center"/>
    </xf>
    <xf numFmtId="0" fontId="14" fillId="7" borderId="26" xfId="0" applyFont="1" applyFill="1" applyBorder="1" applyAlignment="1">
      <alignment vertical="center"/>
    </xf>
    <xf numFmtId="0" fontId="16" fillId="34" borderId="2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31" fillId="0" borderId="7" xfId="0" applyFont="1" applyFill="1" applyBorder="1" applyAlignment="1">
      <alignment wrapText="1"/>
    </xf>
    <xf numFmtId="0" fontId="23" fillId="0" borderId="12" xfId="0" applyFont="1" applyBorder="1" applyAlignment="1">
      <alignment wrapText="1"/>
    </xf>
    <xf numFmtId="0" fontId="14" fillId="7" borderId="23" xfId="0" applyFont="1" applyFill="1" applyBorder="1" applyAlignment="1">
      <alignment vertical="center"/>
    </xf>
    <xf numFmtId="0" fontId="16" fillId="6" borderId="2" xfId="0" applyFont="1" applyFill="1" applyBorder="1" applyAlignment="1">
      <alignment vertical="center"/>
    </xf>
    <xf numFmtId="0" fontId="16" fillId="6" borderId="27" xfId="0" applyFont="1" applyFill="1" applyBorder="1" applyAlignment="1">
      <alignment vertical="center"/>
    </xf>
    <xf numFmtId="0" fontId="0" fillId="0" borderId="12" xfId="0" applyFont="1" applyFill="1" applyBorder="1" applyAlignment="1">
      <alignment horizontal="left" vertical="center" wrapText="1"/>
    </xf>
    <xf numFmtId="0" fontId="12" fillId="7" borderId="25" xfId="0" applyFont="1" applyFill="1" applyBorder="1" applyAlignment="1">
      <alignment vertical="center"/>
    </xf>
    <xf numFmtId="176" fontId="4" fillId="0" borderId="28" xfId="0" applyNumberFormat="1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6" fillId="0" borderId="23" xfId="0" applyFont="1" applyFill="1" applyBorder="1" applyAlignment="1">
      <alignment vertical="center"/>
    </xf>
    <xf numFmtId="0" fontId="4" fillId="0" borderId="23" xfId="0" applyFont="1" applyBorder="1" applyAlignment="1">
      <alignment horizontal="center" vertical="center"/>
    </xf>
    <xf numFmtId="0" fontId="6" fillId="5" borderId="29" xfId="0" applyFont="1" applyFill="1" applyBorder="1" applyAlignment="1">
      <alignment vertical="center"/>
    </xf>
    <xf numFmtId="0" fontId="8" fillId="0" borderId="30" xfId="0" applyFont="1" applyBorder="1" applyAlignment="1">
      <alignment vertical="center"/>
    </xf>
    <xf numFmtId="177" fontId="8" fillId="0" borderId="30" xfId="0" applyNumberFormat="1" applyFont="1" applyBorder="1" applyAlignment="1">
      <alignment vertical="center"/>
    </xf>
    <xf numFmtId="1" fontId="32" fillId="31" borderId="23" xfId="0" applyNumberFormat="1" applyFont="1" applyFill="1" applyBorder="1" applyAlignment="1">
      <alignment vertical="center"/>
    </xf>
    <xf numFmtId="0" fontId="6" fillId="0" borderId="28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3" borderId="23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vertical="center"/>
    </xf>
    <xf numFmtId="0" fontId="6" fillId="3" borderId="23" xfId="0" applyFont="1" applyFill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0" fontId="16" fillId="33" borderId="2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4" borderId="27" xfId="0" applyFont="1" applyFill="1" applyBorder="1" applyAlignment="1">
      <alignment vertical="center"/>
    </xf>
    <xf numFmtId="0" fontId="23" fillId="0" borderId="34" xfId="0" applyFont="1" applyFill="1" applyBorder="1" applyAlignment="1"/>
    <xf numFmtId="0" fontId="0" fillId="0" borderId="7" xfId="0" applyFont="1" applyFill="1" applyBorder="1" applyAlignment="1">
      <alignment wrapText="1"/>
    </xf>
    <xf numFmtId="0" fontId="0" fillId="0" borderId="7" xfId="0" applyFont="1" applyFill="1" applyBorder="1" applyAlignment="1"/>
    <xf numFmtId="0" fontId="23" fillId="0" borderId="7" xfId="0" applyFont="1" applyFill="1" applyBorder="1" applyAlignment="1"/>
    <xf numFmtId="0" fontId="23" fillId="0" borderId="7" xfId="0" applyFont="1" applyFill="1" applyBorder="1" applyAlignment="1">
      <alignment wrapText="1"/>
    </xf>
    <xf numFmtId="0" fontId="27" fillId="0" borderId="12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1" fillId="0" borderId="12" xfId="0" applyFont="1" applyFill="1" applyBorder="1"/>
    <xf numFmtId="0" fontId="0" fillId="0" borderId="12" xfId="0" applyBorder="1"/>
    <xf numFmtId="0" fontId="27" fillId="0" borderId="23" xfId="0" applyFont="1" applyFill="1" applyBorder="1"/>
    <xf numFmtId="0" fontId="28" fillId="0" borderId="23" xfId="0" applyFont="1" applyFill="1" applyBorder="1"/>
    <xf numFmtId="0" fontId="29" fillId="3" borderId="23" xfId="0" applyFont="1" applyFill="1" applyBorder="1" applyAlignment="1">
      <alignment vertical="center"/>
    </xf>
    <xf numFmtId="0" fontId="30" fillId="0" borderId="23" xfId="0" applyFont="1" applyFill="1" applyBorder="1"/>
    <xf numFmtId="0" fontId="29" fillId="0" borderId="23" xfId="0" applyFont="1" applyFill="1" applyBorder="1" applyAlignment="1">
      <alignment vertical="center"/>
    </xf>
    <xf numFmtId="0" fontId="30" fillId="30" borderId="23" xfId="0" applyFont="1" applyFill="1" applyBorder="1"/>
    <xf numFmtId="0" fontId="30" fillId="14" borderId="23" xfId="0" applyFont="1" applyFill="1" applyBorder="1"/>
    <xf numFmtId="0" fontId="31" fillId="0" borderId="23" xfId="0" applyFont="1" applyFill="1" applyBorder="1"/>
    <xf numFmtId="38" fontId="16" fillId="0" borderId="23" xfId="628" applyFont="1" applyFill="1" applyBorder="1" applyAlignment="1">
      <alignment wrapText="1"/>
    </xf>
    <xf numFmtId="0" fontId="0" fillId="0" borderId="23" xfId="0" applyBorder="1"/>
    <xf numFmtId="0" fontId="23" fillId="0" borderId="0" xfId="0" applyFont="1" applyAlignment="1">
      <alignment wrapText="1"/>
    </xf>
    <xf numFmtId="0" fontId="16" fillId="0" borderId="7" xfId="0" applyFont="1" applyBorder="1" applyAlignment="1">
      <alignment vertical="center"/>
    </xf>
    <xf numFmtId="0" fontId="16" fillId="0" borderId="27" xfId="0" applyFont="1" applyFill="1" applyBorder="1" applyAlignment="1">
      <alignment vertical="center"/>
    </xf>
    <xf numFmtId="0" fontId="0" fillId="3" borderId="23" xfId="0" applyFill="1" applyBorder="1"/>
    <xf numFmtId="0" fontId="0" fillId="3" borderId="12" xfId="0" applyFill="1" applyBorder="1"/>
    <xf numFmtId="0" fontId="0" fillId="3" borderId="27" xfId="0" applyFill="1" applyBorder="1"/>
    <xf numFmtId="0" fontId="6" fillId="5" borderId="27" xfId="0" applyFont="1" applyFill="1" applyBorder="1" applyAlignment="1">
      <alignment vertical="center"/>
    </xf>
    <xf numFmtId="0" fontId="0" fillId="0" borderId="27" xfId="0" applyBorder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9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88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48101</v>
          </cell>
        </row>
        <row r="258">
          <cell r="A258">
            <v>48501</v>
          </cell>
        </row>
        <row r="259">
          <cell r="A259">
            <v>48502</v>
          </cell>
        </row>
        <row r="260">
          <cell r="A260">
            <v>48503</v>
          </cell>
        </row>
        <row r="261">
          <cell r="A261">
            <v>48701</v>
          </cell>
        </row>
        <row r="262">
          <cell r="A262">
            <v>48702</v>
          </cell>
        </row>
        <row r="263">
          <cell r="A263">
            <v>41001</v>
          </cell>
        </row>
        <row r="264">
          <cell r="A264">
            <v>41002</v>
          </cell>
        </row>
        <row r="265">
          <cell r="A265">
            <v>41003</v>
          </cell>
        </row>
        <row r="266">
          <cell r="A266">
            <v>41004</v>
          </cell>
        </row>
        <row r="267">
          <cell r="A267">
            <v>41005</v>
          </cell>
        </row>
        <row r="268">
          <cell r="A268">
            <v>41006</v>
          </cell>
        </row>
        <row r="269">
          <cell r="A269">
            <v>41007</v>
          </cell>
        </row>
        <row r="270">
          <cell r="A270">
            <v>41008</v>
          </cell>
        </row>
        <row r="271">
          <cell r="A271">
            <v>41009</v>
          </cell>
        </row>
        <row r="272">
          <cell r="A272">
            <v>41010</v>
          </cell>
        </row>
        <row r="273">
          <cell r="A273">
            <v>41011</v>
          </cell>
        </row>
        <row r="274">
          <cell r="A274">
            <v>41012</v>
          </cell>
        </row>
        <row r="275">
          <cell r="A275">
            <v>41013</v>
          </cell>
        </row>
        <row r="276">
          <cell r="A276">
            <v>41014</v>
          </cell>
        </row>
        <row r="277">
          <cell r="A277">
            <v>41015</v>
          </cell>
        </row>
        <row r="278">
          <cell r="A278">
            <v>47001</v>
          </cell>
        </row>
        <row r="279">
          <cell r="A279">
            <v>47002</v>
          </cell>
        </row>
        <row r="280">
          <cell r="A280">
            <v>47003</v>
          </cell>
        </row>
        <row r="281">
          <cell r="A281">
            <v>47004</v>
          </cell>
        </row>
        <row r="282">
          <cell r="A282">
            <v>47005</v>
          </cell>
        </row>
        <row r="283">
          <cell r="A283">
            <v>47006</v>
          </cell>
        </row>
        <row r="284">
          <cell r="A284">
            <v>47007</v>
          </cell>
        </row>
        <row r="285">
          <cell r="A285">
            <v>47008</v>
          </cell>
        </row>
        <row r="286">
          <cell r="A286">
            <v>47009</v>
          </cell>
        </row>
        <row r="287">
          <cell r="A287">
            <v>47010</v>
          </cell>
        </row>
        <row r="288">
          <cell r="A288">
            <v>47011</v>
          </cell>
        </row>
        <row r="289">
          <cell r="A289">
            <v>47012</v>
          </cell>
        </row>
        <row r="290">
          <cell r="A290">
            <v>47013</v>
          </cell>
        </row>
        <row r="291">
          <cell r="A291">
            <v>47014</v>
          </cell>
        </row>
        <row r="292">
          <cell r="A292">
            <v>49001</v>
          </cell>
        </row>
        <row r="293">
          <cell r="A293">
            <v>49002</v>
          </cell>
        </row>
        <row r="294">
          <cell r="A294">
            <v>49003</v>
          </cell>
        </row>
        <row r="295">
          <cell r="A295">
            <v>49004</v>
          </cell>
        </row>
        <row r="296">
          <cell r="A296">
            <v>49005</v>
          </cell>
        </row>
        <row r="297">
          <cell r="A297">
            <v>49006</v>
          </cell>
        </row>
        <row r="298">
          <cell r="A298">
            <v>49007</v>
          </cell>
        </row>
        <row r="299">
          <cell r="A299">
            <v>49008</v>
          </cell>
        </row>
        <row r="300">
          <cell r="A300">
            <v>49009</v>
          </cell>
        </row>
        <row r="301">
          <cell r="A301">
            <v>49010</v>
          </cell>
        </row>
        <row r="302">
          <cell r="A302">
            <v>49011</v>
          </cell>
        </row>
        <row r="303">
          <cell r="A303">
            <v>49012</v>
          </cell>
        </row>
        <row r="304">
          <cell r="A304">
            <v>49013</v>
          </cell>
        </row>
        <row r="305">
          <cell r="A305">
            <v>49014</v>
          </cell>
        </row>
        <row r="306">
          <cell r="A306">
            <v>49015</v>
          </cell>
        </row>
        <row r="307">
          <cell r="A307">
            <v>49016</v>
          </cell>
        </row>
        <row r="308">
          <cell r="A308">
            <v>50001</v>
          </cell>
        </row>
        <row r="309">
          <cell r="A309">
            <v>50002</v>
          </cell>
        </row>
        <row r="310">
          <cell r="A310">
            <v>50003</v>
          </cell>
        </row>
        <row r="311">
          <cell r="A311">
            <v>50004</v>
          </cell>
        </row>
        <row r="312">
          <cell r="A312">
            <v>50005</v>
          </cell>
        </row>
        <row r="313">
          <cell r="A313">
            <v>50006</v>
          </cell>
        </row>
        <row r="314">
          <cell r="A314">
            <v>50007</v>
          </cell>
        </row>
        <row r="315">
          <cell r="A315">
            <v>50008</v>
          </cell>
        </row>
        <row r="316">
          <cell r="A316">
            <v>50009</v>
          </cell>
        </row>
        <row r="317">
          <cell r="A317">
            <v>50010</v>
          </cell>
        </row>
        <row r="318">
          <cell r="A318">
            <v>50011</v>
          </cell>
        </row>
        <row r="319">
          <cell r="A319">
            <v>50012</v>
          </cell>
        </row>
        <row r="320">
          <cell r="A320">
            <v>50013</v>
          </cell>
        </row>
        <row r="321">
          <cell r="A321">
            <v>50014</v>
          </cell>
        </row>
        <row r="322">
          <cell r="A322">
            <v>50015</v>
          </cell>
        </row>
        <row r="323">
          <cell r="A323">
            <v>50016</v>
          </cell>
        </row>
        <row r="324">
          <cell r="A324">
            <v>51001</v>
          </cell>
        </row>
        <row r="325">
          <cell r="A325">
            <v>51002</v>
          </cell>
        </row>
        <row r="326">
          <cell r="A326">
            <v>58001</v>
          </cell>
        </row>
        <row r="327">
          <cell r="A327">
            <v>58002</v>
          </cell>
        </row>
        <row r="328">
          <cell r="A328">
            <v>58003</v>
          </cell>
        </row>
        <row r="329">
          <cell r="A329">
            <v>58101</v>
          </cell>
        </row>
        <row r="330">
          <cell r="A330">
            <v>59001</v>
          </cell>
        </row>
        <row r="331">
          <cell r="A331">
            <v>59002</v>
          </cell>
        </row>
        <row r="332">
          <cell r="A332">
            <v>59003</v>
          </cell>
        </row>
        <row r="333">
          <cell r="A333">
            <v>60001</v>
          </cell>
        </row>
        <row r="334">
          <cell r="A334">
            <v>60002</v>
          </cell>
        </row>
        <row r="335">
          <cell r="A335">
            <v>60003</v>
          </cell>
        </row>
        <row r="336">
          <cell r="A336">
            <v>60004</v>
          </cell>
        </row>
        <row r="337">
          <cell r="A337">
            <v>60005</v>
          </cell>
        </row>
        <row r="338">
          <cell r="A338">
            <v>60006</v>
          </cell>
        </row>
        <row r="339">
          <cell r="A339">
            <v>60007</v>
          </cell>
        </row>
        <row r="340">
          <cell r="A340">
            <v>60010</v>
          </cell>
        </row>
        <row r="341">
          <cell r="A341">
            <v>60011</v>
          </cell>
        </row>
        <row r="342">
          <cell r="A342">
            <v>61011</v>
          </cell>
        </row>
        <row r="343">
          <cell r="A343">
            <v>60012</v>
          </cell>
        </row>
        <row r="344">
          <cell r="A344">
            <v>60013</v>
          </cell>
        </row>
        <row r="345">
          <cell r="A345">
            <v>60014</v>
          </cell>
        </row>
        <row r="346">
          <cell r="A346">
            <v>60015</v>
          </cell>
        </row>
        <row r="347">
          <cell r="A347">
            <v>60016</v>
          </cell>
        </row>
        <row r="348">
          <cell r="A348">
            <v>60017</v>
          </cell>
        </row>
        <row r="349">
          <cell r="A349">
            <v>60018</v>
          </cell>
        </row>
        <row r="350">
          <cell r="A350">
            <v>60019</v>
          </cell>
        </row>
        <row r="351">
          <cell r="A351">
            <v>60020</v>
          </cell>
        </row>
        <row r="352">
          <cell r="A352">
            <v>60025</v>
          </cell>
        </row>
        <row r="353">
          <cell r="A353">
            <v>60026</v>
          </cell>
        </row>
        <row r="354">
          <cell r="A354">
            <v>60027</v>
          </cell>
        </row>
        <row r="355">
          <cell r="A355">
            <v>60028</v>
          </cell>
        </row>
        <row r="356">
          <cell r="A356">
            <v>60029</v>
          </cell>
        </row>
        <row r="357">
          <cell r="A357">
            <v>60030</v>
          </cell>
        </row>
        <row r="358">
          <cell r="A358">
            <v>60031</v>
          </cell>
        </row>
        <row r="359">
          <cell r="A359">
            <v>65523</v>
          </cell>
        </row>
        <row r="360">
          <cell r="A360">
            <v>65524</v>
          </cell>
        </row>
        <row r="361">
          <cell r="A361">
            <v>65525</v>
          </cell>
        </row>
        <row r="362">
          <cell r="A362">
            <v>65526</v>
          </cell>
        </row>
        <row r="363">
          <cell r="A363">
            <v>65527</v>
          </cell>
        </row>
        <row r="364">
          <cell r="A364">
            <v>65528</v>
          </cell>
        </row>
        <row r="365">
          <cell r="A365">
            <v>65529</v>
          </cell>
        </row>
        <row r="366">
          <cell r="A366">
            <v>65530</v>
          </cell>
        </row>
        <row r="367">
          <cell r="A367">
            <v>65531</v>
          </cell>
        </row>
        <row r="368">
          <cell r="A368">
            <v>65532</v>
          </cell>
        </row>
        <row r="369">
          <cell r="A369">
            <v>65533</v>
          </cell>
        </row>
        <row r="370">
          <cell r="A370">
            <v>65534</v>
          </cell>
        </row>
        <row r="371">
          <cell r="A371">
            <v>65535</v>
          </cell>
        </row>
        <row r="372">
          <cell r="A372">
            <v>60021</v>
          </cell>
        </row>
        <row r="373">
          <cell r="A373">
            <v>60022</v>
          </cell>
        </row>
        <row r="374">
          <cell r="A374">
            <v>60023</v>
          </cell>
        </row>
        <row r="375">
          <cell r="A37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41002_1</v>
          </cell>
        </row>
        <row r="813">
          <cell r="A813" t="str">
            <v>41002_2</v>
          </cell>
        </row>
        <row r="814">
          <cell r="A814" t="str">
            <v>41002_3</v>
          </cell>
        </row>
        <row r="815">
          <cell r="A815" t="str">
            <v>41003_1</v>
          </cell>
        </row>
        <row r="816">
          <cell r="A816" t="str">
            <v>41003_2</v>
          </cell>
        </row>
        <row r="817">
          <cell r="A817" t="str">
            <v>41003_3</v>
          </cell>
        </row>
        <row r="818">
          <cell r="A818" t="str">
            <v>41004_1</v>
          </cell>
        </row>
        <row r="819">
          <cell r="A819" t="str">
            <v>41004_2</v>
          </cell>
        </row>
        <row r="820">
          <cell r="A820" t="str">
            <v>41004_3</v>
          </cell>
        </row>
        <row r="821">
          <cell r="A821" t="str">
            <v>41005_1</v>
          </cell>
        </row>
        <row r="822">
          <cell r="A822" t="str">
            <v>41005_2</v>
          </cell>
        </row>
        <row r="823">
          <cell r="A823" t="str">
            <v>41005_3</v>
          </cell>
        </row>
        <row r="824">
          <cell r="A824" t="str">
            <v>41006_1</v>
          </cell>
        </row>
        <row r="825">
          <cell r="A825" t="str">
            <v>41006_2</v>
          </cell>
        </row>
        <row r="826">
          <cell r="A826" t="str">
            <v>41006_3</v>
          </cell>
        </row>
        <row r="827">
          <cell r="A827" t="str">
            <v>41007_1</v>
          </cell>
        </row>
        <row r="828">
          <cell r="A828" t="str">
            <v>41007_2</v>
          </cell>
        </row>
        <row r="829">
          <cell r="A829" t="str">
            <v>41007_3</v>
          </cell>
        </row>
        <row r="830">
          <cell r="A830" t="str">
            <v>41008_1</v>
          </cell>
        </row>
        <row r="831">
          <cell r="A831" t="str">
            <v>41008_2</v>
          </cell>
        </row>
        <row r="832">
          <cell r="A832" t="str">
            <v>41008_3</v>
          </cell>
        </row>
        <row r="833">
          <cell r="A833" t="str">
            <v>41009_1</v>
          </cell>
        </row>
        <row r="834">
          <cell r="A834" t="str">
            <v>41009_2</v>
          </cell>
        </row>
        <row r="835">
          <cell r="A835" t="str">
            <v>41009_3</v>
          </cell>
        </row>
        <row r="836">
          <cell r="A836" t="str">
            <v>41010_1</v>
          </cell>
        </row>
        <row r="837">
          <cell r="A837" t="str">
            <v>41010_2</v>
          </cell>
        </row>
        <row r="838">
          <cell r="A838" t="str">
            <v>41010_3</v>
          </cell>
        </row>
        <row r="839">
          <cell r="A839" t="str">
            <v>41011_1</v>
          </cell>
        </row>
        <row r="840">
          <cell r="A840" t="str">
            <v>41011_2</v>
          </cell>
        </row>
        <row r="841">
          <cell r="A841" t="str">
            <v>41012_1</v>
          </cell>
        </row>
        <row r="842">
          <cell r="A842" t="str">
            <v>41012_2</v>
          </cell>
        </row>
        <row r="843">
          <cell r="A843" t="str">
            <v>41013_1</v>
          </cell>
        </row>
        <row r="844">
          <cell r="A844" t="str">
            <v>41013_2</v>
          </cell>
        </row>
        <row r="845">
          <cell r="A845" t="str">
            <v>41014_1</v>
          </cell>
        </row>
        <row r="846">
          <cell r="A846" t="str">
            <v>41014_2</v>
          </cell>
        </row>
        <row r="847">
          <cell r="A847" t="str">
            <v>41015_1</v>
          </cell>
        </row>
        <row r="848">
          <cell r="A848" t="str">
            <v>41015_2</v>
          </cell>
        </row>
        <row r="849">
          <cell r="A849" t="str">
            <v>47001_1</v>
          </cell>
        </row>
        <row r="850">
          <cell r="A850" t="str">
            <v>47001_2</v>
          </cell>
        </row>
        <row r="851">
          <cell r="A851" t="str">
            <v>47002_1</v>
          </cell>
        </row>
        <row r="852">
          <cell r="A852" t="str">
            <v>47002_2</v>
          </cell>
        </row>
        <row r="853">
          <cell r="A853" t="str">
            <v>47003_1</v>
          </cell>
        </row>
        <row r="854">
          <cell r="A854" t="str">
            <v>47003_2</v>
          </cell>
        </row>
        <row r="855">
          <cell r="A855" t="str">
            <v>47003_3</v>
          </cell>
        </row>
        <row r="856">
          <cell r="A856" t="str">
            <v>47003_4</v>
          </cell>
        </row>
        <row r="857">
          <cell r="A857" t="str">
            <v>47004_1</v>
          </cell>
        </row>
        <row r="858">
          <cell r="A858" t="str">
            <v>47004_2</v>
          </cell>
        </row>
        <row r="859">
          <cell r="A859" t="str">
            <v>47004_3</v>
          </cell>
        </row>
        <row r="860">
          <cell r="A860" t="str">
            <v>47004_4</v>
          </cell>
        </row>
        <row r="861">
          <cell r="A861" t="str">
            <v>47005_1</v>
          </cell>
        </row>
        <row r="862">
          <cell r="A862" t="str">
            <v>47006_1</v>
          </cell>
        </row>
        <row r="863">
          <cell r="A863" t="str">
            <v>47006_2</v>
          </cell>
        </row>
        <row r="864">
          <cell r="A864" t="str">
            <v>47007_1</v>
          </cell>
        </row>
        <row r="865">
          <cell r="A865" t="str">
            <v>47007_2</v>
          </cell>
        </row>
        <row r="866">
          <cell r="A866" t="str">
            <v>47008_1</v>
          </cell>
        </row>
        <row r="867">
          <cell r="A867" t="str">
            <v>47008_2</v>
          </cell>
        </row>
        <row r="868">
          <cell r="A868" t="str">
            <v>47009_1</v>
          </cell>
        </row>
        <row r="869">
          <cell r="A869" t="str">
            <v>47009_2</v>
          </cell>
        </row>
        <row r="870">
          <cell r="A870" t="str">
            <v>47010_1</v>
          </cell>
        </row>
        <row r="871">
          <cell r="A871" t="str">
            <v>47010_2</v>
          </cell>
        </row>
        <row r="872">
          <cell r="A872" t="str">
            <v>47011_1</v>
          </cell>
        </row>
        <row r="873">
          <cell r="A873" t="str">
            <v>47012_1</v>
          </cell>
        </row>
        <row r="874">
          <cell r="A874" t="str">
            <v>47012_2</v>
          </cell>
        </row>
        <row r="875">
          <cell r="A875" t="str">
            <v>47013_1</v>
          </cell>
        </row>
        <row r="876">
          <cell r="A876" t="str">
            <v>47013_2</v>
          </cell>
        </row>
        <row r="877">
          <cell r="A877" t="str">
            <v>47013_3</v>
          </cell>
        </row>
        <row r="878">
          <cell r="A878" t="str">
            <v>47013_4</v>
          </cell>
        </row>
        <row r="879">
          <cell r="A879" t="str">
            <v>47014_1</v>
          </cell>
        </row>
        <row r="880">
          <cell r="A880" t="str">
            <v>47014_2</v>
          </cell>
        </row>
        <row r="881">
          <cell r="A881" t="str">
            <v>47014_3</v>
          </cell>
        </row>
        <row r="882">
          <cell r="A882" t="str">
            <v>48001_1</v>
          </cell>
        </row>
        <row r="883">
          <cell r="A883" t="str">
            <v>48002_1</v>
          </cell>
        </row>
        <row r="884">
          <cell r="A884" t="str">
            <v>48002_2</v>
          </cell>
        </row>
        <row r="885">
          <cell r="A885" t="str">
            <v>48002_3</v>
          </cell>
        </row>
        <row r="886">
          <cell r="A886" t="str">
            <v>48003_1</v>
          </cell>
        </row>
        <row r="887">
          <cell r="A887" t="str">
            <v>48003_2</v>
          </cell>
        </row>
        <row r="888">
          <cell r="A888" t="str">
            <v>48004_1</v>
          </cell>
        </row>
        <row r="889">
          <cell r="A889" t="str">
            <v>48004_2</v>
          </cell>
        </row>
        <row r="890">
          <cell r="A890" t="str">
            <v>48005_1</v>
          </cell>
        </row>
        <row r="891">
          <cell r="A891" t="str">
            <v>48005_2</v>
          </cell>
        </row>
        <row r="892">
          <cell r="A892" t="str">
            <v>48006_1</v>
          </cell>
        </row>
        <row r="893">
          <cell r="A893" t="str">
            <v>48006_2</v>
          </cell>
        </row>
        <row r="894">
          <cell r="A894" t="str">
            <v>48007_1</v>
          </cell>
        </row>
        <row r="895">
          <cell r="A895" t="str">
            <v>48007_2</v>
          </cell>
        </row>
        <row r="896">
          <cell r="A896" t="str">
            <v>48008_1</v>
          </cell>
        </row>
        <row r="897">
          <cell r="A897" t="str">
            <v>48008_2</v>
          </cell>
        </row>
        <row r="898">
          <cell r="A898" t="str">
            <v>48009_1</v>
          </cell>
        </row>
        <row r="899">
          <cell r="A899" t="str">
            <v>48009_2</v>
          </cell>
        </row>
        <row r="900">
          <cell r="A900" t="str">
            <v>48010_1</v>
          </cell>
        </row>
        <row r="901">
          <cell r="A901" t="str">
            <v>48011_1</v>
          </cell>
        </row>
        <row r="902">
          <cell r="A902" t="str">
            <v>48011_2</v>
          </cell>
        </row>
        <row r="903">
          <cell r="A903" t="str">
            <v>48012_1</v>
          </cell>
        </row>
        <row r="904">
          <cell r="A904" t="str">
            <v>48012_2</v>
          </cell>
        </row>
        <row r="905">
          <cell r="A905" t="str">
            <v>48013_1</v>
          </cell>
        </row>
        <row r="906">
          <cell r="A906" t="str">
            <v>48013_2</v>
          </cell>
        </row>
        <row r="907">
          <cell r="A907" t="str">
            <v>48014_1</v>
          </cell>
        </row>
        <row r="908">
          <cell r="A908" t="str">
            <v>48014_2</v>
          </cell>
        </row>
        <row r="909">
          <cell r="A909" t="str">
            <v>48101_1</v>
          </cell>
        </row>
        <row r="910">
          <cell r="A910" t="str">
            <v>48101_2</v>
          </cell>
        </row>
        <row r="911">
          <cell r="A911" t="str">
            <v>48501_1</v>
          </cell>
        </row>
        <row r="912">
          <cell r="A912" t="str">
            <v>48501_2</v>
          </cell>
        </row>
        <row r="913">
          <cell r="A913" t="str">
            <v>48502_1</v>
          </cell>
        </row>
        <row r="914">
          <cell r="A914" t="str">
            <v>48502_2</v>
          </cell>
        </row>
        <row r="915">
          <cell r="A915" t="str">
            <v>48503_1</v>
          </cell>
        </row>
        <row r="916">
          <cell r="A916" t="str">
            <v>48503_2</v>
          </cell>
        </row>
        <row r="917">
          <cell r="A917" t="str">
            <v>48701_1</v>
          </cell>
        </row>
        <row r="918">
          <cell r="A918" t="str">
            <v>48701_2</v>
          </cell>
        </row>
        <row r="919">
          <cell r="A919" t="str">
            <v>48702_1</v>
          </cell>
        </row>
        <row r="920">
          <cell r="A920" t="str">
            <v>48702_2</v>
          </cell>
        </row>
        <row r="921">
          <cell r="A921" t="str">
            <v>49001_1</v>
          </cell>
        </row>
        <row r="922">
          <cell r="A922" t="str">
            <v>49002_1</v>
          </cell>
        </row>
        <row r="923">
          <cell r="A923" t="str">
            <v>49002_2</v>
          </cell>
        </row>
        <row r="924">
          <cell r="A924" t="str">
            <v>49003_1</v>
          </cell>
        </row>
        <row r="925">
          <cell r="A925" t="str">
            <v>49003_2</v>
          </cell>
        </row>
        <row r="926">
          <cell r="A926" t="str">
            <v>49004_1</v>
          </cell>
        </row>
        <row r="927">
          <cell r="A927" t="str">
            <v>49004_2</v>
          </cell>
        </row>
        <row r="928">
          <cell r="A928" t="str">
            <v>49004_3</v>
          </cell>
        </row>
        <row r="929">
          <cell r="A929" t="str">
            <v>49005_1</v>
          </cell>
        </row>
        <row r="930">
          <cell r="A930" t="str">
            <v>49006_1</v>
          </cell>
        </row>
        <row r="931">
          <cell r="A931" t="str">
            <v>49006_2</v>
          </cell>
        </row>
        <row r="932">
          <cell r="A932" t="str">
            <v>49007_1</v>
          </cell>
        </row>
        <row r="933">
          <cell r="A933" t="str">
            <v>49007_2</v>
          </cell>
        </row>
        <row r="934">
          <cell r="A934" t="str">
            <v>49007_3</v>
          </cell>
        </row>
        <row r="935">
          <cell r="A935" t="str">
            <v>49008_1</v>
          </cell>
        </row>
        <row r="936">
          <cell r="A936" t="str">
            <v>49009_1</v>
          </cell>
        </row>
        <row r="937">
          <cell r="A937" t="str">
            <v>49010_1</v>
          </cell>
        </row>
        <row r="938">
          <cell r="A938" t="str">
            <v>49011_1</v>
          </cell>
        </row>
        <row r="939">
          <cell r="A939" t="str">
            <v>49012_1</v>
          </cell>
        </row>
        <row r="940">
          <cell r="A940" t="str">
            <v>49013_1</v>
          </cell>
        </row>
        <row r="941">
          <cell r="A941" t="str">
            <v>49014_1</v>
          </cell>
        </row>
        <row r="942">
          <cell r="A942" t="str">
            <v>49014_2</v>
          </cell>
        </row>
        <row r="943">
          <cell r="A943" t="str">
            <v>49015_1</v>
          </cell>
        </row>
        <row r="944">
          <cell r="A944" t="str">
            <v>49015_2</v>
          </cell>
        </row>
        <row r="945">
          <cell r="A945" t="str">
            <v>49015_3</v>
          </cell>
        </row>
        <row r="946">
          <cell r="A946" t="str">
            <v>49016_1</v>
          </cell>
        </row>
        <row r="947">
          <cell r="A947" t="str">
            <v>49016_2</v>
          </cell>
        </row>
        <row r="948">
          <cell r="A948" t="str">
            <v>50001_1</v>
          </cell>
        </row>
        <row r="949">
          <cell r="A949" t="str">
            <v>50002_1</v>
          </cell>
        </row>
        <row r="950">
          <cell r="A950" t="str">
            <v>50003_1</v>
          </cell>
        </row>
        <row r="951">
          <cell r="A951" t="str">
            <v>50004_1</v>
          </cell>
        </row>
        <row r="952">
          <cell r="A952" t="str">
            <v>50005_1</v>
          </cell>
        </row>
        <row r="953">
          <cell r="A953" t="str">
            <v>50006_1</v>
          </cell>
        </row>
        <row r="954">
          <cell r="A954" t="str">
            <v>50007_1</v>
          </cell>
        </row>
        <row r="955">
          <cell r="A955" t="str">
            <v>50008_1</v>
          </cell>
        </row>
        <row r="956">
          <cell r="A956" t="str">
            <v>50009_1</v>
          </cell>
        </row>
        <row r="957">
          <cell r="A957" t="str">
            <v>50010_1</v>
          </cell>
        </row>
        <row r="958">
          <cell r="A958" t="str">
            <v>50011_1</v>
          </cell>
        </row>
        <row r="959">
          <cell r="A959" t="str">
            <v>50012_1</v>
          </cell>
        </row>
        <row r="960">
          <cell r="A960" t="str">
            <v>50013_1</v>
          </cell>
        </row>
        <row r="961">
          <cell r="A961" t="str">
            <v>50014_1</v>
          </cell>
        </row>
        <row r="962">
          <cell r="A962" t="str">
            <v>50015_1</v>
          </cell>
        </row>
        <row r="963">
          <cell r="A963" t="str">
            <v>50016_1</v>
          </cell>
        </row>
        <row r="964">
          <cell r="A964" t="str">
            <v>51001_1</v>
          </cell>
        </row>
        <row r="965">
          <cell r="A965" t="str">
            <v>51002_1</v>
          </cell>
        </row>
        <row r="966">
          <cell r="A966" t="str">
            <v>58001_1</v>
          </cell>
        </row>
        <row r="967">
          <cell r="A967" t="str">
            <v>58002_1</v>
          </cell>
        </row>
        <row r="968">
          <cell r="A968" t="str">
            <v>58003_1</v>
          </cell>
        </row>
        <row r="969">
          <cell r="A969" t="str">
            <v>58101_1</v>
          </cell>
        </row>
        <row r="970">
          <cell r="A970" t="str">
            <v>59001_1</v>
          </cell>
        </row>
        <row r="971">
          <cell r="A971" t="str">
            <v>59002_1</v>
          </cell>
        </row>
        <row r="972">
          <cell r="A972" t="str">
            <v>59003_1</v>
          </cell>
        </row>
        <row r="973">
          <cell r="A973" t="str">
            <v>59003_2</v>
          </cell>
        </row>
        <row r="974">
          <cell r="A974" t="str">
            <v>60001_1</v>
          </cell>
        </row>
        <row r="975">
          <cell r="A975" t="str">
            <v>60002_1</v>
          </cell>
        </row>
        <row r="976">
          <cell r="A976" t="str">
            <v>60002_2</v>
          </cell>
        </row>
        <row r="977">
          <cell r="A977" t="str">
            <v>60003_1</v>
          </cell>
        </row>
        <row r="978">
          <cell r="A978" t="str">
            <v>60003_2</v>
          </cell>
        </row>
        <row r="979">
          <cell r="A979" t="str">
            <v>60003_3</v>
          </cell>
        </row>
        <row r="980">
          <cell r="A980" t="str">
            <v>60004_1</v>
          </cell>
        </row>
        <row r="981">
          <cell r="A981" t="str">
            <v>60005_1</v>
          </cell>
        </row>
        <row r="982">
          <cell r="A982" t="str">
            <v>60006_1</v>
          </cell>
        </row>
        <row r="983">
          <cell r="A983" t="str">
            <v>60006_2</v>
          </cell>
        </row>
        <row r="984">
          <cell r="A984" t="str">
            <v>60006_3</v>
          </cell>
        </row>
        <row r="985">
          <cell r="A985" t="str">
            <v>60007_1</v>
          </cell>
        </row>
        <row r="986">
          <cell r="A986" t="str">
            <v>60007_2</v>
          </cell>
        </row>
        <row r="987">
          <cell r="A987" t="str">
            <v>60007_3</v>
          </cell>
        </row>
        <row r="988">
          <cell r="A988" t="str">
            <v>60010_1</v>
          </cell>
        </row>
        <row r="989">
          <cell r="A989" t="str">
            <v>60011_1</v>
          </cell>
        </row>
        <row r="990">
          <cell r="A990" t="str">
            <v>60011_2</v>
          </cell>
        </row>
        <row r="991">
          <cell r="A991" t="str">
            <v>60012_1</v>
          </cell>
        </row>
        <row r="992">
          <cell r="A992" t="str">
            <v>60013_1</v>
          </cell>
        </row>
        <row r="993">
          <cell r="A993" t="str">
            <v>60013_2</v>
          </cell>
        </row>
        <row r="994">
          <cell r="A994" t="str">
            <v>60013_3</v>
          </cell>
        </row>
        <row r="995">
          <cell r="A995" t="str">
            <v>60014_1</v>
          </cell>
        </row>
        <row r="996">
          <cell r="A996" t="str">
            <v>60015_1</v>
          </cell>
        </row>
        <row r="997">
          <cell r="A997" t="str">
            <v>60016_1</v>
          </cell>
        </row>
        <row r="998">
          <cell r="A998" t="str">
            <v>60017_1</v>
          </cell>
        </row>
        <row r="999">
          <cell r="A999" t="str">
            <v>60018_1</v>
          </cell>
        </row>
        <row r="1000">
          <cell r="A1000" t="str">
            <v>60019_1</v>
          </cell>
        </row>
        <row r="1001">
          <cell r="A1001" t="str">
            <v>60020_1</v>
          </cell>
        </row>
        <row r="1002">
          <cell r="A1002" t="str">
            <v>60021_3</v>
          </cell>
        </row>
        <row r="1003">
          <cell r="A1003" t="str">
            <v>60022_3</v>
          </cell>
        </row>
        <row r="1004">
          <cell r="A1004" t="str">
            <v>60023_3</v>
          </cell>
        </row>
        <row r="1005">
          <cell r="A1005" t="str">
            <v>60024_3</v>
          </cell>
        </row>
        <row r="1006">
          <cell r="A1006" t="str">
            <v>60025_1</v>
          </cell>
        </row>
        <row r="1007">
          <cell r="A1007" t="str">
            <v>60026_1</v>
          </cell>
        </row>
        <row r="1008">
          <cell r="A1008" t="str">
            <v>61011_1</v>
          </cell>
        </row>
        <row r="1009">
          <cell r="A1009" t="str">
            <v>60027_1</v>
          </cell>
        </row>
        <row r="1010">
          <cell r="A1010" t="str">
            <v>60028_1</v>
          </cell>
        </row>
        <row r="1011">
          <cell r="A1011" t="str">
            <v>60029_1</v>
          </cell>
        </row>
        <row r="1012">
          <cell r="A1012" t="str">
            <v>60030_1</v>
          </cell>
        </row>
        <row r="1013">
          <cell r="A1013" t="str">
            <v>60031_1</v>
          </cell>
        </row>
        <row r="1014">
          <cell r="A1014" t="str">
            <v>65523_1</v>
          </cell>
        </row>
        <row r="1015">
          <cell r="A1015" t="str">
            <v>65523_2</v>
          </cell>
        </row>
        <row r="1016">
          <cell r="A1016" t="str">
            <v>65523_3</v>
          </cell>
        </row>
        <row r="1017">
          <cell r="A1017" t="str">
            <v>65524_1</v>
          </cell>
        </row>
        <row r="1018">
          <cell r="A1018" t="str">
            <v>65524_2</v>
          </cell>
        </row>
        <row r="1019">
          <cell r="A1019" t="str">
            <v>65525_1</v>
          </cell>
        </row>
        <row r="1020">
          <cell r="A1020" t="str">
            <v>65526_1</v>
          </cell>
        </row>
        <row r="1021">
          <cell r="A1021" t="str">
            <v>65526_2</v>
          </cell>
        </row>
        <row r="1022">
          <cell r="A1022" t="str">
            <v>65527_1</v>
          </cell>
        </row>
        <row r="1023">
          <cell r="A1023" t="str">
            <v>65528_1</v>
          </cell>
        </row>
        <row r="1024">
          <cell r="A1024" t="str">
            <v>65529_1</v>
          </cell>
        </row>
        <row r="1025">
          <cell r="A1025" t="str">
            <v>65530_1</v>
          </cell>
        </row>
        <row r="1026">
          <cell r="A1026" t="str">
            <v>65531_1</v>
          </cell>
        </row>
        <row r="1027">
          <cell r="A1027" t="str">
            <v>65531_2</v>
          </cell>
        </row>
        <row r="1028">
          <cell r="A1028" t="str">
            <v>65532_1</v>
          </cell>
        </row>
        <row r="1029">
          <cell r="A1029" t="str">
            <v>65532_2</v>
          </cell>
        </row>
        <row r="1030">
          <cell r="A1030" t="str">
            <v>65533_1</v>
          </cell>
        </row>
        <row r="1031">
          <cell r="A1031" t="str">
            <v>65533_2</v>
          </cell>
        </row>
        <row r="1032">
          <cell r="A1032" t="str">
            <v>65534_1</v>
          </cell>
        </row>
        <row r="1033">
          <cell r="A1033" t="str">
            <v>65535_1</v>
          </cell>
        </row>
        <row r="1034">
          <cell r="A1034" t="str">
            <v>65535_2</v>
          </cell>
        </row>
        <row r="1035">
          <cell r="A1035" t="str">
            <v>65535_3</v>
          </cell>
        </row>
        <row r="1036">
          <cell r="A1036" t="str">
            <v>65535_4</v>
          </cell>
        </row>
        <row r="1037">
          <cell r="A1037" t="str">
            <v>65535_5</v>
          </cell>
        </row>
        <row r="1038">
          <cell r="A1038" t="str">
            <v>65535_6</v>
          </cell>
        </row>
        <row r="1039">
          <cell r="A1039" t="str">
            <v>65535_7</v>
          </cell>
        </row>
        <row r="1040">
          <cell r="A1040" t="str">
            <v>65535_8</v>
          </cell>
        </row>
        <row r="1041">
          <cell r="A1041" t="str">
            <v>65535_9</v>
          </cell>
        </row>
        <row r="1042">
          <cell r="A104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5001</v>
          </cell>
        </row>
        <row r="1434">
          <cell r="A1434">
            <v>5002</v>
          </cell>
        </row>
        <row r="1435">
          <cell r="A1435">
            <v>5003</v>
          </cell>
        </row>
        <row r="1436">
          <cell r="A1436">
            <v>5004</v>
          </cell>
        </row>
        <row r="1437">
          <cell r="A1437">
            <v>5005</v>
          </cell>
        </row>
        <row r="1438">
          <cell r="A1438">
            <v>5006</v>
          </cell>
        </row>
        <row r="1439">
          <cell r="A1439">
            <v>5007</v>
          </cell>
        </row>
        <row r="1440">
          <cell r="A1440">
            <v>5008</v>
          </cell>
        </row>
        <row r="1441">
          <cell r="A1441">
            <v>6001</v>
          </cell>
        </row>
        <row r="1442">
          <cell r="A1442">
            <v>6002</v>
          </cell>
        </row>
        <row r="1443">
          <cell r="A1443">
            <v>6003</v>
          </cell>
        </row>
        <row r="1444">
          <cell r="A1444">
            <v>6004</v>
          </cell>
        </row>
        <row r="1445">
          <cell r="A1445">
            <v>6005</v>
          </cell>
        </row>
        <row r="1446">
          <cell r="A1446">
            <v>6006</v>
          </cell>
        </row>
        <row r="1447">
          <cell r="A1447">
            <v>6007</v>
          </cell>
        </row>
        <row r="1448">
          <cell r="A1448">
            <v>6008</v>
          </cell>
        </row>
        <row r="1449">
          <cell r="A1449">
            <v>6009</v>
          </cell>
        </row>
        <row r="1450">
          <cell r="A1450">
            <v>6010</v>
          </cell>
        </row>
        <row r="1451">
          <cell r="A1451">
            <v>6011</v>
          </cell>
        </row>
        <row r="1452">
          <cell r="A1452">
            <v>6012</v>
          </cell>
        </row>
        <row r="1453">
          <cell r="A1453">
            <v>6013</v>
          </cell>
        </row>
        <row r="1454">
          <cell r="A1454">
            <v>6014</v>
          </cell>
        </row>
        <row r="1455">
          <cell r="A1455">
            <v>6015</v>
          </cell>
        </row>
        <row r="1456">
          <cell r="A1456">
            <v>6016</v>
          </cell>
        </row>
        <row r="1457">
          <cell r="A1457">
            <v>6017</v>
          </cell>
        </row>
        <row r="1458">
          <cell r="A1458">
            <v>6018</v>
          </cell>
        </row>
        <row r="1459">
          <cell r="A1459">
            <v>6019</v>
          </cell>
        </row>
        <row r="1460">
          <cell r="A1460">
            <v>6020</v>
          </cell>
        </row>
        <row r="1461">
          <cell r="A1461">
            <v>8001</v>
          </cell>
        </row>
        <row r="1462">
          <cell r="A1462">
            <v>8002</v>
          </cell>
        </row>
        <row r="1463">
          <cell r="A1463">
            <v>8003</v>
          </cell>
        </row>
        <row r="1464">
          <cell r="A1464">
            <v>8004</v>
          </cell>
        </row>
        <row r="1465">
          <cell r="A1465">
            <v>8005</v>
          </cell>
        </row>
        <row r="1466">
          <cell r="A1466">
            <v>8006</v>
          </cell>
        </row>
        <row r="1467">
          <cell r="A1467">
            <v>8007</v>
          </cell>
        </row>
        <row r="1468">
          <cell r="A1468">
            <v>8008</v>
          </cell>
        </row>
        <row r="1469">
          <cell r="A1469">
            <v>8009</v>
          </cell>
        </row>
        <row r="1470">
          <cell r="A1470">
            <v>8010</v>
          </cell>
        </row>
        <row r="1471">
          <cell r="A1471">
            <v>8011</v>
          </cell>
        </row>
        <row r="1472">
          <cell r="A1472">
            <v>8012</v>
          </cell>
        </row>
        <row r="1473">
          <cell r="A1473">
            <v>8013</v>
          </cell>
        </row>
        <row r="1474">
          <cell r="A1474">
            <v>8014</v>
          </cell>
        </row>
        <row r="1475">
          <cell r="A1475">
            <v>8015</v>
          </cell>
        </row>
        <row r="1476">
          <cell r="A1476">
            <v>8016</v>
          </cell>
        </row>
        <row r="1477">
          <cell r="A1477">
            <v>8017</v>
          </cell>
        </row>
        <row r="1478">
          <cell r="A1478">
            <v>8018</v>
          </cell>
        </row>
        <row r="1479">
          <cell r="A1479">
            <v>8019</v>
          </cell>
        </row>
        <row r="1480">
          <cell r="A1480">
            <v>8020</v>
          </cell>
        </row>
        <row r="1481">
          <cell r="A1481">
            <v>8021</v>
          </cell>
        </row>
        <row r="1482">
          <cell r="A1482">
            <v>8022</v>
          </cell>
        </row>
        <row r="1483">
          <cell r="A1483">
            <v>8023</v>
          </cell>
        </row>
        <row r="1484">
          <cell r="A1484">
            <v>8024</v>
          </cell>
        </row>
        <row r="1485">
          <cell r="A1485">
            <v>8025</v>
          </cell>
        </row>
        <row r="1486">
          <cell r="A1486">
            <v>8026</v>
          </cell>
        </row>
        <row r="1487">
          <cell r="A1487">
            <v>8027</v>
          </cell>
        </row>
        <row r="1488">
          <cell r="A1488">
            <v>8028</v>
          </cell>
        </row>
        <row r="1489">
          <cell r="A1489">
            <v>8029</v>
          </cell>
        </row>
        <row r="1490">
          <cell r="A1490">
            <v>8030</v>
          </cell>
        </row>
        <row r="1491">
          <cell r="A1491">
            <v>8031</v>
          </cell>
        </row>
        <row r="1492">
          <cell r="A1492">
            <v>8032</v>
          </cell>
        </row>
        <row r="1493">
          <cell r="A1493">
            <v>8033</v>
          </cell>
        </row>
        <row r="1494">
          <cell r="A1494">
            <v>8034</v>
          </cell>
        </row>
        <row r="1495">
          <cell r="A1495">
            <v>8035</v>
          </cell>
        </row>
        <row r="1496">
          <cell r="A1496">
            <v>8036</v>
          </cell>
        </row>
        <row r="1497">
          <cell r="A1497">
            <v>8037</v>
          </cell>
        </row>
        <row r="1498">
          <cell r="A1498">
            <v>8038</v>
          </cell>
        </row>
        <row r="1499">
          <cell r="A1499">
            <v>8039</v>
          </cell>
        </row>
        <row r="1500">
          <cell r="A1500">
            <v>8040</v>
          </cell>
        </row>
        <row r="1501">
          <cell r="A1501">
            <v>8041</v>
          </cell>
        </row>
        <row r="1502">
          <cell r="A1502">
            <v>8042</v>
          </cell>
        </row>
        <row r="1503">
          <cell r="A1503">
            <v>8043</v>
          </cell>
        </row>
        <row r="1504">
          <cell r="A1504">
            <v>8044</v>
          </cell>
        </row>
        <row r="1505">
          <cell r="A1505">
            <v>8045</v>
          </cell>
        </row>
        <row r="1506">
          <cell r="A1506">
            <v>8046</v>
          </cell>
        </row>
        <row r="1507">
          <cell r="A1507">
            <v>8047</v>
          </cell>
        </row>
        <row r="1508">
          <cell r="A1508">
            <v>8048</v>
          </cell>
        </row>
        <row r="1509">
          <cell r="A1509">
            <v>8049</v>
          </cell>
        </row>
        <row r="1510">
          <cell r="A1510">
            <v>8050</v>
          </cell>
        </row>
        <row r="1511">
          <cell r="A1511">
            <v>8051</v>
          </cell>
        </row>
        <row r="1512">
          <cell r="A1512">
            <v>8052</v>
          </cell>
        </row>
        <row r="1513">
          <cell r="A1513">
            <v>8053</v>
          </cell>
        </row>
        <row r="1514">
          <cell r="A1514">
            <v>8054</v>
          </cell>
        </row>
        <row r="1515">
          <cell r="A1515">
            <v>8055</v>
          </cell>
        </row>
        <row r="1516">
          <cell r="A1516">
            <v>8056</v>
          </cell>
        </row>
        <row r="1517">
          <cell r="A1517">
            <v>8057</v>
          </cell>
        </row>
        <row r="1518">
          <cell r="A1518">
            <v>8058</v>
          </cell>
        </row>
        <row r="1519">
          <cell r="A1519">
            <v>8059</v>
          </cell>
        </row>
        <row r="1520">
          <cell r="A1520">
            <v>8060</v>
          </cell>
        </row>
        <row r="1521">
          <cell r="A1521">
            <v>8061</v>
          </cell>
        </row>
        <row r="1522">
          <cell r="A1522">
            <v>8062</v>
          </cell>
        </row>
        <row r="1523">
          <cell r="A1523">
            <v>8063</v>
          </cell>
        </row>
        <row r="1524">
          <cell r="A1524">
            <v>8064</v>
          </cell>
        </row>
        <row r="1525">
          <cell r="A1525">
            <v>8065</v>
          </cell>
        </row>
        <row r="1526">
          <cell r="A1526">
            <v>8066</v>
          </cell>
        </row>
        <row r="1527">
          <cell r="A1527">
            <v>8067</v>
          </cell>
        </row>
        <row r="1528">
          <cell r="A1528">
            <v>8068</v>
          </cell>
        </row>
        <row r="1529">
          <cell r="A1529">
            <v>8069</v>
          </cell>
        </row>
        <row r="1530">
          <cell r="A1530">
            <v>8070</v>
          </cell>
        </row>
        <row r="1531">
          <cell r="A1531">
            <v>8071</v>
          </cell>
        </row>
        <row r="1532">
          <cell r="A1532">
            <v>8072</v>
          </cell>
        </row>
        <row r="1533">
          <cell r="A1533">
            <v>8073</v>
          </cell>
        </row>
        <row r="1534">
          <cell r="A1534">
            <v>8074</v>
          </cell>
        </row>
        <row r="1535">
          <cell r="A1535">
            <v>8077</v>
          </cell>
        </row>
        <row r="1536">
          <cell r="A1536">
            <v>8078</v>
          </cell>
        </row>
        <row r="1537">
          <cell r="A1537">
            <v>8079</v>
          </cell>
        </row>
        <row r="1538">
          <cell r="A1538">
            <v>8080</v>
          </cell>
        </row>
        <row r="1539">
          <cell r="A1539">
            <v>8081</v>
          </cell>
        </row>
        <row r="1540">
          <cell r="A1540">
            <v>8082</v>
          </cell>
        </row>
        <row r="1541">
          <cell r="A1541">
            <v>8083</v>
          </cell>
        </row>
        <row r="1542">
          <cell r="A1542">
            <v>8084</v>
          </cell>
        </row>
        <row r="1543">
          <cell r="A1543">
            <v>8085</v>
          </cell>
        </row>
        <row r="1544">
          <cell r="A1544">
            <v>8086</v>
          </cell>
        </row>
        <row r="1545">
          <cell r="A1545">
            <v>8087</v>
          </cell>
        </row>
        <row r="1546">
          <cell r="A1546">
            <v>8088</v>
          </cell>
        </row>
        <row r="1547">
          <cell r="A1547">
            <v>8089</v>
          </cell>
        </row>
        <row r="1548">
          <cell r="A1548">
            <v>8090</v>
          </cell>
        </row>
        <row r="1549">
          <cell r="A1549">
            <v>8095</v>
          </cell>
        </row>
        <row r="1550">
          <cell r="A1550">
            <v>8096</v>
          </cell>
        </row>
        <row r="1551">
          <cell r="A1551">
            <v>8097</v>
          </cell>
        </row>
        <row r="1552">
          <cell r="A1552">
            <v>8098</v>
          </cell>
        </row>
        <row r="1553">
          <cell r="A1553">
            <v>8099</v>
          </cell>
        </row>
        <row r="1554">
          <cell r="A1554">
            <v>8100</v>
          </cell>
        </row>
        <row r="1555">
          <cell r="A1555">
            <v>8101</v>
          </cell>
        </row>
        <row r="1556">
          <cell r="A1556">
            <v>8102</v>
          </cell>
        </row>
        <row r="1557">
          <cell r="A1557">
            <v>8103</v>
          </cell>
        </row>
        <row r="1558">
          <cell r="A1558">
            <v>8104</v>
          </cell>
        </row>
        <row r="1559">
          <cell r="A1559">
            <v>8105</v>
          </cell>
        </row>
        <row r="1560">
          <cell r="A1560">
            <v>8106</v>
          </cell>
        </row>
        <row r="1561">
          <cell r="A1561">
            <v>8111</v>
          </cell>
        </row>
        <row r="1562">
          <cell r="A1562">
            <v>8112</v>
          </cell>
        </row>
        <row r="1563">
          <cell r="A1563">
            <v>8113</v>
          </cell>
        </row>
        <row r="1564">
          <cell r="A1564">
            <v>8114</v>
          </cell>
        </row>
        <row r="1565">
          <cell r="A1565">
            <v>8115</v>
          </cell>
        </row>
        <row r="1566">
          <cell r="A1566">
            <v>8116</v>
          </cell>
        </row>
        <row r="1567">
          <cell r="A1567">
            <v>8117</v>
          </cell>
        </row>
        <row r="1568">
          <cell r="A1568">
            <v>8118</v>
          </cell>
        </row>
        <row r="1569">
          <cell r="A1569">
            <v>8119</v>
          </cell>
        </row>
        <row r="1570">
          <cell r="A1570">
            <v>8120</v>
          </cell>
        </row>
        <row r="1571">
          <cell r="A1571">
            <v>8121</v>
          </cell>
        </row>
        <row r="1572">
          <cell r="A1572">
            <v>8122</v>
          </cell>
        </row>
        <row r="1573">
          <cell r="A1573">
            <v>8127</v>
          </cell>
        </row>
        <row r="1574">
          <cell r="A1574">
            <v>8128</v>
          </cell>
        </row>
        <row r="1575">
          <cell r="A1575">
            <v>8129</v>
          </cell>
        </row>
        <row r="1576">
          <cell r="A1576">
            <v>8130</v>
          </cell>
        </row>
        <row r="1577">
          <cell r="A1577">
            <v>8131</v>
          </cell>
        </row>
        <row r="1578">
          <cell r="A1578">
            <v>8132</v>
          </cell>
        </row>
        <row r="1579">
          <cell r="A1579">
            <v>8133</v>
          </cell>
        </row>
        <row r="1580">
          <cell r="A1580">
            <v>8134</v>
          </cell>
        </row>
        <row r="1581">
          <cell r="A1581">
            <v>8135</v>
          </cell>
        </row>
        <row r="1582">
          <cell r="A1582">
            <v>8136</v>
          </cell>
        </row>
        <row r="1583">
          <cell r="A1583">
            <v>8137</v>
          </cell>
        </row>
        <row r="1584">
          <cell r="A1584">
            <v>8138</v>
          </cell>
        </row>
        <row r="1585">
          <cell r="A1585">
            <v>9001</v>
          </cell>
        </row>
        <row r="1586">
          <cell r="A1586">
            <v>9002</v>
          </cell>
        </row>
        <row r="1587">
          <cell r="A1587">
            <v>9003</v>
          </cell>
        </row>
        <row r="1588">
          <cell r="A1588">
            <v>9004</v>
          </cell>
        </row>
        <row r="1589">
          <cell r="A1589">
            <v>9005</v>
          </cell>
        </row>
        <row r="1590">
          <cell r="A1590">
            <v>9006</v>
          </cell>
        </row>
        <row r="1591">
          <cell r="A1591">
            <v>9007</v>
          </cell>
        </row>
        <row r="1592">
          <cell r="A1592">
            <v>9008</v>
          </cell>
        </row>
        <row r="1593">
          <cell r="A1593">
            <v>10101</v>
          </cell>
        </row>
        <row r="1594">
          <cell r="A1594">
            <v>10102</v>
          </cell>
        </row>
        <row r="1595">
          <cell r="A1595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5001</v>
          </cell>
        </row>
        <row r="1587">
          <cell r="A1587">
            <v>5002</v>
          </cell>
        </row>
        <row r="1588">
          <cell r="A1588">
            <v>5003</v>
          </cell>
        </row>
        <row r="1589">
          <cell r="A1589">
            <v>5004</v>
          </cell>
        </row>
        <row r="1590">
          <cell r="A1590">
            <v>5005</v>
          </cell>
        </row>
        <row r="1591">
          <cell r="A1591">
            <v>5006</v>
          </cell>
        </row>
        <row r="1592">
          <cell r="A1592">
            <v>5007</v>
          </cell>
        </row>
        <row r="1593">
          <cell r="A1593">
            <v>5008</v>
          </cell>
        </row>
        <row r="1594">
          <cell r="A1594">
            <v>6001</v>
          </cell>
        </row>
        <row r="1595">
          <cell r="A1595">
            <v>6002</v>
          </cell>
        </row>
        <row r="1596">
          <cell r="A1596">
            <v>6003</v>
          </cell>
        </row>
        <row r="1597">
          <cell r="A1597">
            <v>6004</v>
          </cell>
        </row>
        <row r="1598">
          <cell r="A1598">
            <v>6005</v>
          </cell>
        </row>
        <row r="1599">
          <cell r="A1599">
            <v>6006</v>
          </cell>
        </row>
        <row r="1600">
          <cell r="A1600">
            <v>6007</v>
          </cell>
        </row>
        <row r="1601">
          <cell r="A1601">
            <v>6008</v>
          </cell>
        </row>
        <row r="1602">
          <cell r="A1602">
            <v>6009</v>
          </cell>
        </row>
        <row r="1603">
          <cell r="A1603">
            <v>6010</v>
          </cell>
        </row>
        <row r="1604">
          <cell r="A1604">
            <v>6011</v>
          </cell>
        </row>
        <row r="1605">
          <cell r="A1605">
            <v>6012</v>
          </cell>
        </row>
        <row r="1606">
          <cell r="A1606">
            <v>6013</v>
          </cell>
        </row>
        <row r="1607">
          <cell r="A1607">
            <v>6014</v>
          </cell>
        </row>
        <row r="1608">
          <cell r="A1608">
            <v>6015</v>
          </cell>
        </row>
        <row r="1609">
          <cell r="A1609">
            <v>6016</v>
          </cell>
        </row>
        <row r="1610">
          <cell r="A1610">
            <v>6017</v>
          </cell>
        </row>
        <row r="1611">
          <cell r="A1611">
            <v>6018</v>
          </cell>
        </row>
        <row r="1612">
          <cell r="A1612">
            <v>6019</v>
          </cell>
        </row>
        <row r="1613">
          <cell r="A1613">
            <v>6020</v>
          </cell>
        </row>
        <row r="1614">
          <cell r="A1614">
            <v>8001</v>
          </cell>
        </row>
        <row r="1615">
          <cell r="A1615">
            <v>8002</v>
          </cell>
        </row>
        <row r="1616">
          <cell r="A1616">
            <v>8003</v>
          </cell>
        </row>
        <row r="1617">
          <cell r="A1617">
            <v>8004</v>
          </cell>
        </row>
        <row r="1618">
          <cell r="A1618">
            <v>8005</v>
          </cell>
        </row>
        <row r="1619">
          <cell r="A1619">
            <v>8006</v>
          </cell>
        </row>
        <row r="1620">
          <cell r="A1620">
            <v>8007</v>
          </cell>
        </row>
        <row r="1621">
          <cell r="A1621">
            <v>8008</v>
          </cell>
        </row>
        <row r="1622">
          <cell r="A1622">
            <v>8009</v>
          </cell>
        </row>
        <row r="1623">
          <cell r="A1623">
            <v>8010</v>
          </cell>
        </row>
        <row r="1624">
          <cell r="A1624">
            <v>8011</v>
          </cell>
        </row>
        <row r="1625">
          <cell r="A1625">
            <v>8012</v>
          </cell>
        </row>
        <row r="1626">
          <cell r="A1626">
            <v>8013</v>
          </cell>
        </row>
        <row r="1627">
          <cell r="A1627">
            <v>8014</v>
          </cell>
        </row>
        <row r="1628">
          <cell r="A1628">
            <v>8015</v>
          </cell>
        </row>
        <row r="1629">
          <cell r="A1629">
            <v>8016</v>
          </cell>
        </row>
        <row r="1630">
          <cell r="A1630">
            <v>8017</v>
          </cell>
        </row>
        <row r="1631">
          <cell r="A1631">
            <v>8018</v>
          </cell>
        </row>
        <row r="1632">
          <cell r="A1632">
            <v>8019</v>
          </cell>
        </row>
        <row r="1633">
          <cell r="A1633">
            <v>8020</v>
          </cell>
        </row>
        <row r="1634">
          <cell r="A1634">
            <v>8021</v>
          </cell>
        </row>
        <row r="1635">
          <cell r="A1635">
            <v>8022</v>
          </cell>
        </row>
        <row r="1636">
          <cell r="A1636">
            <v>8023</v>
          </cell>
        </row>
        <row r="1637">
          <cell r="A1637">
            <v>8024</v>
          </cell>
        </row>
        <row r="1638">
          <cell r="A1638">
            <v>8025</v>
          </cell>
        </row>
        <row r="1639">
          <cell r="A1639">
            <v>8026</v>
          </cell>
        </row>
        <row r="1640">
          <cell r="A1640">
            <v>8027</v>
          </cell>
        </row>
        <row r="1641">
          <cell r="A1641">
            <v>8028</v>
          </cell>
        </row>
        <row r="1642">
          <cell r="A1642">
            <v>8029</v>
          </cell>
        </row>
        <row r="1643">
          <cell r="A1643">
            <v>8030</v>
          </cell>
        </row>
        <row r="1644">
          <cell r="A1644">
            <v>8031</v>
          </cell>
        </row>
        <row r="1645">
          <cell r="A1645">
            <v>8032</v>
          </cell>
        </row>
        <row r="1646">
          <cell r="A1646">
            <v>8033</v>
          </cell>
        </row>
        <row r="1647">
          <cell r="A1647">
            <v>8034</v>
          </cell>
        </row>
        <row r="1648">
          <cell r="A1648">
            <v>8035</v>
          </cell>
        </row>
        <row r="1649">
          <cell r="A1649">
            <v>8036</v>
          </cell>
        </row>
        <row r="1650">
          <cell r="A1650">
            <v>8037</v>
          </cell>
        </row>
        <row r="1651">
          <cell r="A1651">
            <v>8038</v>
          </cell>
        </row>
        <row r="1652">
          <cell r="A1652">
            <v>8039</v>
          </cell>
        </row>
        <row r="1653">
          <cell r="A1653">
            <v>8040</v>
          </cell>
        </row>
        <row r="1654">
          <cell r="A1654">
            <v>8041</v>
          </cell>
        </row>
        <row r="1655">
          <cell r="A1655">
            <v>8042</v>
          </cell>
        </row>
        <row r="1656">
          <cell r="A1656">
            <v>8043</v>
          </cell>
        </row>
        <row r="1657">
          <cell r="A1657">
            <v>8044</v>
          </cell>
        </row>
        <row r="1658">
          <cell r="A1658">
            <v>8045</v>
          </cell>
        </row>
        <row r="1659">
          <cell r="A1659">
            <v>8046</v>
          </cell>
        </row>
        <row r="1660">
          <cell r="A1660">
            <v>8047</v>
          </cell>
        </row>
        <row r="1661">
          <cell r="A1661">
            <v>8048</v>
          </cell>
        </row>
        <row r="1662">
          <cell r="A1662">
            <v>8049</v>
          </cell>
        </row>
        <row r="1663">
          <cell r="A1663">
            <v>8050</v>
          </cell>
        </row>
        <row r="1664">
          <cell r="A1664">
            <v>8051</v>
          </cell>
        </row>
        <row r="1665">
          <cell r="A1665">
            <v>8052</v>
          </cell>
        </row>
        <row r="1666">
          <cell r="A1666">
            <v>8053</v>
          </cell>
        </row>
        <row r="1667">
          <cell r="A1667">
            <v>8054</v>
          </cell>
        </row>
        <row r="1668">
          <cell r="A1668">
            <v>8055</v>
          </cell>
        </row>
        <row r="1669">
          <cell r="A1669">
            <v>8056</v>
          </cell>
        </row>
        <row r="1670">
          <cell r="A1670">
            <v>8057</v>
          </cell>
        </row>
        <row r="1671">
          <cell r="A1671">
            <v>8058</v>
          </cell>
        </row>
        <row r="1672">
          <cell r="A1672">
            <v>8059</v>
          </cell>
        </row>
        <row r="1673">
          <cell r="A1673">
            <v>8060</v>
          </cell>
        </row>
        <row r="1674">
          <cell r="A1674">
            <v>8061</v>
          </cell>
        </row>
        <row r="1675">
          <cell r="A1675">
            <v>8062</v>
          </cell>
        </row>
        <row r="1676">
          <cell r="A1676">
            <v>8063</v>
          </cell>
        </row>
        <row r="1677">
          <cell r="A1677">
            <v>8064</v>
          </cell>
        </row>
        <row r="1678">
          <cell r="A1678">
            <v>8065</v>
          </cell>
        </row>
        <row r="1679">
          <cell r="A1679">
            <v>8066</v>
          </cell>
        </row>
        <row r="1680">
          <cell r="A1680">
            <v>8067</v>
          </cell>
        </row>
        <row r="1681">
          <cell r="A1681">
            <v>8068</v>
          </cell>
        </row>
        <row r="1682">
          <cell r="A1682">
            <v>8069</v>
          </cell>
        </row>
        <row r="1683">
          <cell r="A1683">
            <v>8070</v>
          </cell>
        </row>
        <row r="1684">
          <cell r="A1684">
            <v>8071</v>
          </cell>
        </row>
        <row r="1685">
          <cell r="A1685">
            <v>8072</v>
          </cell>
        </row>
        <row r="1686">
          <cell r="A1686">
            <v>8073</v>
          </cell>
        </row>
        <row r="1687">
          <cell r="A1687">
            <v>8074</v>
          </cell>
        </row>
        <row r="1688">
          <cell r="A1688">
            <v>8075</v>
          </cell>
        </row>
        <row r="1689">
          <cell r="A1689">
            <v>8076</v>
          </cell>
        </row>
        <row r="1690">
          <cell r="A1690">
            <v>8077</v>
          </cell>
        </row>
        <row r="1691">
          <cell r="A1691">
            <v>8078</v>
          </cell>
        </row>
        <row r="1692">
          <cell r="A1692">
            <v>8079</v>
          </cell>
        </row>
        <row r="1693">
          <cell r="A1693">
            <v>8080</v>
          </cell>
        </row>
        <row r="1694">
          <cell r="A1694">
            <v>8081</v>
          </cell>
        </row>
        <row r="1695">
          <cell r="A1695">
            <v>8082</v>
          </cell>
        </row>
        <row r="1696">
          <cell r="A1696">
            <v>8083</v>
          </cell>
        </row>
        <row r="1697">
          <cell r="A1697">
            <v>8084</v>
          </cell>
        </row>
        <row r="1698">
          <cell r="A1698">
            <v>8085</v>
          </cell>
        </row>
        <row r="1699">
          <cell r="A1699">
            <v>8086</v>
          </cell>
        </row>
        <row r="1700">
          <cell r="A1700">
            <v>8087</v>
          </cell>
        </row>
        <row r="1701">
          <cell r="A1701">
            <v>8088</v>
          </cell>
        </row>
        <row r="1702">
          <cell r="A1702">
            <v>8089</v>
          </cell>
        </row>
        <row r="1703">
          <cell r="A1703">
            <v>8090</v>
          </cell>
        </row>
        <row r="1704">
          <cell r="A1704">
            <v>8095</v>
          </cell>
        </row>
        <row r="1705">
          <cell r="A1705">
            <v>8096</v>
          </cell>
        </row>
        <row r="1706">
          <cell r="A1706">
            <v>8097</v>
          </cell>
        </row>
        <row r="1707">
          <cell r="A1707">
            <v>8098</v>
          </cell>
        </row>
        <row r="1708">
          <cell r="A1708">
            <v>8099</v>
          </cell>
        </row>
        <row r="1709">
          <cell r="A1709">
            <v>8100</v>
          </cell>
        </row>
        <row r="1710">
          <cell r="A1710">
            <v>8101</v>
          </cell>
        </row>
        <row r="1711">
          <cell r="A1711">
            <v>8102</v>
          </cell>
        </row>
        <row r="1712">
          <cell r="A1712">
            <v>8103</v>
          </cell>
        </row>
        <row r="1713">
          <cell r="A1713">
            <v>8104</v>
          </cell>
        </row>
        <row r="1714">
          <cell r="A1714">
            <v>8105</v>
          </cell>
        </row>
        <row r="1715">
          <cell r="A1715">
            <v>8106</v>
          </cell>
        </row>
        <row r="1716">
          <cell r="A1716">
            <v>8111</v>
          </cell>
        </row>
        <row r="1717">
          <cell r="A1717">
            <v>8112</v>
          </cell>
        </row>
        <row r="1718">
          <cell r="A1718">
            <v>8113</v>
          </cell>
        </row>
        <row r="1719">
          <cell r="A1719">
            <v>8114</v>
          </cell>
        </row>
        <row r="1720">
          <cell r="A1720">
            <v>8115</v>
          </cell>
        </row>
        <row r="1721">
          <cell r="A1721">
            <v>8116</v>
          </cell>
        </row>
        <row r="1722">
          <cell r="A1722">
            <v>8117</v>
          </cell>
        </row>
        <row r="1723">
          <cell r="A1723">
            <v>8118</v>
          </cell>
        </row>
        <row r="1724">
          <cell r="A1724">
            <v>8119</v>
          </cell>
        </row>
        <row r="1725">
          <cell r="A1725">
            <v>8120</v>
          </cell>
        </row>
        <row r="1726">
          <cell r="A1726">
            <v>8121</v>
          </cell>
        </row>
        <row r="1727">
          <cell r="A1727">
            <v>8122</v>
          </cell>
        </row>
        <row r="1728">
          <cell r="A1728">
            <v>8123</v>
          </cell>
        </row>
        <row r="1729">
          <cell r="A1729">
            <v>8124</v>
          </cell>
        </row>
        <row r="1730">
          <cell r="A1730">
            <v>8125</v>
          </cell>
        </row>
        <row r="1731">
          <cell r="A1731">
            <v>8126</v>
          </cell>
        </row>
        <row r="1732">
          <cell r="A1732">
            <v>8127</v>
          </cell>
        </row>
        <row r="1733">
          <cell r="A1733">
            <v>8128</v>
          </cell>
        </row>
        <row r="1734">
          <cell r="A1734">
            <v>8129</v>
          </cell>
        </row>
        <row r="1735">
          <cell r="A1735">
            <v>8130</v>
          </cell>
        </row>
        <row r="1736">
          <cell r="A1736">
            <v>8131</v>
          </cell>
        </row>
        <row r="1737">
          <cell r="A1737">
            <v>8132</v>
          </cell>
        </row>
        <row r="1738">
          <cell r="A1738">
            <v>8133</v>
          </cell>
        </row>
        <row r="1739">
          <cell r="A1739">
            <v>8134</v>
          </cell>
        </row>
        <row r="1740">
          <cell r="A1740">
            <v>8135</v>
          </cell>
        </row>
        <row r="1741">
          <cell r="A1741">
            <v>8136</v>
          </cell>
        </row>
        <row r="1742">
          <cell r="A1742">
            <v>8137</v>
          </cell>
        </row>
        <row r="1743">
          <cell r="A1743">
            <v>8138</v>
          </cell>
        </row>
        <row r="1744">
          <cell r="A1744">
            <v>9001</v>
          </cell>
        </row>
        <row r="1745">
          <cell r="A1745">
            <v>9002</v>
          </cell>
        </row>
        <row r="1746">
          <cell r="A1746">
            <v>9003</v>
          </cell>
        </row>
        <row r="1747">
          <cell r="A1747">
            <v>9004</v>
          </cell>
        </row>
        <row r="1748">
          <cell r="A1748">
            <v>9005</v>
          </cell>
        </row>
        <row r="1749">
          <cell r="A1749">
            <v>9006</v>
          </cell>
        </row>
        <row r="1750">
          <cell r="A1750">
            <v>9007</v>
          </cell>
        </row>
        <row r="1751">
          <cell r="A1751">
            <v>9008</v>
          </cell>
        </row>
        <row r="1752">
          <cell r="A1752">
            <v>10001</v>
          </cell>
        </row>
        <row r="1753">
          <cell r="A1753">
            <v>10002</v>
          </cell>
        </row>
        <row r="1754">
          <cell r="A1754">
            <v>10003</v>
          </cell>
        </row>
        <row r="1755">
          <cell r="A1755">
            <v>10004</v>
          </cell>
        </row>
        <row r="1756">
          <cell r="A1756">
            <v>10005</v>
          </cell>
        </row>
        <row r="1757">
          <cell r="A1757">
            <v>10006</v>
          </cell>
        </row>
        <row r="1758">
          <cell r="A1758">
            <v>10007</v>
          </cell>
        </row>
        <row r="1759">
          <cell r="A1759">
            <v>10008</v>
          </cell>
        </row>
        <row r="1760">
          <cell r="A1760">
            <v>10009</v>
          </cell>
        </row>
        <row r="1761">
          <cell r="A1761">
            <v>10010</v>
          </cell>
        </row>
        <row r="1762">
          <cell r="A1762">
            <v>10011</v>
          </cell>
        </row>
        <row r="1763">
          <cell r="A1763">
            <v>10012</v>
          </cell>
        </row>
        <row r="1764">
          <cell r="A1764">
            <v>10013</v>
          </cell>
        </row>
        <row r="1765">
          <cell r="A1765">
            <v>10014</v>
          </cell>
        </row>
        <row r="1766">
          <cell r="A1766">
            <v>10015</v>
          </cell>
        </row>
        <row r="1767">
          <cell r="A1767">
            <v>10016</v>
          </cell>
        </row>
        <row r="1768">
          <cell r="A1768">
            <v>10017</v>
          </cell>
        </row>
        <row r="1769">
          <cell r="A1769">
            <v>10018</v>
          </cell>
        </row>
        <row r="1770">
          <cell r="A1770">
            <v>10019</v>
          </cell>
        </row>
        <row r="1771">
          <cell r="A1771">
            <v>10020</v>
          </cell>
        </row>
        <row r="1772">
          <cell r="A1772">
            <v>10021</v>
          </cell>
        </row>
        <row r="1773">
          <cell r="A1773">
            <v>10022</v>
          </cell>
        </row>
        <row r="1774">
          <cell r="A1774">
            <v>10023</v>
          </cell>
        </row>
        <row r="1775">
          <cell r="A1775">
            <v>10024</v>
          </cell>
        </row>
        <row r="1776">
          <cell r="A1776">
            <v>10025</v>
          </cell>
        </row>
        <row r="1777">
          <cell r="A1777">
            <v>10026</v>
          </cell>
        </row>
        <row r="1778">
          <cell r="A1778">
            <v>10027</v>
          </cell>
        </row>
        <row r="1779">
          <cell r="A1779">
            <v>10028</v>
          </cell>
        </row>
        <row r="1780">
          <cell r="A1780">
            <v>10029</v>
          </cell>
        </row>
        <row r="1781">
          <cell r="A1781">
            <v>10030</v>
          </cell>
        </row>
        <row r="1782">
          <cell r="A1782">
            <v>10031</v>
          </cell>
        </row>
        <row r="1783">
          <cell r="A1783">
            <v>10032</v>
          </cell>
        </row>
        <row r="1784">
          <cell r="A1784">
            <v>10033</v>
          </cell>
        </row>
        <row r="1785">
          <cell r="A1785">
            <v>10034</v>
          </cell>
        </row>
        <row r="1786">
          <cell r="A1786">
            <v>10035</v>
          </cell>
        </row>
        <row r="1787">
          <cell r="A1787">
            <v>10036</v>
          </cell>
        </row>
        <row r="1788">
          <cell r="A1788">
            <v>10037</v>
          </cell>
        </row>
        <row r="1789">
          <cell r="A1789">
            <v>10038</v>
          </cell>
        </row>
        <row r="1790">
          <cell r="A1790">
            <v>10039</v>
          </cell>
        </row>
        <row r="1791">
          <cell r="A1791">
            <v>10040</v>
          </cell>
        </row>
        <row r="1792">
          <cell r="A1792">
            <v>10041</v>
          </cell>
        </row>
        <row r="1793">
          <cell r="A1793">
            <v>10042</v>
          </cell>
        </row>
        <row r="1794">
          <cell r="A1794">
            <v>10043</v>
          </cell>
        </row>
        <row r="1795">
          <cell r="A1795">
            <v>10044</v>
          </cell>
        </row>
        <row r="1796">
          <cell r="A1796">
            <v>10045</v>
          </cell>
        </row>
        <row r="1797">
          <cell r="A1797">
            <v>10046</v>
          </cell>
        </row>
        <row r="1798">
          <cell r="A1798">
            <v>10047</v>
          </cell>
        </row>
        <row r="1799">
          <cell r="A1799">
            <v>10048</v>
          </cell>
        </row>
        <row r="1800">
          <cell r="A1800">
            <v>10049</v>
          </cell>
        </row>
        <row r="1801">
          <cell r="A1801">
            <v>10050</v>
          </cell>
        </row>
        <row r="1802">
          <cell r="A1802">
            <v>10051</v>
          </cell>
        </row>
        <row r="1803">
          <cell r="A1803">
            <v>10052</v>
          </cell>
        </row>
        <row r="1804">
          <cell r="A1804">
            <v>10053</v>
          </cell>
        </row>
        <row r="1805">
          <cell r="A1805">
            <v>10054</v>
          </cell>
        </row>
        <row r="1806">
          <cell r="A1806">
            <v>10055</v>
          </cell>
        </row>
        <row r="1807">
          <cell r="A1807">
            <v>10056</v>
          </cell>
        </row>
        <row r="1808">
          <cell r="A1808">
            <v>10057</v>
          </cell>
        </row>
        <row r="1809">
          <cell r="A1809">
            <v>10058</v>
          </cell>
        </row>
        <row r="1810">
          <cell r="A1810">
            <v>10059</v>
          </cell>
        </row>
        <row r="1811">
          <cell r="A1811">
            <v>10060</v>
          </cell>
        </row>
        <row r="1812">
          <cell r="A1812">
            <v>10061</v>
          </cell>
        </row>
        <row r="1813">
          <cell r="A1813">
            <v>10062</v>
          </cell>
        </row>
        <row r="1814">
          <cell r="A1814">
            <v>10063</v>
          </cell>
        </row>
        <row r="1815">
          <cell r="A1815">
            <v>10064</v>
          </cell>
        </row>
        <row r="1816">
          <cell r="A1816">
            <v>10065</v>
          </cell>
        </row>
        <row r="1817">
          <cell r="A1817">
            <v>10066</v>
          </cell>
        </row>
        <row r="1818">
          <cell r="A1818">
            <v>10067</v>
          </cell>
        </row>
        <row r="1819">
          <cell r="A1819">
            <v>10068</v>
          </cell>
        </row>
        <row r="1820">
          <cell r="A1820">
            <v>10069</v>
          </cell>
        </row>
        <row r="1821">
          <cell r="A1821">
            <v>10070</v>
          </cell>
        </row>
        <row r="1822">
          <cell r="A1822">
            <v>10071</v>
          </cell>
        </row>
        <row r="1823">
          <cell r="A1823">
            <v>10072</v>
          </cell>
        </row>
        <row r="1824">
          <cell r="A1824">
            <v>10073</v>
          </cell>
        </row>
        <row r="1825">
          <cell r="A1825">
            <v>10074</v>
          </cell>
        </row>
        <row r="1826">
          <cell r="A1826">
            <v>10075</v>
          </cell>
        </row>
        <row r="1827">
          <cell r="A1827">
            <v>10076</v>
          </cell>
        </row>
        <row r="1828">
          <cell r="A1828">
            <v>10077</v>
          </cell>
        </row>
        <row r="1829">
          <cell r="A1829">
            <v>10078</v>
          </cell>
        </row>
        <row r="1830">
          <cell r="A1830">
            <v>10079</v>
          </cell>
        </row>
        <row r="1831">
          <cell r="A1831">
            <v>10080</v>
          </cell>
        </row>
        <row r="1832">
          <cell r="A1832">
            <v>10081</v>
          </cell>
        </row>
        <row r="1833">
          <cell r="A1833">
            <v>10082</v>
          </cell>
        </row>
        <row r="1834">
          <cell r="A1834">
            <v>10083</v>
          </cell>
        </row>
        <row r="1835">
          <cell r="A1835">
            <v>10084</v>
          </cell>
        </row>
        <row r="1836">
          <cell r="A1836">
            <v>10085</v>
          </cell>
        </row>
        <row r="1837">
          <cell r="A1837">
            <v>10086</v>
          </cell>
        </row>
        <row r="1838">
          <cell r="A1838">
            <v>10087</v>
          </cell>
        </row>
        <row r="1839">
          <cell r="A1839">
            <v>10088</v>
          </cell>
        </row>
        <row r="1840">
          <cell r="A1840">
            <v>10089</v>
          </cell>
        </row>
        <row r="1841">
          <cell r="A1841">
            <v>10090</v>
          </cell>
        </row>
        <row r="1842">
          <cell r="A1842">
            <v>10101</v>
          </cell>
        </row>
        <row r="1843">
          <cell r="A1843">
            <v>10102</v>
          </cell>
        </row>
        <row r="1844">
          <cell r="A1844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C37" sqref="C37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130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354</v>
      </c>
      <c r="B2" s="56" t="s">
        <v>106</v>
      </c>
      <c r="C2" s="62">
        <v>49015</v>
      </c>
      <c r="D2" s="56" t="s">
        <v>107</v>
      </c>
      <c r="E2" s="55" t="str">
        <f>B2&amp;C2&amp;D2</f>
        <v>floors_49015.tmp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354</v>
      </c>
      <c r="B3" s="56" t="s">
        <v>109</v>
      </c>
      <c r="C3" s="62">
        <v>49015</v>
      </c>
      <c r="D3" s="56" t="s">
        <v>107</v>
      </c>
      <c r="E3" s="55" t="str">
        <f>B3&amp;C3&amp;D3</f>
        <v>enemy_habitats_49015.tmp</v>
      </c>
      <c r="F3" s="56" t="s">
        <v>110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53</v>
      </c>
      <c r="AD3" s="57" t="s">
        <v>178</v>
      </c>
    </row>
    <row r="4" spans="1:30" x14ac:dyDescent="0.15">
      <c r="A4" s="60" t="s">
        <v>354</v>
      </c>
      <c r="B4" s="56" t="s">
        <v>111</v>
      </c>
      <c r="C4" s="62">
        <v>49015</v>
      </c>
      <c r="D4" s="56" t="s">
        <v>107</v>
      </c>
      <c r="E4" s="55" t="str">
        <f>B4&amp;C4&amp;D4</f>
        <v>enemy_habitat_S_49015.tmp</v>
      </c>
      <c r="F4" s="56" t="s">
        <v>112</v>
      </c>
      <c r="G4" s="57" t="s">
        <v>0</v>
      </c>
      <c r="H4" s="57" t="s">
        <v>1</v>
      </c>
      <c r="I4" s="57" t="s">
        <v>13</v>
      </c>
      <c r="J4" s="57" t="s">
        <v>53</v>
      </c>
      <c r="K4" s="57" t="s">
        <v>54</v>
      </c>
      <c r="L4" s="57" t="s">
        <v>55</v>
      </c>
      <c r="M4" s="57" t="s">
        <v>56</v>
      </c>
      <c r="N4" s="57" t="s">
        <v>57</v>
      </c>
      <c r="O4" s="57" t="s">
        <v>58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354</v>
      </c>
      <c r="B5" s="56" t="s">
        <v>113</v>
      </c>
      <c r="C5" s="62">
        <v>49015</v>
      </c>
      <c r="D5" s="56" t="s">
        <v>107</v>
      </c>
      <c r="E5" s="55" t="str">
        <f>B5&amp;C5&amp;D5</f>
        <v>enemy_skill_sets_49015.tmp</v>
      </c>
      <c r="F5" s="56" t="s">
        <v>114</v>
      </c>
      <c r="G5" s="58" t="s">
        <v>22</v>
      </c>
      <c r="H5" s="58" t="s">
        <v>99</v>
      </c>
      <c r="I5" s="58" t="s">
        <v>94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354</v>
      </c>
      <c r="B6" s="56" t="s">
        <v>115</v>
      </c>
      <c r="C6" s="62">
        <v>49015</v>
      </c>
      <c r="D6" s="56" t="s">
        <v>116</v>
      </c>
      <c r="E6" s="55" t="str">
        <f t="shared" ref="E6:E10" si="0">B6&amp;C6&amp;D6</f>
        <v>enemy_skills_tmp_49015.tmp</v>
      </c>
      <c r="F6" s="56" t="s">
        <v>90</v>
      </c>
      <c r="G6" s="57" t="s">
        <v>78</v>
      </c>
      <c r="H6" s="57" t="s">
        <v>79</v>
      </c>
      <c r="I6" s="57" t="s">
        <v>80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354</v>
      </c>
      <c r="B7" s="56" t="s">
        <v>117</v>
      </c>
      <c r="C7" s="62">
        <v>49015</v>
      </c>
      <c r="D7" s="56" t="s">
        <v>107</v>
      </c>
      <c r="E7" s="55" t="str">
        <f>B7&amp;C7&amp;D7</f>
        <v>enemy_skills_i18n_49015.tmp</v>
      </c>
      <c r="F7" s="56" t="s">
        <v>118</v>
      </c>
      <c r="G7" s="57" t="s">
        <v>78</v>
      </c>
      <c r="H7" s="57" t="s">
        <v>91</v>
      </c>
      <c r="I7" s="57" t="s">
        <v>92</v>
      </c>
      <c r="J7" s="57" t="s">
        <v>93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354</v>
      </c>
      <c r="B8" s="56" t="s">
        <v>119</v>
      </c>
      <c r="C8" s="62">
        <v>49015</v>
      </c>
      <c r="D8" s="56" t="s">
        <v>120</v>
      </c>
      <c r="E8" s="55" t="str">
        <f t="shared" si="0"/>
        <v>enemy_skill_triggers_49015.tmp</v>
      </c>
      <c r="F8" s="56" t="s">
        <v>121</v>
      </c>
      <c r="G8" s="57" t="s">
        <v>94</v>
      </c>
      <c r="H8" s="57" t="s">
        <v>95</v>
      </c>
      <c r="I8" s="57" t="s">
        <v>96</v>
      </c>
      <c r="J8" s="57" t="s">
        <v>97</v>
      </c>
      <c r="K8" s="57" t="s">
        <v>122</v>
      </c>
      <c r="L8" s="57" t="s">
        <v>98</v>
      </c>
      <c r="M8" s="57" t="s">
        <v>123</v>
      </c>
      <c r="N8" s="57" t="s">
        <v>124</v>
      </c>
      <c r="O8" s="57" t="s">
        <v>125</v>
      </c>
      <c r="P8" s="57" t="s">
        <v>66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354</v>
      </c>
      <c r="B9" s="67" t="s">
        <v>177</v>
      </c>
      <c r="C9" s="62">
        <v>49015</v>
      </c>
      <c r="D9" s="67" t="s">
        <v>171</v>
      </c>
      <c r="E9" s="68" t="str">
        <f t="shared" si="0"/>
        <v>stage_bug_bonuses_49015.tmp</v>
      </c>
      <c r="F9" s="67" t="s">
        <v>172</v>
      </c>
      <c r="G9" s="64" t="s">
        <v>150</v>
      </c>
      <c r="H9" s="64" t="s">
        <v>173</v>
      </c>
      <c r="I9" s="64" t="s">
        <v>174</v>
      </c>
      <c r="J9" s="66" t="s">
        <v>175</v>
      </c>
      <c r="K9" s="64" t="s">
        <v>176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  <c r="X9" s="56"/>
      <c r="Y9" s="56"/>
      <c r="Z9" s="56"/>
      <c r="AA9" s="56"/>
      <c r="AB9" s="56"/>
      <c r="AC9" s="56"/>
      <c r="AD9" s="56"/>
    </row>
    <row r="10" spans="1:30" s="75" customFormat="1" x14ac:dyDescent="0.15">
      <c r="A10" s="60" t="s">
        <v>354</v>
      </c>
      <c r="B10" s="67" t="s">
        <v>199</v>
      </c>
      <c r="C10" s="62">
        <v>49015</v>
      </c>
      <c r="D10" s="67" t="s">
        <v>180</v>
      </c>
      <c r="E10" s="68" t="str">
        <f t="shared" si="0"/>
        <v>stage_hints_data_c_49015.tmp</v>
      </c>
      <c r="F10" s="67" t="s">
        <v>207</v>
      </c>
      <c r="G10" s="73" t="s">
        <v>181</v>
      </c>
      <c r="H10" s="73" t="s">
        <v>173</v>
      </c>
      <c r="I10" s="74" t="s">
        <v>182</v>
      </c>
      <c r="J10" s="66" t="s">
        <v>183</v>
      </c>
      <c r="K10" s="66" t="s">
        <v>184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0" t="s">
        <v>354</v>
      </c>
      <c r="B11" s="67" t="s">
        <v>200</v>
      </c>
      <c r="C11" s="62">
        <v>49015</v>
      </c>
      <c r="D11" s="67" t="s">
        <v>171</v>
      </c>
      <c r="E11" s="68" t="str">
        <f t="shared" ref="E11:E13" si="1">B11&amp;C11&amp;D11</f>
        <v>stage_hints_data_f_49015.tmp</v>
      </c>
      <c r="F11" s="67" t="s">
        <v>208</v>
      </c>
      <c r="G11" s="73" t="s">
        <v>181</v>
      </c>
      <c r="H11" s="73" t="s">
        <v>173</v>
      </c>
      <c r="I11" s="74" t="s">
        <v>182</v>
      </c>
      <c r="J11" s="66" t="s">
        <v>183</v>
      </c>
      <c r="K11" s="66" t="s">
        <v>184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60" t="s">
        <v>354</v>
      </c>
      <c r="B12" s="67" t="s">
        <v>201</v>
      </c>
      <c r="C12" s="62">
        <v>49015</v>
      </c>
      <c r="D12" s="67" t="s">
        <v>171</v>
      </c>
      <c r="E12" s="68" t="str">
        <f t="shared" si="1"/>
        <v>stage_hints_i18n_49015.tmp</v>
      </c>
      <c r="F12" s="67" t="s">
        <v>209</v>
      </c>
      <c r="G12" s="74" t="s">
        <v>202</v>
      </c>
      <c r="H12" s="93" t="s">
        <v>203</v>
      </c>
      <c r="I12" s="73" t="s">
        <v>204</v>
      </c>
      <c r="J12" s="101" t="s">
        <v>205</v>
      </c>
      <c r="K12" s="66" t="s">
        <v>206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60" t="s">
        <v>354</v>
      </c>
      <c r="B13" s="67" t="s">
        <v>249</v>
      </c>
      <c r="C13" s="62">
        <v>49015</v>
      </c>
      <c r="D13" s="67" t="s">
        <v>230</v>
      </c>
      <c r="E13" s="68" t="str">
        <f t="shared" si="1"/>
        <v>stage_bonuses_49015.tmp</v>
      </c>
      <c r="F13" s="67" t="s">
        <v>229</v>
      </c>
      <c r="G13" s="73" t="s">
        <v>231</v>
      </c>
      <c r="H13" s="73" t="s">
        <v>232</v>
      </c>
      <c r="I13" s="73" t="s">
        <v>233</v>
      </c>
      <c r="J13" s="73" t="s">
        <v>234</v>
      </c>
      <c r="K13" s="73" t="s">
        <v>235</v>
      </c>
      <c r="L13" s="73" t="s">
        <v>236</v>
      </c>
      <c r="M13" s="73" t="s">
        <v>237</v>
      </c>
      <c r="N13" s="73" t="s">
        <v>238</v>
      </c>
      <c r="O13" s="73" t="s">
        <v>239</v>
      </c>
      <c r="P13" s="73" t="s">
        <v>240</v>
      </c>
      <c r="Q13" s="73" t="s">
        <v>241</v>
      </c>
      <c r="R13" s="73" t="s">
        <v>242</v>
      </c>
      <c r="S13" s="73" t="s">
        <v>243</v>
      </c>
      <c r="T13" s="73" t="s">
        <v>244</v>
      </c>
      <c r="U13" s="73" t="s">
        <v>245</v>
      </c>
      <c r="V13" s="73" t="s">
        <v>246</v>
      </c>
      <c r="W13" s="73" t="s">
        <v>247</v>
      </c>
      <c r="X13" s="73" t="s">
        <v>248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J10" sqref="J10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3" si="0">G2&amp;"-"&amp;I2</f>
        <v>49015_3-1</v>
      </c>
      <c r="B2" s="16" t="str">
        <f>IF(COUNTIF(enemy_habitats!$H:$H,A2),"OK","NG")</f>
        <v>OK</v>
      </c>
      <c r="C2" s="7">
        <v>49015</v>
      </c>
      <c r="D2" s="11" t="str">
        <f ca="1">VLOOKUP($C2,OFFSET([2]quests!$A$1,0,0,COUNTA([2]quests!$A:$A),MATCH(D$1,[2]quests!$1:$1,0)-MATCH($C$1,[2]quests!$1:$1,0)+1),MATCH(D$1,[2]quests!$1:$1,0)-MATCH($C$1,[2]quests!$1:$1,0)+1,FALSE)</f>
        <v>スカー襲来！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コラボ降臨11</v>
      </c>
      <c r="F2" s="21">
        <v>3</v>
      </c>
      <c r="G2" s="23" t="str">
        <f t="shared" ref="G2:G13" si="1">C2&amp;"_"&amp;F2</f>
        <v>49015_3</v>
      </c>
      <c r="H2" s="15" t="str">
        <f ca="1">VLOOKUP($G2,OFFSET([2]stages!$A$1,0,0,COUNTA([2]stages!$A:$A),MATCH(H$1,[2]stages!$2:$2,0)-MATCH($G$1,[2]stages!$2:$2,0)+1),MATCH(H$1,[2]stages!$2:$2,0)-MATCH($G$1,[2]stages!$2:$2,0)+1,FALSE)</f>
        <v>【ウィザード級】スカー襲来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49015_3-2</v>
      </c>
      <c r="B3" s="16" t="str">
        <f>IF(COUNTIF(enemy_habitats!$H:$H,A3),"OK","NG")</f>
        <v>OK</v>
      </c>
      <c r="C3" s="7">
        <v>49015</v>
      </c>
      <c r="D3" s="11" t="str">
        <f ca="1">VLOOKUP($C3,OFFSET([2]quests!$A$1,0,0,COUNTA([2]quests!$A:$A),MATCH(D$1,[2]quests!$1:$1,0)-MATCH($C$1,[2]quests!$1:$1,0)+1),MATCH(D$1,[2]quests!$1:$1,0)-MATCH($C$1,[2]quests!$1:$1,0)+1,FALSE)</f>
        <v>スカー襲来！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コラボ降臨11</v>
      </c>
      <c r="F3" s="21">
        <v>3</v>
      </c>
      <c r="G3" s="23" t="str">
        <f t="shared" si="1"/>
        <v>49015_3</v>
      </c>
      <c r="H3" s="15" t="str">
        <f ca="1">VLOOKUP($G3,OFFSET([2]stages!$A$1,0,0,COUNTA([2]stages!$A:$A),MATCH(H$1,[2]stages!$2:$2,0)-MATCH($G$1,[2]stages!$2:$2,0)+1),MATCH(H$1,[2]stages!$2:$2,0)-MATCH($G$1,[2]stages!$2:$2,0)+1,FALSE)</f>
        <v>【ウィザード級】スカー襲来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80" t="str">
        <f t="shared" si="0"/>
        <v>49015_3-3</v>
      </c>
      <c r="B4" s="180" t="str">
        <f>IF(COUNTIF(enemy_habitats!$H:$H,A4),"OK","NG")</f>
        <v>OK</v>
      </c>
      <c r="C4" s="181">
        <v>49015</v>
      </c>
      <c r="D4" s="18" t="str">
        <f ca="1">VLOOKUP($C4,OFFSET([2]quests!$A$1,0,0,COUNTA([2]quests!$A:$A),MATCH(D$1,[2]quests!$1:$1,0)-MATCH($C$1,[2]quests!$1:$1,0)+1),MATCH(D$1,[2]quests!$1:$1,0)-MATCH($C$1,[2]quests!$1:$1,0)+1,FALSE)</f>
        <v>スカー襲来！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コラボ降臨11</v>
      </c>
      <c r="F4" s="182">
        <v>3</v>
      </c>
      <c r="G4" s="23" t="str">
        <f t="shared" si="1"/>
        <v>49015_3</v>
      </c>
      <c r="H4" s="15" t="str">
        <f ca="1">VLOOKUP($G4,OFFSET([2]stages!$A$1,0,0,COUNTA([2]stages!$A:$A),MATCH(H$1,[2]stages!$2:$2,0)-MATCH($G$1,[2]stages!$2:$2,0)+1),MATCH(H$1,[2]stages!$2:$2,0)-MATCH($G$1,[2]stages!$2:$2,0)+1,FALSE)</f>
        <v>【ウィザード級】スカー襲来</v>
      </c>
      <c r="I4" s="182">
        <v>3</v>
      </c>
      <c r="J4" s="38">
        <v>60</v>
      </c>
      <c r="K4" s="38">
        <v>60</v>
      </c>
    </row>
    <row r="5" spans="1:11" ht="21" customHeight="1" thickBot="1" x14ac:dyDescent="0.2">
      <c r="A5" s="157" t="str">
        <f t="shared" si="0"/>
        <v>49015_3-4</v>
      </c>
      <c r="B5" s="157" t="str">
        <f>IF(COUNTIF(enemy_habitats!$H:$H,A5),"OK","NG")</f>
        <v>OK</v>
      </c>
      <c r="C5" s="171">
        <v>49015</v>
      </c>
      <c r="D5" s="183" t="str">
        <f ca="1">VLOOKUP($C5,OFFSET([2]quests!$A$1,0,0,COUNTA([2]quests!$A:$A),MATCH(D$1,[2]quests!$1:$1,0)-MATCH($C$1,[2]quests!$1:$1,0)+1),MATCH(D$1,[2]quests!$1:$1,0)-MATCH($C$1,[2]quests!$1:$1,0)+1,FALSE)</f>
        <v>スカー襲来！</v>
      </c>
      <c r="E5" s="183" t="str">
        <f ca="1">VLOOKUP($C5,OFFSET([2]quests!$A$1,0,0,COUNTA([2]quests!$A:$A),MATCH(E$1,[2]quests!$1:$1,0)-MATCH($C$1,[2]quests!$1:$1,0)+1),MATCH(E$1,[2]quests!$1:$1,0)-MATCH($C$1,[2]quests!$1:$1,0)+1,FALSE)</f>
        <v>コラボ降臨11</v>
      </c>
      <c r="F5" s="159">
        <v>3</v>
      </c>
      <c r="G5" s="184" t="str">
        <f t="shared" si="1"/>
        <v>49015_3</v>
      </c>
      <c r="H5" s="160" t="str">
        <f ca="1">VLOOKUP($G5,OFFSET([2]stages!$A$1,0,0,COUNTA([2]stages!$A:$A),MATCH(H$1,[2]stages!$2:$2,0)-MATCH($G$1,[2]stages!$2:$2,0)+1),MATCH(H$1,[2]stages!$2:$2,0)-MATCH($G$1,[2]stages!$2:$2,0)+1,FALSE)</f>
        <v>【ウィザード級】スカー襲来</v>
      </c>
      <c r="I5" s="159">
        <v>4</v>
      </c>
      <c r="J5" s="162">
        <v>60</v>
      </c>
      <c r="K5" s="162">
        <v>60</v>
      </c>
    </row>
    <row r="6" spans="1:11" ht="21" customHeight="1" x14ac:dyDescent="0.15">
      <c r="A6" s="16" t="str">
        <f t="shared" si="0"/>
        <v>49015_2-1</v>
      </c>
      <c r="B6" s="16" t="str">
        <f>IF(COUNTIF(enemy_habitats!$H:$H,A6),"OK","NG")</f>
        <v>OK</v>
      </c>
      <c r="C6" s="174">
        <v>49015</v>
      </c>
      <c r="D6" s="175" t="str">
        <f ca="1">VLOOKUP($C6,OFFSET([2]quests!$A$1,0,0,COUNTA([2]quests!$A:$A),MATCH(D$1,[2]quests!$1:$1,0)-MATCH($C$1,[2]quests!$1:$1,0)+1),MATCH(D$1,[2]quests!$1:$1,0)-MATCH($C$1,[2]quests!$1:$1,0)+1,FALSE)</f>
        <v>スカー襲来！</v>
      </c>
      <c r="E6" s="175" t="str">
        <f ca="1">VLOOKUP($C6,OFFSET([2]quests!$A$1,0,0,COUNTA([2]quests!$A:$A),MATCH(E$1,[2]quests!$1:$1,0)-MATCH($C$1,[2]quests!$1:$1,0)+1),MATCH(E$1,[2]quests!$1:$1,0)-MATCH($C$1,[2]quests!$1:$1,0)+1,FALSE)</f>
        <v>コラボ降臨11</v>
      </c>
      <c r="F6" s="176">
        <v>2</v>
      </c>
      <c r="G6" s="177" t="str">
        <f t="shared" si="1"/>
        <v>49015_2</v>
      </c>
      <c r="H6" s="178" t="str">
        <f ca="1">VLOOKUP($G6,OFFSET([2]stages!$A$1,0,0,COUNTA([2]stages!$A:$A),MATCH(H$1,[2]stages!$2:$2,0)-MATCH($G$1,[2]stages!$2:$2,0)+1),MATCH(H$1,[2]stages!$2:$2,0)-MATCH($G$1,[2]stages!$2:$2,0)+1,FALSE)</f>
        <v>【超級】スカー襲来</v>
      </c>
      <c r="I6" s="176">
        <v>1</v>
      </c>
      <c r="J6" s="179">
        <v>60</v>
      </c>
      <c r="K6" s="179">
        <v>60</v>
      </c>
    </row>
    <row r="7" spans="1:11" ht="21" customHeight="1" x14ac:dyDescent="0.15">
      <c r="A7" s="16" t="str">
        <f t="shared" si="0"/>
        <v>49015_2-2</v>
      </c>
      <c r="B7" s="16" t="str">
        <f>IF(COUNTIF(enemy_habitats!$H:$H,A7),"OK","NG")</f>
        <v>OK</v>
      </c>
      <c r="C7" s="7">
        <v>49015</v>
      </c>
      <c r="D7" s="11" t="str">
        <f ca="1">VLOOKUP($C7,OFFSET([2]quests!$A$1,0,0,COUNTA([2]quests!$A:$A),MATCH(D$1,[2]quests!$1:$1,0)-MATCH($C$1,[2]quests!$1:$1,0)+1),MATCH(D$1,[2]quests!$1:$1,0)-MATCH($C$1,[2]quests!$1:$1,0)+1,FALSE)</f>
        <v>スカー襲来！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コラボ降臨11</v>
      </c>
      <c r="F7" s="21">
        <v>2</v>
      </c>
      <c r="G7" s="23" t="str">
        <f t="shared" si="1"/>
        <v>49015_2</v>
      </c>
      <c r="H7" s="15" t="str">
        <f ca="1">VLOOKUP($G7,OFFSET([2]stages!$A$1,0,0,COUNTA([2]stages!$A:$A),MATCH(H$1,[2]stages!$2:$2,0)-MATCH($G$1,[2]stages!$2:$2,0)+1),MATCH(H$1,[2]stages!$2:$2,0)-MATCH($G$1,[2]stages!$2:$2,0)+1,FALSE)</f>
        <v>【超級】スカー襲来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49015_2-3</v>
      </c>
      <c r="B8" s="16" t="str">
        <f>IF(COUNTIF(enemy_habitats!$H:$H,A8),"OK","NG")</f>
        <v>OK</v>
      </c>
      <c r="C8" s="7">
        <v>49015</v>
      </c>
      <c r="D8" s="11" t="str">
        <f ca="1">VLOOKUP($C8,OFFSET([2]quests!$A$1,0,0,COUNTA([2]quests!$A:$A),MATCH(D$1,[2]quests!$1:$1,0)-MATCH($C$1,[2]quests!$1:$1,0)+1),MATCH(D$1,[2]quests!$1:$1,0)-MATCH($C$1,[2]quests!$1:$1,0)+1,FALSE)</f>
        <v>スカー襲来！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コラボ降臨11</v>
      </c>
      <c r="F8" s="21">
        <v>2</v>
      </c>
      <c r="G8" s="23" t="str">
        <f t="shared" si="1"/>
        <v>49015_2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【超級】スカー襲来</v>
      </c>
      <c r="I8" s="21">
        <v>3</v>
      </c>
      <c r="J8" s="12">
        <v>60</v>
      </c>
      <c r="K8" s="12">
        <v>60</v>
      </c>
    </row>
    <row r="9" spans="1:11" ht="21" customHeight="1" thickBot="1" x14ac:dyDescent="0.2">
      <c r="A9" s="157" t="str">
        <f t="shared" si="0"/>
        <v>49015_2-4</v>
      </c>
      <c r="B9" s="157" t="str">
        <f>IF(COUNTIF(enemy_habitats!$H:$H,A9),"OK","NG")</f>
        <v>OK</v>
      </c>
      <c r="C9" s="171">
        <v>49015</v>
      </c>
      <c r="D9" s="183" t="str">
        <f ca="1">VLOOKUP($C9,OFFSET([2]quests!$A$1,0,0,COUNTA([2]quests!$A:$A),MATCH(D$1,[2]quests!$1:$1,0)-MATCH($C$1,[2]quests!$1:$1,0)+1),MATCH(D$1,[2]quests!$1:$1,0)-MATCH($C$1,[2]quests!$1:$1,0)+1,FALSE)</f>
        <v>スカー襲来！</v>
      </c>
      <c r="E9" s="183" t="str">
        <f ca="1">VLOOKUP($C9,OFFSET([2]quests!$A$1,0,0,COUNTA([2]quests!$A:$A),MATCH(E$1,[2]quests!$1:$1,0)-MATCH($C$1,[2]quests!$1:$1,0)+1),MATCH(E$1,[2]quests!$1:$1,0)-MATCH($C$1,[2]quests!$1:$1,0)+1,FALSE)</f>
        <v>コラボ降臨11</v>
      </c>
      <c r="F9" s="159">
        <v>2</v>
      </c>
      <c r="G9" s="184" t="str">
        <f t="shared" si="1"/>
        <v>49015_2</v>
      </c>
      <c r="H9" s="160" t="str">
        <f ca="1">VLOOKUP($G9,OFFSET([2]stages!$A$1,0,0,COUNTA([2]stages!$A:$A),MATCH(H$1,[2]stages!$2:$2,0)-MATCH($G$1,[2]stages!$2:$2,0)+1),MATCH(H$1,[2]stages!$2:$2,0)-MATCH($G$1,[2]stages!$2:$2,0)+1,FALSE)</f>
        <v>【超級】スカー襲来</v>
      </c>
      <c r="I9" s="159">
        <v>4</v>
      </c>
      <c r="J9" s="162">
        <v>60</v>
      </c>
      <c r="K9" s="162">
        <v>60</v>
      </c>
    </row>
    <row r="10" spans="1:11" ht="21" customHeight="1" x14ac:dyDescent="0.15">
      <c r="A10" s="16" t="str">
        <f t="shared" si="0"/>
        <v>49015_1-1</v>
      </c>
      <c r="B10" s="16" t="str">
        <f>IF(COUNTIF(enemy_habitats!$H:$H,A10),"OK","NG")</f>
        <v>OK</v>
      </c>
      <c r="C10" s="174">
        <v>49015</v>
      </c>
      <c r="D10" s="175" t="str">
        <f ca="1">VLOOKUP($C10,OFFSET([2]quests!$A$1,0,0,COUNTA([2]quests!$A:$A),MATCH(D$1,[2]quests!$1:$1,0)-MATCH($C$1,[2]quests!$1:$1,0)+1),MATCH(D$1,[2]quests!$1:$1,0)-MATCH($C$1,[2]quests!$1:$1,0)+1,FALSE)</f>
        <v>スカー襲来！</v>
      </c>
      <c r="E10" s="175" t="str">
        <f ca="1">VLOOKUP($C10,OFFSET([2]quests!$A$1,0,0,COUNTA([2]quests!$A:$A),MATCH(E$1,[2]quests!$1:$1,0)-MATCH($C$1,[2]quests!$1:$1,0)+1),MATCH(E$1,[2]quests!$1:$1,0)-MATCH($C$1,[2]quests!$1:$1,0)+1,FALSE)</f>
        <v>コラボ降臨11</v>
      </c>
      <c r="F10" s="176">
        <v>1</v>
      </c>
      <c r="G10" s="177" t="str">
        <f t="shared" si="1"/>
        <v>49015_1</v>
      </c>
      <c r="H10" s="178" t="str">
        <f ca="1">VLOOKUP($G10,OFFSET([2]stages!$A$1,0,0,COUNTA([2]stages!$A:$A),MATCH(H$1,[2]stages!$2:$2,0)-MATCH($G$1,[2]stages!$2:$2,0)+1),MATCH(H$1,[2]stages!$2:$2,0)-MATCH($G$1,[2]stages!$2:$2,0)+1,FALSE)</f>
        <v>【上級】スカー襲来</v>
      </c>
      <c r="I10" s="176">
        <v>1</v>
      </c>
      <c r="J10" s="179">
        <v>60</v>
      </c>
      <c r="K10" s="179">
        <v>60</v>
      </c>
    </row>
    <row r="11" spans="1:11" ht="21" customHeight="1" x14ac:dyDescent="0.15">
      <c r="A11" s="16" t="str">
        <f t="shared" si="0"/>
        <v>49015_1-2</v>
      </c>
      <c r="B11" s="16" t="str">
        <f>IF(COUNTIF(enemy_habitats!$H:$H,A11),"OK","NG")</f>
        <v>OK</v>
      </c>
      <c r="C11" s="7">
        <v>49015</v>
      </c>
      <c r="D11" s="11" t="str">
        <f ca="1">VLOOKUP($C11,OFFSET([2]quests!$A$1,0,0,COUNTA([2]quests!$A:$A),MATCH(D$1,[2]quests!$1:$1,0)-MATCH($C$1,[2]quests!$1:$1,0)+1),MATCH(D$1,[2]quests!$1:$1,0)-MATCH($C$1,[2]quests!$1:$1,0)+1,FALSE)</f>
        <v>スカー襲来！</v>
      </c>
      <c r="E11" s="18" t="str">
        <f ca="1">VLOOKUP($C11,OFFSET([2]quests!$A$1,0,0,COUNTA([2]quests!$A:$A),MATCH(E$1,[2]quests!$1:$1,0)-MATCH($C$1,[2]quests!$1:$1,0)+1),MATCH(E$1,[2]quests!$1:$1,0)-MATCH($C$1,[2]quests!$1:$1,0)+1,FALSE)</f>
        <v>コラボ降臨11</v>
      </c>
      <c r="F11" s="21">
        <v>1</v>
      </c>
      <c r="G11" s="23" t="str">
        <f t="shared" si="1"/>
        <v>49015_1</v>
      </c>
      <c r="H11" s="15" t="str">
        <f ca="1">VLOOKUP($G11,OFFSET([2]stages!$A$1,0,0,COUNTA([2]stages!$A:$A),MATCH(H$1,[2]stages!$2:$2,0)-MATCH($G$1,[2]stages!$2:$2,0)+1),MATCH(H$1,[2]stages!$2:$2,0)-MATCH($G$1,[2]stages!$2:$2,0)+1,FALSE)</f>
        <v>【上級】スカー襲来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0"/>
        <v>49015_1-3</v>
      </c>
      <c r="B12" s="16" t="str">
        <f>IF(COUNTIF(enemy_habitats!$H:$H,A12),"OK","NG")</f>
        <v>OK</v>
      </c>
      <c r="C12" s="7">
        <v>49015</v>
      </c>
      <c r="D12" s="11" t="str">
        <f ca="1">VLOOKUP($C12,OFFSET([2]quests!$A$1,0,0,COUNTA([2]quests!$A:$A),MATCH(D$1,[2]quests!$1:$1,0)-MATCH($C$1,[2]quests!$1:$1,0)+1),MATCH(D$1,[2]quests!$1:$1,0)-MATCH($C$1,[2]quests!$1:$1,0)+1,FALSE)</f>
        <v>スカー襲来！</v>
      </c>
      <c r="E12" s="18" t="str">
        <f ca="1">VLOOKUP($C12,OFFSET([2]quests!$A$1,0,0,COUNTA([2]quests!$A:$A),MATCH(E$1,[2]quests!$1:$1,0)-MATCH($C$1,[2]quests!$1:$1,0)+1),MATCH(E$1,[2]quests!$1:$1,0)-MATCH($C$1,[2]quests!$1:$1,0)+1,FALSE)</f>
        <v>コラボ降臨11</v>
      </c>
      <c r="F12" s="21">
        <v>1</v>
      </c>
      <c r="G12" s="23" t="str">
        <f t="shared" si="1"/>
        <v>49015_1</v>
      </c>
      <c r="H12" s="15" t="str">
        <f ca="1">VLOOKUP($G12,OFFSET([2]stages!$A$1,0,0,COUNTA([2]stages!$A:$A),MATCH(H$1,[2]stages!$2:$2,0)-MATCH($G$1,[2]stages!$2:$2,0)+1),MATCH(H$1,[2]stages!$2:$2,0)-MATCH($G$1,[2]stages!$2:$2,0)+1,FALSE)</f>
        <v>【上級】スカー襲来</v>
      </c>
      <c r="I12" s="21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0"/>
        <v>49015_1-4</v>
      </c>
      <c r="B13" s="16" t="str">
        <f>IF(COUNTIF(enemy_habitats!$H:$H,A13),"OK","NG")</f>
        <v>OK</v>
      </c>
      <c r="C13" s="7">
        <v>49015</v>
      </c>
      <c r="D13" s="11" t="str">
        <f ca="1">VLOOKUP($C13,OFFSET([2]quests!$A$1,0,0,COUNTA([2]quests!$A:$A),MATCH(D$1,[2]quests!$1:$1,0)-MATCH($C$1,[2]quests!$1:$1,0)+1),MATCH(D$1,[2]quests!$1:$1,0)-MATCH($C$1,[2]quests!$1:$1,0)+1,FALSE)</f>
        <v>スカー襲来！</v>
      </c>
      <c r="E13" s="18" t="str">
        <f ca="1">VLOOKUP($C13,OFFSET([2]quests!$A$1,0,0,COUNTA([2]quests!$A:$A),MATCH(E$1,[2]quests!$1:$1,0)-MATCH($C$1,[2]quests!$1:$1,0)+1),MATCH(E$1,[2]quests!$1:$1,0)-MATCH($C$1,[2]quests!$1:$1,0)+1,FALSE)</f>
        <v>コラボ降臨11</v>
      </c>
      <c r="F13" s="21">
        <v>1</v>
      </c>
      <c r="G13" s="23" t="str">
        <f t="shared" si="1"/>
        <v>49015_1</v>
      </c>
      <c r="H13" s="15" t="str">
        <f ca="1">VLOOKUP($G13,OFFSET([2]stages!$A$1,0,0,COUNTA([2]stages!$A:$A),MATCH(H$1,[2]stages!$2:$2,0)-MATCH($G$1,[2]stages!$2:$2,0)+1),MATCH(H$1,[2]stages!$2:$2,0)-MATCH($G$1,[2]stages!$2:$2,0)+1,FALSE)</f>
        <v>【上級】スカー襲来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3"/>
  <sheetViews>
    <sheetView showGridLines="0" workbookViewId="0">
      <pane xSplit="17" ySplit="1" topLeftCell="T2" activePane="bottomRight" state="frozen"/>
      <selection pane="topRight" activeCell="N1" sqref="N1"/>
      <selection pane="bottomLeft" activeCell="A2" sqref="A2"/>
      <selection pane="bottomRight" activeCell="AJ9" sqref="AJ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567</v>
      </c>
      <c r="T1" s="102" t="s">
        <v>250</v>
      </c>
      <c r="U1" s="26" t="s">
        <v>50</v>
      </c>
      <c r="V1" s="102" t="s">
        <v>251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 t="shared" ref="A2:A13" si="0">B2&amp;"_"&amp;C2&amp;"-"&amp;G2&amp;"/"&amp;L2&amp;"&lt;lv"&amp;R2&amp;"&gt;s"&amp;AC2</f>
        <v>49015_3-1/1469&lt;lv80&gt;s1</v>
      </c>
      <c r="B2" s="22">
        <v>49015</v>
      </c>
      <c r="C2" s="21">
        <v>3</v>
      </c>
      <c r="D2" s="2" t="str">
        <f t="shared" ref="D2:D13" si="1">B2&amp;"_"&amp;C2</f>
        <v>49015_3</v>
      </c>
      <c r="E2" s="4" t="str">
        <f ca="1">VLOOKUP($B2,OFFSET([2]quests!$A$1,0,0,COUNTA([2]quests!$A:$A),MATCH(E$1,[2]quests!$1:$1,0)-MATCH($B$1,[2]quests!$1:$1,0)+1),MATCH(E$1,[2]quests!$1:$1,0)-MATCH($B$1,[2]quests!$1:$1,0)+1,FALSE)</f>
        <v>スカー襲来！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【ウィザード級】スカー襲来</v>
      </c>
      <c r="G2" s="21">
        <v>1</v>
      </c>
      <c r="H2" s="15" t="str">
        <f t="shared" ref="H2:H13" si="2">B2&amp;"_"&amp;C2&amp;"-"&amp;G2</f>
        <v>49015_3-1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1469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憤怒の大総統 ブラッドレイ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80</v>
      </c>
      <c r="S2" s="25">
        <v>0.9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122101.2</v>
      </c>
      <c r="U2" s="25">
        <v>0.8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9465.6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2" s="61">
        <v>49015001</v>
      </c>
      <c r="Z2" s="6">
        <v>1</v>
      </c>
      <c r="AA2" s="6">
        <v>100</v>
      </c>
      <c r="AB2" s="6">
        <v>0</v>
      </c>
      <c r="AC2" s="17">
        <v>1</v>
      </c>
      <c r="AD2" s="24">
        <f t="shared" ref="AD2:AD13" si="3">L2</f>
        <v>1469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憤怒の大総統 ブラッドレイ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4">
        <f t="shared" ref="AI2:AI13" ca="1" si="4">AF2</f>
        <v>5</v>
      </c>
      <c r="AJ2" s="8">
        <v>50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si="0"/>
        <v>49015_3-2/1468&lt;lv80&gt;s2</v>
      </c>
      <c r="B3" s="22">
        <v>49015</v>
      </c>
      <c r="C3" s="21">
        <v>3</v>
      </c>
      <c r="D3" s="2" t="str">
        <f t="shared" si="1"/>
        <v>49015_3</v>
      </c>
      <c r="E3" s="4" t="str">
        <f ca="1">VLOOKUP($B3,OFFSET([2]quests!$A$1,0,0,COUNTA([2]quests!$A:$A),MATCH(E$1,[2]quests!$1:$1,0)-MATCH($B$1,[2]quests!$1:$1,0)+1),MATCH(E$1,[2]quests!$1:$1,0)-MATCH($B$1,[2]quests!$1:$1,0)+1,FALSE)</f>
        <v>スカー襲来！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【ウィザード級】スカー襲来</v>
      </c>
      <c r="G3" s="21">
        <v>2</v>
      </c>
      <c r="H3" s="15" t="str">
        <f t="shared" si="2"/>
        <v>49015_3-2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20">
        <v>1468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嫉妬の猛心 エンヴィー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80</v>
      </c>
      <c r="S3" s="25">
        <v>1.2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162801.60000000001</v>
      </c>
      <c r="U3" s="25">
        <v>0.4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4732.8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特定エリアをお邪魔パネルと緑パネルに変換</v>
      </c>
      <c r="Y3" s="61">
        <v>49015003</v>
      </c>
      <c r="Z3" s="6">
        <v>1</v>
      </c>
      <c r="AA3" s="6">
        <v>100</v>
      </c>
      <c r="AB3" s="6">
        <v>0</v>
      </c>
      <c r="AC3" s="17">
        <v>2</v>
      </c>
      <c r="AD3" s="24">
        <f t="shared" si="3"/>
        <v>1468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嫉妬の猛心 エンヴィー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Drop2N</v>
      </c>
      <c r="AH3" s="7">
        <v>1</v>
      </c>
      <c r="AI3" s="24">
        <f t="shared" ca="1" si="4"/>
        <v>5</v>
      </c>
      <c r="AJ3" s="8">
        <v>50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49015_3-3/1470&lt;lv80&gt;s2</v>
      </c>
      <c r="B4" s="22">
        <v>49015</v>
      </c>
      <c r="C4" s="21">
        <v>3</v>
      </c>
      <c r="D4" s="2" t="str">
        <f t="shared" si="1"/>
        <v>49015_3</v>
      </c>
      <c r="E4" s="4" t="str">
        <f ca="1">VLOOKUP($B4,OFFSET([2]quests!$A$1,0,0,COUNTA([2]quests!$A:$A),MATCH(E$1,[2]quests!$1:$1,0)-MATCH($B$1,[2]quests!$1:$1,0)+1),MATCH(E$1,[2]quests!$1:$1,0)-MATCH($B$1,[2]quests!$1:$1,0)+1,FALSE)</f>
        <v>スカー襲来！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【ウィザード級】スカー襲来</v>
      </c>
      <c r="G4" s="21">
        <v>3</v>
      </c>
      <c r="H4" s="15" t="str">
        <f t="shared" si="2"/>
        <v>49015_3-3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20">
        <v>1470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傲慢なる悪鬼 プライド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80</v>
      </c>
      <c r="S4" s="25">
        <v>1.5</v>
      </c>
      <c r="T4" s="103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195522</v>
      </c>
      <c r="U4" s="25">
        <v>0.8</v>
      </c>
      <c r="V4" s="103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7335.2000000000007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4ターン暗闇</v>
      </c>
      <c r="Y4" s="61">
        <v>49015006</v>
      </c>
      <c r="Z4" s="6">
        <v>1</v>
      </c>
      <c r="AA4" s="6">
        <v>100</v>
      </c>
      <c r="AB4" s="6">
        <v>0</v>
      </c>
      <c r="AC4" s="17">
        <v>2</v>
      </c>
      <c r="AD4" s="24">
        <f t="shared" si="3"/>
        <v>1470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傲慢なる悪鬼 プライド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4">
        <f t="shared" ca="1" si="4"/>
        <v>5</v>
      </c>
      <c r="AJ4" s="8">
        <v>50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thickBot="1" x14ac:dyDescent="0.2">
      <c r="A5" s="157" t="str">
        <f t="shared" si="0"/>
        <v>49015_3-4/1466&lt;lv80&gt;s2</v>
      </c>
      <c r="B5" s="158">
        <v>49015</v>
      </c>
      <c r="C5" s="159">
        <v>3</v>
      </c>
      <c r="D5" s="160" t="str">
        <f t="shared" si="1"/>
        <v>49015_3</v>
      </c>
      <c r="E5" s="161" t="str">
        <f ca="1">VLOOKUP($B5,OFFSET([2]quests!$A$1,0,0,COUNTA([2]quests!$A:$A),MATCH(E$1,[2]quests!$1:$1,0)-MATCH($B$1,[2]quests!$1:$1,0)+1),MATCH(E$1,[2]quests!$1:$1,0)-MATCH($B$1,[2]quests!$1:$1,0)+1,FALSE)</f>
        <v>スカー襲来！</v>
      </c>
      <c r="F5" s="161" t="str">
        <f ca="1">VLOOKUP($D5,OFFSET([2]stages!$A$1,0,0,COUNTA([2]stages!$A:$A),MATCH(F$1,[2]stages!$2:$2,0)-MATCH($D$1,[2]stages!$2:$2,0)+1),MATCH(F$1,[2]stages!$2:$2,0)-MATCH($D$1,[2]stages!$2:$2,0)+1,FALSE)</f>
        <v>【ウィザード級】スカー襲来</v>
      </c>
      <c r="G5" s="159">
        <v>4</v>
      </c>
      <c r="H5" s="160" t="str">
        <f t="shared" si="2"/>
        <v>49015_3-4</v>
      </c>
      <c r="I5" s="161">
        <f ca="1">VLOOKUP($H5,OFFSET(floors!$A$1,0,0,COUNTA(floors!$A:$A),MATCH(I$1,floors!$1:$1,0)-MATCH($H$1,floors!$1:$1,0)+1),MATCH(I$1,floors!$1:$1,0)-MATCH($H$1,floors!$1:$1,0)+1,FALSE)</f>
        <v>60</v>
      </c>
      <c r="J5" s="161">
        <f ca="1">VLOOKUP($H5,OFFSET(floors!$A$1,0,0,COUNTA(floors!$A:$A),MATCH(J$1,floors!$1:$1,0)-MATCH($H$1,floors!$1:$1,0)+1),MATCH(J$1,floors!$1:$1,0)-MATCH($H$1,floors!$1:$1,0)+1,FALSE)</f>
        <v>60</v>
      </c>
      <c r="K5" s="162">
        <v>1</v>
      </c>
      <c r="L5" s="163">
        <v>1466</v>
      </c>
      <c r="M5" s="164" t="str">
        <f ca="1">VLOOKUP($L5,OFFSET([3]enemies!$A$1,0,0,COUNTA([3]enemies!$A:$A),MATCH(M$1,[3]enemies!$1:$1,0)-MATCH($L$1,[3]enemies!$1:$1,0)+1),MATCH(M$1,[3]enemies!$1:$1,0)-MATCH($L$1,[3]enemies!$1:$1,0)+1,FALSE)</f>
        <v>スカー</v>
      </c>
      <c r="N5" s="164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64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64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64">
        <f ca="1">VLOOKUP($L5,OFFSET([3]enemies!$A$1,0,0,COUNTA([3]enemies!$A:$A),MATCH(Q$1,[3]enemies!$1:$1,0)-MATCH($L$1,[3]enemies!$1:$1,0)+1),MATCH(Q$1,[3]enemies!$1:$1,0)-MATCH($L$1,[3]enemies!$1:$1,0)+1,FALSE)</f>
        <v>60</v>
      </c>
      <c r="R5" s="165">
        <v>80</v>
      </c>
      <c r="S5" s="166">
        <v>2.2999999999999998</v>
      </c>
      <c r="T5" s="167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206194.99999999997</v>
      </c>
      <c r="U5" s="166">
        <v>0.7</v>
      </c>
      <c r="V5" s="167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7968.7999999999993</v>
      </c>
      <c r="W5" s="165">
        <v>0</v>
      </c>
      <c r="X5" s="161" t="str">
        <f ca="1">VLOOKUP($Y5,OFFSET(enemy_skill_sets!$B$1,0,0,COUNTA(enemy_skill_sets!$B:$B),MATCH(M$1,enemy_skill_sets!$1:$1,0)-MATCH($Y$1,enemy_skill_sets!$1:$1,0)+2),MATCH(M$1,enemy_skill_sets!$1:$1,0)-MATCH($Y$1,enemy_skill_sets!$1:$1,0)+2,FALSE)</f>
        <v>邪魔するものは排除する</v>
      </c>
      <c r="Y5" s="168">
        <v>49015008</v>
      </c>
      <c r="Z5" s="169">
        <v>1</v>
      </c>
      <c r="AA5" s="169">
        <v>100</v>
      </c>
      <c r="AB5" s="169">
        <v>0</v>
      </c>
      <c r="AC5" s="164">
        <v>2</v>
      </c>
      <c r="AD5" s="170">
        <f t="shared" si="3"/>
        <v>1466</v>
      </c>
      <c r="AE5" s="161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スカー</v>
      </c>
      <c r="AF5" s="161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161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5" s="171">
        <v>1</v>
      </c>
      <c r="AI5" s="170">
        <f t="shared" ca="1" si="4"/>
        <v>5</v>
      </c>
      <c r="AJ5" s="172">
        <v>100</v>
      </c>
      <c r="AK5" s="171">
        <v>0</v>
      </c>
      <c r="AL5" s="171">
        <v>0</v>
      </c>
      <c r="AM5" s="171">
        <v>0</v>
      </c>
      <c r="AN5" s="171">
        <v>0</v>
      </c>
      <c r="AO5" s="171">
        <v>1</v>
      </c>
      <c r="AP5" s="173">
        <v>1</v>
      </c>
    </row>
    <row r="6" spans="1:42" ht="21" customHeight="1" x14ac:dyDescent="0.15">
      <c r="A6" s="16" t="str">
        <f t="shared" si="0"/>
        <v>49015_2-1/1469&lt;lv50&gt;s1</v>
      </c>
      <c r="B6" s="22">
        <v>49015</v>
      </c>
      <c r="C6" s="21">
        <v>2</v>
      </c>
      <c r="D6" s="2" t="str">
        <f t="shared" si="1"/>
        <v>49015_2</v>
      </c>
      <c r="E6" s="4" t="str">
        <f ca="1">VLOOKUP($B6,OFFSET([2]quests!$A$1,0,0,COUNTA([2]quests!$A:$A),MATCH(E$1,[2]quests!$1:$1,0)-MATCH($B$1,[2]quests!$1:$1,0)+1),MATCH(E$1,[2]quests!$1:$1,0)-MATCH($B$1,[2]quests!$1:$1,0)+1,FALSE)</f>
        <v>スカー襲来！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【超級】スカー襲来</v>
      </c>
      <c r="G6" s="21">
        <v>1</v>
      </c>
      <c r="H6" s="15" t="str">
        <f t="shared" si="2"/>
        <v>49015_2-1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1469</v>
      </c>
      <c r="M6" s="17" t="str">
        <f ca="1">VLOOKUP($L6,OFFSET([3]enemies!$A$1,0,0,COUNTA([3]enemies!$A:$A),MATCH(M$1,[3]enemies!$1:$1,0)-MATCH($L$1,[3]enemies!$1:$1,0)+1),MATCH(M$1,[3]enemies!$1:$1,0)-MATCH($L$1,[3]enemies!$1:$1,0)+1,FALSE)</f>
        <v>憤怒の大総統 ブラッドレイ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50</v>
      </c>
      <c r="S6" s="25">
        <v>0.7</v>
      </c>
      <c r="T6" s="103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60010.299999999996</v>
      </c>
      <c r="U6" s="25">
        <v>0.8</v>
      </c>
      <c r="V6" s="103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5981.6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6" s="61">
        <v>49015011</v>
      </c>
      <c r="Z6" s="6">
        <v>1</v>
      </c>
      <c r="AA6" s="6">
        <v>100</v>
      </c>
      <c r="AB6" s="6">
        <v>0</v>
      </c>
      <c r="AC6" s="17">
        <v>1</v>
      </c>
      <c r="AD6" s="24">
        <f t="shared" si="3"/>
        <v>1469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憤怒の大総統 ブラッドレイ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7">
        <v>1</v>
      </c>
      <c r="AI6" s="24">
        <f t="shared" ca="1" si="4"/>
        <v>5</v>
      </c>
      <c r="AJ6" s="8">
        <v>50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si="0"/>
        <v>49015_2-2/1468&lt;lv50&gt;s2</v>
      </c>
      <c r="B7" s="22">
        <v>49015</v>
      </c>
      <c r="C7" s="21">
        <v>2</v>
      </c>
      <c r="D7" s="2" t="str">
        <f t="shared" si="1"/>
        <v>49015_2</v>
      </c>
      <c r="E7" s="4" t="str">
        <f ca="1">VLOOKUP($B7,OFFSET([2]quests!$A$1,0,0,COUNTA([2]quests!$A:$A),MATCH(E$1,[2]quests!$1:$1,0)-MATCH($B$1,[2]quests!$1:$1,0)+1),MATCH(E$1,[2]quests!$1:$1,0)-MATCH($B$1,[2]quests!$1:$1,0)+1,FALSE)</f>
        <v>スカー襲来！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【超級】スカー襲来</v>
      </c>
      <c r="G7" s="21">
        <v>2</v>
      </c>
      <c r="H7" s="15" t="str">
        <f t="shared" si="2"/>
        <v>49015_2-2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20">
        <v>1468</v>
      </c>
      <c r="M7" s="17" t="str">
        <f ca="1">VLOOKUP($L7,OFFSET([3]enemies!$A$1,0,0,COUNTA([3]enemies!$A:$A),MATCH(M$1,[3]enemies!$1:$1,0)-MATCH($L$1,[3]enemies!$1:$1,0)+1),MATCH(M$1,[3]enemies!$1:$1,0)-MATCH($L$1,[3]enemies!$1:$1,0)+1,FALSE)</f>
        <v>嫉妬の猛心 エンヴィー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50</v>
      </c>
      <c r="S7" s="25">
        <v>0.6</v>
      </c>
      <c r="T7" s="10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51437.4</v>
      </c>
      <c r="U7" s="25">
        <v>0.4</v>
      </c>
      <c r="V7" s="103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2990.8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特定エリアをお邪魔パネルと緑パネルに変換</v>
      </c>
      <c r="Y7" s="61">
        <v>49015013</v>
      </c>
      <c r="Z7" s="6">
        <v>1</v>
      </c>
      <c r="AA7" s="6">
        <v>100</v>
      </c>
      <c r="AB7" s="6">
        <v>0</v>
      </c>
      <c r="AC7" s="17">
        <v>2</v>
      </c>
      <c r="AD7" s="24">
        <f t="shared" si="3"/>
        <v>1468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嫉妬の猛心 エンヴィー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4">
        <f t="shared" ca="1" si="4"/>
        <v>5</v>
      </c>
      <c r="AJ7" s="8">
        <v>50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si="0"/>
        <v>49015_2-3/1470&lt;lv50&gt;s2</v>
      </c>
      <c r="B8" s="22">
        <v>49015</v>
      </c>
      <c r="C8" s="21">
        <v>2</v>
      </c>
      <c r="D8" s="2" t="str">
        <f t="shared" si="1"/>
        <v>49015_2</v>
      </c>
      <c r="E8" s="4" t="str">
        <f ca="1">VLOOKUP($B8,OFFSET([2]quests!$A$1,0,0,COUNTA([2]quests!$A:$A),MATCH(E$1,[2]quests!$1:$1,0)-MATCH($B$1,[2]quests!$1:$1,0)+1),MATCH(E$1,[2]quests!$1:$1,0)-MATCH($B$1,[2]quests!$1:$1,0)+1,FALSE)</f>
        <v>スカー襲来！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【超級】スカー襲来</v>
      </c>
      <c r="G8" s="21">
        <v>3</v>
      </c>
      <c r="H8" s="15" t="str">
        <f t="shared" si="2"/>
        <v>49015_2-3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0">
        <v>1470</v>
      </c>
      <c r="M8" s="17" t="str">
        <f ca="1">VLOOKUP($L8,OFFSET([3]enemies!$A$1,0,0,COUNTA([3]enemies!$A:$A),MATCH(M$1,[3]enemies!$1:$1,0)-MATCH($L$1,[3]enemies!$1:$1,0)+1),MATCH(M$1,[3]enemies!$1:$1,0)-MATCH($L$1,[3]enemies!$1:$1,0)+1,FALSE)</f>
        <v>傲慢なる悪鬼 プライド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50</v>
      </c>
      <c r="S8" s="25">
        <v>0.6</v>
      </c>
      <c r="T8" s="103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49420.2</v>
      </c>
      <c r="U8" s="25">
        <v>0.8</v>
      </c>
      <c r="V8" s="103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4635.2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4ターン暗闇</v>
      </c>
      <c r="Y8" s="61">
        <v>49015016</v>
      </c>
      <c r="Z8" s="6">
        <v>1</v>
      </c>
      <c r="AA8" s="6">
        <v>100</v>
      </c>
      <c r="AB8" s="6">
        <v>0</v>
      </c>
      <c r="AC8" s="17">
        <v>2</v>
      </c>
      <c r="AD8" s="24">
        <f t="shared" si="3"/>
        <v>1470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傲慢なる悪鬼 プライド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Drop2N</v>
      </c>
      <c r="AH8" s="7">
        <v>1</v>
      </c>
      <c r="AI8" s="24">
        <f t="shared" ca="1" si="4"/>
        <v>5</v>
      </c>
      <c r="AJ8" s="8">
        <v>50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thickBot="1" x14ac:dyDescent="0.2">
      <c r="A9" s="157" t="str">
        <f t="shared" si="0"/>
        <v>49015_2-4/1466&lt;lv50&gt;s2</v>
      </c>
      <c r="B9" s="158">
        <v>49015</v>
      </c>
      <c r="C9" s="159">
        <v>2</v>
      </c>
      <c r="D9" s="160" t="str">
        <f t="shared" si="1"/>
        <v>49015_2</v>
      </c>
      <c r="E9" s="161" t="str">
        <f ca="1">VLOOKUP($B9,OFFSET([2]quests!$A$1,0,0,COUNTA([2]quests!$A:$A),MATCH(E$1,[2]quests!$1:$1,0)-MATCH($B$1,[2]quests!$1:$1,0)+1),MATCH(E$1,[2]quests!$1:$1,0)-MATCH($B$1,[2]quests!$1:$1,0)+1,FALSE)</f>
        <v>スカー襲来！</v>
      </c>
      <c r="F9" s="161" t="str">
        <f ca="1">VLOOKUP($D9,OFFSET([2]stages!$A$1,0,0,COUNTA([2]stages!$A:$A),MATCH(F$1,[2]stages!$2:$2,0)-MATCH($D$1,[2]stages!$2:$2,0)+1),MATCH(F$1,[2]stages!$2:$2,0)-MATCH($D$1,[2]stages!$2:$2,0)+1,FALSE)</f>
        <v>【超級】スカー襲来</v>
      </c>
      <c r="G9" s="159">
        <v>4</v>
      </c>
      <c r="H9" s="160" t="str">
        <f t="shared" si="2"/>
        <v>49015_2-4</v>
      </c>
      <c r="I9" s="161">
        <f ca="1">VLOOKUP($H9,OFFSET(floors!$A$1,0,0,COUNTA(floors!$A:$A),MATCH(I$1,floors!$1:$1,0)-MATCH($H$1,floors!$1:$1,0)+1),MATCH(I$1,floors!$1:$1,0)-MATCH($H$1,floors!$1:$1,0)+1,FALSE)</f>
        <v>60</v>
      </c>
      <c r="J9" s="161">
        <f ca="1">VLOOKUP($H9,OFFSET(floors!$A$1,0,0,COUNTA(floors!$A:$A),MATCH(J$1,floors!$1:$1,0)-MATCH($H$1,floors!$1:$1,0)+1),MATCH(J$1,floors!$1:$1,0)-MATCH($H$1,floors!$1:$1,0)+1,FALSE)</f>
        <v>60</v>
      </c>
      <c r="K9" s="162">
        <v>1</v>
      </c>
      <c r="L9" s="163">
        <v>1466</v>
      </c>
      <c r="M9" s="164" t="str">
        <f ca="1">VLOOKUP($L9,OFFSET([3]enemies!$A$1,0,0,COUNTA([3]enemies!$A:$A),MATCH(M$1,[3]enemies!$1:$1,0)-MATCH($L$1,[3]enemies!$1:$1,0)+1),MATCH(M$1,[3]enemies!$1:$1,0)-MATCH($L$1,[3]enemies!$1:$1,0)+1,FALSE)</f>
        <v>スカー</v>
      </c>
      <c r="N9" s="164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64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64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64">
        <f ca="1">VLOOKUP($L9,OFFSET([3]enemies!$A$1,0,0,COUNTA([3]enemies!$A:$A),MATCH(Q$1,[3]enemies!$1:$1,0)-MATCH($L$1,[3]enemies!$1:$1,0)+1),MATCH(Q$1,[3]enemies!$1:$1,0)-MATCH($L$1,[3]enemies!$1:$1,0)+1,FALSE)</f>
        <v>60</v>
      </c>
      <c r="R9" s="165">
        <v>50</v>
      </c>
      <c r="S9" s="166">
        <v>1.8</v>
      </c>
      <c r="T9" s="167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101970</v>
      </c>
      <c r="U9" s="166">
        <v>0.7</v>
      </c>
      <c r="V9" s="167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5035.0999999999995</v>
      </c>
      <c r="W9" s="165">
        <v>0</v>
      </c>
      <c r="X9" s="161" t="str">
        <f ca="1">VLOOKUP($Y9,OFFSET(enemy_skill_sets!$B$1,0,0,COUNTA(enemy_skill_sets!$B:$B),MATCH(M$1,enemy_skill_sets!$1:$1,0)-MATCH($Y$1,enemy_skill_sets!$1:$1,0)+2),MATCH(M$1,enemy_skill_sets!$1:$1,0)-MATCH($Y$1,enemy_skill_sets!$1:$1,0)+2,FALSE)</f>
        <v>邪魔するものは排除する</v>
      </c>
      <c r="Y9" s="168">
        <v>49015018</v>
      </c>
      <c r="Z9" s="169">
        <v>1</v>
      </c>
      <c r="AA9" s="169">
        <v>100</v>
      </c>
      <c r="AB9" s="169">
        <v>0</v>
      </c>
      <c r="AC9" s="164">
        <v>2</v>
      </c>
      <c r="AD9" s="170">
        <f t="shared" si="3"/>
        <v>1466</v>
      </c>
      <c r="AE9" s="161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スカー</v>
      </c>
      <c r="AF9" s="161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161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" s="171">
        <v>1</v>
      </c>
      <c r="AI9" s="170">
        <f t="shared" ca="1" si="4"/>
        <v>5</v>
      </c>
      <c r="AJ9" s="172">
        <v>50</v>
      </c>
      <c r="AK9" s="171">
        <v>0</v>
      </c>
      <c r="AL9" s="171">
        <v>0</v>
      </c>
      <c r="AM9" s="171">
        <v>0</v>
      </c>
      <c r="AN9" s="171">
        <v>0</v>
      </c>
      <c r="AO9" s="171">
        <v>1</v>
      </c>
      <c r="AP9" s="173">
        <v>1</v>
      </c>
    </row>
    <row r="10" spans="1:42" ht="21" customHeight="1" x14ac:dyDescent="0.15">
      <c r="A10" s="16" t="str">
        <f t="shared" si="0"/>
        <v>49015_1-1/1469&lt;lv30&gt;s1</v>
      </c>
      <c r="B10" s="22">
        <v>49015</v>
      </c>
      <c r="C10" s="21">
        <v>1</v>
      </c>
      <c r="D10" s="2" t="str">
        <f t="shared" si="1"/>
        <v>49015_1</v>
      </c>
      <c r="E10" s="4" t="str">
        <f ca="1">VLOOKUP($B10,OFFSET([2]quests!$A$1,0,0,COUNTA([2]quests!$A:$A),MATCH(E$1,[2]quests!$1:$1,0)-MATCH($B$1,[2]quests!$1:$1,0)+1),MATCH(E$1,[2]quests!$1:$1,0)-MATCH($B$1,[2]quests!$1:$1,0)+1,FALSE)</f>
        <v>スカー襲来！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【上級】スカー襲来</v>
      </c>
      <c r="G10" s="21">
        <v>1</v>
      </c>
      <c r="H10" s="15" t="str">
        <f t="shared" si="2"/>
        <v>49015_1-1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1</v>
      </c>
      <c r="L10" s="20">
        <v>1469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憤怒の大総統 ブラッドレイ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30</v>
      </c>
      <c r="S10" s="25">
        <v>0.9</v>
      </c>
      <c r="T10" s="103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47192.4</v>
      </c>
      <c r="U10" s="25">
        <v>0.8</v>
      </c>
      <c r="V10" s="103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3658.4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10" s="61">
        <v>49015021</v>
      </c>
      <c r="Z10" s="6">
        <v>1</v>
      </c>
      <c r="AA10" s="6">
        <v>100</v>
      </c>
      <c r="AB10" s="6">
        <v>0</v>
      </c>
      <c r="AC10" s="17">
        <v>1</v>
      </c>
      <c r="AD10" s="24">
        <f t="shared" si="3"/>
        <v>1469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憤怒の大総統 ブラッドレイ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5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Drop2N</v>
      </c>
      <c r="AH10" s="7">
        <v>1</v>
      </c>
      <c r="AI10" s="24">
        <f t="shared" ca="1" si="4"/>
        <v>5</v>
      </c>
      <c r="AJ10" s="8">
        <v>50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si="0"/>
        <v>49015_1-2/1468&lt;lv30&gt;s2</v>
      </c>
      <c r="B11" s="22">
        <v>49015</v>
      </c>
      <c r="C11" s="21">
        <v>1</v>
      </c>
      <c r="D11" s="2" t="str">
        <f t="shared" si="1"/>
        <v>49015_1</v>
      </c>
      <c r="E11" s="4" t="str">
        <f ca="1">VLOOKUP($B11,OFFSET([2]quests!$A$1,0,0,COUNTA([2]quests!$A:$A),MATCH(E$1,[2]quests!$1:$1,0)-MATCH($B$1,[2]quests!$1:$1,0)+1),MATCH(E$1,[2]quests!$1:$1,0)-MATCH($B$1,[2]quests!$1:$1,0)+1,FALSE)</f>
        <v>スカー襲来！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【上級】スカー襲来</v>
      </c>
      <c r="G11" s="21">
        <v>2</v>
      </c>
      <c r="H11" s="15" t="str">
        <f t="shared" si="2"/>
        <v>49015_1-2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1</v>
      </c>
      <c r="L11" s="20">
        <v>1468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嫉妬の猛心 エンヴィー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30</v>
      </c>
      <c r="S11" s="25">
        <v>0.7</v>
      </c>
      <c r="T11" s="103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36705.199999999997</v>
      </c>
      <c r="U11" s="25">
        <v>0.5</v>
      </c>
      <c r="V11" s="103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2286.5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特定エリアをお邪魔パネルと緑パネルに変換</v>
      </c>
      <c r="Y11" s="61">
        <v>49015023</v>
      </c>
      <c r="Z11" s="6">
        <v>1</v>
      </c>
      <c r="AA11" s="6">
        <v>100</v>
      </c>
      <c r="AB11" s="6">
        <v>0</v>
      </c>
      <c r="AC11" s="17">
        <v>2</v>
      </c>
      <c r="AD11" s="24">
        <f t="shared" si="3"/>
        <v>1468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嫉妬の猛心 エンヴィー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Drop2N</v>
      </c>
      <c r="AH11" s="7">
        <v>1</v>
      </c>
      <c r="AI11" s="24">
        <f t="shared" ca="1" si="4"/>
        <v>5</v>
      </c>
      <c r="AJ11" s="8">
        <v>50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si="0"/>
        <v>49015_1-3/1470&lt;lv30&gt;s2</v>
      </c>
      <c r="B12" s="22">
        <v>49015</v>
      </c>
      <c r="C12" s="21">
        <v>1</v>
      </c>
      <c r="D12" s="2" t="str">
        <f t="shared" si="1"/>
        <v>49015_1</v>
      </c>
      <c r="E12" s="4" t="str">
        <f ca="1">VLOOKUP($B12,OFFSET([2]quests!$A$1,0,0,COUNTA([2]quests!$A:$A),MATCH(E$1,[2]quests!$1:$1,0)-MATCH($B$1,[2]quests!$1:$1,0)+1),MATCH(E$1,[2]quests!$1:$1,0)-MATCH($B$1,[2]quests!$1:$1,0)+1,FALSE)</f>
        <v>スカー襲来！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【上級】スカー襲来</v>
      </c>
      <c r="G12" s="21">
        <v>3</v>
      </c>
      <c r="H12" s="15" t="str">
        <f t="shared" si="2"/>
        <v>49015_1-3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1</v>
      </c>
      <c r="L12" s="20">
        <v>1470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傲慢なる悪鬼 プライド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Drop2N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7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30</v>
      </c>
      <c r="S12" s="25">
        <v>0.9</v>
      </c>
      <c r="T12" s="103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45342</v>
      </c>
      <c r="U12" s="25">
        <v>0.8</v>
      </c>
      <c r="V12" s="103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2835.2000000000003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4ターン暗闇</v>
      </c>
      <c r="Y12" s="61">
        <v>49015026</v>
      </c>
      <c r="Z12" s="6">
        <v>1</v>
      </c>
      <c r="AA12" s="6">
        <v>100</v>
      </c>
      <c r="AB12" s="6">
        <v>0</v>
      </c>
      <c r="AC12" s="17">
        <v>2</v>
      </c>
      <c r="AD12" s="24">
        <f t="shared" si="3"/>
        <v>1470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傲慢なる悪鬼 プライド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5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Drop2N</v>
      </c>
      <c r="AH12" s="7">
        <v>1</v>
      </c>
      <c r="AI12" s="24">
        <f t="shared" ca="1" si="4"/>
        <v>5</v>
      </c>
      <c r="AJ12" s="8">
        <v>50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thickBot="1" x14ac:dyDescent="0.2">
      <c r="A13" s="157" t="str">
        <f t="shared" si="0"/>
        <v>49015_1-4/1466&lt;lv30&gt;s2</v>
      </c>
      <c r="B13" s="158">
        <v>49015</v>
      </c>
      <c r="C13" s="159">
        <v>1</v>
      </c>
      <c r="D13" s="160" t="str">
        <f t="shared" si="1"/>
        <v>49015_1</v>
      </c>
      <c r="E13" s="161" t="str">
        <f ca="1">VLOOKUP($B13,OFFSET([2]quests!$A$1,0,0,COUNTA([2]quests!$A:$A),MATCH(E$1,[2]quests!$1:$1,0)-MATCH($B$1,[2]quests!$1:$1,0)+1),MATCH(E$1,[2]quests!$1:$1,0)-MATCH($B$1,[2]quests!$1:$1,0)+1,FALSE)</f>
        <v>スカー襲来！</v>
      </c>
      <c r="F13" s="161" t="str">
        <f ca="1">VLOOKUP($D13,OFFSET([2]stages!$A$1,0,0,COUNTA([2]stages!$A:$A),MATCH(F$1,[2]stages!$2:$2,0)-MATCH($D$1,[2]stages!$2:$2,0)+1),MATCH(F$1,[2]stages!$2:$2,0)-MATCH($D$1,[2]stages!$2:$2,0)+1,FALSE)</f>
        <v>【上級】スカー襲来</v>
      </c>
      <c r="G13" s="159">
        <v>4</v>
      </c>
      <c r="H13" s="160" t="str">
        <f t="shared" si="2"/>
        <v>49015_1-4</v>
      </c>
      <c r="I13" s="161">
        <f ca="1">VLOOKUP($H13,OFFSET(floors!$A$1,0,0,COUNTA(floors!$A:$A),MATCH(I$1,floors!$1:$1,0)-MATCH($H$1,floors!$1:$1,0)+1),MATCH(I$1,floors!$1:$1,0)-MATCH($H$1,floors!$1:$1,0)+1,FALSE)</f>
        <v>60</v>
      </c>
      <c r="J13" s="161">
        <f ca="1">VLOOKUP($H13,OFFSET(floors!$A$1,0,0,COUNTA(floors!$A:$A),MATCH(J$1,floors!$1:$1,0)-MATCH($H$1,floors!$1:$1,0)+1),MATCH(J$1,floors!$1:$1,0)-MATCH($H$1,floors!$1:$1,0)+1,FALSE)</f>
        <v>60</v>
      </c>
      <c r="K13" s="162">
        <v>1</v>
      </c>
      <c r="L13" s="163">
        <v>1466</v>
      </c>
      <c r="M13" s="164" t="str">
        <f ca="1">VLOOKUP($L13,OFFSET([3]enemies!$A$1,0,0,COUNTA([3]enemies!$A:$A),MATCH(M$1,[3]enemies!$1:$1,0)-MATCH($L$1,[3]enemies!$1:$1,0)+1),MATCH(M$1,[3]enemies!$1:$1,0)-MATCH($L$1,[3]enemies!$1:$1,0)+1,FALSE)</f>
        <v>スカー</v>
      </c>
      <c r="N13" s="164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64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64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64">
        <f ca="1">VLOOKUP($L13,OFFSET([3]enemies!$A$1,0,0,COUNTA([3]enemies!$A:$A),MATCH(Q$1,[3]enemies!$1:$1,0)-MATCH($L$1,[3]enemies!$1:$1,0)+1),MATCH(Q$1,[3]enemies!$1:$1,0)-MATCH($L$1,[3]enemies!$1:$1,0)+1,FALSE)</f>
        <v>60</v>
      </c>
      <c r="R13" s="165">
        <v>30</v>
      </c>
      <c r="S13" s="166">
        <v>2.1</v>
      </c>
      <c r="T13" s="167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72765</v>
      </c>
      <c r="U13" s="166">
        <v>0.7</v>
      </c>
      <c r="V13" s="167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3080</v>
      </c>
      <c r="W13" s="165">
        <v>0</v>
      </c>
      <c r="X13" s="161" t="str">
        <f ca="1">VLOOKUP($Y13,OFFSET(enemy_skill_sets!$B$1,0,0,COUNTA(enemy_skill_sets!$B:$B),MATCH(M$1,enemy_skill_sets!$1:$1,0)-MATCH($Y$1,enemy_skill_sets!$1:$1,0)+2),MATCH(M$1,enemy_skill_sets!$1:$1,0)-MATCH($Y$1,enemy_skill_sets!$1:$1,0)+2,FALSE)</f>
        <v>邪魔するものは排除する</v>
      </c>
      <c r="Y13" s="168">
        <v>49015028</v>
      </c>
      <c r="Z13" s="169">
        <v>1</v>
      </c>
      <c r="AA13" s="169">
        <v>100</v>
      </c>
      <c r="AB13" s="169">
        <v>0</v>
      </c>
      <c r="AC13" s="164">
        <v>2</v>
      </c>
      <c r="AD13" s="170">
        <f t="shared" si="3"/>
        <v>1466</v>
      </c>
      <c r="AE13" s="161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スカー</v>
      </c>
      <c r="AF13" s="161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161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171">
        <v>1</v>
      </c>
      <c r="AI13" s="170">
        <f t="shared" ca="1" si="4"/>
        <v>5</v>
      </c>
      <c r="AJ13" s="172">
        <v>20</v>
      </c>
      <c r="AK13" s="171">
        <v>0</v>
      </c>
      <c r="AL13" s="171">
        <v>0</v>
      </c>
      <c r="AM13" s="171">
        <v>0</v>
      </c>
      <c r="AN13" s="171">
        <v>0</v>
      </c>
      <c r="AO13" s="171">
        <v>1</v>
      </c>
      <c r="AP13" s="173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9"/>
  <sheetViews>
    <sheetView showGridLines="0" workbookViewId="0">
      <pane xSplit="18" ySplit="1" topLeftCell="W2" activePane="bottomRight" state="frozen"/>
      <selection activeCell="E25" sqref="E25"/>
      <selection pane="topRight" activeCell="E25" sqref="E25"/>
      <selection pane="bottomLeft" activeCell="E25" sqref="E25"/>
      <selection pane="bottomRight" activeCell="AA3" sqref="AA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250</v>
      </c>
      <c r="V1" s="26" t="s">
        <v>50</v>
      </c>
      <c r="W1" s="102" t="s">
        <v>251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 t="shared" ref="A2:A7" si="0">B2&amp;"_"&amp;C2&amp;"-"&amp;G2&amp;"/"&amp;M2&amp;"&lt;lv"&amp;S2&amp;"&gt;sq"&amp;K2&amp;"st"&amp;L2</f>
        <v>49015_3-1/1469&lt;lv80&gt;sq1st2</v>
      </c>
      <c r="B2" s="22">
        <v>49015</v>
      </c>
      <c r="C2" s="21">
        <v>3</v>
      </c>
      <c r="D2" s="2" t="str">
        <f t="shared" ref="D2:D7" si="1">B2&amp;"_"&amp;C2</f>
        <v>49015_3</v>
      </c>
      <c r="E2" s="4" t="str">
        <f ca="1">VLOOKUP($B2,OFFSET([2]quests!$A$1,0,0,COUNTA([2]quests!$A:$A),MATCH(E$1,[2]quests!$1:$1,0)-MATCH($B$1,[2]quests!$1:$1,0)+1),MATCH(E$1,[2]quests!$1:$1,0)-MATCH($B$1,[2]quests!$1:$1,0)+1,FALSE)</f>
        <v>スカー襲来！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【ウィザード級】スカー襲来</v>
      </c>
      <c r="G2" s="21">
        <v>1</v>
      </c>
      <c r="H2" s="15" t="str">
        <f t="shared" ref="H2:H7" si="2">B2&amp;"_"&amp;C2&amp;"-"&amp;G2</f>
        <v>49015_3-1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1469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憤怒の大総統 ブラッドレイ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7.7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1044643.6</v>
      </c>
      <c r="V2" s="25">
        <v>1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11832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61">
        <v>49015002</v>
      </c>
      <c r="AA2" s="70">
        <v>1</v>
      </c>
    </row>
    <row r="3" spans="1:27" ht="21" customHeight="1" x14ac:dyDescent="0.15">
      <c r="A3" s="16" t="str">
        <f t="shared" si="0"/>
        <v>49015_3-2/171&lt;lv80&gt;sq1st2</v>
      </c>
      <c r="B3" s="22">
        <v>49015</v>
      </c>
      <c r="C3" s="21">
        <v>3</v>
      </c>
      <c r="D3" s="2" t="str">
        <f t="shared" si="1"/>
        <v>49015_3</v>
      </c>
      <c r="E3" s="4" t="str">
        <f ca="1">VLOOKUP($B3,OFFSET([2]quests!$A$1,0,0,COUNTA([2]quests!$A:$A),MATCH(E$1,[2]quests!$1:$1,0)-MATCH($B$1,[2]quests!$1:$1,0)+1),MATCH(E$1,[2]quests!$1:$1,0)-MATCH($B$1,[2]quests!$1:$1,0)+1,FALSE)</f>
        <v>スカー襲来！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【ウィザード級】スカー襲来</v>
      </c>
      <c r="G3" s="21">
        <v>2</v>
      </c>
      <c r="H3" s="15" t="str">
        <f t="shared" si="2"/>
        <v>49015_3-2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38">
        <v>2</v>
      </c>
      <c r="M3" s="20">
        <v>171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精解の預知者 オセ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3</v>
      </c>
      <c r="U3" s="10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407004</v>
      </c>
      <c r="V3" s="25">
        <v>0.6</v>
      </c>
      <c r="W3" s="10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7099.2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61">
        <v>49015004</v>
      </c>
      <c r="AA3" s="70">
        <v>2</v>
      </c>
    </row>
    <row r="4" spans="1:27" ht="21" customHeight="1" x14ac:dyDescent="0.15">
      <c r="A4" s="16" t="str">
        <f t="shared" si="0"/>
        <v>49015_3-2/1468&lt;lv80&gt;sq1st3</v>
      </c>
      <c r="B4" s="22">
        <v>49015</v>
      </c>
      <c r="C4" s="21">
        <v>3</v>
      </c>
      <c r="D4" s="2" t="str">
        <f t="shared" si="1"/>
        <v>49015_3</v>
      </c>
      <c r="E4" s="4" t="str">
        <f ca="1">VLOOKUP($B4,OFFSET([2]quests!$A$1,0,0,COUNTA([2]quests!$A:$A),MATCH(E$1,[2]quests!$1:$1,0)-MATCH($B$1,[2]quests!$1:$1,0)+1),MATCH(E$1,[2]quests!$1:$1,0)-MATCH($B$1,[2]quests!$1:$1,0)+1,FALSE)</f>
        <v>スカー襲来！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【ウィザード級】スカー襲来</v>
      </c>
      <c r="G4" s="21">
        <v>2</v>
      </c>
      <c r="H4" s="15" t="str">
        <f t="shared" si="2"/>
        <v>49015_3-2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3</v>
      </c>
      <c r="M4" s="20">
        <v>1468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嫉妬の猛心 エンヴィー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2</v>
      </c>
      <c r="U4" s="103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271336</v>
      </c>
      <c r="V4" s="25">
        <v>0.6</v>
      </c>
      <c r="W4" s="103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7099.2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61">
        <v>49015005</v>
      </c>
      <c r="AA4" s="70">
        <v>1</v>
      </c>
    </row>
    <row r="5" spans="1:27" ht="21" customHeight="1" x14ac:dyDescent="0.15">
      <c r="A5" s="16" t="str">
        <f t="shared" si="0"/>
        <v>49015_3-3/1470&lt;lv80&gt;sq1st2</v>
      </c>
      <c r="B5" s="22">
        <v>49015</v>
      </c>
      <c r="C5" s="21">
        <v>3</v>
      </c>
      <c r="D5" s="2" t="str">
        <f t="shared" si="1"/>
        <v>49015_3</v>
      </c>
      <c r="E5" s="4" t="str">
        <f ca="1">VLOOKUP($B5,OFFSET([2]quests!$A$1,0,0,COUNTA([2]quests!$A:$A),MATCH(E$1,[2]quests!$1:$1,0)-MATCH($B$1,[2]quests!$1:$1,0)+1),MATCH(E$1,[2]quests!$1:$1,0)-MATCH($B$1,[2]quests!$1:$1,0)+1,FALSE)</f>
        <v>スカー襲来！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【ウィザード級】スカー襲来</v>
      </c>
      <c r="G5" s="21">
        <v>3</v>
      </c>
      <c r="H5" s="15" t="str">
        <f t="shared" si="2"/>
        <v>49015_3-3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38">
        <v>2</v>
      </c>
      <c r="M5" s="20">
        <v>1470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傲慢なる悪鬼 プライド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7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5">
        <v>2</v>
      </c>
      <c r="U5" s="103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260696</v>
      </c>
      <c r="V5" s="25">
        <v>0.9</v>
      </c>
      <c r="W5" s="103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8252.1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61">
        <v>49015007</v>
      </c>
      <c r="AA5" s="70">
        <v>1</v>
      </c>
    </row>
    <row r="6" spans="1:27" ht="21" customHeight="1" x14ac:dyDescent="0.15">
      <c r="A6" s="16" t="str">
        <f t="shared" si="0"/>
        <v>49015_3-4/1467&lt;lv80&gt;sq1st2</v>
      </c>
      <c r="B6" s="22">
        <v>49015</v>
      </c>
      <c r="C6" s="21">
        <v>3</v>
      </c>
      <c r="D6" s="2" t="str">
        <f t="shared" si="1"/>
        <v>49015_3</v>
      </c>
      <c r="E6" s="4" t="str">
        <f ca="1">VLOOKUP($B6,OFFSET([2]quests!$A$1,0,0,COUNTA([2]quests!$A:$A),MATCH(E$1,[2]quests!$1:$1,0)-MATCH($B$1,[2]quests!$1:$1,0)+1),MATCH(E$1,[2]quests!$1:$1,0)-MATCH($B$1,[2]quests!$1:$1,0)+1,FALSE)</f>
        <v>スカー襲来！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【ウィザード級】スカー襲来</v>
      </c>
      <c r="G6" s="21">
        <v>4</v>
      </c>
      <c r="H6" s="15" t="str">
        <f t="shared" si="2"/>
        <v>49015_3-4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38">
        <v>2</v>
      </c>
      <c r="M6" s="20">
        <v>1467</v>
      </c>
      <c r="N6" s="17" t="str">
        <f ca="1">VLOOKUP($M6,OFFSET([3]enemies!$A$1,0,0,COUNTA([3]enemies!$A:$A),MATCH(N$1,[3]enemies!$1:$1,0)-MATCH($M$1,[3]enemies!$1:$1,0)+1),MATCH(N$1,[3]enemies!$1:$1,0)-MATCH($M$1,[3]enemies!$1:$1,0)+1,FALSE)</f>
        <v>十字傷の男 スカー</v>
      </c>
      <c r="O6" s="17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80</v>
      </c>
      <c r="T6" s="25">
        <v>2.5</v>
      </c>
      <c r="U6" s="103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224125</v>
      </c>
      <c r="V6" s="25">
        <v>0.7</v>
      </c>
      <c r="W6" s="103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7968.7999999999993</v>
      </c>
      <c r="X6" s="5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61">
        <v>49015009</v>
      </c>
      <c r="AA6" s="70">
        <v>2</v>
      </c>
    </row>
    <row r="7" spans="1:27" ht="21" customHeight="1" thickBot="1" x14ac:dyDescent="0.2">
      <c r="A7" s="157" t="str">
        <f t="shared" si="0"/>
        <v>49015_3-4/1467&lt;lv80&gt;sq1st3</v>
      </c>
      <c r="B7" s="158">
        <v>49015</v>
      </c>
      <c r="C7" s="159">
        <v>3</v>
      </c>
      <c r="D7" s="160" t="str">
        <f t="shared" si="1"/>
        <v>49015_3</v>
      </c>
      <c r="E7" s="161" t="str">
        <f ca="1">VLOOKUP($B7,OFFSET([2]quests!$A$1,0,0,COUNTA([2]quests!$A:$A),MATCH(E$1,[2]quests!$1:$1,0)-MATCH($B$1,[2]quests!$1:$1,0)+1),MATCH(E$1,[2]quests!$1:$1,0)-MATCH($B$1,[2]quests!$1:$1,0)+1,FALSE)</f>
        <v>スカー襲来！</v>
      </c>
      <c r="F7" s="161" t="str">
        <f ca="1">VLOOKUP($D7,OFFSET([2]stages!$A$1,0,0,COUNTA([2]stages!$A:$A),MATCH(F$1,[2]stages!$2:$2,0)-MATCH($D$1,[2]stages!$2:$2,0)+1),MATCH(F$1,[2]stages!$2:$2,0)-MATCH($D$1,[2]stages!$2:$2,0)+1,FALSE)</f>
        <v>【ウィザード級】スカー襲来</v>
      </c>
      <c r="G7" s="159">
        <v>4</v>
      </c>
      <c r="H7" s="160" t="str">
        <f t="shared" si="2"/>
        <v>49015_3-4</v>
      </c>
      <c r="I7" s="161">
        <f ca="1">VLOOKUP($H7,OFFSET(floors!$A$1,0,0,COUNTA(floors!$A:$A),MATCH(I$1,floors!$1:$1,0)-MATCH($H$1,floors!$1:$1,0)+1),MATCH(I$1,floors!$1:$1,0)-MATCH($H$1,floors!$1:$1,0)+1,FALSE)</f>
        <v>60</v>
      </c>
      <c r="J7" s="161">
        <f ca="1">VLOOKUP($H7,OFFSET(floors!$A$1,0,0,COUNTA(floors!$A:$A),MATCH(J$1,floors!$1:$1,0)-MATCH($H$1,floors!$1:$1,0)+1),MATCH(J$1,floors!$1:$1,0)-MATCH($H$1,floors!$1:$1,0)+1,FALSE)</f>
        <v>60</v>
      </c>
      <c r="K7" s="162">
        <v>1</v>
      </c>
      <c r="L7" s="162">
        <v>3</v>
      </c>
      <c r="M7" s="163">
        <v>1467</v>
      </c>
      <c r="N7" s="164" t="str">
        <f ca="1">VLOOKUP($M7,OFFSET([3]enemies!$A$1,0,0,COUNTA([3]enemies!$A:$A),MATCH(N$1,[3]enemies!$1:$1,0)-MATCH($M$1,[3]enemies!$1:$1,0)+1),MATCH(N$1,[3]enemies!$1:$1,0)-MATCH($M$1,[3]enemies!$1:$1,0)+1,FALSE)</f>
        <v>十字傷の男 スカー</v>
      </c>
      <c r="O7" s="164" t="str">
        <f ca="1">VLOOKUP($M7,OFFSET([3]enemies!$A$1,0,0,COUNTA([3]enemies!$A:$A),MATCH(O$1,[3]enemies!$1:$1,0)-MATCH($M$1,[3]enemies!$1:$1,0)+1),MATCH(O$1,[3]enemies!$1:$1,0)-MATCH($M$1,[3]enemies!$1:$1,0)+1,FALSE)</f>
        <v>blue</v>
      </c>
      <c r="P7" s="164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64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64">
        <f ca="1">VLOOKUP($M7,OFFSET([3]enemies!$A$1,0,0,COUNTA([3]enemies!$A:$A),MATCH(R$1,[3]enemies!$1:$1,0)-MATCH($M$1,[3]enemies!$1:$1,0)+1),MATCH(R$1,[3]enemies!$1:$1,0)-MATCH($M$1,[3]enemies!$1:$1,0)+1,FALSE)</f>
        <v>60</v>
      </c>
      <c r="S7" s="165">
        <v>80</v>
      </c>
      <c r="T7" s="166">
        <v>3.1</v>
      </c>
      <c r="U7" s="167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277915</v>
      </c>
      <c r="V7" s="166">
        <v>0.8</v>
      </c>
      <c r="W7" s="167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9107.2000000000007</v>
      </c>
      <c r="X7" s="165">
        <v>0</v>
      </c>
      <c r="Y7" s="161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168">
        <v>49015010</v>
      </c>
      <c r="AA7" s="185">
        <v>1</v>
      </c>
    </row>
    <row r="8" spans="1:27" ht="21" customHeight="1" x14ac:dyDescent="0.15">
      <c r="A8" s="16" t="str">
        <f t="shared" ref="A8:A13" si="3">B8&amp;"_"&amp;C8&amp;"-"&amp;G8&amp;"/"&amp;M8&amp;"&lt;lv"&amp;S8&amp;"&gt;sq"&amp;K8&amp;"st"&amp;L8</f>
        <v>49015_2-1/1469&lt;lv50&gt;sq1st2</v>
      </c>
      <c r="B8" s="22">
        <v>49015</v>
      </c>
      <c r="C8" s="21">
        <v>2</v>
      </c>
      <c r="D8" s="2" t="str">
        <f t="shared" ref="D8:D13" si="4">B8&amp;"_"&amp;C8</f>
        <v>49015_2</v>
      </c>
      <c r="E8" s="4" t="str">
        <f ca="1">VLOOKUP($B8,OFFSET([2]quests!$A$1,0,0,COUNTA([2]quests!$A:$A),MATCH(E$1,[2]quests!$1:$1,0)-MATCH($B$1,[2]quests!$1:$1,0)+1),MATCH(E$1,[2]quests!$1:$1,0)-MATCH($B$1,[2]quests!$1:$1,0)+1,FALSE)</f>
        <v>スカー襲来！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【超級】スカー襲来</v>
      </c>
      <c r="G8" s="21">
        <v>1</v>
      </c>
      <c r="H8" s="15" t="str">
        <f t="shared" ref="H8:H13" si="5">B8&amp;"_"&amp;C8&amp;"-"&amp;G8</f>
        <v>49015_2-1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38">
        <v>2</v>
      </c>
      <c r="M8" s="20">
        <v>1469</v>
      </c>
      <c r="N8" s="17" t="str">
        <f ca="1">VLOOKUP($M8,OFFSET([3]enemies!$A$1,0,0,COUNTA([3]enemies!$A:$A),MATCH(N$1,[3]enemies!$1:$1,0)-MATCH($M$1,[3]enemies!$1:$1,0)+1),MATCH(N$1,[3]enemies!$1:$1,0)-MATCH($M$1,[3]enemies!$1:$1,0)+1,FALSE)</f>
        <v>憤怒の大総統 ブラッドレイ</v>
      </c>
      <c r="O8" s="17" t="str">
        <f ca="1">VLOOKUP($M8,OFFSET([3]enemies!$A$1,0,0,COUNTA([3]enemies!$A:$A),MATCH(O$1,[3]enemies!$1:$1,0)-MATCH($M$1,[3]enemies!$1:$1,0)+1),MATCH(O$1,[3]enemies!$1:$1,0)-MATCH($M$1,[3]enemies!$1:$1,0)+1,FALSE)</f>
        <v>yellow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Drop2N</v>
      </c>
      <c r="Q8" s="17" t="str">
        <f ca="1">VLOOKUP($M8,OFFSET([3]enemies!$A$1,0,0,COUNTA([3]enemies!$A:$A),MATCH(Q$1,[3]enemies!$1:$1,0)-MATCH($M$1,[3]enemies!$1:$1,0)+1),MATCH(Q$1,[3]enemies!$1:$1,0)-MATCH($M$1,[3]enemies!$1:$1,0)+1,FALSE)</f>
        <v>unknown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50</v>
      </c>
      <c r="T8" s="25">
        <v>7.1</v>
      </c>
      <c r="U8" s="103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608675.9</v>
      </c>
      <c r="V8" s="25">
        <v>1</v>
      </c>
      <c r="W8" s="103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7477</v>
      </c>
      <c r="X8" s="5">
        <v>0</v>
      </c>
      <c r="Y8" s="4" t="e">
        <f ca="1">VLOOKUP($Z8,OFFSET([5]enemy_skill_sets!$B$1,0,0,COUNTA([5]enemy_skill_sets!$B:$B),MATCH(N$1,[5]enemy_skill_sets!$1:$1,0)-MATCH($Z$1,[5]enemy_skill_sets!$1:$1,0)+2),MATCH(N$1,[5]enemy_skill_sets!$1:$1,0)-MATCH($Z$1,[5]enemy_skill_sets!$1:$1,0)+2,FALSE)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8" s="61">
        <v>49015012</v>
      </c>
      <c r="AA8" s="70">
        <v>1</v>
      </c>
    </row>
    <row r="9" spans="1:27" ht="21" customHeight="1" x14ac:dyDescent="0.15">
      <c r="A9" s="16" t="str">
        <f t="shared" si="3"/>
        <v>49015_2-2/171&lt;lv50&gt;sq1st2</v>
      </c>
      <c r="B9" s="22">
        <v>49015</v>
      </c>
      <c r="C9" s="21">
        <v>2</v>
      </c>
      <c r="D9" s="2" t="str">
        <f t="shared" si="4"/>
        <v>49015_2</v>
      </c>
      <c r="E9" s="4" t="str">
        <f ca="1">VLOOKUP($B9,OFFSET([2]quests!$A$1,0,0,COUNTA([2]quests!$A:$A),MATCH(E$1,[2]quests!$1:$1,0)-MATCH($B$1,[2]quests!$1:$1,0)+1),MATCH(E$1,[2]quests!$1:$1,0)-MATCH($B$1,[2]quests!$1:$1,0)+1,FALSE)</f>
        <v>スカー襲来！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【超級】スカー襲来</v>
      </c>
      <c r="G9" s="21">
        <v>2</v>
      </c>
      <c r="H9" s="15" t="str">
        <f t="shared" si="5"/>
        <v>49015_2-2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1</v>
      </c>
      <c r="L9" s="38">
        <v>2</v>
      </c>
      <c r="M9" s="20">
        <v>171</v>
      </c>
      <c r="N9" s="17" t="str">
        <f ca="1">VLOOKUP($M9,OFFSET([3]enemies!$A$1,0,0,COUNTA([3]enemies!$A:$A),MATCH(N$1,[3]enemies!$1:$1,0)-MATCH($M$1,[3]enemies!$1:$1,0)+1),MATCH(N$1,[3]enemies!$1:$1,0)-MATCH($M$1,[3]enemies!$1:$1,0)+1,FALSE)</f>
        <v>精解の預知者 オセ</v>
      </c>
      <c r="O9" s="17" t="str">
        <f ca="1">VLOOKUP($M9,OFFSET([3]enemies!$A$1,0,0,COUNTA([3]enemies!$A:$A),MATCH(O$1,[3]enemies!$1:$1,0)-MATCH($M$1,[3]enemies!$1:$1,0)+1),MATCH(O$1,[3]enemies!$1:$1,0)-MATCH($M$1,[3]enemies!$1:$1,0)+1,FALSE)</f>
        <v>green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PremiumN</v>
      </c>
      <c r="Q9" s="17" t="str">
        <f ca="1">VLOOKUP($M9,OFFSET([3]enemies!$A$1,0,0,COUNTA([3]enemies!$A:$A),MATCH(Q$1,[3]enemies!$1:$1,0)-MATCH($M$1,[3]enemies!$1:$1,0)+1),MATCH(Q$1,[3]enemies!$1:$1,0)-MATCH($M$1,[3]enemies!$1:$1,0)+1,FALSE)</f>
        <v>god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50</v>
      </c>
      <c r="T9" s="25">
        <v>1.4</v>
      </c>
      <c r="U9" s="103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120020.59999999999</v>
      </c>
      <c r="V9" s="25">
        <v>0.8</v>
      </c>
      <c r="W9" s="103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5981.6</v>
      </c>
      <c r="X9" s="5">
        <v>0</v>
      </c>
      <c r="Y9" s="4" t="e">
        <f ca="1">VLOOKUP($Z9,OFFSET([5]enemy_skill_sets!$B$1,0,0,COUNTA([5]enemy_skill_sets!$B:$B),MATCH(N$1,[5]enemy_skill_sets!$1:$1,0)-MATCH($Z$1,[5]enemy_skill_sets!$1:$1,0)+2),MATCH(N$1,[5]enemy_skill_sets!$1:$1,0)-MATCH($Z$1,[5]enemy_skill_sets!$1:$1,0)+2,FALSE)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9" s="61">
        <v>49015014</v>
      </c>
      <c r="AA9" s="70">
        <v>2</v>
      </c>
    </row>
    <row r="10" spans="1:27" ht="21" customHeight="1" x14ac:dyDescent="0.15">
      <c r="A10" s="16" t="str">
        <f t="shared" si="3"/>
        <v>49015_2-2/1468&lt;lv50&gt;sq1st3</v>
      </c>
      <c r="B10" s="22">
        <v>49015</v>
      </c>
      <c r="C10" s="21">
        <v>2</v>
      </c>
      <c r="D10" s="2" t="str">
        <f t="shared" si="4"/>
        <v>49015_2</v>
      </c>
      <c r="E10" s="4" t="str">
        <f ca="1">VLOOKUP($B10,OFFSET([2]quests!$A$1,0,0,COUNTA([2]quests!$A:$A),MATCH(E$1,[2]quests!$1:$1,0)-MATCH($B$1,[2]quests!$1:$1,0)+1),MATCH(E$1,[2]quests!$1:$1,0)-MATCH($B$1,[2]quests!$1:$1,0)+1,FALSE)</f>
        <v>スカー襲来！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【超級】スカー襲来</v>
      </c>
      <c r="G10" s="21">
        <v>2</v>
      </c>
      <c r="H10" s="15" t="str">
        <f t="shared" si="5"/>
        <v>49015_2-2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1</v>
      </c>
      <c r="L10" s="38">
        <v>3</v>
      </c>
      <c r="M10" s="20">
        <v>1468</v>
      </c>
      <c r="N10" s="17" t="str">
        <f ca="1">VLOOKUP($M10,OFFSET([3]enemies!$A$1,0,0,COUNTA([3]enemies!$A:$A),MATCH(N$1,[3]enemies!$1:$1,0)-MATCH($M$1,[3]enemies!$1:$1,0)+1),MATCH(N$1,[3]enemies!$1:$1,0)-MATCH($M$1,[3]enemies!$1:$1,0)+1,FALSE)</f>
        <v>嫉妬の猛心 エンヴィー</v>
      </c>
      <c r="O10" s="17" t="str">
        <f ca="1">VLOOKUP($M10,OFFSET([3]enemies!$A$1,0,0,COUNTA([3]enemies!$A:$A),MATCH(O$1,[3]enemies!$1:$1,0)-MATCH($M$1,[3]enemies!$1:$1,0)+1),MATCH(O$1,[3]enemies!$1:$1,0)-MATCH($M$1,[3]enemies!$1:$1,0)+1,FALSE)</f>
        <v>green</v>
      </c>
      <c r="P10" s="17" t="str">
        <f ca="1">VLOOKUP($M10,OFFSET([4]characters!$A$1,0,0,COUNTA([4]characters!$A:$A),MATCH(P$1,[4]characters!$1:$1,0)-MATCH($M$1,[4]characters!$1:$1,0)+1),MATCH(P$1,[4]characters!$1:$1,0)-MATCH($M$1,[4]characters!$1:$1,0)+1,FALSE)</f>
        <v>Drop2N</v>
      </c>
      <c r="Q10" s="17" t="str">
        <f ca="1">VLOOKUP($M10,OFFSET([3]enemies!$A$1,0,0,COUNTA([3]enemies!$A:$A),MATCH(Q$1,[3]enemies!$1:$1,0)-MATCH($M$1,[3]enemies!$1:$1,0)+1),MATCH(Q$1,[3]enemies!$1:$1,0)-MATCH($M$1,[3]enemies!$1:$1,0)+1,FALSE)</f>
        <v>unknown</v>
      </c>
      <c r="R10" s="17">
        <f ca="1">VLOOKUP($M10,OFFSET([3]enemies!$A$1,0,0,COUNTA([3]enemies!$A:$A),MATCH(R$1,[3]enemies!$1:$1,0)-MATCH($M$1,[3]enemies!$1:$1,0)+1),MATCH(R$1,[3]enemies!$1:$1,0)-MATCH($M$1,[3]enemies!$1:$1,0)+1,FALSE)</f>
        <v>60</v>
      </c>
      <c r="S10" s="5">
        <v>50</v>
      </c>
      <c r="T10" s="25">
        <v>0.7</v>
      </c>
      <c r="U10" s="103">
        <f ca="1">ROUND(VLOOKUP(S10,[3]enemy_base_stats!$A:$F,2,FALSE) *INDIRECT("[EnemyMasterData.xlsm]enemies!Y"&amp;(M10+1))*  INDIRECT("[EnemyMasterData.xlsm]enemies!J"&amp;(M10+1))* INDIRECT("[EnemyMasterData.xlsm]enemies!O"&amp;(M10+1))* INDIRECT("[EnemyMasterData.xlsm]enemies!E"&amp;(M10+1))* INDIRECT("[EnemyMasterData.xlsm]enemies!S"&amp;(M10+1))* INDIRECT("[EnemyMasterData.xlsm]enemies!AD"&amp;(M10+1))*[4]ステータス!$B$2,0)*T10</f>
        <v>60010.299999999996</v>
      </c>
      <c r="V10" s="25">
        <v>0.5</v>
      </c>
      <c r="W10" s="103">
        <f ca="1">ROUND(VLOOKUP(S10,[3]enemy_base_stats!$A:$F,3,FALSE) *INDIRECT("[EnemyMasterData.xlsm]enemies!Z"&amp;(M10+1))*  INDIRECT("[EnemyMasterData.xlsm]enemies!K"&amp;(M10+1))* INDIRECT("[EnemyMasterData.xlsm]enemies!P"&amp;(M10+1))* INDIRECT("[EnemyMasterData.xlsm]enemies!F"&amp;(M10+1))* INDIRECT("[EnemyMasterData.xlsm]enemies!T"&amp;(M10+1))* INDIRECT("[EnemyMasterData.xlsm]enemies!AE"&amp;(M10+1))*[4]ステータス!$C$2,0)*V10</f>
        <v>3738.5</v>
      </c>
      <c r="X10" s="5">
        <v>0</v>
      </c>
      <c r="Y10" s="4" t="e">
        <f ca="1">VLOOKUP($Z10,OFFSET([5]enemy_skill_sets!$B$1,0,0,COUNTA([5]enemy_skill_sets!$B:$B),MATCH(N$1,[5]enemy_skill_sets!$1:$1,0)-MATCH($Z$1,[5]enemy_skill_sets!$1:$1,0)+2),MATCH(N$1,[5]enemy_skill_sets!$1:$1,0)-MATCH($Z$1,[5]enemy_skill_sets!$1:$1,0)+2,FALSE)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0" s="61">
        <v>49015015</v>
      </c>
      <c r="AA10" s="70">
        <v>1</v>
      </c>
    </row>
    <row r="11" spans="1:27" ht="21" customHeight="1" x14ac:dyDescent="0.15">
      <c r="A11" s="16" t="str">
        <f t="shared" si="3"/>
        <v>49015_2-3/1470&lt;lv50&gt;sq1st2</v>
      </c>
      <c r="B11" s="22">
        <v>49015</v>
      </c>
      <c r="C11" s="21">
        <v>2</v>
      </c>
      <c r="D11" s="2" t="str">
        <f t="shared" si="4"/>
        <v>49015_2</v>
      </c>
      <c r="E11" s="4" t="str">
        <f ca="1">VLOOKUP($B11,OFFSET([2]quests!$A$1,0,0,COUNTA([2]quests!$A:$A),MATCH(E$1,[2]quests!$1:$1,0)-MATCH($B$1,[2]quests!$1:$1,0)+1),MATCH(E$1,[2]quests!$1:$1,0)-MATCH($B$1,[2]quests!$1:$1,0)+1,FALSE)</f>
        <v>スカー襲来！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【超級】スカー襲来</v>
      </c>
      <c r="G11" s="21">
        <v>3</v>
      </c>
      <c r="H11" s="15" t="str">
        <f t="shared" si="5"/>
        <v>49015_2-3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1</v>
      </c>
      <c r="L11" s="38">
        <v>2</v>
      </c>
      <c r="M11" s="20">
        <v>1470</v>
      </c>
      <c r="N11" s="17" t="str">
        <f ca="1">VLOOKUP($M11,OFFSET([3]enemies!$A$1,0,0,COUNTA([3]enemies!$A:$A),MATCH(N$1,[3]enemies!$1:$1,0)-MATCH($M$1,[3]enemies!$1:$1,0)+1),MATCH(N$1,[3]enemies!$1:$1,0)-MATCH($M$1,[3]enemies!$1:$1,0)+1,FALSE)</f>
        <v>傲慢なる悪鬼 プライド</v>
      </c>
      <c r="O11" s="17" t="str">
        <f ca="1">VLOOKUP($M11,OFFSET([3]enemies!$A$1,0,0,COUNTA([3]enemies!$A:$A),MATCH(O$1,[3]enemies!$1:$1,0)-MATCH($M$1,[3]enemies!$1:$1,0)+1),MATCH(O$1,[3]enemies!$1:$1,0)-MATCH($M$1,[3]enemies!$1:$1,0)+1,FALSE)</f>
        <v>red</v>
      </c>
      <c r="P11" s="17" t="str">
        <f ca="1">VLOOKUP($M11,OFFSET([4]characters!$A$1,0,0,COUNTA([4]characters!$A:$A),MATCH(P$1,[4]characters!$1:$1,0)-MATCH($M$1,[4]characters!$1:$1,0)+1),MATCH(P$1,[4]characters!$1:$1,0)-MATCH($M$1,[4]characters!$1:$1,0)+1,FALSE)</f>
        <v>Drop2N</v>
      </c>
      <c r="Q11" s="17" t="str">
        <f ca="1">VLOOKUP($M11,OFFSET([3]enemies!$A$1,0,0,COUNTA([3]enemies!$A:$A),MATCH(Q$1,[3]enemies!$1:$1,0)-MATCH($M$1,[3]enemies!$1:$1,0)+1),MATCH(Q$1,[3]enemies!$1:$1,0)-MATCH($M$1,[3]enemies!$1:$1,0)+1,FALSE)</f>
        <v>unknown</v>
      </c>
      <c r="R11" s="17">
        <f ca="1">VLOOKUP($M11,OFFSET([3]enemies!$A$1,0,0,COUNTA([3]enemies!$A:$A),MATCH(R$1,[3]enemies!$1:$1,0)-MATCH($M$1,[3]enemies!$1:$1,0)+1),MATCH(R$1,[3]enemies!$1:$1,0)-MATCH($M$1,[3]enemies!$1:$1,0)+1,FALSE)</f>
        <v>60</v>
      </c>
      <c r="S11" s="5">
        <v>50</v>
      </c>
      <c r="T11" s="25">
        <v>0.7</v>
      </c>
      <c r="U11" s="103">
        <f ca="1">ROUND(VLOOKUP(S11,[3]enemy_base_stats!$A:$F,2,FALSE) *INDIRECT("[EnemyMasterData.xlsm]enemies!Y"&amp;(M11+1))*  INDIRECT("[EnemyMasterData.xlsm]enemies!J"&amp;(M11+1))* INDIRECT("[EnemyMasterData.xlsm]enemies!O"&amp;(M11+1))* INDIRECT("[EnemyMasterData.xlsm]enemies!E"&amp;(M11+1))* INDIRECT("[EnemyMasterData.xlsm]enemies!S"&amp;(M11+1))* INDIRECT("[EnemyMasterData.xlsm]enemies!AD"&amp;(M11+1))*[4]ステータス!$B$2,0)*T11</f>
        <v>57656.899999999994</v>
      </c>
      <c r="V11" s="25">
        <v>1</v>
      </c>
      <c r="W11" s="103">
        <f ca="1">ROUND(VLOOKUP(S11,[3]enemy_base_stats!$A:$F,3,FALSE) *INDIRECT("[EnemyMasterData.xlsm]enemies!Z"&amp;(M11+1))*  INDIRECT("[EnemyMasterData.xlsm]enemies!K"&amp;(M11+1))* INDIRECT("[EnemyMasterData.xlsm]enemies!P"&amp;(M11+1))* INDIRECT("[EnemyMasterData.xlsm]enemies!F"&amp;(M11+1))* INDIRECT("[EnemyMasterData.xlsm]enemies!T"&amp;(M11+1))* INDIRECT("[EnemyMasterData.xlsm]enemies!AE"&amp;(M11+1))*[4]ステータス!$C$2,0)*V11</f>
        <v>5794</v>
      </c>
      <c r="X11" s="5">
        <v>0</v>
      </c>
      <c r="Y11" s="4" t="e">
        <f ca="1">VLOOKUP($Z11,OFFSET([5]enemy_skill_sets!$B$1,0,0,COUNTA([5]enemy_skill_sets!$B:$B),MATCH(N$1,[5]enemy_skill_sets!$1:$1,0)-MATCH($Z$1,[5]enemy_skill_sets!$1:$1,0)+2),MATCH(N$1,[5]enemy_skill_sets!$1:$1,0)-MATCH($Z$1,[5]enemy_skill_sets!$1:$1,0)+2,FALSE)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1" s="61">
        <v>49015017</v>
      </c>
      <c r="AA11" s="70">
        <v>1</v>
      </c>
    </row>
    <row r="12" spans="1:27" ht="21" customHeight="1" x14ac:dyDescent="0.15">
      <c r="A12" s="16" t="str">
        <f t="shared" si="3"/>
        <v>49015_2-4/1467&lt;lv50&gt;sq1st2</v>
      </c>
      <c r="B12" s="22">
        <v>49015</v>
      </c>
      <c r="C12" s="21">
        <v>2</v>
      </c>
      <c r="D12" s="2" t="str">
        <f t="shared" si="4"/>
        <v>49015_2</v>
      </c>
      <c r="E12" s="4" t="str">
        <f ca="1">VLOOKUP($B12,OFFSET([2]quests!$A$1,0,0,COUNTA([2]quests!$A:$A),MATCH(E$1,[2]quests!$1:$1,0)-MATCH($B$1,[2]quests!$1:$1,0)+1),MATCH(E$1,[2]quests!$1:$1,0)-MATCH($B$1,[2]quests!$1:$1,0)+1,FALSE)</f>
        <v>スカー襲来！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【超級】スカー襲来</v>
      </c>
      <c r="G12" s="21">
        <v>4</v>
      </c>
      <c r="H12" s="15" t="str">
        <f t="shared" si="5"/>
        <v>49015_2-4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1</v>
      </c>
      <c r="L12" s="38">
        <v>2</v>
      </c>
      <c r="M12" s="20">
        <v>1467</v>
      </c>
      <c r="N12" s="17" t="str">
        <f ca="1">VLOOKUP($M12,OFFSET([3]enemies!$A$1,0,0,COUNTA([3]enemies!$A:$A),MATCH(N$1,[3]enemies!$1:$1,0)-MATCH($M$1,[3]enemies!$1:$1,0)+1),MATCH(N$1,[3]enemies!$1:$1,0)-MATCH($M$1,[3]enemies!$1:$1,0)+1,FALSE)</f>
        <v>十字傷の男 スカー</v>
      </c>
      <c r="O12" s="17" t="str">
        <f ca="1">VLOOKUP($M12,OFFSET([3]enemies!$A$1,0,0,COUNTA([3]enemies!$A:$A),MATCH(O$1,[3]enemies!$1:$1,0)-MATCH($M$1,[3]enemies!$1:$1,0)+1),MATCH(O$1,[3]enemies!$1:$1,0)-MATCH($M$1,[3]enemies!$1:$1,0)+1,FALSE)</f>
        <v>blue</v>
      </c>
      <c r="P12" s="17" t="str">
        <f ca="1">VLOOKUP($M12,OFFSET([4]characters!$A$1,0,0,COUNTA([4]characters!$A:$A),MATCH(P$1,[4]characters!$1:$1,0)-MATCH($M$1,[4]characters!$1:$1,0)+1),MATCH(P$1,[4]characters!$1:$1,0)-MATCH($M$1,[4]characters!$1:$1,0)+1,FALSE)</f>
        <v>DropWizS</v>
      </c>
      <c r="Q12" s="17" t="str">
        <f ca="1">VLOOKUP($M12,OFFSET([3]enemies!$A$1,0,0,COUNTA([3]enemies!$A:$A),MATCH(Q$1,[3]enemies!$1:$1,0)-MATCH($M$1,[3]enemies!$1:$1,0)+1),MATCH(Q$1,[3]enemies!$1:$1,0)-MATCH($M$1,[3]enemies!$1:$1,0)+1,FALSE)</f>
        <v>human</v>
      </c>
      <c r="R12" s="17">
        <f ca="1">VLOOKUP($M12,OFFSET([3]enemies!$A$1,0,0,COUNTA([3]enemies!$A:$A),MATCH(R$1,[3]enemies!$1:$1,0)-MATCH($M$1,[3]enemies!$1:$1,0)+1),MATCH(R$1,[3]enemies!$1:$1,0)-MATCH($M$1,[3]enemies!$1:$1,0)+1,FALSE)</f>
        <v>60</v>
      </c>
      <c r="S12" s="5">
        <v>50</v>
      </c>
      <c r="T12" s="25">
        <v>1.8</v>
      </c>
      <c r="U12" s="103">
        <f ca="1">ROUND(VLOOKUP(S12,[3]enemy_base_stats!$A:$F,2,FALSE) *INDIRECT("[EnemyMasterData.xlsm]enemies!Y"&amp;(M12+1))*  INDIRECT("[EnemyMasterData.xlsm]enemies!J"&amp;(M12+1))* INDIRECT("[EnemyMasterData.xlsm]enemies!O"&amp;(M12+1))* INDIRECT("[EnemyMasterData.xlsm]enemies!E"&amp;(M12+1))* INDIRECT("[EnemyMasterData.xlsm]enemies!S"&amp;(M12+1))* INDIRECT("[EnemyMasterData.xlsm]enemies!AD"&amp;(M12+1))*[4]ステータス!$B$2,0)*T12</f>
        <v>101970</v>
      </c>
      <c r="V12" s="25">
        <v>0.7</v>
      </c>
      <c r="W12" s="103">
        <f ca="1">ROUND(VLOOKUP(S12,[3]enemy_base_stats!$A:$F,3,FALSE) *INDIRECT("[EnemyMasterData.xlsm]enemies!Z"&amp;(M12+1))*  INDIRECT("[EnemyMasterData.xlsm]enemies!K"&amp;(M12+1))* INDIRECT("[EnemyMasterData.xlsm]enemies!P"&amp;(M12+1))* INDIRECT("[EnemyMasterData.xlsm]enemies!F"&amp;(M12+1))* INDIRECT("[EnemyMasterData.xlsm]enemies!T"&amp;(M12+1))* INDIRECT("[EnemyMasterData.xlsm]enemies!AE"&amp;(M12+1))*[4]ステータス!$C$2,0)*V12</f>
        <v>5035.0999999999995</v>
      </c>
      <c r="X12" s="5">
        <v>0</v>
      </c>
      <c r="Y12" s="4" t="e">
        <f ca="1">VLOOKUP($Z12,OFFSET([5]enemy_skill_sets!$B$1,0,0,COUNTA([5]enemy_skill_sets!$B:$B),MATCH(N$1,[5]enemy_skill_sets!$1:$1,0)-MATCH($Z$1,[5]enemy_skill_sets!$1:$1,0)+2),MATCH(N$1,[5]enemy_skill_sets!$1:$1,0)-MATCH($Z$1,[5]enemy_skill_sets!$1:$1,0)+2,FALSE)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2" s="61">
        <v>49015019</v>
      </c>
      <c r="AA12" s="70">
        <v>2</v>
      </c>
    </row>
    <row r="13" spans="1:27" ht="21" customHeight="1" thickBot="1" x14ac:dyDescent="0.2">
      <c r="A13" s="157" t="str">
        <f t="shared" si="3"/>
        <v>49015_2-4/1467&lt;lv50&gt;sq1st3</v>
      </c>
      <c r="B13" s="158">
        <v>49015</v>
      </c>
      <c r="C13" s="159">
        <v>2</v>
      </c>
      <c r="D13" s="160" t="str">
        <f t="shared" si="4"/>
        <v>49015_2</v>
      </c>
      <c r="E13" s="161" t="str">
        <f ca="1">VLOOKUP($B13,OFFSET([2]quests!$A$1,0,0,COUNTA([2]quests!$A:$A),MATCH(E$1,[2]quests!$1:$1,0)-MATCH($B$1,[2]quests!$1:$1,0)+1),MATCH(E$1,[2]quests!$1:$1,0)-MATCH($B$1,[2]quests!$1:$1,0)+1,FALSE)</f>
        <v>スカー襲来！</v>
      </c>
      <c r="F13" s="161" t="str">
        <f ca="1">VLOOKUP($D13,OFFSET([2]stages!$A$1,0,0,COUNTA([2]stages!$A:$A),MATCH(F$1,[2]stages!$2:$2,0)-MATCH($D$1,[2]stages!$2:$2,0)+1),MATCH(F$1,[2]stages!$2:$2,0)-MATCH($D$1,[2]stages!$2:$2,0)+1,FALSE)</f>
        <v>【超級】スカー襲来</v>
      </c>
      <c r="G13" s="159">
        <v>4</v>
      </c>
      <c r="H13" s="160" t="str">
        <f t="shared" si="5"/>
        <v>49015_2-4</v>
      </c>
      <c r="I13" s="161">
        <f ca="1">VLOOKUP($H13,OFFSET(floors!$A$1,0,0,COUNTA(floors!$A:$A),MATCH(I$1,floors!$1:$1,0)-MATCH($H$1,floors!$1:$1,0)+1),MATCH(I$1,floors!$1:$1,0)-MATCH($H$1,floors!$1:$1,0)+1,FALSE)</f>
        <v>60</v>
      </c>
      <c r="J13" s="161">
        <f ca="1">VLOOKUP($H13,OFFSET(floors!$A$1,0,0,COUNTA(floors!$A:$A),MATCH(J$1,floors!$1:$1,0)-MATCH($H$1,floors!$1:$1,0)+1),MATCH(J$1,floors!$1:$1,0)-MATCH($H$1,floors!$1:$1,0)+1,FALSE)</f>
        <v>60</v>
      </c>
      <c r="K13" s="162">
        <v>1</v>
      </c>
      <c r="L13" s="162">
        <v>3</v>
      </c>
      <c r="M13" s="163">
        <v>1467</v>
      </c>
      <c r="N13" s="164" t="str">
        <f ca="1">VLOOKUP($M13,OFFSET([3]enemies!$A$1,0,0,COUNTA([3]enemies!$A:$A),MATCH(N$1,[3]enemies!$1:$1,0)-MATCH($M$1,[3]enemies!$1:$1,0)+1),MATCH(N$1,[3]enemies!$1:$1,0)-MATCH($M$1,[3]enemies!$1:$1,0)+1,FALSE)</f>
        <v>十字傷の男 スカー</v>
      </c>
      <c r="O13" s="164" t="str">
        <f ca="1">VLOOKUP($M13,OFFSET([3]enemies!$A$1,0,0,COUNTA([3]enemies!$A:$A),MATCH(O$1,[3]enemies!$1:$1,0)-MATCH($M$1,[3]enemies!$1:$1,0)+1),MATCH(O$1,[3]enemies!$1:$1,0)-MATCH($M$1,[3]enemies!$1:$1,0)+1,FALSE)</f>
        <v>blue</v>
      </c>
      <c r="P13" s="164" t="str">
        <f ca="1">VLOOKUP($M13,OFFSET([4]characters!$A$1,0,0,COUNTA([4]characters!$A:$A),MATCH(P$1,[4]characters!$1:$1,0)-MATCH($M$1,[4]characters!$1:$1,0)+1),MATCH(P$1,[4]characters!$1:$1,0)-MATCH($M$1,[4]characters!$1:$1,0)+1,FALSE)</f>
        <v>DropWizS</v>
      </c>
      <c r="Q13" s="164" t="str">
        <f ca="1">VLOOKUP($M13,OFFSET([3]enemies!$A$1,0,0,COUNTA([3]enemies!$A:$A),MATCH(Q$1,[3]enemies!$1:$1,0)-MATCH($M$1,[3]enemies!$1:$1,0)+1),MATCH(Q$1,[3]enemies!$1:$1,0)-MATCH($M$1,[3]enemies!$1:$1,0)+1,FALSE)</f>
        <v>human</v>
      </c>
      <c r="R13" s="164">
        <f ca="1">VLOOKUP($M13,OFFSET([3]enemies!$A$1,0,0,COUNTA([3]enemies!$A:$A),MATCH(R$1,[3]enemies!$1:$1,0)-MATCH($M$1,[3]enemies!$1:$1,0)+1),MATCH(R$1,[3]enemies!$1:$1,0)-MATCH($M$1,[3]enemies!$1:$1,0)+1,FALSE)</f>
        <v>60</v>
      </c>
      <c r="S13" s="165">
        <v>50</v>
      </c>
      <c r="T13" s="166">
        <v>2.4</v>
      </c>
      <c r="U13" s="167">
        <f ca="1">ROUND(VLOOKUP(S13,[3]enemy_base_stats!$A:$F,2,FALSE) *INDIRECT("[EnemyMasterData.xlsm]enemies!Y"&amp;(M13+1))*  INDIRECT("[EnemyMasterData.xlsm]enemies!J"&amp;(M13+1))* INDIRECT("[EnemyMasterData.xlsm]enemies!O"&amp;(M13+1))* INDIRECT("[EnemyMasterData.xlsm]enemies!E"&amp;(M13+1))* INDIRECT("[EnemyMasterData.xlsm]enemies!S"&amp;(M13+1))* INDIRECT("[EnemyMasterData.xlsm]enemies!AD"&amp;(M13+1))*[4]ステータス!$B$2,0)*T13</f>
        <v>135960</v>
      </c>
      <c r="V13" s="166">
        <v>0.8</v>
      </c>
      <c r="W13" s="167">
        <f ca="1">ROUND(VLOOKUP(S13,[3]enemy_base_stats!$A:$F,3,FALSE) *INDIRECT("[EnemyMasterData.xlsm]enemies!Z"&amp;(M13+1))*  INDIRECT("[EnemyMasterData.xlsm]enemies!K"&amp;(M13+1))* INDIRECT("[EnemyMasterData.xlsm]enemies!P"&amp;(M13+1))* INDIRECT("[EnemyMasterData.xlsm]enemies!F"&amp;(M13+1))* INDIRECT("[EnemyMasterData.xlsm]enemies!T"&amp;(M13+1))* INDIRECT("[EnemyMasterData.xlsm]enemies!AE"&amp;(M13+1))*[4]ステータス!$C$2,0)*V13</f>
        <v>5754.4000000000005</v>
      </c>
      <c r="X13" s="165">
        <v>0</v>
      </c>
      <c r="Y13" s="161" t="e">
        <f ca="1">VLOOKUP($Z13,OFFSET([5]enemy_skill_sets!$B$1,0,0,COUNTA([5]enemy_skill_sets!$B:$B),MATCH(N$1,[5]enemy_skill_sets!$1:$1,0)-MATCH($Z$1,[5]enemy_skill_sets!$1:$1,0)+2),MATCH(N$1,[5]enemy_skill_sets!$1:$1,0)-MATCH($Z$1,[5]enemy_skill_sets!$1:$1,0)+2,FALSE)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3" s="168">
        <v>49015020</v>
      </c>
      <c r="AA13" s="185">
        <v>1</v>
      </c>
    </row>
    <row r="14" spans="1:27" ht="21" customHeight="1" x14ac:dyDescent="0.15">
      <c r="A14" s="16" t="str">
        <f t="shared" ref="A14:A19" si="6">B14&amp;"_"&amp;C14&amp;"-"&amp;G14&amp;"/"&amp;M14&amp;"&lt;lv"&amp;S14&amp;"&gt;sq"&amp;K14&amp;"st"&amp;L14</f>
        <v>49015_1-1/1469&lt;lv30&gt;sq1st2</v>
      </c>
      <c r="B14" s="22">
        <v>49015</v>
      </c>
      <c r="C14" s="21">
        <v>1</v>
      </c>
      <c r="D14" s="2" t="str">
        <f t="shared" ref="D14:D19" si="7">B14&amp;"_"&amp;C14</f>
        <v>49015_1</v>
      </c>
      <c r="E14" s="4" t="str">
        <f ca="1">VLOOKUP($B14,OFFSET([2]quests!$A$1,0,0,COUNTA([2]quests!$A:$A),MATCH(E$1,[2]quests!$1:$1,0)-MATCH($B$1,[2]quests!$1:$1,0)+1),MATCH(E$1,[2]quests!$1:$1,0)-MATCH($B$1,[2]quests!$1:$1,0)+1,FALSE)</f>
        <v>スカー襲来！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【上級】スカー襲来</v>
      </c>
      <c r="G14" s="21">
        <v>1</v>
      </c>
      <c r="H14" s="15" t="str">
        <f t="shared" ref="H14:H19" si="8">B14&amp;"_"&amp;C14&amp;"-"&amp;G14</f>
        <v>49015_1-1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>
        <v>1</v>
      </c>
      <c r="L14" s="38">
        <v>2</v>
      </c>
      <c r="M14" s="20">
        <v>1469</v>
      </c>
      <c r="N14" s="17" t="str">
        <f ca="1">VLOOKUP($M14,OFFSET([3]enemies!$A$1,0,0,COUNTA([3]enemies!$A:$A),MATCH(N$1,[3]enemies!$1:$1,0)-MATCH($M$1,[3]enemies!$1:$1,0)+1),MATCH(N$1,[3]enemies!$1:$1,0)-MATCH($M$1,[3]enemies!$1:$1,0)+1,FALSE)</f>
        <v>憤怒の大総統 ブラッドレイ</v>
      </c>
      <c r="O14" s="17" t="str">
        <f ca="1">VLOOKUP($M14,OFFSET([3]enemies!$A$1,0,0,COUNTA([3]enemies!$A:$A),MATCH(O$1,[3]enemies!$1:$1,0)-MATCH($M$1,[3]enemies!$1:$1,0)+1),MATCH(O$1,[3]enemies!$1:$1,0)-MATCH($M$1,[3]enemies!$1:$1,0)+1,FALSE)</f>
        <v>yellow</v>
      </c>
      <c r="P14" s="17" t="str">
        <f ca="1">VLOOKUP($M14,OFFSET([4]characters!$A$1,0,0,COUNTA([4]characters!$A:$A),MATCH(P$1,[4]characters!$1:$1,0)-MATCH($M$1,[4]characters!$1:$1,0)+1),MATCH(P$1,[4]characters!$1:$1,0)-MATCH($M$1,[4]characters!$1:$1,0)+1,FALSE)</f>
        <v>Drop2N</v>
      </c>
      <c r="Q14" s="17" t="str">
        <f ca="1">VLOOKUP($M14,OFFSET([3]enemies!$A$1,0,0,COUNTA([3]enemies!$A:$A),MATCH(Q$1,[3]enemies!$1:$1,0)-MATCH($M$1,[3]enemies!$1:$1,0)+1),MATCH(Q$1,[3]enemies!$1:$1,0)-MATCH($M$1,[3]enemies!$1:$1,0)+1,FALSE)</f>
        <v>unknown</v>
      </c>
      <c r="R14" s="17">
        <f ca="1">VLOOKUP($M14,OFFSET([3]enemies!$A$1,0,0,COUNTA([3]enemies!$A:$A),MATCH(R$1,[3]enemies!$1:$1,0)-MATCH($M$1,[3]enemies!$1:$1,0)+1),MATCH(R$1,[3]enemies!$1:$1,0)-MATCH($M$1,[3]enemies!$1:$1,0)+1,FALSE)</f>
        <v>60</v>
      </c>
      <c r="S14" s="5">
        <v>30</v>
      </c>
      <c r="T14" s="25">
        <v>6.1</v>
      </c>
      <c r="U14" s="103">
        <f ca="1">ROUND(VLOOKUP(S14,[3]enemy_base_stats!$A:$F,2,FALSE) *INDIRECT("[EnemyMasterData.xlsm]enemies!Y"&amp;(M14+1))*  INDIRECT("[EnemyMasterData.xlsm]enemies!J"&amp;(M14+1))* INDIRECT("[EnemyMasterData.xlsm]enemies!O"&amp;(M14+1))* INDIRECT("[EnemyMasterData.xlsm]enemies!E"&amp;(M14+1))* INDIRECT("[EnemyMasterData.xlsm]enemies!S"&amp;(M14+1))* INDIRECT("[EnemyMasterData.xlsm]enemies!AD"&amp;(M14+1))*[4]ステータス!$B$2,0)*T14</f>
        <v>319859.59999999998</v>
      </c>
      <c r="V14" s="25">
        <v>0.9</v>
      </c>
      <c r="W14" s="103">
        <f ca="1">ROUND(VLOOKUP(S14,[3]enemy_base_stats!$A:$F,3,FALSE) *INDIRECT("[EnemyMasterData.xlsm]enemies!Z"&amp;(M14+1))*  INDIRECT("[EnemyMasterData.xlsm]enemies!K"&amp;(M14+1))* INDIRECT("[EnemyMasterData.xlsm]enemies!P"&amp;(M14+1))* INDIRECT("[EnemyMasterData.xlsm]enemies!F"&amp;(M14+1))* INDIRECT("[EnemyMasterData.xlsm]enemies!T"&amp;(M14+1))* INDIRECT("[EnemyMasterData.xlsm]enemies!AE"&amp;(M14+1))*[4]ステータス!$C$2,0)*V14</f>
        <v>4115.7</v>
      </c>
      <c r="X14" s="5">
        <v>0</v>
      </c>
      <c r="Y14" s="4" t="e">
        <f ca="1">VLOOKUP($Z14,OFFSET([5]enemy_skill_sets!$B$1,0,0,COUNTA([5]enemy_skill_sets!$B:$B),MATCH(N$1,[5]enemy_skill_sets!$1:$1,0)-MATCH($Z$1,[5]enemy_skill_sets!$1:$1,0)+2),MATCH(N$1,[5]enemy_skill_sets!$1:$1,0)-MATCH($Z$1,[5]enemy_skill_sets!$1:$1,0)+2,FALSE)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4" s="61">
        <v>49015022</v>
      </c>
      <c r="AA14" s="70">
        <v>1</v>
      </c>
    </row>
    <row r="15" spans="1:27" ht="21" customHeight="1" x14ac:dyDescent="0.15">
      <c r="A15" s="16" t="str">
        <f t="shared" si="6"/>
        <v>49015_1-2/171&lt;lv30&gt;sq1st2</v>
      </c>
      <c r="B15" s="22">
        <v>49015</v>
      </c>
      <c r="C15" s="21">
        <v>1</v>
      </c>
      <c r="D15" s="2" t="str">
        <f t="shared" si="7"/>
        <v>49015_1</v>
      </c>
      <c r="E15" s="4" t="str">
        <f ca="1">VLOOKUP($B15,OFFSET([2]quests!$A$1,0,0,COUNTA([2]quests!$A:$A),MATCH(E$1,[2]quests!$1:$1,0)-MATCH($B$1,[2]quests!$1:$1,0)+1),MATCH(E$1,[2]quests!$1:$1,0)-MATCH($B$1,[2]quests!$1:$1,0)+1,FALSE)</f>
        <v>スカー襲来！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【上級】スカー襲来</v>
      </c>
      <c r="G15" s="21">
        <v>2</v>
      </c>
      <c r="H15" s="15" t="str">
        <f t="shared" si="8"/>
        <v>49015_1-2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>
        <v>1</v>
      </c>
      <c r="L15" s="38">
        <v>2</v>
      </c>
      <c r="M15" s="20">
        <v>171</v>
      </c>
      <c r="N15" s="17" t="str">
        <f ca="1">VLOOKUP($M15,OFFSET([3]enemies!$A$1,0,0,COUNTA([3]enemies!$A:$A),MATCH(N$1,[3]enemies!$1:$1,0)-MATCH($M$1,[3]enemies!$1:$1,0)+1),MATCH(N$1,[3]enemies!$1:$1,0)-MATCH($M$1,[3]enemies!$1:$1,0)+1,FALSE)</f>
        <v>精解の預知者 オセ</v>
      </c>
      <c r="O15" s="17" t="str">
        <f ca="1">VLOOKUP($M15,OFFSET([3]enemies!$A$1,0,0,COUNTA([3]enemies!$A:$A),MATCH(O$1,[3]enemies!$1:$1,0)-MATCH($M$1,[3]enemies!$1:$1,0)+1),MATCH(O$1,[3]enemies!$1:$1,0)-MATCH($M$1,[3]enemies!$1:$1,0)+1,FALSE)</f>
        <v>green</v>
      </c>
      <c r="P15" s="17" t="str">
        <f ca="1">VLOOKUP($M15,OFFSET([4]characters!$A$1,0,0,COUNTA([4]characters!$A:$A),MATCH(P$1,[4]characters!$1:$1,0)-MATCH($M$1,[4]characters!$1:$1,0)+1),MATCH(P$1,[4]characters!$1:$1,0)-MATCH($M$1,[4]characters!$1:$1,0)+1,FALSE)</f>
        <v>PremiumN</v>
      </c>
      <c r="Q15" s="17" t="str">
        <f ca="1">VLOOKUP($M15,OFFSET([3]enemies!$A$1,0,0,COUNTA([3]enemies!$A:$A),MATCH(Q$1,[3]enemies!$1:$1,0)-MATCH($M$1,[3]enemies!$1:$1,0)+1),MATCH(Q$1,[3]enemies!$1:$1,0)-MATCH($M$1,[3]enemies!$1:$1,0)+1,FALSE)</f>
        <v>god</v>
      </c>
      <c r="R15" s="17">
        <f ca="1">VLOOKUP($M15,OFFSET([3]enemies!$A$1,0,0,COUNTA([3]enemies!$A:$A),MATCH(R$1,[3]enemies!$1:$1,0)-MATCH($M$1,[3]enemies!$1:$1,0)+1),MATCH(R$1,[3]enemies!$1:$1,0)-MATCH($M$1,[3]enemies!$1:$1,0)+1,FALSE)</f>
        <v>60</v>
      </c>
      <c r="S15" s="5">
        <v>30</v>
      </c>
      <c r="T15" s="25">
        <v>2</v>
      </c>
      <c r="U15" s="103">
        <f ca="1">ROUND(VLOOKUP(S15,[3]enemy_base_stats!$A:$F,2,FALSE) *INDIRECT("[EnemyMasterData.xlsm]enemies!Y"&amp;(M15+1))*  INDIRECT("[EnemyMasterData.xlsm]enemies!J"&amp;(M15+1))* INDIRECT("[EnemyMasterData.xlsm]enemies!O"&amp;(M15+1))* INDIRECT("[EnemyMasterData.xlsm]enemies!E"&amp;(M15+1))* INDIRECT("[EnemyMasterData.xlsm]enemies!S"&amp;(M15+1))* INDIRECT("[EnemyMasterData.xlsm]enemies!AD"&amp;(M15+1))*[4]ステータス!$B$2,0)*T15</f>
        <v>104872</v>
      </c>
      <c r="V15" s="25">
        <v>0.8</v>
      </c>
      <c r="W15" s="103">
        <f ca="1">ROUND(VLOOKUP(S15,[3]enemy_base_stats!$A:$F,3,FALSE) *INDIRECT("[EnemyMasterData.xlsm]enemies!Z"&amp;(M15+1))*  INDIRECT("[EnemyMasterData.xlsm]enemies!K"&amp;(M15+1))* INDIRECT("[EnemyMasterData.xlsm]enemies!P"&amp;(M15+1))* INDIRECT("[EnemyMasterData.xlsm]enemies!F"&amp;(M15+1))* INDIRECT("[EnemyMasterData.xlsm]enemies!T"&amp;(M15+1))* INDIRECT("[EnemyMasterData.xlsm]enemies!AE"&amp;(M15+1))*[4]ステータス!$C$2,0)*V15</f>
        <v>3658.4</v>
      </c>
      <c r="X15" s="5">
        <v>0</v>
      </c>
      <c r="Y15" s="4" t="e">
        <f ca="1">VLOOKUP($Z15,OFFSET([5]enemy_skill_sets!$B$1,0,0,COUNTA([5]enemy_skill_sets!$B:$B),MATCH(N$1,[5]enemy_skill_sets!$1:$1,0)-MATCH($Z$1,[5]enemy_skill_sets!$1:$1,0)+2),MATCH(N$1,[5]enemy_skill_sets!$1:$1,0)-MATCH($Z$1,[5]enemy_skill_sets!$1:$1,0)+2,FALSE)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5" s="61">
        <v>49015024</v>
      </c>
      <c r="AA15" s="70">
        <v>2</v>
      </c>
    </row>
    <row r="16" spans="1:27" ht="21" customHeight="1" x14ac:dyDescent="0.15">
      <c r="A16" s="16" t="str">
        <f t="shared" si="6"/>
        <v>49015_1-2/1468&lt;lv30&gt;sq1st3</v>
      </c>
      <c r="B16" s="22">
        <v>49015</v>
      </c>
      <c r="C16" s="21">
        <v>1</v>
      </c>
      <c r="D16" s="2" t="str">
        <f t="shared" si="7"/>
        <v>49015_1</v>
      </c>
      <c r="E16" s="4" t="str">
        <f ca="1">VLOOKUP($B16,OFFSET([2]quests!$A$1,0,0,COUNTA([2]quests!$A:$A),MATCH(E$1,[2]quests!$1:$1,0)-MATCH($B$1,[2]quests!$1:$1,0)+1),MATCH(E$1,[2]quests!$1:$1,0)-MATCH($B$1,[2]quests!$1:$1,0)+1,FALSE)</f>
        <v>スカー襲来！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【上級】スカー襲来</v>
      </c>
      <c r="G16" s="21">
        <v>2</v>
      </c>
      <c r="H16" s="15" t="str">
        <f t="shared" si="8"/>
        <v>49015_1-2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>
        <v>1</v>
      </c>
      <c r="L16" s="38">
        <v>3</v>
      </c>
      <c r="M16" s="20">
        <v>1468</v>
      </c>
      <c r="N16" s="17" t="str">
        <f ca="1">VLOOKUP($M16,OFFSET([3]enemies!$A$1,0,0,COUNTA([3]enemies!$A:$A),MATCH(N$1,[3]enemies!$1:$1,0)-MATCH($M$1,[3]enemies!$1:$1,0)+1),MATCH(N$1,[3]enemies!$1:$1,0)-MATCH($M$1,[3]enemies!$1:$1,0)+1,FALSE)</f>
        <v>嫉妬の猛心 エンヴィー</v>
      </c>
      <c r="O16" s="17" t="str">
        <f ca="1">VLOOKUP($M16,OFFSET([3]enemies!$A$1,0,0,COUNTA([3]enemies!$A:$A),MATCH(O$1,[3]enemies!$1:$1,0)-MATCH($M$1,[3]enemies!$1:$1,0)+1),MATCH(O$1,[3]enemies!$1:$1,0)-MATCH($M$1,[3]enemies!$1:$1,0)+1,FALSE)</f>
        <v>green</v>
      </c>
      <c r="P16" s="17" t="str">
        <f ca="1">VLOOKUP($M16,OFFSET([4]characters!$A$1,0,0,COUNTA([4]characters!$A:$A),MATCH(P$1,[4]characters!$1:$1,0)-MATCH($M$1,[4]characters!$1:$1,0)+1),MATCH(P$1,[4]characters!$1:$1,0)-MATCH($M$1,[4]characters!$1:$1,0)+1,FALSE)</f>
        <v>Drop2N</v>
      </c>
      <c r="Q16" s="17" t="str">
        <f ca="1">VLOOKUP($M16,OFFSET([3]enemies!$A$1,0,0,COUNTA([3]enemies!$A:$A),MATCH(Q$1,[3]enemies!$1:$1,0)-MATCH($M$1,[3]enemies!$1:$1,0)+1),MATCH(Q$1,[3]enemies!$1:$1,0)-MATCH($M$1,[3]enemies!$1:$1,0)+1,FALSE)</f>
        <v>unknown</v>
      </c>
      <c r="R16" s="17">
        <f ca="1">VLOOKUP($M16,OFFSET([3]enemies!$A$1,0,0,COUNTA([3]enemies!$A:$A),MATCH(R$1,[3]enemies!$1:$1,0)-MATCH($M$1,[3]enemies!$1:$1,0)+1),MATCH(R$1,[3]enemies!$1:$1,0)-MATCH($M$1,[3]enemies!$1:$1,0)+1,FALSE)</f>
        <v>60</v>
      </c>
      <c r="S16" s="5">
        <v>30</v>
      </c>
      <c r="T16" s="25">
        <v>0.8</v>
      </c>
      <c r="U16" s="103">
        <f ca="1">ROUND(VLOOKUP(S16,[3]enemy_base_stats!$A:$F,2,FALSE) *INDIRECT("[EnemyMasterData.xlsm]enemies!Y"&amp;(M16+1))*  INDIRECT("[EnemyMasterData.xlsm]enemies!J"&amp;(M16+1))* INDIRECT("[EnemyMasterData.xlsm]enemies!O"&amp;(M16+1))* INDIRECT("[EnemyMasterData.xlsm]enemies!E"&amp;(M16+1))* INDIRECT("[EnemyMasterData.xlsm]enemies!S"&amp;(M16+1))* INDIRECT("[EnemyMasterData.xlsm]enemies!AD"&amp;(M16+1))*[4]ステータス!$B$2,0)*T16</f>
        <v>41948.800000000003</v>
      </c>
      <c r="V16" s="25">
        <v>0.7</v>
      </c>
      <c r="W16" s="103">
        <f ca="1">ROUND(VLOOKUP(S16,[3]enemy_base_stats!$A:$F,3,FALSE) *INDIRECT("[EnemyMasterData.xlsm]enemies!Z"&amp;(M16+1))*  INDIRECT("[EnemyMasterData.xlsm]enemies!K"&amp;(M16+1))* INDIRECT("[EnemyMasterData.xlsm]enemies!P"&amp;(M16+1))* INDIRECT("[EnemyMasterData.xlsm]enemies!F"&amp;(M16+1))* INDIRECT("[EnemyMasterData.xlsm]enemies!T"&amp;(M16+1))* INDIRECT("[EnemyMasterData.xlsm]enemies!AE"&amp;(M16+1))*[4]ステータス!$C$2,0)*V16</f>
        <v>3201.1</v>
      </c>
      <c r="X16" s="5">
        <v>0</v>
      </c>
      <c r="Y16" s="4" t="e">
        <f ca="1">VLOOKUP($Z16,OFFSET([5]enemy_skill_sets!$B$1,0,0,COUNTA([5]enemy_skill_sets!$B:$B),MATCH(N$1,[5]enemy_skill_sets!$1:$1,0)-MATCH($Z$1,[5]enemy_skill_sets!$1:$1,0)+2),MATCH(N$1,[5]enemy_skill_sets!$1:$1,0)-MATCH($Z$1,[5]enemy_skill_sets!$1:$1,0)+2,FALSE)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6" s="61">
        <v>49015025</v>
      </c>
      <c r="AA16" s="70">
        <v>1</v>
      </c>
    </row>
    <row r="17" spans="1:27" ht="21" customHeight="1" x14ac:dyDescent="0.15">
      <c r="A17" s="16" t="str">
        <f t="shared" si="6"/>
        <v>49015_1-3/1470&lt;lv30&gt;sq1st2</v>
      </c>
      <c r="B17" s="22">
        <v>49015</v>
      </c>
      <c r="C17" s="21">
        <v>1</v>
      </c>
      <c r="D17" s="2" t="str">
        <f t="shared" si="7"/>
        <v>49015_1</v>
      </c>
      <c r="E17" s="4" t="str">
        <f ca="1">VLOOKUP($B17,OFFSET([2]quests!$A$1,0,0,COUNTA([2]quests!$A:$A),MATCH(E$1,[2]quests!$1:$1,0)-MATCH($B$1,[2]quests!$1:$1,0)+1),MATCH(E$1,[2]quests!$1:$1,0)-MATCH($B$1,[2]quests!$1:$1,0)+1,FALSE)</f>
        <v>スカー襲来！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【上級】スカー襲来</v>
      </c>
      <c r="G17" s="21">
        <v>3</v>
      </c>
      <c r="H17" s="15" t="str">
        <f t="shared" si="8"/>
        <v>49015_1-3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>
        <v>1</v>
      </c>
      <c r="L17" s="38">
        <v>2</v>
      </c>
      <c r="M17" s="20">
        <v>1470</v>
      </c>
      <c r="N17" s="17" t="str">
        <f ca="1">VLOOKUP($M17,OFFSET([3]enemies!$A$1,0,0,COUNTA([3]enemies!$A:$A),MATCH(N$1,[3]enemies!$1:$1,0)-MATCH($M$1,[3]enemies!$1:$1,0)+1),MATCH(N$1,[3]enemies!$1:$1,0)-MATCH($M$1,[3]enemies!$1:$1,0)+1,FALSE)</f>
        <v>傲慢なる悪鬼 プライド</v>
      </c>
      <c r="O17" s="17" t="str">
        <f ca="1">VLOOKUP($M17,OFFSET([3]enemies!$A$1,0,0,COUNTA([3]enemies!$A:$A),MATCH(O$1,[3]enemies!$1:$1,0)-MATCH($M$1,[3]enemies!$1:$1,0)+1),MATCH(O$1,[3]enemies!$1:$1,0)-MATCH($M$1,[3]enemies!$1:$1,0)+1,FALSE)</f>
        <v>red</v>
      </c>
      <c r="P17" s="17" t="str">
        <f ca="1">VLOOKUP($M17,OFFSET([4]characters!$A$1,0,0,COUNTA([4]characters!$A:$A),MATCH(P$1,[4]characters!$1:$1,0)-MATCH($M$1,[4]characters!$1:$1,0)+1),MATCH(P$1,[4]characters!$1:$1,0)-MATCH($M$1,[4]characters!$1:$1,0)+1,FALSE)</f>
        <v>Drop2N</v>
      </c>
      <c r="Q17" s="17" t="str">
        <f ca="1">VLOOKUP($M17,OFFSET([3]enemies!$A$1,0,0,COUNTA([3]enemies!$A:$A),MATCH(Q$1,[3]enemies!$1:$1,0)-MATCH($M$1,[3]enemies!$1:$1,0)+1),MATCH(Q$1,[3]enemies!$1:$1,0)-MATCH($M$1,[3]enemies!$1:$1,0)+1,FALSE)</f>
        <v>unknown</v>
      </c>
      <c r="R17" s="17">
        <f ca="1">VLOOKUP($M17,OFFSET([3]enemies!$A$1,0,0,COUNTA([3]enemies!$A:$A),MATCH(R$1,[3]enemies!$1:$1,0)-MATCH($M$1,[3]enemies!$1:$1,0)+1),MATCH(R$1,[3]enemies!$1:$1,0)-MATCH($M$1,[3]enemies!$1:$1,0)+1,FALSE)</f>
        <v>60</v>
      </c>
      <c r="S17" s="5">
        <v>30</v>
      </c>
      <c r="T17" s="25">
        <v>1.4</v>
      </c>
      <c r="U17" s="103">
        <f ca="1">ROUND(VLOOKUP(S17,[3]enemy_base_stats!$A:$F,2,FALSE) *INDIRECT("[EnemyMasterData.xlsm]enemies!Y"&amp;(M17+1))*  INDIRECT("[EnemyMasterData.xlsm]enemies!J"&amp;(M17+1))* INDIRECT("[EnemyMasterData.xlsm]enemies!O"&amp;(M17+1))* INDIRECT("[EnemyMasterData.xlsm]enemies!E"&amp;(M17+1))* INDIRECT("[EnemyMasterData.xlsm]enemies!S"&amp;(M17+1))* INDIRECT("[EnemyMasterData.xlsm]enemies!AD"&amp;(M17+1))*[4]ステータス!$B$2,0)*T17</f>
        <v>70532</v>
      </c>
      <c r="V17" s="25">
        <v>1</v>
      </c>
      <c r="W17" s="103">
        <f ca="1">ROUND(VLOOKUP(S17,[3]enemy_base_stats!$A:$F,3,FALSE) *INDIRECT("[EnemyMasterData.xlsm]enemies!Z"&amp;(M17+1))*  INDIRECT("[EnemyMasterData.xlsm]enemies!K"&amp;(M17+1))* INDIRECT("[EnemyMasterData.xlsm]enemies!P"&amp;(M17+1))* INDIRECT("[EnemyMasterData.xlsm]enemies!F"&amp;(M17+1))* INDIRECT("[EnemyMasterData.xlsm]enemies!T"&amp;(M17+1))* INDIRECT("[EnemyMasterData.xlsm]enemies!AE"&amp;(M17+1))*[4]ステータス!$C$2,0)*V17</f>
        <v>3544</v>
      </c>
      <c r="X17" s="5">
        <v>0</v>
      </c>
      <c r="Y17" s="4" t="e">
        <f ca="1">VLOOKUP($Z17,OFFSET([5]enemy_skill_sets!$B$1,0,0,COUNTA([5]enemy_skill_sets!$B:$B),MATCH(N$1,[5]enemy_skill_sets!$1:$1,0)-MATCH($Z$1,[5]enemy_skill_sets!$1:$1,0)+2),MATCH(N$1,[5]enemy_skill_sets!$1:$1,0)-MATCH($Z$1,[5]enemy_skill_sets!$1:$1,0)+2,FALSE)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7" s="61">
        <v>49015027</v>
      </c>
      <c r="AA17" s="70">
        <v>1</v>
      </c>
    </row>
    <row r="18" spans="1:27" ht="21" customHeight="1" x14ac:dyDescent="0.15">
      <c r="A18" s="16" t="str">
        <f t="shared" si="6"/>
        <v>49015_1-4/1467&lt;lv30&gt;sq1st2</v>
      </c>
      <c r="B18" s="22">
        <v>49015</v>
      </c>
      <c r="C18" s="21">
        <v>1</v>
      </c>
      <c r="D18" s="2" t="str">
        <f t="shared" si="7"/>
        <v>49015_1</v>
      </c>
      <c r="E18" s="4" t="str">
        <f ca="1">VLOOKUP($B18,OFFSET([2]quests!$A$1,0,0,COUNTA([2]quests!$A:$A),MATCH(E$1,[2]quests!$1:$1,0)-MATCH($B$1,[2]quests!$1:$1,0)+1),MATCH(E$1,[2]quests!$1:$1,0)-MATCH($B$1,[2]quests!$1:$1,0)+1,FALSE)</f>
        <v>スカー襲来！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【上級】スカー襲来</v>
      </c>
      <c r="G18" s="21">
        <v>4</v>
      </c>
      <c r="H18" s="15" t="str">
        <f t="shared" si="8"/>
        <v>49015_1-4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>
        <v>1</v>
      </c>
      <c r="L18" s="38">
        <v>2</v>
      </c>
      <c r="M18" s="20">
        <v>1467</v>
      </c>
      <c r="N18" s="17" t="str">
        <f ca="1">VLOOKUP($M18,OFFSET([3]enemies!$A$1,0,0,COUNTA([3]enemies!$A:$A),MATCH(N$1,[3]enemies!$1:$1,0)-MATCH($M$1,[3]enemies!$1:$1,0)+1),MATCH(N$1,[3]enemies!$1:$1,0)-MATCH($M$1,[3]enemies!$1:$1,0)+1,FALSE)</f>
        <v>十字傷の男 スカー</v>
      </c>
      <c r="O18" s="17" t="str">
        <f ca="1">VLOOKUP($M18,OFFSET([3]enemies!$A$1,0,0,COUNTA([3]enemies!$A:$A),MATCH(O$1,[3]enemies!$1:$1,0)-MATCH($M$1,[3]enemies!$1:$1,0)+1),MATCH(O$1,[3]enemies!$1:$1,0)-MATCH($M$1,[3]enemies!$1:$1,0)+1,FALSE)</f>
        <v>blue</v>
      </c>
      <c r="P18" s="17" t="str">
        <f ca="1">VLOOKUP($M18,OFFSET([4]characters!$A$1,0,0,COUNTA([4]characters!$A:$A),MATCH(P$1,[4]characters!$1:$1,0)-MATCH($M$1,[4]characters!$1:$1,0)+1),MATCH(P$1,[4]characters!$1:$1,0)-MATCH($M$1,[4]characters!$1:$1,0)+1,FALSE)</f>
        <v>DropWizS</v>
      </c>
      <c r="Q18" s="17" t="str">
        <f ca="1">VLOOKUP($M18,OFFSET([3]enemies!$A$1,0,0,COUNTA([3]enemies!$A:$A),MATCH(Q$1,[3]enemies!$1:$1,0)-MATCH($M$1,[3]enemies!$1:$1,0)+1),MATCH(Q$1,[3]enemies!$1:$1,0)-MATCH($M$1,[3]enemies!$1:$1,0)+1,FALSE)</f>
        <v>human</v>
      </c>
      <c r="R18" s="17">
        <f ca="1">VLOOKUP($M18,OFFSET([3]enemies!$A$1,0,0,COUNTA([3]enemies!$A:$A),MATCH(R$1,[3]enemies!$1:$1,0)-MATCH($M$1,[3]enemies!$1:$1,0)+1),MATCH(R$1,[3]enemies!$1:$1,0)-MATCH($M$1,[3]enemies!$1:$1,0)+1,FALSE)</f>
        <v>60</v>
      </c>
      <c r="S18" s="5">
        <v>30</v>
      </c>
      <c r="T18" s="25">
        <v>2.1</v>
      </c>
      <c r="U18" s="103">
        <f ca="1">ROUND(VLOOKUP(S18,[3]enemy_base_stats!$A:$F,2,FALSE) *INDIRECT("[EnemyMasterData.xlsm]enemies!Y"&amp;(M18+1))*  INDIRECT("[EnemyMasterData.xlsm]enemies!J"&amp;(M18+1))* INDIRECT("[EnemyMasterData.xlsm]enemies!O"&amp;(M18+1))* INDIRECT("[EnemyMasterData.xlsm]enemies!E"&amp;(M18+1))* INDIRECT("[EnemyMasterData.xlsm]enemies!S"&amp;(M18+1))* INDIRECT("[EnemyMasterData.xlsm]enemies!AD"&amp;(M18+1))*[4]ステータス!$B$2,0)*T18</f>
        <v>72765</v>
      </c>
      <c r="V18" s="25">
        <v>0.7</v>
      </c>
      <c r="W18" s="103">
        <f ca="1">ROUND(VLOOKUP(S18,[3]enemy_base_stats!$A:$F,3,FALSE) *INDIRECT("[EnemyMasterData.xlsm]enemies!Z"&amp;(M18+1))*  INDIRECT("[EnemyMasterData.xlsm]enemies!K"&amp;(M18+1))* INDIRECT("[EnemyMasterData.xlsm]enemies!P"&amp;(M18+1))* INDIRECT("[EnemyMasterData.xlsm]enemies!F"&amp;(M18+1))* INDIRECT("[EnemyMasterData.xlsm]enemies!T"&amp;(M18+1))* INDIRECT("[EnemyMasterData.xlsm]enemies!AE"&amp;(M18+1))*[4]ステータス!$C$2,0)*V18</f>
        <v>3080</v>
      </c>
      <c r="X18" s="5">
        <v>0</v>
      </c>
      <c r="Y18" s="4" t="e">
        <f ca="1">VLOOKUP($Z18,OFFSET([5]enemy_skill_sets!$B$1,0,0,COUNTA([5]enemy_skill_sets!$B:$B),MATCH(N$1,[5]enemy_skill_sets!$1:$1,0)-MATCH($Z$1,[5]enemy_skill_sets!$1:$1,0)+2),MATCH(N$1,[5]enemy_skill_sets!$1:$1,0)-MATCH($Z$1,[5]enemy_skill_sets!$1:$1,0)+2,FALSE)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8" s="61">
        <v>49015029</v>
      </c>
      <c r="AA18" s="70">
        <v>2</v>
      </c>
    </row>
    <row r="19" spans="1:27" ht="21" customHeight="1" thickBot="1" x14ac:dyDescent="0.2">
      <c r="A19" s="157" t="str">
        <f t="shared" si="6"/>
        <v>49015_1-4/1467&lt;lv30&gt;sq1st3</v>
      </c>
      <c r="B19" s="158">
        <v>49015</v>
      </c>
      <c r="C19" s="159">
        <v>1</v>
      </c>
      <c r="D19" s="160" t="str">
        <f t="shared" si="7"/>
        <v>49015_1</v>
      </c>
      <c r="E19" s="161" t="str">
        <f ca="1">VLOOKUP($B19,OFFSET([2]quests!$A$1,0,0,COUNTA([2]quests!$A:$A),MATCH(E$1,[2]quests!$1:$1,0)-MATCH($B$1,[2]quests!$1:$1,0)+1),MATCH(E$1,[2]quests!$1:$1,0)-MATCH($B$1,[2]quests!$1:$1,0)+1,FALSE)</f>
        <v>スカー襲来！</v>
      </c>
      <c r="F19" s="161" t="str">
        <f ca="1">VLOOKUP($D19,OFFSET([2]stages!$A$1,0,0,COUNTA([2]stages!$A:$A),MATCH(F$1,[2]stages!$2:$2,0)-MATCH($D$1,[2]stages!$2:$2,0)+1),MATCH(F$1,[2]stages!$2:$2,0)-MATCH($D$1,[2]stages!$2:$2,0)+1,FALSE)</f>
        <v>【上級】スカー襲来</v>
      </c>
      <c r="G19" s="159">
        <v>4</v>
      </c>
      <c r="H19" s="160" t="str">
        <f t="shared" si="8"/>
        <v>49015_1-4</v>
      </c>
      <c r="I19" s="161">
        <f ca="1">VLOOKUP($H19,OFFSET(floors!$A$1,0,0,COUNTA(floors!$A:$A),MATCH(I$1,floors!$1:$1,0)-MATCH($H$1,floors!$1:$1,0)+1),MATCH(I$1,floors!$1:$1,0)-MATCH($H$1,floors!$1:$1,0)+1,FALSE)</f>
        <v>60</v>
      </c>
      <c r="J19" s="161">
        <f ca="1">VLOOKUP($H19,OFFSET(floors!$A$1,0,0,COUNTA(floors!$A:$A),MATCH(J$1,floors!$1:$1,0)-MATCH($H$1,floors!$1:$1,0)+1),MATCH(J$1,floors!$1:$1,0)-MATCH($H$1,floors!$1:$1,0)+1,FALSE)</f>
        <v>60</v>
      </c>
      <c r="K19" s="162">
        <v>1</v>
      </c>
      <c r="L19" s="162">
        <v>3</v>
      </c>
      <c r="M19" s="163">
        <v>1467</v>
      </c>
      <c r="N19" s="164" t="str">
        <f ca="1">VLOOKUP($M19,OFFSET([3]enemies!$A$1,0,0,COUNTA([3]enemies!$A:$A),MATCH(N$1,[3]enemies!$1:$1,0)-MATCH($M$1,[3]enemies!$1:$1,0)+1),MATCH(N$1,[3]enemies!$1:$1,0)-MATCH($M$1,[3]enemies!$1:$1,0)+1,FALSE)</f>
        <v>十字傷の男 スカー</v>
      </c>
      <c r="O19" s="164" t="str">
        <f ca="1">VLOOKUP($M19,OFFSET([3]enemies!$A$1,0,0,COUNTA([3]enemies!$A:$A),MATCH(O$1,[3]enemies!$1:$1,0)-MATCH($M$1,[3]enemies!$1:$1,0)+1),MATCH(O$1,[3]enemies!$1:$1,0)-MATCH($M$1,[3]enemies!$1:$1,0)+1,FALSE)</f>
        <v>blue</v>
      </c>
      <c r="P19" s="164" t="str">
        <f ca="1">VLOOKUP($M19,OFFSET([4]characters!$A$1,0,0,COUNTA([4]characters!$A:$A),MATCH(P$1,[4]characters!$1:$1,0)-MATCH($M$1,[4]characters!$1:$1,0)+1),MATCH(P$1,[4]characters!$1:$1,0)-MATCH($M$1,[4]characters!$1:$1,0)+1,FALSE)</f>
        <v>DropWizS</v>
      </c>
      <c r="Q19" s="164" t="str">
        <f ca="1">VLOOKUP($M19,OFFSET([3]enemies!$A$1,0,0,COUNTA([3]enemies!$A:$A),MATCH(Q$1,[3]enemies!$1:$1,0)-MATCH($M$1,[3]enemies!$1:$1,0)+1),MATCH(Q$1,[3]enemies!$1:$1,0)-MATCH($M$1,[3]enemies!$1:$1,0)+1,FALSE)</f>
        <v>human</v>
      </c>
      <c r="R19" s="164">
        <f ca="1">VLOOKUP($M19,OFFSET([3]enemies!$A$1,0,0,COUNTA([3]enemies!$A:$A),MATCH(R$1,[3]enemies!$1:$1,0)-MATCH($M$1,[3]enemies!$1:$1,0)+1),MATCH(R$1,[3]enemies!$1:$1,0)-MATCH($M$1,[3]enemies!$1:$1,0)+1,FALSE)</f>
        <v>60</v>
      </c>
      <c r="S19" s="165">
        <v>30</v>
      </c>
      <c r="T19" s="166">
        <v>2.4</v>
      </c>
      <c r="U19" s="167">
        <f ca="1">ROUND(VLOOKUP(S19,[3]enemy_base_stats!$A:$F,2,FALSE) *INDIRECT("[EnemyMasterData.xlsm]enemies!Y"&amp;(M19+1))*  INDIRECT("[EnemyMasterData.xlsm]enemies!J"&amp;(M19+1))* INDIRECT("[EnemyMasterData.xlsm]enemies!O"&amp;(M19+1))* INDIRECT("[EnemyMasterData.xlsm]enemies!E"&amp;(M19+1))* INDIRECT("[EnemyMasterData.xlsm]enemies!S"&amp;(M19+1))* INDIRECT("[EnemyMasterData.xlsm]enemies!AD"&amp;(M19+1))*[4]ステータス!$B$2,0)*T19</f>
        <v>83160</v>
      </c>
      <c r="V19" s="166">
        <v>0.8</v>
      </c>
      <c r="W19" s="167">
        <f ca="1">ROUND(VLOOKUP(S19,[3]enemy_base_stats!$A:$F,3,FALSE) *INDIRECT("[EnemyMasterData.xlsm]enemies!Z"&amp;(M19+1))*  INDIRECT("[EnemyMasterData.xlsm]enemies!K"&amp;(M19+1))* INDIRECT("[EnemyMasterData.xlsm]enemies!P"&amp;(M19+1))* INDIRECT("[EnemyMasterData.xlsm]enemies!F"&amp;(M19+1))* INDIRECT("[EnemyMasterData.xlsm]enemies!T"&amp;(M19+1))* INDIRECT("[EnemyMasterData.xlsm]enemies!AE"&amp;(M19+1))*[4]ステータス!$C$2,0)*V19</f>
        <v>3520</v>
      </c>
      <c r="X19" s="165">
        <v>0</v>
      </c>
      <c r="Y19" s="161" t="e">
        <f ca="1">VLOOKUP($Z19,OFFSET([5]enemy_skill_sets!$B$1,0,0,COUNTA([5]enemy_skill_sets!$B:$B),MATCH(N$1,[5]enemy_skill_sets!$1:$1,0)-MATCH($Z$1,[5]enemy_skill_sets!$1:$1,0)+2),MATCH(N$1,[5]enemy_skill_sets!$1:$1,0)-MATCH($Z$1,[5]enemy_skill_sets!$1:$1,0)+2,FALSE)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19" s="168">
        <v>49015030</v>
      </c>
      <c r="AA19" s="185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95"/>
  <sheetViews>
    <sheetView showGridLines="0" zoomScale="110" zoomScaleNormal="110" zoomScalePageLayoutView="110" workbookViewId="0">
      <pane ySplit="1" topLeftCell="A2" activePane="bottomLeft" state="frozenSplit"/>
      <selection pane="bottomLeft" activeCell="E11" sqref="E11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126</v>
      </c>
      <c r="E1" s="40" t="s">
        <v>81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121">
        <v>49015001</v>
      </c>
      <c r="B2" s="47" t="s">
        <v>359</v>
      </c>
      <c r="C2" s="50">
        <v>3</v>
      </c>
      <c r="D2" s="50" t="s">
        <v>127</v>
      </c>
      <c r="E2" s="116" t="s">
        <v>448</v>
      </c>
      <c r="F2" s="116" t="s">
        <v>360</v>
      </c>
      <c r="G2" s="63" t="str">
        <f t="shared" ref="G2:G9" si="0">IFERROR(LEFT(B2,FIND("],",B2)),B2)</f>
        <v>[effect:enemy_message, val1:1.2, val2:0]</v>
      </c>
      <c r="H2" s="63">
        <f t="shared" ref="H2:H29" si="1">FIND("effect:",G2)+7</f>
        <v>9</v>
      </c>
      <c r="I2" s="63">
        <f t="shared" ref="I2:I9" si="2">IFERROR(FIND(",",G2),LEN(G2))</f>
        <v>22</v>
      </c>
      <c r="J2" s="63" t="e">
        <f t="shared" ref="J2:J9" si="3">FIND("target:",G2)+7</f>
        <v>#VALUE!</v>
      </c>
      <c r="K2" s="63">
        <f t="shared" ref="K2:K9" si="4">FIND(",",G2,I2+1)</f>
        <v>32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 t="shared" ref="M2:M9" si="5">IFERROR(RIGHT(B2,LEN(B2)-FIND("],",B2)-1),"none")</f>
        <v>[effect:fix_speed, target:myself, turn:1]</v>
      </c>
      <c r="N2" s="48" t="str">
        <f t="shared" ref="N2:N9" si="6">IFERROR(LEFT(M2,FIND("],",M2)+S12),M2)</f>
        <v>[effect:fix_speed, target:myself, turn:1]</v>
      </c>
      <c r="O2" s="63">
        <f t="shared" ref="O2:O29" si="7">FIND("effect:",N2)+7</f>
        <v>9</v>
      </c>
      <c r="P2" s="63">
        <f t="shared" ref="P2:P9" si="8">IFERROR(FIND(",",N2),LEN(N2))</f>
        <v>18</v>
      </c>
      <c r="Q2" s="63">
        <f t="shared" ref="Q2:Q9" si="9">FIND("target:",N2)+7</f>
        <v>27</v>
      </c>
      <c r="R2" s="63">
        <f t="shared" ref="R2:R9" si="10">FIND(",",N2,P2+1)</f>
        <v>33</v>
      </c>
      <c r="S2" s="63" t="str">
        <f>IFERROR(VLOOKUP(MID(N2,Q2,R2-Q2),[6]skilldef!$C:$D,2,FALSE),"-") &amp; " / " &amp; IFERROR(VLOOKUP(MID(N2,O2,P2-O2),[6]skilldef!$A:$B,2,FALSE),"-")</f>
        <v>自分自身に / 行動値設定</v>
      </c>
      <c r="T2" s="48" t="str">
        <f t="shared" ref="T2:T9" si="11">IFERROR(RIGHT(M2,LEN(M2)-FIND("],",M2)-1),"none")</f>
        <v>none</v>
      </c>
      <c r="U2" s="63" t="e">
        <f t="shared" ref="U2:U29" si="12">FIND("effect:",T2)+7</f>
        <v>#VALUE!</v>
      </c>
      <c r="V2" s="63">
        <f t="shared" ref="V2:V9" si="13">IFERROR(FIND(",",T2),LEN(T2))</f>
        <v>4</v>
      </c>
      <c r="W2" s="63" t="e">
        <f t="shared" ref="W2:W9" si="14">FIND("target:",T2)+7</f>
        <v>#VALUE!</v>
      </c>
      <c r="X2" s="63" t="e">
        <f t="shared" ref="X2:X9" si="15"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1"/>
      <c r="AB2" s="50"/>
    </row>
    <row r="3" spans="1:28" ht="21" customHeight="1" x14ac:dyDescent="0.15">
      <c r="A3" s="121">
        <v>49015002</v>
      </c>
      <c r="B3" s="47" t="s">
        <v>361</v>
      </c>
      <c r="C3" s="50">
        <v>3</v>
      </c>
      <c r="D3" s="50" t="s">
        <v>127</v>
      </c>
      <c r="E3" s="105" t="s">
        <v>256</v>
      </c>
      <c r="F3" s="105" t="s">
        <v>257</v>
      </c>
      <c r="G3" s="63" t="str">
        <f t="shared" si="0"/>
        <v>[effect:enemy_message, val1:1.5, val2:1.9]</v>
      </c>
      <c r="H3" s="63">
        <f t="shared" si="1"/>
        <v>9</v>
      </c>
      <c r="I3" s="63">
        <f t="shared" si="2"/>
        <v>22</v>
      </c>
      <c r="J3" s="63" t="e">
        <f t="shared" si="3"/>
        <v>#VALUE!</v>
      </c>
      <c r="K3" s="63">
        <f t="shared" si="4"/>
        <v>32</v>
      </c>
      <c r="L3" s="63" t="str">
        <f>IFERROR(VLOOKUP(MID(G3,J3,K3-J3),[6]skilldef!$C:$D,2,FALSE),"-") &amp; " / " &amp; IFERROR(VLOOKUP(MID(G3,H3,I3-H3),[6]skilldef!$A:$B,2,FALSE),"-")</f>
        <v>- / -</v>
      </c>
      <c r="M3" s="63" t="str">
        <f t="shared" si="5"/>
        <v>[effect:fix_speed, target:myself, turn:1]</v>
      </c>
      <c r="N3" s="48" t="str">
        <f t="shared" si="6"/>
        <v>[effect:fix_speed, target:myself, turn:1]</v>
      </c>
      <c r="O3" s="63">
        <f t="shared" si="7"/>
        <v>9</v>
      </c>
      <c r="P3" s="63">
        <f t="shared" si="8"/>
        <v>18</v>
      </c>
      <c r="Q3" s="63">
        <f t="shared" si="9"/>
        <v>27</v>
      </c>
      <c r="R3" s="63">
        <f t="shared" si="10"/>
        <v>33</v>
      </c>
      <c r="S3" s="63" t="str">
        <f>IFERROR(VLOOKUP(MID(N3,Q3,R3-Q3),[6]skilldef!$C:$D,2,FALSE),"-") &amp; " / " &amp; IFERROR(VLOOKUP(MID(N3,O3,P3-O3),[6]skilldef!$A:$B,2,FALSE),"-")</f>
        <v>自分自身に / 行動値設定</v>
      </c>
      <c r="T3" s="48" t="str">
        <f t="shared" si="11"/>
        <v>none</v>
      </c>
      <c r="U3" s="63" t="e">
        <f t="shared" si="12"/>
        <v>#VALUE!</v>
      </c>
      <c r="V3" s="63">
        <f t="shared" si="13"/>
        <v>4</v>
      </c>
      <c r="W3" s="63" t="e">
        <f t="shared" si="14"/>
        <v>#VALUE!</v>
      </c>
      <c r="X3" s="63" t="e">
        <f t="shared" si="15"/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1"/>
      <c r="AB3" s="50"/>
    </row>
    <row r="4" spans="1:28" ht="21" customHeight="1" x14ac:dyDescent="0.15">
      <c r="A4" s="121">
        <v>49015003</v>
      </c>
      <c r="B4" s="47" t="s">
        <v>464</v>
      </c>
      <c r="C4" s="50">
        <v>3</v>
      </c>
      <c r="D4" s="50" t="s">
        <v>127</v>
      </c>
      <c r="E4" s="105" t="s">
        <v>255</v>
      </c>
      <c r="F4" s="211" t="s">
        <v>609</v>
      </c>
      <c r="G4" s="63" t="str">
        <f t="shared" si="0"/>
        <v>[effect:enemy_message, val1:1.3, val2:4.0]</v>
      </c>
      <c r="H4" s="63">
        <f t="shared" si="1"/>
        <v>9</v>
      </c>
      <c r="I4" s="63">
        <f t="shared" si="2"/>
        <v>22</v>
      </c>
      <c r="J4" s="63" t="e">
        <f t="shared" si="3"/>
        <v>#VALUE!</v>
      </c>
      <c r="K4" s="63">
        <f t="shared" si="4"/>
        <v>32</v>
      </c>
      <c r="L4" s="63" t="str">
        <f>IFERROR(VLOOKUP(MID(G4,J4,K4-J4),[6]skilldef!$C:$D,2,FALSE),"-") &amp; " / " &amp; IFERROR(VLOOKUP(MID(G4,H4,I4-H4),[6]skilldef!$A:$B,2,FALSE),"-")</f>
        <v>- / -</v>
      </c>
      <c r="M4" s="63" t="str">
        <f t="shared" si="5"/>
        <v>[effect:fix_speed, target:myself, turn:1],[effect:sp_boost, target:unit_all, val:4, animation:sp_boost_one02]</v>
      </c>
      <c r="N4" s="48" t="str">
        <f t="shared" si="6"/>
        <v>[effect:fix_speed, target:myself, turn:1],[effect:sp_boost, target:unit_all, val:4, animation:sp_boost_one02]</v>
      </c>
      <c r="O4" s="63">
        <f t="shared" si="7"/>
        <v>9</v>
      </c>
      <c r="P4" s="63">
        <f t="shared" si="8"/>
        <v>18</v>
      </c>
      <c r="Q4" s="63">
        <f t="shared" si="9"/>
        <v>27</v>
      </c>
      <c r="R4" s="63">
        <f t="shared" si="10"/>
        <v>33</v>
      </c>
      <c r="S4" s="63" t="str">
        <f>IFERROR(VLOOKUP(MID(N4,Q4,R4-Q4),[6]skilldef!$C:$D,2,FALSE),"-") &amp; " / " &amp; IFERROR(VLOOKUP(MID(N4,O4,P4-O4),[6]skilldef!$A:$B,2,FALSE),"-")</f>
        <v>自分自身に / 行動値設定</v>
      </c>
      <c r="T4" s="48" t="str">
        <f t="shared" si="11"/>
        <v>[effect:sp_boost, target:unit_all, val:4, animation:sp_boost_one02]</v>
      </c>
      <c r="U4" s="63">
        <f t="shared" si="12"/>
        <v>9</v>
      </c>
      <c r="V4" s="63">
        <f t="shared" si="13"/>
        <v>17</v>
      </c>
      <c r="W4" s="63">
        <f t="shared" si="14"/>
        <v>26</v>
      </c>
      <c r="X4" s="63">
        <f t="shared" si="15"/>
        <v>34</v>
      </c>
      <c r="Y4" s="63" t="str">
        <f>IFERROR(VLOOKUP(MID(T4,W4,X4-W4),[6]skilldef!$C:$D,2,FALSE),"-") &amp; " / " &amp; IFERROR(VLOOKUP(MID(T4,U4,V4-U4),[6]skilldef!$A:$B,2,FALSE),"-")</f>
        <v>味方全体に / -</v>
      </c>
      <c r="Z4" s="50"/>
      <c r="AA4" s="51"/>
      <c r="AB4" s="50"/>
    </row>
    <row r="5" spans="1:28" ht="21" customHeight="1" x14ac:dyDescent="0.15">
      <c r="A5" s="121">
        <v>49015004</v>
      </c>
      <c r="B5" s="47" t="s">
        <v>362</v>
      </c>
      <c r="C5" s="50">
        <v>3</v>
      </c>
      <c r="D5" s="50" t="s">
        <v>127</v>
      </c>
      <c r="E5" s="105" t="s">
        <v>258</v>
      </c>
      <c r="F5" s="105" t="s">
        <v>259</v>
      </c>
      <c r="G5" s="63" t="str">
        <f t="shared" si="0"/>
        <v>[effect:enemy_message, val1:1.6, val2:1.2]</v>
      </c>
      <c r="H5" s="63">
        <f t="shared" si="1"/>
        <v>9</v>
      </c>
      <c r="I5" s="63">
        <f t="shared" si="2"/>
        <v>22</v>
      </c>
      <c r="J5" s="63" t="e">
        <f t="shared" si="3"/>
        <v>#VALUE!</v>
      </c>
      <c r="K5" s="63">
        <f t="shared" si="4"/>
        <v>32</v>
      </c>
      <c r="L5" s="63" t="str">
        <f>IFERROR(VLOOKUP(MID(G5,J5,K5-J5),[6]skilldef!$C:$D,2,FALSE),"-") &amp; " / " &amp; IFERROR(VLOOKUP(MID(G5,H5,I5-H5),[6]skilldef!$A:$B,2,FALSE),"-")</f>
        <v>- / -</v>
      </c>
      <c r="M5" s="63" t="str">
        <f t="shared" si="5"/>
        <v>[effect:fix_speed, target:myself, turn:1]</v>
      </c>
      <c r="N5" s="48" t="str">
        <f t="shared" si="6"/>
        <v>[effect:fix_speed, target:myself, turn:1]</v>
      </c>
      <c r="O5" s="63">
        <f t="shared" si="7"/>
        <v>9</v>
      </c>
      <c r="P5" s="63">
        <f t="shared" si="8"/>
        <v>18</v>
      </c>
      <c r="Q5" s="63">
        <f t="shared" si="9"/>
        <v>27</v>
      </c>
      <c r="R5" s="63">
        <f t="shared" si="10"/>
        <v>33</v>
      </c>
      <c r="S5" s="63" t="str">
        <f>IFERROR(VLOOKUP(MID(N5,Q5,R5-Q5),[6]skilldef!$C:$D,2,FALSE),"-") &amp; " / " &amp; IFERROR(VLOOKUP(MID(N5,O5,P5-O5),[6]skilldef!$A:$B,2,FALSE),"-")</f>
        <v>自分自身に / 行動値設定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1"/>
      <c r="AB5" s="50"/>
    </row>
    <row r="6" spans="1:28" ht="21" customHeight="1" x14ac:dyDescent="0.15">
      <c r="A6" s="121">
        <v>49015005</v>
      </c>
      <c r="B6" s="47" t="s">
        <v>364</v>
      </c>
      <c r="C6" s="50">
        <v>3</v>
      </c>
      <c r="D6" s="50" t="s">
        <v>127</v>
      </c>
      <c r="E6" s="105" t="s">
        <v>260</v>
      </c>
      <c r="F6" s="105" t="s">
        <v>363</v>
      </c>
      <c r="G6" s="63" t="str">
        <f t="shared" si="0"/>
        <v>[effect:enemy_message, val1:1.8, val2:0]</v>
      </c>
      <c r="H6" s="63">
        <f t="shared" si="1"/>
        <v>9</v>
      </c>
      <c r="I6" s="63">
        <f t="shared" si="2"/>
        <v>22</v>
      </c>
      <c r="J6" s="63" t="e">
        <f t="shared" si="3"/>
        <v>#VALUE!</v>
      </c>
      <c r="K6" s="63">
        <f t="shared" si="4"/>
        <v>32</v>
      </c>
      <c r="L6" s="63" t="str">
        <f>IFERROR(VLOOKUP(MID(G6,J6,K6-J6),[6]skilldef!$C:$D,2,FALSE),"-") &amp; " / " &amp; IFERROR(VLOOKUP(MID(G6,H6,I6-H6),[6]skilldef!$A:$B,2,FALSE),"-")</f>
        <v>- / -</v>
      </c>
      <c r="M6" s="63" t="str">
        <f t="shared" si="5"/>
        <v>[effect:fix_speed, target:myself, turn:1]</v>
      </c>
      <c r="N6" s="48" t="str">
        <f t="shared" si="6"/>
        <v>[effect:fix_speed, target:myself, turn:1]</v>
      </c>
      <c r="O6" s="63">
        <f t="shared" si="7"/>
        <v>9</v>
      </c>
      <c r="P6" s="63">
        <f t="shared" si="8"/>
        <v>18</v>
      </c>
      <c r="Q6" s="63">
        <f t="shared" si="9"/>
        <v>27</v>
      </c>
      <c r="R6" s="63">
        <f t="shared" si="10"/>
        <v>33</v>
      </c>
      <c r="S6" s="63" t="str">
        <f>IFERROR(VLOOKUP(MID(N6,Q6,R6-Q6),[6]skilldef!$C:$D,2,FALSE),"-") &amp; " / " &amp; IFERROR(VLOOKUP(MID(N6,O6,P6-O6),[6]skilldef!$A:$B,2,FALSE),"-")</f>
        <v>自分自身に / 行動値設定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1"/>
      <c r="AB6" s="50"/>
    </row>
    <row r="7" spans="1:28" ht="21" customHeight="1" x14ac:dyDescent="0.15">
      <c r="A7" s="121">
        <v>49015006</v>
      </c>
      <c r="B7" s="47" t="s">
        <v>365</v>
      </c>
      <c r="C7" s="50">
        <v>3</v>
      </c>
      <c r="D7" s="50" t="s">
        <v>127</v>
      </c>
      <c r="E7" s="105" t="s">
        <v>262</v>
      </c>
      <c r="F7" s="105" t="s">
        <v>363</v>
      </c>
      <c r="G7" s="63" t="str">
        <f t="shared" si="0"/>
        <v>[effect:enemy_message, val1:1.4, val2:0]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32</v>
      </c>
      <c r="L7" s="63" t="str">
        <f>IFERROR(VLOOKUP(MID(G7,J7,K7-J7),[6]skilldef!$C:$D,2,FALSE),"-") &amp; " / " &amp; IFERROR(VLOOKUP(MID(G7,H7,I7-H7),[6]skilldef!$A:$B,2,FALSE),"-")</f>
        <v>- / -</v>
      </c>
      <c r="M7" s="63" t="str">
        <f t="shared" si="5"/>
        <v>[effect:fix_speed, target:myself, turn:1]</v>
      </c>
      <c r="N7" s="48" t="str">
        <f t="shared" si="6"/>
        <v>[effect:fix_speed, target:myself, turn:1]</v>
      </c>
      <c r="O7" s="63">
        <f t="shared" si="7"/>
        <v>9</v>
      </c>
      <c r="P7" s="63">
        <f t="shared" si="8"/>
        <v>18</v>
      </c>
      <c r="Q7" s="63">
        <f t="shared" si="9"/>
        <v>27</v>
      </c>
      <c r="R7" s="63">
        <f t="shared" si="10"/>
        <v>33</v>
      </c>
      <c r="S7" s="63" t="str">
        <f>IFERROR(VLOOKUP(MID(N7,Q7,R7-Q7),[6]skilldef!$C:$D,2,FALSE),"-") &amp; " / " &amp; IFERROR(VLOOKUP(MID(N7,O7,P7-O7),[6]skilldef!$A:$B,2,FALSE),"-")</f>
        <v>自分自身に / 行動値設定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1"/>
      <c r="AB7" s="50"/>
    </row>
    <row r="8" spans="1:28" ht="21" customHeight="1" x14ac:dyDescent="0.15">
      <c r="A8" s="121">
        <v>49015007</v>
      </c>
      <c r="B8" s="47" t="s">
        <v>366</v>
      </c>
      <c r="C8" s="50">
        <v>3</v>
      </c>
      <c r="D8" s="50" t="s">
        <v>127</v>
      </c>
      <c r="E8" s="105" t="s">
        <v>263</v>
      </c>
      <c r="F8" s="105" t="s">
        <v>264</v>
      </c>
      <c r="G8" s="63" t="str">
        <f t="shared" si="0"/>
        <v>[effect:enemy_message, val1:1.2, val2:1.3]</v>
      </c>
      <c r="H8" s="63">
        <f t="shared" si="1"/>
        <v>9</v>
      </c>
      <c r="I8" s="63">
        <f t="shared" si="2"/>
        <v>22</v>
      </c>
      <c r="J8" s="63" t="e">
        <f t="shared" si="3"/>
        <v>#VALUE!</v>
      </c>
      <c r="K8" s="63">
        <f t="shared" si="4"/>
        <v>32</v>
      </c>
      <c r="L8" s="63" t="str">
        <f>IFERROR(VLOOKUP(MID(G8,J8,K8-J8),[6]skilldef!$C:$D,2,FALSE),"-") &amp; " / " &amp; IFERROR(VLOOKUP(MID(G8,H8,I8-H8),[6]skilldef!$A:$B,2,FALSE),"-")</f>
        <v>- / -</v>
      </c>
      <c r="M8" s="63" t="str">
        <f t="shared" si="5"/>
        <v>[effect:fix_speed, target:myself, turn:1]</v>
      </c>
      <c r="N8" s="48" t="str">
        <f t="shared" si="6"/>
        <v>[effect:fix_speed, target:myself, turn:1]</v>
      </c>
      <c r="O8" s="63">
        <f t="shared" si="7"/>
        <v>9</v>
      </c>
      <c r="P8" s="63">
        <f t="shared" si="8"/>
        <v>18</v>
      </c>
      <c r="Q8" s="63">
        <f t="shared" si="9"/>
        <v>27</v>
      </c>
      <c r="R8" s="63">
        <f t="shared" si="10"/>
        <v>33</v>
      </c>
      <c r="S8" s="63" t="str">
        <f>IFERROR(VLOOKUP(MID(N8,Q8,R8-Q8),[6]skilldef!$C:$D,2,FALSE),"-") &amp; " / " &amp; IFERROR(VLOOKUP(MID(N8,O8,P8-O8),[6]skilldef!$A:$B,2,FALSE),"-")</f>
        <v>自分自身に / 行動値設定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1"/>
      <c r="AB8" s="50"/>
    </row>
    <row r="9" spans="1:28" ht="21" customHeight="1" x14ac:dyDescent="0.15">
      <c r="A9" s="121">
        <v>49015008</v>
      </c>
      <c r="B9" s="47" t="s">
        <v>367</v>
      </c>
      <c r="C9" s="50">
        <v>3</v>
      </c>
      <c r="D9" s="50" t="s">
        <v>127</v>
      </c>
      <c r="E9" s="105" t="s">
        <v>265</v>
      </c>
      <c r="F9" s="105" t="s">
        <v>266</v>
      </c>
      <c r="G9" s="63" t="str">
        <f t="shared" si="0"/>
        <v>[effect:enemy_message, val1:1.7, val2:2.4]</v>
      </c>
      <c r="H9" s="63">
        <f t="shared" si="1"/>
        <v>9</v>
      </c>
      <c r="I9" s="63">
        <f t="shared" si="2"/>
        <v>22</v>
      </c>
      <c r="J9" s="63" t="e">
        <f t="shared" si="3"/>
        <v>#VALUE!</v>
      </c>
      <c r="K9" s="63">
        <f t="shared" si="4"/>
        <v>32</v>
      </c>
      <c r="L9" s="63" t="str">
        <f>IFERROR(VLOOKUP(MID(G9,J9,K9-J9),[6]skilldef!$C:$D,2,FALSE),"-") &amp; " / " &amp; IFERROR(VLOOKUP(MID(G9,H9,I9-H9),[6]skilldef!$A:$B,2,FALSE),"-")</f>
        <v>- / -</v>
      </c>
      <c r="M9" s="63" t="str">
        <f t="shared" si="5"/>
        <v>[effect:fix_speed, target:myself, turn:1]</v>
      </c>
      <c r="N9" s="48" t="str">
        <f t="shared" si="6"/>
        <v>[effect:fix_speed, target:myself, turn:1]</v>
      </c>
      <c r="O9" s="63">
        <f t="shared" si="7"/>
        <v>9</v>
      </c>
      <c r="P9" s="63">
        <f t="shared" si="8"/>
        <v>18</v>
      </c>
      <c r="Q9" s="63">
        <f t="shared" si="9"/>
        <v>27</v>
      </c>
      <c r="R9" s="63">
        <f t="shared" si="10"/>
        <v>33</v>
      </c>
      <c r="S9" s="63" t="str">
        <f>IFERROR(VLOOKUP(MID(N9,Q9,R9-Q9),[6]skilldef!$C:$D,2,FALSE),"-") &amp; " / " &amp; IFERROR(VLOOKUP(MID(N9,O9,P9-O9),[6]skilldef!$A:$B,2,FALSE),"-")</f>
        <v>自分自身に / 行動値設定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1"/>
      <c r="AB9" s="50"/>
    </row>
    <row r="10" spans="1:28" ht="21" customHeight="1" x14ac:dyDescent="0.15">
      <c r="A10" s="121">
        <v>49015009</v>
      </c>
      <c r="B10" s="47" t="s">
        <v>463</v>
      </c>
      <c r="C10" s="50">
        <v>3</v>
      </c>
      <c r="D10" s="50" t="s">
        <v>127</v>
      </c>
      <c r="E10" s="105" t="s">
        <v>267</v>
      </c>
      <c r="F10" s="105" t="s">
        <v>268</v>
      </c>
      <c r="G10" s="63" t="str">
        <f t="shared" ref="G10:G14" si="16">IFERROR(LEFT(B10,FIND("],",B10)),B10)</f>
        <v>[effect:enemy_message, val1:1.2, val2:1.2]</v>
      </c>
      <c r="H10" s="63">
        <f t="shared" si="1"/>
        <v>9</v>
      </c>
      <c r="I10" s="63">
        <f t="shared" ref="I10:I14" si="17">IFERROR(FIND(",",G10),LEN(G10))</f>
        <v>22</v>
      </c>
      <c r="J10" s="63" t="e">
        <f t="shared" ref="J10:J14" si="18">FIND("target:",G10)+7</f>
        <v>#VALUE!</v>
      </c>
      <c r="K10" s="63">
        <f t="shared" ref="K10:K14" si="19">FIND(",",G10,I10+1)</f>
        <v>32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ref="M10:M14" si="20">IFERROR(RIGHT(B10,LEN(B10)-FIND("],",B10)-1),"none")</f>
        <v>[effect:rush, count:4, val:0.18]</v>
      </c>
      <c r="N10" s="48" t="str">
        <f t="shared" ref="N10:N14" si="21">IFERROR(LEFT(M10,FIND("],",M10)+S20),M10)</f>
        <v>[effect:rush, count:4, val:0.18]</v>
      </c>
      <c r="O10" s="63">
        <f t="shared" si="7"/>
        <v>9</v>
      </c>
      <c r="P10" s="63">
        <f t="shared" ref="P10:P14" si="22">IFERROR(FIND(",",N10),LEN(N10))</f>
        <v>13</v>
      </c>
      <c r="Q10" s="63" t="e">
        <f t="shared" ref="Q10:Q14" si="23">FIND("target:",N10)+7</f>
        <v>#VALUE!</v>
      </c>
      <c r="R10" s="63">
        <f t="shared" ref="R10:R14" si="24">FIND(",",N10,P10+1)</f>
        <v>22</v>
      </c>
      <c r="S10" s="63" t="str">
        <f>IFERROR(VLOOKUP(MID(N10,Q10,R10-Q10),[6]skilldef!$C:$D,2,FALSE),"-") &amp; " / " &amp; IFERROR(VLOOKUP(MID(N10,O10,P10-O10),[6]skilldef!$A:$B,2,FALSE),"-")</f>
        <v>- / 連続攻撃</v>
      </c>
      <c r="T10" s="48" t="str">
        <f t="shared" ref="T10:T14" si="25">IFERROR(RIGHT(M10,LEN(M10)-FIND("],",M10)-1),"none")</f>
        <v>none</v>
      </c>
      <c r="U10" s="63" t="e">
        <f t="shared" si="12"/>
        <v>#VALUE!</v>
      </c>
      <c r="V10" s="63">
        <f t="shared" ref="V10:V14" si="26">IFERROR(FIND(",",T10),LEN(T10))</f>
        <v>4</v>
      </c>
      <c r="W10" s="63" t="e">
        <f t="shared" ref="W10:W14" si="27">FIND("target:",T10)+7</f>
        <v>#VALUE!</v>
      </c>
      <c r="X10" s="63" t="e">
        <f t="shared" ref="X10:X14" si="28">FIND(",",T10,V10+1)</f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1"/>
      <c r="AB10" s="50"/>
    </row>
    <row r="11" spans="1:28" ht="21" customHeight="1" x14ac:dyDescent="0.15">
      <c r="A11" s="121">
        <v>49015010</v>
      </c>
      <c r="B11" s="47" t="s">
        <v>368</v>
      </c>
      <c r="C11" s="50">
        <v>3</v>
      </c>
      <c r="D11" s="50" t="s">
        <v>127</v>
      </c>
      <c r="E11" s="105" t="s">
        <v>610</v>
      </c>
      <c r="F11" s="105" t="s">
        <v>269</v>
      </c>
      <c r="G11" s="63" t="str">
        <f t="shared" si="16"/>
        <v>[effect:enemy_message, val1:1.6, val2:1.2]</v>
      </c>
      <c r="H11" s="63">
        <f t="shared" si="1"/>
        <v>9</v>
      </c>
      <c r="I11" s="63">
        <f t="shared" si="17"/>
        <v>22</v>
      </c>
      <c r="J11" s="63" t="e">
        <f t="shared" si="18"/>
        <v>#VALUE!</v>
      </c>
      <c r="K11" s="63">
        <f t="shared" si="19"/>
        <v>32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si="20"/>
        <v>[effect:spread, val:0.15]</v>
      </c>
      <c r="N11" s="48" t="str">
        <f t="shared" si="21"/>
        <v>[effect:spread, val:0.15]</v>
      </c>
      <c r="O11" s="63">
        <f t="shared" si="7"/>
        <v>9</v>
      </c>
      <c r="P11" s="63">
        <f t="shared" si="22"/>
        <v>15</v>
      </c>
      <c r="Q11" s="63" t="e">
        <f t="shared" si="23"/>
        <v>#VALUE!</v>
      </c>
      <c r="R11" s="63" t="e">
        <f t="shared" si="24"/>
        <v>#VALUE!</v>
      </c>
      <c r="S11" s="63" t="str">
        <f>IFERROR(VLOOKUP(MID(N11,Q11,R11-Q11),[6]skilldef!$C:$D,2,FALSE),"-") &amp; " / " &amp; IFERROR(VLOOKUP(MID(N11,O11,P11-O11),[6]skilldef!$A:$B,2,FALSE),"-")</f>
        <v>- / 全体攻撃</v>
      </c>
      <c r="T11" s="48" t="str">
        <f t="shared" si="25"/>
        <v>none</v>
      </c>
      <c r="U11" s="63" t="e">
        <f t="shared" si="12"/>
        <v>#VALUE!</v>
      </c>
      <c r="V11" s="63">
        <f t="shared" si="26"/>
        <v>4</v>
      </c>
      <c r="W11" s="63" t="e">
        <f t="shared" si="27"/>
        <v>#VALUE!</v>
      </c>
      <c r="X11" s="63" t="e">
        <f t="shared" si="28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1"/>
      <c r="AB11" s="50"/>
    </row>
    <row r="12" spans="1:28" ht="21" customHeight="1" thickBot="1" x14ac:dyDescent="0.2">
      <c r="A12" s="122">
        <v>49015011</v>
      </c>
      <c r="B12" s="111" t="s">
        <v>370</v>
      </c>
      <c r="C12" s="50">
        <v>3</v>
      </c>
      <c r="D12" s="112" t="s">
        <v>127</v>
      </c>
      <c r="E12" s="117" t="s">
        <v>369</v>
      </c>
      <c r="F12" s="117" t="s">
        <v>284</v>
      </c>
      <c r="G12" s="113" t="str">
        <f t="shared" si="16"/>
        <v>[effect:enemy_message, val1:1.2, val2:1.2]</v>
      </c>
      <c r="H12" s="113">
        <f t="shared" si="1"/>
        <v>9</v>
      </c>
      <c r="I12" s="113">
        <f t="shared" si="17"/>
        <v>22</v>
      </c>
      <c r="J12" s="113" t="e">
        <f t="shared" si="18"/>
        <v>#VALUE!</v>
      </c>
      <c r="K12" s="113">
        <f t="shared" si="19"/>
        <v>32</v>
      </c>
      <c r="L12" s="113" t="str">
        <f>IFERROR(VLOOKUP(MID(G12,J12,K12-J12),[6]skilldef!$C:$D,2,FALSE),"-") &amp; " / " &amp; IFERROR(VLOOKUP(MID(G12,H12,I12-H12),[6]skilldef!$A:$B,2,FALSE),"-")</f>
        <v>- / -</v>
      </c>
      <c r="M12" s="113" t="str">
        <f t="shared" si="20"/>
        <v>[effect:critical, val:1.1, animation:enemy_critical]</v>
      </c>
      <c r="N12" s="114" t="str">
        <f t="shared" si="21"/>
        <v>[effect:critical, val:1.1, animation:enemy_critical]</v>
      </c>
      <c r="O12" s="113">
        <f t="shared" si="7"/>
        <v>9</v>
      </c>
      <c r="P12" s="113">
        <f t="shared" si="22"/>
        <v>17</v>
      </c>
      <c r="Q12" s="113" t="e">
        <f t="shared" si="23"/>
        <v>#VALUE!</v>
      </c>
      <c r="R12" s="113">
        <f t="shared" si="24"/>
        <v>26</v>
      </c>
      <c r="S12" s="113" t="str">
        <f>IFERROR(VLOOKUP(MID(N12,Q12,R12-Q12),[6]skilldef!$C:$D,2,FALSE),"-") &amp; " / " &amp; IFERROR(VLOOKUP(MID(N12,O12,P12-O12),[6]skilldef!$A:$B,2,FALSE),"-")</f>
        <v>- / 大攻撃</v>
      </c>
      <c r="T12" s="114" t="str">
        <f t="shared" si="25"/>
        <v>none</v>
      </c>
      <c r="U12" s="113" t="e">
        <f t="shared" si="12"/>
        <v>#VALUE!</v>
      </c>
      <c r="V12" s="113">
        <f t="shared" si="26"/>
        <v>4</v>
      </c>
      <c r="W12" s="113" t="e">
        <f t="shared" si="27"/>
        <v>#VALUE!</v>
      </c>
      <c r="X12" s="113" t="e">
        <f t="shared" si="28"/>
        <v>#VALUE!</v>
      </c>
      <c r="Y12" s="113" t="str">
        <f>IFERROR(VLOOKUP(MID(T12,W12,X12-W12),[6]skilldef!$C:$D,2,FALSE),"-") &amp; " / " &amp; IFERROR(VLOOKUP(MID(T12,U12,V12-U12),[6]skilldef!$A:$B,2,FALSE),"-")</f>
        <v>- / -</v>
      </c>
      <c r="Z12" s="112"/>
      <c r="AA12" s="115"/>
      <c r="AB12" s="112"/>
    </row>
    <row r="13" spans="1:28" ht="21" customHeight="1" x14ac:dyDescent="0.15">
      <c r="A13" s="123">
        <v>49015012</v>
      </c>
      <c r="B13" s="106" t="s">
        <v>365</v>
      </c>
      <c r="C13" s="50">
        <v>3</v>
      </c>
      <c r="D13" s="107" t="s">
        <v>127</v>
      </c>
      <c r="E13" s="120" t="s">
        <v>270</v>
      </c>
      <c r="F13" s="120" t="s">
        <v>261</v>
      </c>
      <c r="G13" s="108" t="str">
        <f t="shared" si="16"/>
        <v>[effect:enemy_message, val1:1.4, val2:0]</v>
      </c>
      <c r="H13" s="108">
        <f t="shared" si="1"/>
        <v>9</v>
      </c>
      <c r="I13" s="108">
        <f t="shared" si="17"/>
        <v>22</v>
      </c>
      <c r="J13" s="108" t="e">
        <f t="shared" si="18"/>
        <v>#VALUE!</v>
      </c>
      <c r="K13" s="108">
        <f t="shared" si="19"/>
        <v>32</v>
      </c>
      <c r="L13" s="108" t="str">
        <f>IFERROR(VLOOKUP(MID(G13,J13,K13-J13),[6]skilldef!$C:$D,2,FALSE),"-") &amp; " / " &amp; IFERROR(VLOOKUP(MID(G13,H13,I13-H13),[6]skilldef!$A:$B,2,FALSE),"-")</f>
        <v>- / -</v>
      </c>
      <c r="M13" s="108" t="str">
        <f t="shared" si="20"/>
        <v>[effect:fix_speed, target:myself, turn:1]</v>
      </c>
      <c r="N13" s="109" t="str">
        <f t="shared" si="21"/>
        <v>[effect:fix_speed, target:myself, turn:1]</v>
      </c>
      <c r="O13" s="108">
        <f t="shared" si="7"/>
        <v>9</v>
      </c>
      <c r="P13" s="108">
        <f t="shared" si="22"/>
        <v>18</v>
      </c>
      <c r="Q13" s="108">
        <f t="shared" si="23"/>
        <v>27</v>
      </c>
      <c r="R13" s="108">
        <f t="shared" si="24"/>
        <v>33</v>
      </c>
      <c r="S13" s="108" t="str">
        <f>IFERROR(VLOOKUP(MID(N13,Q13,R13-Q13),[6]skilldef!$C:$D,2,FALSE),"-") &amp; " / " &amp; IFERROR(VLOOKUP(MID(N13,O13,P13-O13),[6]skilldef!$A:$B,2,FALSE),"-")</f>
        <v>自分自身に / 行動値設定</v>
      </c>
      <c r="T13" s="109" t="str">
        <f t="shared" si="25"/>
        <v>none</v>
      </c>
      <c r="U13" s="108" t="e">
        <f t="shared" si="12"/>
        <v>#VALUE!</v>
      </c>
      <c r="V13" s="108">
        <f t="shared" si="26"/>
        <v>4</v>
      </c>
      <c r="W13" s="108" t="e">
        <f t="shared" si="27"/>
        <v>#VALUE!</v>
      </c>
      <c r="X13" s="108" t="e">
        <f t="shared" si="28"/>
        <v>#VALUE!</v>
      </c>
      <c r="Y13" s="108" t="str">
        <f>IFERROR(VLOOKUP(MID(T13,W13,X13-W13),[6]skilldef!$C:$D,2,FALSE),"-") &amp; " / " &amp; IFERROR(VLOOKUP(MID(T13,U13,V13-U13),[6]skilldef!$A:$B,2,FALSE),"-")</f>
        <v>- / -</v>
      </c>
      <c r="Z13" s="107"/>
      <c r="AA13" s="110"/>
      <c r="AB13" s="107"/>
    </row>
    <row r="14" spans="1:28" ht="21" customHeight="1" x14ac:dyDescent="0.15">
      <c r="A14" s="121">
        <v>49015013</v>
      </c>
      <c r="B14" s="47" t="s">
        <v>463</v>
      </c>
      <c r="C14" s="50">
        <v>3</v>
      </c>
      <c r="D14" s="50" t="s">
        <v>127</v>
      </c>
      <c r="E14" s="105" t="s">
        <v>267</v>
      </c>
      <c r="F14" s="105" t="s">
        <v>268</v>
      </c>
      <c r="G14" s="63" t="str">
        <f t="shared" si="16"/>
        <v>[effect:enemy_message, val1:1.2, val2:1.2]</v>
      </c>
      <c r="H14" s="63">
        <f t="shared" si="1"/>
        <v>9</v>
      </c>
      <c r="I14" s="63">
        <f t="shared" si="17"/>
        <v>22</v>
      </c>
      <c r="J14" s="63" t="e">
        <f t="shared" si="18"/>
        <v>#VALUE!</v>
      </c>
      <c r="K14" s="63">
        <f t="shared" si="19"/>
        <v>32</v>
      </c>
      <c r="L14" s="63" t="str">
        <f>IFERROR(VLOOKUP(MID(G14,J14,K14-J14),[6]skilldef!$C:$D,2,FALSE),"-") &amp; " / " &amp; IFERROR(VLOOKUP(MID(G14,H14,I14-H14),[6]skilldef!$A:$B,2,FALSE),"-")</f>
        <v>- / -</v>
      </c>
      <c r="M14" s="63" t="str">
        <f t="shared" si="20"/>
        <v>[effect:rush, count:4, val:0.18]</v>
      </c>
      <c r="N14" s="48" t="str">
        <f t="shared" si="21"/>
        <v>[effect:rush, count:4, val:0.18]</v>
      </c>
      <c r="O14" s="63">
        <f t="shared" si="7"/>
        <v>9</v>
      </c>
      <c r="P14" s="63">
        <f t="shared" si="22"/>
        <v>13</v>
      </c>
      <c r="Q14" s="63" t="e">
        <f t="shared" si="23"/>
        <v>#VALUE!</v>
      </c>
      <c r="R14" s="63">
        <f t="shared" si="24"/>
        <v>22</v>
      </c>
      <c r="S14" s="63" t="str">
        <f>IFERROR(VLOOKUP(MID(N14,Q14,R14-Q14),[6]skilldef!$C:$D,2,FALSE),"-") &amp; " / " &amp; IFERROR(VLOOKUP(MID(N14,O14,P14-O14),[6]skilldef!$A:$B,2,FALSE),"-")</f>
        <v>- / 連続攻撃</v>
      </c>
      <c r="T14" s="48" t="str">
        <f t="shared" si="25"/>
        <v>none</v>
      </c>
      <c r="U14" s="63" t="e">
        <f t="shared" si="12"/>
        <v>#VALUE!</v>
      </c>
      <c r="V14" s="63">
        <f t="shared" si="26"/>
        <v>4</v>
      </c>
      <c r="W14" s="63" t="e">
        <f t="shared" si="27"/>
        <v>#VALUE!</v>
      </c>
      <c r="X14" s="63" t="e">
        <f t="shared" si="28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1"/>
      <c r="AB14" s="50"/>
    </row>
    <row r="15" spans="1:28" ht="21" customHeight="1" x14ac:dyDescent="0.15">
      <c r="A15" s="121">
        <v>49015014</v>
      </c>
      <c r="B15" s="47" t="s">
        <v>368</v>
      </c>
      <c r="C15" s="50">
        <v>3</v>
      </c>
      <c r="D15" s="50" t="s">
        <v>127</v>
      </c>
      <c r="E15" s="105" t="s">
        <v>610</v>
      </c>
      <c r="F15" s="105" t="s">
        <v>269</v>
      </c>
      <c r="G15" s="63" t="str">
        <f t="shared" ref="G15:G25" si="29">IFERROR(LEFT(B15,FIND("],",B15)),B15)</f>
        <v>[effect:enemy_message, val1:1.6, val2:1.2]</v>
      </c>
      <c r="H15" s="63">
        <f t="shared" si="1"/>
        <v>9</v>
      </c>
      <c r="I15" s="63">
        <f t="shared" ref="I15:I25" si="30">IFERROR(FIND(",",G15),LEN(G15))</f>
        <v>22</v>
      </c>
      <c r="J15" s="63" t="e">
        <f t="shared" ref="J15:J25" si="31">FIND("target:",G15)+7</f>
        <v>#VALUE!</v>
      </c>
      <c r="K15" s="63">
        <f t="shared" ref="K15:K25" si="32">FIND(",",G15,I15+1)</f>
        <v>32</v>
      </c>
      <c r="L15" s="63" t="str">
        <f>IFERROR(VLOOKUP(MID(G15,J15,K15-J15),[6]skilldef!$C:$D,2,FALSE),"-") &amp; " / " &amp; IFERROR(VLOOKUP(MID(G15,H15,I15-H15),[6]skilldef!$A:$B,2,FALSE),"-")</f>
        <v>- / -</v>
      </c>
      <c r="M15" s="63" t="str">
        <f t="shared" ref="M15:M25" si="33">IFERROR(RIGHT(B15,LEN(B15)-FIND("],",B15)-1),"none")</f>
        <v>[effect:spread, val:0.15]</v>
      </c>
      <c r="N15" s="48" t="str">
        <f t="shared" ref="N15:N25" si="34">IFERROR(LEFT(M15,FIND("],",M15)+S25),M15)</f>
        <v>[effect:spread, val:0.15]</v>
      </c>
      <c r="O15" s="63">
        <f t="shared" si="7"/>
        <v>9</v>
      </c>
      <c r="P15" s="63">
        <f t="shared" ref="P15:P25" si="35">IFERROR(FIND(",",N15),LEN(N15))</f>
        <v>15</v>
      </c>
      <c r="Q15" s="63" t="e">
        <f t="shared" ref="Q15:Q25" si="36">FIND("target:",N15)+7</f>
        <v>#VALUE!</v>
      </c>
      <c r="R15" s="63" t="e">
        <f t="shared" ref="R15:R25" si="37">FIND(",",N15,P15+1)</f>
        <v>#VALUE!</v>
      </c>
      <c r="S15" s="63" t="str">
        <f>IFERROR(VLOOKUP(MID(N15,Q15,R15-Q15),[6]skilldef!$C:$D,2,FALSE),"-") &amp; " / " &amp; IFERROR(VLOOKUP(MID(N15,O15,P15-O15),[6]skilldef!$A:$B,2,FALSE),"-")</f>
        <v>- / 全体攻撃</v>
      </c>
      <c r="T15" s="48" t="str">
        <f t="shared" ref="T15:T25" si="38">IFERROR(RIGHT(M15,LEN(M15)-FIND("],",M15)-1),"none")</f>
        <v>none</v>
      </c>
      <c r="U15" s="63" t="e">
        <f t="shared" si="12"/>
        <v>#VALUE!</v>
      </c>
      <c r="V15" s="63">
        <f t="shared" ref="V15:V25" si="39">IFERROR(FIND(",",T15),LEN(T15))</f>
        <v>4</v>
      </c>
      <c r="W15" s="63" t="e">
        <f t="shared" ref="W15:W25" si="40">FIND("target:",T15)+7</f>
        <v>#VALUE!</v>
      </c>
      <c r="X15" s="63" t="e">
        <f t="shared" ref="X15:X25" si="41">FIND(",",T15,V15+1)</f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1"/>
      <c r="AB15" s="50"/>
    </row>
    <row r="16" spans="1:28" ht="21" customHeight="1" x14ac:dyDescent="0.15">
      <c r="A16" s="121">
        <v>49015015</v>
      </c>
      <c r="B16" s="47" t="s">
        <v>370</v>
      </c>
      <c r="C16" s="50">
        <v>3</v>
      </c>
      <c r="D16" s="50" t="s">
        <v>127</v>
      </c>
      <c r="E16" s="105" t="s">
        <v>271</v>
      </c>
      <c r="F16" s="105" t="s">
        <v>284</v>
      </c>
      <c r="G16" s="63" t="str">
        <f t="shared" si="29"/>
        <v>[effect:enemy_message, val1:1.2, val2:1.2]</v>
      </c>
      <c r="H16" s="63">
        <f t="shared" si="1"/>
        <v>9</v>
      </c>
      <c r="I16" s="63">
        <f t="shared" si="30"/>
        <v>22</v>
      </c>
      <c r="J16" s="63" t="e">
        <f t="shared" si="31"/>
        <v>#VALUE!</v>
      </c>
      <c r="K16" s="63">
        <f t="shared" si="32"/>
        <v>32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33"/>
        <v>[effect:critical, val:1.1, animation:enemy_critical]</v>
      </c>
      <c r="N16" s="48" t="str">
        <f t="shared" si="34"/>
        <v>[effect:critical, val:1.1, animation:enemy_critical]</v>
      </c>
      <c r="O16" s="63">
        <f t="shared" si="7"/>
        <v>9</v>
      </c>
      <c r="P16" s="63">
        <f t="shared" si="35"/>
        <v>17</v>
      </c>
      <c r="Q16" s="63" t="e">
        <f t="shared" si="36"/>
        <v>#VALUE!</v>
      </c>
      <c r="R16" s="63">
        <f t="shared" si="37"/>
        <v>26</v>
      </c>
      <c r="S16" s="63" t="str">
        <f>IFERROR(VLOOKUP(MID(N16,Q16,R16-Q16),[6]skilldef!$C:$D,2,FALSE),"-") &amp; " / " &amp; IFERROR(VLOOKUP(MID(N16,O16,P16-O16),[6]skilldef!$A:$B,2,FALSE),"-")</f>
        <v>- / 大攻撃</v>
      </c>
      <c r="T16" s="48" t="str">
        <f t="shared" si="38"/>
        <v>none</v>
      </c>
      <c r="U16" s="63" t="e">
        <f t="shared" si="12"/>
        <v>#VALUE!</v>
      </c>
      <c r="V16" s="63">
        <f t="shared" si="39"/>
        <v>4</v>
      </c>
      <c r="W16" s="63" t="e">
        <f t="shared" si="40"/>
        <v>#VALUE!</v>
      </c>
      <c r="X16" s="63" t="e">
        <f t="shared" si="41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1"/>
      <c r="AB16" s="50"/>
    </row>
    <row r="17" spans="1:28" ht="21" customHeight="1" thickBot="1" x14ac:dyDescent="0.2">
      <c r="A17" s="122">
        <v>49015016</v>
      </c>
      <c r="B17" s="111" t="s">
        <v>355</v>
      </c>
      <c r="C17" s="50">
        <v>3</v>
      </c>
      <c r="D17" s="112" t="s">
        <v>127</v>
      </c>
      <c r="E17" s="117" t="s">
        <v>273</v>
      </c>
      <c r="F17" s="117" t="s">
        <v>272</v>
      </c>
      <c r="G17" s="113" t="str">
        <f t="shared" si="29"/>
        <v>[effect:enemy_message, val1:1.2, val2:1.2]</v>
      </c>
      <c r="H17" s="113">
        <f t="shared" si="1"/>
        <v>9</v>
      </c>
      <c r="I17" s="113">
        <f t="shared" si="30"/>
        <v>22</v>
      </c>
      <c r="J17" s="113" t="e">
        <f t="shared" si="31"/>
        <v>#VALUE!</v>
      </c>
      <c r="K17" s="113">
        <f t="shared" si="32"/>
        <v>32</v>
      </c>
      <c r="L17" s="113" t="str">
        <f>IFERROR(VLOOKUP(MID(G17,J17,K17-J17),[6]skilldef!$C:$D,2,FALSE),"-") &amp; " / " &amp; IFERROR(VLOOKUP(MID(G17,H17,I17-H17),[6]skilldef!$A:$B,2,FALSE),"-")</f>
        <v>- / -</v>
      </c>
      <c r="M17" s="113" t="str">
        <f t="shared" si="33"/>
        <v>[effect:suicide, target:myself, val:1, dead_type:escape, animation:enemy_suicide]</v>
      </c>
      <c r="N17" s="114" t="str">
        <f t="shared" si="34"/>
        <v>[effect:suicide, target:myself, val:1, dead_type:escape, animation:enemy_suicide]</v>
      </c>
      <c r="O17" s="113">
        <f t="shared" si="7"/>
        <v>9</v>
      </c>
      <c r="P17" s="113">
        <f t="shared" si="35"/>
        <v>16</v>
      </c>
      <c r="Q17" s="113">
        <f t="shared" si="36"/>
        <v>25</v>
      </c>
      <c r="R17" s="113">
        <f t="shared" si="37"/>
        <v>31</v>
      </c>
      <c r="S17" s="113" t="str">
        <f>IFERROR(VLOOKUP(MID(N17,Q17,R17-Q17),[6]skilldef!$C:$D,2,FALSE),"-") &amp; " / " &amp; IFERROR(VLOOKUP(MID(N17,O17,P17-O17),[6]skilldef!$A:$B,2,FALSE),"-")</f>
        <v>自分自身に / -</v>
      </c>
      <c r="T17" s="114" t="str">
        <f t="shared" si="38"/>
        <v>none</v>
      </c>
      <c r="U17" s="113" t="e">
        <f t="shared" si="12"/>
        <v>#VALUE!</v>
      </c>
      <c r="V17" s="113">
        <f t="shared" si="39"/>
        <v>4</v>
      </c>
      <c r="W17" s="113" t="e">
        <f t="shared" si="40"/>
        <v>#VALUE!</v>
      </c>
      <c r="X17" s="113" t="e">
        <f t="shared" si="41"/>
        <v>#VALUE!</v>
      </c>
      <c r="Y17" s="113" t="str">
        <f>IFERROR(VLOOKUP(MID(T17,W17,X17-W17),[6]skilldef!$C:$D,2,FALSE),"-") &amp; " / " &amp; IFERROR(VLOOKUP(MID(T17,U17,V17-U17),[6]skilldef!$A:$B,2,FALSE),"-")</f>
        <v>- / -</v>
      </c>
      <c r="Z17" s="112"/>
      <c r="AA17" s="115"/>
      <c r="AB17" s="112"/>
    </row>
    <row r="18" spans="1:28" ht="21" customHeight="1" x14ac:dyDescent="0.15">
      <c r="A18" s="124">
        <v>49015017</v>
      </c>
      <c r="B18" s="146" t="s">
        <v>506</v>
      </c>
      <c r="C18" s="50">
        <v>3</v>
      </c>
      <c r="D18" s="107" t="s">
        <v>127</v>
      </c>
      <c r="E18" s="118" t="s">
        <v>371</v>
      </c>
      <c r="F18" s="118" t="s">
        <v>608</v>
      </c>
      <c r="G18" s="108" t="str">
        <f t="shared" si="29"/>
        <v>[effect:enemy_message, val1:1.4, val2:2.0]</v>
      </c>
      <c r="H18" s="108">
        <f t="shared" si="1"/>
        <v>9</v>
      </c>
      <c r="I18" s="108">
        <f t="shared" si="30"/>
        <v>22</v>
      </c>
      <c r="J18" s="108" t="e">
        <f t="shared" si="31"/>
        <v>#VALUE!</v>
      </c>
      <c r="K18" s="108">
        <f t="shared" si="32"/>
        <v>32</v>
      </c>
      <c r="L18" s="108" t="str">
        <f>IFERROR(VLOOKUP(MID(G18,J18,K18-J18),[6]skilldef!$C:$D,2,FALSE),"-") &amp; " / " &amp; IFERROR(VLOOKUP(MID(G18,H18,I18-H18),[6]skilldef!$A:$B,2,FALSE),"-")</f>
        <v>- / -</v>
      </c>
      <c r="M18" s="108" t="str">
        <f t="shared" si="33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18" s="109" t="str">
        <f t="shared" si="34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18" s="108">
        <f t="shared" si="7"/>
        <v>9</v>
      </c>
      <c r="P18" s="108">
        <f t="shared" si="35"/>
        <v>18</v>
      </c>
      <c r="Q18" s="108">
        <f t="shared" si="36"/>
        <v>27</v>
      </c>
      <c r="R18" s="108">
        <f t="shared" si="37"/>
        <v>33</v>
      </c>
      <c r="S18" s="108" t="str">
        <f>IFERROR(VLOOKUP(MID(N18,Q18,R18-Q18),[6]skilldef!$C:$D,2,FALSE),"-") &amp; " / " &amp; IFERROR(VLOOKUP(MID(N18,O18,P18-O18),[6]skilldef!$A:$B,2,FALSE),"-")</f>
        <v>自分自身に / 行動値設定</v>
      </c>
      <c r="T18" s="109" t="str">
        <f t="shared" si="38"/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18" s="108">
        <f t="shared" si="12"/>
        <v>9</v>
      </c>
      <c r="V18" s="108">
        <f t="shared" si="39"/>
        <v>27</v>
      </c>
      <c r="W18" s="108">
        <f t="shared" si="40"/>
        <v>141</v>
      </c>
      <c r="X18" s="108">
        <f t="shared" si="41"/>
        <v>43</v>
      </c>
      <c r="Y18" s="108" t="str">
        <f>IFERROR(VLOOKUP(MID(T18,W18,X18-W18),[6]skilldef!$C:$D,2,FALSE),"-") &amp; " / " &amp; IFERROR(VLOOKUP(MID(T18,U18,V18-U18),[6]skilldef!$A:$B,2,FALSE),"-")</f>
        <v>- / -</v>
      </c>
      <c r="Z18" s="107"/>
      <c r="AA18" s="110"/>
      <c r="AB18" s="107"/>
    </row>
    <row r="19" spans="1:28" ht="280" x14ac:dyDescent="0.15">
      <c r="A19" s="124">
        <v>49015018</v>
      </c>
      <c r="B19" s="146" t="s">
        <v>507</v>
      </c>
      <c r="C19" s="50">
        <v>3</v>
      </c>
      <c r="D19" s="50" t="s">
        <v>127</v>
      </c>
      <c r="E19" s="119" t="s">
        <v>274</v>
      </c>
      <c r="F19" s="105" t="s">
        <v>275</v>
      </c>
      <c r="G19" s="63" t="str">
        <f t="shared" si="29"/>
        <v>[effect:enemy_message, val1:2.2, val2:1.2]</v>
      </c>
      <c r="H19" s="63">
        <f t="shared" si="1"/>
        <v>9</v>
      </c>
      <c r="I19" s="63">
        <f t="shared" si="30"/>
        <v>22</v>
      </c>
      <c r="J19" s="63" t="e">
        <f t="shared" si="31"/>
        <v>#VALUE!</v>
      </c>
      <c r="K19" s="63">
        <f t="shared" si="32"/>
        <v>32</v>
      </c>
      <c r="L19" s="63" t="str">
        <f>IFERROR(VLOOKUP(MID(G19,J19,K19-J19),[6]skilldef!$C:$D,2,FALSE),"-") &amp; " / " &amp; IFERROR(VLOOKUP(MID(G19,H19,I19-H19),[6]skilldef!$A:$B,2,FALSE),"-")</f>
        <v>- / -</v>
      </c>
      <c r="M19" s="63" t="str">
        <f t="shared" si="33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19" s="48" t="str">
        <f t="shared" si="34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19" s="63">
        <f t="shared" si="7"/>
        <v>9</v>
      </c>
      <c r="P19" s="63">
        <f t="shared" si="35"/>
        <v>18</v>
      </c>
      <c r="Q19" s="63">
        <f t="shared" si="36"/>
        <v>27</v>
      </c>
      <c r="R19" s="63">
        <f t="shared" si="37"/>
        <v>33</v>
      </c>
      <c r="S19" s="63" t="str">
        <f>IFERROR(VLOOKUP(MID(N19,Q19,R19-Q19),[6]skilldef!$C:$D,2,FALSE),"-") &amp; " / " &amp; IFERROR(VLOOKUP(MID(N19,O19,P19-O19),[6]skilldef!$A:$B,2,FALSE),"-")</f>
        <v>自分自身に / 行動値設定</v>
      </c>
      <c r="T19" s="48" t="str">
        <f t="shared" si="38"/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19" s="63">
        <f t="shared" si="12"/>
        <v>9</v>
      </c>
      <c r="V19" s="63">
        <f t="shared" si="39"/>
        <v>27</v>
      </c>
      <c r="W19" s="63">
        <f t="shared" si="40"/>
        <v>141</v>
      </c>
      <c r="X19" s="63">
        <f t="shared" si="41"/>
        <v>43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1"/>
      <c r="AB19" s="50"/>
    </row>
    <row r="20" spans="1:28" ht="21" customHeight="1" x14ac:dyDescent="0.15">
      <c r="A20" s="124">
        <v>49015019</v>
      </c>
      <c r="B20" s="146" t="s">
        <v>508</v>
      </c>
      <c r="C20" s="50">
        <v>3</v>
      </c>
      <c r="D20" s="50" t="s">
        <v>127</v>
      </c>
      <c r="E20" s="105" t="s">
        <v>276</v>
      </c>
      <c r="F20" s="156" t="s">
        <v>411</v>
      </c>
      <c r="G20" s="63" t="str">
        <f t="shared" si="29"/>
        <v>[effect:enemy_message, val1:1.8, val2:1.2]</v>
      </c>
      <c r="H20" s="63">
        <f t="shared" si="1"/>
        <v>9</v>
      </c>
      <c r="I20" s="63">
        <f t="shared" si="30"/>
        <v>22</v>
      </c>
      <c r="J20" s="63" t="e">
        <f t="shared" si="31"/>
        <v>#VALUE!</v>
      </c>
      <c r="K20" s="63">
        <f t="shared" si="32"/>
        <v>32</v>
      </c>
      <c r="L20" s="63" t="str">
        <f>IFERROR(VLOOKUP(MID(G20,J20,K20-J20),[6]skilldef!$C:$D,2,FALSE),"-") &amp; " / " &amp; IFERROR(VLOOKUP(MID(G20,H20,I20-H20),[6]skilldef!$A:$B,2,FALSE),"-")</f>
        <v>- / -</v>
      </c>
      <c r="M20" s="63" t="str">
        <f t="shared" si="33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20" s="48" t="str">
        <f t="shared" si="34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20" s="63">
        <f t="shared" si="7"/>
        <v>9</v>
      </c>
      <c r="P20" s="63">
        <f t="shared" si="35"/>
        <v>18</v>
      </c>
      <c r="Q20" s="63">
        <f t="shared" si="36"/>
        <v>27</v>
      </c>
      <c r="R20" s="63">
        <f t="shared" si="37"/>
        <v>33</v>
      </c>
      <c r="S20" s="63" t="str">
        <f>IFERROR(VLOOKUP(MID(N20,Q20,R20-Q20),[6]skilldef!$C:$D,2,FALSE),"-") &amp; " / " &amp; IFERROR(VLOOKUP(MID(N20,O20,P20-O20),[6]skilldef!$A:$B,2,FALSE),"-")</f>
        <v>自分自身に / 行動値設定</v>
      </c>
      <c r="T20" s="48" t="str">
        <f t="shared" si="38"/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20" s="63">
        <f t="shared" si="12"/>
        <v>9</v>
      </c>
      <c r="V20" s="63">
        <f t="shared" si="39"/>
        <v>27</v>
      </c>
      <c r="W20" s="63">
        <f t="shared" si="40"/>
        <v>141</v>
      </c>
      <c r="X20" s="63">
        <f t="shared" si="41"/>
        <v>43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1"/>
      <c r="AB20" s="50"/>
    </row>
    <row r="21" spans="1:28" ht="336" x14ac:dyDescent="0.15">
      <c r="A21" s="124">
        <v>49015020</v>
      </c>
      <c r="B21" s="146" t="s">
        <v>597</v>
      </c>
      <c r="C21" s="50">
        <v>3</v>
      </c>
      <c r="D21" s="50" t="s">
        <v>127</v>
      </c>
      <c r="E21" s="119" t="s">
        <v>277</v>
      </c>
      <c r="F21" s="119" t="s">
        <v>596</v>
      </c>
      <c r="G21" s="63" t="str">
        <f t="shared" si="29"/>
        <v>[effect:enemy_message, val1:2.5, val2:2.8]</v>
      </c>
      <c r="H21" s="63">
        <f t="shared" si="1"/>
        <v>9</v>
      </c>
      <c r="I21" s="63">
        <f t="shared" si="30"/>
        <v>22</v>
      </c>
      <c r="J21" s="63" t="e">
        <f t="shared" si="31"/>
        <v>#VALUE!</v>
      </c>
      <c r="K21" s="63">
        <f t="shared" si="32"/>
        <v>32</v>
      </c>
      <c r="L21" s="63" t="str">
        <f>IFERROR(VLOOKUP(MID(G21,J21,K21-J21),[6]skilldef!$C:$D,2,FALSE),"-") &amp; " / " &amp; IFERROR(VLOOKUP(MID(G21,H21,I21-H21),[6]skilldef!$A:$B,2,FALSE),"-")</f>
        <v>- / -</v>
      </c>
      <c r="M21" s="63" t="str">
        <f t="shared" si="33"/>
        <v>[effect:fix_speed, target:myself, turn:2],[effect:enhance_unit, target:unit_red/unit_human/unit_hero/unit_attack/and, turn:-1, status:attack, val:0.7, calc:mul],[effect:change_range_block,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21" s="48" t="str">
        <f t="shared" si="34"/>
        <v>[effect:fix_speed, target:myself, turn:2],[effect:enhance_unit, target:unit_red/unit_human/unit_hero/unit_attack/and, turn:-1, status:attack, val:0.7, calc:mul],[effect:change_range_block,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21" s="63">
        <f t="shared" si="7"/>
        <v>9</v>
      </c>
      <c r="P21" s="63">
        <f t="shared" si="35"/>
        <v>18</v>
      </c>
      <c r="Q21" s="63">
        <f t="shared" si="36"/>
        <v>27</v>
      </c>
      <c r="R21" s="63">
        <f t="shared" si="37"/>
        <v>33</v>
      </c>
      <c r="S21" s="63" t="str">
        <f>IFERROR(VLOOKUP(MID(N21,Q21,R21-Q21),[6]skilldef!$C:$D,2,FALSE),"-") &amp; " / " &amp; IFERROR(VLOOKUP(MID(N21,O21,P21-O21),[6]skilldef!$A:$B,2,FALSE),"-")</f>
        <v>自分自身に / 行動値設定</v>
      </c>
      <c r="T21" s="48" t="str">
        <f t="shared" si="38"/>
        <v>[effect:enhance_unit, target:unit_red/unit_human/unit_hero/unit_attack/and, turn:-1, status:attack, val:0.7, calc:mul],[effect:change_range_block,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21" s="63">
        <f t="shared" si="12"/>
        <v>9</v>
      </c>
      <c r="V21" s="63">
        <f t="shared" si="39"/>
        <v>21</v>
      </c>
      <c r="W21" s="63">
        <f t="shared" si="40"/>
        <v>30</v>
      </c>
      <c r="X21" s="63">
        <f t="shared" si="41"/>
        <v>75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1"/>
      <c r="AB21" s="50"/>
    </row>
    <row r="22" spans="1:28" ht="21" customHeight="1" x14ac:dyDescent="0.15">
      <c r="A22" s="124">
        <v>49015021</v>
      </c>
      <c r="B22" s="146" t="s">
        <v>509</v>
      </c>
      <c r="C22" s="50">
        <v>3</v>
      </c>
      <c r="D22" s="50" t="s">
        <v>127</v>
      </c>
      <c r="E22" s="105" t="s">
        <v>278</v>
      </c>
      <c r="F22" s="105" t="s">
        <v>279</v>
      </c>
      <c r="G22" s="63" t="str">
        <f t="shared" si="29"/>
        <v>[effect:enemy_message, val1:1.5, val2:1.7]</v>
      </c>
      <c r="H22" s="63">
        <f t="shared" si="1"/>
        <v>9</v>
      </c>
      <c r="I22" s="63">
        <f t="shared" si="30"/>
        <v>22</v>
      </c>
      <c r="J22" s="63" t="e">
        <f t="shared" si="31"/>
        <v>#VALUE!</v>
      </c>
      <c r="K22" s="63">
        <f t="shared" si="32"/>
        <v>32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33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22" s="48" t="str">
        <f t="shared" si="34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22" s="63">
        <f t="shared" si="7"/>
        <v>9</v>
      </c>
      <c r="P22" s="63">
        <f t="shared" si="35"/>
        <v>18</v>
      </c>
      <c r="Q22" s="63">
        <f t="shared" si="36"/>
        <v>27</v>
      </c>
      <c r="R22" s="63">
        <f t="shared" si="37"/>
        <v>33</v>
      </c>
      <c r="S22" s="63" t="str">
        <f>IFERROR(VLOOKUP(MID(N22,Q22,R22-Q22),[6]skilldef!$C:$D,2,FALSE),"-") &amp; " / " &amp; IFERROR(VLOOKUP(MID(N22,O22,P22-O22),[6]skilldef!$A:$B,2,FALSE),"-")</f>
        <v>自分自身に / 行動値設定</v>
      </c>
      <c r="T22" s="48" t="str">
        <f t="shared" si="38"/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22" s="63">
        <f t="shared" si="12"/>
        <v>9</v>
      </c>
      <c r="V22" s="63">
        <f t="shared" si="39"/>
        <v>27</v>
      </c>
      <c r="W22" s="63">
        <f t="shared" si="40"/>
        <v>141</v>
      </c>
      <c r="X22" s="63">
        <f t="shared" si="41"/>
        <v>43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1"/>
      <c r="AB22" s="50"/>
    </row>
    <row r="23" spans="1:28" ht="21" customHeight="1" x14ac:dyDescent="0.15">
      <c r="A23" s="124">
        <v>49015022</v>
      </c>
      <c r="B23" s="146" t="s">
        <v>510</v>
      </c>
      <c r="C23" s="50">
        <v>3</v>
      </c>
      <c r="D23" s="50" t="s">
        <v>127</v>
      </c>
      <c r="E23" s="105" t="s">
        <v>372</v>
      </c>
      <c r="F23" s="105" t="s">
        <v>280</v>
      </c>
      <c r="G23" s="63" t="str">
        <f t="shared" si="29"/>
        <v>[effect:enemy_message, val1:1.9, val2:1.2]</v>
      </c>
      <c r="H23" s="63">
        <f t="shared" si="1"/>
        <v>9</v>
      </c>
      <c r="I23" s="63">
        <f t="shared" si="30"/>
        <v>22</v>
      </c>
      <c r="J23" s="63" t="e">
        <f t="shared" si="31"/>
        <v>#VALUE!</v>
      </c>
      <c r="K23" s="63">
        <f t="shared" si="32"/>
        <v>32</v>
      </c>
      <c r="L23" s="63" t="str">
        <f>IFERROR(VLOOKUP(MID(G23,J23,K23-J23),[6]skilldef!$C:$D,2,FALSE),"-") &amp; " / " &amp; IFERROR(VLOOKUP(MID(G23,H23,I23-H23),[6]skilldef!$A:$B,2,FALSE),"-")</f>
        <v>- / -</v>
      </c>
      <c r="M23" s="63" t="str">
        <f t="shared" si="33"/>
        <v>[effect:fix_speed, target:myself, turn:2],[effect:change_range_block, block_change:1, base_type:0, square_count:2, position01:0,  value_h01:2, value_w01:1,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23" s="48" t="str">
        <f t="shared" si="34"/>
        <v>[effect:fix_speed, target:myself, turn:2],[effect:change_range_block, block_change:1, base_type:0, square_count:2, position01:0,  value_h01:2, value_w01:1,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23" s="63">
        <f t="shared" si="7"/>
        <v>9</v>
      </c>
      <c r="P23" s="63">
        <f t="shared" si="35"/>
        <v>18</v>
      </c>
      <c r="Q23" s="63">
        <f t="shared" si="36"/>
        <v>27</v>
      </c>
      <c r="R23" s="63">
        <f t="shared" si="37"/>
        <v>33</v>
      </c>
      <c r="S23" s="63" t="str">
        <f>IFERROR(VLOOKUP(MID(N23,Q23,R23-Q23),[6]skilldef!$C:$D,2,FALSE),"-") &amp; " / " &amp; IFERROR(VLOOKUP(MID(N23,O23,P23-O23),[6]skilldef!$A:$B,2,FALSE),"-")</f>
        <v>自分自身に / 行動値設定</v>
      </c>
      <c r="T23" s="48" t="str">
        <f t="shared" si="38"/>
        <v>[effect:change_range_block, block_change:1, base_type:0, square_count:2, position01:0,  value_h01:2, value_w01:1,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23" s="63">
        <f t="shared" si="12"/>
        <v>9</v>
      </c>
      <c r="V23" s="63">
        <f t="shared" si="39"/>
        <v>27</v>
      </c>
      <c r="W23" s="63">
        <f t="shared" si="40"/>
        <v>140</v>
      </c>
      <c r="X23" s="63">
        <f t="shared" si="41"/>
        <v>43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1"/>
      <c r="AB23" s="50"/>
    </row>
    <row r="24" spans="1:28" ht="21" customHeight="1" x14ac:dyDescent="0.15">
      <c r="A24" s="124">
        <v>49015023</v>
      </c>
      <c r="B24" s="146" t="s">
        <v>595</v>
      </c>
      <c r="C24" s="50">
        <v>3</v>
      </c>
      <c r="D24" s="50" t="s">
        <v>127</v>
      </c>
      <c r="E24" s="105" t="s">
        <v>594</v>
      </c>
      <c r="F24" s="118" t="s">
        <v>412</v>
      </c>
      <c r="G24" s="63" t="str">
        <f t="shared" si="29"/>
        <v>[effect:enemy_message, val1:1.4, val2:1.6]</v>
      </c>
      <c r="H24" s="63">
        <f t="shared" si="1"/>
        <v>9</v>
      </c>
      <c r="I24" s="63">
        <f t="shared" si="30"/>
        <v>22</v>
      </c>
      <c r="J24" s="63" t="e">
        <f t="shared" si="31"/>
        <v>#VALUE!</v>
      </c>
      <c r="K24" s="63">
        <f t="shared" si="32"/>
        <v>32</v>
      </c>
      <c r="L24" s="63" t="str">
        <f>IFERROR(VLOOKUP(MID(G24,J24,K24-J24),[6]skilldef!$C:$D,2,FALSE),"-") &amp; " / " &amp; IFERROR(VLOOKUP(MID(G24,H24,I24-H24),[6]skilldef!$A:$B,2,FALSE),"-")</f>
        <v>- / -</v>
      </c>
      <c r="M24" s="63" t="str">
        <f t="shared" si="33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24" s="48" t="str">
        <f t="shared" si="34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24" s="63">
        <f t="shared" si="7"/>
        <v>9</v>
      </c>
      <c r="P24" s="63">
        <f t="shared" si="35"/>
        <v>18</v>
      </c>
      <c r="Q24" s="63">
        <f t="shared" si="36"/>
        <v>27</v>
      </c>
      <c r="R24" s="63">
        <f t="shared" si="37"/>
        <v>33</v>
      </c>
      <c r="S24" s="63" t="str">
        <f>IFERROR(VLOOKUP(MID(N24,Q24,R24-Q24),[6]skilldef!$C:$D,2,FALSE),"-") &amp; " / " &amp; IFERROR(VLOOKUP(MID(N24,O24,P24-O24),[6]skilldef!$A:$B,2,FALSE),"-")</f>
        <v>自分自身に / 行動値設定</v>
      </c>
      <c r="T24" s="48" t="str">
        <f t="shared" si="38"/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24" s="63">
        <f t="shared" si="12"/>
        <v>9</v>
      </c>
      <c r="V24" s="63">
        <f t="shared" si="39"/>
        <v>27</v>
      </c>
      <c r="W24" s="63">
        <f t="shared" si="40"/>
        <v>141</v>
      </c>
      <c r="X24" s="63">
        <f t="shared" si="41"/>
        <v>43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1"/>
      <c r="AB24" s="50"/>
    </row>
    <row r="25" spans="1:28" ht="21" customHeight="1" x14ac:dyDescent="0.15">
      <c r="A25" s="124">
        <v>49015024</v>
      </c>
      <c r="B25" s="146" t="s">
        <v>511</v>
      </c>
      <c r="C25" s="50">
        <v>3</v>
      </c>
      <c r="D25" s="50" t="s">
        <v>127</v>
      </c>
      <c r="E25" s="105" t="s">
        <v>281</v>
      </c>
      <c r="F25" s="105" t="s">
        <v>282</v>
      </c>
      <c r="G25" s="63" t="str">
        <f t="shared" si="29"/>
        <v>[effect:enemy_message, val1:1.9, val2:1.5]</v>
      </c>
      <c r="H25" s="63">
        <f t="shared" si="1"/>
        <v>9</v>
      </c>
      <c r="I25" s="63">
        <f t="shared" si="30"/>
        <v>22</v>
      </c>
      <c r="J25" s="63" t="e">
        <f t="shared" si="31"/>
        <v>#VALUE!</v>
      </c>
      <c r="K25" s="63">
        <f t="shared" si="32"/>
        <v>32</v>
      </c>
      <c r="L25" s="63" t="str">
        <f>IFERROR(VLOOKUP(MID(G25,J25,K25-J25),[6]skilldef!$C:$D,2,FALSE),"-") &amp; " / " &amp; IFERROR(VLOOKUP(MID(G25,H25,I25-H25),[6]skilldef!$A:$B,2,FALSE),"-")</f>
        <v>- / -</v>
      </c>
      <c r="M25" s="63" t="str">
        <f t="shared" si="33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25" s="48" t="str">
        <f t="shared" si="34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25" s="63">
        <f t="shared" si="7"/>
        <v>9</v>
      </c>
      <c r="P25" s="63">
        <f t="shared" si="35"/>
        <v>18</v>
      </c>
      <c r="Q25" s="63">
        <f t="shared" si="36"/>
        <v>27</v>
      </c>
      <c r="R25" s="63">
        <f t="shared" si="37"/>
        <v>33</v>
      </c>
      <c r="S25" s="63" t="str">
        <f>IFERROR(VLOOKUP(MID(N25,Q25,R25-Q25),[6]skilldef!$C:$D,2,FALSE),"-") &amp; " / " &amp; IFERROR(VLOOKUP(MID(N25,O25,P25-O25),[6]skilldef!$A:$B,2,FALSE),"-")</f>
        <v>自分自身に / 行動値設定</v>
      </c>
      <c r="T25" s="48" t="str">
        <f t="shared" si="38"/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25" s="63">
        <f t="shared" si="12"/>
        <v>9</v>
      </c>
      <c r="V25" s="63">
        <f t="shared" si="39"/>
        <v>27</v>
      </c>
      <c r="W25" s="63">
        <f t="shared" si="40"/>
        <v>141</v>
      </c>
      <c r="X25" s="63">
        <f t="shared" si="41"/>
        <v>43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1"/>
      <c r="AB25" s="50"/>
    </row>
    <row r="26" spans="1:28" ht="21" customHeight="1" x14ac:dyDescent="0.15">
      <c r="A26" s="124">
        <v>49015025</v>
      </c>
      <c r="B26" s="106" t="s">
        <v>513</v>
      </c>
      <c r="C26" s="50">
        <v>3</v>
      </c>
      <c r="D26" s="50" t="s">
        <v>127</v>
      </c>
      <c r="E26" s="105" t="s">
        <v>283</v>
      </c>
      <c r="F26" s="105" t="s">
        <v>410</v>
      </c>
      <c r="G26" s="63" t="str">
        <f t="shared" ref="G26:G30" si="42">IFERROR(LEFT(B26,FIND("],",B26)),B26)</f>
        <v>[effect:enemy_message, val1:1.2, val2:2.1]</v>
      </c>
      <c r="H26" s="63">
        <f t="shared" si="1"/>
        <v>9</v>
      </c>
      <c r="I26" s="63">
        <f t="shared" ref="I26:I30" si="43">IFERROR(FIND(",",G26),LEN(G26))</f>
        <v>22</v>
      </c>
      <c r="J26" s="63" t="e">
        <f t="shared" ref="J26:J30" si="44">FIND("target:",G26)+7</f>
        <v>#VALUE!</v>
      </c>
      <c r="K26" s="63">
        <f t="shared" ref="K26:K30" si="45">FIND(",",G26,I26+1)</f>
        <v>32</v>
      </c>
      <c r="L26" s="63" t="str">
        <f>IFERROR(VLOOKUP(MID(G26,J26,K26-J26),[6]skilldef!$C:$D,2,FALSE),"-") &amp; " / " &amp; IFERROR(VLOOKUP(MID(G26,H26,I26-H26),[6]skilldef!$A:$B,2,FALSE),"-")</f>
        <v>- / -</v>
      </c>
      <c r="M26" s="63" t="str">
        <f t="shared" ref="M26:M30" si="46">IFERROR(RIGHT(B26,LEN(B26)-FIND("],",B26)-1),"none")</f>
        <v>[effect:force_change_block, new_block:damage, target:block_all, ignore01:block_positive, ignore02:damage, count:3, val:0.08, animation:change_block]</v>
      </c>
      <c r="N26" s="48" t="str">
        <f t="shared" ref="N26:N29" si="47">IFERROR(LEFT(M26,FIND("],",M26)+S36),M26)</f>
        <v>[effect:force_change_block, new_block:damage, target:block_all, ignore01:block_positive, ignore02:damage, count:3, val:0.08, animation:change_block]</v>
      </c>
      <c r="O26" s="63">
        <f t="shared" si="7"/>
        <v>9</v>
      </c>
      <c r="P26" s="63">
        <f t="shared" ref="P26:P30" si="48">IFERROR(FIND(",",N26),LEN(N26))</f>
        <v>27</v>
      </c>
      <c r="Q26" s="63">
        <f t="shared" ref="Q26:Q30" si="49">FIND("target:",N26)+7</f>
        <v>54</v>
      </c>
      <c r="R26" s="63">
        <f t="shared" ref="R26:R30" si="50">FIND(",",N26,P26+1)</f>
        <v>45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ref="T26:T30" si="51">IFERROR(RIGHT(M26,LEN(M26)-FIND("],",M26)-1),"none")</f>
        <v>none</v>
      </c>
      <c r="U26" s="63" t="e">
        <f t="shared" si="12"/>
        <v>#VALUE!</v>
      </c>
      <c r="V26" s="63">
        <f t="shared" ref="V26:V30" si="52">IFERROR(FIND(",",T26),LEN(T26))</f>
        <v>4</v>
      </c>
      <c r="W26" s="63" t="e">
        <f t="shared" ref="W26:W30" si="53">FIND("target:",T26)+7</f>
        <v>#VALUE!</v>
      </c>
      <c r="X26" s="63" t="e">
        <f t="shared" ref="X26:X30" si="54">FIND(",",T26,V26+1)</f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1"/>
      <c r="AB26" s="50"/>
    </row>
    <row r="27" spans="1:28" ht="21" customHeight="1" x14ac:dyDescent="0.15">
      <c r="A27" s="124">
        <v>49015026</v>
      </c>
      <c r="B27" s="47" t="s">
        <v>550</v>
      </c>
      <c r="C27" s="50">
        <v>3</v>
      </c>
      <c r="D27" s="50" t="s">
        <v>127</v>
      </c>
      <c r="E27" s="105" t="s">
        <v>285</v>
      </c>
      <c r="F27" s="105" t="s">
        <v>436</v>
      </c>
      <c r="G27" s="63" t="str">
        <f t="shared" si="42"/>
        <v>[effect:enemy_message, val1:1.2, val2:1.2]</v>
      </c>
      <c r="H27" s="63">
        <f t="shared" si="1"/>
        <v>9</v>
      </c>
      <c r="I27" s="63">
        <f t="shared" si="43"/>
        <v>22</v>
      </c>
      <c r="J27" s="63" t="e">
        <f t="shared" si="44"/>
        <v>#VALUE!</v>
      </c>
      <c r="K27" s="63">
        <f t="shared" si="45"/>
        <v>32</v>
      </c>
      <c r="L27" s="63" t="str">
        <f>IFERROR(VLOOKUP(MID(G27,J27,K27-J27),[6]skilldef!$C:$D,2,FALSE),"-") &amp; " / " &amp; IFERROR(VLOOKUP(MID(G27,H27,I27-H27),[6]skilldef!$A:$B,2,FALSE),"-")</f>
        <v>- / -</v>
      </c>
      <c r="M27" s="63" t="str">
        <f t="shared" si="46"/>
        <v>[effect:rush, count:1, val:1]</v>
      </c>
      <c r="N27" s="48" t="str">
        <f t="shared" si="47"/>
        <v>[effect:rush, count:1, val:1]</v>
      </c>
      <c r="O27" s="63">
        <f t="shared" si="7"/>
        <v>9</v>
      </c>
      <c r="P27" s="63">
        <f t="shared" si="48"/>
        <v>13</v>
      </c>
      <c r="Q27" s="63" t="e">
        <f t="shared" si="49"/>
        <v>#VALUE!</v>
      </c>
      <c r="R27" s="63">
        <f t="shared" si="50"/>
        <v>22</v>
      </c>
      <c r="S27" s="63" t="str">
        <f>IFERROR(VLOOKUP(MID(N27,Q27,R27-Q27),[6]skilldef!$C:$D,2,FALSE),"-") &amp; " / " &amp; IFERROR(VLOOKUP(MID(N27,O27,P27-O27),[6]skilldef!$A:$B,2,FALSE),"-")</f>
        <v>- / 連続攻撃</v>
      </c>
      <c r="T27" s="48" t="str">
        <f t="shared" si="51"/>
        <v>none</v>
      </c>
      <c r="U27" s="63" t="e">
        <f t="shared" si="12"/>
        <v>#VALUE!</v>
      </c>
      <c r="V27" s="63">
        <f t="shared" si="52"/>
        <v>4</v>
      </c>
      <c r="W27" s="63" t="e">
        <f t="shared" si="53"/>
        <v>#VALUE!</v>
      </c>
      <c r="X27" s="63" t="e">
        <f t="shared" si="54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1"/>
      <c r="AB27" s="50"/>
    </row>
    <row r="28" spans="1:28" ht="21" customHeight="1" x14ac:dyDescent="0.15">
      <c r="A28" s="124">
        <v>49015027</v>
      </c>
      <c r="B28" s="106" t="s">
        <v>551</v>
      </c>
      <c r="C28" s="50">
        <v>3</v>
      </c>
      <c r="D28" s="50" t="s">
        <v>127</v>
      </c>
      <c r="E28" s="105" t="s">
        <v>286</v>
      </c>
      <c r="F28" s="118" t="s">
        <v>489</v>
      </c>
      <c r="G28" s="63" t="str">
        <f t="shared" si="42"/>
        <v>[effect:enemy_message, val1:1.2, val2:2.1]</v>
      </c>
      <c r="H28" s="63">
        <f t="shared" si="1"/>
        <v>9</v>
      </c>
      <c r="I28" s="63">
        <f t="shared" si="43"/>
        <v>22</v>
      </c>
      <c r="J28" s="63" t="e">
        <f t="shared" si="44"/>
        <v>#VALUE!</v>
      </c>
      <c r="K28" s="63">
        <f t="shared" si="45"/>
        <v>32</v>
      </c>
      <c r="L28" s="63" t="str">
        <f>IFERROR(VLOOKUP(MID(G28,J28,K28-J28),[6]skilldef!$C:$D,2,FALSE),"-") &amp; " / " &amp; IFERROR(VLOOKUP(MID(G28,H28,I28-H28),[6]skilldef!$A:$B,2,FALSE),"-")</f>
        <v>- / -</v>
      </c>
      <c r="M28" s="63" t="str">
        <f t="shared" si="46"/>
        <v>[effect:change_range_block, block_change:1, base_type:0, square_count:5, position01:10,  value_h01:1, value_w01:5,  new_block:time_bomb, target:block_all, ignore01:block_positive, ignore02:time_bomb, color:block_green, count:0, val:0.03, min_time_count:3, max_time_count:3, animation:change_range_block]</v>
      </c>
      <c r="N28" s="48" t="str">
        <f t="shared" si="47"/>
        <v>[effect:change_range_block, block_change:1, base_type:0, square_count:5, position01:10,  value_h01:1, value_w01:5,  new_block:time_bomb, target:block_all, ignore01:block_positive, ignore02:time_bomb, color:block_green, count:0, val:0.03, min_time_count:3, max_time_count:3, animation:change_range_block]</v>
      </c>
      <c r="O28" s="63">
        <f t="shared" si="7"/>
        <v>9</v>
      </c>
      <c r="P28" s="63">
        <f t="shared" si="48"/>
        <v>27</v>
      </c>
      <c r="Q28" s="63">
        <f t="shared" si="49"/>
        <v>145</v>
      </c>
      <c r="R28" s="63">
        <f t="shared" si="50"/>
        <v>43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51"/>
        <v>none</v>
      </c>
      <c r="U28" s="63" t="e">
        <f t="shared" si="12"/>
        <v>#VALUE!</v>
      </c>
      <c r="V28" s="63">
        <f t="shared" si="52"/>
        <v>4</v>
      </c>
      <c r="W28" s="63" t="e">
        <f t="shared" si="53"/>
        <v>#VALUE!</v>
      </c>
      <c r="X28" s="63" t="e">
        <f t="shared" si="54"/>
        <v>#VALUE!</v>
      </c>
      <c r="Y28" s="63" t="str">
        <f>IFERROR(VLOOKUP(MID(T28,W28,X28-W28),[6]skilldef!$C:$D,2,FALSE),"-") &amp; " / " &amp; IFERROR(VLOOKUP(MID(T28,U28,V28-U28),[6]skilldef!$A:$B,2,FALSE),"-")</f>
        <v>- / -</v>
      </c>
      <c r="Z28" s="50"/>
      <c r="AA28" s="51"/>
      <c r="AB28" s="50"/>
    </row>
    <row r="29" spans="1:28" ht="21" customHeight="1" thickBot="1" x14ac:dyDescent="0.2">
      <c r="A29" s="125">
        <v>49015028</v>
      </c>
      <c r="B29" s="111" t="s">
        <v>515</v>
      </c>
      <c r="C29" s="50">
        <v>3</v>
      </c>
      <c r="D29" s="112" t="s">
        <v>127</v>
      </c>
      <c r="E29" s="117" t="s">
        <v>287</v>
      </c>
      <c r="F29" s="117" t="s">
        <v>438</v>
      </c>
      <c r="G29" s="113" t="str">
        <f t="shared" si="42"/>
        <v>[effect:enemy_message, val1:1.2, val2:1.5]</v>
      </c>
      <c r="H29" s="113">
        <f t="shared" si="1"/>
        <v>9</v>
      </c>
      <c r="I29" s="113">
        <f t="shared" si="43"/>
        <v>22</v>
      </c>
      <c r="J29" s="113" t="e">
        <f t="shared" si="44"/>
        <v>#VALUE!</v>
      </c>
      <c r="K29" s="113">
        <f t="shared" si="45"/>
        <v>32</v>
      </c>
      <c r="L29" s="113" t="str">
        <f>IFERROR(VLOOKUP(MID(G29,J29,K29-J29),[6]skilldef!$C:$D,2,FALSE),"-") &amp; " / " &amp; IFERROR(VLOOKUP(MID(G29,H29,I29-H29),[6]skilldef!$A:$B,2,FALSE),"-")</f>
        <v>- / -</v>
      </c>
      <c r="M29" s="113" t="str">
        <f t="shared" si="46"/>
        <v>[effect:change_range_block, block_change:1, base_type:0, square_count:5, position01:2,  value_h01:5, value_w01:1,  new_block:jammer, target:block_all, ignore01:block_positive, ignore02:jammer, count:0, val:0, animation:change_range_block]</v>
      </c>
      <c r="N29" s="114" t="str">
        <f t="shared" si="47"/>
        <v>[effect:change_range_block, block_change:1, base_type:0, square_count:5, position01:2,  value_h01:5, value_w01:1,  new_block:jammer, target:block_all, ignore01:block_positive, ignore02:jammer, count:0, val:0, animation:change_range_block]</v>
      </c>
      <c r="O29" s="113">
        <f t="shared" si="7"/>
        <v>9</v>
      </c>
      <c r="P29" s="113">
        <f t="shared" si="48"/>
        <v>27</v>
      </c>
      <c r="Q29" s="113">
        <f t="shared" si="49"/>
        <v>141</v>
      </c>
      <c r="R29" s="113">
        <f t="shared" si="50"/>
        <v>43</v>
      </c>
      <c r="S29" s="113" t="str">
        <f>IFERROR(VLOOKUP(MID(N29,Q29,R29-Q29),[6]skilldef!$C:$D,2,FALSE),"-") &amp; " / " &amp; IFERROR(VLOOKUP(MID(N29,O29,P29-O29),[6]skilldef!$A:$B,2,FALSE),"-")</f>
        <v>- / -</v>
      </c>
      <c r="T29" s="114" t="str">
        <f t="shared" si="51"/>
        <v>none</v>
      </c>
      <c r="U29" s="113" t="e">
        <f t="shared" si="12"/>
        <v>#VALUE!</v>
      </c>
      <c r="V29" s="113">
        <f t="shared" si="52"/>
        <v>4</v>
      </c>
      <c r="W29" s="113" t="e">
        <f t="shared" si="53"/>
        <v>#VALUE!</v>
      </c>
      <c r="X29" s="113" t="e">
        <f t="shared" si="54"/>
        <v>#VALUE!</v>
      </c>
      <c r="Y29" s="113" t="str">
        <f>IFERROR(VLOOKUP(MID(T29,W29,X29-W29),[6]skilldef!$C:$D,2,FALSE),"-") &amp; " / " &amp; IFERROR(VLOOKUP(MID(T29,U29,V29-U29),[6]skilldef!$A:$B,2,FALSE),"-")</f>
        <v>- / -</v>
      </c>
      <c r="Z29" s="112"/>
      <c r="AA29" s="115"/>
      <c r="AB29" s="112"/>
    </row>
    <row r="30" spans="1:28" ht="21" customHeight="1" x14ac:dyDescent="0.15">
      <c r="A30" s="124">
        <v>49015029</v>
      </c>
      <c r="B30" s="106" t="s">
        <v>373</v>
      </c>
      <c r="C30" s="50">
        <v>3</v>
      </c>
      <c r="D30" s="107" t="s">
        <v>127</v>
      </c>
      <c r="E30" s="120" t="s">
        <v>288</v>
      </c>
      <c r="F30" s="105" t="s">
        <v>289</v>
      </c>
      <c r="G30" s="108" t="str">
        <f t="shared" si="42"/>
        <v>[effect:enemy_message, val1:1.2, val2:0]</v>
      </c>
      <c r="H30" s="108">
        <f t="shared" ref="H30:H34" si="55">FIND("effect:",G30)+7</f>
        <v>9</v>
      </c>
      <c r="I30" s="108">
        <f t="shared" si="43"/>
        <v>22</v>
      </c>
      <c r="J30" s="108" t="e">
        <f t="shared" si="44"/>
        <v>#VALUE!</v>
      </c>
      <c r="K30" s="108">
        <f t="shared" si="45"/>
        <v>32</v>
      </c>
      <c r="L30" s="108" t="str">
        <f>IFERROR(VLOOKUP(MID(G30,J30,K30-J30),[6]skilldef!$C:$D,2,FALSE),"-") &amp; " / " &amp; IFERROR(VLOOKUP(MID(G30,H30,I30-H30),[6]skilldef!$A:$B,2,FALSE),"-")</f>
        <v>- / -</v>
      </c>
      <c r="M30" s="108" t="str">
        <f t="shared" si="46"/>
        <v>[effect:fix_speed, target:myself, turn:2]</v>
      </c>
      <c r="N30" s="109" t="str">
        <f>IFERROR(LEFT(M30,FIND("],",M30)+#REF!),M30)</f>
        <v>[effect:fix_speed, target:myself, turn:2]</v>
      </c>
      <c r="O30" s="108">
        <f t="shared" ref="O30:O34" si="56">FIND("effect:",N30)+7</f>
        <v>9</v>
      </c>
      <c r="P30" s="108">
        <f t="shared" si="48"/>
        <v>18</v>
      </c>
      <c r="Q30" s="108">
        <f t="shared" si="49"/>
        <v>27</v>
      </c>
      <c r="R30" s="108">
        <f t="shared" si="50"/>
        <v>33</v>
      </c>
      <c r="S30" s="108" t="str">
        <f>IFERROR(VLOOKUP(MID(N30,Q30,R30-Q30),[6]skilldef!$C:$D,2,FALSE),"-") &amp; " / " &amp; IFERROR(VLOOKUP(MID(N30,O30,P30-O30),[6]skilldef!$A:$B,2,FALSE),"-")</f>
        <v>自分自身に / 行動値設定</v>
      </c>
      <c r="T30" s="109" t="str">
        <f t="shared" si="51"/>
        <v>none</v>
      </c>
      <c r="U30" s="108" t="e">
        <f t="shared" ref="U30:U34" si="57">FIND("effect:",T30)+7</f>
        <v>#VALUE!</v>
      </c>
      <c r="V30" s="108">
        <f t="shared" si="52"/>
        <v>4</v>
      </c>
      <c r="W30" s="108" t="e">
        <f t="shared" si="53"/>
        <v>#VALUE!</v>
      </c>
      <c r="X30" s="108" t="e">
        <f t="shared" si="54"/>
        <v>#VALUE!</v>
      </c>
      <c r="Y30" s="108" t="str">
        <f>IFERROR(VLOOKUP(MID(T30,W30,X30-W30),[6]skilldef!$C:$D,2,FALSE),"-") &amp; " / " &amp; IFERROR(VLOOKUP(MID(T30,U30,V30-U30),[6]skilldef!$A:$B,2,FALSE),"-")</f>
        <v>- / -</v>
      </c>
      <c r="Z30" s="107"/>
      <c r="AA30" s="110"/>
      <c r="AB30" s="107"/>
    </row>
    <row r="31" spans="1:28" ht="21" customHeight="1" x14ac:dyDescent="0.15">
      <c r="A31" s="124">
        <v>49015030</v>
      </c>
      <c r="B31" s="106" t="s">
        <v>374</v>
      </c>
      <c r="C31" s="50">
        <v>3</v>
      </c>
      <c r="D31" s="50" t="s">
        <v>127</v>
      </c>
      <c r="E31" s="105" t="s">
        <v>290</v>
      </c>
      <c r="F31" s="105" t="s">
        <v>291</v>
      </c>
      <c r="G31" s="63" t="str">
        <f t="shared" ref="G31:G35" si="58">IFERROR(LEFT(B31,FIND("],",B31)),B31)</f>
        <v>[effect:enemy_message, val1:1.2, val2:1.2]</v>
      </c>
      <c r="H31" s="63">
        <f t="shared" si="55"/>
        <v>9</v>
      </c>
      <c r="I31" s="63">
        <f t="shared" ref="I31:I35" si="59">IFERROR(FIND(",",G31),LEN(G31))</f>
        <v>22</v>
      </c>
      <c r="J31" s="63" t="e">
        <f t="shared" ref="J31:J35" si="60">FIND("target:",G31)+7</f>
        <v>#VALUE!</v>
      </c>
      <c r="K31" s="63">
        <f t="shared" ref="K31:K35" si="61">FIND(",",G31,I31+1)</f>
        <v>32</v>
      </c>
      <c r="L31" s="63" t="str">
        <f>IFERROR(VLOOKUP(MID(G31,J31,K31-J31),[6]skilldef!$C:$D,2,FALSE),"-") &amp; " / " &amp; IFERROR(VLOOKUP(MID(G31,H31,I31-H31),[6]skilldef!$A:$B,2,FALSE),"-")</f>
        <v>- / -</v>
      </c>
      <c r="M31" s="63" t="str">
        <f t="shared" ref="M31:M35" si="62">IFERROR(RIGHT(B31,LEN(B31)-FIND("],",B31)-1),"none")</f>
        <v>[effect:rush, count:2, val:0.4]</v>
      </c>
      <c r="N31" s="48" t="str">
        <f t="shared" ref="N31:N39" si="63">IFERROR(LEFT(M31,FIND("],",M31)+S41),M31)</f>
        <v>[effect:rush, count:2, val:0.4]</v>
      </c>
      <c r="O31" s="63">
        <f t="shared" si="56"/>
        <v>9</v>
      </c>
      <c r="P31" s="63">
        <f t="shared" ref="P31:P35" si="64">IFERROR(FIND(",",N31),LEN(N31))</f>
        <v>13</v>
      </c>
      <c r="Q31" s="63" t="e">
        <f t="shared" ref="Q31:Q35" si="65">FIND("target:",N31)+7</f>
        <v>#VALUE!</v>
      </c>
      <c r="R31" s="63">
        <f t="shared" ref="R31:R35" si="66">FIND(",",N31,P31+1)</f>
        <v>22</v>
      </c>
      <c r="S31" s="63" t="str">
        <f>IFERROR(VLOOKUP(MID(N31,Q31,R31-Q31),[6]skilldef!$C:$D,2,FALSE),"-") &amp; " / " &amp; IFERROR(VLOOKUP(MID(N31,O31,P31-O31),[6]skilldef!$A:$B,2,FALSE),"-")</f>
        <v>- / 連続攻撃</v>
      </c>
      <c r="T31" s="48" t="str">
        <f t="shared" ref="T31:T35" si="67">IFERROR(RIGHT(M31,LEN(M31)-FIND("],",M31)-1),"none")</f>
        <v>none</v>
      </c>
      <c r="U31" s="63" t="e">
        <f t="shared" si="57"/>
        <v>#VALUE!</v>
      </c>
      <c r="V31" s="63">
        <f t="shared" ref="V31:V35" si="68">IFERROR(FIND(",",T31),LEN(T31))</f>
        <v>4</v>
      </c>
      <c r="W31" s="63" t="e">
        <f t="shared" ref="W31:W35" si="69">FIND("target:",T31)+7</f>
        <v>#VALUE!</v>
      </c>
      <c r="X31" s="63" t="e">
        <f t="shared" ref="X31:X35" si="70">FIND(",",T31,V31+1)</f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1"/>
      <c r="AB31" s="50"/>
    </row>
    <row r="32" spans="1:28" ht="21" customHeight="1" x14ac:dyDescent="0.15">
      <c r="A32" s="124">
        <v>49015031</v>
      </c>
      <c r="B32" s="47" t="s">
        <v>552</v>
      </c>
      <c r="C32" s="50">
        <v>3</v>
      </c>
      <c r="D32" s="50" t="s">
        <v>127</v>
      </c>
      <c r="E32" s="105" t="s">
        <v>292</v>
      </c>
      <c r="F32" s="105" t="s">
        <v>357</v>
      </c>
      <c r="G32" s="63" t="str">
        <f t="shared" si="58"/>
        <v>[effect:enemy_message, val1:1.3, val2:1.4]</v>
      </c>
      <c r="H32" s="63">
        <f t="shared" si="55"/>
        <v>9</v>
      </c>
      <c r="I32" s="63">
        <f t="shared" si="59"/>
        <v>22</v>
      </c>
      <c r="J32" s="63" t="e">
        <f t="shared" si="60"/>
        <v>#VALUE!</v>
      </c>
      <c r="K32" s="63">
        <f t="shared" si="61"/>
        <v>32</v>
      </c>
      <c r="L32" s="63" t="str">
        <f>IFERROR(VLOOKUP(MID(G32,J32,K32-J32),[6]skilldef!$C:$D,2,FALSE),"-") &amp; " / " &amp; IFERROR(VLOOKUP(MID(G32,H32,I32-H32),[6]skilldef!$A:$B,2,FALSE),"-")</f>
        <v>- / -</v>
      </c>
      <c r="M32" s="63" t="str">
        <f t="shared" si="62"/>
        <v>[effect:rush, count:1, val:0.6],[effect:enhance_enemy, target:myself, turn:3, status:attack, val:0.3, calc:mul, animation:enemy_enhance_attack]</v>
      </c>
      <c r="N32" s="48" t="str">
        <f t="shared" si="63"/>
        <v>[effect:rush, count:1, val:0.6],[effect:enhance_enemy, target:myself, turn:3, status:attack, val:0.3, calc:mul, animation:enemy_enhance_attack]</v>
      </c>
      <c r="O32" s="63">
        <f t="shared" si="56"/>
        <v>9</v>
      </c>
      <c r="P32" s="63">
        <f t="shared" si="64"/>
        <v>13</v>
      </c>
      <c r="Q32" s="63">
        <f t="shared" si="65"/>
        <v>63</v>
      </c>
      <c r="R32" s="63">
        <f t="shared" si="66"/>
        <v>22</v>
      </c>
      <c r="S32" s="63" t="str">
        <f>IFERROR(VLOOKUP(MID(N32,Q32,R32-Q32),[6]skilldef!$C:$D,2,FALSE),"-") &amp; " / " &amp; IFERROR(VLOOKUP(MID(N32,O32,P32-O32),[6]skilldef!$A:$B,2,FALSE),"-")</f>
        <v>- / 連続攻撃</v>
      </c>
      <c r="T32" s="48" t="str">
        <f t="shared" si="67"/>
        <v>[effect:enhance_enemy, target:myself, turn:3, status:attack, val:0.3, calc:mul, animation:enemy_enhance_attack]</v>
      </c>
      <c r="U32" s="63">
        <f t="shared" si="57"/>
        <v>9</v>
      </c>
      <c r="V32" s="63">
        <f t="shared" si="68"/>
        <v>22</v>
      </c>
      <c r="W32" s="63">
        <f t="shared" si="69"/>
        <v>31</v>
      </c>
      <c r="X32" s="63">
        <f t="shared" si="70"/>
        <v>37</v>
      </c>
      <c r="Y32" s="63" t="str">
        <f>IFERROR(VLOOKUP(MID(T32,W32,X32-W32),[6]skilldef!$C:$D,2,FALSE),"-") &amp; " / " &amp; IFERROR(VLOOKUP(MID(T32,U32,V32-U32),[6]skilldef!$A:$B,2,FALSE),"-")</f>
        <v>自分自身に / ステータス強化</v>
      </c>
      <c r="Z32" s="50"/>
      <c r="AA32" s="51"/>
      <c r="AB32" s="50"/>
    </row>
    <row r="33" spans="1:28" ht="21" customHeight="1" x14ac:dyDescent="0.15">
      <c r="A33" s="124">
        <v>49015032</v>
      </c>
      <c r="B33" s="106" t="s">
        <v>475</v>
      </c>
      <c r="C33" s="50">
        <v>3</v>
      </c>
      <c r="D33" s="50" t="s">
        <v>127</v>
      </c>
      <c r="E33" s="105" t="s">
        <v>293</v>
      </c>
      <c r="F33" s="118" t="s">
        <v>601</v>
      </c>
      <c r="G33" s="63" t="str">
        <f t="shared" si="58"/>
        <v>[effect:enemy_message, val1:1.2, val2:2.9]</v>
      </c>
      <c r="H33" s="63">
        <f t="shared" si="55"/>
        <v>9</v>
      </c>
      <c r="I33" s="63">
        <f t="shared" si="59"/>
        <v>22</v>
      </c>
      <c r="J33" s="63" t="e">
        <f t="shared" si="60"/>
        <v>#VALUE!</v>
      </c>
      <c r="K33" s="63">
        <f t="shared" si="61"/>
        <v>32</v>
      </c>
      <c r="L33" s="63" t="str">
        <f>IFERROR(VLOOKUP(MID(G33,J33,K33-J33),[6]skilldef!$C:$D,2,FALSE),"-") &amp; " / " &amp; IFERROR(VLOOKUP(MID(G33,H33,I33-H33),[6]skilldef!$A:$B,2,FALSE),"-")</f>
        <v>- / -</v>
      </c>
      <c r="M33" s="63" t="str">
        <f t="shared" si="62"/>
        <v>[effect:freq_turn, target:myself, turn:1, val:1, animation:enemy_freq_turn],[effect:enemy_counter, target:myself, invoke_condition:unit_all, counter_target:attacker, turn:2, val:0.2, animation:enemy_counter]</v>
      </c>
      <c r="N33" s="48" t="str">
        <f t="shared" si="63"/>
        <v>[effect:freq_turn, target:myself, turn:1, val:1, animation:enemy_freq_turn],[effect:enemy_counter, target:myself, invoke_condition:unit_all, counter_target:attacker, turn:2, val:0.2, animation:enemy_counter]</v>
      </c>
      <c r="O33" s="63">
        <f t="shared" si="56"/>
        <v>9</v>
      </c>
      <c r="P33" s="63">
        <f t="shared" si="64"/>
        <v>18</v>
      </c>
      <c r="Q33" s="63">
        <f t="shared" si="65"/>
        <v>27</v>
      </c>
      <c r="R33" s="63">
        <f t="shared" si="66"/>
        <v>33</v>
      </c>
      <c r="S33" s="63" t="str">
        <f>IFERROR(VLOOKUP(MID(N33,Q33,R33-Q33),[6]skilldef!$C:$D,2,FALSE),"-") &amp; " / " &amp; IFERROR(VLOOKUP(MID(N33,O33,P33-O33),[6]skilldef!$A:$B,2,FALSE),"-")</f>
        <v>自分自身に / 攻撃頻度がUP</v>
      </c>
      <c r="T33" s="48" t="str">
        <f t="shared" si="67"/>
        <v>[effect:enemy_counter, target:myself, invoke_condition:unit_all, counter_target:attacker, turn:2, val:0.2, animation:enemy_counter]</v>
      </c>
      <c r="U33" s="63">
        <f t="shared" si="57"/>
        <v>9</v>
      </c>
      <c r="V33" s="63">
        <f t="shared" si="68"/>
        <v>22</v>
      </c>
      <c r="W33" s="63">
        <f t="shared" si="69"/>
        <v>31</v>
      </c>
      <c r="X33" s="63">
        <f t="shared" si="70"/>
        <v>37</v>
      </c>
      <c r="Y33" s="63" t="str">
        <f>IFERROR(VLOOKUP(MID(T33,W33,X33-W33),[6]skilldef!$C:$D,2,FALSE),"-") &amp; " / " &amp; IFERROR(VLOOKUP(MID(T33,U33,V33-U33),[6]skilldef!$A:$B,2,FALSE),"-")</f>
        <v>自分自身に / カウンター</v>
      </c>
      <c r="Z33" s="50"/>
      <c r="AA33" s="51"/>
      <c r="AB33" s="50"/>
    </row>
    <row r="34" spans="1:28" ht="21" customHeight="1" thickBot="1" x14ac:dyDescent="0.2">
      <c r="A34" s="125">
        <v>49015033</v>
      </c>
      <c r="B34" s="111" t="s">
        <v>375</v>
      </c>
      <c r="C34" s="50">
        <v>3</v>
      </c>
      <c r="D34" s="112" t="s">
        <v>127</v>
      </c>
      <c r="E34" s="117" t="s">
        <v>294</v>
      </c>
      <c r="F34" s="117" t="s">
        <v>295</v>
      </c>
      <c r="G34" s="113" t="str">
        <f t="shared" si="58"/>
        <v>[effect:enemy_message, val1:1.2, val2:1.2]</v>
      </c>
      <c r="H34" s="113">
        <f t="shared" si="55"/>
        <v>9</v>
      </c>
      <c r="I34" s="113">
        <f t="shared" si="59"/>
        <v>22</v>
      </c>
      <c r="J34" s="113" t="e">
        <f t="shared" si="60"/>
        <v>#VALUE!</v>
      </c>
      <c r="K34" s="113">
        <f t="shared" si="61"/>
        <v>32</v>
      </c>
      <c r="L34" s="113" t="str">
        <f>IFERROR(VLOOKUP(MID(G34,J34,K34-J34),[6]skilldef!$C:$D,2,FALSE),"-") &amp; " / " &amp; IFERROR(VLOOKUP(MID(G34,H34,I34-H34),[6]skilldef!$A:$B,2,FALSE),"-")</f>
        <v>- / -</v>
      </c>
      <c r="M34" s="113" t="str">
        <f t="shared" si="62"/>
        <v>[effect:suicide, target:myself, val:1]</v>
      </c>
      <c r="N34" s="114" t="str">
        <f t="shared" si="63"/>
        <v>[effect:suicide, target:myself, val:1]</v>
      </c>
      <c r="O34" s="113">
        <f t="shared" si="56"/>
        <v>9</v>
      </c>
      <c r="P34" s="113">
        <f t="shared" si="64"/>
        <v>16</v>
      </c>
      <c r="Q34" s="113">
        <f t="shared" si="65"/>
        <v>25</v>
      </c>
      <c r="R34" s="113">
        <f t="shared" si="66"/>
        <v>31</v>
      </c>
      <c r="S34" s="113" t="str">
        <f>IFERROR(VLOOKUP(MID(N34,Q34,R34-Q34),[6]skilldef!$C:$D,2,FALSE),"-") &amp; " / " &amp; IFERROR(VLOOKUP(MID(N34,O34,P34-O34),[6]skilldef!$A:$B,2,FALSE),"-")</f>
        <v>自分自身に / -</v>
      </c>
      <c r="T34" s="114" t="str">
        <f t="shared" si="67"/>
        <v>none</v>
      </c>
      <c r="U34" s="113" t="e">
        <f t="shared" si="57"/>
        <v>#VALUE!</v>
      </c>
      <c r="V34" s="113">
        <f t="shared" si="68"/>
        <v>4</v>
      </c>
      <c r="W34" s="113" t="e">
        <f t="shared" si="69"/>
        <v>#VALUE!</v>
      </c>
      <c r="X34" s="113" t="e">
        <f t="shared" si="70"/>
        <v>#VALUE!</v>
      </c>
      <c r="Y34" s="113" t="str">
        <f>IFERROR(VLOOKUP(MID(T34,W34,X34-W34),[6]skilldef!$C:$D,2,FALSE),"-") &amp; " / " &amp; IFERROR(VLOOKUP(MID(T34,U34,V34-U34),[6]skilldef!$A:$B,2,FALSE),"-")</f>
        <v>- / -</v>
      </c>
      <c r="Z34" s="112"/>
      <c r="AA34" s="115"/>
      <c r="AB34" s="112"/>
    </row>
    <row r="35" spans="1:28" ht="21" customHeight="1" x14ac:dyDescent="0.15">
      <c r="A35" s="124">
        <v>49015034</v>
      </c>
      <c r="B35" s="106" t="s">
        <v>514</v>
      </c>
      <c r="C35" s="50">
        <v>3</v>
      </c>
      <c r="D35" s="107" t="s">
        <v>127</v>
      </c>
      <c r="E35" s="120" t="s">
        <v>296</v>
      </c>
      <c r="F35" s="120" t="s">
        <v>439</v>
      </c>
      <c r="G35" s="108" t="str">
        <f t="shared" si="58"/>
        <v>[effect:enemy_message, val1:1.3, val2:1.5]</v>
      </c>
      <c r="H35" s="108">
        <f t="shared" ref="H35:H57" si="71">FIND("effect:",G35)+7</f>
        <v>9</v>
      </c>
      <c r="I35" s="108">
        <f t="shared" si="59"/>
        <v>22</v>
      </c>
      <c r="J35" s="108" t="e">
        <f t="shared" si="60"/>
        <v>#VALUE!</v>
      </c>
      <c r="K35" s="108">
        <f t="shared" si="61"/>
        <v>32</v>
      </c>
      <c r="L35" s="108" t="str">
        <f>IFERROR(VLOOKUP(MID(G35,J35,K35-J35),[6]skilldef!$C:$D,2,FALSE),"-") &amp; " / " &amp; IFERROR(VLOOKUP(MID(G35,H35,I35-H35),[6]skilldef!$A:$B,2,FALSE),"-")</f>
        <v>- / -</v>
      </c>
      <c r="M35" s="108" t="str">
        <f t="shared" si="62"/>
        <v>[effect:fix_speed, target:myself, turn:1],[effect:change_range_block, block_change:1, base_type:1, square_count:5, position01:12, value_rad01:3.0, value_h01:1.0, value_w01:1.0, new_block:block_heart, target:block_all, ignore01:block_positive, ignore02:block_heart, count:0, val:0, animation:change_range_block]</v>
      </c>
      <c r="N35" s="109" t="str">
        <f t="shared" si="63"/>
        <v>[effect:fix_speed, target:myself, turn:1],[effect:change_range_block, block_change:1, base_type:1, square_count:5, position01:12, value_rad01:3.0, value_h01:1.0, value_w01:1.0, new_block:block_heart, target:block_all, ignore01:block_positive, ignore02:block_heart, count:0, val:0, animation:change_range_block]</v>
      </c>
      <c r="O35" s="108">
        <f t="shared" ref="O35:O57" si="72">FIND("effect:",N35)+7</f>
        <v>9</v>
      </c>
      <c r="P35" s="108">
        <f t="shared" si="64"/>
        <v>18</v>
      </c>
      <c r="Q35" s="108">
        <f t="shared" si="65"/>
        <v>27</v>
      </c>
      <c r="R35" s="108">
        <f t="shared" si="66"/>
        <v>33</v>
      </c>
      <c r="S35" s="108" t="str">
        <f>IFERROR(VLOOKUP(MID(N35,Q35,R35-Q35),[6]skilldef!$C:$D,2,FALSE),"-") &amp; " / " &amp; IFERROR(VLOOKUP(MID(N35,O35,P35-O35),[6]skilldef!$A:$B,2,FALSE),"-")</f>
        <v>自分自身に / 行動値設定</v>
      </c>
      <c r="T35" s="109" t="str">
        <f t="shared" si="67"/>
        <v>[effect:change_range_block, block_change:1, base_type:1, square_count:5, position01:12, value_rad01:3.0, value_h01:1.0, value_w01:1.0, new_block:block_heart, target:block_all, ignore01:block_positive, ignore02:block_heart, count:0, val:0, animation:change_range_block]</v>
      </c>
      <c r="U35" s="108">
        <f t="shared" ref="U35:U57" si="73">FIND("effect:",T35)+7</f>
        <v>9</v>
      </c>
      <c r="V35" s="108">
        <f t="shared" si="68"/>
        <v>27</v>
      </c>
      <c r="W35" s="108">
        <f t="shared" si="69"/>
        <v>166</v>
      </c>
      <c r="X35" s="108">
        <f t="shared" si="70"/>
        <v>43</v>
      </c>
      <c r="Y35" s="108" t="str">
        <f>IFERROR(VLOOKUP(MID(T35,W35,X35-W35),[6]skilldef!$C:$D,2,FALSE),"-") &amp; " / " &amp; IFERROR(VLOOKUP(MID(T35,U35,V35-U35),[6]skilldef!$A:$B,2,FALSE),"-")</f>
        <v>- / -</v>
      </c>
      <c r="Z35" s="107"/>
      <c r="AA35" s="110"/>
      <c r="AB35" s="107"/>
    </row>
    <row r="36" spans="1:28" ht="21" customHeight="1" x14ac:dyDescent="0.15">
      <c r="A36" s="124">
        <v>49015035</v>
      </c>
      <c r="B36" s="106" t="s">
        <v>476</v>
      </c>
      <c r="C36" s="50">
        <v>3</v>
      </c>
      <c r="D36" s="50" t="s">
        <v>127</v>
      </c>
      <c r="E36" s="105" t="s">
        <v>297</v>
      </c>
      <c r="F36" s="105" t="s">
        <v>298</v>
      </c>
      <c r="G36" s="63" t="str">
        <f t="shared" ref="G36:G57" si="74">IFERROR(LEFT(B36,FIND("],",B36)),B36)</f>
        <v>[effect:enemy_message, val1:1.2, val2:1.2]</v>
      </c>
      <c r="H36" s="63">
        <f t="shared" si="71"/>
        <v>9</v>
      </c>
      <c r="I36" s="63">
        <f t="shared" ref="I36:I57" si="75">IFERROR(FIND(",",G36),LEN(G36))</f>
        <v>22</v>
      </c>
      <c r="J36" s="63" t="e">
        <f t="shared" ref="J36:J57" si="76">FIND("target:",G36)+7</f>
        <v>#VALUE!</v>
      </c>
      <c r="K36" s="63">
        <f t="shared" ref="K36:K57" si="77">FIND(",",G36,I36+1)</f>
        <v>32</v>
      </c>
      <c r="L36" s="63" t="str">
        <f>IFERROR(VLOOKUP(MID(G36,J36,K36-J36),[6]skilldef!$C:$D,2,FALSE),"-") &amp; " / " &amp; IFERROR(VLOOKUP(MID(G36,H36,I36-H36),[6]skilldef!$A:$B,2,FALSE),"-")</f>
        <v>- / -</v>
      </c>
      <c r="M36" s="63" t="str">
        <f t="shared" ref="M36:M57" si="78">IFERROR(RIGHT(B36,LEN(B36)-FIND("],",B36)-1),"none")</f>
        <v>[effect:spread, val:0.18]</v>
      </c>
      <c r="N36" s="48" t="str">
        <f t="shared" si="63"/>
        <v>[effect:spread, val:0.18]</v>
      </c>
      <c r="O36" s="63">
        <f t="shared" si="72"/>
        <v>9</v>
      </c>
      <c r="P36" s="63">
        <f t="shared" ref="P36:P57" si="79">IFERROR(FIND(",",N36),LEN(N36))</f>
        <v>15</v>
      </c>
      <c r="Q36" s="63" t="e">
        <f t="shared" ref="Q36:Q57" si="80">FIND("target:",N36)+7</f>
        <v>#VALUE!</v>
      </c>
      <c r="R36" s="63" t="e">
        <f t="shared" ref="R36:R57" si="81">FIND(",",N36,P36+1)</f>
        <v>#VALUE!</v>
      </c>
      <c r="S36" s="63" t="str">
        <f>IFERROR(VLOOKUP(MID(N36,Q36,R36-Q36),[6]skilldef!$C:$D,2,FALSE),"-") &amp; " / " &amp; IFERROR(VLOOKUP(MID(N36,O36,P36-O36),[6]skilldef!$A:$B,2,FALSE),"-")</f>
        <v>- / 全体攻撃</v>
      </c>
      <c r="T36" s="48" t="str">
        <f t="shared" ref="T36:T57" si="82">IFERROR(RIGHT(M36,LEN(M36)-FIND("],",M36)-1),"none")</f>
        <v>none</v>
      </c>
      <c r="U36" s="63" t="e">
        <f t="shared" si="73"/>
        <v>#VALUE!</v>
      </c>
      <c r="V36" s="63">
        <f t="shared" ref="V36:V57" si="83">IFERROR(FIND(",",T36),LEN(T36))</f>
        <v>4</v>
      </c>
      <c r="W36" s="63" t="e">
        <f t="shared" ref="W36:W57" si="84">FIND("target:",T36)+7</f>
        <v>#VALUE!</v>
      </c>
      <c r="X36" s="63" t="e">
        <f t="shared" ref="X36:X57" si="85">FIND(",",T36,V36+1)</f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1"/>
      <c r="AB36" s="50"/>
    </row>
    <row r="37" spans="1:28" ht="21" customHeight="1" x14ac:dyDescent="0.15">
      <c r="A37" s="124">
        <v>49015036</v>
      </c>
      <c r="B37" s="47" t="s">
        <v>582</v>
      </c>
      <c r="C37" s="50">
        <v>3</v>
      </c>
      <c r="D37" s="50" t="s">
        <v>127</v>
      </c>
      <c r="E37" s="105" t="s">
        <v>428</v>
      </c>
      <c r="F37" s="119" t="s">
        <v>501</v>
      </c>
      <c r="G37" s="63" t="str">
        <f t="shared" si="74"/>
        <v>[effect:enemy_message, val1:1.2, val2:2.9]</v>
      </c>
      <c r="H37" s="63">
        <f t="shared" si="71"/>
        <v>9</v>
      </c>
      <c r="I37" s="63">
        <f t="shared" si="75"/>
        <v>22</v>
      </c>
      <c r="J37" s="63" t="e">
        <f t="shared" si="76"/>
        <v>#VALUE!</v>
      </c>
      <c r="K37" s="63">
        <f t="shared" si="77"/>
        <v>32</v>
      </c>
      <c r="L37" s="63" t="str">
        <f>IFERROR(VLOOKUP(MID(G37,J37,K37-J37),[6]skilldef!$C:$D,2,FALSE),"-") &amp; " / " &amp; IFERROR(VLOOKUP(MID(G37,H37,I37-H37),[6]skilldef!$A:$B,2,FALSE),"-")</f>
        <v>- / -</v>
      </c>
      <c r="M37" s="63" t="str">
        <f t="shared" si="78"/>
        <v>[effect:rush, count:1, val:0.6],[effect:force_change_block, new_block:time_bomb, target:block_all, ignore01:block_positive, ignore02:time_bomb, color:block_green, count:3, val:0.08, min_time_count:3, max_time_count:3, animation:change_block]</v>
      </c>
      <c r="N37" s="48" t="str">
        <f t="shared" si="63"/>
        <v>[effect:rush, count:1, val:0.6],[effect:force_change_block, new_block:time_bomb, target:block_all, ignore01:block_positive, ignore02:time_bomb, color:block_green, count:3, val:0.08, min_time_count:3, max_time_count:3, animation:change_block]</v>
      </c>
      <c r="O37" s="63">
        <f t="shared" si="72"/>
        <v>9</v>
      </c>
      <c r="P37" s="63">
        <f t="shared" si="79"/>
        <v>13</v>
      </c>
      <c r="Q37" s="63">
        <f t="shared" si="80"/>
        <v>89</v>
      </c>
      <c r="R37" s="63">
        <f t="shared" si="81"/>
        <v>22</v>
      </c>
      <c r="S37" s="63" t="str">
        <f>IFERROR(VLOOKUP(MID(N37,Q37,R37-Q37),[6]skilldef!$C:$D,2,FALSE),"-") &amp; " / " &amp; IFERROR(VLOOKUP(MID(N37,O37,P37-O37),[6]skilldef!$A:$B,2,FALSE),"-")</f>
        <v>- / 連続攻撃</v>
      </c>
      <c r="T37" s="48" t="str">
        <f t="shared" si="82"/>
        <v>[effect:force_change_block, new_block:time_bomb, target:block_all, ignore01:block_positive, ignore02:time_bomb, color:block_green, count:3, val:0.08, min_time_count:3, max_time_count:3, animation:change_block]</v>
      </c>
      <c r="U37" s="63">
        <f t="shared" si="73"/>
        <v>9</v>
      </c>
      <c r="V37" s="63">
        <f t="shared" si="83"/>
        <v>27</v>
      </c>
      <c r="W37" s="63">
        <f t="shared" si="84"/>
        <v>57</v>
      </c>
      <c r="X37" s="63">
        <f t="shared" si="85"/>
        <v>48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1"/>
      <c r="AB37" s="50"/>
    </row>
    <row r="38" spans="1:28" ht="21" customHeight="1" x14ac:dyDescent="0.15">
      <c r="A38" s="124">
        <v>49015037</v>
      </c>
      <c r="B38" s="106" t="s">
        <v>516</v>
      </c>
      <c r="C38" s="50">
        <v>3</v>
      </c>
      <c r="D38" s="50" t="s">
        <v>127</v>
      </c>
      <c r="E38" s="105" t="s">
        <v>404</v>
      </c>
      <c r="F38" s="119" t="s">
        <v>440</v>
      </c>
      <c r="G38" s="63" t="str">
        <f t="shared" si="74"/>
        <v>[effect:enemy_message, val1:1.2, val2:2.0]</v>
      </c>
      <c r="H38" s="63">
        <f t="shared" si="71"/>
        <v>9</v>
      </c>
      <c r="I38" s="63">
        <f t="shared" si="75"/>
        <v>22</v>
      </c>
      <c r="J38" s="63" t="e">
        <f t="shared" si="76"/>
        <v>#VALUE!</v>
      </c>
      <c r="K38" s="63">
        <f t="shared" si="77"/>
        <v>32</v>
      </c>
      <c r="L38" s="63" t="str">
        <f>IFERROR(VLOOKUP(MID(G38,J38,K38-J38),[6]skilldef!$C:$D,2,FALSE),"-") &amp; " / " &amp; IFERROR(VLOOKUP(MID(G38,H38,I38-H38),[6]skilldef!$A:$B,2,FALSE),"-")</f>
        <v>- / -</v>
      </c>
      <c r="M38" s="63" t="str">
        <f t="shared" si="78"/>
        <v>[effect:rush, count:1, val:0.6],[effect:change_range_block, block_change:1, base_type:1, square_count:5, position01:17, value_rad01:3.0, value_h01:1.0, value_w01:1.0, new_block:jammer, target:block_all, ignore01:block_positive, ignore02:jammer, count:0, val:0, animation:change_range_block]</v>
      </c>
      <c r="N38" s="48" t="str">
        <f t="shared" si="63"/>
        <v>[effect:rush, count:1, val:0.6],[effect:change_range_block, block_change:1, base_type:1, square_count:5, position01:17, value_rad01:3.0, value_h01:1.0, value_w01:1.0, new_block:jammer, target:block_all, ignore01:block_positive, ignore02:jammer, count:0, val:0, animation:change_range_block]</v>
      </c>
      <c r="O38" s="63">
        <f t="shared" si="72"/>
        <v>9</v>
      </c>
      <c r="P38" s="63">
        <f t="shared" si="79"/>
        <v>13</v>
      </c>
      <c r="Q38" s="63">
        <f t="shared" si="80"/>
        <v>193</v>
      </c>
      <c r="R38" s="63">
        <f t="shared" si="81"/>
        <v>22</v>
      </c>
      <c r="S38" s="63" t="str">
        <f>IFERROR(VLOOKUP(MID(N38,Q38,R38-Q38),[6]skilldef!$C:$D,2,FALSE),"-") &amp; " / " &amp; IFERROR(VLOOKUP(MID(N38,O38,P38-O38),[6]skilldef!$A:$B,2,FALSE),"-")</f>
        <v>- / 連続攻撃</v>
      </c>
      <c r="T38" s="48" t="str">
        <f t="shared" si="82"/>
        <v>[effect:change_range_block, block_change:1, base_type:1, square_count:5, position01:17, value_rad01:3.0, value_h01:1.0, value_w01:1.0, new_block:jammer, target:block_all, ignore01:block_positive, ignore02:jammer, count:0, val:0, animation:change_range_block]</v>
      </c>
      <c r="U38" s="63">
        <f t="shared" si="73"/>
        <v>9</v>
      </c>
      <c r="V38" s="63">
        <f t="shared" si="83"/>
        <v>27</v>
      </c>
      <c r="W38" s="63">
        <f t="shared" si="84"/>
        <v>161</v>
      </c>
      <c r="X38" s="63">
        <f t="shared" si="85"/>
        <v>43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1"/>
      <c r="AB38" s="50"/>
    </row>
    <row r="39" spans="1:28" ht="378" x14ac:dyDescent="0.15">
      <c r="A39" s="124">
        <v>49015038</v>
      </c>
      <c r="B39" s="106" t="s">
        <v>517</v>
      </c>
      <c r="C39" s="50">
        <v>3</v>
      </c>
      <c r="D39" s="50" t="s">
        <v>127</v>
      </c>
      <c r="E39" s="193" t="s">
        <v>467</v>
      </c>
      <c r="F39" s="193" t="s">
        <v>490</v>
      </c>
      <c r="G39" s="63" t="str">
        <f t="shared" si="74"/>
        <v>[effect:enemy_message, val1:2.3, val2:2.8]</v>
      </c>
      <c r="H39" s="63">
        <f t="shared" si="71"/>
        <v>9</v>
      </c>
      <c r="I39" s="63">
        <f t="shared" si="75"/>
        <v>22</v>
      </c>
      <c r="J39" s="63" t="e">
        <f t="shared" si="76"/>
        <v>#VALUE!</v>
      </c>
      <c r="K39" s="63">
        <f t="shared" si="77"/>
        <v>32</v>
      </c>
      <c r="L39" s="63" t="str">
        <f>IFERROR(VLOOKUP(MID(G39,J39,K39-J39),[6]skilldef!$C:$D,2,FALSE),"-") &amp; " / " &amp; IFERROR(VLOOKUP(MID(G39,H39,I39-H39),[6]skilldef!$A:$B,2,FALSE),"-")</f>
        <v>- / -</v>
      </c>
      <c r="M39" s="63" t="str">
        <f t="shared" si="78"/>
        <v>[effect:change_range_block, block_change:1, base_type:0, square_count:3, position01:1, position02:6, position03:8, value_h01:1.0, value_h02:1.0, value_h03:1.0, value_w01:1.0, value_w02:1.0, value_w03:1.0, new_block:jammer, target:block_all, ignore01:block_positive, ignore02:jammer, count:0, val:0, animation:change_range_block],[effect:change_range_block, block_change:1, base_type:0, square_count:3, position01:3, position02:5, position03:7, value_h01:1.0, value_h02:1.0, value_h03:1.0, value_w01:1.0, value_w02:1.0, value_w03:1.0, new_block:time_bomb, target:block_all, ignore01:block_positive, ignore02:time_bomb, color:block_green, count:0, val:0.04, min_time_count:3, max_time_count:3, animation:change_range_block]</v>
      </c>
      <c r="N39" s="48" t="str">
        <f t="shared" si="63"/>
        <v>[effect:change_range_block, block_change:1, base_type:0, square_count:3, position01:1, position02:6, position03:8, value_h01:1.0, value_h02:1.0, value_h03:1.0, value_w01:1.0, value_w02:1.0, value_w03:1.0, new_block:jammer, target:block_all, ignore01:block_positive, ignore02:jammer, count:0, val:0, animation:change_range_block],[effect:change_range_block, block_change:1, base_type:0, square_count:3, position01:3, position02:5, position03:7, value_h01:1.0, value_h02:1.0, value_h03:1.0, value_w01:1.0, value_w02:1.0, value_w03:1.0, new_block:time_bomb, target:block_all, ignore01:block_positive, ignore02:time_bomb, color:block_green, count:0, val:0.04, min_time_count:3, max_time_count:3, animation:change_range_block]</v>
      </c>
      <c r="O39" s="63">
        <f t="shared" si="72"/>
        <v>9</v>
      </c>
      <c r="P39" s="63">
        <f t="shared" si="79"/>
        <v>27</v>
      </c>
      <c r="Q39" s="63">
        <f t="shared" si="80"/>
        <v>231</v>
      </c>
      <c r="R39" s="63">
        <f t="shared" si="81"/>
        <v>43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82"/>
        <v>[effect:change_range_block, block_change:1, base_type:0, square_count:3, position01:3, position02:5, position03:7, value_h01:1.0, value_h02:1.0, value_h03:1.0, value_w01:1.0, value_w02:1.0, value_w03:1.0, new_block:time_bomb, target:block_all, ignore01:block_positive, ignore02:time_bomb, color:block_green, count:0, val:0.04, min_time_count:3, max_time_count:3, animation:change_range_block]</v>
      </c>
      <c r="U39" s="63">
        <f t="shared" si="73"/>
        <v>9</v>
      </c>
      <c r="V39" s="63">
        <f t="shared" si="83"/>
        <v>27</v>
      </c>
      <c r="W39" s="63">
        <f t="shared" si="84"/>
        <v>234</v>
      </c>
      <c r="X39" s="63">
        <f t="shared" si="85"/>
        <v>43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1"/>
      <c r="AB39" s="50"/>
    </row>
    <row r="40" spans="1:28" ht="14" x14ac:dyDescent="0.15">
      <c r="A40" s="124">
        <v>49015039</v>
      </c>
      <c r="B40" s="106" t="s">
        <v>352</v>
      </c>
      <c r="C40" s="50">
        <v>3</v>
      </c>
      <c r="D40" s="50" t="s">
        <v>127</v>
      </c>
      <c r="E40" s="152" t="s">
        <v>299</v>
      </c>
      <c r="F40" s="120" t="s">
        <v>300</v>
      </c>
      <c r="G40" s="63" t="str">
        <f t="shared" ref="G40" si="86">IFERROR(LEFT(B40,FIND("],",B40)),B40)</f>
        <v>[effect:enemy_message, val1:1.2, val2:1.2, dead_type:escape]</v>
      </c>
      <c r="H40" s="63">
        <f t="shared" ref="H40" si="87">FIND("effect:",G40)+7</f>
        <v>9</v>
      </c>
      <c r="I40" s="63">
        <f t="shared" ref="I40" si="88">IFERROR(FIND(",",G40),LEN(G40))</f>
        <v>22</v>
      </c>
      <c r="J40" s="63" t="e">
        <f t="shared" ref="J40" si="89">FIND("target:",G40)+7</f>
        <v>#VALUE!</v>
      </c>
      <c r="K40" s="63">
        <f t="shared" ref="K40" si="90">FIND(",",G40,I40+1)</f>
        <v>32</v>
      </c>
      <c r="L40" s="63" t="str">
        <f>IFERROR(VLOOKUP(MID(G40,J40,K40-J40),[6]skilldef!$C:$D,2,FALSE),"-") &amp; " / " &amp; IFERROR(VLOOKUP(MID(G40,H40,I40-H40),[6]skilldef!$A:$B,2,FALSE),"-")</f>
        <v>- / -</v>
      </c>
      <c r="M40" s="63" t="str">
        <f t="shared" ref="M40" si="91">IFERROR(RIGHT(B40,LEN(B40)-FIND("],",B40)-1),"none")</f>
        <v>none</v>
      </c>
      <c r="N40" s="48" t="str">
        <f t="shared" ref="N40" si="92">IFERROR(LEFT(M40,FIND("],",M40)+S50),M40)</f>
        <v>none</v>
      </c>
      <c r="O40" s="63" t="e">
        <f t="shared" ref="O40" si="93">FIND("effect:",N40)+7</f>
        <v>#VALUE!</v>
      </c>
      <c r="P40" s="63">
        <f t="shared" ref="P40" si="94">IFERROR(FIND(",",N40),LEN(N40))</f>
        <v>4</v>
      </c>
      <c r="Q40" s="63" t="e">
        <f t="shared" ref="Q40" si="95">FIND("target:",N40)+7</f>
        <v>#VALUE!</v>
      </c>
      <c r="R40" s="63" t="e">
        <f t="shared" ref="R40" si="96">FIND(",",N40,P40+1)</f>
        <v>#VALUE!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ref="T40" si="97">IFERROR(RIGHT(M40,LEN(M40)-FIND("],",M40)-1),"none")</f>
        <v>none</v>
      </c>
      <c r="U40" s="63" t="e">
        <f t="shared" ref="U40" si="98">FIND("effect:",T40)+7</f>
        <v>#VALUE!</v>
      </c>
      <c r="V40" s="63">
        <f t="shared" ref="V40" si="99">IFERROR(FIND(",",T40),LEN(T40))</f>
        <v>4</v>
      </c>
      <c r="W40" s="63" t="e">
        <f t="shared" ref="W40" si="100">FIND("target:",T40)+7</f>
        <v>#VALUE!</v>
      </c>
      <c r="X40" s="63" t="e">
        <f t="shared" ref="X40" si="101">FIND(",",T40,V40+1)</f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1"/>
      <c r="AB40" s="50"/>
    </row>
    <row r="41" spans="1:28" ht="14" x14ac:dyDescent="0.15">
      <c r="A41" s="124">
        <v>49015040</v>
      </c>
      <c r="B41" s="106" t="s">
        <v>588</v>
      </c>
      <c r="C41" s="50">
        <v>3</v>
      </c>
      <c r="D41" s="50" t="s">
        <v>127</v>
      </c>
      <c r="E41" s="119" t="s">
        <v>413</v>
      </c>
      <c r="F41" s="105" t="s">
        <v>589</v>
      </c>
      <c r="G41" s="63" t="str">
        <f t="shared" si="74"/>
        <v>[effect:enemy_message, val1:1.2, val2:1.3, dead_type:escape]</v>
      </c>
      <c r="H41" s="63">
        <f t="shared" si="71"/>
        <v>9</v>
      </c>
      <c r="I41" s="63">
        <f t="shared" si="75"/>
        <v>22</v>
      </c>
      <c r="J41" s="63" t="e">
        <f t="shared" si="76"/>
        <v>#VALUE!</v>
      </c>
      <c r="K41" s="63">
        <f t="shared" si="77"/>
        <v>32</v>
      </c>
      <c r="L41" s="63" t="str">
        <f>IFERROR(VLOOKUP(MID(G41,J41,K41-J41),[6]skilldef!$C:$D,2,FALSE),"-") &amp; " / " &amp; IFERROR(VLOOKUP(MID(G41,H41,I41-H41),[6]skilldef!$A:$B,2,FALSE),"-")</f>
        <v>- / -</v>
      </c>
      <c r="M41" s="63" t="str">
        <f t="shared" si="78"/>
        <v>none</v>
      </c>
      <c r="N41" s="48" t="str">
        <f>IFERROR(LEFT(M41,FIND("],",M41)+#REF!),M41)</f>
        <v>none</v>
      </c>
      <c r="O41" s="63" t="e">
        <f t="shared" si="72"/>
        <v>#VALUE!</v>
      </c>
      <c r="P41" s="63">
        <f t="shared" si="79"/>
        <v>4</v>
      </c>
      <c r="Q41" s="63" t="e">
        <f t="shared" si="80"/>
        <v>#VALUE!</v>
      </c>
      <c r="R41" s="63" t="e">
        <f t="shared" si="81"/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82"/>
        <v>none</v>
      </c>
      <c r="U41" s="63" t="e">
        <f t="shared" si="73"/>
        <v>#VALUE!</v>
      </c>
      <c r="V41" s="63">
        <f t="shared" si="83"/>
        <v>4</v>
      </c>
      <c r="W41" s="63" t="e">
        <f t="shared" si="84"/>
        <v>#VALUE!</v>
      </c>
      <c r="X41" s="63" t="e">
        <f t="shared" si="85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1"/>
      <c r="AB41" s="50"/>
    </row>
    <row r="42" spans="1:28" ht="21" customHeight="1" x14ac:dyDescent="0.15">
      <c r="A42" s="124">
        <v>49015041</v>
      </c>
      <c r="B42" s="106" t="s">
        <v>352</v>
      </c>
      <c r="C42" s="50">
        <v>3</v>
      </c>
      <c r="D42" s="50" t="s">
        <v>127</v>
      </c>
      <c r="E42" s="105" t="s">
        <v>302</v>
      </c>
      <c r="F42" s="118" t="s">
        <v>303</v>
      </c>
      <c r="G42" s="63" t="str">
        <f t="shared" si="74"/>
        <v>[effect:enemy_message, val1:1.2, val2:1.2, dead_type:escape]</v>
      </c>
      <c r="H42" s="63">
        <f t="shared" si="71"/>
        <v>9</v>
      </c>
      <c r="I42" s="63">
        <f t="shared" si="75"/>
        <v>22</v>
      </c>
      <c r="J42" s="63" t="e">
        <f t="shared" si="76"/>
        <v>#VALUE!</v>
      </c>
      <c r="K42" s="63">
        <f t="shared" si="77"/>
        <v>32</v>
      </c>
      <c r="L42" s="63" t="str">
        <f>IFERROR(VLOOKUP(MID(G42,J42,K42-J42),[6]skilldef!$C:$D,2,FALSE),"-") &amp; " / " &amp; IFERROR(VLOOKUP(MID(G42,H42,I42-H42),[6]skilldef!$A:$B,2,FALSE),"-")</f>
        <v>- / -</v>
      </c>
      <c r="M42" s="63" t="str">
        <f t="shared" si="78"/>
        <v>none</v>
      </c>
      <c r="N42" s="48" t="str">
        <f t="shared" ref="N42:N50" si="102">IFERROR(LEFT(M42,FIND("],",M42)+S51),M42)</f>
        <v>none</v>
      </c>
      <c r="O42" s="63" t="e">
        <f t="shared" si="72"/>
        <v>#VALUE!</v>
      </c>
      <c r="P42" s="63">
        <f t="shared" si="79"/>
        <v>4</v>
      </c>
      <c r="Q42" s="63" t="e">
        <f t="shared" si="80"/>
        <v>#VALUE!</v>
      </c>
      <c r="R42" s="63" t="e">
        <f t="shared" si="81"/>
        <v>#VALUE!</v>
      </c>
      <c r="S42" s="63" t="str">
        <f>IFERROR(VLOOKUP(MID(N42,Q42,R42-Q42),[6]skilldef!$C:$D,2,FALSE),"-") &amp; " / " &amp; IFERROR(VLOOKUP(MID(N42,O42,P42-O42),[6]skilldef!$A:$B,2,FALSE),"-")</f>
        <v>- / -</v>
      </c>
      <c r="T42" s="48" t="str">
        <f t="shared" si="82"/>
        <v>none</v>
      </c>
      <c r="U42" s="63" t="e">
        <f t="shared" si="73"/>
        <v>#VALUE!</v>
      </c>
      <c r="V42" s="63">
        <f t="shared" si="83"/>
        <v>4</v>
      </c>
      <c r="W42" s="63" t="e">
        <f t="shared" si="84"/>
        <v>#VALUE!</v>
      </c>
      <c r="X42" s="63" t="e">
        <f t="shared" si="85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1"/>
      <c r="AB42" s="50"/>
    </row>
    <row r="43" spans="1:28" ht="14" x14ac:dyDescent="0.15">
      <c r="A43" s="124">
        <v>49015042</v>
      </c>
      <c r="B43" s="106" t="s">
        <v>352</v>
      </c>
      <c r="C43" s="50">
        <v>3</v>
      </c>
      <c r="D43" s="50" t="s">
        <v>127</v>
      </c>
      <c r="E43" s="119" t="s">
        <v>574</v>
      </c>
      <c r="F43" s="105" t="s">
        <v>304</v>
      </c>
      <c r="G43" s="63" t="str">
        <f t="shared" si="74"/>
        <v>[effect:enemy_message, val1:1.2, val2:1.2, dead_type:escape]</v>
      </c>
      <c r="H43" s="63">
        <f t="shared" si="71"/>
        <v>9</v>
      </c>
      <c r="I43" s="63">
        <f t="shared" si="75"/>
        <v>22</v>
      </c>
      <c r="J43" s="63" t="e">
        <f t="shared" si="76"/>
        <v>#VALUE!</v>
      </c>
      <c r="K43" s="63">
        <f t="shared" si="77"/>
        <v>32</v>
      </c>
      <c r="L43" s="63" t="str">
        <f>IFERROR(VLOOKUP(MID(G43,J43,K43-J43),[6]skilldef!$C:$D,2,FALSE),"-") &amp; " / " &amp; IFERROR(VLOOKUP(MID(G43,H43,I43-H43),[6]skilldef!$A:$B,2,FALSE),"-")</f>
        <v>- / -</v>
      </c>
      <c r="M43" s="63" t="str">
        <f t="shared" si="78"/>
        <v>none</v>
      </c>
      <c r="N43" s="48" t="str">
        <f t="shared" si="102"/>
        <v>none</v>
      </c>
      <c r="O43" s="63" t="e">
        <f t="shared" si="72"/>
        <v>#VALUE!</v>
      </c>
      <c r="P43" s="63">
        <f t="shared" si="79"/>
        <v>4</v>
      </c>
      <c r="Q43" s="63" t="e">
        <f t="shared" si="80"/>
        <v>#VALUE!</v>
      </c>
      <c r="R43" s="63" t="e">
        <f t="shared" si="81"/>
        <v>#VALUE!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82"/>
        <v>none</v>
      </c>
      <c r="U43" s="63" t="e">
        <f t="shared" si="73"/>
        <v>#VALUE!</v>
      </c>
      <c r="V43" s="63">
        <f t="shared" si="83"/>
        <v>4</v>
      </c>
      <c r="W43" s="63" t="e">
        <f t="shared" si="84"/>
        <v>#VALUE!</v>
      </c>
      <c r="X43" s="63" t="e">
        <f t="shared" si="85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1"/>
      <c r="AB43" s="50"/>
    </row>
    <row r="44" spans="1:28" ht="21" customHeight="1" x14ac:dyDescent="0.15">
      <c r="A44" s="124">
        <v>49015043</v>
      </c>
      <c r="B44" s="106" t="s">
        <v>377</v>
      </c>
      <c r="C44" s="50">
        <v>3</v>
      </c>
      <c r="D44" s="50" t="s">
        <v>127</v>
      </c>
      <c r="E44" s="105" t="s">
        <v>376</v>
      </c>
      <c r="F44" s="105" t="s">
        <v>289</v>
      </c>
      <c r="G44" s="63" t="str">
        <f t="shared" si="74"/>
        <v>[effect:enemy_message, val1:1.6, val2:0, dead_type:escape]</v>
      </c>
      <c r="H44" s="63">
        <f t="shared" si="71"/>
        <v>9</v>
      </c>
      <c r="I44" s="63">
        <f t="shared" si="75"/>
        <v>22</v>
      </c>
      <c r="J44" s="63" t="e">
        <f t="shared" si="76"/>
        <v>#VALUE!</v>
      </c>
      <c r="K44" s="63">
        <f t="shared" si="77"/>
        <v>32</v>
      </c>
      <c r="L44" s="63" t="str">
        <f>IFERROR(VLOOKUP(MID(G44,J44,K44-J44),[6]skilldef!$C:$D,2,FALSE),"-") &amp; " / " &amp; IFERROR(VLOOKUP(MID(G44,H44,I44-H44),[6]skilldef!$A:$B,2,FALSE),"-")</f>
        <v>- / -</v>
      </c>
      <c r="M44" s="63" t="str">
        <f t="shared" si="78"/>
        <v>none</v>
      </c>
      <c r="N44" s="48" t="str">
        <f t="shared" si="102"/>
        <v>none</v>
      </c>
      <c r="O44" s="63" t="e">
        <f t="shared" si="72"/>
        <v>#VALUE!</v>
      </c>
      <c r="P44" s="63">
        <f t="shared" si="79"/>
        <v>4</v>
      </c>
      <c r="Q44" s="63" t="e">
        <f t="shared" si="80"/>
        <v>#VALUE!</v>
      </c>
      <c r="R44" s="63" t="e">
        <f t="shared" si="81"/>
        <v>#VALUE!</v>
      </c>
      <c r="S44" s="63" t="str">
        <f>IFERROR(VLOOKUP(MID(N44,Q44,R44-Q44),[6]skilldef!$C:$D,2,FALSE),"-") &amp; " / " &amp; IFERROR(VLOOKUP(MID(N44,O44,P44-O44),[6]skilldef!$A:$B,2,FALSE),"-")</f>
        <v>- / -</v>
      </c>
      <c r="T44" s="48" t="str">
        <f t="shared" si="82"/>
        <v>none</v>
      </c>
      <c r="U44" s="63" t="e">
        <f t="shared" si="73"/>
        <v>#VALUE!</v>
      </c>
      <c r="V44" s="63">
        <f t="shared" si="83"/>
        <v>4</v>
      </c>
      <c r="W44" s="63" t="e">
        <f t="shared" si="84"/>
        <v>#VALUE!</v>
      </c>
      <c r="X44" s="63" t="e">
        <f t="shared" si="85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1"/>
      <c r="AB44" s="50"/>
    </row>
    <row r="45" spans="1:28" ht="21" customHeight="1" x14ac:dyDescent="0.15">
      <c r="A45" s="124">
        <v>49015044</v>
      </c>
      <c r="B45" s="106" t="s">
        <v>356</v>
      </c>
      <c r="C45" s="50">
        <v>3</v>
      </c>
      <c r="D45" s="50" t="s">
        <v>127</v>
      </c>
      <c r="E45" s="105" t="s">
        <v>305</v>
      </c>
      <c r="F45" s="105" t="s">
        <v>289</v>
      </c>
      <c r="G45" s="63" t="str">
        <f t="shared" si="74"/>
        <v>[effect:enemy_message, val1:1.2, val2:0, dead_type:escape]</v>
      </c>
      <c r="H45" s="63">
        <f t="shared" si="71"/>
        <v>9</v>
      </c>
      <c r="I45" s="63">
        <f t="shared" si="75"/>
        <v>22</v>
      </c>
      <c r="J45" s="63" t="e">
        <f t="shared" si="76"/>
        <v>#VALUE!</v>
      </c>
      <c r="K45" s="63">
        <f t="shared" si="77"/>
        <v>32</v>
      </c>
      <c r="L45" s="63" t="str">
        <f>IFERROR(VLOOKUP(MID(G45,J45,K45-J45),[6]skilldef!$C:$D,2,FALSE),"-") &amp; " / " &amp; IFERROR(VLOOKUP(MID(G45,H45,I45-H45),[6]skilldef!$A:$B,2,FALSE),"-")</f>
        <v>- / -</v>
      </c>
      <c r="M45" s="63" t="str">
        <f t="shared" si="78"/>
        <v>none</v>
      </c>
      <c r="N45" s="48" t="str">
        <f t="shared" si="102"/>
        <v>none</v>
      </c>
      <c r="O45" s="63" t="e">
        <f t="shared" si="72"/>
        <v>#VALUE!</v>
      </c>
      <c r="P45" s="63">
        <f t="shared" si="79"/>
        <v>4</v>
      </c>
      <c r="Q45" s="63" t="e">
        <f t="shared" si="80"/>
        <v>#VALUE!</v>
      </c>
      <c r="R45" s="63" t="e">
        <f t="shared" si="81"/>
        <v>#VALUE!</v>
      </c>
      <c r="S45" s="63" t="str">
        <f>IFERROR(VLOOKUP(MID(N45,Q45,R45-Q45),[6]skilldef!$C:$D,2,FALSE),"-") &amp; " / " &amp; IFERROR(VLOOKUP(MID(N45,O45,P45-O45),[6]skilldef!$A:$B,2,FALSE),"-")</f>
        <v>- / -</v>
      </c>
      <c r="T45" s="48" t="str">
        <f t="shared" si="82"/>
        <v>none</v>
      </c>
      <c r="U45" s="63" t="e">
        <f t="shared" si="73"/>
        <v>#VALUE!</v>
      </c>
      <c r="V45" s="63">
        <f t="shared" si="83"/>
        <v>4</v>
      </c>
      <c r="W45" s="63" t="e">
        <f t="shared" si="84"/>
        <v>#VALUE!</v>
      </c>
      <c r="X45" s="63" t="e">
        <f t="shared" si="85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1"/>
      <c r="AB45" s="50"/>
    </row>
    <row r="46" spans="1:28" ht="21" customHeight="1" x14ac:dyDescent="0.15">
      <c r="A46" s="124">
        <v>49015045</v>
      </c>
      <c r="B46" s="106" t="s">
        <v>352</v>
      </c>
      <c r="C46" s="50">
        <v>3</v>
      </c>
      <c r="D46" s="50" t="s">
        <v>127</v>
      </c>
      <c r="E46" s="105" t="s">
        <v>306</v>
      </c>
      <c r="F46" s="118" t="s">
        <v>307</v>
      </c>
      <c r="G46" s="63" t="str">
        <f t="shared" si="74"/>
        <v>[effect:enemy_message, val1:1.2, val2:1.2, dead_type:escape]</v>
      </c>
      <c r="H46" s="63">
        <f t="shared" si="71"/>
        <v>9</v>
      </c>
      <c r="I46" s="63">
        <f t="shared" si="75"/>
        <v>22</v>
      </c>
      <c r="J46" s="63" t="e">
        <f t="shared" si="76"/>
        <v>#VALUE!</v>
      </c>
      <c r="K46" s="63">
        <f t="shared" si="77"/>
        <v>32</v>
      </c>
      <c r="L46" s="63" t="str">
        <f>IFERROR(VLOOKUP(MID(G46,J46,K46-J46),[6]skilldef!$C:$D,2,FALSE),"-") &amp; " / " &amp; IFERROR(VLOOKUP(MID(G46,H46,I46-H46),[6]skilldef!$A:$B,2,FALSE),"-")</f>
        <v>- / -</v>
      </c>
      <c r="M46" s="63" t="str">
        <f t="shared" si="78"/>
        <v>none</v>
      </c>
      <c r="N46" s="48" t="str">
        <f t="shared" si="102"/>
        <v>none</v>
      </c>
      <c r="O46" s="63" t="e">
        <f t="shared" si="72"/>
        <v>#VALUE!</v>
      </c>
      <c r="P46" s="63">
        <f t="shared" si="79"/>
        <v>4</v>
      </c>
      <c r="Q46" s="63" t="e">
        <f t="shared" si="80"/>
        <v>#VALUE!</v>
      </c>
      <c r="R46" s="63" t="e">
        <f t="shared" si="81"/>
        <v>#VALUE!</v>
      </c>
      <c r="S46" s="63" t="str">
        <f>IFERROR(VLOOKUP(MID(N46,Q46,R46-Q46),[6]skilldef!$C:$D,2,FALSE),"-") &amp; " / " &amp; IFERROR(VLOOKUP(MID(N46,O46,P46-O46),[6]skilldef!$A:$B,2,FALSE),"-")</f>
        <v>- / -</v>
      </c>
      <c r="T46" s="48" t="str">
        <f t="shared" si="82"/>
        <v>none</v>
      </c>
      <c r="U46" s="63" t="e">
        <f t="shared" si="73"/>
        <v>#VALUE!</v>
      </c>
      <c r="V46" s="63">
        <f t="shared" si="83"/>
        <v>4</v>
      </c>
      <c r="W46" s="63" t="e">
        <f t="shared" si="84"/>
        <v>#VALUE!</v>
      </c>
      <c r="X46" s="63" t="e">
        <f t="shared" si="85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1"/>
      <c r="AB46" s="50"/>
    </row>
    <row r="47" spans="1:28" ht="21" customHeight="1" thickBot="1" x14ac:dyDescent="0.2">
      <c r="A47" s="125">
        <v>49015046</v>
      </c>
      <c r="B47" s="111" t="s">
        <v>352</v>
      </c>
      <c r="C47" s="50">
        <v>3</v>
      </c>
      <c r="D47" s="112" t="s">
        <v>127</v>
      </c>
      <c r="E47" s="117" t="s">
        <v>308</v>
      </c>
      <c r="F47" s="117" t="s">
        <v>309</v>
      </c>
      <c r="G47" s="113" t="str">
        <f t="shared" si="74"/>
        <v>[effect:enemy_message, val1:1.2, val2:1.2, dead_type:escape]</v>
      </c>
      <c r="H47" s="113">
        <f t="shared" si="71"/>
        <v>9</v>
      </c>
      <c r="I47" s="113">
        <f t="shared" si="75"/>
        <v>22</v>
      </c>
      <c r="J47" s="113" t="e">
        <f t="shared" si="76"/>
        <v>#VALUE!</v>
      </c>
      <c r="K47" s="113">
        <f t="shared" si="77"/>
        <v>32</v>
      </c>
      <c r="L47" s="113" t="str">
        <f>IFERROR(VLOOKUP(MID(G47,J47,K47-J47),[6]skilldef!$C:$D,2,FALSE),"-") &amp; " / " &amp; IFERROR(VLOOKUP(MID(G47,H47,I47-H47),[6]skilldef!$A:$B,2,FALSE),"-")</f>
        <v>- / -</v>
      </c>
      <c r="M47" s="113" t="str">
        <f t="shared" si="78"/>
        <v>none</v>
      </c>
      <c r="N47" s="114" t="str">
        <f t="shared" si="102"/>
        <v>none</v>
      </c>
      <c r="O47" s="113" t="e">
        <f t="shared" si="72"/>
        <v>#VALUE!</v>
      </c>
      <c r="P47" s="113">
        <f t="shared" si="79"/>
        <v>4</v>
      </c>
      <c r="Q47" s="113" t="e">
        <f t="shared" si="80"/>
        <v>#VALUE!</v>
      </c>
      <c r="R47" s="113" t="e">
        <f t="shared" si="81"/>
        <v>#VALUE!</v>
      </c>
      <c r="S47" s="113" t="str">
        <f>IFERROR(VLOOKUP(MID(N47,Q47,R47-Q47),[6]skilldef!$C:$D,2,FALSE),"-") &amp; " / " &amp; IFERROR(VLOOKUP(MID(N47,O47,P47-O47),[6]skilldef!$A:$B,2,FALSE),"-")</f>
        <v>- / -</v>
      </c>
      <c r="T47" s="114" t="str">
        <f t="shared" si="82"/>
        <v>none</v>
      </c>
      <c r="U47" s="113" t="e">
        <f t="shared" si="73"/>
        <v>#VALUE!</v>
      </c>
      <c r="V47" s="113">
        <f t="shared" si="83"/>
        <v>4</v>
      </c>
      <c r="W47" s="113" t="e">
        <f t="shared" si="84"/>
        <v>#VALUE!</v>
      </c>
      <c r="X47" s="113" t="e">
        <f t="shared" si="85"/>
        <v>#VALUE!</v>
      </c>
      <c r="Y47" s="113" t="str">
        <f>IFERROR(VLOOKUP(MID(T47,W47,X47-W47),[6]skilldef!$C:$D,2,FALSE),"-") &amp; " / " &amp; IFERROR(VLOOKUP(MID(T47,U47,V47-U47),[6]skilldef!$A:$B,2,FALSE),"-")</f>
        <v>- / -</v>
      </c>
      <c r="Z47" s="112"/>
      <c r="AA47" s="115"/>
      <c r="AB47" s="112"/>
    </row>
    <row r="48" spans="1:28" ht="21" customHeight="1" x14ac:dyDescent="0.15">
      <c r="A48" s="126">
        <v>49015047</v>
      </c>
      <c r="B48" s="106" t="s">
        <v>556</v>
      </c>
      <c r="C48" s="50">
        <v>3</v>
      </c>
      <c r="D48" s="107" t="s">
        <v>127</v>
      </c>
      <c r="E48" s="118" t="s">
        <v>310</v>
      </c>
      <c r="F48" s="118" t="s">
        <v>559</v>
      </c>
      <c r="G48" s="108" t="str">
        <f t="shared" si="74"/>
        <v>[effect:enemy_message, val1:1.6, val2:1.2]</v>
      </c>
      <c r="H48" s="108">
        <f t="shared" si="71"/>
        <v>9</v>
      </c>
      <c r="I48" s="108">
        <f t="shared" si="75"/>
        <v>22</v>
      </c>
      <c r="J48" s="108" t="e">
        <f t="shared" si="76"/>
        <v>#VALUE!</v>
      </c>
      <c r="K48" s="108">
        <f t="shared" si="77"/>
        <v>32</v>
      </c>
      <c r="L48" s="108" t="str">
        <f>IFERROR(VLOOKUP(MID(G48,J48,K48-J48),[6]skilldef!$C:$D,2,FALSE),"-") &amp; " / " &amp; IFERROR(VLOOKUP(MID(G48,H48,I48-H48),[6]skilldef!$A:$B,2,FALSE),"-")</f>
        <v>- / -</v>
      </c>
      <c r="M48" s="108" t="str">
        <f t="shared" si="78"/>
        <v>[effect:fix_speed, target:myself, turn:2],[effect:dark, target:unit_all, turn:4, animation:enemy_dark]</v>
      </c>
      <c r="N48" s="109" t="str">
        <f t="shared" si="102"/>
        <v>[effect:fix_speed, target:myself, turn:2],[effect:dark, target:unit_all, turn:4, animation:enemy_dark]</v>
      </c>
      <c r="O48" s="108">
        <f t="shared" si="72"/>
        <v>9</v>
      </c>
      <c r="P48" s="108">
        <f t="shared" si="79"/>
        <v>18</v>
      </c>
      <c r="Q48" s="108">
        <f t="shared" si="80"/>
        <v>27</v>
      </c>
      <c r="R48" s="108">
        <f t="shared" si="81"/>
        <v>33</v>
      </c>
      <c r="S48" s="108" t="str">
        <f>IFERROR(VLOOKUP(MID(N48,Q48,R48-Q48),[6]skilldef!$C:$D,2,FALSE),"-") &amp; " / " &amp; IFERROR(VLOOKUP(MID(N48,O48,P48-O48),[6]skilldef!$A:$B,2,FALSE),"-")</f>
        <v>自分自身に / 行動値設定</v>
      </c>
      <c r="T48" s="109" t="str">
        <f t="shared" si="82"/>
        <v>[effect:dark, target:unit_all, turn:4, animation:enemy_dark]</v>
      </c>
      <c r="U48" s="108">
        <f t="shared" si="73"/>
        <v>9</v>
      </c>
      <c r="V48" s="108">
        <f t="shared" si="83"/>
        <v>13</v>
      </c>
      <c r="W48" s="108">
        <f t="shared" si="84"/>
        <v>22</v>
      </c>
      <c r="X48" s="108">
        <f t="shared" si="85"/>
        <v>30</v>
      </c>
      <c r="Y48" s="108" t="str">
        <f>IFERROR(VLOOKUP(MID(T48,W48,X48-W48),[6]skilldef!$C:$D,2,FALSE),"-") &amp; " / " &amp; IFERROR(VLOOKUP(MID(T48,U48,V48-U48),[6]skilldef!$A:$B,2,FALSE),"-")</f>
        <v>味方全体に / 暗黒</v>
      </c>
      <c r="Z48" s="107"/>
      <c r="AA48" s="110"/>
      <c r="AB48" s="107"/>
    </row>
    <row r="49" spans="1:28" ht="56" x14ac:dyDescent="0.15">
      <c r="A49" s="126">
        <v>49015048</v>
      </c>
      <c r="B49" s="106" t="s">
        <v>568</v>
      </c>
      <c r="C49" s="50">
        <v>3</v>
      </c>
      <c r="D49" s="50" t="s">
        <v>127</v>
      </c>
      <c r="E49" s="119" t="s">
        <v>314</v>
      </c>
      <c r="F49" s="119" t="s">
        <v>560</v>
      </c>
      <c r="G49" s="63" t="str">
        <f t="shared" si="74"/>
        <v>[effect:enemy_message, val1:1.2, val2:2.1]</v>
      </c>
      <c r="H49" s="63">
        <f t="shared" si="71"/>
        <v>9</v>
      </c>
      <c r="I49" s="63">
        <f t="shared" si="75"/>
        <v>22</v>
      </c>
      <c r="J49" s="63" t="e">
        <f t="shared" si="76"/>
        <v>#VALUE!</v>
      </c>
      <c r="K49" s="63">
        <f t="shared" si="77"/>
        <v>32</v>
      </c>
      <c r="L49" s="63" t="str">
        <f>IFERROR(VLOOKUP(MID(G49,J49,K49-J49),[6]skilldef!$C:$D,2,FALSE),"-") &amp; " / " &amp; IFERROR(VLOOKUP(MID(G49,H49,I49-H49),[6]skilldef!$A:$B,2,FALSE),"-")</f>
        <v>- / -</v>
      </c>
      <c r="M49" s="63" t="str">
        <f t="shared" si="78"/>
        <v>[effect:fix_speed, target:myself, turn:2],[effect:dark, target:unit_all, turn:4, animation:enemy_dark]</v>
      </c>
      <c r="N49" s="48" t="str">
        <f t="shared" si="102"/>
        <v>[effect:fix_speed, target:myself, turn:2],[effect:dark, target:unit_all, turn:4, animation:enemy_dark]</v>
      </c>
      <c r="O49" s="63">
        <f t="shared" si="72"/>
        <v>9</v>
      </c>
      <c r="P49" s="63">
        <f t="shared" si="79"/>
        <v>18</v>
      </c>
      <c r="Q49" s="63">
        <f t="shared" si="80"/>
        <v>27</v>
      </c>
      <c r="R49" s="63">
        <f t="shared" si="81"/>
        <v>33</v>
      </c>
      <c r="S49" s="63" t="str">
        <f>IFERROR(VLOOKUP(MID(N49,Q49,R49-Q49),[6]skilldef!$C:$D,2,FALSE),"-") &amp; " / " &amp; IFERROR(VLOOKUP(MID(N49,O49,P49-O49),[6]skilldef!$A:$B,2,FALSE),"-")</f>
        <v>自分自身に / 行動値設定</v>
      </c>
      <c r="T49" s="48" t="str">
        <f t="shared" si="82"/>
        <v>[effect:dark, target:unit_all, turn:4, animation:enemy_dark]</v>
      </c>
      <c r="U49" s="63">
        <f t="shared" si="73"/>
        <v>9</v>
      </c>
      <c r="V49" s="63">
        <f t="shared" si="83"/>
        <v>13</v>
      </c>
      <c r="W49" s="63">
        <f t="shared" si="84"/>
        <v>22</v>
      </c>
      <c r="X49" s="63">
        <f t="shared" si="85"/>
        <v>30</v>
      </c>
      <c r="Y49" s="63" t="str">
        <f>IFERROR(VLOOKUP(MID(T49,W49,X49-W49),[6]skilldef!$C:$D,2,FALSE),"-") &amp; " / " &amp; IFERROR(VLOOKUP(MID(T49,U49,V49-U49),[6]skilldef!$A:$B,2,FALSE),"-")</f>
        <v>味方全体に / 暗黒</v>
      </c>
      <c r="Z49" s="50"/>
      <c r="AA49" s="51"/>
      <c r="AB49" s="50"/>
    </row>
    <row r="50" spans="1:28" ht="21" customHeight="1" x14ac:dyDescent="0.15">
      <c r="A50" s="126">
        <v>49015049</v>
      </c>
      <c r="B50" s="106" t="s">
        <v>564</v>
      </c>
      <c r="C50" s="50">
        <v>3</v>
      </c>
      <c r="D50" s="50" t="s">
        <v>127</v>
      </c>
      <c r="E50" s="105" t="s">
        <v>315</v>
      </c>
      <c r="F50" s="118" t="s">
        <v>561</v>
      </c>
      <c r="G50" s="63" t="str">
        <f t="shared" si="74"/>
        <v>[effect:enemy_message, val1:1.2, val2:2.3]</v>
      </c>
      <c r="H50" s="63">
        <f t="shared" si="71"/>
        <v>9</v>
      </c>
      <c r="I50" s="63">
        <f t="shared" si="75"/>
        <v>22</v>
      </c>
      <c r="J50" s="63" t="e">
        <f t="shared" si="76"/>
        <v>#VALUE!</v>
      </c>
      <c r="K50" s="63">
        <f t="shared" si="77"/>
        <v>32</v>
      </c>
      <c r="L50" s="63" t="str">
        <f>IFERROR(VLOOKUP(MID(G50,J50,K50-J50),[6]skilldef!$C:$D,2,FALSE),"-") &amp; " / " &amp; IFERROR(VLOOKUP(MID(G50,H50,I50-H50),[6]skilldef!$A:$B,2,FALSE),"-")</f>
        <v>- / -</v>
      </c>
      <c r="M50" s="63" t="str">
        <f t="shared" si="78"/>
        <v>[effect:fix_speed, target:myself, turn:2],[effect:dark, target:unit_all, turn:4, animation:enemy_dark]</v>
      </c>
      <c r="N50" s="48" t="str">
        <f t="shared" si="102"/>
        <v>[effect:fix_speed, target:myself, turn:2],[effect:dark, target:unit_all, turn:4, animation:enemy_dark]</v>
      </c>
      <c r="O50" s="63">
        <f t="shared" si="72"/>
        <v>9</v>
      </c>
      <c r="P50" s="63">
        <f t="shared" si="79"/>
        <v>18</v>
      </c>
      <c r="Q50" s="63">
        <f t="shared" si="80"/>
        <v>27</v>
      </c>
      <c r="R50" s="63">
        <f t="shared" si="81"/>
        <v>33</v>
      </c>
      <c r="S50" s="63" t="str">
        <f>IFERROR(VLOOKUP(MID(N50,Q50,R50-Q50),[6]skilldef!$C:$D,2,FALSE),"-") &amp; " / " &amp; IFERROR(VLOOKUP(MID(N50,O50,P50-O50),[6]skilldef!$A:$B,2,FALSE),"-")</f>
        <v>自分自身に / 行動値設定</v>
      </c>
      <c r="T50" s="48" t="str">
        <f t="shared" si="82"/>
        <v>[effect:dark, target:unit_all, turn:4, animation:enemy_dark]</v>
      </c>
      <c r="U50" s="63">
        <f t="shared" si="73"/>
        <v>9</v>
      </c>
      <c r="V50" s="63">
        <f t="shared" si="83"/>
        <v>13</v>
      </c>
      <c r="W50" s="63">
        <f t="shared" si="84"/>
        <v>22</v>
      </c>
      <c r="X50" s="63">
        <f t="shared" si="85"/>
        <v>30</v>
      </c>
      <c r="Y50" s="63" t="str">
        <f>IFERROR(VLOOKUP(MID(T50,W50,X50-W50),[6]skilldef!$C:$D,2,FALSE),"-") &amp; " / " &amp; IFERROR(VLOOKUP(MID(T50,U50,V50-U50),[6]skilldef!$A:$B,2,FALSE),"-")</f>
        <v>味方全体に / 暗黒</v>
      </c>
      <c r="Z50" s="50"/>
      <c r="AA50" s="51"/>
      <c r="AB50" s="50"/>
    </row>
    <row r="51" spans="1:28" ht="21" customHeight="1" x14ac:dyDescent="0.15">
      <c r="A51" s="126">
        <v>49015050</v>
      </c>
      <c r="B51" s="106" t="s">
        <v>564</v>
      </c>
      <c r="C51" s="50">
        <v>3</v>
      </c>
      <c r="D51" s="50" t="s">
        <v>127</v>
      </c>
      <c r="E51" s="119" t="s">
        <v>316</v>
      </c>
      <c r="F51" s="119" t="s">
        <v>562</v>
      </c>
      <c r="G51" s="63" t="str">
        <f t="shared" si="74"/>
        <v>[effect:enemy_message, val1:1.2, val2:2.3]</v>
      </c>
      <c r="H51" s="63">
        <f t="shared" si="71"/>
        <v>9</v>
      </c>
      <c r="I51" s="63">
        <f t="shared" si="75"/>
        <v>22</v>
      </c>
      <c r="J51" s="63" t="e">
        <f t="shared" si="76"/>
        <v>#VALUE!</v>
      </c>
      <c r="K51" s="63">
        <f t="shared" si="77"/>
        <v>32</v>
      </c>
      <c r="L51" s="63" t="str">
        <f>IFERROR(VLOOKUP(MID(G51,J51,K51-J51),[6]skilldef!$C:$D,2,FALSE),"-") &amp; " / " &amp; IFERROR(VLOOKUP(MID(G51,H51,I51-H51),[6]skilldef!$A:$B,2,FALSE),"-")</f>
        <v>- / -</v>
      </c>
      <c r="M51" s="63" t="str">
        <f t="shared" si="78"/>
        <v>[effect:fix_speed, target:myself, turn:2],[effect:dark, target:unit_all, turn:4, animation:enemy_dark]</v>
      </c>
      <c r="N51" s="48" t="str">
        <f t="shared" ref="N51" si="103">IFERROR(LEFT(M51,FIND("],",M51)+S61),M51)</f>
        <v>[effect:fix_speed, target:myself, turn:2],[effect:dark, target:unit_all, turn:4, animation:enemy_dark]</v>
      </c>
      <c r="O51" s="63">
        <f t="shared" si="72"/>
        <v>9</v>
      </c>
      <c r="P51" s="63">
        <f t="shared" si="79"/>
        <v>18</v>
      </c>
      <c r="Q51" s="63">
        <f t="shared" si="80"/>
        <v>27</v>
      </c>
      <c r="R51" s="63">
        <f t="shared" si="81"/>
        <v>33</v>
      </c>
      <c r="S51" s="63" t="str">
        <f>IFERROR(VLOOKUP(MID(N51,Q51,R51-Q51),[6]skilldef!$C:$D,2,FALSE),"-") &amp; " / " &amp; IFERROR(VLOOKUP(MID(N51,O51,P51-O51),[6]skilldef!$A:$B,2,FALSE),"-")</f>
        <v>自分自身に / 行動値設定</v>
      </c>
      <c r="T51" s="48" t="str">
        <f t="shared" si="82"/>
        <v>[effect:dark, target:unit_all, turn:4, animation:enemy_dark]</v>
      </c>
      <c r="U51" s="63">
        <f t="shared" si="73"/>
        <v>9</v>
      </c>
      <c r="V51" s="63">
        <f t="shared" si="83"/>
        <v>13</v>
      </c>
      <c r="W51" s="63">
        <f t="shared" si="84"/>
        <v>22</v>
      </c>
      <c r="X51" s="63">
        <f t="shared" si="85"/>
        <v>30</v>
      </c>
      <c r="Y51" s="63" t="str">
        <f>IFERROR(VLOOKUP(MID(T51,W51,X51-W51),[6]skilldef!$C:$D,2,FALSE),"-") &amp; " / " &amp; IFERROR(VLOOKUP(MID(T51,U51,V51-U51),[6]skilldef!$A:$B,2,FALSE),"-")</f>
        <v>味方全体に / 暗黒</v>
      </c>
      <c r="Z51" s="50"/>
      <c r="AA51" s="51"/>
      <c r="AB51" s="50"/>
    </row>
    <row r="52" spans="1:28" ht="21" customHeight="1" x14ac:dyDescent="0.15">
      <c r="A52" s="126">
        <v>49015051</v>
      </c>
      <c r="B52" s="106" t="s">
        <v>583</v>
      </c>
      <c r="C52" s="50">
        <v>3</v>
      </c>
      <c r="D52" s="50" t="s">
        <v>127</v>
      </c>
      <c r="E52" s="105" t="s">
        <v>317</v>
      </c>
      <c r="F52" s="119" t="s">
        <v>563</v>
      </c>
      <c r="G52" s="63" t="str">
        <f t="shared" si="74"/>
        <v>[effect:enemy_message, val1:1.8, val2:2.8]</v>
      </c>
      <c r="H52" s="63">
        <f t="shared" si="71"/>
        <v>9</v>
      </c>
      <c r="I52" s="63">
        <f t="shared" si="75"/>
        <v>22</v>
      </c>
      <c r="J52" s="63" t="e">
        <f t="shared" si="76"/>
        <v>#VALUE!</v>
      </c>
      <c r="K52" s="63">
        <f t="shared" si="77"/>
        <v>32</v>
      </c>
      <c r="L52" s="63" t="str">
        <f>IFERROR(VLOOKUP(MID(G52,J52,K52-J52),[6]skilldef!$C:$D,2,FALSE),"-") &amp; " / " &amp; IFERROR(VLOOKUP(MID(G52,H52,I52-H52),[6]skilldef!$A:$B,2,FALSE),"-")</f>
        <v>- / -</v>
      </c>
      <c r="M52" s="63" t="str">
        <f t="shared" si="78"/>
        <v>[effect:fix_speed, target:myself, turn:2],[effect:dark, target:unit_all, turn:4, animation:enemy_dark],[effect:force_change_block, new_block:crash, target:block_all, ignore01:block_positive, count:1, val:12]</v>
      </c>
      <c r="N52" s="48" t="str">
        <f t="shared" ref="N52:N62" si="104">IFERROR(LEFT(M52,FIND("],",M52)+S63),M52)</f>
        <v>[effect:fix_speed, target:myself, turn:2],[effect:dark, target:unit_all, turn:4, animation:enemy_dark],[effect:force_change_block, new_block:crash, target:block_all, ignore01:block_positive, count:1, val:12]</v>
      </c>
      <c r="O52" s="63">
        <f t="shared" si="72"/>
        <v>9</v>
      </c>
      <c r="P52" s="63">
        <f t="shared" si="79"/>
        <v>18</v>
      </c>
      <c r="Q52" s="63">
        <f t="shared" si="80"/>
        <v>27</v>
      </c>
      <c r="R52" s="63">
        <f t="shared" si="81"/>
        <v>33</v>
      </c>
      <c r="S52" s="63" t="str">
        <f>IFERROR(VLOOKUP(MID(N52,Q52,R52-Q52),[6]skilldef!$C:$D,2,FALSE),"-") &amp; " / " &amp; IFERROR(VLOOKUP(MID(N52,O52,P52-O52),[6]skilldef!$A:$B,2,FALSE),"-")</f>
        <v>自分自身に / 行動値設定</v>
      </c>
      <c r="T52" s="48" t="str">
        <f t="shared" si="82"/>
        <v>[effect:dark, target:unit_all, turn:4, animation:enemy_dark],[effect:force_change_block, new_block:crash, target:block_all, ignore01:block_positive, count:1, val:12]</v>
      </c>
      <c r="U52" s="63">
        <f t="shared" si="73"/>
        <v>9</v>
      </c>
      <c r="V52" s="63">
        <f t="shared" si="83"/>
        <v>13</v>
      </c>
      <c r="W52" s="63">
        <f t="shared" si="84"/>
        <v>22</v>
      </c>
      <c r="X52" s="63">
        <f t="shared" si="85"/>
        <v>30</v>
      </c>
      <c r="Y52" s="63" t="str">
        <f>IFERROR(VLOOKUP(MID(T52,W52,X52-W52),[6]skilldef!$C:$D,2,FALSE),"-") &amp; " / " &amp; IFERROR(VLOOKUP(MID(T52,U52,V52-U52),[6]skilldef!$A:$B,2,FALSE),"-")</f>
        <v>味方全体に / 暗黒</v>
      </c>
      <c r="Z52" s="50"/>
      <c r="AA52" s="51"/>
      <c r="AB52" s="50"/>
    </row>
    <row r="53" spans="1:28" ht="21" customHeight="1" x14ac:dyDescent="0.15">
      <c r="A53" s="126">
        <v>49015052</v>
      </c>
      <c r="B53" s="106" t="s">
        <v>557</v>
      </c>
      <c r="C53" s="50">
        <v>3</v>
      </c>
      <c r="D53" s="50" t="s">
        <v>127</v>
      </c>
      <c r="E53" s="105" t="s">
        <v>378</v>
      </c>
      <c r="F53" s="118" t="s">
        <v>559</v>
      </c>
      <c r="G53" s="63" t="str">
        <f t="shared" si="74"/>
        <v>[effect:enemy_message, val1:1.7, val2:1.2]</v>
      </c>
      <c r="H53" s="63">
        <f t="shared" si="71"/>
        <v>9</v>
      </c>
      <c r="I53" s="63">
        <f t="shared" si="75"/>
        <v>22</v>
      </c>
      <c r="J53" s="63" t="e">
        <f t="shared" si="76"/>
        <v>#VALUE!</v>
      </c>
      <c r="K53" s="63">
        <f t="shared" si="77"/>
        <v>32</v>
      </c>
      <c r="L53" s="63" t="str">
        <f>IFERROR(VLOOKUP(MID(G53,J53,K53-J53),[6]skilldef!$C:$D,2,FALSE),"-") &amp; " / " &amp; IFERROR(VLOOKUP(MID(G53,H53,I53-H53),[6]skilldef!$A:$B,2,FALSE),"-")</f>
        <v>- / -</v>
      </c>
      <c r="M53" s="63" t="str">
        <f t="shared" si="78"/>
        <v>[effect:fix_speed, target:myself, turn:2],[effect:dark, target:unit_all, turn:4, animation:enemy_dark]</v>
      </c>
      <c r="N53" s="48" t="str">
        <f t="shared" si="104"/>
        <v>[effect:fix_speed, target:myself, turn:2],[effect:dark, target:unit_all, turn:4, animation:enemy_dark]</v>
      </c>
      <c r="O53" s="63">
        <f t="shared" si="72"/>
        <v>9</v>
      </c>
      <c r="P53" s="63">
        <f t="shared" si="79"/>
        <v>18</v>
      </c>
      <c r="Q53" s="63">
        <f t="shared" si="80"/>
        <v>27</v>
      </c>
      <c r="R53" s="63">
        <f t="shared" si="81"/>
        <v>33</v>
      </c>
      <c r="S53" s="63" t="str">
        <f>IFERROR(VLOOKUP(MID(N53,Q53,R53-Q53),[6]skilldef!$C:$D,2,FALSE),"-") &amp; " / " &amp; IFERROR(VLOOKUP(MID(N53,O53,P53-O53),[6]skilldef!$A:$B,2,FALSE),"-")</f>
        <v>自分自身に / 行動値設定</v>
      </c>
      <c r="T53" s="48" t="str">
        <f t="shared" si="82"/>
        <v>[effect:dark, target:unit_all, turn:4, animation:enemy_dark]</v>
      </c>
      <c r="U53" s="63">
        <f t="shared" si="73"/>
        <v>9</v>
      </c>
      <c r="V53" s="63">
        <f t="shared" si="83"/>
        <v>13</v>
      </c>
      <c r="W53" s="63">
        <f t="shared" si="84"/>
        <v>22</v>
      </c>
      <c r="X53" s="63">
        <f t="shared" si="85"/>
        <v>30</v>
      </c>
      <c r="Y53" s="63" t="str">
        <f>IFERROR(VLOOKUP(MID(T53,W53,X53-W53),[6]skilldef!$C:$D,2,FALSE),"-") &amp; " / " &amp; IFERROR(VLOOKUP(MID(T53,U53,V53-U53),[6]skilldef!$A:$B,2,FALSE),"-")</f>
        <v>味方全体に / 暗黒</v>
      </c>
      <c r="Z53" s="50"/>
      <c r="AA53" s="51"/>
      <c r="AB53" s="50"/>
    </row>
    <row r="54" spans="1:28" ht="21" customHeight="1" x14ac:dyDescent="0.15">
      <c r="A54" s="126">
        <v>49015053</v>
      </c>
      <c r="B54" s="106" t="s">
        <v>555</v>
      </c>
      <c r="C54" s="50">
        <v>3</v>
      </c>
      <c r="D54" s="50" t="s">
        <v>127</v>
      </c>
      <c r="E54" s="105" t="s">
        <v>379</v>
      </c>
      <c r="F54" s="118" t="s">
        <v>559</v>
      </c>
      <c r="G54" s="63" t="str">
        <f t="shared" si="74"/>
        <v>[effect:enemy_message, val1:1.6, val2:1.2]</v>
      </c>
      <c r="H54" s="63">
        <f t="shared" si="71"/>
        <v>9</v>
      </c>
      <c r="I54" s="63">
        <f t="shared" si="75"/>
        <v>22</v>
      </c>
      <c r="J54" s="63" t="e">
        <f t="shared" si="76"/>
        <v>#VALUE!</v>
      </c>
      <c r="K54" s="63">
        <f t="shared" si="77"/>
        <v>32</v>
      </c>
      <c r="L54" s="63" t="str">
        <f>IFERROR(VLOOKUP(MID(G54,J54,K54-J54),[6]skilldef!$C:$D,2,FALSE),"-") &amp; " / " &amp; IFERROR(VLOOKUP(MID(G54,H54,I54-H54),[6]skilldef!$A:$B,2,FALSE),"-")</f>
        <v>- / -</v>
      </c>
      <c r="M54" s="63" t="str">
        <f t="shared" si="78"/>
        <v>[effect:fix_speed, target:myself, turn:2],[effect:dark, target:unit_all, turn:4, animation:enemy_dark]</v>
      </c>
      <c r="N54" s="48" t="str">
        <f t="shared" si="104"/>
        <v>[effect:fix_speed, target:myself, turn:2],[effect:dark, target:unit_all, turn:4, animation:enemy_dark]</v>
      </c>
      <c r="O54" s="63">
        <f t="shared" si="72"/>
        <v>9</v>
      </c>
      <c r="P54" s="63">
        <f t="shared" si="79"/>
        <v>18</v>
      </c>
      <c r="Q54" s="63">
        <f t="shared" si="80"/>
        <v>27</v>
      </c>
      <c r="R54" s="63">
        <f t="shared" si="81"/>
        <v>33</v>
      </c>
      <c r="S54" s="63" t="str">
        <f>IFERROR(VLOOKUP(MID(N54,Q54,R54-Q54),[6]skilldef!$C:$D,2,FALSE),"-") &amp; " / " &amp; IFERROR(VLOOKUP(MID(N54,O54,P54-O54),[6]skilldef!$A:$B,2,FALSE),"-")</f>
        <v>自分自身に / 行動値設定</v>
      </c>
      <c r="T54" s="48" t="str">
        <f t="shared" si="82"/>
        <v>[effect:dark, target:unit_all, turn:4, animation:enemy_dark]</v>
      </c>
      <c r="U54" s="63">
        <f t="shared" si="73"/>
        <v>9</v>
      </c>
      <c r="V54" s="63">
        <f t="shared" si="83"/>
        <v>13</v>
      </c>
      <c r="W54" s="63">
        <f t="shared" si="84"/>
        <v>22</v>
      </c>
      <c r="X54" s="63">
        <f t="shared" si="85"/>
        <v>30</v>
      </c>
      <c r="Y54" s="63" t="str">
        <f>IFERROR(VLOOKUP(MID(T54,W54,X54-W54),[6]skilldef!$C:$D,2,FALSE),"-") &amp; " / " &amp; IFERROR(VLOOKUP(MID(T54,U54,V54-U54),[6]skilldef!$A:$B,2,FALSE),"-")</f>
        <v>味方全体に / 暗黒</v>
      </c>
      <c r="Z54" s="50"/>
      <c r="AA54" s="51"/>
      <c r="AB54" s="50"/>
    </row>
    <row r="55" spans="1:28" ht="21" customHeight="1" x14ac:dyDescent="0.15">
      <c r="A55" s="126">
        <v>49015054</v>
      </c>
      <c r="B55" s="106" t="s">
        <v>558</v>
      </c>
      <c r="C55" s="50">
        <v>3</v>
      </c>
      <c r="D55" s="50" t="s">
        <v>127</v>
      </c>
      <c r="E55" s="119" t="s">
        <v>318</v>
      </c>
      <c r="F55" s="118" t="s">
        <v>559</v>
      </c>
      <c r="G55" s="63" t="str">
        <f t="shared" si="74"/>
        <v>[effect:enemy_message, val1:1.2, val2:1.2]</v>
      </c>
      <c r="H55" s="63">
        <f t="shared" si="71"/>
        <v>9</v>
      </c>
      <c r="I55" s="63">
        <f t="shared" si="75"/>
        <v>22</v>
      </c>
      <c r="J55" s="63" t="e">
        <f t="shared" si="76"/>
        <v>#VALUE!</v>
      </c>
      <c r="K55" s="63">
        <f t="shared" si="77"/>
        <v>32</v>
      </c>
      <c r="L55" s="63" t="str">
        <f>IFERROR(VLOOKUP(MID(G55,J55,K55-J55),[6]skilldef!$C:$D,2,FALSE),"-") &amp; " / " &amp; IFERROR(VLOOKUP(MID(G55,H55,I55-H55),[6]skilldef!$A:$B,2,FALSE),"-")</f>
        <v>- / -</v>
      </c>
      <c r="M55" s="63" t="str">
        <f t="shared" si="78"/>
        <v>[effect:fix_speed, target:myself, turn:2],[effect:dark, target:unit_all, turn:4, animation:enemy_dark]</v>
      </c>
      <c r="N55" s="48" t="str">
        <f t="shared" si="104"/>
        <v>[effect:fix_speed, target:myself, turn:2],[effect:dark, target:unit_all, turn:4, animation:enemy_dark]</v>
      </c>
      <c r="O55" s="63">
        <f t="shared" si="72"/>
        <v>9</v>
      </c>
      <c r="P55" s="63">
        <f t="shared" si="79"/>
        <v>18</v>
      </c>
      <c r="Q55" s="63">
        <f t="shared" si="80"/>
        <v>27</v>
      </c>
      <c r="R55" s="63">
        <f t="shared" si="81"/>
        <v>33</v>
      </c>
      <c r="S55" s="63" t="str">
        <f>IFERROR(VLOOKUP(MID(N55,Q55,R55-Q55),[6]skilldef!$C:$D,2,FALSE),"-") &amp; " / " &amp; IFERROR(VLOOKUP(MID(N55,O55,P55-O55),[6]skilldef!$A:$B,2,FALSE),"-")</f>
        <v>自分自身に / 行動値設定</v>
      </c>
      <c r="T55" s="48" t="str">
        <f t="shared" si="82"/>
        <v>[effect:dark, target:unit_all, turn:4, animation:enemy_dark]</v>
      </c>
      <c r="U55" s="63">
        <f t="shared" si="73"/>
        <v>9</v>
      </c>
      <c r="V55" s="63">
        <f t="shared" si="83"/>
        <v>13</v>
      </c>
      <c r="W55" s="63">
        <f t="shared" si="84"/>
        <v>22</v>
      </c>
      <c r="X55" s="63">
        <f t="shared" si="85"/>
        <v>30</v>
      </c>
      <c r="Y55" s="63" t="str">
        <f>IFERROR(VLOOKUP(MID(T55,W55,X55-W55),[6]skilldef!$C:$D,2,FALSE),"-") &amp; " / " &amp; IFERROR(VLOOKUP(MID(T55,U55,V55-U55),[6]skilldef!$A:$B,2,FALSE),"-")</f>
        <v>味方全体に / 暗黒</v>
      </c>
      <c r="Z55" s="50"/>
      <c r="AA55" s="51"/>
      <c r="AB55" s="50"/>
    </row>
    <row r="56" spans="1:28" ht="21" customHeight="1" x14ac:dyDescent="0.15">
      <c r="A56" s="126">
        <v>49015055</v>
      </c>
      <c r="B56" s="47" t="s">
        <v>478</v>
      </c>
      <c r="C56" s="50">
        <v>3</v>
      </c>
      <c r="D56" s="50" t="s">
        <v>127</v>
      </c>
      <c r="E56" s="119" t="s">
        <v>311</v>
      </c>
      <c r="F56" s="119" t="s">
        <v>479</v>
      </c>
      <c r="G56" s="63" t="str">
        <f t="shared" si="74"/>
        <v>[effect:enemy_message, val1:1.2, val2:2.3]</v>
      </c>
      <c r="H56" s="63">
        <f t="shared" si="71"/>
        <v>9</v>
      </c>
      <c r="I56" s="63">
        <f t="shared" si="75"/>
        <v>22</v>
      </c>
      <c r="J56" s="63" t="e">
        <f t="shared" si="76"/>
        <v>#VALUE!</v>
      </c>
      <c r="K56" s="63">
        <f t="shared" si="77"/>
        <v>32</v>
      </c>
      <c r="L56" s="63" t="str">
        <f>IFERROR(VLOOKUP(MID(G56,J56,K56-J56),[6]skilldef!$C:$D,2,FALSE),"-") &amp; " / " &amp; IFERROR(VLOOKUP(MID(G56,H56,I56-H56),[6]skilldef!$A:$B,2,FALSE),"-")</f>
        <v>- / -</v>
      </c>
      <c r="M56" s="63" t="str">
        <f t="shared" si="78"/>
        <v>[effect:rush, count:1, val:0.7],[effect:hungup, target:unit_one, turn:1, rate:1, animation:hungup01]</v>
      </c>
      <c r="N56" s="48" t="str">
        <f t="shared" si="104"/>
        <v>[effect:rush, count:1, val:0.7],[effect:hungup, target:unit_one, turn:1, rate:1, animation:hungup01]</v>
      </c>
      <c r="O56" s="63">
        <f t="shared" si="72"/>
        <v>9</v>
      </c>
      <c r="P56" s="63">
        <f t="shared" si="79"/>
        <v>13</v>
      </c>
      <c r="Q56" s="63">
        <f t="shared" si="80"/>
        <v>56</v>
      </c>
      <c r="R56" s="63">
        <f t="shared" si="81"/>
        <v>22</v>
      </c>
      <c r="S56" s="63" t="str">
        <f>IFERROR(VLOOKUP(MID(N56,Q56,R56-Q56),[6]skilldef!$C:$D,2,FALSE),"-") &amp; " / " &amp; IFERROR(VLOOKUP(MID(N56,O56,P56-O56),[6]skilldef!$A:$B,2,FALSE),"-")</f>
        <v>- / 連続攻撃</v>
      </c>
      <c r="T56" s="48" t="str">
        <f t="shared" si="82"/>
        <v>[effect:hungup, target:unit_one, turn:1, rate:1, animation:hungup01]</v>
      </c>
      <c r="U56" s="63">
        <f t="shared" si="73"/>
        <v>9</v>
      </c>
      <c r="V56" s="63">
        <f t="shared" si="83"/>
        <v>15</v>
      </c>
      <c r="W56" s="63">
        <f t="shared" si="84"/>
        <v>24</v>
      </c>
      <c r="X56" s="63">
        <f t="shared" si="85"/>
        <v>32</v>
      </c>
      <c r="Y56" s="63" t="str">
        <f>IFERROR(VLOOKUP(MID(T56,W56,X56-W56),[6]skilldef!$C:$D,2,FALSE),"-") &amp; " / " &amp; IFERROR(VLOOKUP(MID(T56,U56,V56-U56),[6]skilldef!$A:$B,2,FALSE),"-")</f>
        <v>味方単体に / ハングアップ</v>
      </c>
      <c r="Z56" s="50"/>
      <c r="AA56" s="51"/>
      <c r="AB56" s="50"/>
    </row>
    <row r="57" spans="1:28" ht="21" customHeight="1" x14ac:dyDescent="0.15">
      <c r="A57" s="126">
        <v>49015056</v>
      </c>
      <c r="B57" s="129" t="s">
        <v>518</v>
      </c>
      <c r="C57" s="50">
        <v>3</v>
      </c>
      <c r="D57" s="130" t="s">
        <v>127</v>
      </c>
      <c r="E57" s="105" t="s">
        <v>312</v>
      </c>
      <c r="F57" s="118" t="s">
        <v>409</v>
      </c>
      <c r="G57" s="131" t="str">
        <f t="shared" si="74"/>
        <v>[effect:enemy_message, val1:1.2, val2:2.6]</v>
      </c>
      <c r="H57" s="131">
        <f t="shared" si="71"/>
        <v>9</v>
      </c>
      <c r="I57" s="131">
        <f t="shared" si="75"/>
        <v>22</v>
      </c>
      <c r="J57" s="131" t="e">
        <f t="shared" si="76"/>
        <v>#VALUE!</v>
      </c>
      <c r="K57" s="131">
        <f t="shared" si="77"/>
        <v>32</v>
      </c>
      <c r="L57" s="131" t="str">
        <f>IFERROR(VLOOKUP(MID(G57,J57,K57-J57),[6]skilldef!$C:$D,2,FALSE),"-") &amp; " / " &amp; IFERROR(VLOOKUP(MID(G57,H57,I57-H57),[6]skilldef!$A:$B,2,FALSE),"-")</f>
        <v>- / -</v>
      </c>
      <c r="M57" s="131" t="str">
        <f t="shared" si="78"/>
        <v>[effect:rush, count:1, val:0.7],[effect:force_change_block, new_block:damage, target:block_all, ignore01:block_positive, ignore02:damage, count:3, val:0.08, animation:change_block]</v>
      </c>
      <c r="N57" s="132" t="str">
        <f t="shared" si="104"/>
        <v>[effect:rush, count:1, val:0.7],[effect:force_change_block, new_block:damage, target:block_all, ignore01:block_positive, ignore02:damage, count:3, val:0.08, animation:change_block]</v>
      </c>
      <c r="O57" s="131">
        <f t="shared" si="72"/>
        <v>9</v>
      </c>
      <c r="P57" s="131">
        <f t="shared" si="79"/>
        <v>13</v>
      </c>
      <c r="Q57" s="131">
        <f t="shared" si="80"/>
        <v>86</v>
      </c>
      <c r="R57" s="131">
        <f t="shared" si="81"/>
        <v>22</v>
      </c>
      <c r="S57" s="131" t="str">
        <f>IFERROR(VLOOKUP(MID(N57,Q57,R57-Q57),[6]skilldef!$C:$D,2,FALSE),"-") &amp; " / " &amp; IFERROR(VLOOKUP(MID(N57,O57,P57-O57),[6]skilldef!$A:$B,2,FALSE),"-")</f>
        <v>- / 連続攻撃</v>
      </c>
      <c r="T57" s="132" t="str">
        <f t="shared" si="82"/>
        <v>[effect:force_change_block, new_block:damage, target:block_all, ignore01:block_positive, ignore02:damage, count:3, val:0.08, animation:change_block]</v>
      </c>
      <c r="U57" s="131">
        <f t="shared" si="73"/>
        <v>9</v>
      </c>
      <c r="V57" s="131">
        <f t="shared" si="83"/>
        <v>27</v>
      </c>
      <c r="W57" s="131">
        <f t="shared" si="84"/>
        <v>54</v>
      </c>
      <c r="X57" s="131">
        <f t="shared" si="85"/>
        <v>45</v>
      </c>
      <c r="Y57" s="131" t="str">
        <f>IFERROR(VLOOKUP(MID(T57,W57,X57-W57),[6]skilldef!$C:$D,2,FALSE),"-") &amp; " / " &amp; IFERROR(VLOOKUP(MID(T57,U57,V57-U57),[6]skilldef!$A:$B,2,FALSE),"-")</f>
        <v>- / -</v>
      </c>
      <c r="Z57" s="130"/>
      <c r="AA57" s="133"/>
      <c r="AB57" s="130"/>
    </row>
    <row r="58" spans="1:28" ht="21" customHeight="1" thickBot="1" x14ac:dyDescent="0.2">
      <c r="A58" s="127">
        <v>49015057</v>
      </c>
      <c r="B58" s="111" t="s">
        <v>477</v>
      </c>
      <c r="C58" s="50">
        <v>3</v>
      </c>
      <c r="D58" s="112" t="s">
        <v>127</v>
      </c>
      <c r="E58" s="128" t="s">
        <v>313</v>
      </c>
      <c r="F58" s="117" t="s">
        <v>429</v>
      </c>
      <c r="G58" s="113" t="str">
        <f t="shared" ref="G58:G72" si="105">IFERROR(LEFT(B58,FIND("],",B58)),B58)</f>
        <v>[effect:enemy_message, val1:1.2, val2:1.5]</v>
      </c>
      <c r="H58" s="113">
        <f t="shared" ref="H58:H72" si="106">FIND("effect:",G58)+7</f>
        <v>9</v>
      </c>
      <c r="I58" s="113">
        <f t="shared" ref="I58:I72" si="107">IFERROR(FIND(",",G58),LEN(G58))</f>
        <v>22</v>
      </c>
      <c r="J58" s="113" t="e">
        <f t="shared" ref="J58:J72" si="108">FIND("target:",G58)+7</f>
        <v>#VALUE!</v>
      </c>
      <c r="K58" s="113">
        <f t="shared" ref="K58:K72" si="109">FIND(",",G58,I58+1)</f>
        <v>32</v>
      </c>
      <c r="L58" s="113" t="str">
        <f>IFERROR(VLOOKUP(MID(G58,J58,K58-J58),[6]skilldef!$C:$D,2,FALSE),"-") &amp; " / " &amp; IFERROR(VLOOKUP(MID(G58,H58,I58-H58),[6]skilldef!$A:$B,2,FALSE),"-")</f>
        <v>- / -</v>
      </c>
      <c r="M58" s="113" t="str">
        <f t="shared" ref="M58:M72" si="110">IFERROR(RIGHT(B58,LEN(B58)-FIND("],",B58)-1),"none")</f>
        <v>[effect:damage_anti_abnormal, target:unit_one, target_effect01:dark, val1:0.9, val2:0.7]</v>
      </c>
      <c r="N58" s="114" t="str">
        <f t="shared" si="104"/>
        <v>[effect:damage_anti_abnormal, target:unit_one, target_effect01:dark, val1:0.9, val2:0.7]</v>
      </c>
      <c r="O58" s="113">
        <f t="shared" ref="O58:O72" si="111">FIND("effect:",N58)+7</f>
        <v>9</v>
      </c>
      <c r="P58" s="113">
        <f t="shared" ref="P58:P72" si="112">IFERROR(FIND(",",N58),LEN(N58))</f>
        <v>29</v>
      </c>
      <c r="Q58" s="113">
        <f t="shared" ref="Q58:Q72" si="113">FIND("target:",N58)+7</f>
        <v>38</v>
      </c>
      <c r="R58" s="113">
        <f t="shared" ref="R58:R72" si="114">FIND(",",N58,P58+1)</f>
        <v>46</v>
      </c>
      <c r="S58" s="113" t="str">
        <f>IFERROR(VLOOKUP(MID(N58,Q58,R58-Q58),[6]skilldef!$C:$D,2,FALSE),"-") &amp; " / " &amp; IFERROR(VLOOKUP(MID(N58,O58,P58-O58),[6]skilldef!$A:$B,2,FALSE),"-")</f>
        <v>味方単体に / -</v>
      </c>
      <c r="T58" s="114" t="str">
        <f t="shared" ref="T58:T72" si="115">IFERROR(RIGHT(M58,LEN(M58)-FIND("],",M58)-1),"none")</f>
        <v>none</v>
      </c>
      <c r="U58" s="113" t="e">
        <f t="shared" ref="U58:U72" si="116">FIND("effect:",T58)+7</f>
        <v>#VALUE!</v>
      </c>
      <c r="V58" s="113">
        <f t="shared" ref="V58:V72" si="117">IFERROR(FIND(",",T58),LEN(T58))</f>
        <v>4</v>
      </c>
      <c r="W58" s="113" t="e">
        <f t="shared" ref="W58:W72" si="118">FIND("target:",T58)+7</f>
        <v>#VALUE!</v>
      </c>
      <c r="X58" s="113" t="e">
        <f t="shared" ref="X58:X72" si="119">FIND(",",T58,V58+1)</f>
        <v>#VALUE!</v>
      </c>
      <c r="Y58" s="113" t="str">
        <f>IFERROR(VLOOKUP(MID(T58,W58,X58-W58),[6]skilldef!$C:$D,2,FALSE),"-") &amp; " / " &amp; IFERROR(VLOOKUP(MID(T58,U58,V58-U58),[6]skilldef!$A:$B,2,FALSE),"-")</f>
        <v>- / -</v>
      </c>
      <c r="Z58" s="112"/>
      <c r="AA58" s="115"/>
      <c r="AB58" s="112"/>
    </row>
    <row r="59" spans="1:28" ht="238" x14ac:dyDescent="0.15">
      <c r="A59" s="126">
        <v>49015058</v>
      </c>
      <c r="B59" s="106" t="s">
        <v>569</v>
      </c>
      <c r="C59" s="50">
        <v>3</v>
      </c>
      <c r="D59" s="107" t="s">
        <v>127</v>
      </c>
      <c r="E59" s="119" t="s">
        <v>502</v>
      </c>
      <c r="F59" s="119" t="s">
        <v>565</v>
      </c>
      <c r="G59" s="108" t="str">
        <f t="shared" si="105"/>
        <v>[effect:enemy_message, val1:1.2, val2:4.6]</v>
      </c>
      <c r="H59" s="108">
        <f t="shared" si="106"/>
        <v>9</v>
      </c>
      <c r="I59" s="108">
        <f t="shared" si="107"/>
        <v>22</v>
      </c>
      <c r="J59" s="108" t="e">
        <f t="shared" si="108"/>
        <v>#VALUE!</v>
      </c>
      <c r="K59" s="108">
        <f t="shared" si="109"/>
        <v>32</v>
      </c>
      <c r="L59" s="108" t="str">
        <f>IFERROR(VLOOKUP(MID(G59,J59,K59-J59),[6]skilldef!$C:$D,2,FALSE),"-") &amp; " / " &amp; IFERROR(VLOOKUP(MID(G59,H59,I59-H59),[6]skilldef!$A:$B,2,FALSE),"-")</f>
        <v>- / -</v>
      </c>
      <c r="M59" s="108" t="str">
        <f t="shared" si="110"/>
        <v>[effect:fix_speed, target:myself, turn:1],[effect:force_change_block, new_block:color_break, target:block_all, ignore01:block_positive, ignore02:damage, color:block_red, count:2, val:0, animation:change_block],[effect:force_change_block, new_block:damage, target:block_all, ignore01:block_positive, ignore02:damage, count:5, val:0.05, animation:change_block],[effect:dark, target:unit_all, turn:4, animation:enemy_dark]</v>
      </c>
      <c r="N59" s="109" t="str">
        <f t="shared" si="104"/>
        <v>[effect:fix_speed, target:myself, turn:1],[effect:force_change_block, new_block:color_break, target:block_all, ignore01:block_positive, ignore02:damage, color:block_red, count:2, val:0, animation:change_block],[effect:force_change_block, new_block:damage, target:block_all, ignore01:block_positive, ignore02:damage, count:5, val:0.05, animation:change_block],[effect:dark, target:unit_all, turn:4, animation:enemy_dark]</v>
      </c>
      <c r="O59" s="108">
        <f t="shared" si="111"/>
        <v>9</v>
      </c>
      <c r="P59" s="108">
        <f t="shared" si="112"/>
        <v>18</v>
      </c>
      <c r="Q59" s="108">
        <f t="shared" si="113"/>
        <v>27</v>
      </c>
      <c r="R59" s="108">
        <f t="shared" si="114"/>
        <v>33</v>
      </c>
      <c r="S59" s="108" t="str">
        <f>IFERROR(VLOOKUP(MID(N59,Q59,R59-Q59),[6]skilldef!$C:$D,2,FALSE),"-") &amp; " / " &amp; IFERROR(VLOOKUP(MID(N59,O59,P59-O59),[6]skilldef!$A:$B,2,FALSE),"-")</f>
        <v>自分自身に / 行動値設定</v>
      </c>
      <c r="T59" s="109" t="str">
        <f t="shared" si="115"/>
        <v>[effect:force_change_block, new_block:color_break, target:block_all, ignore01:block_positive, ignore02:damage, color:block_red, count:2, val:0, animation:change_block],[effect:force_change_block, new_block:damage, target:block_all, ignore01:block_positive, ignore02:damage, count:5, val:0.05, animation:change_block],[effect:dark, target:unit_all, turn:4, animation:enemy_dark]</v>
      </c>
      <c r="U59" s="108">
        <f t="shared" si="116"/>
        <v>9</v>
      </c>
      <c r="V59" s="108">
        <f t="shared" si="117"/>
        <v>27</v>
      </c>
      <c r="W59" s="108">
        <f t="shared" si="118"/>
        <v>59</v>
      </c>
      <c r="X59" s="108">
        <f t="shared" si="119"/>
        <v>50</v>
      </c>
      <c r="Y59" s="108" t="str">
        <f>IFERROR(VLOOKUP(MID(T59,W59,X59-W59),[6]skilldef!$C:$D,2,FALSE),"-") &amp; " / " &amp; IFERROR(VLOOKUP(MID(T59,U59,V59-U59),[6]skilldef!$A:$B,2,FALSE),"-")</f>
        <v>- / -</v>
      </c>
      <c r="Z59" s="107"/>
      <c r="AA59" s="110"/>
      <c r="AB59" s="107"/>
    </row>
    <row r="60" spans="1:28" ht="21" customHeight="1" x14ac:dyDescent="0.15">
      <c r="A60" s="135">
        <v>49015059</v>
      </c>
      <c r="B60" s="106" t="s">
        <v>480</v>
      </c>
      <c r="C60" s="50">
        <v>3</v>
      </c>
      <c r="D60" s="50" t="s">
        <v>127</v>
      </c>
      <c r="E60" s="105" t="s">
        <v>320</v>
      </c>
      <c r="F60" s="118" t="s">
        <v>380</v>
      </c>
      <c r="G60" s="63" t="str">
        <f t="shared" si="105"/>
        <v>[effect:enemy_message, val1:1.2, val2:2.2]</v>
      </c>
      <c r="H60" s="63">
        <f t="shared" si="106"/>
        <v>9</v>
      </c>
      <c r="I60" s="63">
        <f t="shared" si="107"/>
        <v>22</v>
      </c>
      <c r="J60" s="63" t="e">
        <f t="shared" si="108"/>
        <v>#VALUE!</v>
      </c>
      <c r="K60" s="63">
        <f t="shared" si="109"/>
        <v>32</v>
      </c>
      <c r="L60" s="63" t="str">
        <f>IFERROR(VLOOKUP(MID(G60,J60,K60-J60),[6]skilldef!$C:$D,2,FALSE),"-") &amp; " / " &amp; IFERROR(VLOOKUP(MID(G60,H60,I60-H60),[6]skilldef!$A:$B,2,FALSE),"-")</f>
        <v>- / -</v>
      </c>
      <c r="M60" s="63" t="str">
        <f t="shared" si="110"/>
        <v>[effect:spread, val:0.22],[effect:hungup, target:unit_all, turn:1, rate:1, animation:hungup01]</v>
      </c>
      <c r="N60" s="48" t="str">
        <f t="shared" si="104"/>
        <v>[effect:spread, val:0.22],[effect:hungup, target:unit_all, turn:1, rate:1, animation:hungup01]</v>
      </c>
      <c r="O60" s="63">
        <f t="shared" si="111"/>
        <v>9</v>
      </c>
      <c r="P60" s="63">
        <f t="shared" si="112"/>
        <v>15</v>
      </c>
      <c r="Q60" s="63">
        <f t="shared" si="113"/>
        <v>50</v>
      </c>
      <c r="R60" s="63">
        <f t="shared" si="114"/>
        <v>26</v>
      </c>
      <c r="S60" s="63" t="str">
        <f>IFERROR(VLOOKUP(MID(N60,Q60,R60-Q60),[6]skilldef!$C:$D,2,FALSE),"-") &amp; " / " &amp; IFERROR(VLOOKUP(MID(N60,O60,P60-O60),[6]skilldef!$A:$B,2,FALSE),"-")</f>
        <v>- / 全体攻撃</v>
      </c>
      <c r="T60" s="48" t="str">
        <f t="shared" si="115"/>
        <v>[effect:hungup, target:unit_all, turn:1, rate:1, animation:hungup01]</v>
      </c>
      <c r="U60" s="63">
        <f t="shared" si="116"/>
        <v>9</v>
      </c>
      <c r="V60" s="63">
        <f t="shared" si="117"/>
        <v>15</v>
      </c>
      <c r="W60" s="63">
        <f t="shared" si="118"/>
        <v>24</v>
      </c>
      <c r="X60" s="63">
        <f t="shared" si="119"/>
        <v>32</v>
      </c>
      <c r="Y60" s="63" t="str">
        <f>IFERROR(VLOOKUP(MID(T60,W60,X60-W60),[6]skilldef!$C:$D,2,FALSE),"-") &amp; " / " &amp; IFERROR(VLOOKUP(MID(T60,U60,V60-U60),[6]skilldef!$A:$B,2,FALSE),"-")</f>
        <v>味方全体に / ハングアップ</v>
      </c>
      <c r="Z60" s="50"/>
      <c r="AA60" s="51"/>
      <c r="AB60" s="50"/>
    </row>
    <row r="61" spans="1:28" ht="56" x14ac:dyDescent="0.15">
      <c r="A61" s="135">
        <v>49015060</v>
      </c>
      <c r="B61" s="106" t="s">
        <v>381</v>
      </c>
      <c r="C61" s="50">
        <v>3</v>
      </c>
      <c r="D61" s="50" t="s">
        <v>127</v>
      </c>
      <c r="E61" s="119" t="s">
        <v>321</v>
      </c>
      <c r="F61" s="119" t="s">
        <v>322</v>
      </c>
      <c r="G61" s="63" t="str">
        <f t="shared" si="105"/>
        <v>[effect:enemy_message, val1:1.2, val2:1.8]</v>
      </c>
      <c r="H61" s="63">
        <f t="shared" si="106"/>
        <v>9</v>
      </c>
      <c r="I61" s="63">
        <f t="shared" si="107"/>
        <v>22</v>
      </c>
      <c r="J61" s="63" t="e">
        <f t="shared" si="108"/>
        <v>#VALUE!</v>
      </c>
      <c r="K61" s="63">
        <f t="shared" si="109"/>
        <v>32</v>
      </c>
      <c r="L61" s="63" t="str">
        <f>IFERROR(VLOOKUP(MID(G61,J61,K61-J61),[6]skilldef!$C:$D,2,FALSE),"-") &amp; " / " &amp; IFERROR(VLOOKUP(MID(G61,H61,I61-H61),[6]skilldef!$A:$B,2,FALSE),"-")</f>
        <v>- / -</v>
      </c>
      <c r="M61" s="63" t="str">
        <f t="shared" si="110"/>
        <v>[effect:rush, count:1, val:0.6],[effect:degrade_fever, val:200, animation:fevergauge_down]</v>
      </c>
      <c r="N61" s="48" t="str">
        <f t="shared" si="104"/>
        <v>[effect:rush, count:1, val:0.6],[effect:degrade_fever, val:200, animation:fevergauge_down]</v>
      </c>
      <c r="O61" s="63">
        <f t="shared" si="111"/>
        <v>9</v>
      </c>
      <c r="P61" s="63">
        <f t="shared" si="112"/>
        <v>13</v>
      </c>
      <c r="Q61" s="63" t="e">
        <f t="shared" si="113"/>
        <v>#VALUE!</v>
      </c>
      <c r="R61" s="63">
        <f t="shared" si="114"/>
        <v>22</v>
      </c>
      <c r="S61" s="63" t="str">
        <f>IFERROR(VLOOKUP(MID(N61,Q61,R61-Q61),[6]skilldef!$C:$D,2,FALSE),"-") &amp; " / " &amp; IFERROR(VLOOKUP(MID(N61,O61,P61-O61),[6]skilldef!$A:$B,2,FALSE),"-")</f>
        <v>- / 連続攻撃</v>
      </c>
      <c r="T61" s="48" t="str">
        <f t="shared" si="115"/>
        <v>[effect:degrade_fever, val:200, animation:fevergauge_down]</v>
      </c>
      <c r="U61" s="63">
        <f t="shared" si="116"/>
        <v>9</v>
      </c>
      <c r="V61" s="63">
        <f t="shared" si="117"/>
        <v>22</v>
      </c>
      <c r="W61" s="63" t="e">
        <f t="shared" si="118"/>
        <v>#VALUE!</v>
      </c>
      <c r="X61" s="63">
        <f t="shared" si="119"/>
        <v>31</v>
      </c>
      <c r="Y61" s="63" t="str">
        <f>IFERROR(VLOOKUP(MID(T61,W61,X61-W61),[6]skilldef!$C:$D,2,FALSE),"-") &amp; " / " &amp; IFERROR(VLOOKUP(MID(T61,U61,V61-U61),[6]skilldef!$A:$B,2,FALSE),"-")</f>
        <v>- / フィーバーゲージ減少</v>
      </c>
      <c r="Z61" s="50"/>
      <c r="AA61" s="51"/>
      <c r="AB61" s="50"/>
    </row>
    <row r="62" spans="1:28" ht="98" x14ac:dyDescent="0.15">
      <c r="A62" s="135">
        <v>49015061</v>
      </c>
      <c r="B62" s="106" t="s">
        <v>519</v>
      </c>
      <c r="C62" s="50">
        <v>3</v>
      </c>
      <c r="D62" s="50" t="s">
        <v>127</v>
      </c>
      <c r="E62" s="119" t="s">
        <v>323</v>
      </c>
      <c r="F62" s="119" t="s">
        <v>409</v>
      </c>
      <c r="G62" s="63" t="str">
        <f t="shared" ref="G62" si="120">IFERROR(LEFT(B62,FIND("],",B62)),B62)</f>
        <v>[effect:enemy_message, val1:1.2, val2:2.6]</v>
      </c>
      <c r="H62" s="63">
        <f t="shared" ref="H62" si="121">FIND("effect:",G62)+7</f>
        <v>9</v>
      </c>
      <c r="I62" s="63">
        <f t="shared" ref="I62" si="122">IFERROR(FIND(",",G62),LEN(G62))</f>
        <v>22</v>
      </c>
      <c r="J62" s="63" t="e">
        <f t="shared" ref="J62" si="123">FIND("target:",G62)+7</f>
        <v>#VALUE!</v>
      </c>
      <c r="K62" s="63">
        <f t="shared" ref="K62" si="124">FIND(",",G62,I62+1)</f>
        <v>32</v>
      </c>
      <c r="L62" s="63" t="str">
        <f>IFERROR(VLOOKUP(MID(G62,J62,K62-J62),[6]skilldef!$C:$D,2,FALSE),"-") &amp; " / " &amp; IFERROR(VLOOKUP(MID(G62,H62,I62-H62),[6]skilldef!$A:$B,2,FALSE),"-")</f>
        <v>- / -</v>
      </c>
      <c r="M62" s="63" t="str">
        <f t="shared" ref="M62" si="125">IFERROR(RIGHT(B62,LEN(B62)-FIND("],",B62)-1),"none")</f>
        <v>[effect:rush, count:1, val:0.6],[effect:force_change_block, new_block:damage, target:block_all, ignore01:block_positive, ignore02:damage, count:3, val:0.08, animation:change_block]</v>
      </c>
      <c r="N62" s="48" t="str">
        <f t="shared" si="104"/>
        <v>[effect:rush, count:1, val:0.6],[effect:force_change_block, new_block:damage, target:block_all, ignore01:block_positive, ignore02:damage, count:3, val:0.08, animation:change_block]</v>
      </c>
      <c r="O62" s="63">
        <f t="shared" ref="O62" si="126">FIND("effect:",N62)+7</f>
        <v>9</v>
      </c>
      <c r="P62" s="63">
        <f t="shared" ref="P62" si="127">IFERROR(FIND(",",N62),LEN(N62))</f>
        <v>13</v>
      </c>
      <c r="Q62" s="63">
        <f t="shared" ref="Q62" si="128">FIND("target:",N62)+7</f>
        <v>86</v>
      </c>
      <c r="R62" s="63">
        <f t="shared" ref="R62" si="129">FIND(",",N62,P62+1)</f>
        <v>22</v>
      </c>
      <c r="S62" s="63" t="str">
        <f>IFERROR(VLOOKUP(MID(N62,Q62,R62-Q62),[6]skilldef!$C:$D,2,FALSE),"-") &amp; " / " &amp; IFERROR(VLOOKUP(MID(N62,O62,P62-O62),[6]skilldef!$A:$B,2,FALSE),"-")</f>
        <v>- / 連続攻撃</v>
      </c>
      <c r="T62" s="48" t="str">
        <f t="shared" ref="T62" si="130">IFERROR(RIGHT(M62,LEN(M62)-FIND("],",M62)-1),"none")</f>
        <v>[effect:force_change_block, new_block:damage, target:block_all, ignore01:block_positive, ignore02:damage, count:3, val:0.08, animation:change_block]</v>
      </c>
      <c r="U62" s="63">
        <f t="shared" ref="U62" si="131">FIND("effect:",T62)+7</f>
        <v>9</v>
      </c>
      <c r="V62" s="63">
        <f t="shared" ref="V62" si="132">IFERROR(FIND(",",T62),LEN(T62))</f>
        <v>27</v>
      </c>
      <c r="W62" s="63">
        <f t="shared" ref="W62" si="133">FIND("target:",T62)+7</f>
        <v>54</v>
      </c>
      <c r="X62" s="63">
        <f t="shared" ref="X62" si="134">FIND(",",T62,V62+1)</f>
        <v>45</v>
      </c>
      <c r="Y62" s="63" t="str">
        <f>IFERROR(VLOOKUP(MID(T62,W62,X62-W62),[6]skilldef!$C:$D,2,FALSE),"-") &amp; " / " &amp; IFERROR(VLOOKUP(MID(T62,U62,V62-U62),[6]skilldef!$A:$B,2,FALSE),"-")</f>
        <v>- / -</v>
      </c>
      <c r="Z62" s="50"/>
      <c r="AA62" s="51"/>
      <c r="AB62" s="50"/>
    </row>
    <row r="63" spans="1:28" ht="21" customHeight="1" x14ac:dyDescent="0.15">
      <c r="A63" s="135">
        <v>49015062</v>
      </c>
      <c r="B63" s="47" t="s">
        <v>430</v>
      </c>
      <c r="C63" s="50">
        <v>3</v>
      </c>
      <c r="D63" s="50" t="s">
        <v>127</v>
      </c>
      <c r="E63" s="119" t="s">
        <v>313</v>
      </c>
      <c r="F63" s="105" t="s">
        <v>429</v>
      </c>
      <c r="G63" s="63" t="str">
        <f t="shared" si="105"/>
        <v>[effect:enemy_message, val1:1.2, val2:1.5]</v>
      </c>
      <c r="H63" s="63">
        <f t="shared" si="106"/>
        <v>9</v>
      </c>
      <c r="I63" s="63">
        <f t="shared" si="107"/>
        <v>22</v>
      </c>
      <c r="J63" s="63" t="e">
        <f t="shared" si="108"/>
        <v>#VALUE!</v>
      </c>
      <c r="K63" s="63">
        <f t="shared" si="109"/>
        <v>32</v>
      </c>
      <c r="L63" s="63" t="str">
        <f>IFERROR(VLOOKUP(MID(G63,J63,K63-J63),[6]skilldef!$C:$D,2,FALSE),"-") &amp; " / " &amp; IFERROR(VLOOKUP(MID(G63,H63,I63-H63),[6]skilldef!$A:$B,2,FALSE),"-")</f>
        <v>- / -</v>
      </c>
      <c r="M63" s="63" t="str">
        <f t="shared" si="110"/>
        <v>[effect:damage_anti_abnormal, target:unit_one, target_effect01:dark, val1:0.9, val2:0.6]</v>
      </c>
      <c r="N63" s="48" t="str">
        <f t="shared" ref="N63:N72" si="135">IFERROR(LEFT(M63,FIND("],",M63)+S73),M63)</f>
        <v>[effect:damage_anti_abnormal, target:unit_one, target_effect01:dark, val1:0.9, val2:0.6]</v>
      </c>
      <c r="O63" s="63">
        <f t="shared" si="111"/>
        <v>9</v>
      </c>
      <c r="P63" s="63">
        <f t="shared" si="112"/>
        <v>29</v>
      </c>
      <c r="Q63" s="63">
        <f t="shared" si="113"/>
        <v>38</v>
      </c>
      <c r="R63" s="63">
        <f t="shared" si="114"/>
        <v>46</v>
      </c>
      <c r="S63" s="63" t="str">
        <f>IFERROR(VLOOKUP(MID(N63,Q63,R63-Q63),[6]skilldef!$C:$D,2,FALSE),"-") &amp; " / " &amp; IFERROR(VLOOKUP(MID(N63,O63,P63-O63),[6]skilldef!$A:$B,2,FALSE),"-")</f>
        <v>味方単体に / -</v>
      </c>
      <c r="T63" s="48" t="str">
        <f t="shared" si="115"/>
        <v>none</v>
      </c>
      <c r="U63" s="63" t="e">
        <f t="shared" si="116"/>
        <v>#VALUE!</v>
      </c>
      <c r="V63" s="63">
        <f t="shared" si="117"/>
        <v>4</v>
      </c>
      <c r="W63" s="63" t="e">
        <f t="shared" si="118"/>
        <v>#VALUE!</v>
      </c>
      <c r="X63" s="63" t="e">
        <f t="shared" si="119"/>
        <v>#VALUE!</v>
      </c>
      <c r="Y63" s="63" t="str">
        <f>IFERROR(VLOOKUP(MID(T63,W63,X63-W63),[6]skilldef!$C:$D,2,FALSE),"-") &amp; " / " &amp; IFERROR(VLOOKUP(MID(T63,U63,V63-U63),[6]skilldef!$A:$B,2,FALSE),"-")</f>
        <v>- / -</v>
      </c>
      <c r="Z63" s="50"/>
      <c r="AA63" s="51"/>
      <c r="AB63" s="50"/>
    </row>
    <row r="64" spans="1:28" ht="21" customHeight="1" x14ac:dyDescent="0.15">
      <c r="A64" s="135">
        <v>49015063</v>
      </c>
      <c r="B64" s="106" t="s">
        <v>382</v>
      </c>
      <c r="C64" s="50">
        <v>3</v>
      </c>
      <c r="D64" s="50" t="s">
        <v>127</v>
      </c>
      <c r="E64" s="120" t="s">
        <v>324</v>
      </c>
      <c r="F64" s="120" t="s">
        <v>353</v>
      </c>
      <c r="G64" s="63" t="str">
        <f t="shared" si="105"/>
        <v>[effect:enemy_message, val1:1.2, val2:1.3]</v>
      </c>
      <c r="H64" s="63">
        <f t="shared" si="106"/>
        <v>9</v>
      </c>
      <c r="I64" s="63">
        <f t="shared" si="107"/>
        <v>22</v>
      </c>
      <c r="J64" s="63" t="e">
        <f t="shared" si="108"/>
        <v>#VALUE!</v>
      </c>
      <c r="K64" s="63">
        <f t="shared" si="109"/>
        <v>32</v>
      </c>
      <c r="L64" s="63" t="str">
        <f>IFERROR(VLOOKUP(MID(G64,J64,K64-J64),[6]skilldef!$C:$D,2,FALSE),"-") &amp; " / " &amp; IFERROR(VLOOKUP(MID(G64,H64,I64-H64),[6]skilldef!$A:$B,2,FALSE),"-")</f>
        <v>- / -</v>
      </c>
      <c r="M64" s="63" t="str">
        <f t="shared" si="110"/>
        <v>[effect:damage_gravity, val:0.5, animation:fevergauge_down]</v>
      </c>
      <c r="N64" s="48" t="str">
        <f t="shared" si="135"/>
        <v>[effect:damage_gravity, val:0.5, animation:fevergauge_down]</v>
      </c>
      <c r="O64" s="63">
        <f t="shared" si="111"/>
        <v>9</v>
      </c>
      <c r="P64" s="63">
        <f t="shared" si="112"/>
        <v>23</v>
      </c>
      <c r="Q64" s="63" t="e">
        <f t="shared" si="113"/>
        <v>#VALUE!</v>
      </c>
      <c r="R64" s="63">
        <f t="shared" si="114"/>
        <v>32</v>
      </c>
      <c r="S64" s="63" t="str">
        <f>IFERROR(VLOOKUP(MID(N64,Q64,R64-Q64),[6]skilldef!$C:$D,2,FALSE),"-") &amp; " / " &amp; IFERROR(VLOOKUP(MID(N64,O64,P64-O64),[6]skilldef!$A:$B,2,FALSE),"-")</f>
        <v>- / 割合ダメージ</v>
      </c>
      <c r="T64" s="48" t="str">
        <f t="shared" si="115"/>
        <v>none</v>
      </c>
      <c r="U64" s="63" t="e">
        <f t="shared" si="116"/>
        <v>#VALUE!</v>
      </c>
      <c r="V64" s="63">
        <f t="shared" si="117"/>
        <v>4</v>
      </c>
      <c r="W64" s="63" t="e">
        <f t="shared" si="118"/>
        <v>#VALUE!</v>
      </c>
      <c r="X64" s="63" t="e">
        <f t="shared" si="119"/>
        <v>#VALUE!</v>
      </c>
      <c r="Y64" s="63" t="str">
        <f>IFERROR(VLOOKUP(MID(T64,W64,X64-W64),[6]skilldef!$C:$D,2,FALSE),"-") &amp; " / " &amp; IFERROR(VLOOKUP(MID(T64,U64,V64-U64),[6]skilldef!$A:$B,2,FALSE),"-")</f>
        <v>- / -</v>
      </c>
      <c r="Z64" s="50"/>
      <c r="AA64" s="51"/>
      <c r="AB64" s="50"/>
    </row>
    <row r="65" spans="1:28" ht="14" x14ac:dyDescent="0.15">
      <c r="A65" s="135">
        <v>49015064</v>
      </c>
      <c r="B65" s="106" t="s">
        <v>356</v>
      </c>
      <c r="C65" s="50">
        <v>3</v>
      </c>
      <c r="D65" s="50" t="s">
        <v>127</v>
      </c>
      <c r="E65" s="119" t="s">
        <v>325</v>
      </c>
      <c r="F65" s="105" t="s">
        <v>289</v>
      </c>
      <c r="G65" s="63" t="str">
        <f t="shared" si="105"/>
        <v>[effect:enemy_message, val1:1.2, val2:0, dead_type:escape]</v>
      </c>
      <c r="H65" s="63">
        <f t="shared" si="106"/>
        <v>9</v>
      </c>
      <c r="I65" s="63">
        <f t="shared" si="107"/>
        <v>22</v>
      </c>
      <c r="J65" s="63" t="e">
        <f t="shared" si="108"/>
        <v>#VALUE!</v>
      </c>
      <c r="K65" s="63">
        <f t="shared" si="109"/>
        <v>32</v>
      </c>
      <c r="L65" s="63" t="str">
        <f>IFERROR(VLOOKUP(MID(G65,J65,K65-J65),[6]skilldef!$C:$D,2,FALSE),"-") &amp; " / " &amp; IFERROR(VLOOKUP(MID(G65,H65,I65-H65),[6]skilldef!$A:$B,2,FALSE),"-")</f>
        <v>- / -</v>
      </c>
      <c r="M65" s="63" t="str">
        <f t="shared" si="110"/>
        <v>none</v>
      </c>
      <c r="N65" s="48" t="str">
        <f t="shared" si="135"/>
        <v>none</v>
      </c>
      <c r="O65" s="63" t="e">
        <f t="shared" si="111"/>
        <v>#VALUE!</v>
      </c>
      <c r="P65" s="63">
        <f t="shared" si="112"/>
        <v>4</v>
      </c>
      <c r="Q65" s="63" t="e">
        <f t="shared" si="113"/>
        <v>#VALUE!</v>
      </c>
      <c r="R65" s="63" t="e">
        <f t="shared" si="114"/>
        <v>#VALUE!</v>
      </c>
      <c r="S65" s="63" t="str">
        <f>IFERROR(VLOOKUP(MID(N65,Q65,R65-Q65),[6]skilldef!$C:$D,2,FALSE),"-") &amp; " / " &amp; IFERROR(VLOOKUP(MID(N65,O65,P65-O65),[6]skilldef!$A:$B,2,FALSE),"-")</f>
        <v>- / -</v>
      </c>
      <c r="T65" s="48" t="str">
        <f t="shared" si="115"/>
        <v>none</v>
      </c>
      <c r="U65" s="63" t="e">
        <f t="shared" si="116"/>
        <v>#VALUE!</v>
      </c>
      <c r="V65" s="63">
        <f t="shared" si="117"/>
        <v>4</v>
      </c>
      <c r="W65" s="63" t="e">
        <f t="shared" si="118"/>
        <v>#VALUE!</v>
      </c>
      <c r="X65" s="63" t="e">
        <f t="shared" si="119"/>
        <v>#VALUE!</v>
      </c>
      <c r="Y65" s="63" t="str">
        <f>IFERROR(VLOOKUP(MID(T65,W65,X65-W65),[6]skilldef!$C:$D,2,FALSE),"-") &amp; " / " &amp; IFERROR(VLOOKUP(MID(T65,U65,V65-U65),[6]skilldef!$A:$B,2,FALSE),"-")</f>
        <v>- / -</v>
      </c>
      <c r="Z65" s="50"/>
      <c r="AA65" s="51"/>
      <c r="AB65" s="50"/>
    </row>
    <row r="66" spans="1:28" ht="14" x14ac:dyDescent="0.15">
      <c r="A66" s="135">
        <v>49015065</v>
      </c>
      <c r="B66" s="106" t="s">
        <v>352</v>
      </c>
      <c r="C66" s="50">
        <v>3</v>
      </c>
      <c r="D66" s="50" t="s">
        <v>127</v>
      </c>
      <c r="E66" s="119" t="s">
        <v>326</v>
      </c>
      <c r="F66" s="105" t="s">
        <v>327</v>
      </c>
      <c r="G66" s="63" t="str">
        <f t="shared" si="105"/>
        <v>[effect:enemy_message, val1:1.2, val2:1.2, dead_type:escape]</v>
      </c>
      <c r="H66" s="63">
        <f t="shared" si="106"/>
        <v>9</v>
      </c>
      <c r="I66" s="63">
        <f t="shared" si="107"/>
        <v>22</v>
      </c>
      <c r="J66" s="63" t="e">
        <f t="shared" si="108"/>
        <v>#VALUE!</v>
      </c>
      <c r="K66" s="63">
        <f t="shared" si="109"/>
        <v>32</v>
      </c>
      <c r="L66" s="63" t="str">
        <f>IFERROR(VLOOKUP(MID(G66,J66,K66-J66),[6]skilldef!$C:$D,2,FALSE),"-") &amp; " / " &amp; IFERROR(VLOOKUP(MID(G66,H66,I66-H66),[6]skilldef!$A:$B,2,FALSE),"-")</f>
        <v>- / -</v>
      </c>
      <c r="M66" s="63" t="str">
        <f t="shared" si="110"/>
        <v>none</v>
      </c>
      <c r="N66" s="48" t="str">
        <f t="shared" si="135"/>
        <v>none</v>
      </c>
      <c r="O66" s="63" t="e">
        <f t="shared" si="111"/>
        <v>#VALUE!</v>
      </c>
      <c r="P66" s="63">
        <f t="shared" si="112"/>
        <v>4</v>
      </c>
      <c r="Q66" s="63" t="e">
        <f t="shared" si="113"/>
        <v>#VALUE!</v>
      </c>
      <c r="R66" s="63" t="e">
        <f t="shared" si="114"/>
        <v>#VALUE!</v>
      </c>
      <c r="S66" s="63" t="str">
        <f>IFERROR(VLOOKUP(MID(N66,Q66,R66-Q66),[6]skilldef!$C:$D,2,FALSE),"-") &amp; " / " &amp; IFERROR(VLOOKUP(MID(N66,O66,P66-O66),[6]skilldef!$A:$B,2,FALSE),"-")</f>
        <v>- / -</v>
      </c>
      <c r="T66" s="48" t="str">
        <f t="shared" si="115"/>
        <v>none</v>
      </c>
      <c r="U66" s="63" t="e">
        <f t="shared" si="116"/>
        <v>#VALUE!</v>
      </c>
      <c r="V66" s="63">
        <f t="shared" si="117"/>
        <v>4</v>
      </c>
      <c r="W66" s="63" t="e">
        <f t="shared" si="118"/>
        <v>#VALUE!</v>
      </c>
      <c r="X66" s="63" t="e">
        <f t="shared" si="119"/>
        <v>#VALUE!</v>
      </c>
      <c r="Y66" s="63" t="str">
        <f>IFERROR(VLOOKUP(MID(T66,W66,X66-W66),[6]skilldef!$C:$D,2,FALSE),"-") &amp; " / " &amp; IFERROR(VLOOKUP(MID(T66,U66,V66-U66),[6]skilldef!$A:$B,2,FALSE),"-")</f>
        <v>- / -</v>
      </c>
      <c r="Z66" s="50"/>
      <c r="AA66" s="51"/>
      <c r="AB66" s="50"/>
    </row>
    <row r="67" spans="1:28" ht="21" customHeight="1" x14ac:dyDescent="0.15">
      <c r="A67" s="135">
        <v>49015066</v>
      </c>
      <c r="B67" s="106" t="s">
        <v>593</v>
      </c>
      <c r="C67" s="50">
        <v>3</v>
      </c>
      <c r="D67" s="50" t="s">
        <v>127</v>
      </c>
      <c r="E67" s="105" t="s">
        <v>383</v>
      </c>
      <c r="F67" s="105" t="s">
        <v>261</v>
      </c>
      <c r="G67" s="63" t="str">
        <f t="shared" si="105"/>
        <v>[effect:enemy_message, val1:1.6, val2:0, dead_type:escape]</v>
      </c>
      <c r="H67" s="63">
        <f t="shared" si="106"/>
        <v>9</v>
      </c>
      <c r="I67" s="63">
        <f t="shared" si="107"/>
        <v>22</v>
      </c>
      <c r="J67" s="63" t="e">
        <f t="shared" si="108"/>
        <v>#VALUE!</v>
      </c>
      <c r="K67" s="63">
        <f t="shared" si="109"/>
        <v>32</v>
      </c>
      <c r="L67" s="63" t="str">
        <f>IFERROR(VLOOKUP(MID(G67,J67,K67-J67),[6]skilldef!$C:$D,2,FALSE),"-") &amp; " / " &amp; IFERROR(VLOOKUP(MID(G67,H67,I67-H67),[6]skilldef!$A:$B,2,FALSE),"-")</f>
        <v>- / -</v>
      </c>
      <c r="M67" s="63" t="str">
        <f t="shared" si="110"/>
        <v>none</v>
      </c>
      <c r="N67" s="48" t="str">
        <f t="shared" si="135"/>
        <v>none</v>
      </c>
      <c r="O67" s="63" t="e">
        <f t="shared" si="111"/>
        <v>#VALUE!</v>
      </c>
      <c r="P67" s="63">
        <f t="shared" si="112"/>
        <v>4</v>
      </c>
      <c r="Q67" s="63" t="e">
        <f t="shared" si="113"/>
        <v>#VALUE!</v>
      </c>
      <c r="R67" s="63" t="e">
        <f t="shared" si="114"/>
        <v>#VALUE!</v>
      </c>
      <c r="S67" s="63" t="str">
        <f>IFERROR(VLOOKUP(MID(N67,Q67,R67-Q67),[6]skilldef!$C:$D,2,FALSE),"-") &amp; " / " &amp; IFERROR(VLOOKUP(MID(N67,O67,P67-O67),[6]skilldef!$A:$B,2,FALSE),"-")</f>
        <v>- / -</v>
      </c>
      <c r="T67" s="48" t="str">
        <f t="shared" si="115"/>
        <v>none</v>
      </c>
      <c r="U67" s="63" t="e">
        <f t="shared" si="116"/>
        <v>#VALUE!</v>
      </c>
      <c r="V67" s="63">
        <f t="shared" si="117"/>
        <v>4</v>
      </c>
      <c r="W67" s="63" t="e">
        <f t="shared" si="118"/>
        <v>#VALUE!</v>
      </c>
      <c r="X67" s="63" t="e">
        <f t="shared" si="119"/>
        <v>#VALUE!</v>
      </c>
      <c r="Y67" s="63" t="str">
        <f>IFERROR(VLOOKUP(MID(T67,W67,X67-W67),[6]skilldef!$C:$D,2,FALSE),"-") &amp; " / " &amp; IFERROR(VLOOKUP(MID(T67,U67,V67-U67),[6]skilldef!$A:$B,2,FALSE),"-")</f>
        <v>- / -</v>
      </c>
      <c r="Z67" s="50"/>
      <c r="AA67" s="51"/>
      <c r="AB67" s="50"/>
    </row>
    <row r="68" spans="1:28" ht="14" x14ac:dyDescent="0.15">
      <c r="A68" s="135">
        <v>49015067</v>
      </c>
      <c r="B68" s="106" t="s">
        <v>405</v>
      </c>
      <c r="C68" s="50">
        <v>3</v>
      </c>
      <c r="D68" s="50" t="s">
        <v>127</v>
      </c>
      <c r="E68" s="119" t="s">
        <v>328</v>
      </c>
      <c r="F68" s="105" t="s">
        <v>289</v>
      </c>
      <c r="G68" s="63" t="str">
        <f t="shared" si="105"/>
        <v>[effect:enemy_message, val1:1.3, val2:0, dead_type:escape]</v>
      </c>
      <c r="H68" s="63">
        <f t="shared" si="106"/>
        <v>9</v>
      </c>
      <c r="I68" s="63">
        <f t="shared" si="107"/>
        <v>22</v>
      </c>
      <c r="J68" s="63" t="e">
        <f t="shared" si="108"/>
        <v>#VALUE!</v>
      </c>
      <c r="K68" s="63">
        <f t="shared" si="109"/>
        <v>32</v>
      </c>
      <c r="L68" s="63" t="str">
        <f>IFERROR(VLOOKUP(MID(G68,J68,K68-J68),[6]skilldef!$C:$D,2,FALSE),"-") &amp; " / " &amp; IFERROR(VLOOKUP(MID(G68,H68,I68-H68),[6]skilldef!$A:$B,2,FALSE),"-")</f>
        <v>- / -</v>
      </c>
      <c r="M68" s="63" t="str">
        <f t="shared" si="110"/>
        <v>none</v>
      </c>
      <c r="N68" s="48" t="str">
        <f t="shared" si="135"/>
        <v>none</v>
      </c>
      <c r="O68" s="63" t="e">
        <f t="shared" si="111"/>
        <v>#VALUE!</v>
      </c>
      <c r="P68" s="63">
        <f t="shared" si="112"/>
        <v>4</v>
      </c>
      <c r="Q68" s="63" t="e">
        <f t="shared" si="113"/>
        <v>#VALUE!</v>
      </c>
      <c r="R68" s="63" t="e">
        <f t="shared" si="114"/>
        <v>#VALUE!</v>
      </c>
      <c r="S68" s="63" t="str">
        <f>IFERROR(VLOOKUP(MID(N68,Q68,R68-Q68),[6]skilldef!$C:$D,2,FALSE),"-") &amp; " / " &amp; IFERROR(VLOOKUP(MID(N68,O68,P68-O68),[6]skilldef!$A:$B,2,FALSE),"-")</f>
        <v>- / -</v>
      </c>
      <c r="T68" s="48" t="str">
        <f t="shared" si="115"/>
        <v>none</v>
      </c>
      <c r="U68" s="63" t="e">
        <f t="shared" si="116"/>
        <v>#VALUE!</v>
      </c>
      <c r="V68" s="63">
        <f t="shared" si="117"/>
        <v>4</v>
      </c>
      <c r="W68" s="63" t="e">
        <f t="shared" si="118"/>
        <v>#VALUE!</v>
      </c>
      <c r="X68" s="63" t="e">
        <f t="shared" si="119"/>
        <v>#VALUE!</v>
      </c>
      <c r="Y68" s="63" t="str">
        <f>IFERROR(VLOOKUP(MID(T68,W68,X68-W68),[6]skilldef!$C:$D,2,FALSE),"-") &amp; " / " &amp; IFERROR(VLOOKUP(MID(T68,U68,V68-U68),[6]skilldef!$A:$B,2,FALSE),"-")</f>
        <v>- / -</v>
      </c>
      <c r="Z68" s="50"/>
      <c r="AA68" s="51"/>
      <c r="AB68" s="50"/>
    </row>
    <row r="69" spans="1:28" ht="21" customHeight="1" x14ac:dyDescent="0.15">
      <c r="A69" s="135">
        <v>49015068</v>
      </c>
      <c r="B69" s="106" t="s">
        <v>352</v>
      </c>
      <c r="C69" s="50">
        <v>3</v>
      </c>
      <c r="D69" s="50" t="s">
        <v>127</v>
      </c>
      <c r="E69" s="105" t="s">
        <v>329</v>
      </c>
      <c r="F69" s="105" t="s">
        <v>330</v>
      </c>
      <c r="G69" s="63" t="str">
        <f t="shared" si="105"/>
        <v>[effect:enemy_message, val1:1.2, val2:1.2, dead_type:escape]</v>
      </c>
      <c r="H69" s="63">
        <f t="shared" si="106"/>
        <v>9</v>
      </c>
      <c r="I69" s="63">
        <f t="shared" si="107"/>
        <v>22</v>
      </c>
      <c r="J69" s="63" t="e">
        <f t="shared" si="108"/>
        <v>#VALUE!</v>
      </c>
      <c r="K69" s="63">
        <f t="shared" si="109"/>
        <v>32</v>
      </c>
      <c r="L69" s="63" t="str">
        <f>IFERROR(VLOOKUP(MID(G69,J69,K69-J69),[6]skilldef!$C:$D,2,FALSE),"-") &amp; " / " &amp; IFERROR(VLOOKUP(MID(G69,H69,I69-H69),[6]skilldef!$A:$B,2,FALSE),"-")</f>
        <v>- / -</v>
      </c>
      <c r="M69" s="63" t="str">
        <f t="shared" si="110"/>
        <v>none</v>
      </c>
      <c r="N69" s="48" t="str">
        <f t="shared" si="135"/>
        <v>none</v>
      </c>
      <c r="O69" s="63" t="e">
        <f t="shared" si="111"/>
        <v>#VALUE!</v>
      </c>
      <c r="P69" s="63">
        <f t="shared" si="112"/>
        <v>4</v>
      </c>
      <c r="Q69" s="63" t="e">
        <f t="shared" si="113"/>
        <v>#VALUE!</v>
      </c>
      <c r="R69" s="63" t="e">
        <f t="shared" si="114"/>
        <v>#VALUE!</v>
      </c>
      <c r="S69" s="63" t="str">
        <f>IFERROR(VLOOKUP(MID(N69,Q69,R69-Q69),[6]skilldef!$C:$D,2,FALSE),"-") &amp; " / " &amp; IFERROR(VLOOKUP(MID(N69,O69,P69-O69),[6]skilldef!$A:$B,2,FALSE),"-")</f>
        <v>- / -</v>
      </c>
      <c r="T69" s="48" t="str">
        <f t="shared" si="115"/>
        <v>none</v>
      </c>
      <c r="U69" s="63" t="e">
        <f t="shared" si="116"/>
        <v>#VALUE!</v>
      </c>
      <c r="V69" s="63">
        <f t="shared" si="117"/>
        <v>4</v>
      </c>
      <c r="W69" s="63" t="e">
        <f t="shared" si="118"/>
        <v>#VALUE!</v>
      </c>
      <c r="X69" s="63" t="e">
        <f t="shared" si="119"/>
        <v>#VALUE!</v>
      </c>
      <c r="Y69" s="63" t="str">
        <f>IFERROR(VLOOKUP(MID(T69,W69,X69-W69),[6]skilldef!$C:$D,2,FALSE),"-") &amp; " / " &amp; IFERROR(VLOOKUP(MID(T69,U69,V69-U69),[6]skilldef!$A:$B,2,FALSE),"-")</f>
        <v>- / -</v>
      </c>
      <c r="Z69" s="50"/>
      <c r="AA69" s="51"/>
      <c r="AB69" s="50"/>
    </row>
    <row r="70" spans="1:28" ht="21" customHeight="1" x14ac:dyDescent="0.15">
      <c r="A70" s="135">
        <v>49015069</v>
      </c>
      <c r="B70" s="106" t="s">
        <v>386</v>
      </c>
      <c r="C70" s="50">
        <v>3</v>
      </c>
      <c r="D70" s="50" t="s">
        <v>127</v>
      </c>
      <c r="E70" s="105" t="s">
        <v>384</v>
      </c>
      <c r="F70" s="105" t="s">
        <v>385</v>
      </c>
      <c r="G70" s="63" t="str">
        <f t="shared" si="105"/>
        <v>[effect:enemy_message, val1:1.3, val2:1.5, dead_type:escape]</v>
      </c>
      <c r="H70" s="63">
        <f t="shared" si="106"/>
        <v>9</v>
      </c>
      <c r="I70" s="63">
        <f t="shared" si="107"/>
        <v>22</v>
      </c>
      <c r="J70" s="63" t="e">
        <f t="shared" si="108"/>
        <v>#VALUE!</v>
      </c>
      <c r="K70" s="63">
        <f t="shared" si="109"/>
        <v>32</v>
      </c>
      <c r="L70" s="63" t="str">
        <f>IFERROR(VLOOKUP(MID(G70,J70,K70-J70),[6]skilldef!$C:$D,2,FALSE),"-") &amp; " / " &amp; IFERROR(VLOOKUP(MID(G70,H70,I70-H70),[6]skilldef!$A:$B,2,FALSE),"-")</f>
        <v>- / -</v>
      </c>
      <c r="M70" s="63" t="str">
        <f t="shared" si="110"/>
        <v>none</v>
      </c>
      <c r="N70" s="48" t="str">
        <f t="shared" si="135"/>
        <v>none</v>
      </c>
      <c r="O70" s="63" t="e">
        <f t="shared" si="111"/>
        <v>#VALUE!</v>
      </c>
      <c r="P70" s="63">
        <f t="shared" si="112"/>
        <v>4</v>
      </c>
      <c r="Q70" s="63" t="e">
        <f t="shared" si="113"/>
        <v>#VALUE!</v>
      </c>
      <c r="R70" s="63" t="e">
        <f t="shared" si="114"/>
        <v>#VALUE!</v>
      </c>
      <c r="S70" s="63" t="str">
        <f>IFERROR(VLOOKUP(MID(N70,Q70,R70-Q70),[6]skilldef!$C:$D,2,FALSE),"-") &amp; " / " &amp; IFERROR(VLOOKUP(MID(N70,O70,P70-O70),[6]skilldef!$A:$B,2,FALSE),"-")</f>
        <v>- / -</v>
      </c>
      <c r="T70" s="48" t="str">
        <f t="shared" si="115"/>
        <v>none</v>
      </c>
      <c r="U70" s="63" t="e">
        <f t="shared" si="116"/>
        <v>#VALUE!</v>
      </c>
      <c r="V70" s="63">
        <f t="shared" si="117"/>
        <v>4</v>
      </c>
      <c r="W70" s="63" t="e">
        <f t="shared" si="118"/>
        <v>#VALUE!</v>
      </c>
      <c r="X70" s="63" t="e">
        <f t="shared" si="119"/>
        <v>#VALUE!</v>
      </c>
      <c r="Y70" s="63" t="str">
        <f>IFERROR(VLOOKUP(MID(T70,W70,X70-W70),[6]skilldef!$C:$D,2,FALSE),"-") &amp; " / " &amp; IFERROR(VLOOKUP(MID(T70,U70,V70-U70),[6]skilldef!$A:$B,2,FALSE),"-")</f>
        <v>- / -</v>
      </c>
      <c r="Z70" s="50"/>
      <c r="AA70" s="51"/>
      <c r="AB70" s="50"/>
    </row>
    <row r="71" spans="1:28" ht="21" customHeight="1" x14ac:dyDescent="0.15">
      <c r="A71" s="135">
        <v>49015070</v>
      </c>
      <c r="B71" s="106" t="s">
        <v>352</v>
      </c>
      <c r="C71" s="50">
        <v>3</v>
      </c>
      <c r="D71" s="50" t="s">
        <v>127</v>
      </c>
      <c r="E71" s="105" t="s">
        <v>387</v>
      </c>
      <c r="F71" s="118" t="s">
        <v>331</v>
      </c>
      <c r="G71" s="63" t="str">
        <f t="shared" si="105"/>
        <v>[effect:enemy_message, val1:1.2, val2:1.2, dead_type:escape]</v>
      </c>
      <c r="H71" s="63">
        <f t="shared" si="106"/>
        <v>9</v>
      </c>
      <c r="I71" s="63">
        <f t="shared" si="107"/>
        <v>22</v>
      </c>
      <c r="J71" s="63" t="e">
        <f t="shared" si="108"/>
        <v>#VALUE!</v>
      </c>
      <c r="K71" s="63">
        <f t="shared" si="109"/>
        <v>32</v>
      </c>
      <c r="L71" s="63" t="str">
        <f>IFERROR(VLOOKUP(MID(G71,J71,K71-J71),[6]skilldef!$C:$D,2,FALSE),"-") &amp; " / " &amp; IFERROR(VLOOKUP(MID(G71,H71,I71-H71),[6]skilldef!$A:$B,2,FALSE),"-")</f>
        <v>- / -</v>
      </c>
      <c r="M71" s="63" t="str">
        <f t="shared" si="110"/>
        <v>none</v>
      </c>
      <c r="N71" s="48" t="str">
        <f t="shared" si="135"/>
        <v>none</v>
      </c>
      <c r="O71" s="63" t="e">
        <f t="shared" si="111"/>
        <v>#VALUE!</v>
      </c>
      <c r="P71" s="63">
        <f t="shared" si="112"/>
        <v>4</v>
      </c>
      <c r="Q71" s="63" t="e">
        <f t="shared" si="113"/>
        <v>#VALUE!</v>
      </c>
      <c r="R71" s="63" t="e">
        <f t="shared" si="114"/>
        <v>#VALUE!</v>
      </c>
      <c r="S71" s="63" t="str">
        <f>IFERROR(VLOOKUP(MID(N71,Q71,R71-Q71),[6]skilldef!$C:$D,2,FALSE),"-") &amp; " / " &amp; IFERROR(VLOOKUP(MID(N71,O71,P71-O71),[6]skilldef!$A:$B,2,FALSE),"-")</f>
        <v>- / -</v>
      </c>
      <c r="T71" s="48" t="str">
        <f t="shared" si="115"/>
        <v>none</v>
      </c>
      <c r="U71" s="63" t="e">
        <f t="shared" si="116"/>
        <v>#VALUE!</v>
      </c>
      <c r="V71" s="63">
        <f t="shared" si="117"/>
        <v>4</v>
      </c>
      <c r="W71" s="63" t="e">
        <f t="shared" si="118"/>
        <v>#VALUE!</v>
      </c>
      <c r="X71" s="63" t="e">
        <f t="shared" si="119"/>
        <v>#VALUE!</v>
      </c>
      <c r="Y71" s="63" t="str">
        <f>IFERROR(VLOOKUP(MID(T71,W71,X71-W71),[6]skilldef!$C:$D,2,FALSE),"-") &amp; " / " &amp; IFERROR(VLOOKUP(MID(T71,U71,V71-U71),[6]skilldef!$A:$B,2,FALSE),"-")</f>
        <v>- / -</v>
      </c>
      <c r="Z71" s="50"/>
      <c r="AA71" s="51"/>
      <c r="AB71" s="50"/>
    </row>
    <row r="72" spans="1:28" ht="21" customHeight="1" thickBot="1" x14ac:dyDescent="0.2">
      <c r="A72" s="127">
        <v>49015071</v>
      </c>
      <c r="B72" s="111" t="s">
        <v>389</v>
      </c>
      <c r="C72" s="50">
        <v>3</v>
      </c>
      <c r="D72" s="112" t="s">
        <v>127</v>
      </c>
      <c r="E72" s="117" t="s">
        <v>332</v>
      </c>
      <c r="F72" s="117" t="s">
        <v>388</v>
      </c>
      <c r="G72" s="113" t="str">
        <f t="shared" si="105"/>
        <v>[effect:enemy_message, val1:1.2, val2:1.7, dead_type:escape]</v>
      </c>
      <c r="H72" s="113">
        <f t="shared" si="106"/>
        <v>9</v>
      </c>
      <c r="I72" s="113">
        <f t="shared" si="107"/>
        <v>22</v>
      </c>
      <c r="J72" s="113" t="e">
        <f t="shared" si="108"/>
        <v>#VALUE!</v>
      </c>
      <c r="K72" s="113">
        <f t="shared" si="109"/>
        <v>32</v>
      </c>
      <c r="L72" s="113" t="str">
        <f>IFERROR(VLOOKUP(MID(G72,J72,K72-J72),[6]skilldef!$C:$D,2,FALSE),"-") &amp; " / " &amp; IFERROR(VLOOKUP(MID(G72,H72,I72-H72),[6]skilldef!$A:$B,2,FALSE),"-")</f>
        <v>- / -</v>
      </c>
      <c r="M72" s="113" t="str">
        <f t="shared" si="110"/>
        <v>none</v>
      </c>
      <c r="N72" s="114" t="str">
        <f t="shared" si="135"/>
        <v>none</v>
      </c>
      <c r="O72" s="113" t="e">
        <f t="shared" si="111"/>
        <v>#VALUE!</v>
      </c>
      <c r="P72" s="113">
        <f t="shared" si="112"/>
        <v>4</v>
      </c>
      <c r="Q72" s="113" t="e">
        <f t="shared" si="113"/>
        <v>#VALUE!</v>
      </c>
      <c r="R72" s="113" t="e">
        <f t="shared" si="114"/>
        <v>#VALUE!</v>
      </c>
      <c r="S72" s="113" t="str">
        <f>IFERROR(VLOOKUP(MID(N72,Q72,R72-Q72),[6]skilldef!$C:$D,2,FALSE),"-") &amp; " / " &amp; IFERROR(VLOOKUP(MID(N72,O72,P72-O72),[6]skilldef!$A:$B,2,FALSE),"-")</f>
        <v>- / -</v>
      </c>
      <c r="T72" s="114" t="str">
        <f t="shared" si="115"/>
        <v>none</v>
      </c>
      <c r="U72" s="113" t="e">
        <f t="shared" si="116"/>
        <v>#VALUE!</v>
      </c>
      <c r="V72" s="113">
        <f t="shared" si="117"/>
        <v>4</v>
      </c>
      <c r="W72" s="113" t="e">
        <f t="shared" si="118"/>
        <v>#VALUE!</v>
      </c>
      <c r="X72" s="113" t="e">
        <f t="shared" si="119"/>
        <v>#VALUE!</v>
      </c>
      <c r="Y72" s="113" t="str">
        <f>IFERROR(VLOOKUP(MID(T72,W72,X72-W72),[6]skilldef!$C:$D,2,FALSE),"-") &amp; " / " &amp; IFERROR(VLOOKUP(MID(T72,U72,V72-U72),[6]skilldef!$A:$B,2,FALSE),"-")</f>
        <v>- / -</v>
      </c>
      <c r="Z72" s="112"/>
      <c r="AA72" s="115"/>
      <c r="AB72" s="112"/>
    </row>
    <row r="73" spans="1:28" ht="21" customHeight="1" x14ac:dyDescent="0.15">
      <c r="A73" s="138">
        <v>49015072</v>
      </c>
      <c r="B73" s="129" t="s">
        <v>520</v>
      </c>
      <c r="C73" s="50">
        <v>3</v>
      </c>
      <c r="D73" s="130" t="s">
        <v>127</v>
      </c>
      <c r="E73" s="189" t="s">
        <v>416</v>
      </c>
      <c r="F73" s="189" t="s">
        <v>333</v>
      </c>
      <c r="G73" s="131" t="str">
        <f t="shared" ref="G73" si="136">IFERROR(LEFT(B73,FIND("],",B73)),B73)</f>
        <v>[effect:enemy_message, val1:1.2, val2:1.2]</v>
      </c>
      <c r="H73" s="131">
        <f t="shared" ref="H73" si="137">FIND("effect:",G73)+7</f>
        <v>9</v>
      </c>
      <c r="I73" s="131">
        <f t="shared" ref="I73" si="138">IFERROR(FIND(",",G73),LEN(G73))</f>
        <v>22</v>
      </c>
      <c r="J73" s="131" t="e">
        <f t="shared" ref="J73" si="139">FIND("target:",G73)+7</f>
        <v>#VALUE!</v>
      </c>
      <c r="K73" s="131">
        <f t="shared" ref="K73" si="140">FIND(",",G73,I73+1)</f>
        <v>32</v>
      </c>
      <c r="L73" s="131" t="str">
        <f>IFERROR(VLOOKUP(MID(G73,J73,K73-J73),[6]skilldef!$C:$D,2,FALSE),"-") &amp; " / " &amp; IFERROR(VLOOKUP(MID(G73,H73,I73-H73),[6]skilldef!$A:$B,2,FALSE),"-")</f>
        <v>- / -</v>
      </c>
      <c r="M73" s="131" t="str">
        <f t="shared" ref="M73" si="141">IFERROR(RIGHT(B73,LEN(B73)-FIND("],",B73)-1),"none")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73" s="132" t="str">
        <f t="shared" ref="N73" si="142">IFERROR(LEFT(M73,FIND("],",M73)+S83),M73)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73" s="131">
        <f t="shared" ref="O73" si="143">FIND("effect:",N73)+7</f>
        <v>9</v>
      </c>
      <c r="P73" s="131">
        <f t="shared" ref="P73" si="144">IFERROR(FIND(",",N73),LEN(N73))</f>
        <v>18</v>
      </c>
      <c r="Q73" s="131">
        <f t="shared" ref="Q73" si="145">FIND("target:",N73)+7</f>
        <v>27</v>
      </c>
      <c r="R73" s="131">
        <f t="shared" ref="R73" si="146">FIND(",",N73,P73+1)</f>
        <v>33</v>
      </c>
      <c r="S73" s="131" t="str">
        <f>IFERROR(VLOOKUP(MID(N73,Q73,R73-Q73),[6]skilldef!$C:$D,2,FALSE),"-") &amp; " / " &amp; IFERROR(VLOOKUP(MID(N73,O73,P73-O73),[6]skilldef!$A:$B,2,FALSE),"-")</f>
        <v>自分自身に / 行動値設定</v>
      </c>
      <c r="T73" s="132" t="str">
        <f t="shared" ref="T73" si="147">IFERROR(RIGHT(M73,LEN(M73)-FIND("],",M73)-1),"none")</f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73" s="131">
        <f t="shared" ref="U73" si="148">FIND("effect:",T73)+7</f>
        <v>9</v>
      </c>
      <c r="V73" s="131">
        <f t="shared" ref="V73" si="149">IFERROR(FIND(",",T73),LEN(T73))</f>
        <v>23</v>
      </c>
      <c r="W73" s="131">
        <f t="shared" ref="W73" si="150">FIND("target:",T73)+7</f>
        <v>116</v>
      </c>
      <c r="X73" s="131">
        <f t="shared" ref="X73" si="151">FIND(",",T73,V73+1)</f>
        <v>32</v>
      </c>
      <c r="Y73" s="131" t="str">
        <f>IFERROR(VLOOKUP(MID(T73,W73,X73-W73),[6]skilldef!$C:$D,2,FALSE),"-") &amp; " / " &amp; IFERROR(VLOOKUP(MID(T73,U73,V73-U73),[6]skilldef!$A:$B,2,FALSE),"-")</f>
        <v>- / -</v>
      </c>
      <c r="Z73" s="130"/>
      <c r="AA73" s="133"/>
      <c r="AB73" s="130"/>
    </row>
    <row r="74" spans="1:28" ht="21" customHeight="1" x14ac:dyDescent="0.15">
      <c r="A74" s="136">
        <v>49015073</v>
      </c>
      <c r="B74" s="129" t="s">
        <v>521</v>
      </c>
      <c r="C74" s="50">
        <v>3</v>
      </c>
      <c r="D74" s="50" t="s">
        <v>127</v>
      </c>
      <c r="E74" s="190" t="s">
        <v>465</v>
      </c>
      <c r="F74" s="190" t="s">
        <v>466</v>
      </c>
      <c r="G74" s="63" t="str">
        <f t="shared" ref="G74" si="152">IFERROR(LEFT(B74,FIND("],",B74)),B74)</f>
        <v>[effect:enemy_message, val1:2.2, val2:1.7]</v>
      </c>
      <c r="H74" s="63">
        <f t="shared" ref="H74" si="153">FIND("effect:",G74)+7</f>
        <v>9</v>
      </c>
      <c r="I74" s="63">
        <f t="shared" ref="I74" si="154">IFERROR(FIND(",",G74),LEN(G74))</f>
        <v>22</v>
      </c>
      <c r="J74" s="63" t="e">
        <f t="shared" ref="J74" si="155">FIND("target:",G74)+7</f>
        <v>#VALUE!</v>
      </c>
      <c r="K74" s="63">
        <f t="shared" ref="K74" si="156">FIND(",",G74,I74+1)</f>
        <v>32</v>
      </c>
      <c r="L74" s="63" t="str">
        <f>IFERROR(VLOOKUP(MID(G74,J74,K74-J74),[6]skilldef!$C:$D,2,FALSE),"-") &amp; " / " &amp; IFERROR(VLOOKUP(MID(G74,H74,I74-H74),[6]skilldef!$A:$B,2,FALSE),"-")</f>
        <v>- / -</v>
      </c>
      <c r="M74" s="63" t="str">
        <f t="shared" ref="M74" si="157">IFERROR(RIGHT(B74,LEN(B74)-FIND("],",B74)-1),"none")</f>
        <v>[effect:fix_speed, target:myself, turn:2],[effect:set_background, turn:-1, background_id:994, switching_mode:go_front, duration:2],[effect:tolerance, target:myself, turn:-1, count:-1, tolerance_effect:all, animation:enemy_tolerance],[effect:change_panel_ratio, turn:-1, block_type:yellow, val:0.6, animation:block_incidence04],[effect:remove_enhancement,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74" s="48" t="str">
        <f>IFERROR(LEFT(M74,FIND("],",M74)+#REF!),M74)</f>
        <v>[effect:fix_speed, target:myself, turn:2],[effect:set_background, turn:-1, background_id:994, switching_mode:go_front, duration:2],[effect:tolerance, target:myself, turn:-1, count:-1, tolerance_effect:all, animation:enemy_tolerance],[effect:change_panel_ratio, turn:-1, block_type:yellow, val:0.6, animation:block_incidence04],[effect:remove_enhancement,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74" s="63">
        <f t="shared" ref="O74" si="158">FIND("effect:",N74)+7</f>
        <v>9</v>
      </c>
      <c r="P74" s="63">
        <f t="shared" ref="P74" si="159">IFERROR(FIND(",",N74),LEN(N74))</f>
        <v>18</v>
      </c>
      <c r="Q74" s="63">
        <f t="shared" ref="Q74" si="160">FIND("target:",N74)+7</f>
        <v>27</v>
      </c>
      <c r="R74" s="63">
        <f t="shared" ref="R74" si="161">FIND(",",N74,P74+1)</f>
        <v>33</v>
      </c>
      <c r="S74" s="63" t="str">
        <f>IFERROR(VLOOKUP(MID(N74,Q74,R74-Q74),[6]skilldef!$C:$D,2,FALSE),"-") &amp; " / " &amp; IFERROR(VLOOKUP(MID(N74,O74,P74-O74),[6]skilldef!$A:$B,2,FALSE),"-")</f>
        <v>自分自身に / 行動値設定</v>
      </c>
      <c r="T74" s="48" t="str">
        <f t="shared" ref="T74" si="162">IFERROR(RIGHT(M74,LEN(M74)-FIND("],",M74)-1),"none")</f>
        <v>[effect:set_background, turn:-1, background_id:994, switching_mode:go_front, duration:2],[effect:tolerance, target:myself, turn:-1, count:-1, tolerance_effect:all, animation:enemy_tolerance],[effect:change_panel_ratio, turn:-1, block_type:yellow, val:0.6, animation:block_incidence04],[effect:remove_enhancement,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74" s="63">
        <f t="shared" ref="U74" si="163">FIND("effect:",T74)+7</f>
        <v>9</v>
      </c>
      <c r="V74" s="63">
        <f t="shared" ref="V74" si="164">IFERROR(FIND(",",T74),LEN(T74))</f>
        <v>23</v>
      </c>
      <c r="W74" s="63">
        <f t="shared" ref="W74" si="165">FIND("target:",T74)+7</f>
        <v>116</v>
      </c>
      <c r="X74" s="63">
        <f t="shared" ref="X74" si="166">FIND(",",T74,V74+1)</f>
        <v>32</v>
      </c>
      <c r="Y74" s="63" t="str">
        <f>IFERROR(VLOOKUP(MID(T74,W74,X74-W74),[6]skilldef!$C:$D,2,FALSE),"-") &amp; " / " &amp; IFERROR(VLOOKUP(MID(T74,U74,V74-U74),[6]skilldef!$A:$B,2,FALSE),"-")</f>
        <v>- / -</v>
      </c>
      <c r="Z74" s="50"/>
      <c r="AA74" s="51"/>
      <c r="AB74" s="50"/>
    </row>
    <row r="75" spans="1:28" ht="21" customHeight="1" x14ac:dyDescent="0.15">
      <c r="A75" s="136">
        <v>49015074</v>
      </c>
      <c r="B75" s="129" t="s">
        <v>548</v>
      </c>
      <c r="C75" s="50">
        <v>3</v>
      </c>
      <c r="D75" s="50" t="s">
        <v>127</v>
      </c>
      <c r="E75" s="190" t="s">
        <v>417</v>
      </c>
      <c r="F75" s="191" t="s">
        <v>418</v>
      </c>
      <c r="G75" s="63" t="str">
        <f t="shared" ref="G75:G80" si="167">IFERROR(LEFT(B75,FIND("],",B75)),B75)</f>
        <v>[effect:enemy_message, val1:1.2, val2:1.2]</v>
      </c>
      <c r="H75" s="63">
        <f t="shared" ref="H75:H80" si="168">FIND("effect:",G75)+7</f>
        <v>9</v>
      </c>
      <c r="I75" s="63">
        <f t="shared" ref="I75:I80" si="169">IFERROR(FIND(",",G75),LEN(G75))</f>
        <v>22</v>
      </c>
      <c r="J75" s="63" t="e">
        <f t="shared" ref="J75:J80" si="170">FIND("target:",G75)+7</f>
        <v>#VALUE!</v>
      </c>
      <c r="K75" s="63">
        <f t="shared" ref="K75:K80" si="171">FIND(",",G75,I75+1)</f>
        <v>32</v>
      </c>
      <c r="L75" s="63" t="str">
        <f>IFERROR(VLOOKUP(MID(G75,J75,K75-J75),[6]skilldef!$C:$D,2,FALSE),"-") &amp; " / " &amp; IFERROR(VLOOKUP(MID(G75,H75,I75-H75),[6]skilldef!$A:$B,2,FALSE),"-")</f>
        <v>- / -</v>
      </c>
      <c r="M75" s="63" t="str">
        <f t="shared" ref="M75:M80" si="172">IFERROR(RIGHT(B75,LEN(B75)-FIND("],",B75)-1),"none")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75" s="48" t="str">
        <f>IFERROR(LEFT(M75,FIND("],",M75)+S84),M75)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75" s="63">
        <f t="shared" ref="O75:O80" si="173">FIND("effect:",N75)+7</f>
        <v>9</v>
      </c>
      <c r="P75" s="63">
        <f t="shared" ref="P75:P80" si="174">IFERROR(FIND(",",N75),LEN(N75))</f>
        <v>18</v>
      </c>
      <c r="Q75" s="63">
        <f t="shared" ref="Q75:Q80" si="175">FIND("target:",N75)+7</f>
        <v>27</v>
      </c>
      <c r="R75" s="63">
        <f t="shared" ref="R75:R80" si="176">FIND(",",N75,P75+1)</f>
        <v>33</v>
      </c>
      <c r="S75" s="63" t="str">
        <f>IFERROR(VLOOKUP(MID(N75,Q75,R75-Q75),[6]skilldef!$C:$D,2,FALSE),"-") &amp; " / " &amp; IFERROR(VLOOKUP(MID(N75,O75,P75-O75),[6]skilldef!$A:$B,2,FALSE),"-")</f>
        <v>自分自身に / 行動値設定</v>
      </c>
      <c r="T75" s="48" t="str">
        <f t="shared" ref="T75:T80" si="177">IFERROR(RIGHT(M75,LEN(M75)-FIND("],",M75)-1),"none")</f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75" s="63">
        <f t="shared" ref="U75:U80" si="178">FIND("effect:",T75)+7</f>
        <v>9</v>
      </c>
      <c r="V75" s="63">
        <f t="shared" ref="V75:V80" si="179">IFERROR(FIND(",",T75),LEN(T75))</f>
        <v>23</v>
      </c>
      <c r="W75" s="63">
        <f t="shared" ref="W75:W80" si="180">FIND("target:",T75)+7</f>
        <v>116</v>
      </c>
      <c r="X75" s="63">
        <f t="shared" ref="X75:X80" si="181">FIND(",",T75,V75+1)</f>
        <v>32</v>
      </c>
      <c r="Y75" s="63" t="str">
        <f>IFERROR(VLOOKUP(MID(T75,W75,X75-W75),[6]skilldef!$C:$D,2,FALSE),"-") &amp; " / " &amp; IFERROR(VLOOKUP(MID(T75,U75,V75-U75),[6]skilldef!$A:$B,2,FALSE),"-")</f>
        <v>- / -</v>
      </c>
      <c r="Z75" s="50"/>
      <c r="AA75" s="51"/>
      <c r="AB75" s="50"/>
    </row>
    <row r="76" spans="1:28" ht="21" customHeight="1" x14ac:dyDescent="0.15">
      <c r="A76" s="136">
        <v>49015075</v>
      </c>
      <c r="B76" s="129" t="s">
        <v>549</v>
      </c>
      <c r="C76" s="50">
        <v>3</v>
      </c>
      <c r="D76" s="50" t="s">
        <v>127</v>
      </c>
      <c r="E76" s="190" t="s">
        <v>419</v>
      </c>
      <c r="F76" s="190" t="s">
        <v>420</v>
      </c>
      <c r="G76" s="63" t="str">
        <f t="shared" si="167"/>
        <v>[effect:enemy_message, val1:1.6, val2:1.2]</v>
      </c>
      <c r="H76" s="63">
        <f t="shared" si="168"/>
        <v>9</v>
      </c>
      <c r="I76" s="63">
        <f t="shared" si="169"/>
        <v>22</v>
      </c>
      <c r="J76" s="63" t="e">
        <f t="shared" si="170"/>
        <v>#VALUE!</v>
      </c>
      <c r="K76" s="63">
        <f t="shared" si="171"/>
        <v>32</v>
      </c>
      <c r="L76" s="63" t="str">
        <f>IFERROR(VLOOKUP(MID(G76,J76,K76-J76),[6]skilldef!$C:$D,2,FALSE),"-") &amp; " / " &amp; IFERROR(VLOOKUP(MID(G76,H76,I76-H76),[6]skilldef!$A:$B,2,FALSE),"-")</f>
        <v>- / -</v>
      </c>
      <c r="M76" s="63" t="str">
        <f t="shared" si="172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76" s="48" t="str">
        <f>IFERROR(LEFT(M76,FIND("],",M76)+S85),M76)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76" s="63">
        <f t="shared" si="173"/>
        <v>9</v>
      </c>
      <c r="P76" s="63">
        <f t="shared" si="174"/>
        <v>18</v>
      </c>
      <c r="Q76" s="63">
        <f t="shared" si="175"/>
        <v>27</v>
      </c>
      <c r="R76" s="63">
        <f t="shared" si="176"/>
        <v>33</v>
      </c>
      <c r="S76" s="63" t="str">
        <f>IFERROR(VLOOKUP(MID(N76,Q76,R76-Q76),[6]skilldef!$C:$D,2,FALSE),"-") &amp; " / " &amp; IFERROR(VLOOKUP(MID(N76,O76,P76-O76),[6]skilldef!$A:$B,2,FALSE),"-")</f>
        <v>自分自身に / 行動値設定</v>
      </c>
      <c r="T76" s="48" t="str">
        <f t="shared" si="177"/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76" s="63">
        <f t="shared" si="178"/>
        <v>9</v>
      </c>
      <c r="V76" s="63">
        <f t="shared" si="179"/>
        <v>23</v>
      </c>
      <c r="W76" s="63">
        <f t="shared" si="180"/>
        <v>116</v>
      </c>
      <c r="X76" s="63">
        <f t="shared" si="181"/>
        <v>32</v>
      </c>
      <c r="Y76" s="63" t="str">
        <f>IFERROR(VLOOKUP(MID(T76,W76,X76-W76),[6]skilldef!$C:$D,2,FALSE),"-") &amp; " / " &amp; IFERROR(VLOOKUP(MID(T76,U76,V76-U76),[6]skilldef!$A:$B,2,FALSE),"-")</f>
        <v>- / -</v>
      </c>
      <c r="Z76" s="50"/>
      <c r="AA76" s="51"/>
      <c r="AB76" s="50"/>
    </row>
    <row r="77" spans="1:28" ht="21" customHeight="1" x14ac:dyDescent="0.15">
      <c r="A77" s="136">
        <v>49015076</v>
      </c>
      <c r="B77" s="129" t="s">
        <v>523</v>
      </c>
      <c r="C77" s="50">
        <v>3</v>
      </c>
      <c r="D77" s="50" t="s">
        <v>127</v>
      </c>
      <c r="E77" s="191" t="s">
        <v>421</v>
      </c>
      <c r="F77" s="190" t="s">
        <v>422</v>
      </c>
      <c r="G77" s="63" t="str">
        <f t="shared" si="167"/>
        <v>[effect:enemy_message, val1:1.2, val2:1.7]</v>
      </c>
      <c r="H77" s="63">
        <f t="shared" si="168"/>
        <v>9</v>
      </c>
      <c r="I77" s="63">
        <f t="shared" si="169"/>
        <v>22</v>
      </c>
      <c r="J77" s="63" t="e">
        <f t="shared" si="170"/>
        <v>#VALUE!</v>
      </c>
      <c r="K77" s="63">
        <f t="shared" si="171"/>
        <v>32</v>
      </c>
      <c r="L77" s="63" t="str">
        <f>IFERROR(VLOOKUP(MID(G77,J77,K77-J77),[6]skilldef!$C:$D,2,FALSE),"-") &amp; " / " &amp; IFERROR(VLOOKUP(MID(G77,H77,I77-H77),[6]skilldef!$A:$B,2,FALSE),"-")</f>
        <v>- / -</v>
      </c>
      <c r="M77" s="63" t="str">
        <f t="shared" si="172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77" s="48" t="str">
        <f>IFERROR(LEFT(M77,FIND("],",M77)+S86),M77)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77" s="63">
        <f t="shared" si="173"/>
        <v>9</v>
      </c>
      <c r="P77" s="63">
        <f t="shared" si="174"/>
        <v>18</v>
      </c>
      <c r="Q77" s="63">
        <f t="shared" si="175"/>
        <v>27</v>
      </c>
      <c r="R77" s="63">
        <f t="shared" si="176"/>
        <v>33</v>
      </c>
      <c r="S77" s="63" t="str">
        <f>IFERROR(VLOOKUP(MID(N77,Q77,R77-Q77),[6]skilldef!$C:$D,2,FALSE),"-") &amp; " / " &amp; IFERROR(VLOOKUP(MID(N77,O77,P77-O77),[6]skilldef!$A:$B,2,FALSE),"-")</f>
        <v>自分自身に / 行動値設定</v>
      </c>
      <c r="T77" s="48" t="str">
        <f t="shared" si="177"/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77" s="63">
        <f t="shared" si="178"/>
        <v>9</v>
      </c>
      <c r="V77" s="63">
        <f t="shared" si="179"/>
        <v>23</v>
      </c>
      <c r="W77" s="63">
        <f t="shared" si="180"/>
        <v>116</v>
      </c>
      <c r="X77" s="63">
        <f t="shared" si="181"/>
        <v>32</v>
      </c>
      <c r="Y77" s="63" t="str">
        <f>IFERROR(VLOOKUP(MID(T77,W77,X77-W77),[6]skilldef!$C:$D,2,FALSE),"-") &amp; " / " &amp; IFERROR(VLOOKUP(MID(T77,U77,V77-U77),[6]skilldef!$A:$B,2,FALSE),"-")</f>
        <v>- / -</v>
      </c>
      <c r="Z77" s="50"/>
      <c r="AA77" s="51"/>
      <c r="AB77" s="50"/>
    </row>
    <row r="78" spans="1:28" ht="364" x14ac:dyDescent="0.15">
      <c r="A78" s="136">
        <v>49015077</v>
      </c>
      <c r="B78" s="129" t="s">
        <v>524</v>
      </c>
      <c r="C78" s="50">
        <v>3</v>
      </c>
      <c r="D78" s="50" t="s">
        <v>127</v>
      </c>
      <c r="E78" s="119" t="s">
        <v>449</v>
      </c>
      <c r="F78" s="105" t="s">
        <v>592</v>
      </c>
      <c r="G78" s="63" t="str">
        <f t="shared" si="167"/>
        <v>[effect:enemy_message, val1:3.1, val2:1.2]</v>
      </c>
      <c r="H78" s="63">
        <f t="shared" si="168"/>
        <v>9</v>
      </c>
      <c r="I78" s="63">
        <f t="shared" si="169"/>
        <v>22</v>
      </c>
      <c r="J78" s="63" t="e">
        <f t="shared" si="170"/>
        <v>#VALUE!</v>
      </c>
      <c r="K78" s="63">
        <f t="shared" si="171"/>
        <v>32</v>
      </c>
      <c r="L78" s="63" t="str">
        <f>IFERROR(VLOOKUP(MID(G78,J78,K78-J78),[6]skilldef!$C:$D,2,FALSE),"-") &amp; " / " &amp; IFERROR(VLOOKUP(MID(G78,H78,I78-H78),[6]skilldef!$A:$B,2,FALSE),"-")</f>
        <v>- / -</v>
      </c>
      <c r="M78" s="63" t="str">
        <f t="shared" si="172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78" s="48" t="str">
        <f>IFERROR(LEFT(M78,FIND("],",M78)+S87),M78)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78" s="63">
        <f t="shared" si="173"/>
        <v>9</v>
      </c>
      <c r="P78" s="63">
        <f t="shared" si="174"/>
        <v>18</v>
      </c>
      <c r="Q78" s="63">
        <f t="shared" si="175"/>
        <v>27</v>
      </c>
      <c r="R78" s="63">
        <f t="shared" si="176"/>
        <v>33</v>
      </c>
      <c r="S78" s="63" t="str">
        <f>IFERROR(VLOOKUP(MID(N78,Q78,R78-Q78),[6]skilldef!$C:$D,2,FALSE),"-") &amp; " / " &amp; IFERROR(VLOOKUP(MID(N78,O78,P78-O78),[6]skilldef!$A:$B,2,FALSE),"-")</f>
        <v>自分自身に / 行動値設定</v>
      </c>
      <c r="T78" s="48" t="str">
        <f t="shared" si="177"/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78" s="63">
        <f t="shared" si="178"/>
        <v>9</v>
      </c>
      <c r="V78" s="63">
        <f t="shared" si="179"/>
        <v>23</v>
      </c>
      <c r="W78" s="63">
        <f t="shared" si="180"/>
        <v>116</v>
      </c>
      <c r="X78" s="63">
        <f t="shared" si="181"/>
        <v>32</v>
      </c>
      <c r="Y78" s="63" t="str">
        <f>IFERROR(VLOOKUP(MID(T78,W78,X78-W78),[6]skilldef!$C:$D,2,FALSE),"-") &amp; " / " &amp; IFERROR(VLOOKUP(MID(T78,U78,V78-U78),[6]skilldef!$A:$B,2,FALSE),"-")</f>
        <v>- / -</v>
      </c>
      <c r="Z78" s="50"/>
      <c r="AA78" s="51"/>
      <c r="AB78" s="50"/>
    </row>
    <row r="79" spans="1:28" ht="21" customHeight="1" x14ac:dyDescent="0.15">
      <c r="A79" s="136">
        <v>49015078</v>
      </c>
      <c r="B79" s="129" t="s">
        <v>523</v>
      </c>
      <c r="C79" s="50">
        <v>3</v>
      </c>
      <c r="D79" s="50" t="s">
        <v>127</v>
      </c>
      <c r="E79" s="190" t="s">
        <v>423</v>
      </c>
      <c r="F79" s="190" t="s">
        <v>424</v>
      </c>
      <c r="G79" s="63" t="str">
        <f t="shared" si="167"/>
        <v>[effect:enemy_message, val1:1.2, val2:1.7]</v>
      </c>
      <c r="H79" s="63">
        <f t="shared" si="168"/>
        <v>9</v>
      </c>
      <c r="I79" s="63">
        <f t="shared" si="169"/>
        <v>22</v>
      </c>
      <c r="J79" s="63" t="e">
        <f t="shared" si="170"/>
        <v>#VALUE!</v>
      </c>
      <c r="K79" s="63">
        <f t="shared" si="171"/>
        <v>32</v>
      </c>
      <c r="L79" s="63" t="str">
        <f>IFERROR(VLOOKUP(MID(G79,J79,K79-J79),[6]skilldef!$C:$D,2,FALSE),"-") &amp; " / " &amp; IFERROR(VLOOKUP(MID(G79,H79,I79-H79),[6]skilldef!$A:$B,2,FALSE),"-")</f>
        <v>- / -</v>
      </c>
      <c r="M79" s="63" t="str">
        <f t="shared" si="172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79" s="48" t="str">
        <f>IFERROR(LEFT(M79,FIND("],",M79)+S88),M79)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79" s="63">
        <f t="shared" si="173"/>
        <v>9</v>
      </c>
      <c r="P79" s="63">
        <f t="shared" si="174"/>
        <v>18</v>
      </c>
      <c r="Q79" s="63">
        <f t="shared" si="175"/>
        <v>27</v>
      </c>
      <c r="R79" s="63">
        <f t="shared" si="176"/>
        <v>33</v>
      </c>
      <c r="S79" s="63" t="str">
        <f>IFERROR(VLOOKUP(MID(N79,Q79,R79-Q79),[6]skilldef!$C:$D,2,FALSE),"-") &amp; " / " &amp; IFERROR(VLOOKUP(MID(N79,O79,P79-O79),[6]skilldef!$A:$B,2,FALSE),"-")</f>
        <v>自分自身に / 行動値設定</v>
      </c>
      <c r="T79" s="48" t="str">
        <f t="shared" si="177"/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79" s="63">
        <f t="shared" si="178"/>
        <v>9</v>
      </c>
      <c r="V79" s="63">
        <f t="shared" si="179"/>
        <v>23</v>
      </c>
      <c r="W79" s="63">
        <f t="shared" si="180"/>
        <v>116</v>
      </c>
      <c r="X79" s="63">
        <f t="shared" si="181"/>
        <v>32</v>
      </c>
      <c r="Y79" s="63" t="str">
        <f>IFERROR(VLOOKUP(MID(T79,W79,X79-W79),[6]skilldef!$C:$D,2,FALSE),"-") &amp; " / " &amp; IFERROR(VLOOKUP(MID(T79,U79,V79-U79),[6]skilldef!$A:$B,2,FALSE),"-")</f>
        <v>- / -</v>
      </c>
      <c r="Z79" s="50"/>
      <c r="AA79" s="51"/>
      <c r="AB79" s="50"/>
    </row>
    <row r="80" spans="1:28" ht="21" customHeight="1" x14ac:dyDescent="0.15">
      <c r="A80" s="136">
        <v>49015079</v>
      </c>
      <c r="B80" s="129" t="s">
        <v>520</v>
      </c>
      <c r="C80" s="50">
        <v>3</v>
      </c>
      <c r="D80" s="50" t="s">
        <v>127</v>
      </c>
      <c r="E80" s="191" t="s">
        <v>425</v>
      </c>
      <c r="F80" s="191" t="s">
        <v>426</v>
      </c>
      <c r="G80" s="63" t="str">
        <f t="shared" si="167"/>
        <v>[effect:enemy_message, val1:1.2, val2:1.2]</v>
      </c>
      <c r="H80" s="63">
        <f t="shared" si="168"/>
        <v>9</v>
      </c>
      <c r="I80" s="63">
        <f t="shared" si="169"/>
        <v>22</v>
      </c>
      <c r="J80" s="63" t="e">
        <f t="shared" si="170"/>
        <v>#VALUE!</v>
      </c>
      <c r="K80" s="63">
        <f t="shared" si="171"/>
        <v>32</v>
      </c>
      <c r="L80" s="63" t="str">
        <f>IFERROR(VLOOKUP(MID(G80,J80,K80-J80),[6]skilldef!$C:$D,2,FALSE),"-") &amp; " / " &amp; IFERROR(VLOOKUP(MID(G80,H80,I80-H80),[6]skilldef!$A:$B,2,FALSE),"-")</f>
        <v>- / -</v>
      </c>
      <c r="M80" s="63" t="str">
        <f t="shared" si="172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80" s="48" t="str">
        <f>IFERROR(LEFT(M80,FIND("],",M80)+#REF!),M80)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80" s="63">
        <f t="shared" si="173"/>
        <v>9</v>
      </c>
      <c r="P80" s="63">
        <f t="shared" si="174"/>
        <v>18</v>
      </c>
      <c r="Q80" s="63">
        <f t="shared" si="175"/>
        <v>27</v>
      </c>
      <c r="R80" s="63">
        <f t="shared" si="176"/>
        <v>33</v>
      </c>
      <c r="S80" s="63" t="str">
        <f>IFERROR(VLOOKUP(MID(N80,Q80,R80-Q80),[6]skilldef!$C:$D,2,FALSE),"-") &amp; " / " &amp; IFERROR(VLOOKUP(MID(N80,O80,P80-O80),[6]skilldef!$A:$B,2,FALSE),"-")</f>
        <v>自分自身に / 行動値設定</v>
      </c>
      <c r="T80" s="48" t="str">
        <f t="shared" si="177"/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80" s="63">
        <f t="shared" si="178"/>
        <v>9</v>
      </c>
      <c r="V80" s="63">
        <f t="shared" si="179"/>
        <v>23</v>
      </c>
      <c r="W80" s="63">
        <f t="shared" si="180"/>
        <v>116</v>
      </c>
      <c r="X80" s="63">
        <f t="shared" si="181"/>
        <v>32</v>
      </c>
      <c r="Y80" s="63" t="str">
        <f>IFERROR(VLOOKUP(MID(T80,W80,X80-W80),[6]skilldef!$C:$D,2,FALSE),"-") &amp; " / " &amp; IFERROR(VLOOKUP(MID(T80,U80,V80-U80),[6]skilldef!$A:$B,2,FALSE),"-")</f>
        <v>- / -</v>
      </c>
      <c r="Z80" s="50"/>
      <c r="AA80" s="51"/>
      <c r="AB80" s="50"/>
    </row>
    <row r="81" spans="1:28" ht="21" customHeight="1" x14ac:dyDescent="0.15">
      <c r="A81" s="136">
        <v>49015080</v>
      </c>
      <c r="B81" s="47" t="s">
        <v>496</v>
      </c>
      <c r="C81" s="50">
        <v>3</v>
      </c>
      <c r="D81" s="50" t="s">
        <v>127</v>
      </c>
      <c r="E81" s="105" t="s">
        <v>335</v>
      </c>
      <c r="F81" s="105" t="s">
        <v>495</v>
      </c>
      <c r="G81" s="63" t="str">
        <f t="shared" ref="G81:G85" si="182">IFERROR(LEFT(B81,FIND("],",B81)),B81)</f>
        <v>[effect:enemy_message, val1:1.2, val2:1.5]</v>
      </c>
      <c r="H81" s="63">
        <f t="shared" ref="H81:H85" si="183">FIND("effect:",G81)+7</f>
        <v>9</v>
      </c>
      <c r="I81" s="63">
        <f t="shared" ref="I81:I85" si="184">IFERROR(FIND(",",G81),LEN(G81))</f>
        <v>22</v>
      </c>
      <c r="J81" s="63" t="e">
        <f t="shared" ref="J81:J85" si="185">FIND("target:",G81)+7</f>
        <v>#VALUE!</v>
      </c>
      <c r="K81" s="63">
        <f t="shared" ref="K81:K85" si="186">FIND(",",G81,I81+1)</f>
        <v>32</v>
      </c>
      <c r="L81" s="63" t="str">
        <f>IFERROR(VLOOKUP(MID(G81,J81,K81-J81),[6]skilldef!$C:$D,2,FALSE),"-") &amp; " / " &amp; IFERROR(VLOOKUP(MID(G81,H81,I81-H81),[6]skilldef!$A:$B,2,FALSE),"-")</f>
        <v>- / -</v>
      </c>
      <c r="M81" s="63" t="str">
        <f t="shared" ref="M81:M85" si="187">IFERROR(RIGHT(B81,LEN(B81)-FIND("],",B81)-1),"none")</f>
        <v>[effect:break_attack, target:unit_all, val:0.02, lowest_val:1200, count:-1, color:blue, block01:jammer]</v>
      </c>
      <c r="N81" s="48" t="str">
        <f>IFERROR(LEFT(M81,FIND("],",M81)+S89),M81)</f>
        <v>[effect:break_attack, target:unit_all, val:0.02, lowest_val:1200, count:-1, color:blue, block01:jammer]</v>
      </c>
      <c r="O81" s="63">
        <f t="shared" ref="O81:O85" si="188">FIND("effect:",N81)+7</f>
        <v>9</v>
      </c>
      <c r="P81" s="63">
        <f t="shared" ref="P81:P85" si="189">IFERROR(FIND(",",N81),LEN(N81))</f>
        <v>21</v>
      </c>
      <c r="Q81" s="63">
        <f t="shared" ref="Q81:Q85" si="190">FIND("target:",N81)+7</f>
        <v>30</v>
      </c>
      <c r="R81" s="63">
        <f t="shared" ref="R81:R85" si="191">FIND(",",N81,P81+1)</f>
        <v>38</v>
      </c>
      <c r="S81" s="63" t="str">
        <f>IFERROR(VLOOKUP(MID(N81,Q81,R81-Q81),[6]skilldef!$C:$D,2,FALSE),"-") &amp; " / " &amp; IFERROR(VLOOKUP(MID(N81,O81,P81-O81),[6]skilldef!$A:$B,2,FALSE),"-")</f>
        <v>味方全体に / -</v>
      </c>
      <c r="T81" s="48" t="str">
        <f t="shared" ref="T81:T85" si="192">IFERROR(RIGHT(M81,LEN(M81)-FIND("],",M81)-1),"none")</f>
        <v>none</v>
      </c>
      <c r="U81" s="63" t="e">
        <f t="shared" ref="U81:U85" si="193">FIND("effect:",T81)+7</f>
        <v>#VALUE!</v>
      </c>
      <c r="V81" s="63">
        <f t="shared" ref="V81:V85" si="194">IFERROR(FIND(",",T81),LEN(T81))</f>
        <v>4</v>
      </c>
      <c r="W81" s="63" t="e">
        <f t="shared" ref="W81:W85" si="195">FIND("target:",T81)+7</f>
        <v>#VALUE!</v>
      </c>
      <c r="X81" s="63" t="e">
        <f t="shared" ref="X81:X85" si="196">FIND(",",T81,V81+1)</f>
        <v>#VALUE!</v>
      </c>
      <c r="Y81" s="63" t="str">
        <f>IFERROR(VLOOKUP(MID(T81,W81,X81-W81),[6]skilldef!$C:$D,2,FALSE),"-") &amp; " / " &amp; IFERROR(VLOOKUP(MID(T81,U81,V81-U81),[6]skilldef!$A:$B,2,FALSE),"-")</f>
        <v>- / -</v>
      </c>
      <c r="Z81" s="50"/>
      <c r="AA81" s="51"/>
      <c r="AB81" s="50"/>
    </row>
    <row r="82" spans="1:28" ht="98" x14ac:dyDescent="0.15">
      <c r="A82" s="136">
        <v>49015081</v>
      </c>
      <c r="B82" s="47" t="s">
        <v>525</v>
      </c>
      <c r="C82" s="50">
        <v>3</v>
      </c>
      <c r="D82" s="50" t="s">
        <v>127</v>
      </c>
      <c r="E82" s="119" t="s">
        <v>336</v>
      </c>
      <c r="F82" s="119" t="s">
        <v>391</v>
      </c>
      <c r="G82" s="63" t="str">
        <f t="shared" si="182"/>
        <v>[effect:enemy_message, val1:1.2, val2:2.3]</v>
      </c>
      <c r="H82" s="63">
        <f t="shared" si="183"/>
        <v>9</v>
      </c>
      <c r="I82" s="63">
        <f t="shared" si="184"/>
        <v>22</v>
      </c>
      <c r="J82" s="63" t="e">
        <f t="shared" si="185"/>
        <v>#VALUE!</v>
      </c>
      <c r="K82" s="63">
        <f t="shared" si="186"/>
        <v>32</v>
      </c>
      <c r="L82" s="63" t="str">
        <f>IFERROR(VLOOKUP(MID(G82,J82,K82-J82),[6]skilldef!$C:$D,2,FALSE),"-") &amp; " / " &amp; IFERROR(VLOOKUP(MID(G82,H82,I82-H82),[6]skilldef!$A:$B,2,FALSE),"-")</f>
        <v>- / -</v>
      </c>
      <c r="M82" s="63" t="str">
        <f t="shared" si="187"/>
        <v>[effect:rush, count:1, val:1],[effect:force_change_block, new_block:jammer, target:block_all, ignore01:block_positive, ignore02:jammer, count:3, val:0, animation:change_block]</v>
      </c>
      <c r="N82" s="48" t="str">
        <f>IFERROR(LEFT(M82,FIND("],",M82)+S90),M82)</f>
        <v>[effect:rush, count:1, val:1],[effect:force_change_block, new_block:jammer, target:block_all, ignore01:block_positive, ignore02:jammer, count:3, val:0, animation:change_block]</v>
      </c>
      <c r="O82" s="63">
        <f t="shared" si="188"/>
        <v>9</v>
      </c>
      <c r="P82" s="63">
        <f t="shared" si="189"/>
        <v>13</v>
      </c>
      <c r="Q82" s="63">
        <f t="shared" si="190"/>
        <v>84</v>
      </c>
      <c r="R82" s="63">
        <f t="shared" si="191"/>
        <v>22</v>
      </c>
      <c r="S82" s="63" t="str">
        <f>IFERROR(VLOOKUP(MID(N82,Q82,R82-Q82),[6]skilldef!$C:$D,2,FALSE),"-") &amp; " / " &amp; IFERROR(VLOOKUP(MID(N82,O82,P82-O82),[6]skilldef!$A:$B,2,FALSE),"-")</f>
        <v>- / 連続攻撃</v>
      </c>
      <c r="T82" s="48" t="str">
        <f t="shared" si="192"/>
        <v>[effect:force_change_block, new_block:jammer, target:block_all, ignore01:block_positive, ignore02:jammer, count:3, val:0, animation:change_block]</v>
      </c>
      <c r="U82" s="63">
        <f t="shared" si="193"/>
        <v>9</v>
      </c>
      <c r="V82" s="63">
        <f t="shared" si="194"/>
        <v>27</v>
      </c>
      <c r="W82" s="63">
        <f t="shared" si="195"/>
        <v>54</v>
      </c>
      <c r="X82" s="63">
        <f t="shared" si="196"/>
        <v>45</v>
      </c>
      <c r="Y82" s="63" t="str">
        <f>IFERROR(VLOOKUP(MID(T82,W82,X82-W82),[6]skilldef!$C:$D,2,FALSE),"-") &amp; " / " &amp; IFERROR(VLOOKUP(MID(T82,U82,V82-U82),[6]skilldef!$A:$B,2,FALSE),"-")</f>
        <v>- / -</v>
      </c>
      <c r="Z82" s="50"/>
      <c r="AA82" s="51"/>
      <c r="AB82" s="50"/>
    </row>
    <row r="83" spans="1:28" ht="141" thickBot="1" x14ac:dyDescent="0.2">
      <c r="A83" s="137">
        <v>49015082</v>
      </c>
      <c r="B83" s="111" t="s">
        <v>526</v>
      </c>
      <c r="C83" s="50">
        <v>3</v>
      </c>
      <c r="D83" s="112" t="s">
        <v>127</v>
      </c>
      <c r="E83" s="117" t="s">
        <v>337</v>
      </c>
      <c r="F83" s="128" t="s">
        <v>441</v>
      </c>
      <c r="G83" s="113" t="str">
        <f t="shared" si="182"/>
        <v>[effect:enemy_message, val1:1.2, val2:2.0]</v>
      </c>
      <c r="H83" s="113">
        <f t="shared" si="183"/>
        <v>9</v>
      </c>
      <c r="I83" s="113">
        <f t="shared" si="184"/>
        <v>22</v>
      </c>
      <c r="J83" s="113" t="e">
        <f t="shared" si="185"/>
        <v>#VALUE!</v>
      </c>
      <c r="K83" s="113">
        <f t="shared" si="186"/>
        <v>32</v>
      </c>
      <c r="L83" s="113" t="str">
        <f>IFERROR(VLOOKUP(MID(G83,J83,K83-J83),[6]skilldef!$C:$D,2,FALSE),"-") &amp; " / " &amp; IFERROR(VLOOKUP(MID(G83,H83,I83-H83),[6]skilldef!$A:$B,2,FALSE),"-")</f>
        <v>- / -</v>
      </c>
      <c r="M83" s="113" t="str">
        <f t="shared" si="187"/>
        <v>[effect:rush, count:1, val:1],[effect:change_range_block, block_change:1, base_type:0, square_count:5, position01:10,  value_h01:1, value_w01:5, new_block:jammer, target:block_all, ignore01:block_positive, ignore02:jammer, count:0, val:0, animation:change_range_block]</v>
      </c>
      <c r="N83" s="114" t="str">
        <f>IFERROR(LEFT(M83,FIND("],",M83)+S91),M83)</f>
        <v>[effect:rush, count:1, val:1],[effect:change_range_block, block_change:1, base_type:0, square_count:5, position01:10,  value_h01:1, value_w01:5, new_block:jammer, target:block_all, ignore01:block_positive, ignore02:jammer, count:0, val:0, animation:change_range_block]</v>
      </c>
      <c r="O83" s="113">
        <f t="shared" si="188"/>
        <v>9</v>
      </c>
      <c r="P83" s="113">
        <f t="shared" si="189"/>
        <v>13</v>
      </c>
      <c r="Q83" s="113">
        <f t="shared" si="190"/>
        <v>171</v>
      </c>
      <c r="R83" s="113">
        <f t="shared" si="191"/>
        <v>22</v>
      </c>
      <c r="S83" s="113" t="str">
        <f>IFERROR(VLOOKUP(MID(N83,Q83,R83-Q83),[6]skilldef!$C:$D,2,FALSE),"-") &amp; " / " &amp; IFERROR(VLOOKUP(MID(N83,O83,P83-O83),[6]skilldef!$A:$B,2,FALSE),"-")</f>
        <v>- / 連続攻撃</v>
      </c>
      <c r="T83" s="114" t="str">
        <f t="shared" si="192"/>
        <v>[effect:change_range_block, block_change:1, base_type:0, square_count:5, position01:10,  value_h01:1, value_w01:5, new_block:jammer, target:block_all, ignore01:block_positive, ignore02:jammer, count:0, val:0, animation:change_range_block]</v>
      </c>
      <c r="U83" s="113">
        <f t="shared" si="193"/>
        <v>9</v>
      </c>
      <c r="V83" s="113">
        <f t="shared" si="194"/>
        <v>27</v>
      </c>
      <c r="W83" s="113">
        <f t="shared" si="195"/>
        <v>141</v>
      </c>
      <c r="X83" s="113">
        <f t="shared" si="196"/>
        <v>43</v>
      </c>
      <c r="Y83" s="113" t="str">
        <f>IFERROR(VLOOKUP(MID(T83,W83,X83-W83),[6]skilldef!$C:$D,2,FALSE),"-") &amp; " / " &amp; IFERROR(VLOOKUP(MID(T83,U83,V83-U83),[6]skilldef!$A:$B,2,FALSE),"-")</f>
        <v>- / -</v>
      </c>
      <c r="Z83" s="112"/>
      <c r="AA83" s="115"/>
      <c r="AB83" s="112"/>
    </row>
    <row r="84" spans="1:28" ht="21" customHeight="1" x14ac:dyDescent="0.15">
      <c r="A84" s="154">
        <v>49015083</v>
      </c>
      <c r="B84" s="106" t="s">
        <v>390</v>
      </c>
      <c r="C84" s="50">
        <v>3</v>
      </c>
      <c r="D84" s="107" t="s">
        <v>127</v>
      </c>
      <c r="E84" s="120" t="s">
        <v>338</v>
      </c>
      <c r="F84" s="120" t="s">
        <v>340</v>
      </c>
      <c r="G84" s="108" t="str">
        <f t="shared" si="182"/>
        <v>[effect:enemy_message, val1:1.2, val2:1.2]</v>
      </c>
      <c r="H84" s="108">
        <f t="shared" si="183"/>
        <v>9</v>
      </c>
      <c r="I84" s="108">
        <f t="shared" si="184"/>
        <v>22</v>
      </c>
      <c r="J84" s="108" t="e">
        <f t="shared" si="185"/>
        <v>#VALUE!</v>
      </c>
      <c r="K84" s="108">
        <f t="shared" si="186"/>
        <v>32</v>
      </c>
      <c r="L84" s="108" t="str">
        <f>IFERROR(VLOOKUP(MID(G84,J84,K84-J84),[6]skilldef!$C:$D,2,FALSE),"-") &amp; " / " &amp; IFERROR(VLOOKUP(MID(G84,H84,I84-H84),[6]skilldef!$A:$B,2,FALSE),"-")</f>
        <v>- / -</v>
      </c>
      <c r="M84" s="108" t="str">
        <f t="shared" si="187"/>
        <v>[effect:fix_speed, target:myself, turn:2],[effect:tolerance, target:myself, turn:-1, count:-1, tolerance_effect:all, animation:enemy_tolerance]</v>
      </c>
      <c r="N84" s="109" t="str">
        <f>IFERROR(LEFT(M84,FIND("],",M84)+#REF!),M84)</f>
        <v>[effect:fix_speed, target:myself, turn:2],[effect:tolerance, target:myself, turn:-1, count:-1, tolerance_effect:all, animation:enemy_tolerance]</v>
      </c>
      <c r="O84" s="108">
        <f t="shared" si="188"/>
        <v>9</v>
      </c>
      <c r="P84" s="108">
        <f t="shared" si="189"/>
        <v>18</v>
      </c>
      <c r="Q84" s="108">
        <f t="shared" si="190"/>
        <v>27</v>
      </c>
      <c r="R84" s="108">
        <f t="shared" si="191"/>
        <v>33</v>
      </c>
      <c r="S84" s="108" t="str">
        <f>IFERROR(VLOOKUP(MID(N84,Q84,R84-Q84),[6]skilldef!$C:$D,2,FALSE),"-") &amp; " / " &amp; IFERROR(VLOOKUP(MID(N84,O84,P84-O84),[6]skilldef!$A:$B,2,FALSE),"-")</f>
        <v>自分自身に / 行動値設定</v>
      </c>
      <c r="T84" s="109" t="str">
        <f t="shared" si="192"/>
        <v>[effect:tolerance, target:myself, turn:-1, count:-1, tolerance_effect:all, animation:enemy_tolerance]</v>
      </c>
      <c r="U84" s="108">
        <f t="shared" si="193"/>
        <v>9</v>
      </c>
      <c r="V84" s="108">
        <f t="shared" si="194"/>
        <v>18</v>
      </c>
      <c r="W84" s="108">
        <f t="shared" si="195"/>
        <v>27</v>
      </c>
      <c r="X84" s="108">
        <f t="shared" si="196"/>
        <v>33</v>
      </c>
      <c r="Y84" s="108" t="str">
        <f>IFERROR(VLOOKUP(MID(T84,W84,X84-W84),[6]skilldef!$C:$D,2,FALSE),"-") &amp; " / " &amp; IFERROR(VLOOKUP(MID(T84,U84,V84-U84),[6]skilldef!$A:$B,2,FALSE),"-")</f>
        <v>自分自身に / 状態異常耐性</v>
      </c>
      <c r="Z84" s="107"/>
      <c r="AA84" s="110"/>
      <c r="AB84" s="107"/>
    </row>
    <row r="85" spans="1:28" ht="21" customHeight="1" x14ac:dyDescent="0.15">
      <c r="A85" s="136">
        <v>49015084</v>
      </c>
      <c r="B85" s="47" t="s">
        <v>553</v>
      </c>
      <c r="C85" s="50">
        <v>3</v>
      </c>
      <c r="D85" s="50" t="s">
        <v>127</v>
      </c>
      <c r="E85" s="105" t="s">
        <v>339</v>
      </c>
      <c r="F85" s="105" t="s">
        <v>298</v>
      </c>
      <c r="G85" s="63" t="str">
        <f t="shared" si="182"/>
        <v>[effect:enemy_message, val1:1.2, val2:1.2]</v>
      </c>
      <c r="H85" s="63">
        <f t="shared" si="183"/>
        <v>9</v>
      </c>
      <c r="I85" s="63">
        <f t="shared" si="184"/>
        <v>22</v>
      </c>
      <c r="J85" s="63" t="e">
        <f t="shared" si="185"/>
        <v>#VALUE!</v>
      </c>
      <c r="K85" s="63">
        <f t="shared" si="186"/>
        <v>32</v>
      </c>
      <c r="L85" s="63" t="str">
        <f>IFERROR(VLOOKUP(MID(G85,J85,K85-J85),[6]skilldef!$C:$D,2,FALSE),"-") &amp; " / " &amp; IFERROR(VLOOKUP(MID(G85,H85,I85-H85),[6]skilldef!$A:$B,2,FALSE),"-")</f>
        <v>- / -</v>
      </c>
      <c r="M85" s="63" t="str">
        <f t="shared" si="187"/>
        <v>[effect:spread, val:0.35]</v>
      </c>
      <c r="N85" s="48" t="str">
        <f>IFERROR(LEFT(M85,FIND("],",M85)+S93),M85)</f>
        <v>[effect:spread, val:0.35]</v>
      </c>
      <c r="O85" s="63">
        <f t="shared" si="188"/>
        <v>9</v>
      </c>
      <c r="P85" s="63">
        <f t="shared" si="189"/>
        <v>15</v>
      </c>
      <c r="Q85" s="63" t="e">
        <f t="shared" si="190"/>
        <v>#VALUE!</v>
      </c>
      <c r="R85" s="63" t="e">
        <f t="shared" si="191"/>
        <v>#VALUE!</v>
      </c>
      <c r="S85" s="63" t="str">
        <f>IFERROR(VLOOKUP(MID(N85,Q85,R85-Q85),[6]skilldef!$C:$D,2,FALSE),"-") &amp; " / " &amp; IFERROR(VLOOKUP(MID(N85,O85,P85-O85),[6]skilldef!$A:$B,2,FALSE),"-")</f>
        <v>- / 全体攻撃</v>
      </c>
      <c r="T85" s="48" t="str">
        <f t="shared" si="192"/>
        <v>none</v>
      </c>
      <c r="U85" s="63" t="e">
        <f t="shared" si="193"/>
        <v>#VALUE!</v>
      </c>
      <c r="V85" s="63">
        <f t="shared" si="194"/>
        <v>4</v>
      </c>
      <c r="W85" s="63" t="e">
        <f t="shared" si="195"/>
        <v>#VALUE!</v>
      </c>
      <c r="X85" s="63" t="e">
        <f t="shared" si="196"/>
        <v>#VALUE!</v>
      </c>
      <c r="Y85" s="63" t="str">
        <f>IFERROR(VLOOKUP(MID(T85,W85,X85-W85),[6]skilldef!$C:$D,2,FALSE),"-") &amp; " / " &amp; IFERROR(VLOOKUP(MID(T85,U85,V85-U85),[6]skilldef!$A:$B,2,FALSE),"-")</f>
        <v>- / -</v>
      </c>
      <c r="Z85" s="50"/>
      <c r="AA85" s="51"/>
      <c r="AB85" s="50"/>
    </row>
    <row r="86" spans="1:28" ht="21" customHeight="1" x14ac:dyDescent="0.15">
      <c r="A86" s="136">
        <v>49015085</v>
      </c>
      <c r="B86" s="47" t="s">
        <v>525</v>
      </c>
      <c r="C86" s="50">
        <v>3</v>
      </c>
      <c r="D86" s="50" t="s">
        <v>127</v>
      </c>
      <c r="E86" s="105" t="s">
        <v>336</v>
      </c>
      <c r="F86" s="119" t="s">
        <v>391</v>
      </c>
      <c r="G86" s="63" t="str">
        <f t="shared" ref="G86:G89" si="197">IFERROR(LEFT(B86,FIND("],",B86)),B86)</f>
        <v>[effect:enemy_message, val1:1.2, val2:2.3]</v>
      </c>
      <c r="H86" s="63">
        <f t="shared" ref="H86:H89" si="198">FIND("effect:",G86)+7</f>
        <v>9</v>
      </c>
      <c r="I86" s="63">
        <f t="shared" ref="I86:I89" si="199">IFERROR(FIND(",",G86),LEN(G86))</f>
        <v>22</v>
      </c>
      <c r="J86" s="63" t="e">
        <f t="shared" ref="J86:J89" si="200">FIND("target:",G86)+7</f>
        <v>#VALUE!</v>
      </c>
      <c r="K86" s="63">
        <f t="shared" ref="K86:K89" si="201">FIND(",",G86,I86+1)</f>
        <v>32</v>
      </c>
      <c r="L86" s="63" t="str">
        <f>IFERROR(VLOOKUP(MID(G86,J86,K86-J86),[6]skilldef!$C:$D,2,FALSE),"-") &amp; " / " &amp; IFERROR(VLOOKUP(MID(G86,H86,I86-H86),[6]skilldef!$A:$B,2,FALSE),"-")</f>
        <v>- / -</v>
      </c>
      <c r="M86" s="63" t="str">
        <f t="shared" ref="M86:M89" si="202">IFERROR(RIGHT(B86,LEN(B86)-FIND("],",B86)-1),"none")</f>
        <v>[effect:rush, count:1, val:1],[effect:force_change_block, new_block:jammer, target:block_all, ignore01:block_positive, ignore02:jammer, count:3, val:0, animation:change_block]</v>
      </c>
      <c r="N86" s="48" t="str">
        <f>IFERROR(LEFT(M86,FIND("],",M86)+S94),M86)</f>
        <v>[effect:rush, count:1, val:1],[effect:force_change_block, new_block:jammer, target:block_all, ignore01:block_positive, ignore02:jammer, count:3, val:0, animation:change_block]</v>
      </c>
      <c r="O86" s="63">
        <f t="shared" ref="O86:O89" si="203">FIND("effect:",N86)+7</f>
        <v>9</v>
      </c>
      <c r="P86" s="63">
        <f t="shared" ref="P86:P89" si="204">IFERROR(FIND(",",N86),LEN(N86))</f>
        <v>13</v>
      </c>
      <c r="Q86" s="63">
        <f t="shared" ref="Q86:Q89" si="205">FIND("target:",N86)+7</f>
        <v>84</v>
      </c>
      <c r="R86" s="63">
        <f t="shared" ref="R86:R89" si="206">FIND(",",N86,P86+1)</f>
        <v>22</v>
      </c>
      <c r="S86" s="63" t="str">
        <f>IFERROR(VLOOKUP(MID(N86,Q86,R86-Q86),[6]skilldef!$C:$D,2,FALSE),"-") &amp; " / " &amp; IFERROR(VLOOKUP(MID(N86,O86,P86-O86),[6]skilldef!$A:$B,2,FALSE),"-")</f>
        <v>- / 連続攻撃</v>
      </c>
      <c r="T86" s="48" t="str">
        <f t="shared" ref="T86:T89" si="207">IFERROR(RIGHT(M86,LEN(M86)-FIND("],",M86)-1),"none")</f>
        <v>[effect:force_change_block, new_block:jammer, target:block_all, ignore01:block_positive, ignore02:jammer, count:3, val:0, animation:change_block]</v>
      </c>
      <c r="U86" s="63">
        <f t="shared" ref="U86:U89" si="208">FIND("effect:",T86)+7</f>
        <v>9</v>
      </c>
      <c r="V86" s="63">
        <f t="shared" ref="V86:V89" si="209">IFERROR(FIND(",",T86),LEN(T86))</f>
        <v>27</v>
      </c>
      <c r="W86" s="63">
        <f t="shared" ref="W86:W89" si="210">FIND("target:",T86)+7</f>
        <v>54</v>
      </c>
      <c r="X86" s="63">
        <f t="shared" ref="X86:X89" si="211">FIND(",",T86,V86+1)</f>
        <v>45</v>
      </c>
      <c r="Y86" s="63" t="str">
        <f>IFERROR(VLOOKUP(MID(T86,W86,X86-W86),[6]skilldef!$C:$D,2,FALSE),"-") &amp; " / " &amp; IFERROR(VLOOKUP(MID(T86,U86,V86-U86),[6]skilldef!$A:$B,2,FALSE),"-")</f>
        <v>- / -</v>
      </c>
      <c r="Z86" s="50"/>
      <c r="AA86" s="51"/>
      <c r="AB86" s="50"/>
    </row>
    <row r="87" spans="1:28" ht="140" x14ac:dyDescent="0.15">
      <c r="A87" s="136">
        <v>49015086</v>
      </c>
      <c r="B87" s="47" t="s">
        <v>527</v>
      </c>
      <c r="C87" s="50">
        <v>3</v>
      </c>
      <c r="D87" s="50" t="s">
        <v>127</v>
      </c>
      <c r="E87" s="119" t="s">
        <v>337</v>
      </c>
      <c r="F87" s="119" t="s">
        <v>441</v>
      </c>
      <c r="G87" s="63" t="str">
        <f t="shared" si="197"/>
        <v>[effect:enemy_message, val1:1.2, val2:2.0]</v>
      </c>
      <c r="H87" s="63">
        <f t="shared" si="198"/>
        <v>9</v>
      </c>
      <c r="I87" s="63">
        <f t="shared" si="199"/>
        <v>22</v>
      </c>
      <c r="J87" s="63" t="e">
        <f t="shared" si="200"/>
        <v>#VALUE!</v>
      </c>
      <c r="K87" s="63">
        <f t="shared" si="201"/>
        <v>32</v>
      </c>
      <c r="L87" s="63" t="str">
        <f>IFERROR(VLOOKUP(MID(G87,J87,K87-J87),[6]skilldef!$C:$D,2,FALSE),"-") &amp; " / " &amp; IFERROR(VLOOKUP(MID(G87,H87,I87-H87),[6]skilldef!$A:$B,2,FALSE),"-")</f>
        <v>- / -</v>
      </c>
      <c r="M87" s="63" t="str">
        <f t="shared" si="202"/>
        <v>[effect:rush, count:1, val:1],[effect:change_range_block, block_change:1, base_type:0, square_count:5, position01:2,  value_h01:5, value_w01:1,  new_block:jammer, target:block_all, ignore01:block_positive, ignore02:jammer, count:0, val:0, animation:change_range_block]</v>
      </c>
      <c r="N87" s="48" t="str">
        <f>IFERROR(LEFT(M87,FIND("],",M87)+S95),M87)</f>
        <v>[effect:rush, count:1, val:1],[effect:change_range_block, block_change:1, base_type:0, square_count:5, position01:2,  value_h01:5, value_w01:1,  new_block:jammer, target:block_all, ignore01:block_positive, ignore02:jammer, count:0, val:0, animation:change_range_block]</v>
      </c>
      <c r="O87" s="63">
        <f t="shared" si="203"/>
        <v>9</v>
      </c>
      <c r="P87" s="63">
        <f t="shared" si="204"/>
        <v>13</v>
      </c>
      <c r="Q87" s="63">
        <f t="shared" si="205"/>
        <v>171</v>
      </c>
      <c r="R87" s="63">
        <f t="shared" si="206"/>
        <v>22</v>
      </c>
      <c r="S87" s="63" t="str">
        <f>IFERROR(VLOOKUP(MID(N87,Q87,R87-Q87),[6]skilldef!$C:$D,2,FALSE),"-") &amp; " / " &amp; IFERROR(VLOOKUP(MID(N87,O87,P87-O87),[6]skilldef!$A:$B,2,FALSE),"-")</f>
        <v>- / 連続攻撃</v>
      </c>
      <c r="T87" s="48" t="str">
        <f t="shared" si="207"/>
        <v>[effect:change_range_block, block_change:1, base_type:0, square_count:5, position01:2,  value_h01:5, value_w01:1,  new_block:jammer, target:block_all, ignore01:block_positive, ignore02:jammer, count:0, val:0, animation:change_range_block]</v>
      </c>
      <c r="U87" s="63">
        <f t="shared" si="208"/>
        <v>9</v>
      </c>
      <c r="V87" s="63">
        <f t="shared" si="209"/>
        <v>27</v>
      </c>
      <c r="W87" s="63">
        <f t="shared" si="210"/>
        <v>141</v>
      </c>
      <c r="X87" s="63">
        <f t="shared" si="211"/>
        <v>43</v>
      </c>
      <c r="Y87" s="63" t="str">
        <f>IFERROR(VLOOKUP(MID(T87,W87,X87-W87),[6]skilldef!$C:$D,2,FALSE),"-") &amp; " / " &amp; IFERROR(VLOOKUP(MID(T87,U87,V87-U87),[6]skilldef!$A:$B,2,FALSE),"-")</f>
        <v>- / -</v>
      </c>
      <c r="Z87" s="50"/>
      <c r="AA87" s="51"/>
      <c r="AB87" s="50"/>
    </row>
    <row r="88" spans="1:28" ht="57" thickBot="1" x14ac:dyDescent="0.2">
      <c r="A88" s="155">
        <v>49015087</v>
      </c>
      <c r="B88" s="111" t="s">
        <v>496</v>
      </c>
      <c r="C88" s="50">
        <v>3</v>
      </c>
      <c r="D88" s="112" t="s">
        <v>127</v>
      </c>
      <c r="E88" s="117" t="s">
        <v>335</v>
      </c>
      <c r="F88" s="117" t="s">
        <v>497</v>
      </c>
      <c r="G88" s="113" t="str">
        <f t="shared" si="197"/>
        <v>[effect:enemy_message, val1:1.2, val2:1.5]</v>
      </c>
      <c r="H88" s="113">
        <f t="shared" si="198"/>
        <v>9</v>
      </c>
      <c r="I88" s="113">
        <f t="shared" si="199"/>
        <v>22</v>
      </c>
      <c r="J88" s="113" t="e">
        <f t="shared" si="200"/>
        <v>#VALUE!</v>
      </c>
      <c r="K88" s="113">
        <f t="shared" si="201"/>
        <v>32</v>
      </c>
      <c r="L88" s="113" t="str">
        <f>IFERROR(VLOOKUP(MID(G88,J88,K88-J88),[6]skilldef!$C:$D,2,FALSE),"-") &amp; " / " &amp; IFERROR(VLOOKUP(MID(G88,H88,I88-H88),[6]skilldef!$A:$B,2,FALSE),"-")</f>
        <v>- / -</v>
      </c>
      <c r="M88" s="113" t="str">
        <f t="shared" si="202"/>
        <v>[effect:break_attack, target:unit_all, val:0.02, lowest_val:1200, count:-1, color:blue, block01:jammer]</v>
      </c>
      <c r="N88" s="114" t="str">
        <f>IFERROR(LEFT(M88,FIND("],",M88)+S96),M88)</f>
        <v>[effect:break_attack, target:unit_all, val:0.02, lowest_val:1200, count:-1, color:blue, block01:jammer]</v>
      </c>
      <c r="O88" s="113">
        <f t="shared" si="203"/>
        <v>9</v>
      </c>
      <c r="P88" s="113">
        <f t="shared" si="204"/>
        <v>21</v>
      </c>
      <c r="Q88" s="113">
        <f t="shared" si="205"/>
        <v>30</v>
      </c>
      <c r="R88" s="113">
        <f t="shared" si="206"/>
        <v>38</v>
      </c>
      <c r="S88" s="113" t="str">
        <f>IFERROR(VLOOKUP(MID(N88,Q88,R88-Q88),[6]skilldef!$C:$D,2,FALSE),"-") &amp; " / " &amp; IFERROR(VLOOKUP(MID(N88,O88,P88-O88),[6]skilldef!$A:$B,2,FALSE),"-")</f>
        <v>味方全体に / -</v>
      </c>
      <c r="T88" s="114" t="str">
        <f t="shared" si="207"/>
        <v>none</v>
      </c>
      <c r="U88" s="113" t="e">
        <f t="shared" si="208"/>
        <v>#VALUE!</v>
      </c>
      <c r="V88" s="113">
        <f t="shared" si="209"/>
        <v>4</v>
      </c>
      <c r="W88" s="113" t="e">
        <f t="shared" si="210"/>
        <v>#VALUE!</v>
      </c>
      <c r="X88" s="113" t="e">
        <f t="shared" si="211"/>
        <v>#VALUE!</v>
      </c>
      <c r="Y88" s="113" t="str">
        <f>IFERROR(VLOOKUP(MID(T88,W88,X88-W88),[6]skilldef!$C:$D,2,FALSE),"-") &amp; " / " &amp; IFERROR(VLOOKUP(MID(T88,U88,V88-U88),[6]skilldef!$A:$B,2,FALSE),"-")</f>
        <v>- / -</v>
      </c>
      <c r="Z88" s="112"/>
      <c r="AA88" s="115"/>
      <c r="AB88" s="112"/>
    </row>
    <row r="89" spans="1:28" ht="21" customHeight="1" x14ac:dyDescent="0.15">
      <c r="A89" s="154">
        <v>49015088</v>
      </c>
      <c r="B89" s="106" t="s">
        <v>537</v>
      </c>
      <c r="C89" s="50">
        <v>3</v>
      </c>
      <c r="D89" s="107" t="s">
        <v>127</v>
      </c>
      <c r="E89" s="192" t="s">
        <v>427</v>
      </c>
      <c r="F89" s="192" t="s">
        <v>358</v>
      </c>
      <c r="G89" s="108" t="str">
        <f t="shared" si="197"/>
        <v>[effect:enemy_message, val1:1.2, val2:1.2]</v>
      </c>
      <c r="H89" s="108">
        <f t="shared" si="198"/>
        <v>9</v>
      </c>
      <c r="I89" s="108">
        <f t="shared" si="199"/>
        <v>22</v>
      </c>
      <c r="J89" s="108" t="e">
        <f t="shared" si="200"/>
        <v>#VALUE!</v>
      </c>
      <c r="K89" s="108">
        <f t="shared" si="201"/>
        <v>32</v>
      </c>
      <c r="L89" s="108" t="str">
        <f>IFERROR(VLOOKUP(MID(G89,J89,K89-J89),[6]skilldef!$C:$D,2,FALSE),"-") &amp; " / " &amp; IFERROR(VLOOKUP(MID(G89,H89,I89-H89),[6]skilldef!$A:$B,2,FALSE),"-")</f>
        <v>- / -</v>
      </c>
      <c r="M89" s="108" t="str">
        <f t="shared" si="202"/>
        <v>[effect:fix_speed, target:myself, turn:1],[effect:tolerance, target:myself, turn:-1, count:-1, tolerance_effect:all, animation:enemy_tolerance],[effect:change_range_block, block_change:1, base_type:0, square_count:7, position01:1, position02:3, position03:5, value_h01:7.0, value_h02:7.0, value_h03:7.0, value_w01:1.0, value_w02:1.0, value_w03:1.0, new_block:jammer, target:block_all, ignore01:block_positive, ignore02:jammer, count:0, val:0, animation:change_range_block]</v>
      </c>
      <c r="N89" s="109" t="str">
        <f>IFERROR(LEFT(M89,FIND("],",M89)+S98),M89)</f>
        <v>[effect:fix_speed, target:myself, turn:1],[effect:tolerance, target:myself, turn:-1, count:-1, tolerance_effect:all, animation:enemy_tolerance],[effect:change_range_block, block_change:1, base_type:0, square_count:7, position01:1, position02:3, position03:5, value_h01:7.0, value_h02:7.0, value_h03:7.0, value_w01:1.0, value_w02:1.0, value_w03:1.0, new_block:jammer, target:block_all, ignore01:block_positive, ignore02:jammer, count:0, val:0, animation:change_range_block]</v>
      </c>
      <c r="O89" s="108">
        <f t="shared" si="203"/>
        <v>9</v>
      </c>
      <c r="P89" s="108">
        <f t="shared" si="204"/>
        <v>18</v>
      </c>
      <c r="Q89" s="108">
        <f t="shared" si="205"/>
        <v>27</v>
      </c>
      <c r="R89" s="108">
        <f t="shared" si="206"/>
        <v>33</v>
      </c>
      <c r="S89" s="108" t="str">
        <f>IFERROR(VLOOKUP(MID(N89,Q89,R89-Q89),[6]skilldef!$C:$D,2,FALSE),"-") &amp; " / " &amp; IFERROR(VLOOKUP(MID(N89,O89,P89-O89),[6]skilldef!$A:$B,2,FALSE),"-")</f>
        <v>自分自身に / 行動値設定</v>
      </c>
      <c r="T89" s="109" t="str">
        <f t="shared" si="207"/>
        <v>[effect:tolerance, target:myself, turn:-1, count:-1, tolerance_effect:all, animation:enemy_tolerance],[effect:change_range_block, block_change:1, base_type:0, square_count:7, position01:1, position02:3, position03:5, value_h01:7.0, value_h02:7.0, value_h03:7.0, value_w01:1.0, value_w02:1.0, value_w03:1.0, new_block:jammer, target:block_all, ignore01:block_positive, ignore02:jammer, count:0, val:0, animation:change_range_block]</v>
      </c>
      <c r="U89" s="108">
        <f t="shared" si="208"/>
        <v>9</v>
      </c>
      <c r="V89" s="108">
        <f t="shared" si="209"/>
        <v>18</v>
      </c>
      <c r="W89" s="108">
        <f t="shared" si="210"/>
        <v>27</v>
      </c>
      <c r="X89" s="108">
        <f t="shared" si="211"/>
        <v>33</v>
      </c>
      <c r="Y89" s="108" t="str">
        <f>IFERROR(VLOOKUP(MID(T89,W89,X89-W89),[6]skilldef!$C:$D,2,FALSE),"-") &amp; " / " &amp; IFERROR(VLOOKUP(MID(T89,U89,V89-U89),[6]skilldef!$A:$B,2,FALSE),"-")</f>
        <v>自分自身に / 状態異常耐性</v>
      </c>
      <c r="Z89" s="107"/>
      <c r="AA89" s="110"/>
      <c r="AB89" s="107"/>
    </row>
    <row r="90" spans="1:28" ht="21" customHeight="1" x14ac:dyDescent="0.15">
      <c r="A90" s="136">
        <v>49015089</v>
      </c>
      <c r="B90" s="47" t="s">
        <v>554</v>
      </c>
      <c r="C90" s="50">
        <v>3</v>
      </c>
      <c r="D90" s="50" t="s">
        <v>127</v>
      </c>
      <c r="E90" s="105" t="s">
        <v>337</v>
      </c>
      <c r="F90" s="119" t="s">
        <v>442</v>
      </c>
      <c r="G90" s="63" t="str">
        <f t="shared" ref="G90:G153" si="212">IFERROR(LEFT(B90,FIND("],",B90)),B90)</f>
        <v>[effect:enemy_message, val1:1.2, val2:2.0]</v>
      </c>
      <c r="H90" s="63">
        <f t="shared" ref="H90:H153" si="213">FIND("effect:",G90)+7</f>
        <v>9</v>
      </c>
      <c r="I90" s="63">
        <f t="shared" ref="I90:I153" si="214">IFERROR(FIND(",",G90),LEN(G90))</f>
        <v>22</v>
      </c>
      <c r="J90" s="63" t="e">
        <f t="shared" ref="J90:J153" si="215">FIND("target:",G90)+7</f>
        <v>#VALUE!</v>
      </c>
      <c r="K90" s="63">
        <f t="shared" ref="K90:K153" si="216">FIND(",",G90,I90+1)</f>
        <v>32</v>
      </c>
      <c r="L90" s="63" t="str">
        <f>IFERROR(VLOOKUP(MID(G90,J90,K90-J90),[6]skilldef!$C:$D,2,FALSE),"-") &amp; " / " &amp; IFERROR(VLOOKUP(MID(G90,H90,I90-H90),[6]skilldef!$A:$B,2,FALSE),"-")</f>
        <v>- / -</v>
      </c>
      <c r="M90" s="63" t="str">
        <f t="shared" ref="M90:M153" si="217">IFERROR(RIGHT(B90,LEN(B90)-FIND("],",B90)-1),"none")</f>
        <v>[effect:spread, val:0.3],[effect:change_range_block, block_change:1, base_type:1, square_count:5, position01:12, value_rad01:3.0, value_h01:1.0, value_w01:1.0, new_block:jammer, target:block_all, ignore01:block_positive, ignore02:jammer, count:0, val:0, animation:change_range_block]</v>
      </c>
      <c r="N90" s="48" t="str">
        <f>IFERROR(LEFT(M90,FIND("],",M90)+S99),M90)</f>
        <v>[effect:spread, val:0.3],[effect:change_range_block, block_change:1, base_type:1, square_count:5, position01:12, value_rad01:3.0, value_h01:1.0, value_w01:1.0, new_block:jammer, target:block_all, ignore01:block_positive, ignore02:jammer, count:0, val:0, animation:change_range_block]</v>
      </c>
      <c r="O90" s="63">
        <f t="shared" ref="O90:O153" si="218">FIND("effect:",N90)+7</f>
        <v>9</v>
      </c>
      <c r="P90" s="63">
        <f t="shared" ref="P90:P153" si="219">IFERROR(FIND(",",N90),LEN(N90))</f>
        <v>15</v>
      </c>
      <c r="Q90" s="63">
        <f t="shared" ref="Q90:Q153" si="220">FIND("target:",N90)+7</f>
        <v>186</v>
      </c>
      <c r="R90" s="63">
        <f t="shared" ref="R90:R153" si="221">FIND(",",N90,P90+1)</f>
        <v>25</v>
      </c>
      <c r="S90" s="63" t="str">
        <f>IFERROR(VLOOKUP(MID(N90,Q90,R90-Q90),[6]skilldef!$C:$D,2,FALSE),"-") &amp; " / " &amp; IFERROR(VLOOKUP(MID(N90,O90,P90-O90),[6]skilldef!$A:$B,2,FALSE),"-")</f>
        <v>- / 全体攻撃</v>
      </c>
      <c r="T90" s="48" t="str">
        <f t="shared" ref="T90:T153" si="222">IFERROR(RIGHT(M90,LEN(M90)-FIND("],",M90)-1),"none")</f>
        <v>[effect:change_range_block, block_change:1, base_type:1, square_count:5, position01:12, value_rad01:3.0, value_h01:1.0, value_w01:1.0, new_block:jammer, target:block_all, ignore01:block_positive, ignore02:jammer, count:0, val:0, animation:change_range_block]</v>
      </c>
      <c r="U90" s="63">
        <f t="shared" ref="U90:U153" si="223">FIND("effect:",T90)+7</f>
        <v>9</v>
      </c>
      <c r="V90" s="63">
        <f t="shared" ref="V90:V153" si="224">IFERROR(FIND(",",T90),LEN(T90))</f>
        <v>27</v>
      </c>
      <c r="W90" s="63">
        <f t="shared" ref="W90:W153" si="225">FIND("target:",T90)+7</f>
        <v>161</v>
      </c>
      <c r="X90" s="63">
        <f t="shared" ref="X90:X153" si="226">FIND(",",T90,V90+1)</f>
        <v>43</v>
      </c>
      <c r="Y90" s="63" t="str">
        <f>IFERROR(VLOOKUP(MID(T90,W90,X90-W90),[6]skilldef!$C:$D,2,FALSE),"-") &amp; " / " &amp; IFERROR(VLOOKUP(MID(T90,U90,V90-U90),[6]skilldef!$A:$B,2,FALSE),"-")</f>
        <v>- / -</v>
      </c>
      <c r="Z90" s="50"/>
      <c r="AA90" s="51"/>
      <c r="AB90" s="50"/>
    </row>
    <row r="91" spans="1:28" ht="56" x14ac:dyDescent="0.15">
      <c r="A91" s="136">
        <v>49015090</v>
      </c>
      <c r="B91" s="47" t="s">
        <v>498</v>
      </c>
      <c r="C91" s="50">
        <v>3</v>
      </c>
      <c r="D91" s="50" t="s">
        <v>127</v>
      </c>
      <c r="E91" s="105" t="s">
        <v>335</v>
      </c>
      <c r="F91" s="105" t="s">
        <v>497</v>
      </c>
      <c r="G91" s="63" t="str">
        <f t="shared" si="212"/>
        <v>[effect:enemy_message, val1:1.2, val2:1.5]</v>
      </c>
      <c r="H91" s="63">
        <f t="shared" si="213"/>
        <v>9</v>
      </c>
      <c r="I91" s="63">
        <f t="shared" si="214"/>
        <v>22</v>
      </c>
      <c r="J91" s="63" t="e">
        <f t="shared" si="215"/>
        <v>#VALUE!</v>
      </c>
      <c r="K91" s="63">
        <f t="shared" si="216"/>
        <v>32</v>
      </c>
      <c r="L91" s="63" t="str">
        <f>IFERROR(VLOOKUP(MID(G91,J91,K91-J91),[6]skilldef!$C:$D,2,FALSE),"-") &amp; " / " &amp; IFERROR(VLOOKUP(MID(G91,H91,I91-H91),[6]skilldef!$A:$B,2,FALSE),"-")</f>
        <v>- / -</v>
      </c>
      <c r="M91" s="63" t="str">
        <f t="shared" si="217"/>
        <v>[effect:break_attack, target:unit_all, val:0.02, lowest_val:1500, count:-1, color:blue, block01:jammer]</v>
      </c>
      <c r="N91" s="48" t="str">
        <f>IFERROR(LEFT(M91,FIND("],",M91)+S100),M91)</f>
        <v>[effect:break_attack, target:unit_all, val:0.02, lowest_val:1500, count:-1, color:blue, block01:jammer]</v>
      </c>
      <c r="O91" s="63">
        <f t="shared" si="218"/>
        <v>9</v>
      </c>
      <c r="P91" s="63">
        <f t="shared" si="219"/>
        <v>21</v>
      </c>
      <c r="Q91" s="63">
        <f t="shared" si="220"/>
        <v>30</v>
      </c>
      <c r="R91" s="63">
        <f t="shared" si="221"/>
        <v>38</v>
      </c>
      <c r="S91" s="63" t="str">
        <f>IFERROR(VLOOKUP(MID(N91,Q91,R91-Q91),[6]skilldef!$C:$D,2,FALSE),"-") &amp; " / " &amp; IFERROR(VLOOKUP(MID(N91,O91,P91-O91),[6]skilldef!$A:$B,2,FALSE),"-")</f>
        <v>味方全体に / -</v>
      </c>
      <c r="T91" s="48" t="str">
        <f t="shared" si="222"/>
        <v>none</v>
      </c>
      <c r="U91" s="63" t="e">
        <f t="shared" si="223"/>
        <v>#VALUE!</v>
      </c>
      <c r="V91" s="63">
        <f t="shared" si="224"/>
        <v>4</v>
      </c>
      <c r="W91" s="63" t="e">
        <f t="shared" si="225"/>
        <v>#VALUE!</v>
      </c>
      <c r="X91" s="63" t="e">
        <f t="shared" si="226"/>
        <v>#VALUE!</v>
      </c>
      <c r="Y91" s="63" t="str">
        <f>IFERROR(VLOOKUP(MID(T91,W91,X91-W91),[6]skilldef!$C:$D,2,FALSE),"-") &amp; " / " &amp; IFERROR(VLOOKUP(MID(T91,U91,V91-U91),[6]skilldef!$A:$B,2,FALSE),"-")</f>
        <v>- / -</v>
      </c>
      <c r="Z91" s="50"/>
      <c r="AA91" s="51"/>
      <c r="AB91" s="50"/>
    </row>
    <row r="92" spans="1:28" ht="112" x14ac:dyDescent="0.15">
      <c r="A92" s="136">
        <v>49015091</v>
      </c>
      <c r="B92" s="106" t="s">
        <v>603</v>
      </c>
      <c r="C92" s="50">
        <v>3</v>
      </c>
      <c r="D92" s="50" t="s">
        <v>127</v>
      </c>
      <c r="E92" s="105" t="s">
        <v>341</v>
      </c>
      <c r="F92" s="119" t="s">
        <v>602</v>
      </c>
      <c r="G92" s="63" t="str">
        <f t="shared" si="212"/>
        <v>[effect:enemy_message, val1:1.2, val2:3.2]</v>
      </c>
      <c r="H92" s="63">
        <f t="shared" si="213"/>
        <v>9</v>
      </c>
      <c r="I92" s="63">
        <f t="shared" si="214"/>
        <v>22</v>
      </c>
      <c r="J92" s="63" t="e">
        <f t="shared" si="215"/>
        <v>#VALUE!</v>
      </c>
      <c r="K92" s="63">
        <f t="shared" si="216"/>
        <v>32</v>
      </c>
      <c r="L92" s="63" t="str">
        <f>IFERROR(VLOOKUP(MID(G92,J92,K92-J92),[6]skilldef!$C:$D,2,FALSE),"-") &amp; " / " &amp; IFERROR(VLOOKUP(MID(G92,H92,I92-H92),[6]skilldef!$A:$B,2,FALSE),"-")</f>
        <v>- / -</v>
      </c>
      <c r="M92" s="63" t="str">
        <f t="shared" si="217"/>
        <v>[effect:damage_gravity, val:0.5, animation:fevergauge_down],[effect:force_change_block, new_block:jammer, target:block_all, ignore01:block_positive, ignore02:jammer, count:5, val:0, animation:change_block]</v>
      </c>
      <c r="N92" s="48" t="str">
        <f>IFERROR(LEFT(M92,FIND("],",M92)+S101),M92)</f>
        <v>[effect:damage_gravity, val:0.5, animation:fevergauge_down],[effect:force_change_block, new_block:jammer, target:block_all, ignore01:block_positive, ignore02:jammer, count:5, val:0, animation:change_block]</v>
      </c>
      <c r="O92" s="63">
        <f t="shared" si="218"/>
        <v>9</v>
      </c>
      <c r="P92" s="63">
        <f t="shared" si="219"/>
        <v>23</v>
      </c>
      <c r="Q92" s="63">
        <f t="shared" si="220"/>
        <v>114</v>
      </c>
      <c r="R92" s="63">
        <f t="shared" si="221"/>
        <v>32</v>
      </c>
      <c r="S92" s="63" t="str">
        <f>IFERROR(VLOOKUP(MID(N92,Q92,R92-Q92),[6]skilldef!$C:$D,2,FALSE),"-") &amp; " / " &amp; IFERROR(VLOOKUP(MID(N92,O92,P92-O92),[6]skilldef!$A:$B,2,FALSE),"-")</f>
        <v>- / 割合ダメージ</v>
      </c>
      <c r="T92" s="48" t="str">
        <f t="shared" si="222"/>
        <v>[effect:force_change_block, new_block:jammer, target:block_all, ignore01:block_positive, ignore02:jammer, count:5, val:0, animation:change_block]</v>
      </c>
      <c r="U92" s="63">
        <f t="shared" si="223"/>
        <v>9</v>
      </c>
      <c r="V92" s="63">
        <f t="shared" si="224"/>
        <v>27</v>
      </c>
      <c r="W92" s="63">
        <f t="shared" si="225"/>
        <v>54</v>
      </c>
      <c r="X92" s="63">
        <f t="shared" si="226"/>
        <v>45</v>
      </c>
      <c r="Y92" s="63" t="str">
        <f>IFERROR(VLOOKUP(MID(T92,W92,X92-W92),[6]skilldef!$C:$D,2,FALSE),"-") &amp; " / " &amp; IFERROR(VLOOKUP(MID(T92,U92,V92-U92),[6]skilldef!$A:$B,2,FALSE),"-")</f>
        <v>- / -</v>
      </c>
      <c r="Z92" s="50"/>
      <c r="AA92" s="51"/>
      <c r="AB92" s="50"/>
    </row>
    <row r="93" spans="1:28" ht="14" x14ac:dyDescent="0.15">
      <c r="A93" s="136">
        <v>49015092</v>
      </c>
      <c r="B93" s="106" t="s">
        <v>392</v>
      </c>
      <c r="C93" s="50">
        <v>3</v>
      </c>
      <c r="D93" s="50" t="s">
        <v>127</v>
      </c>
      <c r="E93" s="119" t="s">
        <v>342</v>
      </c>
      <c r="F93" s="105" t="s">
        <v>343</v>
      </c>
      <c r="G93" s="63" t="str">
        <f t="shared" si="212"/>
        <v>[effect:enemy_message, val1:1.7, val2:1.7, dead_type:escape]</v>
      </c>
      <c r="H93" s="63">
        <f t="shared" si="213"/>
        <v>9</v>
      </c>
      <c r="I93" s="63">
        <f t="shared" si="214"/>
        <v>22</v>
      </c>
      <c r="J93" s="63" t="e">
        <f t="shared" si="215"/>
        <v>#VALUE!</v>
      </c>
      <c r="K93" s="63">
        <f t="shared" si="216"/>
        <v>32</v>
      </c>
      <c r="L93" s="63" t="str">
        <f>IFERROR(VLOOKUP(MID(G93,J93,K93-J93),[6]skilldef!$C:$D,2,FALSE),"-") &amp; " / " &amp; IFERROR(VLOOKUP(MID(G93,H93,I93-H93),[6]skilldef!$A:$B,2,FALSE),"-")</f>
        <v>- / -</v>
      </c>
      <c r="M93" s="63" t="str">
        <f t="shared" si="217"/>
        <v>none</v>
      </c>
      <c r="N93" s="48" t="str">
        <f t="shared" ref="N93:N128" si="227">IFERROR(LEFT(M93,FIND("],",M93)+S103),M93)</f>
        <v>none</v>
      </c>
      <c r="O93" s="63" t="e">
        <f t="shared" si="218"/>
        <v>#VALUE!</v>
      </c>
      <c r="P93" s="63">
        <f t="shared" si="219"/>
        <v>4</v>
      </c>
      <c r="Q93" s="63" t="e">
        <f t="shared" si="220"/>
        <v>#VALUE!</v>
      </c>
      <c r="R93" s="63" t="e">
        <f t="shared" si="221"/>
        <v>#VALUE!</v>
      </c>
      <c r="S93" s="63" t="str">
        <f>IFERROR(VLOOKUP(MID(N93,Q93,R93-Q93),[6]skilldef!$C:$D,2,FALSE),"-") &amp; " / " &amp; IFERROR(VLOOKUP(MID(N93,O93,P93-O93),[6]skilldef!$A:$B,2,FALSE),"-")</f>
        <v>- / -</v>
      </c>
      <c r="T93" s="48" t="str">
        <f t="shared" si="222"/>
        <v>none</v>
      </c>
      <c r="U93" s="63" t="e">
        <f t="shared" si="223"/>
        <v>#VALUE!</v>
      </c>
      <c r="V93" s="63">
        <f t="shared" si="224"/>
        <v>4</v>
      </c>
      <c r="W93" s="63" t="e">
        <f t="shared" si="225"/>
        <v>#VALUE!</v>
      </c>
      <c r="X93" s="63" t="e">
        <f t="shared" si="226"/>
        <v>#VALUE!</v>
      </c>
      <c r="Y93" s="63" t="str">
        <f>IFERROR(VLOOKUP(MID(T93,W93,X93-W93),[6]skilldef!$C:$D,2,FALSE),"-") &amp; " / " &amp; IFERROR(VLOOKUP(MID(T93,U93,V93-U93),[6]skilldef!$A:$B,2,FALSE),"-")</f>
        <v>- / -</v>
      </c>
      <c r="Z93" s="50"/>
      <c r="AA93" s="51"/>
      <c r="AB93" s="50"/>
    </row>
    <row r="94" spans="1:28" ht="14" x14ac:dyDescent="0.15">
      <c r="A94" s="136">
        <v>49015093</v>
      </c>
      <c r="B94" s="106" t="s">
        <v>392</v>
      </c>
      <c r="C94" s="50">
        <v>3</v>
      </c>
      <c r="D94" s="50" t="s">
        <v>127</v>
      </c>
      <c r="E94" s="119" t="s">
        <v>344</v>
      </c>
      <c r="F94" s="105" t="s">
        <v>345</v>
      </c>
      <c r="G94" s="63" t="str">
        <f t="shared" si="212"/>
        <v>[effect:enemy_message, val1:1.7, val2:1.7, dead_type:escape]</v>
      </c>
      <c r="H94" s="63">
        <f t="shared" si="213"/>
        <v>9</v>
      </c>
      <c r="I94" s="63">
        <f t="shared" si="214"/>
        <v>22</v>
      </c>
      <c r="J94" s="63" t="e">
        <f t="shared" si="215"/>
        <v>#VALUE!</v>
      </c>
      <c r="K94" s="63">
        <f t="shared" si="216"/>
        <v>32</v>
      </c>
      <c r="L94" s="63" t="str">
        <f>IFERROR(VLOOKUP(MID(G94,J94,K94-J94),[6]skilldef!$C:$D,2,FALSE),"-") &amp; " / " &amp; IFERROR(VLOOKUP(MID(G94,H94,I94-H94),[6]skilldef!$A:$B,2,FALSE),"-")</f>
        <v>- / -</v>
      </c>
      <c r="M94" s="63" t="str">
        <f t="shared" si="217"/>
        <v>none</v>
      </c>
      <c r="N94" s="48" t="str">
        <f t="shared" si="227"/>
        <v>none</v>
      </c>
      <c r="O94" s="63" t="e">
        <f t="shared" si="218"/>
        <v>#VALUE!</v>
      </c>
      <c r="P94" s="63">
        <f t="shared" si="219"/>
        <v>4</v>
      </c>
      <c r="Q94" s="63" t="e">
        <f t="shared" si="220"/>
        <v>#VALUE!</v>
      </c>
      <c r="R94" s="63" t="e">
        <f t="shared" si="221"/>
        <v>#VALUE!</v>
      </c>
      <c r="S94" s="63" t="str">
        <f>IFERROR(VLOOKUP(MID(N94,Q94,R94-Q94),[6]skilldef!$C:$D,2,FALSE),"-") &amp; " / " &amp; IFERROR(VLOOKUP(MID(N94,O94,P94-O94),[6]skilldef!$A:$B,2,FALSE),"-")</f>
        <v>- / -</v>
      </c>
      <c r="T94" s="48" t="str">
        <f t="shared" si="222"/>
        <v>none</v>
      </c>
      <c r="U94" s="63" t="e">
        <f t="shared" si="223"/>
        <v>#VALUE!</v>
      </c>
      <c r="V94" s="63">
        <f t="shared" si="224"/>
        <v>4</v>
      </c>
      <c r="W94" s="63" t="e">
        <f t="shared" si="225"/>
        <v>#VALUE!</v>
      </c>
      <c r="X94" s="63" t="e">
        <f t="shared" si="226"/>
        <v>#VALUE!</v>
      </c>
      <c r="Y94" s="63" t="str">
        <f>IFERROR(VLOOKUP(MID(T94,W94,X94-W94),[6]skilldef!$C:$D,2,FALSE),"-") &amp; " / " &amp; IFERROR(VLOOKUP(MID(T94,U94,V94-U94),[6]skilldef!$A:$B,2,FALSE),"-")</f>
        <v>- / -</v>
      </c>
      <c r="Z94" s="50"/>
      <c r="AA94" s="51"/>
      <c r="AB94" s="50"/>
    </row>
    <row r="95" spans="1:28" ht="21" customHeight="1" x14ac:dyDescent="0.15">
      <c r="A95" s="136">
        <v>49015094</v>
      </c>
      <c r="B95" s="106" t="s">
        <v>392</v>
      </c>
      <c r="C95" s="50">
        <v>3</v>
      </c>
      <c r="D95" s="50" t="s">
        <v>127</v>
      </c>
      <c r="E95" s="105" t="s">
        <v>346</v>
      </c>
      <c r="F95" s="118" t="s">
        <v>393</v>
      </c>
      <c r="G95" s="63" t="str">
        <f t="shared" si="212"/>
        <v>[effect:enemy_message, val1:1.7, val2:1.7, dead_type:escape]</v>
      </c>
      <c r="H95" s="63">
        <f t="shared" si="213"/>
        <v>9</v>
      </c>
      <c r="I95" s="63">
        <f t="shared" si="214"/>
        <v>22</v>
      </c>
      <c r="J95" s="63" t="e">
        <f t="shared" si="215"/>
        <v>#VALUE!</v>
      </c>
      <c r="K95" s="63">
        <f t="shared" si="216"/>
        <v>32</v>
      </c>
      <c r="L95" s="63" t="str">
        <f>IFERROR(VLOOKUP(MID(G95,J95,K95-J95),[6]skilldef!$C:$D,2,FALSE),"-") &amp; " / " &amp; IFERROR(VLOOKUP(MID(G95,H95,I95-H95),[6]skilldef!$A:$B,2,FALSE),"-")</f>
        <v>- / -</v>
      </c>
      <c r="M95" s="63" t="str">
        <f t="shared" si="217"/>
        <v>none</v>
      </c>
      <c r="N95" s="48" t="str">
        <f t="shared" si="227"/>
        <v>none</v>
      </c>
      <c r="O95" s="63" t="e">
        <f t="shared" si="218"/>
        <v>#VALUE!</v>
      </c>
      <c r="P95" s="63">
        <f t="shared" si="219"/>
        <v>4</v>
      </c>
      <c r="Q95" s="63" t="e">
        <f t="shared" si="220"/>
        <v>#VALUE!</v>
      </c>
      <c r="R95" s="63" t="e">
        <f t="shared" si="221"/>
        <v>#VALUE!</v>
      </c>
      <c r="S95" s="63" t="str">
        <f>IFERROR(VLOOKUP(MID(N95,Q95,R95-Q95),[6]skilldef!$C:$D,2,FALSE),"-") &amp; " / " &amp; IFERROR(VLOOKUP(MID(N95,O95,P95-O95),[6]skilldef!$A:$B,2,FALSE),"-")</f>
        <v>- / -</v>
      </c>
      <c r="T95" s="48" t="str">
        <f t="shared" si="222"/>
        <v>none</v>
      </c>
      <c r="U95" s="63" t="e">
        <f t="shared" si="223"/>
        <v>#VALUE!</v>
      </c>
      <c r="V95" s="63">
        <f t="shared" si="224"/>
        <v>4</v>
      </c>
      <c r="W95" s="63" t="e">
        <f t="shared" si="225"/>
        <v>#VALUE!</v>
      </c>
      <c r="X95" s="63" t="e">
        <f t="shared" si="226"/>
        <v>#VALUE!</v>
      </c>
      <c r="Y95" s="63" t="str">
        <f>IFERROR(VLOOKUP(MID(T95,W95,X95-W95),[6]skilldef!$C:$D,2,FALSE),"-") &amp; " / " &amp; IFERROR(VLOOKUP(MID(T95,U95,V95-U95),[6]skilldef!$A:$B,2,FALSE),"-")</f>
        <v>- / -</v>
      </c>
      <c r="Z95" s="50"/>
      <c r="AA95" s="51"/>
      <c r="AB95" s="50"/>
    </row>
    <row r="96" spans="1:28" ht="14" x14ac:dyDescent="0.15">
      <c r="A96" s="136">
        <v>49015095</v>
      </c>
      <c r="B96" s="106" t="s">
        <v>392</v>
      </c>
      <c r="C96" s="50">
        <v>3</v>
      </c>
      <c r="D96" s="50" t="s">
        <v>127</v>
      </c>
      <c r="E96" s="119" t="s">
        <v>575</v>
      </c>
      <c r="F96" s="105" t="s">
        <v>576</v>
      </c>
      <c r="G96" s="63" t="str">
        <f t="shared" si="212"/>
        <v>[effect:enemy_message, val1:1.7, val2:1.7, dead_type:escape]</v>
      </c>
      <c r="H96" s="63">
        <f t="shared" si="213"/>
        <v>9</v>
      </c>
      <c r="I96" s="63">
        <f t="shared" si="214"/>
        <v>22</v>
      </c>
      <c r="J96" s="63" t="e">
        <f t="shared" si="215"/>
        <v>#VALUE!</v>
      </c>
      <c r="K96" s="63">
        <f t="shared" si="216"/>
        <v>32</v>
      </c>
      <c r="L96" s="63" t="str">
        <f>IFERROR(VLOOKUP(MID(G96,J96,K96-J96),[6]skilldef!$C:$D,2,FALSE),"-") &amp; " / " &amp; IFERROR(VLOOKUP(MID(G96,H96,I96-H96),[6]skilldef!$A:$B,2,FALSE),"-")</f>
        <v>- / -</v>
      </c>
      <c r="M96" s="63" t="str">
        <f t="shared" si="217"/>
        <v>none</v>
      </c>
      <c r="N96" s="48" t="str">
        <f t="shared" si="227"/>
        <v>none</v>
      </c>
      <c r="O96" s="63" t="e">
        <f t="shared" si="218"/>
        <v>#VALUE!</v>
      </c>
      <c r="P96" s="63">
        <f t="shared" si="219"/>
        <v>4</v>
      </c>
      <c r="Q96" s="63" t="e">
        <f t="shared" si="220"/>
        <v>#VALUE!</v>
      </c>
      <c r="R96" s="63" t="e">
        <f t="shared" si="221"/>
        <v>#VALUE!</v>
      </c>
      <c r="S96" s="63" t="str">
        <f>IFERROR(VLOOKUP(MID(N96,Q96,R96-Q96),[6]skilldef!$C:$D,2,FALSE),"-") &amp; " / " &amp; IFERROR(VLOOKUP(MID(N96,O96,P96-O96),[6]skilldef!$A:$B,2,FALSE),"-")</f>
        <v>- / -</v>
      </c>
      <c r="T96" s="48" t="str">
        <f t="shared" si="222"/>
        <v>none</v>
      </c>
      <c r="U96" s="63" t="e">
        <f t="shared" si="223"/>
        <v>#VALUE!</v>
      </c>
      <c r="V96" s="63">
        <f t="shared" si="224"/>
        <v>4</v>
      </c>
      <c r="W96" s="63" t="e">
        <f t="shared" si="225"/>
        <v>#VALUE!</v>
      </c>
      <c r="X96" s="63" t="e">
        <f t="shared" si="226"/>
        <v>#VALUE!</v>
      </c>
      <c r="Y96" s="63" t="str">
        <f>IFERROR(VLOOKUP(MID(T96,W96,X96-W96),[6]skilldef!$C:$D,2,FALSE),"-") &amp; " / " &amp; IFERROR(VLOOKUP(MID(T96,U96,V96-U96),[6]skilldef!$A:$B,2,FALSE),"-")</f>
        <v>- / -</v>
      </c>
      <c r="Z96" s="50"/>
      <c r="AA96" s="51"/>
      <c r="AB96" s="50"/>
    </row>
    <row r="97" spans="1:28" ht="21" customHeight="1" x14ac:dyDescent="0.15">
      <c r="A97" s="136">
        <v>49015096</v>
      </c>
      <c r="B97" s="106" t="s">
        <v>395</v>
      </c>
      <c r="C97" s="50">
        <v>3</v>
      </c>
      <c r="D97" s="50" t="s">
        <v>127</v>
      </c>
      <c r="E97" s="105" t="s">
        <v>394</v>
      </c>
      <c r="F97" s="105" t="s">
        <v>347</v>
      </c>
      <c r="G97" s="63" t="str">
        <f t="shared" si="212"/>
        <v>[effect:enemy_message, val1:1.7, val2:2.1, dead_type:escape]</v>
      </c>
      <c r="H97" s="63">
        <f t="shared" si="213"/>
        <v>9</v>
      </c>
      <c r="I97" s="63">
        <f t="shared" si="214"/>
        <v>22</v>
      </c>
      <c r="J97" s="63" t="e">
        <f t="shared" si="215"/>
        <v>#VALUE!</v>
      </c>
      <c r="K97" s="63">
        <f t="shared" si="216"/>
        <v>32</v>
      </c>
      <c r="L97" s="63" t="str">
        <f>IFERROR(VLOOKUP(MID(G97,J97,K97-J97),[6]skilldef!$C:$D,2,FALSE),"-") &amp; " / " &amp; IFERROR(VLOOKUP(MID(G97,H97,I97-H97),[6]skilldef!$A:$B,2,FALSE),"-")</f>
        <v>- / -</v>
      </c>
      <c r="M97" s="63" t="str">
        <f t="shared" si="217"/>
        <v>none</v>
      </c>
      <c r="N97" s="48" t="str">
        <f t="shared" si="227"/>
        <v>none</v>
      </c>
      <c r="O97" s="63" t="e">
        <f t="shared" si="218"/>
        <v>#VALUE!</v>
      </c>
      <c r="P97" s="63">
        <f t="shared" si="219"/>
        <v>4</v>
      </c>
      <c r="Q97" s="63" t="e">
        <f t="shared" si="220"/>
        <v>#VALUE!</v>
      </c>
      <c r="R97" s="63" t="e">
        <f t="shared" si="221"/>
        <v>#VALUE!</v>
      </c>
      <c r="S97" s="63" t="str">
        <f>IFERROR(VLOOKUP(MID(N97,Q97,R97-Q97),[6]skilldef!$C:$D,2,FALSE),"-") &amp; " / " &amp; IFERROR(VLOOKUP(MID(N97,O97,P97-O97),[6]skilldef!$A:$B,2,FALSE),"-")</f>
        <v>- / -</v>
      </c>
      <c r="T97" s="48" t="str">
        <f t="shared" si="222"/>
        <v>none</v>
      </c>
      <c r="U97" s="63" t="e">
        <f t="shared" si="223"/>
        <v>#VALUE!</v>
      </c>
      <c r="V97" s="63">
        <f t="shared" si="224"/>
        <v>4</v>
      </c>
      <c r="W97" s="63" t="e">
        <f t="shared" si="225"/>
        <v>#VALUE!</v>
      </c>
      <c r="X97" s="63" t="e">
        <f t="shared" si="226"/>
        <v>#VALUE!</v>
      </c>
      <c r="Y97" s="63" t="str">
        <f>IFERROR(VLOOKUP(MID(T97,W97,X97-W97),[6]skilldef!$C:$D,2,FALSE),"-") &amp; " / " &amp; IFERROR(VLOOKUP(MID(T97,U97,V97-U97),[6]skilldef!$A:$B,2,FALSE),"-")</f>
        <v>- / -</v>
      </c>
      <c r="Z97" s="50"/>
      <c r="AA97" s="51"/>
      <c r="AB97" s="50"/>
    </row>
    <row r="98" spans="1:28" ht="21" customHeight="1" x14ac:dyDescent="0.15">
      <c r="A98" s="136">
        <v>49015097</v>
      </c>
      <c r="B98" s="106" t="s">
        <v>406</v>
      </c>
      <c r="C98" s="50">
        <v>3</v>
      </c>
      <c r="D98" s="50" t="s">
        <v>127</v>
      </c>
      <c r="E98" s="105" t="s">
        <v>396</v>
      </c>
      <c r="F98" s="105" t="s">
        <v>348</v>
      </c>
      <c r="G98" s="63" t="str">
        <f t="shared" si="212"/>
        <v>[effect:enemy_message, val1:2.1, val2:1.7, dead_type:escape]</v>
      </c>
      <c r="H98" s="63">
        <f t="shared" si="213"/>
        <v>9</v>
      </c>
      <c r="I98" s="63">
        <f t="shared" si="214"/>
        <v>22</v>
      </c>
      <c r="J98" s="63" t="e">
        <f t="shared" si="215"/>
        <v>#VALUE!</v>
      </c>
      <c r="K98" s="63">
        <f t="shared" si="216"/>
        <v>32</v>
      </c>
      <c r="L98" s="63" t="str">
        <f>IFERROR(VLOOKUP(MID(G98,J98,K98-J98),[6]skilldef!$C:$D,2,FALSE),"-") &amp; " / " &amp; IFERROR(VLOOKUP(MID(G98,H98,I98-H98),[6]skilldef!$A:$B,2,FALSE),"-")</f>
        <v>- / -</v>
      </c>
      <c r="M98" s="63" t="str">
        <f t="shared" si="217"/>
        <v>none</v>
      </c>
      <c r="N98" s="48" t="str">
        <f t="shared" si="227"/>
        <v>none</v>
      </c>
      <c r="O98" s="63" t="e">
        <f t="shared" si="218"/>
        <v>#VALUE!</v>
      </c>
      <c r="P98" s="63">
        <f t="shared" si="219"/>
        <v>4</v>
      </c>
      <c r="Q98" s="63" t="e">
        <f t="shared" si="220"/>
        <v>#VALUE!</v>
      </c>
      <c r="R98" s="63" t="e">
        <f t="shared" si="221"/>
        <v>#VALUE!</v>
      </c>
      <c r="S98" s="63" t="str">
        <f>IFERROR(VLOOKUP(MID(N98,Q98,R98-Q98),[6]skilldef!$C:$D,2,FALSE),"-") &amp; " / " &amp; IFERROR(VLOOKUP(MID(N98,O98,P98-O98),[6]skilldef!$A:$B,2,FALSE),"-")</f>
        <v>- / -</v>
      </c>
      <c r="T98" s="48" t="str">
        <f t="shared" si="222"/>
        <v>none</v>
      </c>
      <c r="U98" s="63" t="e">
        <f t="shared" si="223"/>
        <v>#VALUE!</v>
      </c>
      <c r="V98" s="63">
        <f t="shared" si="224"/>
        <v>4</v>
      </c>
      <c r="W98" s="63" t="e">
        <f t="shared" si="225"/>
        <v>#VALUE!</v>
      </c>
      <c r="X98" s="63" t="e">
        <f t="shared" si="226"/>
        <v>#VALUE!</v>
      </c>
      <c r="Y98" s="63" t="str">
        <f>IFERROR(VLOOKUP(MID(T98,W98,X98-W98),[6]skilldef!$C:$D,2,FALSE),"-") &amp; " / " &amp; IFERROR(VLOOKUP(MID(T98,U98,V98-U98),[6]skilldef!$A:$B,2,FALSE),"-")</f>
        <v>- / -</v>
      </c>
      <c r="Z98" s="50"/>
      <c r="AA98" s="51"/>
      <c r="AB98" s="50"/>
    </row>
    <row r="99" spans="1:28" ht="21" customHeight="1" x14ac:dyDescent="0.15">
      <c r="A99" s="136">
        <v>49015098</v>
      </c>
      <c r="B99" s="106" t="s">
        <v>408</v>
      </c>
      <c r="C99" s="50">
        <v>3</v>
      </c>
      <c r="D99" s="50" t="s">
        <v>127</v>
      </c>
      <c r="E99" s="105" t="s">
        <v>407</v>
      </c>
      <c r="F99" s="118" t="s">
        <v>349</v>
      </c>
      <c r="G99" s="63" t="str">
        <f t="shared" si="212"/>
        <v>[effect:enemy_message, val1:1.9, val2:1.7, dead_type:escape]</v>
      </c>
      <c r="H99" s="63">
        <f t="shared" si="213"/>
        <v>9</v>
      </c>
      <c r="I99" s="63">
        <f t="shared" si="214"/>
        <v>22</v>
      </c>
      <c r="J99" s="63" t="e">
        <f t="shared" si="215"/>
        <v>#VALUE!</v>
      </c>
      <c r="K99" s="63">
        <f t="shared" si="216"/>
        <v>32</v>
      </c>
      <c r="L99" s="63" t="str">
        <f>IFERROR(VLOOKUP(MID(G99,J99,K99-J99),[6]skilldef!$C:$D,2,FALSE),"-") &amp; " / " &amp; IFERROR(VLOOKUP(MID(G99,H99,I99-H99),[6]skilldef!$A:$B,2,FALSE),"-")</f>
        <v>- / -</v>
      </c>
      <c r="M99" s="63" t="str">
        <f t="shared" si="217"/>
        <v>none</v>
      </c>
      <c r="N99" s="48" t="str">
        <f t="shared" si="227"/>
        <v>none</v>
      </c>
      <c r="O99" s="63" t="e">
        <f t="shared" si="218"/>
        <v>#VALUE!</v>
      </c>
      <c r="P99" s="63">
        <f t="shared" si="219"/>
        <v>4</v>
      </c>
      <c r="Q99" s="63" t="e">
        <f t="shared" si="220"/>
        <v>#VALUE!</v>
      </c>
      <c r="R99" s="63" t="e">
        <f t="shared" si="221"/>
        <v>#VALUE!</v>
      </c>
      <c r="S99" s="63" t="str">
        <f>IFERROR(VLOOKUP(MID(N99,Q99,R99-Q99),[6]skilldef!$C:$D,2,FALSE),"-") &amp; " / " &amp; IFERROR(VLOOKUP(MID(N99,O99,P99-O99),[6]skilldef!$A:$B,2,FALSE),"-")</f>
        <v>- / -</v>
      </c>
      <c r="T99" s="48" t="str">
        <f t="shared" si="222"/>
        <v>none</v>
      </c>
      <c r="U99" s="63" t="e">
        <f t="shared" si="223"/>
        <v>#VALUE!</v>
      </c>
      <c r="V99" s="63">
        <f t="shared" si="224"/>
        <v>4</v>
      </c>
      <c r="W99" s="63" t="e">
        <f t="shared" si="225"/>
        <v>#VALUE!</v>
      </c>
      <c r="X99" s="63" t="e">
        <f t="shared" si="226"/>
        <v>#VALUE!</v>
      </c>
      <c r="Y99" s="63" t="str">
        <f>IFERROR(VLOOKUP(MID(T99,W99,X99-W99),[6]skilldef!$C:$D,2,FALSE),"-") &amp; " / " &amp; IFERROR(VLOOKUP(MID(T99,U99,V99-U99),[6]skilldef!$A:$B,2,FALSE),"-")</f>
        <v>- / -</v>
      </c>
      <c r="Z99" s="50"/>
      <c r="AA99" s="51"/>
      <c r="AB99" s="50"/>
    </row>
    <row r="100" spans="1:28" ht="21" customHeight="1" thickBot="1" x14ac:dyDescent="0.2">
      <c r="A100" s="155">
        <v>49015099</v>
      </c>
      <c r="B100" s="111" t="s">
        <v>397</v>
      </c>
      <c r="C100" s="50">
        <v>3</v>
      </c>
      <c r="D100" s="112" t="s">
        <v>127</v>
      </c>
      <c r="E100" s="117" t="s">
        <v>350</v>
      </c>
      <c r="F100" s="117" t="s">
        <v>351</v>
      </c>
      <c r="G100" s="113" t="str">
        <f t="shared" si="212"/>
        <v>[effect:enemy_message, val1:1.7, val2:2.2, dead_type:escape]</v>
      </c>
      <c r="H100" s="113">
        <f t="shared" si="213"/>
        <v>9</v>
      </c>
      <c r="I100" s="113">
        <f t="shared" si="214"/>
        <v>22</v>
      </c>
      <c r="J100" s="113" t="e">
        <f t="shared" si="215"/>
        <v>#VALUE!</v>
      </c>
      <c r="K100" s="113">
        <f t="shared" si="216"/>
        <v>32</v>
      </c>
      <c r="L100" s="113" t="str">
        <f>IFERROR(VLOOKUP(MID(G100,J100,K100-J100),[6]skilldef!$C:$D,2,FALSE),"-") &amp; " / " &amp; IFERROR(VLOOKUP(MID(G100,H100,I100-H100),[6]skilldef!$A:$B,2,FALSE),"-")</f>
        <v>- / -</v>
      </c>
      <c r="M100" s="113" t="str">
        <f t="shared" si="217"/>
        <v>none</v>
      </c>
      <c r="N100" s="114" t="str">
        <f t="shared" si="227"/>
        <v>none</v>
      </c>
      <c r="O100" s="113" t="e">
        <f t="shared" si="218"/>
        <v>#VALUE!</v>
      </c>
      <c r="P100" s="113">
        <f t="shared" si="219"/>
        <v>4</v>
      </c>
      <c r="Q100" s="113" t="e">
        <f t="shared" si="220"/>
        <v>#VALUE!</v>
      </c>
      <c r="R100" s="113" t="e">
        <f t="shared" si="221"/>
        <v>#VALUE!</v>
      </c>
      <c r="S100" s="113" t="str">
        <f>IFERROR(VLOOKUP(MID(N100,Q100,R100-Q100),[6]skilldef!$C:$D,2,FALSE),"-") &amp; " / " &amp; IFERROR(VLOOKUP(MID(N100,O100,P100-O100),[6]skilldef!$A:$B,2,FALSE),"-")</f>
        <v>- / -</v>
      </c>
      <c r="T100" s="114" t="str">
        <f t="shared" si="222"/>
        <v>none</v>
      </c>
      <c r="U100" s="113" t="e">
        <f t="shared" si="223"/>
        <v>#VALUE!</v>
      </c>
      <c r="V100" s="113">
        <f t="shared" si="224"/>
        <v>4</v>
      </c>
      <c r="W100" s="113" t="e">
        <f t="shared" si="225"/>
        <v>#VALUE!</v>
      </c>
      <c r="X100" s="113" t="e">
        <f t="shared" si="226"/>
        <v>#VALUE!</v>
      </c>
      <c r="Y100" s="113" t="str">
        <f>IFERROR(VLOOKUP(MID(T100,W100,X100-W100),[6]skilldef!$C:$D,2,FALSE),"-") &amp; " / " &amp; IFERROR(VLOOKUP(MID(T100,U100,V100-U100),[6]skilldef!$A:$B,2,FALSE),"-")</f>
        <v>- / -</v>
      </c>
      <c r="Z100" s="112"/>
      <c r="AA100" s="115"/>
      <c r="AB100" s="112"/>
    </row>
    <row r="101" spans="1:28" ht="21" customHeight="1" x14ac:dyDescent="0.15">
      <c r="A101" s="121">
        <v>49015100</v>
      </c>
      <c r="B101" s="47" t="s">
        <v>359</v>
      </c>
      <c r="C101" s="50">
        <v>3</v>
      </c>
      <c r="D101" s="50" t="s">
        <v>127</v>
      </c>
      <c r="E101" s="116" t="s">
        <v>254</v>
      </c>
      <c r="F101" s="116" t="s">
        <v>360</v>
      </c>
      <c r="G101" s="63" t="str">
        <f t="shared" si="212"/>
        <v>[effect:enemy_message, val1:1.2, val2:0]</v>
      </c>
      <c r="H101" s="63">
        <f t="shared" si="213"/>
        <v>9</v>
      </c>
      <c r="I101" s="63">
        <f t="shared" si="214"/>
        <v>22</v>
      </c>
      <c r="J101" s="63" t="e">
        <f t="shared" si="215"/>
        <v>#VALUE!</v>
      </c>
      <c r="K101" s="63">
        <f t="shared" si="216"/>
        <v>32</v>
      </c>
      <c r="L101" s="63" t="str">
        <f>IFERROR(VLOOKUP(MID(G101,J101,K101-J101),[6]skilldef!$C:$D,2,FALSE),"-") &amp; " / " &amp; IFERROR(VLOOKUP(MID(G101,H101,I101-H101),[6]skilldef!$A:$B,2,FALSE),"-")</f>
        <v>- / -</v>
      </c>
      <c r="M101" s="63" t="str">
        <f t="shared" si="217"/>
        <v>[effect:fix_speed, target:myself, turn:1]</v>
      </c>
      <c r="N101" s="48" t="str">
        <f t="shared" si="227"/>
        <v>[effect:fix_speed, target:myself, turn:1]</v>
      </c>
      <c r="O101" s="63">
        <f t="shared" si="218"/>
        <v>9</v>
      </c>
      <c r="P101" s="63">
        <f t="shared" si="219"/>
        <v>18</v>
      </c>
      <c r="Q101" s="63">
        <f t="shared" si="220"/>
        <v>27</v>
      </c>
      <c r="R101" s="63">
        <f t="shared" si="221"/>
        <v>33</v>
      </c>
      <c r="S101" s="63" t="str">
        <f>IFERROR(VLOOKUP(MID(N101,Q101,R101-Q101),[6]skilldef!$C:$D,2,FALSE),"-") &amp; " / " &amp; IFERROR(VLOOKUP(MID(N101,O101,P101-O101),[6]skilldef!$A:$B,2,FALSE),"-")</f>
        <v>自分自身に / 行動値設定</v>
      </c>
      <c r="T101" s="48" t="str">
        <f t="shared" si="222"/>
        <v>none</v>
      </c>
      <c r="U101" s="63" t="e">
        <f t="shared" si="223"/>
        <v>#VALUE!</v>
      </c>
      <c r="V101" s="63">
        <f t="shared" si="224"/>
        <v>4</v>
      </c>
      <c r="W101" s="63" t="e">
        <f t="shared" si="225"/>
        <v>#VALUE!</v>
      </c>
      <c r="X101" s="63" t="e">
        <f t="shared" si="226"/>
        <v>#VALUE!</v>
      </c>
      <c r="Y101" s="63" t="str">
        <f>IFERROR(VLOOKUP(MID(T101,W101,X101-W101),[6]skilldef!$C:$D,2,FALSE),"-") &amp; " / " &amp; IFERROR(VLOOKUP(MID(T101,U101,V101-U101),[6]skilldef!$A:$B,2,FALSE),"-")</f>
        <v>- / -</v>
      </c>
      <c r="Z101" s="50"/>
      <c r="AA101" s="51"/>
      <c r="AB101" s="50"/>
    </row>
    <row r="102" spans="1:28" ht="21" customHeight="1" x14ac:dyDescent="0.15">
      <c r="A102" s="121">
        <v>49015101</v>
      </c>
      <c r="B102" s="47" t="s">
        <v>361</v>
      </c>
      <c r="C102" s="50">
        <v>3</v>
      </c>
      <c r="D102" s="50" t="s">
        <v>127</v>
      </c>
      <c r="E102" s="105" t="s">
        <v>256</v>
      </c>
      <c r="F102" s="105" t="s">
        <v>257</v>
      </c>
      <c r="G102" s="63" t="str">
        <f t="shared" si="212"/>
        <v>[effect:enemy_message, val1:1.5, val2:1.9]</v>
      </c>
      <c r="H102" s="63">
        <f t="shared" si="213"/>
        <v>9</v>
      </c>
      <c r="I102" s="63">
        <f t="shared" si="214"/>
        <v>22</v>
      </c>
      <c r="J102" s="63" t="e">
        <f t="shared" si="215"/>
        <v>#VALUE!</v>
      </c>
      <c r="K102" s="63">
        <f t="shared" si="216"/>
        <v>32</v>
      </c>
      <c r="L102" s="63" t="str">
        <f>IFERROR(VLOOKUP(MID(G102,J102,K102-J102),[6]skilldef!$C:$D,2,FALSE),"-") &amp; " / " &amp; IFERROR(VLOOKUP(MID(G102,H102,I102-H102),[6]skilldef!$A:$B,2,FALSE),"-")</f>
        <v>- / -</v>
      </c>
      <c r="M102" s="63" t="str">
        <f t="shared" si="217"/>
        <v>[effect:fix_speed, target:myself, turn:1]</v>
      </c>
      <c r="N102" s="48" t="str">
        <f t="shared" si="227"/>
        <v>[effect:fix_speed, target:myself, turn:1]</v>
      </c>
      <c r="O102" s="63">
        <f t="shared" si="218"/>
        <v>9</v>
      </c>
      <c r="P102" s="63">
        <f t="shared" si="219"/>
        <v>18</v>
      </c>
      <c r="Q102" s="63">
        <f t="shared" si="220"/>
        <v>27</v>
      </c>
      <c r="R102" s="63">
        <f t="shared" si="221"/>
        <v>33</v>
      </c>
      <c r="S102" s="63" t="str">
        <f>IFERROR(VLOOKUP(MID(N102,Q102,R102-Q102),[6]skilldef!$C:$D,2,FALSE),"-") &amp; " / " &amp; IFERROR(VLOOKUP(MID(N102,O102,P102-O102),[6]skilldef!$A:$B,2,FALSE),"-")</f>
        <v>自分自身に / 行動値設定</v>
      </c>
      <c r="T102" s="48" t="str">
        <f t="shared" si="222"/>
        <v>none</v>
      </c>
      <c r="U102" s="63" t="e">
        <f t="shared" si="223"/>
        <v>#VALUE!</v>
      </c>
      <c r="V102" s="63">
        <f t="shared" si="224"/>
        <v>4</v>
      </c>
      <c r="W102" s="63" t="e">
        <f t="shared" si="225"/>
        <v>#VALUE!</v>
      </c>
      <c r="X102" s="63" t="e">
        <f t="shared" si="226"/>
        <v>#VALUE!</v>
      </c>
      <c r="Y102" s="63" t="str">
        <f>IFERROR(VLOOKUP(MID(T102,W102,X102-W102),[6]skilldef!$C:$D,2,FALSE),"-") &amp; " / " &amp; IFERROR(VLOOKUP(MID(T102,U102,V102-U102),[6]skilldef!$A:$B,2,FALSE),"-")</f>
        <v>- / -</v>
      </c>
      <c r="Z102" s="50"/>
      <c r="AA102" s="51"/>
      <c r="AB102" s="50"/>
    </row>
    <row r="103" spans="1:28" ht="21" customHeight="1" x14ac:dyDescent="0.15">
      <c r="A103" s="121">
        <v>49015102</v>
      </c>
      <c r="B103" s="47" t="s">
        <v>464</v>
      </c>
      <c r="C103" s="50">
        <v>3</v>
      </c>
      <c r="D103" s="50" t="s">
        <v>127</v>
      </c>
      <c r="E103" s="105" t="s">
        <v>255</v>
      </c>
      <c r="F103" s="211" t="s">
        <v>609</v>
      </c>
      <c r="G103" s="63" t="str">
        <f t="shared" si="212"/>
        <v>[effect:enemy_message, val1:1.3, val2:4.0]</v>
      </c>
      <c r="H103" s="63">
        <f t="shared" si="213"/>
        <v>9</v>
      </c>
      <c r="I103" s="63">
        <f t="shared" si="214"/>
        <v>22</v>
      </c>
      <c r="J103" s="63" t="e">
        <f t="shared" si="215"/>
        <v>#VALUE!</v>
      </c>
      <c r="K103" s="63">
        <f t="shared" si="216"/>
        <v>32</v>
      </c>
      <c r="L103" s="63" t="str">
        <f>IFERROR(VLOOKUP(MID(G103,J103,K103-J103),[6]skilldef!$C:$D,2,FALSE),"-") &amp; " / " &amp; IFERROR(VLOOKUP(MID(G103,H103,I103-H103),[6]skilldef!$A:$B,2,FALSE),"-")</f>
        <v>- / -</v>
      </c>
      <c r="M103" s="63" t="str">
        <f t="shared" si="217"/>
        <v>[effect:fix_speed, target:myself, turn:1],[effect:sp_boost, target:unit_all, val:4, animation:sp_boost_one02]</v>
      </c>
      <c r="N103" s="48" t="str">
        <f t="shared" si="227"/>
        <v>[effect:fix_speed, target:myself, turn:1],[effect:sp_boost, target:unit_all, val:4, animation:sp_boost_one02]</v>
      </c>
      <c r="O103" s="63">
        <f t="shared" si="218"/>
        <v>9</v>
      </c>
      <c r="P103" s="63">
        <f t="shared" si="219"/>
        <v>18</v>
      </c>
      <c r="Q103" s="63">
        <f t="shared" si="220"/>
        <v>27</v>
      </c>
      <c r="R103" s="63">
        <f t="shared" si="221"/>
        <v>33</v>
      </c>
      <c r="S103" s="63" t="str">
        <f>IFERROR(VLOOKUP(MID(N103,Q103,R103-Q103),[6]skilldef!$C:$D,2,FALSE),"-") &amp; " / " &amp; IFERROR(VLOOKUP(MID(N103,O103,P103-O103),[6]skilldef!$A:$B,2,FALSE),"-")</f>
        <v>自分自身に / 行動値設定</v>
      </c>
      <c r="T103" s="48" t="str">
        <f t="shared" si="222"/>
        <v>[effect:sp_boost, target:unit_all, val:4, animation:sp_boost_one02]</v>
      </c>
      <c r="U103" s="63">
        <f t="shared" si="223"/>
        <v>9</v>
      </c>
      <c r="V103" s="63">
        <f t="shared" si="224"/>
        <v>17</v>
      </c>
      <c r="W103" s="63">
        <f t="shared" si="225"/>
        <v>26</v>
      </c>
      <c r="X103" s="63">
        <f t="shared" si="226"/>
        <v>34</v>
      </c>
      <c r="Y103" s="63" t="str">
        <f>IFERROR(VLOOKUP(MID(T103,W103,X103-W103),[6]skilldef!$C:$D,2,FALSE),"-") &amp; " / " &amp; IFERROR(VLOOKUP(MID(T103,U103,V103-U103),[6]skilldef!$A:$B,2,FALSE),"-")</f>
        <v>味方全体に / -</v>
      </c>
      <c r="Z103" s="50"/>
      <c r="AA103" s="51"/>
      <c r="AB103" s="50"/>
    </row>
    <row r="104" spans="1:28" ht="21" customHeight="1" x14ac:dyDescent="0.15">
      <c r="A104" s="121">
        <v>49015103</v>
      </c>
      <c r="B104" s="47" t="s">
        <v>362</v>
      </c>
      <c r="C104" s="50">
        <v>3</v>
      </c>
      <c r="D104" s="50" t="s">
        <v>127</v>
      </c>
      <c r="E104" s="105" t="s">
        <v>258</v>
      </c>
      <c r="F104" s="105" t="s">
        <v>259</v>
      </c>
      <c r="G104" s="63" t="str">
        <f t="shared" si="212"/>
        <v>[effect:enemy_message, val1:1.6, val2:1.2]</v>
      </c>
      <c r="H104" s="63">
        <f t="shared" si="213"/>
        <v>9</v>
      </c>
      <c r="I104" s="63">
        <f t="shared" si="214"/>
        <v>22</v>
      </c>
      <c r="J104" s="63" t="e">
        <f t="shared" si="215"/>
        <v>#VALUE!</v>
      </c>
      <c r="K104" s="63">
        <f t="shared" si="216"/>
        <v>32</v>
      </c>
      <c r="L104" s="63" t="str">
        <f>IFERROR(VLOOKUP(MID(G104,J104,K104-J104),[6]skilldef!$C:$D,2,FALSE),"-") &amp; " / " &amp; IFERROR(VLOOKUP(MID(G104,H104,I104-H104),[6]skilldef!$A:$B,2,FALSE),"-")</f>
        <v>- / -</v>
      </c>
      <c r="M104" s="63" t="str">
        <f t="shared" si="217"/>
        <v>[effect:fix_speed, target:myself, turn:1]</v>
      </c>
      <c r="N104" s="48" t="str">
        <f t="shared" si="227"/>
        <v>[effect:fix_speed, target:myself, turn:1]</v>
      </c>
      <c r="O104" s="63">
        <f t="shared" si="218"/>
        <v>9</v>
      </c>
      <c r="P104" s="63">
        <f t="shared" si="219"/>
        <v>18</v>
      </c>
      <c r="Q104" s="63">
        <f t="shared" si="220"/>
        <v>27</v>
      </c>
      <c r="R104" s="63">
        <f t="shared" si="221"/>
        <v>33</v>
      </c>
      <c r="S104" s="63" t="str">
        <f>IFERROR(VLOOKUP(MID(N104,Q104,R104-Q104),[6]skilldef!$C:$D,2,FALSE),"-") &amp; " / " &amp; IFERROR(VLOOKUP(MID(N104,O104,P104-O104),[6]skilldef!$A:$B,2,FALSE),"-")</f>
        <v>自分自身に / 行動値設定</v>
      </c>
      <c r="T104" s="48" t="str">
        <f t="shared" si="222"/>
        <v>none</v>
      </c>
      <c r="U104" s="63" t="e">
        <f t="shared" si="223"/>
        <v>#VALUE!</v>
      </c>
      <c r="V104" s="63">
        <f t="shared" si="224"/>
        <v>4</v>
      </c>
      <c r="W104" s="63" t="e">
        <f t="shared" si="225"/>
        <v>#VALUE!</v>
      </c>
      <c r="X104" s="63" t="e">
        <f t="shared" si="226"/>
        <v>#VALUE!</v>
      </c>
      <c r="Y104" s="63" t="str">
        <f>IFERROR(VLOOKUP(MID(T104,W104,X104-W104),[6]skilldef!$C:$D,2,FALSE),"-") &amp; " / " &amp; IFERROR(VLOOKUP(MID(T104,U104,V104-U104),[6]skilldef!$A:$B,2,FALSE),"-")</f>
        <v>- / -</v>
      </c>
      <c r="Z104" s="50"/>
      <c r="AA104" s="51"/>
      <c r="AB104" s="50"/>
    </row>
    <row r="105" spans="1:28" ht="21" customHeight="1" x14ac:dyDescent="0.15">
      <c r="A105" s="121">
        <v>49015104</v>
      </c>
      <c r="B105" s="47" t="s">
        <v>364</v>
      </c>
      <c r="C105" s="50">
        <v>3</v>
      </c>
      <c r="D105" s="50" t="s">
        <v>127</v>
      </c>
      <c r="E105" s="105" t="s">
        <v>260</v>
      </c>
      <c r="F105" s="105" t="s">
        <v>363</v>
      </c>
      <c r="G105" s="63" t="str">
        <f t="shared" si="212"/>
        <v>[effect:enemy_message, val1:1.8, val2:0]</v>
      </c>
      <c r="H105" s="63">
        <f t="shared" si="213"/>
        <v>9</v>
      </c>
      <c r="I105" s="63">
        <f t="shared" si="214"/>
        <v>22</v>
      </c>
      <c r="J105" s="63" t="e">
        <f t="shared" si="215"/>
        <v>#VALUE!</v>
      </c>
      <c r="K105" s="63">
        <f t="shared" si="216"/>
        <v>32</v>
      </c>
      <c r="L105" s="63" t="str">
        <f>IFERROR(VLOOKUP(MID(G105,J105,K105-J105),[6]skilldef!$C:$D,2,FALSE),"-") &amp; " / " &amp; IFERROR(VLOOKUP(MID(G105,H105,I105-H105),[6]skilldef!$A:$B,2,FALSE),"-")</f>
        <v>- / -</v>
      </c>
      <c r="M105" s="63" t="str">
        <f t="shared" si="217"/>
        <v>[effect:fix_speed, target:myself, turn:1]</v>
      </c>
      <c r="N105" s="48" t="str">
        <f t="shared" si="227"/>
        <v>[effect:fix_speed, target:myself, turn:1]</v>
      </c>
      <c r="O105" s="63">
        <f t="shared" si="218"/>
        <v>9</v>
      </c>
      <c r="P105" s="63">
        <f t="shared" si="219"/>
        <v>18</v>
      </c>
      <c r="Q105" s="63">
        <f t="shared" si="220"/>
        <v>27</v>
      </c>
      <c r="R105" s="63">
        <f t="shared" si="221"/>
        <v>33</v>
      </c>
      <c r="S105" s="63" t="str">
        <f>IFERROR(VLOOKUP(MID(N105,Q105,R105-Q105),[6]skilldef!$C:$D,2,FALSE),"-") &amp; " / " &amp; IFERROR(VLOOKUP(MID(N105,O105,P105-O105),[6]skilldef!$A:$B,2,FALSE),"-")</f>
        <v>自分自身に / 行動値設定</v>
      </c>
      <c r="T105" s="48" t="str">
        <f t="shared" si="222"/>
        <v>none</v>
      </c>
      <c r="U105" s="63" t="e">
        <f t="shared" si="223"/>
        <v>#VALUE!</v>
      </c>
      <c r="V105" s="63">
        <f t="shared" si="224"/>
        <v>4</v>
      </c>
      <c r="W105" s="63" t="e">
        <f t="shared" si="225"/>
        <v>#VALUE!</v>
      </c>
      <c r="X105" s="63" t="e">
        <f t="shared" si="226"/>
        <v>#VALUE!</v>
      </c>
      <c r="Y105" s="63" t="str">
        <f>IFERROR(VLOOKUP(MID(T105,W105,X105-W105),[6]skilldef!$C:$D,2,FALSE),"-") &amp; " / " &amp; IFERROR(VLOOKUP(MID(T105,U105,V105-U105),[6]skilldef!$A:$B,2,FALSE),"-")</f>
        <v>- / -</v>
      </c>
      <c r="Z105" s="50"/>
      <c r="AA105" s="51"/>
      <c r="AB105" s="50"/>
    </row>
    <row r="106" spans="1:28" ht="21" customHeight="1" x14ac:dyDescent="0.15">
      <c r="A106" s="121">
        <v>49015105</v>
      </c>
      <c r="B106" s="47" t="s">
        <v>365</v>
      </c>
      <c r="C106" s="50">
        <v>3</v>
      </c>
      <c r="D106" s="50" t="s">
        <v>127</v>
      </c>
      <c r="E106" s="105" t="s">
        <v>262</v>
      </c>
      <c r="F106" s="105" t="s">
        <v>363</v>
      </c>
      <c r="G106" s="63" t="str">
        <f t="shared" si="212"/>
        <v>[effect:enemy_message, val1:1.4, val2:0]</v>
      </c>
      <c r="H106" s="63">
        <f t="shared" si="213"/>
        <v>9</v>
      </c>
      <c r="I106" s="63">
        <f t="shared" si="214"/>
        <v>22</v>
      </c>
      <c r="J106" s="63" t="e">
        <f t="shared" si="215"/>
        <v>#VALUE!</v>
      </c>
      <c r="K106" s="63">
        <f t="shared" si="216"/>
        <v>32</v>
      </c>
      <c r="L106" s="63" t="str">
        <f>IFERROR(VLOOKUP(MID(G106,J106,K106-J106),[6]skilldef!$C:$D,2,FALSE),"-") &amp; " / " &amp; IFERROR(VLOOKUP(MID(G106,H106,I106-H106),[6]skilldef!$A:$B,2,FALSE),"-")</f>
        <v>- / -</v>
      </c>
      <c r="M106" s="63" t="str">
        <f t="shared" si="217"/>
        <v>[effect:fix_speed, target:myself, turn:1]</v>
      </c>
      <c r="N106" s="48" t="str">
        <f t="shared" si="227"/>
        <v>[effect:fix_speed, target:myself, turn:1]</v>
      </c>
      <c r="O106" s="63">
        <f t="shared" si="218"/>
        <v>9</v>
      </c>
      <c r="P106" s="63">
        <f t="shared" si="219"/>
        <v>18</v>
      </c>
      <c r="Q106" s="63">
        <f t="shared" si="220"/>
        <v>27</v>
      </c>
      <c r="R106" s="63">
        <f t="shared" si="221"/>
        <v>33</v>
      </c>
      <c r="S106" s="63" t="str">
        <f>IFERROR(VLOOKUP(MID(N106,Q106,R106-Q106),[6]skilldef!$C:$D,2,FALSE),"-") &amp; " / " &amp; IFERROR(VLOOKUP(MID(N106,O106,P106-O106),[6]skilldef!$A:$B,2,FALSE),"-")</f>
        <v>自分自身に / 行動値設定</v>
      </c>
      <c r="T106" s="48" t="str">
        <f t="shared" si="222"/>
        <v>none</v>
      </c>
      <c r="U106" s="63" t="e">
        <f t="shared" si="223"/>
        <v>#VALUE!</v>
      </c>
      <c r="V106" s="63">
        <f t="shared" si="224"/>
        <v>4</v>
      </c>
      <c r="W106" s="63" t="e">
        <f t="shared" si="225"/>
        <v>#VALUE!</v>
      </c>
      <c r="X106" s="63" t="e">
        <f t="shared" si="226"/>
        <v>#VALUE!</v>
      </c>
      <c r="Y106" s="63" t="str">
        <f>IFERROR(VLOOKUP(MID(T106,W106,X106-W106),[6]skilldef!$C:$D,2,FALSE),"-") &amp; " / " &amp; IFERROR(VLOOKUP(MID(T106,U106,V106-U106),[6]skilldef!$A:$B,2,FALSE),"-")</f>
        <v>- / -</v>
      </c>
      <c r="Z106" s="50"/>
      <c r="AA106" s="51"/>
      <c r="AB106" s="50"/>
    </row>
    <row r="107" spans="1:28" ht="21" customHeight="1" x14ac:dyDescent="0.15">
      <c r="A107" s="121">
        <v>49015106</v>
      </c>
      <c r="B107" s="47" t="s">
        <v>366</v>
      </c>
      <c r="C107" s="50">
        <v>3</v>
      </c>
      <c r="D107" s="50" t="s">
        <v>127</v>
      </c>
      <c r="E107" s="105" t="s">
        <v>263</v>
      </c>
      <c r="F107" s="105" t="s">
        <v>264</v>
      </c>
      <c r="G107" s="63" t="str">
        <f t="shared" si="212"/>
        <v>[effect:enemy_message, val1:1.2, val2:1.3]</v>
      </c>
      <c r="H107" s="63">
        <f t="shared" si="213"/>
        <v>9</v>
      </c>
      <c r="I107" s="63">
        <f t="shared" si="214"/>
        <v>22</v>
      </c>
      <c r="J107" s="63" t="e">
        <f t="shared" si="215"/>
        <v>#VALUE!</v>
      </c>
      <c r="K107" s="63">
        <f t="shared" si="216"/>
        <v>32</v>
      </c>
      <c r="L107" s="63" t="str">
        <f>IFERROR(VLOOKUP(MID(G107,J107,K107-J107),[6]skilldef!$C:$D,2,FALSE),"-") &amp; " / " &amp; IFERROR(VLOOKUP(MID(G107,H107,I107-H107),[6]skilldef!$A:$B,2,FALSE),"-")</f>
        <v>- / -</v>
      </c>
      <c r="M107" s="63" t="str">
        <f t="shared" si="217"/>
        <v>[effect:fix_speed, target:myself, turn:1]</v>
      </c>
      <c r="N107" s="48" t="str">
        <f t="shared" si="227"/>
        <v>[effect:fix_speed, target:myself, turn:1]</v>
      </c>
      <c r="O107" s="63">
        <f t="shared" si="218"/>
        <v>9</v>
      </c>
      <c r="P107" s="63">
        <f t="shared" si="219"/>
        <v>18</v>
      </c>
      <c r="Q107" s="63">
        <f t="shared" si="220"/>
        <v>27</v>
      </c>
      <c r="R107" s="63">
        <f t="shared" si="221"/>
        <v>33</v>
      </c>
      <c r="S107" s="63" t="str">
        <f>IFERROR(VLOOKUP(MID(N107,Q107,R107-Q107),[6]skilldef!$C:$D,2,FALSE),"-") &amp; " / " &amp; IFERROR(VLOOKUP(MID(N107,O107,P107-O107),[6]skilldef!$A:$B,2,FALSE),"-")</f>
        <v>自分自身に / 行動値設定</v>
      </c>
      <c r="T107" s="48" t="str">
        <f t="shared" si="222"/>
        <v>none</v>
      </c>
      <c r="U107" s="63" t="e">
        <f t="shared" si="223"/>
        <v>#VALUE!</v>
      </c>
      <c r="V107" s="63">
        <f t="shared" si="224"/>
        <v>4</v>
      </c>
      <c r="W107" s="63" t="e">
        <f t="shared" si="225"/>
        <v>#VALUE!</v>
      </c>
      <c r="X107" s="63" t="e">
        <f t="shared" si="226"/>
        <v>#VALUE!</v>
      </c>
      <c r="Y107" s="63" t="str">
        <f>IFERROR(VLOOKUP(MID(T107,W107,X107-W107),[6]skilldef!$C:$D,2,FALSE),"-") &amp; " / " &amp; IFERROR(VLOOKUP(MID(T107,U107,V107-U107),[6]skilldef!$A:$B,2,FALSE),"-")</f>
        <v>- / -</v>
      </c>
      <c r="Z107" s="50"/>
      <c r="AA107" s="51"/>
      <c r="AB107" s="50"/>
    </row>
    <row r="108" spans="1:28" ht="21" customHeight="1" x14ac:dyDescent="0.15">
      <c r="A108" s="121">
        <v>49015107</v>
      </c>
      <c r="B108" s="47" t="s">
        <v>367</v>
      </c>
      <c r="C108" s="50">
        <v>3</v>
      </c>
      <c r="D108" s="50" t="s">
        <v>127</v>
      </c>
      <c r="E108" s="105" t="s">
        <v>265</v>
      </c>
      <c r="F108" s="105" t="s">
        <v>266</v>
      </c>
      <c r="G108" s="63" t="str">
        <f t="shared" si="212"/>
        <v>[effect:enemy_message, val1:1.7, val2:2.4]</v>
      </c>
      <c r="H108" s="63">
        <f t="shared" si="213"/>
        <v>9</v>
      </c>
      <c r="I108" s="63">
        <f t="shared" si="214"/>
        <v>22</v>
      </c>
      <c r="J108" s="63" t="e">
        <f t="shared" si="215"/>
        <v>#VALUE!</v>
      </c>
      <c r="K108" s="63">
        <f t="shared" si="216"/>
        <v>32</v>
      </c>
      <c r="L108" s="63" t="str">
        <f>IFERROR(VLOOKUP(MID(G108,J108,K108-J108),[6]skilldef!$C:$D,2,FALSE),"-") &amp; " / " &amp; IFERROR(VLOOKUP(MID(G108,H108,I108-H108),[6]skilldef!$A:$B,2,FALSE),"-")</f>
        <v>- / -</v>
      </c>
      <c r="M108" s="63" t="str">
        <f t="shared" si="217"/>
        <v>[effect:fix_speed, target:myself, turn:1]</v>
      </c>
      <c r="N108" s="48" t="str">
        <f t="shared" si="227"/>
        <v>[effect:fix_speed, target:myself, turn:1]</v>
      </c>
      <c r="O108" s="63">
        <f t="shared" si="218"/>
        <v>9</v>
      </c>
      <c r="P108" s="63">
        <f t="shared" si="219"/>
        <v>18</v>
      </c>
      <c r="Q108" s="63">
        <f t="shared" si="220"/>
        <v>27</v>
      </c>
      <c r="R108" s="63">
        <f t="shared" si="221"/>
        <v>33</v>
      </c>
      <c r="S108" s="63" t="str">
        <f>IFERROR(VLOOKUP(MID(N108,Q108,R108-Q108),[6]skilldef!$C:$D,2,FALSE),"-") &amp; " / " &amp; IFERROR(VLOOKUP(MID(N108,O108,P108-O108),[6]skilldef!$A:$B,2,FALSE),"-")</f>
        <v>自分自身に / 行動値設定</v>
      </c>
      <c r="T108" s="48" t="str">
        <f t="shared" si="222"/>
        <v>none</v>
      </c>
      <c r="U108" s="63" t="e">
        <f t="shared" si="223"/>
        <v>#VALUE!</v>
      </c>
      <c r="V108" s="63">
        <f t="shared" si="224"/>
        <v>4</v>
      </c>
      <c r="W108" s="63" t="e">
        <f t="shared" si="225"/>
        <v>#VALUE!</v>
      </c>
      <c r="X108" s="63" t="e">
        <f t="shared" si="226"/>
        <v>#VALUE!</v>
      </c>
      <c r="Y108" s="63" t="str">
        <f>IFERROR(VLOOKUP(MID(T108,W108,X108-W108),[6]skilldef!$C:$D,2,FALSE),"-") &amp; " / " &amp; IFERROR(VLOOKUP(MID(T108,U108,V108-U108),[6]skilldef!$A:$B,2,FALSE),"-")</f>
        <v>- / -</v>
      </c>
      <c r="Z108" s="50"/>
      <c r="AA108" s="51"/>
      <c r="AB108" s="50"/>
    </row>
    <row r="109" spans="1:28" ht="21" customHeight="1" x14ac:dyDescent="0.15">
      <c r="A109" s="121">
        <v>49015108</v>
      </c>
      <c r="B109" s="47" t="s">
        <v>447</v>
      </c>
      <c r="C109" s="50">
        <v>3</v>
      </c>
      <c r="D109" s="50" t="s">
        <v>127</v>
      </c>
      <c r="E109" s="105" t="s">
        <v>267</v>
      </c>
      <c r="F109" s="105" t="s">
        <v>268</v>
      </c>
      <c r="G109" s="63" t="str">
        <f t="shared" si="212"/>
        <v>[effect:enemy_message, val1:1.2, val2:1.2]</v>
      </c>
      <c r="H109" s="63">
        <f t="shared" si="213"/>
        <v>9</v>
      </c>
      <c r="I109" s="63">
        <f t="shared" si="214"/>
        <v>22</v>
      </c>
      <c r="J109" s="63" t="e">
        <f t="shared" si="215"/>
        <v>#VALUE!</v>
      </c>
      <c r="K109" s="63">
        <f t="shared" si="216"/>
        <v>32</v>
      </c>
      <c r="L109" s="63" t="str">
        <f>IFERROR(VLOOKUP(MID(G109,J109,K109-J109),[6]skilldef!$C:$D,2,FALSE),"-") &amp; " / " &amp; IFERROR(VLOOKUP(MID(G109,H109,I109-H109),[6]skilldef!$A:$B,2,FALSE),"-")</f>
        <v>- / -</v>
      </c>
      <c r="M109" s="63" t="str">
        <f t="shared" si="217"/>
        <v>[effect:rush, count:4, val:0.12]</v>
      </c>
      <c r="N109" s="48" t="str">
        <f t="shared" si="227"/>
        <v>[effect:rush, count:4, val:0.12]</v>
      </c>
      <c r="O109" s="63">
        <f t="shared" si="218"/>
        <v>9</v>
      </c>
      <c r="P109" s="63">
        <f t="shared" si="219"/>
        <v>13</v>
      </c>
      <c r="Q109" s="63" t="e">
        <f t="shared" si="220"/>
        <v>#VALUE!</v>
      </c>
      <c r="R109" s="63">
        <f t="shared" si="221"/>
        <v>22</v>
      </c>
      <c r="S109" s="63" t="str">
        <f>IFERROR(VLOOKUP(MID(N109,Q109,R109-Q109),[6]skilldef!$C:$D,2,FALSE),"-") &amp; " / " &amp; IFERROR(VLOOKUP(MID(N109,O109,P109-O109),[6]skilldef!$A:$B,2,FALSE),"-")</f>
        <v>- / 連続攻撃</v>
      </c>
      <c r="T109" s="48" t="str">
        <f t="shared" si="222"/>
        <v>none</v>
      </c>
      <c r="U109" s="63" t="e">
        <f t="shared" si="223"/>
        <v>#VALUE!</v>
      </c>
      <c r="V109" s="63">
        <f t="shared" si="224"/>
        <v>4</v>
      </c>
      <c r="W109" s="63" t="e">
        <f t="shared" si="225"/>
        <v>#VALUE!</v>
      </c>
      <c r="X109" s="63" t="e">
        <f t="shared" si="226"/>
        <v>#VALUE!</v>
      </c>
      <c r="Y109" s="63" t="str">
        <f>IFERROR(VLOOKUP(MID(T109,W109,X109-W109),[6]skilldef!$C:$D,2,FALSE),"-") &amp; " / " &amp; IFERROR(VLOOKUP(MID(T109,U109,V109-U109),[6]skilldef!$A:$B,2,FALSE),"-")</f>
        <v>- / -</v>
      </c>
      <c r="Z109" s="50"/>
      <c r="AA109" s="51"/>
      <c r="AB109" s="50"/>
    </row>
    <row r="110" spans="1:28" ht="21" customHeight="1" x14ac:dyDescent="0.15">
      <c r="A110" s="121">
        <v>49015109</v>
      </c>
      <c r="B110" s="47" t="s">
        <v>462</v>
      </c>
      <c r="C110" s="50">
        <v>3</v>
      </c>
      <c r="D110" s="50" t="s">
        <v>127</v>
      </c>
      <c r="E110" s="105" t="s">
        <v>610</v>
      </c>
      <c r="F110" s="105" t="s">
        <v>269</v>
      </c>
      <c r="G110" s="63" t="str">
        <f t="shared" si="212"/>
        <v>[effect:enemy_message, val1:1.6, val2:1.2]</v>
      </c>
      <c r="H110" s="63">
        <f t="shared" si="213"/>
        <v>9</v>
      </c>
      <c r="I110" s="63">
        <f t="shared" si="214"/>
        <v>22</v>
      </c>
      <c r="J110" s="63" t="e">
        <f t="shared" si="215"/>
        <v>#VALUE!</v>
      </c>
      <c r="K110" s="63">
        <f t="shared" si="216"/>
        <v>32</v>
      </c>
      <c r="L110" s="63" t="str">
        <f>IFERROR(VLOOKUP(MID(G110,J110,K110-J110),[6]skilldef!$C:$D,2,FALSE),"-") &amp; " / " &amp; IFERROR(VLOOKUP(MID(G110,H110,I110-H110),[6]skilldef!$A:$B,2,FALSE),"-")</f>
        <v>- / -</v>
      </c>
      <c r="M110" s="63" t="str">
        <f t="shared" si="217"/>
        <v>[effect:spread, val:0.14]</v>
      </c>
      <c r="N110" s="48" t="str">
        <f t="shared" si="227"/>
        <v>[effect:spread, val:0.14]</v>
      </c>
      <c r="O110" s="63">
        <f t="shared" si="218"/>
        <v>9</v>
      </c>
      <c r="P110" s="63">
        <f t="shared" si="219"/>
        <v>15</v>
      </c>
      <c r="Q110" s="63" t="e">
        <f t="shared" si="220"/>
        <v>#VALUE!</v>
      </c>
      <c r="R110" s="63" t="e">
        <f t="shared" si="221"/>
        <v>#VALUE!</v>
      </c>
      <c r="S110" s="63" t="str">
        <f>IFERROR(VLOOKUP(MID(N110,Q110,R110-Q110),[6]skilldef!$C:$D,2,FALSE),"-") &amp; " / " &amp; IFERROR(VLOOKUP(MID(N110,O110,P110-O110),[6]skilldef!$A:$B,2,FALSE),"-")</f>
        <v>- / 全体攻撃</v>
      </c>
      <c r="T110" s="48" t="str">
        <f t="shared" si="222"/>
        <v>none</v>
      </c>
      <c r="U110" s="63" t="e">
        <f t="shared" si="223"/>
        <v>#VALUE!</v>
      </c>
      <c r="V110" s="63">
        <f t="shared" si="224"/>
        <v>4</v>
      </c>
      <c r="W110" s="63" t="e">
        <f t="shared" si="225"/>
        <v>#VALUE!</v>
      </c>
      <c r="X110" s="63" t="e">
        <f t="shared" si="226"/>
        <v>#VALUE!</v>
      </c>
      <c r="Y110" s="63" t="str">
        <f>IFERROR(VLOOKUP(MID(T110,W110,X110-W110),[6]skilldef!$C:$D,2,FALSE),"-") &amp; " / " &amp; IFERROR(VLOOKUP(MID(T110,U110,V110-U110),[6]skilldef!$A:$B,2,FALSE),"-")</f>
        <v>- / -</v>
      </c>
      <c r="Z110" s="50"/>
      <c r="AA110" s="51"/>
      <c r="AB110" s="50"/>
    </row>
    <row r="111" spans="1:28" ht="21" customHeight="1" thickBot="1" x14ac:dyDescent="0.2">
      <c r="A111" s="122">
        <v>49015110</v>
      </c>
      <c r="B111" s="111" t="s">
        <v>370</v>
      </c>
      <c r="C111" s="50">
        <v>3</v>
      </c>
      <c r="D111" s="112" t="s">
        <v>127</v>
      </c>
      <c r="E111" s="117" t="s">
        <v>369</v>
      </c>
      <c r="F111" s="117" t="s">
        <v>284</v>
      </c>
      <c r="G111" s="113" t="str">
        <f t="shared" si="212"/>
        <v>[effect:enemy_message, val1:1.2, val2:1.2]</v>
      </c>
      <c r="H111" s="113">
        <f t="shared" si="213"/>
        <v>9</v>
      </c>
      <c r="I111" s="113">
        <f t="shared" si="214"/>
        <v>22</v>
      </c>
      <c r="J111" s="113" t="e">
        <f t="shared" si="215"/>
        <v>#VALUE!</v>
      </c>
      <c r="K111" s="113">
        <f t="shared" si="216"/>
        <v>32</v>
      </c>
      <c r="L111" s="113" t="str">
        <f>IFERROR(VLOOKUP(MID(G111,J111,K111-J111),[6]skilldef!$C:$D,2,FALSE),"-") &amp; " / " &amp; IFERROR(VLOOKUP(MID(G111,H111,I111-H111),[6]skilldef!$A:$B,2,FALSE),"-")</f>
        <v>- / -</v>
      </c>
      <c r="M111" s="113" t="str">
        <f t="shared" si="217"/>
        <v>[effect:critical, val:1.1, animation:enemy_critical]</v>
      </c>
      <c r="N111" s="114" t="str">
        <f t="shared" si="227"/>
        <v>[effect:critical, val:1.1, animation:enemy_critical]</v>
      </c>
      <c r="O111" s="113">
        <f t="shared" si="218"/>
        <v>9</v>
      </c>
      <c r="P111" s="113">
        <f t="shared" si="219"/>
        <v>17</v>
      </c>
      <c r="Q111" s="113" t="e">
        <f t="shared" si="220"/>
        <v>#VALUE!</v>
      </c>
      <c r="R111" s="113">
        <f t="shared" si="221"/>
        <v>26</v>
      </c>
      <c r="S111" s="113" t="str">
        <f>IFERROR(VLOOKUP(MID(N111,Q111,R111-Q111),[6]skilldef!$C:$D,2,FALSE),"-") &amp; " / " &amp; IFERROR(VLOOKUP(MID(N111,O111,P111-O111),[6]skilldef!$A:$B,2,FALSE),"-")</f>
        <v>- / 大攻撃</v>
      </c>
      <c r="T111" s="114" t="str">
        <f t="shared" si="222"/>
        <v>none</v>
      </c>
      <c r="U111" s="113" t="e">
        <f t="shared" si="223"/>
        <v>#VALUE!</v>
      </c>
      <c r="V111" s="113">
        <f t="shared" si="224"/>
        <v>4</v>
      </c>
      <c r="W111" s="113" t="e">
        <f t="shared" si="225"/>
        <v>#VALUE!</v>
      </c>
      <c r="X111" s="113" t="e">
        <f t="shared" si="226"/>
        <v>#VALUE!</v>
      </c>
      <c r="Y111" s="113" t="str">
        <f>IFERROR(VLOOKUP(MID(T111,W111,X111-W111),[6]skilldef!$C:$D,2,FALSE),"-") &amp; " / " &amp; IFERROR(VLOOKUP(MID(T111,U111,V111-U111),[6]skilldef!$A:$B,2,FALSE),"-")</f>
        <v>- / -</v>
      </c>
      <c r="Z111" s="112"/>
      <c r="AA111" s="115"/>
      <c r="AB111" s="112"/>
    </row>
    <row r="112" spans="1:28" ht="21" customHeight="1" x14ac:dyDescent="0.15">
      <c r="A112" s="123">
        <v>49015111</v>
      </c>
      <c r="B112" s="106" t="s">
        <v>365</v>
      </c>
      <c r="C112" s="50">
        <v>3</v>
      </c>
      <c r="D112" s="107" t="s">
        <v>127</v>
      </c>
      <c r="E112" s="120" t="s">
        <v>270</v>
      </c>
      <c r="F112" s="120" t="s">
        <v>261</v>
      </c>
      <c r="G112" s="108" t="str">
        <f t="shared" si="212"/>
        <v>[effect:enemy_message, val1:1.4, val2:0]</v>
      </c>
      <c r="H112" s="108">
        <f t="shared" si="213"/>
        <v>9</v>
      </c>
      <c r="I112" s="108">
        <f t="shared" si="214"/>
        <v>22</v>
      </c>
      <c r="J112" s="108" t="e">
        <f t="shared" si="215"/>
        <v>#VALUE!</v>
      </c>
      <c r="K112" s="108">
        <f t="shared" si="216"/>
        <v>32</v>
      </c>
      <c r="L112" s="108" t="str">
        <f>IFERROR(VLOOKUP(MID(G112,J112,K112-J112),[6]skilldef!$C:$D,2,FALSE),"-") &amp; " / " &amp; IFERROR(VLOOKUP(MID(G112,H112,I112-H112),[6]skilldef!$A:$B,2,FALSE),"-")</f>
        <v>- / -</v>
      </c>
      <c r="M112" s="108" t="str">
        <f t="shared" si="217"/>
        <v>[effect:fix_speed, target:myself, turn:1]</v>
      </c>
      <c r="N112" s="109" t="str">
        <f t="shared" si="227"/>
        <v>[effect:fix_speed, target:myself, turn:1]</v>
      </c>
      <c r="O112" s="108">
        <f t="shared" si="218"/>
        <v>9</v>
      </c>
      <c r="P112" s="108">
        <f t="shared" si="219"/>
        <v>18</v>
      </c>
      <c r="Q112" s="108">
        <f t="shared" si="220"/>
        <v>27</v>
      </c>
      <c r="R112" s="108">
        <f t="shared" si="221"/>
        <v>33</v>
      </c>
      <c r="S112" s="108" t="str">
        <f>IFERROR(VLOOKUP(MID(N112,Q112,R112-Q112),[6]skilldef!$C:$D,2,FALSE),"-") &amp; " / " &amp; IFERROR(VLOOKUP(MID(N112,O112,P112-O112),[6]skilldef!$A:$B,2,FALSE),"-")</f>
        <v>自分自身に / 行動値設定</v>
      </c>
      <c r="T112" s="109" t="str">
        <f t="shared" si="222"/>
        <v>none</v>
      </c>
      <c r="U112" s="108" t="e">
        <f t="shared" si="223"/>
        <v>#VALUE!</v>
      </c>
      <c r="V112" s="108">
        <f t="shared" si="224"/>
        <v>4</v>
      </c>
      <c r="W112" s="108" t="e">
        <f t="shared" si="225"/>
        <v>#VALUE!</v>
      </c>
      <c r="X112" s="108" t="e">
        <f t="shared" si="226"/>
        <v>#VALUE!</v>
      </c>
      <c r="Y112" s="108" t="str">
        <f>IFERROR(VLOOKUP(MID(T112,W112,X112-W112),[6]skilldef!$C:$D,2,FALSE),"-") &amp; " / " &amp; IFERROR(VLOOKUP(MID(T112,U112,V112-U112),[6]skilldef!$A:$B,2,FALSE),"-")</f>
        <v>- / -</v>
      </c>
      <c r="Z112" s="107"/>
      <c r="AA112" s="110"/>
      <c r="AB112" s="107"/>
    </row>
    <row r="113" spans="1:28" ht="21" customHeight="1" x14ac:dyDescent="0.15">
      <c r="A113" s="121">
        <v>49015112</v>
      </c>
      <c r="B113" s="47" t="s">
        <v>444</v>
      </c>
      <c r="C113" s="50">
        <v>3</v>
      </c>
      <c r="D113" s="50" t="s">
        <v>127</v>
      </c>
      <c r="E113" s="105" t="s">
        <v>267</v>
      </c>
      <c r="F113" s="105" t="s">
        <v>268</v>
      </c>
      <c r="G113" s="63" t="str">
        <f t="shared" si="212"/>
        <v>[effect:enemy_message, val1:1.2, val2:1.2]</v>
      </c>
      <c r="H113" s="63">
        <f t="shared" si="213"/>
        <v>9</v>
      </c>
      <c r="I113" s="63">
        <f t="shared" si="214"/>
        <v>22</v>
      </c>
      <c r="J113" s="63" t="e">
        <f t="shared" si="215"/>
        <v>#VALUE!</v>
      </c>
      <c r="K113" s="63">
        <f t="shared" si="216"/>
        <v>32</v>
      </c>
      <c r="L113" s="63" t="str">
        <f>IFERROR(VLOOKUP(MID(G113,J113,K113-J113),[6]skilldef!$C:$D,2,FALSE),"-") &amp; " / " &amp; IFERROR(VLOOKUP(MID(G113,H113,I113-H113),[6]skilldef!$A:$B,2,FALSE),"-")</f>
        <v>- / -</v>
      </c>
      <c r="M113" s="63" t="str">
        <f t="shared" si="217"/>
        <v>[effect:rush, count:4, val:0.14]</v>
      </c>
      <c r="N113" s="48" t="str">
        <f t="shared" si="227"/>
        <v>[effect:rush, count:4, val:0.14]</v>
      </c>
      <c r="O113" s="63">
        <f t="shared" si="218"/>
        <v>9</v>
      </c>
      <c r="P113" s="63">
        <f t="shared" si="219"/>
        <v>13</v>
      </c>
      <c r="Q113" s="63" t="e">
        <f t="shared" si="220"/>
        <v>#VALUE!</v>
      </c>
      <c r="R113" s="63">
        <f t="shared" si="221"/>
        <v>22</v>
      </c>
      <c r="S113" s="63" t="str">
        <f>IFERROR(VLOOKUP(MID(N113,Q113,R113-Q113),[6]skilldef!$C:$D,2,FALSE),"-") &amp; " / " &amp; IFERROR(VLOOKUP(MID(N113,O113,P113-O113),[6]skilldef!$A:$B,2,FALSE),"-")</f>
        <v>- / 連続攻撃</v>
      </c>
      <c r="T113" s="48" t="str">
        <f t="shared" si="222"/>
        <v>none</v>
      </c>
      <c r="U113" s="63" t="e">
        <f t="shared" si="223"/>
        <v>#VALUE!</v>
      </c>
      <c r="V113" s="63">
        <f t="shared" si="224"/>
        <v>4</v>
      </c>
      <c r="W113" s="63" t="e">
        <f t="shared" si="225"/>
        <v>#VALUE!</v>
      </c>
      <c r="X113" s="63" t="e">
        <f t="shared" si="226"/>
        <v>#VALUE!</v>
      </c>
      <c r="Y113" s="63" t="str">
        <f>IFERROR(VLOOKUP(MID(T113,W113,X113-W113),[6]skilldef!$C:$D,2,FALSE),"-") &amp; " / " &amp; IFERROR(VLOOKUP(MID(T113,U113,V113-U113),[6]skilldef!$A:$B,2,FALSE),"-")</f>
        <v>- / -</v>
      </c>
      <c r="Z113" s="50"/>
      <c r="AA113" s="51"/>
      <c r="AB113" s="50"/>
    </row>
    <row r="114" spans="1:28" ht="21" customHeight="1" x14ac:dyDescent="0.15">
      <c r="A114" s="121">
        <v>49015113</v>
      </c>
      <c r="B114" s="47" t="s">
        <v>445</v>
      </c>
      <c r="C114" s="50">
        <v>3</v>
      </c>
      <c r="D114" s="50" t="s">
        <v>127</v>
      </c>
      <c r="E114" s="105" t="s">
        <v>610</v>
      </c>
      <c r="F114" s="105" t="s">
        <v>269</v>
      </c>
      <c r="G114" s="63" t="str">
        <f t="shared" si="212"/>
        <v>[effect:enemy_message, val1:1.6, val2:1.2]</v>
      </c>
      <c r="H114" s="63">
        <f t="shared" si="213"/>
        <v>9</v>
      </c>
      <c r="I114" s="63">
        <f t="shared" si="214"/>
        <v>22</v>
      </c>
      <c r="J114" s="63" t="e">
        <f t="shared" si="215"/>
        <v>#VALUE!</v>
      </c>
      <c r="K114" s="63">
        <f t="shared" si="216"/>
        <v>32</v>
      </c>
      <c r="L114" s="63" t="str">
        <f>IFERROR(VLOOKUP(MID(G114,J114,K114-J114),[6]skilldef!$C:$D,2,FALSE),"-") &amp; " / " &amp; IFERROR(VLOOKUP(MID(G114,H114,I114-H114),[6]skilldef!$A:$B,2,FALSE),"-")</f>
        <v>- / -</v>
      </c>
      <c r="M114" s="63" t="str">
        <f t="shared" si="217"/>
        <v>[effect:spread, val:0.16]</v>
      </c>
      <c r="N114" s="48" t="str">
        <f t="shared" si="227"/>
        <v>[effect:spread, val:0.16]</v>
      </c>
      <c r="O114" s="63">
        <f t="shared" si="218"/>
        <v>9</v>
      </c>
      <c r="P114" s="63">
        <f t="shared" si="219"/>
        <v>15</v>
      </c>
      <c r="Q114" s="63" t="e">
        <f t="shared" si="220"/>
        <v>#VALUE!</v>
      </c>
      <c r="R114" s="63" t="e">
        <f t="shared" si="221"/>
        <v>#VALUE!</v>
      </c>
      <c r="S114" s="63" t="str">
        <f>IFERROR(VLOOKUP(MID(N114,Q114,R114-Q114),[6]skilldef!$C:$D,2,FALSE),"-") &amp; " / " &amp; IFERROR(VLOOKUP(MID(N114,O114,P114-O114),[6]skilldef!$A:$B,2,FALSE),"-")</f>
        <v>- / 全体攻撃</v>
      </c>
      <c r="T114" s="48" t="str">
        <f t="shared" si="222"/>
        <v>none</v>
      </c>
      <c r="U114" s="63" t="e">
        <f t="shared" si="223"/>
        <v>#VALUE!</v>
      </c>
      <c r="V114" s="63">
        <f t="shared" si="224"/>
        <v>4</v>
      </c>
      <c r="W114" s="63" t="e">
        <f t="shared" si="225"/>
        <v>#VALUE!</v>
      </c>
      <c r="X114" s="63" t="e">
        <f t="shared" si="226"/>
        <v>#VALUE!</v>
      </c>
      <c r="Y114" s="63" t="str">
        <f>IFERROR(VLOOKUP(MID(T114,W114,X114-W114),[6]skilldef!$C:$D,2,FALSE),"-") &amp; " / " &amp; IFERROR(VLOOKUP(MID(T114,U114,V114-U114),[6]skilldef!$A:$B,2,FALSE),"-")</f>
        <v>- / -</v>
      </c>
      <c r="Z114" s="50"/>
      <c r="AA114" s="51"/>
      <c r="AB114" s="50"/>
    </row>
    <row r="115" spans="1:28" ht="21" customHeight="1" x14ac:dyDescent="0.15">
      <c r="A115" s="121">
        <v>49015114</v>
      </c>
      <c r="B115" s="47" t="s">
        <v>370</v>
      </c>
      <c r="C115" s="50">
        <v>3</v>
      </c>
      <c r="D115" s="50" t="s">
        <v>127</v>
      </c>
      <c r="E115" s="105" t="s">
        <v>271</v>
      </c>
      <c r="F115" s="105" t="s">
        <v>284</v>
      </c>
      <c r="G115" s="63" t="str">
        <f t="shared" si="212"/>
        <v>[effect:enemy_message, val1:1.2, val2:1.2]</v>
      </c>
      <c r="H115" s="63">
        <f t="shared" si="213"/>
        <v>9</v>
      </c>
      <c r="I115" s="63">
        <f t="shared" si="214"/>
        <v>22</v>
      </c>
      <c r="J115" s="63" t="e">
        <f t="shared" si="215"/>
        <v>#VALUE!</v>
      </c>
      <c r="K115" s="63">
        <f t="shared" si="216"/>
        <v>32</v>
      </c>
      <c r="L115" s="63" t="str">
        <f>IFERROR(VLOOKUP(MID(G115,J115,K115-J115),[6]skilldef!$C:$D,2,FALSE),"-") &amp; " / " &amp; IFERROR(VLOOKUP(MID(G115,H115,I115-H115),[6]skilldef!$A:$B,2,FALSE),"-")</f>
        <v>- / -</v>
      </c>
      <c r="M115" s="63" t="str">
        <f t="shared" si="217"/>
        <v>[effect:critical, val:1.1, animation:enemy_critical]</v>
      </c>
      <c r="N115" s="48" t="str">
        <f t="shared" si="227"/>
        <v>[effect:critical, val:1.1, animation:enemy_critical]</v>
      </c>
      <c r="O115" s="63">
        <f t="shared" si="218"/>
        <v>9</v>
      </c>
      <c r="P115" s="63">
        <f t="shared" si="219"/>
        <v>17</v>
      </c>
      <c r="Q115" s="63" t="e">
        <f t="shared" si="220"/>
        <v>#VALUE!</v>
      </c>
      <c r="R115" s="63">
        <f t="shared" si="221"/>
        <v>26</v>
      </c>
      <c r="S115" s="63" t="str">
        <f>IFERROR(VLOOKUP(MID(N115,Q115,R115-Q115),[6]skilldef!$C:$D,2,FALSE),"-") &amp; " / " &amp; IFERROR(VLOOKUP(MID(N115,O115,P115-O115),[6]skilldef!$A:$B,2,FALSE),"-")</f>
        <v>- / 大攻撃</v>
      </c>
      <c r="T115" s="48" t="str">
        <f t="shared" si="222"/>
        <v>none</v>
      </c>
      <c r="U115" s="63" t="e">
        <f t="shared" si="223"/>
        <v>#VALUE!</v>
      </c>
      <c r="V115" s="63">
        <f t="shared" si="224"/>
        <v>4</v>
      </c>
      <c r="W115" s="63" t="e">
        <f t="shared" si="225"/>
        <v>#VALUE!</v>
      </c>
      <c r="X115" s="63" t="e">
        <f t="shared" si="226"/>
        <v>#VALUE!</v>
      </c>
      <c r="Y115" s="63" t="str">
        <f>IFERROR(VLOOKUP(MID(T115,W115,X115-W115),[6]skilldef!$C:$D,2,FALSE),"-") &amp; " / " &amp; IFERROR(VLOOKUP(MID(T115,U115,V115-U115),[6]skilldef!$A:$B,2,FALSE),"-")</f>
        <v>- / -</v>
      </c>
      <c r="Z115" s="50"/>
      <c r="AA115" s="51"/>
      <c r="AB115" s="50"/>
    </row>
    <row r="116" spans="1:28" ht="21" customHeight="1" thickBot="1" x14ac:dyDescent="0.2">
      <c r="A116" s="122">
        <v>49015115</v>
      </c>
      <c r="B116" s="111" t="s">
        <v>355</v>
      </c>
      <c r="C116" s="50">
        <v>3</v>
      </c>
      <c r="D116" s="112" t="s">
        <v>127</v>
      </c>
      <c r="E116" s="117" t="s">
        <v>273</v>
      </c>
      <c r="F116" s="117" t="s">
        <v>272</v>
      </c>
      <c r="G116" s="113" t="str">
        <f t="shared" si="212"/>
        <v>[effect:enemy_message, val1:1.2, val2:1.2]</v>
      </c>
      <c r="H116" s="113">
        <f t="shared" si="213"/>
        <v>9</v>
      </c>
      <c r="I116" s="113">
        <f t="shared" si="214"/>
        <v>22</v>
      </c>
      <c r="J116" s="113" t="e">
        <f t="shared" si="215"/>
        <v>#VALUE!</v>
      </c>
      <c r="K116" s="113">
        <f t="shared" si="216"/>
        <v>32</v>
      </c>
      <c r="L116" s="113" t="str">
        <f>IFERROR(VLOOKUP(MID(G116,J116,K116-J116),[6]skilldef!$C:$D,2,FALSE),"-") &amp; " / " &amp; IFERROR(VLOOKUP(MID(G116,H116,I116-H116),[6]skilldef!$A:$B,2,FALSE),"-")</f>
        <v>- / -</v>
      </c>
      <c r="M116" s="113" t="str">
        <f t="shared" si="217"/>
        <v>[effect:suicide, target:myself, val:1, dead_type:escape, animation:enemy_suicide]</v>
      </c>
      <c r="N116" s="114" t="str">
        <f t="shared" si="227"/>
        <v>[effect:suicide, target:myself, val:1, dead_type:escape, animation:enemy_suicide]</v>
      </c>
      <c r="O116" s="113">
        <f t="shared" si="218"/>
        <v>9</v>
      </c>
      <c r="P116" s="113">
        <f t="shared" si="219"/>
        <v>16</v>
      </c>
      <c r="Q116" s="113">
        <f t="shared" si="220"/>
        <v>25</v>
      </c>
      <c r="R116" s="113">
        <f t="shared" si="221"/>
        <v>31</v>
      </c>
      <c r="S116" s="113" t="str">
        <f>IFERROR(VLOOKUP(MID(N116,Q116,R116-Q116),[6]skilldef!$C:$D,2,FALSE),"-") &amp; " / " &amp; IFERROR(VLOOKUP(MID(N116,O116,P116-O116),[6]skilldef!$A:$B,2,FALSE),"-")</f>
        <v>自分自身に / -</v>
      </c>
      <c r="T116" s="114" t="str">
        <f t="shared" si="222"/>
        <v>none</v>
      </c>
      <c r="U116" s="113" t="e">
        <f t="shared" si="223"/>
        <v>#VALUE!</v>
      </c>
      <c r="V116" s="113">
        <f t="shared" si="224"/>
        <v>4</v>
      </c>
      <c r="W116" s="113" t="e">
        <f t="shared" si="225"/>
        <v>#VALUE!</v>
      </c>
      <c r="X116" s="113" t="e">
        <f t="shared" si="226"/>
        <v>#VALUE!</v>
      </c>
      <c r="Y116" s="113" t="str">
        <f>IFERROR(VLOOKUP(MID(T116,W116,X116-W116),[6]skilldef!$C:$D,2,FALSE),"-") &amp; " / " &amp; IFERROR(VLOOKUP(MID(T116,U116,V116-U116),[6]skilldef!$A:$B,2,FALSE),"-")</f>
        <v>- / -</v>
      </c>
      <c r="Z116" s="112"/>
      <c r="AA116" s="115"/>
      <c r="AB116" s="112"/>
    </row>
    <row r="117" spans="1:28" ht="21" customHeight="1" x14ac:dyDescent="0.15">
      <c r="A117" s="124">
        <v>49015116</v>
      </c>
      <c r="B117" s="146" t="s">
        <v>506</v>
      </c>
      <c r="C117" s="50">
        <v>3</v>
      </c>
      <c r="D117" s="107" t="s">
        <v>127</v>
      </c>
      <c r="E117" s="118" t="s">
        <v>371</v>
      </c>
      <c r="F117" s="118" t="s">
        <v>443</v>
      </c>
      <c r="G117" s="108" t="str">
        <f t="shared" si="212"/>
        <v>[effect:enemy_message, val1:1.4, val2:2.0]</v>
      </c>
      <c r="H117" s="108">
        <f t="shared" si="213"/>
        <v>9</v>
      </c>
      <c r="I117" s="108">
        <f t="shared" si="214"/>
        <v>22</v>
      </c>
      <c r="J117" s="108" t="e">
        <f t="shared" si="215"/>
        <v>#VALUE!</v>
      </c>
      <c r="K117" s="108">
        <f t="shared" si="216"/>
        <v>32</v>
      </c>
      <c r="L117" s="108" t="str">
        <f>IFERROR(VLOOKUP(MID(G117,J117,K117-J117),[6]skilldef!$C:$D,2,FALSE),"-") &amp; " / " &amp; IFERROR(VLOOKUP(MID(G117,H117,I117-H117),[6]skilldef!$A:$B,2,FALSE),"-")</f>
        <v>- / -</v>
      </c>
      <c r="M117" s="108" t="str">
        <f t="shared" si="217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117" s="109" t="str">
        <f t="shared" si="227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117" s="108">
        <f t="shared" si="218"/>
        <v>9</v>
      </c>
      <c r="P117" s="108">
        <f t="shared" si="219"/>
        <v>18</v>
      </c>
      <c r="Q117" s="108">
        <f t="shared" si="220"/>
        <v>27</v>
      </c>
      <c r="R117" s="108">
        <f t="shared" si="221"/>
        <v>33</v>
      </c>
      <c r="S117" s="108" t="str">
        <f>IFERROR(VLOOKUP(MID(N117,Q117,R117-Q117),[6]skilldef!$C:$D,2,FALSE),"-") &amp; " / " &amp; IFERROR(VLOOKUP(MID(N117,O117,P117-O117),[6]skilldef!$A:$B,2,FALSE),"-")</f>
        <v>自分自身に / 行動値設定</v>
      </c>
      <c r="T117" s="109" t="str">
        <f t="shared" si="222"/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117" s="108">
        <f t="shared" si="223"/>
        <v>9</v>
      </c>
      <c r="V117" s="108">
        <f t="shared" si="224"/>
        <v>27</v>
      </c>
      <c r="W117" s="108">
        <f t="shared" si="225"/>
        <v>141</v>
      </c>
      <c r="X117" s="108">
        <f t="shared" si="226"/>
        <v>43</v>
      </c>
      <c r="Y117" s="108" t="str">
        <f>IFERROR(VLOOKUP(MID(T117,W117,X117-W117),[6]skilldef!$C:$D,2,FALSE),"-") &amp; " / " &amp; IFERROR(VLOOKUP(MID(T117,U117,V117-U117),[6]skilldef!$A:$B,2,FALSE),"-")</f>
        <v>- / -</v>
      </c>
      <c r="Z117" s="107"/>
      <c r="AA117" s="110"/>
      <c r="AB117" s="107"/>
    </row>
    <row r="118" spans="1:28" ht="280" x14ac:dyDescent="0.15">
      <c r="A118" s="124">
        <v>49015117</v>
      </c>
      <c r="B118" s="146" t="s">
        <v>507</v>
      </c>
      <c r="C118" s="50">
        <v>3</v>
      </c>
      <c r="D118" s="50" t="s">
        <v>127</v>
      </c>
      <c r="E118" s="119" t="s">
        <v>274</v>
      </c>
      <c r="F118" s="105" t="s">
        <v>275</v>
      </c>
      <c r="G118" s="63" t="str">
        <f t="shared" si="212"/>
        <v>[effect:enemy_message, val1:2.2, val2:1.2]</v>
      </c>
      <c r="H118" s="63">
        <f t="shared" si="213"/>
        <v>9</v>
      </c>
      <c r="I118" s="63">
        <f t="shared" si="214"/>
        <v>22</v>
      </c>
      <c r="J118" s="63" t="e">
        <f t="shared" si="215"/>
        <v>#VALUE!</v>
      </c>
      <c r="K118" s="63">
        <f t="shared" si="216"/>
        <v>32</v>
      </c>
      <c r="L118" s="63" t="str">
        <f>IFERROR(VLOOKUP(MID(G118,J118,K118-J118),[6]skilldef!$C:$D,2,FALSE),"-") &amp; " / " &amp; IFERROR(VLOOKUP(MID(G118,H118,I118-H118),[6]skilldef!$A:$B,2,FALSE),"-")</f>
        <v>- / -</v>
      </c>
      <c r="M118" s="63" t="str">
        <f t="shared" si="217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118" s="48" t="str">
        <f t="shared" si="227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118" s="63">
        <f t="shared" si="218"/>
        <v>9</v>
      </c>
      <c r="P118" s="63">
        <f t="shared" si="219"/>
        <v>18</v>
      </c>
      <c r="Q118" s="63">
        <f t="shared" si="220"/>
        <v>27</v>
      </c>
      <c r="R118" s="63">
        <f t="shared" si="221"/>
        <v>33</v>
      </c>
      <c r="S118" s="63" t="str">
        <f>IFERROR(VLOOKUP(MID(N118,Q118,R118-Q118),[6]skilldef!$C:$D,2,FALSE),"-") &amp; " / " &amp; IFERROR(VLOOKUP(MID(N118,O118,P118-O118),[6]skilldef!$A:$B,2,FALSE),"-")</f>
        <v>自分自身に / 行動値設定</v>
      </c>
      <c r="T118" s="48" t="str">
        <f t="shared" si="222"/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118" s="63">
        <f t="shared" si="223"/>
        <v>9</v>
      </c>
      <c r="V118" s="63">
        <f t="shared" si="224"/>
        <v>27</v>
      </c>
      <c r="W118" s="63">
        <f t="shared" si="225"/>
        <v>141</v>
      </c>
      <c r="X118" s="63">
        <f t="shared" si="226"/>
        <v>43</v>
      </c>
      <c r="Y118" s="63" t="str">
        <f>IFERROR(VLOOKUP(MID(T118,W118,X118-W118),[6]skilldef!$C:$D,2,FALSE),"-") &amp; " / " &amp; IFERROR(VLOOKUP(MID(T118,U118,V118-U118),[6]skilldef!$A:$B,2,FALSE),"-")</f>
        <v>- / -</v>
      </c>
      <c r="Z118" s="50"/>
      <c r="AA118" s="51"/>
      <c r="AB118" s="50"/>
    </row>
    <row r="119" spans="1:28" ht="21" customHeight="1" x14ac:dyDescent="0.15">
      <c r="A119" s="124">
        <v>49015118</v>
      </c>
      <c r="B119" s="146" t="s">
        <v>508</v>
      </c>
      <c r="C119" s="50">
        <v>3</v>
      </c>
      <c r="D119" s="50" t="s">
        <v>127</v>
      </c>
      <c r="E119" s="105" t="s">
        <v>276</v>
      </c>
      <c r="F119" s="156" t="s">
        <v>411</v>
      </c>
      <c r="G119" s="63" t="str">
        <f t="shared" si="212"/>
        <v>[effect:enemy_message, val1:1.8, val2:1.2]</v>
      </c>
      <c r="H119" s="63">
        <f t="shared" si="213"/>
        <v>9</v>
      </c>
      <c r="I119" s="63">
        <f t="shared" si="214"/>
        <v>22</v>
      </c>
      <c r="J119" s="63" t="e">
        <f t="shared" si="215"/>
        <v>#VALUE!</v>
      </c>
      <c r="K119" s="63">
        <f t="shared" si="216"/>
        <v>32</v>
      </c>
      <c r="L119" s="63" t="str">
        <f>IFERROR(VLOOKUP(MID(G119,J119,K119-J119),[6]skilldef!$C:$D,2,FALSE),"-") &amp; " / " &amp; IFERROR(VLOOKUP(MID(G119,H119,I119-H119),[6]skilldef!$A:$B,2,FALSE),"-")</f>
        <v>- / -</v>
      </c>
      <c r="M119" s="63" t="str">
        <f t="shared" si="217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119" s="48" t="str">
        <f t="shared" si="227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119" s="63">
        <f t="shared" si="218"/>
        <v>9</v>
      </c>
      <c r="P119" s="63">
        <f t="shared" si="219"/>
        <v>18</v>
      </c>
      <c r="Q119" s="63">
        <f t="shared" si="220"/>
        <v>27</v>
      </c>
      <c r="R119" s="63">
        <f t="shared" si="221"/>
        <v>33</v>
      </c>
      <c r="S119" s="63" t="str">
        <f>IFERROR(VLOOKUP(MID(N119,Q119,R119-Q119),[6]skilldef!$C:$D,2,FALSE),"-") &amp; " / " &amp; IFERROR(VLOOKUP(MID(N119,O119,P119-O119),[6]skilldef!$A:$B,2,FALSE),"-")</f>
        <v>自分自身に / 行動値設定</v>
      </c>
      <c r="T119" s="48" t="str">
        <f t="shared" si="222"/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119" s="63">
        <f t="shared" si="223"/>
        <v>9</v>
      </c>
      <c r="V119" s="63">
        <f t="shared" si="224"/>
        <v>27</v>
      </c>
      <c r="W119" s="63">
        <f t="shared" si="225"/>
        <v>141</v>
      </c>
      <c r="X119" s="63">
        <f t="shared" si="226"/>
        <v>43</v>
      </c>
      <c r="Y119" s="63" t="str">
        <f>IFERROR(VLOOKUP(MID(T119,W119,X119-W119),[6]skilldef!$C:$D,2,FALSE),"-") &amp; " / " &amp; IFERROR(VLOOKUP(MID(T119,U119,V119-U119),[6]skilldef!$A:$B,2,FALSE),"-")</f>
        <v>- / -</v>
      </c>
      <c r="Z119" s="50"/>
      <c r="AA119" s="51"/>
      <c r="AB119" s="50"/>
    </row>
    <row r="120" spans="1:28" ht="336" x14ac:dyDescent="0.15">
      <c r="A120" s="124">
        <v>49015119</v>
      </c>
      <c r="B120" s="146" t="s">
        <v>599</v>
      </c>
      <c r="C120" s="50">
        <v>3</v>
      </c>
      <c r="D120" s="50" t="s">
        <v>127</v>
      </c>
      <c r="E120" s="119" t="s">
        <v>277</v>
      </c>
      <c r="F120" s="119" t="s">
        <v>598</v>
      </c>
      <c r="G120" s="63" t="str">
        <f t="shared" si="212"/>
        <v>[effect:enemy_message, val1:2.5, val2:2.8]</v>
      </c>
      <c r="H120" s="63">
        <f t="shared" si="213"/>
        <v>9</v>
      </c>
      <c r="I120" s="63">
        <f t="shared" si="214"/>
        <v>22</v>
      </c>
      <c r="J120" s="63" t="e">
        <f t="shared" si="215"/>
        <v>#VALUE!</v>
      </c>
      <c r="K120" s="63">
        <f t="shared" si="216"/>
        <v>32</v>
      </c>
      <c r="L120" s="63" t="str">
        <f>IFERROR(VLOOKUP(MID(G120,J120,K120-J120),[6]skilldef!$C:$D,2,FALSE),"-") &amp; " / " &amp; IFERROR(VLOOKUP(MID(G120,H120,I120-H120),[6]skilldef!$A:$B,2,FALSE),"-")</f>
        <v>- / -</v>
      </c>
      <c r="M120" s="63" t="str">
        <f t="shared" si="217"/>
        <v>[effect:fix_speed, target:myself, turn:2],[effect:enhance_unit, target:unit_red/unit_human/unit_hero/unit_attack/and, turn:-1, status:attack, val:0.7, calc:mul],[effect:change_range_block, block_change:1, base_type:0, square_count:2, position01:0,  value_h01:2, value_w01:1,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120" s="48" t="str">
        <f t="shared" si="227"/>
        <v>[effect:fix_speed, target:myself, turn:2],[effect:enhance_unit, target:unit_red/unit_human/unit_hero/unit_attack/and, turn:-1, status:attack, val:0.7, calc:mul],[effect:change_range_block, block_change:1, base_type:0, square_count:2, position01:0,  value_h01:2, value_w01:1,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120" s="63">
        <f t="shared" si="218"/>
        <v>9</v>
      </c>
      <c r="P120" s="63">
        <f t="shared" si="219"/>
        <v>18</v>
      </c>
      <c r="Q120" s="63">
        <f t="shared" si="220"/>
        <v>27</v>
      </c>
      <c r="R120" s="63">
        <f t="shared" si="221"/>
        <v>33</v>
      </c>
      <c r="S120" s="63" t="str">
        <f>IFERROR(VLOOKUP(MID(N120,Q120,R120-Q120),[6]skilldef!$C:$D,2,FALSE),"-") &amp; " / " &amp; IFERROR(VLOOKUP(MID(N120,O120,P120-O120),[6]skilldef!$A:$B,2,FALSE),"-")</f>
        <v>自分自身に / 行動値設定</v>
      </c>
      <c r="T120" s="48" t="str">
        <f t="shared" si="222"/>
        <v>[effect:enhance_unit, target:unit_red/unit_human/unit_hero/unit_attack/and, turn:-1, status:attack, val:0.7, calc:mul],[effect:change_range_block, block_change:1, base_type:0, square_count:2, position01:0,  value_h01:2, value_w01:1,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120" s="63">
        <f t="shared" si="223"/>
        <v>9</v>
      </c>
      <c r="V120" s="63">
        <f t="shared" si="224"/>
        <v>21</v>
      </c>
      <c r="W120" s="63">
        <f t="shared" si="225"/>
        <v>30</v>
      </c>
      <c r="X120" s="63">
        <f t="shared" si="226"/>
        <v>75</v>
      </c>
      <c r="Y120" s="63" t="str">
        <f>IFERROR(VLOOKUP(MID(T120,W120,X120-W120),[6]skilldef!$C:$D,2,FALSE),"-") &amp; " / " &amp; IFERROR(VLOOKUP(MID(T120,U120,V120-U120),[6]skilldef!$A:$B,2,FALSE),"-")</f>
        <v>- / -</v>
      </c>
      <c r="Z120" s="50"/>
      <c r="AA120" s="51"/>
      <c r="AB120" s="50"/>
    </row>
    <row r="121" spans="1:28" ht="21" customHeight="1" x14ac:dyDescent="0.15">
      <c r="A121" s="124">
        <v>49015120</v>
      </c>
      <c r="B121" s="146" t="s">
        <v>509</v>
      </c>
      <c r="C121" s="50">
        <v>3</v>
      </c>
      <c r="D121" s="50" t="s">
        <v>127</v>
      </c>
      <c r="E121" s="105" t="s">
        <v>278</v>
      </c>
      <c r="F121" s="105" t="s">
        <v>279</v>
      </c>
      <c r="G121" s="63" t="str">
        <f t="shared" si="212"/>
        <v>[effect:enemy_message, val1:1.5, val2:1.7]</v>
      </c>
      <c r="H121" s="63">
        <f t="shared" si="213"/>
        <v>9</v>
      </c>
      <c r="I121" s="63">
        <f t="shared" si="214"/>
        <v>22</v>
      </c>
      <c r="J121" s="63" t="e">
        <f t="shared" si="215"/>
        <v>#VALUE!</v>
      </c>
      <c r="K121" s="63">
        <f t="shared" si="216"/>
        <v>32</v>
      </c>
      <c r="L121" s="63" t="str">
        <f>IFERROR(VLOOKUP(MID(G121,J121,K121-J121),[6]skilldef!$C:$D,2,FALSE),"-") &amp; " / " &amp; IFERROR(VLOOKUP(MID(G121,H121,I121-H121),[6]skilldef!$A:$B,2,FALSE),"-")</f>
        <v>- / -</v>
      </c>
      <c r="M121" s="63" t="str">
        <f t="shared" si="217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121" s="48" t="str">
        <f t="shared" si="227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121" s="63">
        <f t="shared" si="218"/>
        <v>9</v>
      </c>
      <c r="P121" s="63">
        <f t="shared" si="219"/>
        <v>18</v>
      </c>
      <c r="Q121" s="63">
        <f t="shared" si="220"/>
        <v>27</v>
      </c>
      <c r="R121" s="63">
        <f t="shared" si="221"/>
        <v>33</v>
      </c>
      <c r="S121" s="63" t="str">
        <f>IFERROR(VLOOKUP(MID(N121,Q121,R121-Q121),[6]skilldef!$C:$D,2,FALSE),"-") &amp; " / " &amp; IFERROR(VLOOKUP(MID(N121,O121,P121-O121),[6]skilldef!$A:$B,2,FALSE),"-")</f>
        <v>自分自身に / 行動値設定</v>
      </c>
      <c r="T121" s="48" t="str">
        <f t="shared" si="222"/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121" s="63">
        <f t="shared" si="223"/>
        <v>9</v>
      </c>
      <c r="V121" s="63">
        <f t="shared" si="224"/>
        <v>27</v>
      </c>
      <c r="W121" s="63">
        <f t="shared" si="225"/>
        <v>141</v>
      </c>
      <c r="X121" s="63">
        <f t="shared" si="226"/>
        <v>43</v>
      </c>
      <c r="Y121" s="63" t="str">
        <f>IFERROR(VLOOKUP(MID(T121,W121,X121-W121),[6]skilldef!$C:$D,2,FALSE),"-") &amp; " / " &amp; IFERROR(VLOOKUP(MID(T121,U121,V121-U121),[6]skilldef!$A:$B,2,FALSE),"-")</f>
        <v>- / -</v>
      </c>
      <c r="Z121" s="50"/>
      <c r="AA121" s="51"/>
      <c r="AB121" s="50"/>
    </row>
    <row r="122" spans="1:28" ht="21" customHeight="1" x14ac:dyDescent="0.15">
      <c r="A122" s="124">
        <v>49015121</v>
      </c>
      <c r="B122" s="146" t="s">
        <v>512</v>
      </c>
      <c r="C122" s="50">
        <v>3</v>
      </c>
      <c r="D122" s="50" t="s">
        <v>127</v>
      </c>
      <c r="E122" s="105" t="s">
        <v>372</v>
      </c>
      <c r="F122" s="105" t="s">
        <v>280</v>
      </c>
      <c r="G122" s="63" t="str">
        <f t="shared" si="212"/>
        <v>[effect:enemy_message, val1:1.9, val2:1.2]</v>
      </c>
      <c r="H122" s="63">
        <f t="shared" si="213"/>
        <v>9</v>
      </c>
      <c r="I122" s="63">
        <f t="shared" si="214"/>
        <v>22</v>
      </c>
      <c r="J122" s="63" t="e">
        <f t="shared" si="215"/>
        <v>#VALUE!</v>
      </c>
      <c r="K122" s="63">
        <f t="shared" si="216"/>
        <v>32</v>
      </c>
      <c r="L122" s="63" t="str">
        <f>IFERROR(VLOOKUP(MID(G122,J122,K122-J122),[6]skilldef!$C:$D,2,FALSE),"-") &amp; " / " &amp; IFERROR(VLOOKUP(MID(G122,H122,I122-H122),[6]skilldef!$A:$B,2,FALSE),"-")</f>
        <v>- / -</v>
      </c>
      <c r="M122" s="63" t="str">
        <f t="shared" si="217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122" s="48" t="str">
        <f t="shared" si="227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122" s="63">
        <f t="shared" si="218"/>
        <v>9</v>
      </c>
      <c r="P122" s="63">
        <f t="shared" si="219"/>
        <v>18</v>
      </c>
      <c r="Q122" s="63">
        <f t="shared" si="220"/>
        <v>27</v>
      </c>
      <c r="R122" s="63">
        <f t="shared" si="221"/>
        <v>33</v>
      </c>
      <c r="S122" s="63" t="str">
        <f>IFERROR(VLOOKUP(MID(N122,Q122,R122-Q122),[6]skilldef!$C:$D,2,FALSE),"-") &amp; " / " &amp; IFERROR(VLOOKUP(MID(N122,O122,P122-O122),[6]skilldef!$A:$B,2,FALSE),"-")</f>
        <v>自分自身に / 行動値設定</v>
      </c>
      <c r="T122" s="48" t="str">
        <f t="shared" si="222"/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122" s="63">
        <f t="shared" si="223"/>
        <v>9</v>
      </c>
      <c r="V122" s="63">
        <f t="shared" si="224"/>
        <v>27</v>
      </c>
      <c r="W122" s="63">
        <f t="shared" si="225"/>
        <v>141</v>
      </c>
      <c r="X122" s="63">
        <f t="shared" si="226"/>
        <v>43</v>
      </c>
      <c r="Y122" s="63" t="str">
        <f>IFERROR(VLOOKUP(MID(T122,W122,X122-W122),[6]skilldef!$C:$D,2,FALSE),"-") &amp; " / " &amp; IFERROR(VLOOKUP(MID(T122,U122,V122-U122),[6]skilldef!$A:$B,2,FALSE),"-")</f>
        <v>- / -</v>
      </c>
      <c r="Z122" s="50"/>
      <c r="AA122" s="51"/>
      <c r="AB122" s="50"/>
    </row>
    <row r="123" spans="1:28" ht="21" customHeight="1" x14ac:dyDescent="0.15">
      <c r="A123" s="124">
        <v>49015122</v>
      </c>
      <c r="B123" s="146" t="s">
        <v>595</v>
      </c>
      <c r="C123" s="50">
        <v>3</v>
      </c>
      <c r="D123" s="50" t="s">
        <v>127</v>
      </c>
      <c r="E123" s="105" t="s">
        <v>594</v>
      </c>
      <c r="F123" s="118" t="s">
        <v>412</v>
      </c>
      <c r="G123" s="63" t="str">
        <f t="shared" si="212"/>
        <v>[effect:enemy_message, val1:1.4, val2:1.6]</v>
      </c>
      <c r="H123" s="63">
        <f t="shared" si="213"/>
        <v>9</v>
      </c>
      <c r="I123" s="63">
        <f t="shared" si="214"/>
        <v>22</v>
      </c>
      <c r="J123" s="63" t="e">
        <f t="shared" si="215"/>
        <v>#VALUE!</v>
      </c>
      <c r="K123" s="63">
        <f t="shared" si="216"/>
        <v>32</v>
      </c>
      <c r="L123" s="63" t="str">
        <f>IFERROR(VLOOKUP(MID(G123,J123,K123-J123),[6]skilldef!$C:$D,2,FALSE),"-") &amp; " / " &amp; IFERROR(VLOOKUP(MID(G123,H123,I123-H123),[6]skilldef!$A:$B,2,FALSE),"-")</f>
        <v>- / -</v>
      </c>
      <c r="M123" s="63" t="str">
        <f t="shared" si="217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123" s="48" t="str">
        <f t="shared" si="227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123" s="63">
        <f t="shared" si="218"/>
        <v>9</v>
      </c>
      <c r="P123" s="63">
        <f t="shared" si="219"/>
        <v>18</v>
      </c>
      <c r="Q123" s="63">
        <f t="shared" si="220"/>
        <v>27</v>
      </c>
      <c r="R123" s="63">
        <f t="shared" si="221"/>
        <v>33</v>
      </c>
      <c r="S123" s="63" t="str">
        <f>IFERROR(VLOOKUP(MID(N123,Q123,R123-Q123),[6]skilldef!$C:$D,2,FALSE),"-") &amp; " / " &amp; IFERROR(VLOOKUP(MID(N123,O123,P123-O123),[6]skilldef!$A:$B,2,FALSE),"-")</f>
        <v>自分自身に / 行動値設定</v>
      </c>
      <c r="T123" s="48" t="str">
        <f t="shared" si="222"/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123" s="63">
        <f t="shared" si="223"/>
        <v>9</v>
      </c>
      <c r="V123" s="63">
        <f t="shared" si="224"/>
        <v>27</v>
      </c>
      <c r="W123" s="63">
        <f t="shared" si="225"/>
        <v>141</v>
      </c>
      <c r="X123" s="63">
        <f t="shared" si="226"/>
        <v>43</v>
      </c>
      <c r="Y123" s="63" t="str">
        <f>IFERROR(VLOOKUP(MID(T123,W123,X123-W123),[6]skilldef!$C:$D,2,FALSE),"-") &amp; " / " &amp; IFERROR(VLOOKUP(MID(T123,U123,V123-U123),[6]skilldef!$A:$B,2,FALSE),"-")</f>
        <v>- / -</v>
      </c>
      <c r="Z123" s="50"/>
      <c r="AA123" s="51"/>
      <c r="AB123" s="50"/>
    </row>
    <row r="124" spans="1:28" ht="21" customHeight="1" x14ac:dyDescent="0.15">
      <c r="A124" s="124">
        <v>49015123</v>
      </c>
      <c r="B124" s="146" t="s">
        <v>511</v>
      </c>
      <c r="C124" s="50">
        <v>3</v>
      </c>
      <c r="D124" s="50" t="s">
        <v>127</v>
      </c>
      <c r="E124" s="105" t="s">
        <v>281</v>
      </c>
      <c r="F124" s="105" t="s">
        <v>282</v>
      </c>
      <c r="G124" s="63" t="str">
        <f t="shared" si="212"/>
        <v>[effect:enemy_message, val1:1.9, val2:1.5]</v>
      </c>
      <c r="H124" s="63">
        <f t="shared" si="213"/>
        <v>9</v>
      </c>
      <c r="I124" s="63">
        <f t="shared" si="214"/>
        <v>22</v>
      </c>
      <c r="J124" s="63" t="e">
        <f t="shared" si="215"/>
        <v>#VALUE!</v>
      </c>
      <c r="K124" s="63">
        <f t="shared" si="216"/>
        <v>32</v>
      </c>
      <c r="L124" s="63" t="str">
        <f>IFERROR(VLOOKUP(MID(G124,J124,K124-J124),[6]skilldef!$C:$D,2,FALSE),"-") &amp; " / " &amp; IFERROR(VLOOKUP(MID(G124,H124,I124-H124),[6]skilldef!$A:$B,2,FALSE),"-")</f>
        <v>- / -</v>
      </c>
      <c r="M124" s="63" t="str">
        <f t="shared" si="217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124" s="48" t="str">
        <f t="shared" si="227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124" s="63">
        <f t="shared" si="218"/>
        <v>9</v>
      </c>
      <c r="P124" s="63">
        <f t="shared" si="219"/>
        <v>18</v>
      </c>
      <c r="Q124" s="63">
        <f t="shared" si="220"/>
        <v>27</v>
      </c>
      <c r="R124" s="63">
        <f t="shared" si="221"/>
        <v>33</v>
      </c>
      <c r="S124" s="63" t="str">
        <f>IFERROR(VLOOKUP(MID(N124,Q124,R124-Q124),[6]skilldef!$C:$D,2,FALSE),"-") &amp; " / " &amp; IFERROR(VLOOKUP(MID(N124,O124,P124-O124),[6]skilldef!$A:$B,2,FALSE),"-")</f>
        <v>自分自身に / 行動値設定</v>
      </c>
      <c r="T124" s="48" t="str">
        <f t="shared" si="222"/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124" s="63">
        <f t="shared" si="223"/>
        <v>9</v>
      </c>
      <c r="V124" s="63">
        <f t="shared" si="224"/>
        <v>27</v>
      </c>
      <c r="W124" s="63">
        <f t="shared" si="225"/>
        <v>141</v>
      </c>
      <c r="X124" s="63">
        <f t="shared" si="226"/>
        <v>43</v>
      </c>
      <c r="Y124" s="63" t="str">
        <f>IFERROR(VLOOKUP(MID(T124,W124,X124-W124),[6]skilldef!$C:$D,2,FALSE),"-") &amp; " / " &amp; IFERROR(VLOOKUP(MID(T124,U124,V124-U124),[6]skilldef!$A:$B,2,FALSE),"-")</f>
        <v>- / -</v>
      </c>
      <c r="Z124" s="50"/>
      <c r="AA124" s="51"/>
      <c r="AB124" s="50"/>
    </row>
    <row r="125" spans="1:28" ht="21" customHeight="1" x14ac:dyDescent="0.15">
      <c r="A125" s="124">
        <v>49015124</v>
      </c>
      <c r="B125" s="106" t="s">
        <v>528</v>
      </c>
      <c r="C125" s="50">
        <v>3</v>
      </c>
      <c r="D125" s="50" t="s">
        <v>127</v>
      </c>
      <c r="E125" s="105" t="s">
        <v>283</v>
      </c>
      <c r="F125" s="105" t="s">
        <v>410</v>
      </c>
      <c r="G125" s="63" t="str">
        <f t="shared" si="212"/>
        <v>[effect:enemy_message, val1:1.2, val2:2.1]</v>
      </c>
      <c r="H125" s="63">
        <f t="shared" si="213"/>
        <v>9</v>
      </c>
      <c r="I125" s="63">
        <f t="shared" si="214"/>
        <v>22</v>
      </c>
      <c r="J125" s="63" t="e">
        <f t="shared" si="215"/>
        <v>#VALUE!</v>
      </c>
      <c r="K125" s="63">
        <f t="shared" si="216"/>
        <v>32</v>
      </c>
      <c r="L125" s="63" t="str">
        <f>IFERROR(VLOOKUP(MID(G125,J125,K125-J125),[6]skilldef!$C:$D,2,FALSE),"-") &amp; " / " &amp; IFERROR(VLOOKUP(MID(G125,H125,I125-H125),[6]skilldef!$A:$B,2,FALSE),"-")</f>
        <v>- / -</v>
      </c>
      <c r="M125" s="63" t="str">
        <f t="shared" si="217"/>
        <v>[effect:force_change_block, new_block:damage, target:block_all, ignore01:block_positive, ignore02:damage, count:3, val:0.06, animation:change_block]</v>
      </c>
      <c r="N125" s="48" t="str">
        <f t="shared" si="227"/>
        <v>[effect:force_change_block, new_block:damage, target:block_all, ignore01:block_positive, ignore02:damage, count:3, val:0.06, animation:change_block]</v>
      </c>
      <c r="O125" s="63">
        <f t="shared" si="218"/>
        <v>9</v>
      </c>
      <c r="P125" s="63">
        <f t="shared" si="219"/>
        <v>27</v>
      </c>
      <c r="Q125" s="63">
        <f t="shared" si="220"/>
        <v>54</v>
      </c>
      <c r="R125" s="63">
        <f t="shared" si="221"/>
        <v>45</v>
      </c>
      <c r="S125" s="63" t="str">
        <f>IFERROR(VLOOKUP(MID(N125,Q125,R125-Q125),[6]skilldef!$C:$D,2,FALSE),"-") &amp; " / " &amp; IFERROR(VLOOKUP(MID(N125,O125,P125-O125),[6]skilldef!$A:$B,2,FALSE),"-")</f>
        <v>- / -</v>
      </c>
      <c r="T125" s="48" t="str">
        <f t="shared" si="222"/>
        <v>none</v>
      </c>
      <c r="U125" s="63" t="e">
        <f t="shared" si="223"/>
        <v>#VALUE!</v>
      </c>
      <c r="V125" s="63">
        <f t="shared" si="224"/>
        <v>4</v>
      </c>
      <c r="W125" s="63" t="e">
        <f t="shared" si="225"/>
        <v>#VALUE!</v>
      </c>
      <c r="X125" s="63" t="e">
        <f t="shared" si="226"/>
        <v>#VALUE!</v>
      </c>
      <c r="Y125" s="63" t="str">
        <f>IFERROR(VLOOKUP(MID(T125,W125,X125-W125),[6]skilldef!$C:$D,2,FALSE),"-") &amp; " / " &amp; IFERROR(VLOOKUP(MID(T125,U125,V125-U125),[6]skilldef!$A:$B,2,FALSE),"-")</f>
        <v>- / -</v>
      </c>
      <c r="Z125" s="50"/>
      <c r="AA125" s="51"/>
      <c r="AB125" s="50"/>
    </row>
    <row r="126" spans="1:28" ht="21" customHeight="1" x14ac:dyDescent="0.15">
      <c r="A126" s="124">
        <v>49015125</v>
      </c>
      <c r="B126" s="47" t="s">
        <v>370</v>
      </c>
      <c r="C126" s="50">
        <v>3</v>
      </c>
      <c r="D126" s="50" t="s">
        <v>127</v>
      </c>
      <c r="E126" s="105" t="s">
        <v>285</v>
      </c>
      <c r="F126" s="105" t="s">
        <v>284</v>
      </c>
      <c r="G126" s="63" t="str">
        <f t="shared" si="212"/>
        <v>[effect:enemy_message, val1:1.2, val2:1.2]</v>
      </c>
      <c r="H126" s="63">
        <f t="shared" si="213"/>
        <v>9</v>
      </c>
      <c r="I126" s="63">
        <f t="shared" si="214"/>
        <v>22</v>
      </c>
      <c r="J126" s="63" t="e">
        <f t="shared" si="215"/>
        <v>#VALUE!</v>
      </c>
      <c r="K126" s="63">
        <f t="shared" si="216"/>
        <v>32</v>
      </c>
      <c r="L126" s="63" t="str">
        <f>IFERROR(VLOOKUP(MID(G126,J126,K126-J126),[6]skilldef!$C:$D,2,FALSE),"-") &amp; " / " &amp; IFERROR(VLOOKUP(MID(G126,H126,I126-H126),[6]skilldef!$A:$B,2,FALSE),"-")</f>
        <v>- / -</v>
      </c>
      <c r="M126" s="63" t="str">
        <f t="shared" si="217"/>
        <v>[effect:critical, val:1.1, animation:enemy_critical]</v>
      </c>
      <c r="N126" s="48" t="str">
        <f t="shared" si="227"/>
        <v>[effect:critical, val:1.1, animation:enemy_critical]</v>
      </c>
      <c r="O126" s="63">
        <f t="shared" si="218"/>
        <v>9</v>
      </c>
      <c r="P126" s="63">
        <f t="shared" si="219"/>
        <v>17</v>
      </c>
      <c r="Q126" s="63" t="e">
        <f t="shared" si="220"/>
        <v>#VALUE!</v>
      </c>
      <c r="R126" s="63">
        <f t="shared" si="221"/>
        <v>26</v>
      </c>
      <c r="S126" s="63" t="str">
        <f>IFERROR(VLOOKUP(MID(N126,Q126,R126-Q126),[6]skilldef!$C:$D,2,FALSE),"-") &amp; " / " &amp; IFERROR(VLOOKUP(MID(N126,O126,P126-O126),[6]skilldef!$A:$B,2,FALSE),"-")</f>
        <v>- / 大攻撃</v>
      </c>
      <c r="T126" s="48" t="str">
        <f t="shared" si="222"/>
        <v>none</v>
      </c>
      <c r="U126" s="63" t="e">
        <f t="shared" si="223"/>
        <v>#VALUE!</v>
      </c>
      <c r="V126" s="63">
        <f t="shared" si="224"/>
        <v>4</v>
      </c>
      <c r="W126" s="63" t="e">
        <f t="shared" si="225"/>
        <v>#VALUE!</v>
      </c>
      <c r="X126" s="63" t="e">
        <f t="shared" si="226"/>
        <v>#VALUE!</v>
      </c>
      <c r="Y126" s="63" t="str">
        <f>IFERROR(VLOOKUP(MID(T126,W126,X126-W126),[6]skilldef!$C:$D,2,FALSE),"-") &amp; " / " &amp; IFERROR(VLOOKUP(MID(T126,U126,V126-U126),[6]skilldef!$A:$B,2,FALSE),"-")</f>
        <v>- / -</v>
      </c>
      <c r="Z126" s="50"/>
      <c r="AA126" s="51"/>
      <c r="AB126" s="50"/>
    </row>
    <row r="127" spans="1:28" ht="21" customHeight="1" x14ac:dyDescent="0.15">
      <c r="A127" s="124">
        <v>49015126</v>
      </c>
      <c r="B127" s="106" t="s">
        <v>551</v>
      </c>
      <c r="C127" s="50">
        <v>3</v>
      </c>
      <c r="D127" s="50" t="s">
        <v>127</v>
      </c>
      <c r="E127" s="105" t="s">
        <v>286</v>
      </c>
      <c r="F127" s="118" t="s">
        <v>489</v>
      </c>
      <c r="G127" s="63" t="str">
        <f t="shared" si="212"/>
        <v>[effect:enemy_message, val1:1.2, val2:2.1]</v>
      </c>
      <c r="H127" s="63">
        <f t="shared" si="213"/>
        <v>9</v>
      </c>
      <c r="I127" s="63">
        <f t="shared" si="214"/>
        <v>22</v>
      </c>
      <c r="J127" s="63" t="e">
        <f t="shared" si="215"/>
        <v>#VALUE!</v>
      </c>
      <c r="K127" s="63">
        <f t="shared" si="216"/>
        <v>32</v>
      </c>
      <c r="L127" s="63" t="str">
        <f>IFERROR(VLOOKUP(MID(G127,J127,K127-J127),[6]skilldef!$C:$D,2,FALSE),"-") &amp; " / " &amp; IFERROR(VLOOKUP(MID(G127,H127,I127-H127),[6]skilldef!$A:$B,2,FALSE),"-")</f>
        <v>- / -</v>
      </c>
      <c r="M127" s="63" t="str">
        <f t="shared" si="217"/>
        <v>[effect:change_range_block, block_change:1, base_type:0, square_count:5, position01:10,  value_h01:1, value_w01:5,  new_block:time_bomb, target:block_all, ignore01:block_positive, ignore02:time_bomb, color:block_green, count:0, val:0.03, min_time_count:3, max_time_count:3, animation:change_range_block]</v>
      </c>
      <c r="N127" s="48" t="str">
        <f t="shared" si="227"/>
        <v>[effect:change_range_block, block_change:1, base_type:0, square_count:5, position01:10,  value_h01:1, value_w01:5,  new_block:time_bomb, target:block_all, ignore01:block_positive, ignore02:time_bomb, color:block_green, count:0, val:0.03, min_time_count:3, max_time_count:3, animation:change_range_block]</v>
      </c>
      <c r="O127" s="63">
        <f t="shared" si="218"/>
        <v>9</v>
      </c>
      <c r="P127" s="63">
        <f t="shared" si="219"/>
        <v>27</v>
      </c>
      <c r="Q127" s="63">
        <f t="shared" si="220"/>
        <v>145</v>
      </c>
      <c r="R127" s="63">
        <f t="shared" si="221"/>
        <v>43</v>
      </c>
      <c r="S127" s="63" t="str">
        <f>IFERROR(VLOOKUP(MID(N127,Q127,R127-Q127),[6]skilldef!$C:$D,2,FALSE),"-") &amp; " / " &amp; IFERROR(VLOOKUP(MID(N127,O127,P127-O127),[6]skilldef!$A:$B,2,FALSE),"-")</f>
        <v>- / -</v>
      </c>
      <c r="T127" s="48" t="str">
        <f t="shared" si="222"/>
        <v>none</v>
      </c>
      <c r="U127" s="63" t="e">
        <f t="shared" si="223"/>
        <v>#VALUE!</v>
      </c>
      <c r="V127" s="63">
        <f t="shared" si="224"/>
        <v>4</v>
      </c>
      <c r="W127" s="63" t="e">
        <f t="shared" si="225"/>
        <v>#VALUE!</v>
      </c>
      <c r="X127" s="63" t="e">
        <f t="shared" si="226"/>
        <v>#VALUE!</v>
      </c>
      <c r="Y127" s="63" t="str">
        <f>IFERROR(VLOOKUP(MID(T127,W127,X127-W127),[6]skilldef!$C:$D,2,FALSE),"-") &amp; " / " &amp; IFERROR(VLOOKUP(MID(T127,U127,V127-U127),[6]skilldef!$A:$B,2,FALSE),"-")</f>
        <v>- / -</v>
      </c>
      <c r="Z127" s="50"/>
      <c r="AA127" s="51"/>
      <c r="AB127" s="50"/>
    </row>
    <row r="128" spans="1:28" ht="21" customHeight="1" thickBot="1" x14ac:dyDescent="0.2">
      <c r="A128" s="125">
        <v>49015127</v>
      </c>
      <c r="B128" s="111" t="s">
        <v>529</v>
      </c>
      <c r="C128" s="50">
        <v>3</v>
      </c>
      <c r="D128" s="112" t="s">
        <v>127</v>
      </c>
      <c r="E128" s="117" t="s">
        <v>287</v>
      </c>
      <c r="F128" s="117" t="s">
        <v>438</v>
      </c>
      <c r="G128" s="113" t="str">
        <f t="shared" si="212"/>
        <v>[effect:enemy_message, val1:1.2, val2:1.5]</v>
      </c>
      <c r="H128" s="113">
        <f t="shared" si="213"/>
        <v>9</v>
      </c>
      <c r="I128" s="113">
        <f t="shared" si="214"/>
        <v>22</v>
      </c>
      <c r="J128" s="113" t="e">
        <f t="shared" si="215"/>
        <v>#VALUE!</v>
      </c>
      <c r="K128" s="113">
        <f t="shared" si="216"/>
        <v>32</v>
      </c>
      <c r="L128" s="113" t="str">
        <f>IFERROR(VLOOKUP(MID(G128,J128,K128-J128),[6]skilldef!$C:$D,2,FALSE),"-") &amp; " / " &amp; IFERROR(VLOOKUP(MID(G128,H128,I128-H128),[6]skilldef!$A:$B,2,FALSE),"-")</f>
        <v>- / -</v>
      </c>
      <c r="M128" s="113" t="str">
        <f t="shared" si="217"/>
        <v>[effect:change_range_block, block_change:1, base_type:0, square_count:5, position01:2,  value_h01:5, value_w01:1,  new_block:jammer, target:block_all, ignore01:block_positive, ignore02:jammer, count:5, val:0, animation:change_range_block]</v>
      </c>
      <c r="N128" s="114" t="str">
        <f t="shared" si="227"/>
        <v>[effect:change_range_block, block_change:1, base_type:0, square_count:5, position01:2,  value_h01:5, value_w01:1,  new_block:jammer, target:block_all, ignore01:block_positive, ignore02:jammer, count:5, val:0, animation:change_range_block]</v>
      </c>
      <c r="O128" s="113">
        <f t="shared" si="218"/>
        <v>9</v>
      </c>
      <c r="P128" s="113">
        <f t="shared" si="219"/>
        <v>27</v>
      </c>
      <c r="Q128" s="113">
        <f t="shared" si="220"/>
        <v>141</v>
      </c>
      <c r="R128" s="113">
        <f t="shared" si="221"/>
        <v>43</v>
      </c>
      <c r="S128" s="113" t="str">
        <f>IFERROR(VLOOKUP(MID(N128,Q128,R128-Q128),[6]skilldef!$C:$D,2,FALSE),"-") &amp; " / " &amp; IFERROR(VLOOKUP(MID(N128,O128,P128-O128),[6]skilldef!$A:$B,2,FALSE),"-")</f>
        <v>- / -</v>
      </c>
      <c r="T128" s="114" t="str">
        <f t="shared" si="222"/>
        <v>none</v>
      </c>
      <c r="U128" s="113" t="e">
        <f t="shared" si="223"/>
        <v>#VALUE!</v>
      </c>
      <c r="V128" s="113">
        <f t="shared" si="224"/>
        <v>4</v>
      </c>
      <c r="W128" s="113" t="e">
        <f t="shared" si="225"/>
        <v>#VALUE!</v>
      </c>
      <c r="X128" s="113" t="e">
        <f t="shared" si="226"/>
        <v>#VALUE!</v>
      </c>
      <c r="Y128" s="113" t="str">
        <f>IFERROR(VLOOKUP(MID(T128,W128,X128-W128),[6]skilldef!$C:$D,2,FALSE),"-") &amp; " / " &amp; IFERROR(VLOOKUP(MID(T128,U128,V128-U128),[6]skilldef!$A:$B,2,FALSE),"-")</f>
        <v>- / -</v>
      </c>
      <c r="Z128" s="112"/>
      <c r="AA128" s="115"/>
      <c r="AB128" s="112"/>
    </row>
    <row r="129" spans="1:28" ht="21" customHeight="1" x14ac:dyDescent="0.15">
      <c r="A129" s="124">
        <v>49015128</v>
      </c>
      <c r="B129" s="106" t="s">
        <v>373</v>
      </c>
      <c r="C129" s="50">
        <v>3</v>
      </c>
      <c r="D129" s="107" t="s">
        <v>127</v>
      </c>
      <c r="E129" s="120" t="s">
        <v>288</v>
      </c>
      <c r="F129" s="105" t="s">
        <v>261</v>
      </c>
      <c r="G129" s="108" t="str">
        <f t="shared" si="212"/>
        <v>[effect:enemy_message, val1:1.2, val2:0]</v>
      </c>
      <c r="H129" s="108">
        <f t="shared" si="213"/>
        <v>9</v>
      </c>
      <c r="I129" s="108">
        <f t="shared" si="214"/>
        <v>22</v>
      </c>
      <c r="J129" s="108" t="e">
        <f t="shared" si="215"/>
        <v>#VALUE!</v>
      </c>
      <c r="K129" s="108">
        <f t="shared" si="216"/>
        <v>32</v>
      </c>
      <c r="L129" s="108" t="str">
        <f>IFERROR(VLOOKUP(MID(G129,J129,K129-J129),[6]skilldef!$C:$D,2,FALSE),"-") &amp; " / " &amp; IFERROR(VLOOKUP(MID(G129,H129,I129-H129),[6]skilldef!$A:$B,2,FALSE),"-")</f>
        <v>- / -</v>
      </c>
      <c r="M129" s="108" t="str">
        <f t="shared" si="217"/>
        <v>[effect:fix_speed, target:myself, turn:2]</v>
      </c>
      <c r="N129" s="109" t="str">
        <f>IFERROR(LEFT(M129,FIND("],",M129)+#REF!),M129)</f>
        <v>[effect:fix_speed, target:myself, turn:2]</v>
      </c>
      <c r="O129" s="108">
        <f t="shared" si="218"/>
        <v>9</v>
      </c>
      <c r="P129" s="108">
        <f t="shared" si="219"/>
        <v>18</v>
      </c>
      <c r="Q129" s="108">
        <f t="shared" si="220"/>
        <v>27</v>
      </c>
      <c r="R129" s="108">
        <f t="shared" si="221"/>
        <v>33</v>
      </c>
      <c r="S129" s="108" t="str">
        <f>IFERROR(VLOOKUP(MID(N129,Q129,R129-Q129),[6]skilldef!$C:$D,2,FALSE),"-") &amp; " / " &amp; IFERROR(VLOOKUP(MID(N129,O129,P129-O129),[6]skilldef!$A:$B,2,FALSE),"-")</f>
        <v>自分自身に / 行動値設定</v>
      </c>
      <c r="T129" s="109" t="str">
        <f t="shared" si="222"/>
        <v>none</v>
      </c>
      <c r="U129" s="108" t="e">
        <f t="shared" si="223"/>
        <v>#VALUE!</v>
      </c>
      <c r="V129" s="108">
        <f t="shared" si="224"/>
        <v>4</v>
      </c>
      <c r="W129" s="108" t="e">
        <f t="shared" si="225"/>
        <v>#VALUE!</v>
      </c>
      <c r="X129" s="108" t="e">
        <f t="shared" si="226"/>
        <v>#VALUE!</v>
      </c>
      <c r="Y129" s="108" t="str">
        <f>IFERROR(VLOOKUP(MID(T129,W129,X129-W129),[6]skilldef!$C:$D,2,FALSE),"-") &amp; " / " &amp; IFERROR(VLOOKUP(MID(T129,U129,V129-U129),[6]skilldef!$A:$B,2,FALSE),"-")</f>
        <v>- / -</v>
      </c>
      <c r="Z129" s="107"/>
      <c r="AA129" s="110"/>
      <c r="AB129" s="107"/>
    </row>
    <row r="130" spans="1:28" ht="21" customHeight="1" x14ac:dyDescent="0.15">
      <c r="A130" s="124">
        <v>49015129</v>
      </c>
      <c r="B130" s="106" t="s">
        <v>414</v>
      </c>
      <c r="C130" s="50">
        <v>3</v>
      </c>
      <c r="D130" s="50" t="s">
        <v>127</v>
      </c>
      <c r="E130" s="105" t="s">
        <v>290</v>
      </c>
      <c r="F130" s="105" t="s">
        <v>291</v>
      </c>
      <c r="G130" s="63" t="str">
        <f t="shared" si="212"/>
        <v>[effect:enemy_message, val1:1.2, val2:1.2]</v>
      </c>
      <c r="H130" s="63">
        <f t="shared" si="213"/>
        <v>9</v>
      </c>
      <c r="I130" s="63">
        <f t="shared" si="214"/>
        <v>22</v>
      </c>
      <c r="J130" s="63" t="e">
        <f t="shared" si="215"/>
        <v>#VALUE!</v>
      </c>
      <c r="K130" s="63">
        <f t="shared" si="216"/>
        <v>32</v>
      </c>
      <c r="L130" s="63" t="str">
        <f>IFERROR(VLOOKUP(MID(G130,J130,K130-J130),[6]skilldef!$C:$D,2,FALSE),"-") &amp; " / " &amp; IFERROR(VLOOKUP(MID(G130,H130,I130-H130),[6]skilldef!$A:$B,2,FALSE),"-")</f>
        <v>- / -</v>
      </c>
      <c r="M130" s="63" t="str">
        <f t="shared" si="217"/>
        <v>[effect:rush, count:2, val:0.3]</v>
      </c>
      <c r="N130" s="48" t="str">
        <f t="shared" ref="N130:N139" si="228">IFERROR(LEFT(M130,FIND("],",M130)+S140),M130)</f>
        <v>[effect:rush, count:2, val:0.3]</v>
      </c>
      <c r="O130" s="63">
        <f t="shared" si="218"/>
        <v>9</v>
      </c>
      <c r="P130" s="63">
        <f t="shared" si="219"/>
        <v>13</v>
      </c>
      <c r="Q130" s="63" t="e">
        <f t="shared" si="220"/>
        <v>#VALUE!</v>
      </c>
      <c r="R130" s="63">
        <f t="shared" si="221"/>
        <v>22</v>
      </c>
      <c r="S130" s="63" t="str">
        <f>IFERROR(VLOOKUP(MID(N130,Q130,R130-Q130),[6]skilldef!$C:$D,2,FALSE),"-") &amp; " / " &amp; IFERROR(VLOOKUP(MID(N130,O130,P130-O130),[6]skilldef!$A:$B,2,FALSE),"-")</f>
        <v>- / 連続攻撃</v>
      </c>
      <c r="T130" s="48" t="str">
        <f t="shared" si="222"/>
        <v>none</v>
      </c>
      <c r="U130" s="63" t="e">
        <f t="shared" si="223"/>
        <v>#VALUE!</v>
      </c>
      <c r="V130" s="63">
        <f t="shared" si="224"/>
        <v>4</v>
      </c>
      <c r="W130" s="63" t="e">
        <f t="shared" si="225"/>
        <v>#VALUE!</v>
      </c>
      <c r="X130" s="63" t="e">
        <f t="shared" si="226"/>
        <v>#VALUE!</v>
      </c>
      <c r="Y130" s="63" t="str">
        <f>IFERROR(VLOOKUP(MID(T130,W130,X130-W130),[6]skilldef!$C:$D,2,FALSE),"-") &amp; " / " &amp; IFERROR(VLOOKUP(MID(T130,U130,V130-U130),[6]skilldef!$A:$B,2,FALSE),"-")</f>
        <v>- / -</v>
      </c>
      <c r="Z130" s="50"/>
      <c r="AA130" s="51"/>
      <c r="AB130" s="50"/>
    </row>
    <row r="131" spans="1:28" ht="21" customHeight="1" x14ac:dyDescent="0.15">
      <c r="A131" s="124">
        <v>49015130</v>
      </c>
      <c r="B131" s="47" t="s">
        <v>494</v>
      </c>
      <c r="C131" s="50">
        <v>3</v>
      </c>
      <c r="D131" s="50" t="s">
        <v>127</v>
      </c>
      <c r="E131" s="105" t="s">
        <v>292</v>
      </c>
      <c r="F131" s="105" t="s">
        <v>357</v>
      </c>
      <c r="G131" s="63" t="str">
        <f t="shared" si="212"/>
        <v>[effect:enemy_message, val1:1.3, val2:1.4]</v>
      </c>
      <c r="H131" s="63">
        <f t="shared" si="213"/>
        <v>9</v>
      </c>
      <c r="I131" s="63">
        <f t="shared" si="214"/>
        <v>22</v>
      </c>
      <c r="J131" s="63" t="e">
        <f t="shared" si="215"/>
        <v>#VALUE!</v>
      </c>
      <c r="K131" s="63">
        <f t="shared" si="216"/>
        <v>32</v>
      </c>
      <c r="L131" s="63" t="str">
        <f>IFERROR(VLOOKUP(MID(G131,J131,K131-J131),[6]skilldef!$C:$D,2,FALSE),"-") &amp; " / " &amp; IFERROR(VLOOKUP(MID(G131,H131,I131-H131),[6]skilldef!$A:$B,2,FALSE),"-")</f>
        <v>- / -</v>
      </c>
      <c r="M131" s="63" t="str">
        <f t="shared" si="217"/>
        <v>[effect:rush, count:1, val:0.5],[effect:enhance_enemy, target:myself, turn:3, status:attack, val:0.3, calc:mul, animation:enemy_enhance_attack]</v>
      </c>
      <c r="N131" s="48" t="str">
        <f t="shared" si="228"/>
        <v>[effect:rush, count:1, val:0.5],[effect:enhance_enemy, target:myself, turn:3, status:attack, val:0.3, calc:mul, animation:enemy_enhance_attack]</v>
      </c>
      <c r="O131" s="63">
        <f t="shared" si="218"/>
        <v>9</v>
      </c>
      <c r="P131" s="63">
        <f t="shared" si="219"/>
        <v>13</v>
      </c>
      <c r="Q131" s="63">
        <f t="shared" si="220"/>
        <v>63</v>
      </c>
      <c r="R131" s="63">
        <f t="shared" si="221"/>
        <v>22</v>
      </c>
      <c r="S131" s="63" t="str">
        <f>IFERROR(VLOOKUP(MID(N131,Q131,R131-Q131),[6]skilldef!$C:$D,2,FALSE),"-") &amp; " / " &amp; IFERROR(VLOOKUP(MID(N131,O131,P131-O131),[6]skilldef!$A:$B,2,FALSE),"-")</f>
        <v>- / 連続攻撃</v>
      </c>
      <c r="T131" s="48" t="str">
        <f t="shared" si="222"/>
        <v>[effect:enhance_enemy, target:myself, turn:3, status:attack, val:0.3, calc:mul, animation:enemy_enhance_attack]</v>
      </c>
      <c r="U131" s="63">
        <f t="shared" si="223"/>
        <v>9</v>
      </c>
      <c r="V131" s="63">
        <f t="shared" si="224"/>
        <v>22</v>
      </c>
      <c r="W131" s="63">
        <f t="shared" si="225"/>
        <v>31</v>
      </c>
      <c r="X131" s="63">
        <f t="shared" si="226"/>
        <v>37</v>
      </c>
      <c r="Y131" s="63" t="str">
        <f>IFERROR(VLOOKUP(MID(T131,W131,X131-W131),[6]skilldef!$C:$D,2,FALSE),"-") &amp; " / " &amp; IFERROR(VLOOKUP(MID(T131,U131,V131-U131),[6]skilldef!$A:$B,2,FALSE),"-")</f>
        <v>自分自身に / ステータス強化</v>
      </c>
      <c r="Z131" s="50"/>
      <c r="AA131" s="51"/>
      <c r="AB131" s="50"/>
    </row>
    <row r="132" spans="1:28" ht="21" customHeight="1" x14ac:dyDescent="0.15">
      <c r="A132" s="124">
        <v>49015131</v>
      </c>
      <c r="B132" s="106" t="s">
        <v>587</v>
      </c>
      <c r="C132" s="50">
        <v>3</v>
      </c>
      <c r="D132" s="50" t="s">
        <v>127</v>
      </c>
      <c r="E132" s="105" t="s">
        <v>590</v>
      </c>
      <c r="F132" s="118" t="s">
        <v>601</v>
      </c>
      <c r="G132" s="63" t="str">
        <f t="shared" si="212"/>
        <v>[effect:enemy_message, val1:1.2, val2:2.9]</v>
      </c>
      <c r="H132" s="63">
        <f t="shared" si="213"/>
        <v>9</v>
      </c>
      <c r="I132" s="63">
        <f t="shared" si="214"/>
        <v>22</v>
      </c>
      <c r="J132" s="63" t="e">
        <f t="shared" si="215"/>
        <v>#VALUE!</v>
      </c>
      <c r="K132" s="63">
        <f t="shared" si="216"/>
        <v>32</v>
      </c>
      <c r="L132" s="63" t="str">
        <f>IFERROR(VLOOKUP(MID(G132,J132,K132-J132),[6]skilldef!$C:$D,2,FALSE),"-") &amp; " / " &amp; IFERROR(VLOOKUP(MID(G132,H132,I132-H132),[6]skilldef!$A:$B,2,FALSE),"-")</f>
        <v>- / -</v>
      </c>
      <c r="M132" s="63" t="str">
        <f t="shared" si="217"/>
        <v>[effect:freq_turn, target:myself, turn:1, val:1, animation:enemy_freq_turn],[effect:enemy_counter, target:myself, invoke_condition:unit_all, counter_target:attacker, turn:2, val:0.2, animation:enemy_counter]</v>
      </c>
      <c r="N132" s="48" t="str">
        <f t="shared" si="228"/>
        <v>[effect:freq_turn, target:myself, turn:1, val:1, animation:enemy_freq_turn],[effect:enemy_counter, target:myself, invoke_condition:unit_all, counter_target:attacker, turn:2, val:0.2, animation:enemy_counter]</v>
      </c>
      <c r="O132" s="63">
        <f t="shared" si="218"/>
        <v>9</v>
      </c>
      <c r="P132" s="63">
        <f t="shared" si="219"/>
        <v>18</v>
      </c>
      <c r="Q132" s="63">
        <f t="shared" si="220"/>
        <v>27</v>
      </c>
      <c r="R132" s="63">
        <f t="shared" si="221"/>
        <v>33</v>
      </c>
      <c r="S132" s="63" t="str">
        <f>IFERROR(VLOOKUP(MID(N132,Q132,R132-Q132),[6]skilldef!$C:$D,2,FALSE),"-") &amp; " / " &amp; IFERROR(VLOOKUP(MID(N132,O132,P132-O132),[6]skilldef!$A:$B,2,FALSE),"-")</f>
        <v>自分自身に / 攻撃頻度がUP</v>
      </c>
      <c r="T132" s="48" t="str">
        <f t="shared" si="222"/>
        <v>[effect:enemy_counter, target:myself, invoke_condition:unit_all, counter_target:attacker, turn:2, val:0.2, animation:enemy_counter]</v>
      </c>
      <c r="U132" s="63">
        <f t="shared" si="223"/>
        <v>9</v>
      </c>
      <c r="V132" s="63">
        <f t="shared" si="224"/>
        <v>22</v>
      </c>
      <c r="W132" s="63">
        <f t="shared" si="225"/>
        <v>31</v>
      </c>
      <c r="X132" s="63">
        <f t="shared" si="226"/>
        <v>37</v>
      </c>
      <c r="Y132" s="63" t="str">
        <f>IFERROR(VLOOKUP(MID(T132,W132,X132-W132),[6]skilldef!$C:$D,2,FALSE),"-") &amp; " / " &amp; IFERROR(VLOOKUP(MID(T132,U132,V132-U132),[6]skilldef!$A:$B,2,FALSE),"-")</f>
        <v>自分自身に / カウンター</v>
      </c>
      <c r="Z132" s="50"/>
      <c r="AA132" s="51"/>
      <c r="AB132" s="50"/>
    </row>
    <row r="133" spans="1:28" ht="21" customHeight="1" thickBot="1" x14ac:dyDescent="0.2">
      <c r="A133" s="125">
        <v>49015132</v>
      </c>
      <c r="B133" s="111" t="s">
        <v>375</v>
      </c>
      <c r="C133" s="50">
        <v>3</v>
      </c>
      <c r="D133" s="112" t="s">
        <v>127</v>
      </c>
      <c r="E133" s="117" t="s">
        <v>294</v>
      </c>
      <c r="F133" s="117" t="s">
        <v>295</v>
      </c>
      <c r="G133" s="113" t="str">
        <f t="shared" si="212"/>
        <v>[effect:enemy_message, val1:1.2, val2:1.2]</v>
      </c>
      <c r="H133" s="113">
        <f t="shared" si="213"/>
        <v>9</v>
      </c>
      <c r="I133" s="113">
        <f t="shared" si="214"/>
        <v>22</v>
      </c>
      <c r="J133" s="113" t="e">
        <f t="shared" si="215"/>
        <v>#VALUE!</v>
      </c>
      <c r="K133" s="113">
        <f t="shared" si="216"/>
        <v>32</v>
      </c>
      <c r="L133" s="113" t="str">
        <f>IFERROR(VLOOKUP(MID(G133,J133,K133-J133),[6]skilldef!$C:$D,2,FALSE),"-") &amp; " / " &amp; IFERROR(VLOOKUP(MID(G133,H133,I133-H133),[6]skilldef!$A:$B,2,FALSE),"-")</f>
        <v>- / -</v>
      </c>
      <c r="M133" s="113" t="str">
        <f t="shared" si="217"/>
        <v>[effect:suicide, target:myself, val:1]</v>
      </c>
      <c r="N133" s="114" t="str">
        <f t="shared" si="228"/>
        <v>[effect:suicide, target:myself, val:1]</v>
      </c>
      <c r="O133" s="113">
        <f t="shared" si="218"/>
        <v>9</v>
      </c>
      <c r="P133" s="113">
        <f t="shared" si="219"/>
        <v>16</v>
      </c>
      <c r="Q133" s="113">
        <f t="shared" si="220"/>
        <v>25</v>
      </c>
      <c r="R133" s="113">
        <f t="shared" si="221"/>
        <v>31</v>
      </c>
      <c r="S133" s="113" t="str">
        <f>IFERROR(VLOOKUP(MID(N133,Q133,R133-Q133),[6]skilldef!$C:$D,2,FALSE),"-") &amp; " / " &amp; IFERROR(VLOOKUP(MID(N133,O133,P133-O133),[6]skilldef!$A:$B,2,FALSE),"-")</f>
        <v>自分自身に / -</v>
      </c>
      <c r="T133" s="114" t="str">
        <f t="shared" si="222"/>
        <v>none</v>
      </c>
      <c r="U133" s="113" t="e">
        <f t="shared" si="223"/>
        <v>#VALUE!</v>
      </c>
      <c r="V133" s="113">
        <f t="shared" si="224"/>
        <v>4</v>
      </c>
      <c r="W133" s="113" t="e">
        <f t="shared" si="225"/>
        <v>#VALUE!</v>
      </c>
      <c r="X133" s="113" t="e">
        <f t="shared" si="226"/>
        <v>#VALUE!</v>
      </c>
      <c r="Y133" s="113" t="str">
        <f>IFERROR(VLOOKUP(MID(T133,W133,X133-W133),[6]skilldef!$C:$D,2,FALSE),"-") &amp; " / " &amp; IFERROR(VLOOKUP(MID(T133,U133,V133-U133),[6]skilldef!$A:$B,2,FALSE),"-")</f>
        <v>- / -</v>
      </c>
      <c r="Z133" s="112"/>
      <c r="AA133" s="115"/>
      <c r="AB133" s="112"/>
    </row>
    <row r="134" spans="1:28" ht="21" customHeight="1" x14ac:dyDescent="0.15">
      <c r="A134" s="124">
        <v>49015133</v>
      </c>
      <c r="B134" s="106" t="s">
        <v>514</v>
      </c>
      <c r="C134" s="50">
        <v>3</v>
      </c>
      <c r="D134" s="107" t="s">
        <v>127</v>
      </c>
      <c r="E134" s="120" t="s">
        <v>296</v>
      </c>
      <c r="F134" s="120" t="s">
        <v>439</v>
      </c>
      <c r="G134" s="108" t="str">
        <f t="shared" si="212"/>
        <v>[effect:enemy_message, val1:1.3, val2:1.5]</v>
      </c>
      <c r="H134" s="108">
        <f t="shared" si="213"/>
        <v>9</v>
      </c>
      <c r="I134" s="108">
        <f t="shared" si="214"/>
        <v>22</v>
      </c>
      <c r="J134" s="108" t="e">
        <f t="shared" si="215"/>
        <v>#VALUE!</v>
      </c>
      <c r="K134" s="108">
        <f t="shared" si="216"/>
        <v>32</v>
      </c>
      <c r="L134" s="108" t="str">
        <f>IFERROR(VLOOKUP(MID(G134,J134,K134-J134),[6]skilldef!$C:$D,2,FALSE),"-") &amp; " / " &amp; IFERROR(VLOOKUP(MID(G134,H134,I134-H134),[6]skilldef!$A:$B,2,FALSE),"-")</f>
        <v>- / -</v>
      </c>
      <c r="M134" s="108" t="str">
        <f t="shared" si="217"/>
        <v>[effect:fix_speed, target:myself, turn:1],[effect:change_range_block, block_change:1, base_type:1, square_count:5, position01:12, value_rad01:3.0, value_h01:1.0, value_w01:1.0, new_block:block_heart, target:block_all, ignore01:block_positive, ignore02:block_heart, count:0, val:0, animation:change_range_block]</v>
      </c>
      <c r="N134" s="109" t="str">
        <f t="shared" si="228"/>
        <v>[effect:fix_speed, target:myself, turn:1],[effect:change_range_block, block_change:1, base_type:1, square_count:5, position01:12, value_rad01:3.0, value_h01:1.0, value_w01:1.0, new_block:block_heart, target:block_all, ignore01:block_positive, ignore02:block_heart, count:0, val:0, animation:change_range_block]</v>
      </c>
      <c r="O134" s="108">
        <f t="shared" si="218"/>
        <v>9</v>
      </c>
      <c r="P134" s="108">
        <f t="shared" si="219"/>
        <v>18</v>
      </c>
      <c r="Q134" s="108">
        <f t="shared" si="220"/>
        <v>27</v>
      </c>
      <c r="R134" s="108">
        <f t="shared" si="221"/>
        <v>33</v>
      </c>
      <c r="S134" s="108" t="str">
        <f>IFERROR(VLOOKUP(MID(N134,Q134,R134-Q134),[6]skilldef!$C:$D,2,FALSE),"-") &amp; " / " &amp; IFERROR(VLOOKUP(MID(N134,O134,P134-O134),[6]skilldef!$A:$B,2,FALSE),"-")</f>
        <v>自分自身に / 行動値設定</v>
      </c>
      <c r="T134" s="109" t="str">
        <f t="shared" si="222"/>
        <v>[effect:change_range_block, block_change:1, base_type:1, square_count:5, position01:12, value_rad01:3.0, value_h01:1.0, value_w01:1.0, new_block:block_heart, target:block_all, ignore01:block_positive, ignore02:block_heart, count:0, val:0, animation:change_range_block]</v>
      </c>
      <c r="U134" s="108">
        <f t="shared" si="223"/>
        <v>9</v>
      </c>
      <c r="V134" s="108">
        <f t="shared" si="224"/>
        <v>27</v>
      </c>
      <c r="W134" s="108">
        <f t="shared" si="225"/>
        <v>166</v>
      </c>
      <c r="X134" s="108">
        <f t="shared" si="226"/>
        <v>43</v>
      </c>
      <c r="Y134" s="108" t="str">
        <f>IFERROR(VLOOKUP(MID(T134,W134,X134-W134),[6]skilldef!$C:$D,2,FALSE),"-") &amp; " / " &amp; IFERROR(VLOOKUP(MID(T134,U134,V134-U134),[6]skilldef!$A:$B,2,FALSE),"-")</f>
        <v>- / -</v>
      </c>
      <c r="Z134" s="107"/>
      <c r="AA134" s="110"/>
      <c r="AB134" s="107"/>
    </row>
    <row r="135" spans="1:28" ht="21" customHeight="1" x14ac:dyDescent="0.15">
      <c r="A135" s="124">
        <v>49015134</v>
      </c>
      <c r="B135" s="106" t="s">
        <v>415</v>
      </c>
      <c r="C135" s="50">
        <v>3</v>
      </c>
      <c r="D135" s="50" t="s">
        <v>127</v>
      </c>
      <c r="E135" s="105" t="s">
        <v>297</v>
      </c>
      <c r="F135" s="105" t="s">
        <v>269</v>
      </c>
      <c r="G135" s="63" t="str">
        <f t="shared" si="212"/>
        <v>[effect:enemy_message, val1:1.2, val2:1.2]</v>
      </c>
      <c r="H135" s="63">
        <f t="shared" si="213"/>
        <v>9</v>
      </c>
      <c r="I135" s="63">
        <f t="shared" si="214"/>
        <v>22</v>
      </c>
      <c r="J135" s="63" t="e">
        <f t="shared" si="215"/>
        <v>#VALUE!</v>
      </c>
      <c r="K135" s="63">
        <f t="shared" si="216"/>
        <v>32</v>
      </c>
      <c r="L135" s="63" t="str">
        <f>IFERROR(VLOOKUP(MID(G135,J135,K135-J135),[6]skilldef!$C:$D,2,FALSE),"-") &amp; " / " &amp; IFERROR(VLOOKUP(MID(G135,H135,I135-H135),[6]skilldef!$A:$B,2,FALSE),"-")</f>
        <v>- / -</v>
      </c>
      <c r="M135" s="63" t="str">
        <f t="shared" si="217"/>
        <v>[effect:spread, val:0.15]</v>
      </c>
      <c r="N135" s="48" t="str">
        <f t="shared" si="228"/>
        <v>[effect:spread, val:0.15]</v>
      </c>
      <c r="O135" s="63">
        <f t="shared" si="218"/>
        <v>9</v>
      </c>
      <c r="P135" s="63">
        <f t="shared" si="219"/>
        <v>15</v>
      </c>
      <c r="Q135" s="63" t="e">
        <f t="shared" si="220"/>
        <v>#VALUE!</v>
      </c>
      <c r="R135" s="63" t="e">
        <f t="shared" si="221"/>
        <v>#VALUE!</v>
      </c>
      <c r="S135" s="63" t="str">
        <f>IFERROR(VLOOKUP(MID(N135,Q135,R135-Q135),[6]skilldef!$C:$D,2,FALSE),"-") &amp; " / " &amp; IFERROR(VLOOKUP(MID(N135,O135,P135-O135),[6]skilldef!$A:$B,2,FALSE),"-")</f>
        <v>- / 全体攻撃</v>
      </c>
      <c r="T135" s="48" t="str">
        <f t="shared" si="222"/>
        <v>none</v>
      </c>
      <c r="U135" s="63" t="e">
        <f t="shared" si="223"/>
        <v>#VALUE!</v>
      </c>
      <c r="V135" s="63">
        <f t="shared" si="224"/>
        <v>4</v>
      </c>
      <c r="W135" s="63" t="e">
        <f t="shared" si="225"/>
        <v>#VALUE!</v>
      </c>
      <c r="X135" s="63" t="e">
        <f t="shared" si="226"/>
        <v>#VALUE!</v>
      </c>
      <c r="Y135" s="63" t="str">
        <f>IFERROR(VLOOKUP(MID(T135,W135,X135-W135),[6]skilldef!$C:$D,2,FALSE),"-") &amp; " / " &amp; IFERROR(VLOOKUP(MID(T135,U135,V135-U135),[6]skilldef!$A:$B,2,FALSE),"-")</f>
        <v>- / -</v>
      </c>
      <c r="Z135" s="50"/>
      <c r="AA135" s="51"/>
      <c r="AB135" s="50"/>
    </row>
    <row r="136" spans="1:28" ht="21" customHeight="1" x14ac:dyDescent="0.15">
      <c r="A136" s="124">
        <v>49015135</v>
      </c>
      <c r="B136" s="47" t="s">
        <v>531</v>
      </c>
      <c r="C136" s="50">
        <v>3</v>
      </c>
      <c r="D136" s="50" t="s">
        <v>127</v>
      </c>
      <c r="E136" s="105" t="s">
        <v>428</v>
      </c>
      <c r="F136" s="119" t="s">
        <v>501</v>
      </c>
      <c r="G136" s="63" t="str">
        <f t="shared" si="212"/>
        <v>[effect:enemy_message, val1:1.2, val2:2.9]</v>
      </c>
      <c r="H136" s="63">
        <f t="shared" si="213"/>
        <v>9</v>
      </c>
      <c r="I136" s="63">
        <f t="shared" si="214"/>
        <v>22</v>
      </c>
      <c r="J136" s="63" t="e">
        <f t="shared" si="215"/>
        <v>#VALUE!</v>
      </c>
      <c r="K136" s="63">
        <f t="shared" si="216"/>
        <v>32</v>
      </c>
      <c r="L136" s="63" t="str">
        <f>IFERROR(VLOOKUP(MID(G136,J136,K136-J136),[6]skilldef!$C:$D,2,FALSE),"-") &amp; " / " &amp; IFERROR(VLOOKUP(MID(G136,H136,I136-H136),[6]skilldef!$A:$B,2,FALSE),"-")</f>
        <v>- / -</v>
      </c>
      <c r="M136" s="63" t="str">
        <f t="shared" si="217"/>
        <v>[effect:rush, count:1, val:0.6],[effect:force_change_block, new_block:time_bomb, target:block_all, ignore01:block_positive, ignore02:time_bomb, color:block_green, count:3, val:0.06, min_time_count:3, max_time_count:3, animation:change_block]</v>
      </c>
      <c r="N136" s="48" t="str">
        <f t="shared" si="228"/>
        <v>[effect:rush, count:1, val:0.6],[effect:force_change_block, new_block:time_bomb, target:block_all, ignore01:block_positive, ignore02:time_bomb, color:block_green, count:3, val:0.06, min_time_count:3, max_time_count:3, animation:change_block]</v>
      </c>
      <c r="O136" s="63">
        <f t="shared" si="218"/>
        <v>9</v>
      </c>
      <c r="P136" s="63">
        <f t="shared" si="219"/>
        <v>13</v>
      </c>
      <c r="Q136" s="63">
        <f t="shared" si="220"/>
        <v>89</v>
      </c>
      <c r="R136" s="63">
        <f t="shared" si="221"/>
        <v>22</v>
      </c>
      <c r="S136" s="63" t="str">
        <f>IFERROR(VLOOKUP(MID(N136,Q136,R136-Q136),[6]skilldef!$C:$D,2,FALSE),"-") &amp; " / " &amp; IFERROR(VLOOKUP(MID(N136,O136,P136-O136),[6]skilldef!$A:$B,2,FALSE),"-")</f>
        <v>- / 連続攻撃</v>
      </c>
      <c r="T136" s="48" t="str">
        <f t="shared" si="222"/>
        <v>[effect:force_change_block, new_block:time_bomb, target:block_all, ignore01:block_positive, ignore02:time_bomb, color:block_green, count:3, val:0.06, min_time_count:3, max_time_count:3, animation:change_block]</v>
      </c>
      <c r="U136" s="63">
        <f t="shared" si="223"/>
        <v>9</v>
      </c>
      <c r="V136" s="63">
        <f t="shared" si="224"/>
        <v>27</v>
      </c>
      <c r="W136" s="63">
        <f t="shared" si="225"/>
        <v>57</v>
      </c>
      <c r="X136" s="63">
        <f t="shared" si="226"/>
        <v>48</v>
      </c>
      <c r="Y136" s="63" t="str">
        <f>IFERROR(VLOOKUP(MID(T136,W136,X136-W136),[6]skilldef!$C:$D,2,FALSE),"-") &amp; " / " &amp; IFERROR(VLOOKUP(MID(T136,U136,V136-U136),[6]skilldef!$A:$B,2,FALSE),"-")</f>
        <v>- / -</v>
      </c>
      <c r="Z136" s="50"/>
      <c r="AA136" s="51"/>
      <c r="AB136" s="50"/>
    </row>
    <row r="137" spans="1:28" ht="21" customHeight="1" x14ac:dyDescent="0.15">
      <c r="A137" s="124">
        <v>49015136</v>
      </c>
      <c r="B137" s="106" t="s">
        <v>530</v>
      </c>
      <c r="C137" s="50">
        <v>3</v>
      </c>
      <c r="D137" s="50" t="s">
        <v>127</v>
      </c>
      <c r="E137" s="105" t="s">
        <v>404</v>
      </c>
      <c r="F137" s="119" t="s">
        <v>440</v>
      </c>
      <c r="G137" s="63" t="str">
        <f t="shared" si="212"/>
        <v>[effect:enemy_message, val1:1.2, val2:2.0]</v>
      </c>
      <c r="H137" s="63">
        <f t="shared" si="213"/>
        <v>9</v>
      </c>
      <c r="I137" s="63">
        <f t="shared" si="214"/>
        <v>22</v>
      </c>
      <c r="J137" s="63" t="e">
        <f t="shared" si="215"/>
        <v>#VALUE!</v>
      </c>
      <c r="K137" s="63">
        <f t="shared" si="216"/>
        <v>32</v>
      </c>
      <c r="L137" s="63" t="str">
        <f>IFERROR(VLOOKUP(MID(G137,J137,K137-J137),[6]skilldef!$C:$D,2,FALSE),"-") &amp; " / " &amp; IFERROR(VLOOKUP(MID(G137,H137,I137-H137),[6]skilldef!$A:$B,2,FALSE),"-")</f>
        <v>- / -</v>
      </c>
      <c r="M137" s="63" t="str">
        <f t="shared" si="217"/>
        <v>[effect:rush, count:1, val:0.6],[effect:change_range_block, block_change:1, base_type:1, square_count:5, position01:17, value_rad01:3.0, value_h01:1.0, value_w01:1.0, new_block:jammer, target:block_all, ignore01:block_positive, ignore02:jammer, count:4, val:0 animation:change_range_block]</v>
      </c>
      <c r="N137" s="48" t="str">
        <f t="shared" si="228"/>
        <v>[effect:rush, count:1, val:0.6],[effect:change_range_block, block_change:1, base_type:1, square_count:5, position01:17, value_rad01:3.0, value_h01:1.0, value_w01:1.0, new_block:jammer, target:block_all, ignore01:block_positive, ignore02:jammer, count:4, val:0 animation:change_range_block]</v>
      </c>
      <c r="O137" s="63">
        <f t="shared" si="218"/>
        <v>9</v>
      </c>
      <c r="P137" s="63">
        <f t="shared" si="219"/>
        <v>13</v>
      </c>
      <c r="Q137" s="63">
        <f t="shared" si="220"/>
        <v>193</v>
      </c>
      <c r="R137" s="63">
        <f t="shared" si="221"/>
        <v>22</v>
      </c>
      <c r="S137" s="63" t="str">
        <f>IFERROR(VLOOKUP(MID(N137,Q137,R137-Q137),[6]skilldef!$C:$D,2,FALSE),"-") &amp; " / " &amp; IFERROR(VLOOKUP(MID(N137,O137,P137-O137),[6]skilldef!$A:$B,2,FALSE),"-")</f>
        <v>- / 連続攻撃</v>
      </c>
      <c r="T137" s="48" t="str">
        <f t="shared" si="222"/>
        <v>[effect:change_range_block, block_change:1, base_type:1, square_count:5, position01:17, value_rad01:3.0, value_h01:1.0, value_w01:1.0, new_block:jammer, target:block_all, ignore01:block_positive, ignore02:jammer, count:4, val:0 animation:change_range_block]</v>
      </c>
      <c r="U137" s="63">
        <f t="shared" si="223"/>
        <v>9</v>
      </c>
      <c r="V137" s="63">
        <f t="shared" si="224"/>
        <v>27</v>
      </c>
      <c r="W137" s="63">
        <f t="shared" si="225"/>
        <v>161</v>
      </c>
      <c r="X137" s="63">
        <f t="shared" si="226"/>
        <v>43</v>
      </c>
      <c r="Y137" s="63" t="str">
        <f>IFERROR(VLOOKUP(MID(T137,W137,X137-W137),[6]skilldef!$C:$D,2,FALSE),"-") &amp; " / " &amp; IFERROR(VLOOKUP(MID(T137,U137,V137-U137),[6]skilldef!$A:$B,2,FALSE),"-")</f>
        <v>- / -</v>
      </c>
      <c r="Z137" s="50"/>
      <c r="AA137" s="51"/>
      <c r="AB137" s="50"/>
    </row>
    <row r="138" spans="1:28" ht="308" x14ac:dyDescent="0.15">
      <c r="A138" s="124">
        <v>49015137</v>
      </c>
      <c r="B138" s="106" t="s">
        <v>532</v>
      </c>
      <c r="C138" s="50">
        <v>3</v>
      </c>
      <c r="D138" s="50" t="s">
        <v>127</v>
      </c>
      <c r="E138" s="193" t="s">
        <v>467</v>
      </c>
      <c r="F138" s="193" t="s">
        <v>468</v>
      </c>
      <c r="G138" s="63" t="str">
        <f t="shared" si="212"/>
        <v>[effect:enemy_message, val1:2.3, val2:2.8]</v>
      </c>
      <c r="H138" s="63">
        <f t="shared" si="213"/>
        <v>9</v>
      </c>
      <c r="I138" s="63">
        <f t="shared" si="214"/>
        <v>22</v>
      </c>
      <c r="J138" s="63" t="e">
        <f t="shared" si="215"/>
        <v>#VALUE!</v>
      </c>
      <c r="K138" s="63">
        <f t="shared" si="216"/>
        <v>32</v>
      </c>
      <c r="L138" s="63" t="str">
        <f>IFERROR(VLOOKUP(MID(G138,J138,K138-J138),[6]skilldef!$C:$D,2,FALSE),"-") &amp; " / " &amp; IFERROR(VLOOKUP(MID(G138,H138,I138-H138),[6]skilldef!$A:$B,2,FALSE),"-")</f>
        <v>- / -</v>
      </c>
      <c r="M138" s="63" t="str">
        <f t="shared" si="217"/>
        <v>[effect:change_range_block, block_change:1, base_type:1, square_count:5, position01:7, value_rad01:2.0, value_h01:1.0, value_w01:1.0, new_block:jammer, target:block_all, ignore01:block_positive, ignore02:jammer, count:3, val:0 animation:change_range_block],[effect:change_range_block, block_change:1, base_type:1, square_count:5, position01:17, value_rad01:2.0, value_h01:1.0, value_w01:1.0, new_block:time_bomb, target:block_all, ignore01:block_positive, ignore02:time_bomb, color:block_green, count:3, val:0.03, min_time_count:3, max_time_count:3, animation:change_range_block]</v>
      </c>
      <c r="N138" s="48" t="str">
        <f t="shared" si="228"/>
        <v>[effect:change_range_block, block_change:1, base_type:1, square_count:5, position01:7, value_rad01:2.0, value_h01:1.0, value_w01:1.0, new_block:jammer, target:block_all, ignore01:block_positive, ignore02:jammer, count:3, val:0 animation:change_range_block],[effect:change_range_block, block_change:1, base_type:1, square_count:5, position01:17, value_rad01:2.0, value_h01:1.0, value_w01:1.0, new_block:time_bomb, target:block_all, ignore01:block_positive, ignore02:time_bomb, color:block_green, count:3, val:0.03, min_time_count:3, max_time_count:3, animation:change_range_block]</v>
      </c>
      <c r="O138" s="63">
        <f t="shared" si="218"/>
        <v>9</v>
      </c>
      <c r="P138" s="63">
        <f t="shared" si="219"/>
        <v>27</v>
      </c>
      <c r="Q138" s="63">
        <f t="shared" si="220"/>
        <v>160</v>
      </c>
      <c r="R138" s="63">
        <f t="shared" si="221"/>
        <v>43</v>
      </c>
      <c r="S138" s="63" t="str">
        <f>IFERROR(VLOOKUP(MID(N138,Q138,R138-Q138),[6]skilldef!$C:$D,2,FALSE),"-") &amp; " / " &amp; IFERROR(VLOOKUP(MID(N138,O138,P138-O138),[6]skilldef!$A:$B,2,FALSE),"-")</f>
        <v>- / -</v>
      </c>
      <c r="T138" s="48" t="str">
        <f t="shared" si="222"/>
        <v>[effect:change_range_block, block_change:1, base_type:1, square_count:5, position01:17, value_rad01:2.0, value_h01:1.0, value_w01:1.0, new_block:time_bomb, target:block_all, ignore01:block_positive, ignore02:time_bomb, color:block_green, count:3, val:0.03, min_time_count:3, max_time_count:3, animation:change_range_block]</v>
      </c>
      <c r="U138" s="63">
        <f t="shared" si="223"/>
        <v>9</v>
      </c>
      <c r="V138" s="63">
        <f t="shared" si="224"/>
        <v>27</v>
      </c>
      <c r="W138" s="63">
        <f t="shared" si="225"/>
        <v>164</v>
      </c>
      <c r="X138" s="63">
        <f t="shared" si="226"/>
        <v>43</v>
      </c>
      <c r="Y138" s="63" t="str">
        <f>IFERROR(VLOOKUP(MID(T138,W138,X138-W138),[6]skilldef!$C:$D,2,FALSE),"-") &amp; " / " &amp; IFERROR(VLOOKUP(MID(T138,U138,V138-U138),[6]skilldef!$A:$B,2,FALSE),"-")</f>
        <v>- / -</v>
      </c>
      <c r="Z138" s="50"/>
      <c r="AA138" s="51"/>
      <c r="AB138" s="50"/>
    </row>
    <row r="139" spans="1:28" ht="14" x14ac:dyDescent="0.15">
      <c r="A139" s="124">
        <v>49015138</v>
      </c>
      <c r="B139" s="106" t="s">
        <v>352</v>
      </c>
      <c r="C139" s="50">
        <v>3</v>
      </c>
      <c r="D139" s="50" t="s">
        <v>127</v>
      </c>
      <c r="E139" s="152" t="s">
        <v>299</v>
      </c>
      <c r="F139" s="120" t="s">
        <v>300</v>
      </c>
      <c r="G139" s="63" t="str">
        <f t="shared" si="212"/>
        <v>[effect:enemy_message, val1:1.2, val2:1.2, dead_type:escape]</v>
      </c>
      <c r="H139" s="63">
        <f t="shared" si="213"/>
        <v>9</v>
      </c>
      <c r="I139" s="63">
        <f t="shared" si="214"/>
        <v>22</v>
      </c>
      <c r="J139" s="63" t="e">
        <f t="shared" si="215"/>
        <v>#VALUE!</v>
      </c>
      <c r="K139" s="63">
        <f t="shared" si="216"/>
        <v>32</v>
      </c>
      <c r="L139" s="63" t="str">
        <f>IFERROR(VLOOKUP(MID(G139,J139,K139-J139),[6]skilldef!$C:$D,2,FALSE),"-") &amp; " / " &amp; IFERROR(VLOOKUP(MID(G139,H139,I139-H139),[6]skilldef!$A:$B,2,FALSE),"-")</f>
        <v>- / -</v>
      </c>
      <c r="M139" s="63" t="str">
        <f t="shared" si="217"/>
        <v>none</v>
      </c>
      <c r="N139" s="48" t="str">
        <f t="shared" si="228"/>
        <v>none</v>
      </c>
      <c r="O139" s="63" t="e">
        <f t="shared" si="218"/>
        <v>#VALUE!</v>
      </c>
      <c r="P139" s="63">
        <f t="shared" si="219"/>
        <v>4</v>
      </c>
      <c r="Q139" s="63" t="e">
        <f t="shared" si="220"/>
        <v>#VALUE!</v>
      </c>
      <c r="R139" s="63" t="e">
        <f t="shared" si="221"/>
        <v>#VALUE!</v>
      </c>
      <c r="S139" s="63" t="str">
        <f>IFERROR(VLOOKUP(MID(N139,Q139,R139-Q139),[6]skilldef!$C:$D,2,FALSE),"-") &amp; " / " &amp; IFERROR(VLOOKUP(MID(N139,O139,P139-O139),[6]skilldef!$A:$B,2,FALSE),"-")</f>
        <v>- / -</v>
      </c>
      <c r="T139" s="48" t="str">
        <f t="shared" si="222"/>
        <v>none</v>
      </c>
      <c r="U139" s="63" t="e">
        <f t="shared" si="223"/>
        <v>#VALUE!</v>
      </c>
      <c r="V139" s="63">
        <f t="shared" si="224"/>
        <v>4</v>
      </c>
      <c r="W139" s="63" t="e">
        <f t="shared" si="225"/>
        <v>#VALUE!</v>
      </c>
      <c r="X139" s="63" t="e">
        <f t="shared" si="226"/>
        <v>#VALUE!</v>
      </c>
      <c r="Y139" s="63" t="str">
        <f>IFERROR(VLOOKUP(MID(T139,W139,X139-W139),[6]skilldef!$C:$D,2,FALSE),"-") &amp; " / " &amp; IFERROR(VLOOKUP(MID(T139,U139,V139-U139),[6]skilldef!$A:$B,2,FALSE),"-")</f>
        <v>- / -</v>
      </c>
      <c r="Z139" s="50"/>
      <c r="AA139" s="51"/>
      <c r="AB139" s="50"/>
    </row>
    <row r="140" spans="1:28" ht="14" x14ac:dyDescent="0.15">
      <c r="A140" s="124">
        <v>49015139</v>
      </c>
      <c r="B140" s="106" t="s">
        <v>588</v>
      </c>
      <c r="C140" s="50">
        <v>3</v>
      </c>
      <c r="D140" s="50" t="s">
        <v>127</v>
      </c>
      <c r="E140" s="119" t="s">
        <v>413</v>
      </c>
      <c r="F140" s="105" t="s">
        <v>301</v>
      </c>
      <c r="G140" s="63" t="str">
        <f t="shared" si="212"/>
        <v>[effect:enemy_message, val1:1.2, val2:1.3, dead_type:escape]</v>
      </c>
      <c r="H140" s="63">
        <f t="shared" si="213"/>
        <v>9</v>
      </c>
      <c r="I140" s="63">
        <f t="shared" si="214"/>
        <v>22</v>
      </c>
      <c r="J140" s="63" t="e">
        <f t="shared" si="215"/>
        <v>#VALUE!</v>
      </c>
      <c r="K140" s="63">
        <f t="shared" si="216"/>
        <v>32</v>
      </c>
      <c r="L140" s="63" t="str">
        <f>IFERROR(VLOOKUP(MID(G140,J140,K140-J140),[6]skilldef!$C:$D,2,FALSE),"-") &amp; " / " &amp; IFERROR(VLOOKUP(MID(G140,H140,I140-H140),[6]skilldef!$A:$B,2,FALSE),"-")</f>
        <v>- / -</v>
      </c>
      <c r="M140" s="63" t="str">
        <f t="shared" si="217"/>
        <v>none</v>
      </c>
      <c r="N140" s="48" t="str">
        <f>IFERROR(LEFT(M140,FIND("],",M140)+#REF!),M140)</f>
        <v>none</v>
      </c>
      <c r="O140" s="63" t="e">
        <f t="shared" si="218"/>
        <v>#VALUE!</v>
      </c>
      <c r="P140" s="63">
        <f t="shared" si="219"/>
        <v>4</v>
      </c>
      <c r="Q140" s="63" t="e">
        <f t="shared" si="220"/>
        <v>#VALUE!</v>
      </c>
      <c r="R140" s="63" t="e">
        <f t="shared" si="221"/>
        <v>#VALUE!</v>
      </c>
      <c r="S140" s="63" t="str">
        <f>IFERROR(VLOOKUP(MID(N140,Q140,R140-Q140),[6]skilldef!$C:$D,2,FALSE),"-") &amp; " / " &amp; IFERROR(VLOOKUP(MID(N140,O140,P140-O140),[6]skilldef!$A:$B,2,FALSE),"-")</f>
        <v>- / -</v>
      </c>
      <c r="T140" s="48" t="str">
        <f t="shared" si="222"/>
        <v>none</v>
      </c>
      <c r="U140" s="63" t="e">
        <f t="shared" si="223"/>
        <v>#VALUE!</v>
      </c>
      <c r="V140" s="63">
        <f t="shared" si="224"/>
        <v>4</v>
      </c>
      <c r="W140" s="63" t="e">
        <f t="shared" si="225"/>
        <v>#VALUE!</v>
      </c>
      <c r="X140" s="63" t="e">
        <f t="shared" si="226"/>
        <v>#VALUE!</v>
      </c>
      <c r="Y140" s="63" t="str">
        <f>IFERROR(VLOOKUP(MID(T140,W140,X140-W140),[6]skilldef!$C:$D,2,FALSE),"-") &amp; " / " &amp; IFERROR(VLOOKUP(MID(T140,U140,V140-U140),[6]skilldef!$A:$B,2,FALSE),"-")</f>
        <v>- / -</v>
      </c>
      <c r="Z140" s="50"/>
      <c r="AA140" s="51"/>
      <c r="AB140" s="50"/>
    </row>
    <row r="141" spans="1:28" ht="21" customHeight="1" x14ac:dyDescent="0.15">
      <c r="A141" s="124">
        <v>49015140</v>
      </c>
      <c r="B141" s="106" t="s">
        <v>352</v>
      </c>
      <c r="C141" s="50">
        <v>3</v>
      </c>
      <c r="D141" s="50" t="s">
        <v>127</v>
      </c>
      <c r="E141" s="105" t="s">
        <v>302</v>
      </c>
      <c r="F141" s="118" t="s">
        <v>303</v>
      </c>
      <c r="G141" s="63" t="str">
        <f t="shared" si="212"/>
        <v>[effect:enemy_message, val1:1.2, val2:1.2, dead_type:escape]</v>
      </c>
      <c r="H141" s="63">
        <f t="shared" si="213"/>
        <v>9</v>
      </c>
      <c r="I141" s="63">
        <f t="shared" si="214"/>
        <v>22</v>
      </c>
      <c r="J141" s="63" t="e">
        <f t="shared" si="215"/>
        <v>#VALUE!</v>
      </c>
      <c r="K141" s="63">
        <f t="shared" si="216"/>
        <v>32</v>
      </c>
      <c r="L141" s="63" t="str">
        <f>IFERROR(VLOOKUP(MID(G141,J141,K141-J141),[6]skilldef!$C:$D,2,FALSE),"-") &amp; " / " &amp; IFERROR(VLOOKUP(MID(G141,H141,I141-H141),[6]skilldef!$A:$B,2,FALSE),"-")</f>
        <v>- / -</v>
      </c>
      <c r="M141" s="63" t="str">
        <f t="shared" si="217"/>
        <v>none</v>
      </c>
      <c r="N141" s="48" t="str">
        <f t="shared" ref="N141:N149" si="229">IFERROR(LEFT(M141,FIND("],",M141)+S150),M141)</f>
        <v>none</v>
      </c>
      <c r="O141" s="63" t="e">
        <f t="shared" si="218"/>
        <v>#VALUE!</v>
      </c>
      <c r="P141" s="63">
        <f t="shared" si="219"/>
        <v>4</v>
      </c>
      <c r="Q141" s="63" t="e">
        <f t="shared" si="220"/>
        <v>#VALUE!</v>
      </c>
      <c r="R141" s="63" t="e">
        <f t="shared" si="221"/>
        <v>#VALUE!</v>
      </c>
      <c r="S141" s="63" t="str">
        <f>IFERROR(VLOOKUP(MID(N141,Q141,R141-Q141),[6]skilldef!$C:$D,2,FALSE),"-") &amp; " / " &amp; IFERROR(VLOOKUP(MID(N141,O141,P141-O141),[6]skilldef!$A:$B,2,FALSE),"-")</f>
        <v>- / -</v>
      </c>
      <c r="T141" s="48" t="str">
        <f t="shared" si="222"/>
        <v>none</v>
      </c>
      <c r="U141" s="63" t="e">
        <f t="shared" si="223"/>
        <v>#VALUE!</v>
      </c>
      <c r="V141" s="63">
        <f t="shared" si="224"/>
        <v>4</v>
      </c>
      <c r="W141" s="63" t="e">
        <f t="shared" si="225"/>
        <v>#VALUE!</v>
      </c>
      <c r="X141" s="63" t="e">
        <f t="shared" si="226"/>
        <v>#VALUE!</v>
      </c>
      <c r="Y141" s="63" t="str">
        <f>IFERROR(VLOOKUP(MID(T141,W141,X141-W141),[6]skilldef!$C:$D,2,FALSE),"-") &amp; " / " &amp; IFERROR(VLOOKUP(MID(T141,U141,V141-U141),[6]skilldef!$A:$B,2,FALSE),"-")</f>
        <v>- / -</v>
      </c>
      <c r="Z141" s="50"/>
      <c r="AA141" s="51"/>
      <c r="AB141" s="50"/>
    </row>
    <row r="142" spans="1:28" ht="14" x14ac:dyDescent="0.15">
      <c r="A142" s="124">
        <v>49015141</v>
      </c>
      <c r="B142" s="106" t="s">
        <v>352</v>
      </c>
      <c r="C142" s="50">
        <v>3</v>
      </c>
      <c r="D142" s="50" t="s">
        <v>127</v>
      </c>
      <c r="E142" s="119" t="s">
        <v>574</v>
      </c>
      <c r="F142" s="105" t="s">
        <v>304</v>
      </c>
      <c r="G142" s="63" t="str">
        <f t="shared" si="212"/>
        <v>[effect:enemy_message, val1:1.2, val2:1.2, dead_type:escape]</v>
      </c>
      <c r="H142" s="63">
        <f t="shared" si="213"/>
        <v>9</v>
      </c>
      <c r="I142" s="63">
        <f t="shared" si="214"/>
        <v>22</v>
      </c>
      <c r="J142" s="63" t="e">
        <f t="shared" si="215"/>
        <v>#VALUE!</v>
      </c>
      <c r="K142" s="63">
        <f t="shared" si="216"/>
        <v>32</v>
      </c>
      <c r="L142" s="63" t="str">
        <f>IFERROR(VLOOKUP(MID(G142,J142,K142-J142),[6]skilldef!$C:$D,2,FALSE),"-") &amp; " / " &amp; IFERROR(VLOOKUP(MID(G142,H142,I142-H142),[6]skilldef!$A:$B,2,FALSE),"-")</f>
        <v>- / -</v>
      </c>
      <c r="M142" s="63" t="str">
        <f t="shared" si="217"/>
        <v>none</v>
      </c>
      <c r="N142" s="48" t="str">
        <f t="shared" si="229"/>
        <v>none</v>
      </c>
      <c r="O142" s="63" t="e">
        <f t="shared" si="218"/>
        <v>#VALUE!</v>
      </c>
      <c r="P142" s="63">
        <f t="shared" si="219"/>
        <v>4</v>
      </c>
      <c r="Q142" s="63" t="e">
        <f t="shared" si="220"/>
        <v>#VALUE!</v>
      </c>
      <c r="R142" s="63" t="e">
        <f t="shared" si="221"/>
        <v>#VALUE!</v>
      </c>
      <c r="S142" s="63" t="str">
        <f>IFERROR(VLOOKUP(MID(N142,Q142,R142-Q142),[6]skilldef!$C:$D,2,FALSE),"-") &amp; " / " &amp; IFERROR(VLOOKUP(MID(N142,O142,P142-O142),[6]skilldef!$A:$B,2,FALSE),"-")</f>
        <v>- / -</v>
      </c>
      <c r="T142" s="48" t="str">
        <f t="shared" si="222"/>
        <v>none</v>
      </c>
      <c r="U142" s="63" t="e">
        <f t="shared" si="223"/>
        <v>#VALUE!</v>
      </c>
      <c r="V142" s="63">
        <f t="shared" si="224"/>
        <v>4</v>
      </c>
      <c r="W142" s="63" t="e">
        <f t="shared" si="225"/>
        <v>#VALUE!</v>
      </c>
      <c r="X142" s="63" t="e">
        <f t="shared" si="226"/>
        <v>#VALUE!</v>
      </c>
      <c r="Y142" s="63" t="str">
        <f>IFERROR(VLOOKUP(MID(T142,W142,X142-W142),[6]skilldef!$C:$D,2,FALSE),"-") &amp; " / " &amp; IFERROR(VLOOKUP(MID(T142,U142,V142-U142),[6]skilldef!$A:$B,2,FALSE),"-")</f>
        <v>- / -</v>
      </c>
      <c r="Z142" s="50"/>
      <c r="AA142" s="51"/>
      <c r="AB142" s="50"/>
    </row>
    <row r="143" spans="1:28" ht="21" customHeight="1" x14ac:dyDescent="0.15">
      <c r="A143" s="124">
        <v>49015142</v>
      </c>
      <c r="B143" s="106" t="s">
        <v>377</v>
      </c>
      <c r="C143" s="50">
        <v>3</v>
      </c>
      <c r="D143" s="50" t="s">
        <v>127</v>
      </c>
      <c r="E143" s="105" t="s">
        <v>376</v>
      </c>
      <c r="F143" s="105" t="s">
        <v>261</v>
      </c>
      <c r="G143" s="63" t="str">
        <f t="shared" si="212"/>
        <v>[effect:enemy_message, val1:1.6, val2:0, dead_type:escape]</v>
      </c>
      <c r="H143" s="63">
        <f t="shared" si="213"/>
        <v>9</v>
      </c>
      <c r="I143" s="63">
        <f t="shared" si="214"/>
        <v>22</v>
      </c>
      <c r="J143" s="63" t="e">
        <f t="shared" si="215"/>
        <v>#VALUE!</v>
      </c>
      <c r="K143" s="63">
        <f t="shared" si="216"/>
        <v>32</v>
      </c>
      <c r="L143" s="63" t="str">
        <f>IFERROR(VLOOKUP(MID(G143,J143,K143-J143),[6]skilldef!$C:$D,2,FALSE),"-") &amp; " / " &amp; IFERROR(VLOOKUP(MID(G143,H143,I143-H143),[6]skilldef!$A:$B,2,FALSE),"-")</f>
        <v>- / -</v>
      </c>
      <c r="M143" s="63" t="str">
        <f t="shared" si="217"/>
        <v>none</v>
      </c>
      <c r="N143" s="48" t="str">
        <f t="shared" si="229"/>
        <v>none</v>
      </c>
      <c r="O143" s="63" t="e">
        <f t="shared" si="218"/>
        <v>#VALUE!</v>
      </c>
      <c r="P143" s="63">
        <f t="shared" si="219"/>
        <v>4</v>
      </c>
      <c r="Q143" s="63" t="e">
        <f t="shared" si="220"/>
        <v>#VALUE!</v>
      </c>
      <c r="R143" s="63" t="e">
        <f t="shared" si="221"/>
        <v>#VALUE!</v>
      </c>
      <c r="S143" s="63" t="str">
        <f>IFERROR(VLOOKUP(MID(N143,Q143,R143-Q143),[6]skilldef!$C:$D,2,FALSE),"-") &amp; " / " &amp; IFERROR(VLOOKUP(MID(N143,O143,P143-O143),[6]skilldef!$A:$B,2,FALSE),"-")</f>
        <v>- / -</v>
      </c>
      <c r="T143" s="48" t="str">
        <f t="shared" si="222"/>
        <v>none</v>
      </c>
      <c r="U143" s="63" t="e">
        <f t="shared" si="223"/>
        <v>#VALUE!</v>
      </c>
      <c r="V143" s="63">
        <f t="shared" si="224"/>
        <v>4</v>
      </c>
      <c r="W143" s="63" t="e">
        <f t="shared" si="225"/>
        <v>#VALUE!</v>
      </c>
      <c r="X143" s="63" t="e">
        <f t="shared" si="226"/>
        <v>#VALUE!</v>
      </c>
      <c r="Y143" s="63" t="str">
        <f>IFERROR(VLOOKUP(MID(T143,W143,X143-W143),[6]skilldef!$C:$D,2,FALSE),"-") &amp; " / " &amp; IFERROR(VLOOKUP(MID(T143,U143,V143-U143),[6]skilldef!$A:$B,2,FALSE),"-")</f>
        <v>- / -</v>
      </c>
      <c r="Z143" s="50"/>
      <c r="AA143" s="51"/>
      <c r="AB143" s="50"/>
    </row>
    <row r="144" spans="1:28" ht="21" customHeight="1" x14ac:dyDescent="0.15">
      <c r="A144" s="124">
        <v>49015143</v>
      </c>
      <c r="B144" s="106" t="s">
        <v>356</v>
      </c>
      <c r="C144" s="50">
        <v>3</v>
      </c>
      <c r="D144" s="50" t="s">
        <v>127</v>
      </c>
      <c r="E144" s="105" t="s">
        <v>305</v>
      </c>
      <c r="F144" s="105" t="s">
        <v>261</v>
      </c>
      <c r="G144" s="63" t="str">
        <f t="shared" si="212"/>
        <v>[effect:enemy_message, val1:1.2, val2:0, dead_type:escape]</v>
      </c>
      <c r="H144" s="63">
        <f t="shared" si="213"/>
        <v>9</v>
      </c>
      <c r="I144" s="63">
        <f t="shared" si="214"/>
        <v>22</v>
      </c>
      <c r="J144" s="63" t="e">
        <f t="shared" si="215"/>
        <v>#VALUE!</v>
      </c>
      <c r="K144" s="63">
        <f t="shared" si="216"/>
        <v>32</v>
      </c>
      <c r="L144" s="63" t="str">
        <f>IFERROR(VLOOKUP(MID(G144,J144,K144-J144),[6]skilldef!$C:$D,2,FALSE),"-") &amp; " / " &amp; IFERROR(VLOOKUP(MID(G144,H144,I144-H144),[6]skilldef!$A:$B,2,FALSE),"-")</f>
        <v>- / -</v>
      </c>
      <c r="M144" s="63" t="str">
        <f t="shared" si="217"/>
        <v>none</v>
      </c>
      <c r="N144" s="48" t="str">
        <f t="shared" si="229"/>
        <v>none</v>
      </c>
      <c r="O144" s="63" t="e">
        <f t="shared" si="218"/>
        <v>#VALUE!</v>
      </c>
      <c r="P144" s="63">
        <f t="shared" si="219"/>
        <v>4</v>
      </c>
      <c r="Q144" s="63" t="e">
        <f t="shared" si="220"/>
        <v>#VALUE!</v>
      </c>
      <c r="R144" s="63" t="e">
        <f t="shared" si="221"/>
        <v>#VALUE!</v>
      </c>
      <c r="S144" s="63" t="str">
        <f>IFERROR(VLOOKUP(MID(N144,Q144,R144-Q144),[6]skilldef!$C:$D,2,FALSE),"-") &amp; " / " &amp; IFERROR(VLOOKUP(MID(N144,O144,P144-O144),[6]skilldef!$A:$B,2,FALSE),"-")</f>
        <v>- / -</v>
      </c>
      <c r="T144" s="48" t="str">
        <f t="shared" si="222"/>
        <v>none</v>
      </c>
      <c r="U144" s="63" t="e">
        <f t="shared" si="223"/>
        <v>#VALUE!</v>
      </c>
      <c r="V144" s="63">
        <f t="shared" si="224"/>
        <v>4</v>
      </c>
      <c r="W144" s="63" t="e">
        <f t="shared" si="225"/>
        <v>#VALUE!</v>
      </c>
      <c r="X144" s="63" t="e">
        <f t="shared" si="226"/>
        <v>#VALUE!</v>
      </c>
      <c r="Y144" s="63" t="str">
        <f>IFERROR(VLOOKUP(MID(T144,W144,X144-W144),[6]skilldef!$C:$D,2,FALSE),"-") &amp; " / " &amp; IFERROR(VLOOKUP(MID(T144,U144,V144-U144),[6]skilldef!$A:$B,2,FALSE),"-")</f>
        <v>- / -</v>
      </c>
      <c r="Z144" s="50"/>
      <c r="AA144" s="51"/>
      <c r="AB144" s="50"/>
    </row>
    <row r="145" spans="1:28" ht="21" customHeight="1" x14ac:dyDescent="0.15">
      <c r="A145" s="124">
        <v>49015144</v>
      </c>
      <c r="B145" s="106" t="s">
        <v>352</v>
      </c>
      <c r="C145" s="50">
        <v>3</v>
      </c>
      <c r="D145" s="50" t="s">
        <v>127</v>
      </c>
      <c r="E145" s="105" t="s">
        <v>306</v>
      </c>
      <c r="F145" s="118" t="s">
        <v>307</v>
      </c>
      <c r="G145" s="63" t="str">
        <f t="shared" si="212"/>
        <v>[effect:enemy_message, val1:1.2, val2:1.2, dead_type:escape]</v>
      </c>
      <c r="H145" s="63">
        <f t="shared" si="213"/>
        <v>9</v>
      </c>
      <c r="I145" s="63">
        <f t="shared" si="214"/>
        <v>22</v>
      </c>
      <c r="J145" s="63" t="e">
        <f t="shared" si="215"/>
        <v>#VALUE!</v>
      </c>
      <c r="K145" s="63">
        <f t="shared" si="216"/>
        <v>32</v>
      </c>
      <c r="L145" s="63" t="str">
        <f>IFERROR(VLOOKUP(MID(G145,J145,K145-J145),[6]skilldef!$C:$D,2,FALSE),"-") &amp; " / " &amp; IFERROR(VLOOKUP(MID(G145,H145,I145-H145),[6]skilldef!$A:$B,2,FALSE),"-")</f>
        <v>- / -</v>
      </c>
      <c r="M145" s="63" t="str">
        <f t="shared" si="217"/>
        <v>none</v>
      </c>
      <c r="N145" s="48" t="str">
        <f t="shared" si="229"/>
        <v>none</v>
      </c>
      <c r="O145" s="63" t="e">
        <f t="shared" si="218"/>
        <v>#VALUE!</v>
      </c>
      <c r="P145" s="63">
        <f t="shared" si="219"/>
        <v>4</v>
      </c>
      <c r="Q145" s="63" t="e">
        <f t="shared" si="220"/>
        <v>#VALUE!</v>
      </c>
      <c r="R145" s="63" t="e">
        <f t="shared" si="221"/>
        <v>#VALUE!</v>
      </c>
      <c r="S145" s="63" t="str">
        <f>IFERROR(VLOOKUP(MID(N145,Q145,R145-Q145),[6]skilldef!$C:$D,2,FALSE),"-") &amp; " / " &amp; IFERROR(VLOOKUP(MID(N145,O145,P145-O145),[6]skilldef!$A:$B,2,FALSE),"-")</f>
        <v>- / -</v>
      </c>
      <c r="T145" s="48" t="str">
        <f t="shared" si="222"/>
        <v>none</v>
      </c>
      <c r="U145" s="63" t="e">
        <f t="shared" si="223"/>
        <v>#VALUE!</v>
      </c>
      <c r="V145" s="63">
        <f t="shared" si="224"/>
        <v>4</v>
      </c>
      <c r="W145" s="63" t="e">
        <f t="shared" si="225"/>
        <v>#VALUE!</v>
      </c>
      <c r="X145" s="63" t="e">
        <f t="shared" si="226"/>
        <v>#VALUE!</v>
      </c>
      <c r="Y145" s="63" t="str">
        <f>IFERROR(VLOOKUP(MID(T145,W145,X145-W145),[6]skilldef!$C:$D,2,FALSE),"-") &amp; " / " &amp; IFERROR(VLOOKUP(MID(T145,U145,V145-U145),[6]skilldef!$A:$B,2,FALSE),"-")</f>
        <v>- / -</v>
      </c>
      <c r="Z145" s="50"/>
      <c r="AA145" s="51"/>
      <c r="AB145" s="50"/>
    </row>
    <row r="146" spans="1:28" ht="21" customHeight="1" thickBot="1" x14ac:dyDescent="0.2">
      <c r="A146" s="125">
        <v>49015145</v>
      </c>
      <c r="B146" s="111" t="s">
        <v>352</v>
      </c>
      <c r="C146" s="50">
        <v>3</v>
      </c>
      <c r="D146" s="112" t="s">
        <v>127</v>
      </c>
      <c r="E146" s="117" t="s">
        <v>308</v>
      </c>
      <c r="F146" s="117" t="s">
        <v>309</v>
      </c>
      <c r="G146" s="113" t="str">
        <f t="shared" si="212"/>
        <v>[effect:enemy_message, val1:1.2, val2:1.2, dead_type:escape]</v>
      </c>
      <c r="H146" s="113">
        <f t="shared" si="213"/>
        <v>9</v>
      </c>
      <c r="I146" s="113">
        <f t="shared" si="214"/>
        <v>22</v>
      </c>
      <c r="J146" s="113" t="e">
        <f t="shared" si="215"/>
        <v>#VALUE!</v>
      </c>
      <c r="K146" s="113">
        <f t="shared" si="216"/>
        <v>32</v>
      </c>
      <c r="L146" s="113" t="str">
        <f>IFERROR(VLOOKUP(MID(G146,J146,K146-J146),[6]skilldef!$C:$D,2,FALSE),"-") &amp; " / " &amp; IFERROR(VLOOKUP(MID(G146,H146,I146-H146),[6]skilldef!$A:$B,2,FALSE),"-")</f>
        <v>- / -</v>
      </c>
      <c r="M146" s="113" t="str">
        <f t="shared" si="217"/>
        <v>none</v>
      </c>
      <c r="N146" s="114" t="str">
        <f t="shared" si="229"/>
        <v>none</v>
      </c>
      <c r="O146" s="113" t="e">
        <f t="shared" si="218"/>
        <v>#VALUE!</v>
      </c>
      <c r="P146" s="113">
        <f t="shared" si="219"/>
        <v>4</v>
      </c>
      <c r="Q146" s="113" t="e">
        <f t="shared" si="220"/>
        <v>#VALUE!</v>
      </c>
      <c r="R146" s="113" t="e">
        <f t="shared" si="221"/>
        <v>#VALUE!</v>
      </c>
      <c r="S146" s="113" t="str">
        <f>IFERROR(VLOOKUP(MID(N146,Q146,R146-Q146),[6]skilldef!$C:$D,2,FALSE),"-") &amp; " / " &amp; IFERROR(VLOOKUP(MID(N146,O146,P146-O146),[6]skilldef!$A:$B,2,FALSE),"-")</f>
        <v>- / -</v>
      </c>
      <c r="T146" s="114" t="str">
        <f t="shared" si="222"/>
        <v>none</v>
      </c>
      <c r="U146" s="113" t="e">
        <f t="shared" si="223"/>
        <v>#VALUE!</v>
      </c>
      <c r="V146" s="113">
        <f t="shared" si="224"/>
        <v>4</v>
      </c>
      <c r="W146" s="113" t="e">
        <f t="shared" si="225"/>
        <v>#VALUE!</v>
      </c>
      <c r="X146" s="113" t="e">
        <f t="shared" si="226"/>
        <v>#VALUE!</v>
      </c>
      <c r="Y146" s="113" t="str">
        <f>IFERROR(VLOOKUP(MID(T146,W146,X146-W146),[6]skilldef!$C:$D,2,FALSE),"-") &amp; " / " &amp; IFERROR(VLOOKUP(MID(T146,U146,V146-U146),[6]skilldef!$A:$B,2,FALSE),"-")</f>
        <v>- / -</v>
      </c>
      <c r="Z146" s="112"/>
      <c r="AA146" s="115"/>
      <c r="AB146" s="112"/>
    </row>
    <row r="147" spans="1:28" ht="21" customHeight="1" x14ac:dyDescent="0.15">
      <c r="A147" s="126">
        <v>49015146</v>
      </c>
      <c r="B147" s="106" t="s">
        <v>556</v>
      </c>
      <c r="C147" s="50">
        <v>3</v>
      </c>
      <c r="D147" s="107" t="s">
        <v>127</v>
      </c>
      <c r="E147" s="118" t="s">
        <v>310</v>
      </c>
      <c r="F147" s="118" t="s">
        <v>559</v>
      </c>
      <c r="G147" s="108" t="str">
        <f t="shared" si="212"/>
        <v>[effect:enemy_message, val1:1.6, val2:1.2]</v>
      </c>
      <c r="H147" s="108">
        <f t="shared" si="213"/>
        <v>9</v>
      </c>
      <c r="I147" s="108">
        <f t="shared" si="214"/>
        <v>22</v>
      </c>
      <c r="J147" s="108" t="e">
        <f t="shared" si="215"/>
        <v>#VALUE!</v>
      </c>
      <c r="K147" s="108">
        <f t="shared" si="216"/>
        <v>32</v>
      </c>
      <c r="L147" s="108" t="str">
        <f>IFERROR(VLOOKUP(MID(G147,J147,K147-J147),[6]skilldef!$C:$D,2,FALSE),"-") &amp; " / " &amp; IFERROR(VLOOKUP(MID(G147,H147,I147-H147),[6]skilldef!$A:$B,2,FALSE),"-")</f>
        <v>- / -</v>
      </c>
      <c r="M147" s="108" t="str">
        <f t="shared" si="217"/>
        <v>[effect:fix_speed, target:myself, turn:2],[effect:dark, target:unit_all, turn:4, animation:enemy_dark]</v>
      </c>
      <c r="N147" s="109" t="str">
        <f t="shared" si="229"/>
        <v>[effect:fix_speed, target:myself, turn:2],[effect:dark, target:unit_all, turn:4, animation:enemy_dark]</v>
      </c>
      <c r="O147" s="108">
        <f t="shared" si="218"/>
        <v>9</v>
      </c>
      <c r="P147" s="108">
        <f t="shared" si="219"/>
        <v>18</v>
      </c>
      <c r="Q147" s="108">
        <f t="shared" si="220"/>
        <v>27</v>
      </c>
      <c r="R147" s="108">
        <f t="shared" si="221"/>
        <v>33</v>
      </c>
      <c r="S147" s="108" t="str">
        <f>IFERROR(VLOOKUP(MID(N147,Q147,R147-Q147),[6]skilldef!$C:$D,2,FALSE),"-") &amp; " / " &amp; IFERROR(VLOOKUP(MID(N147,O147,P147-O147),[6]skilldef!$A:$B,2,FALSE),"-")</f>
        <v>自分自身に / 行動値設定</v>
      </c>
      <c r="T147" s="109" t="str">
        <f t="shared" si="222"/>
        <v>[effect:dark, target:unit_all, turn:4, animation:enemy_dark]</v>
      </c>
      <c r="U147" s="108">
        <f t="shared" si="223"/>
        <v>9</v>
      </c>
      <c r="V147" s="108">
        <f t="shared" si="224"/>
        <v>13</v>
      </c>
      <c r="W147" s="108">
        <f t="shared" si="225"/>
        <v>22</v>
      </c>
      <c r="X147" s="108">
        <f t="shared" si="226"/>
        <v>30</v>
      </c>
      <c r="Y147" s="108" t="str">
        <f>IFERROR(VLOOKUP(MID(T147,W147,X147-W147),[6]skilldef!$C:$D,2,FALSE),"-") &amp; " / " &amp; IFERROR(VLOOKUP(MID(T147,U147,V147-U147),[6]skilldef!$A:$B,2,FALSE),"-")</f>
        <v>味方全体に / 暗黒</v>
      </c>
      <c r="Z147" s="107"/>
      <c r="AA147" s="110"/>
      <c r="AB147" s="107"/>
    </row>
    <row r="148" spans="1:28" ht="56" x14ac:dyDescent="0.15">
      <c r="A148" s="126">
        <v>49015147</v>
      </c>
      <c r="B148" s="106" t="s">
        <v>568</v>
      </c>
      <c r="C148" s="50">
        <v>3</v>
      </c>
      <c r="D148" s="50" t="s">
        <v>127</v>
      </c>
      <c r="E148" s="119" t="s">
        <v>314</v>
      </c>
      <c r="F148" s="119" t="s">
        <v>560</v>
      </c>
      <c r="G148" s="63" t="str">
        <f t="shared" si="212"/>
        <v>[effect:enemy_message, val1:1.2, val2:2.1]</v>
      </c>
      <c r="H148" s="63">
        <f t="shared" si="213"/>
        <v>9</v>
      </c>
      <c r="I148" s="63">
        <f t="shared" si="214"/>
        <v>22</v>
      </c>
      <c r="J148" s="63" t="e">
        <f t="shared" si="215"/>
        <v>#VALUE!</v>
      </c>
      <c r="K148" s="63">
        <f t="shared" si="216"/>
        <v>32</v>
      </c>
      <c r="L148" s="63" t="str">
        <f>IFERROR(VLOOKUP(MID(G148,J148,K148-J148),[6]skilldef!$C:$D,2,FALSE),"-") &amp; " / " &amp; IFERROR(VLOOKUP(MID(G148,H148,I148-H148),[6]skilldef!$A:$B,2,FALSE),"-")</f>
        <v>- / -</v>
      </c>
      <c r="M148" s="63" t="str">
        <f t="shared" si="217"/>
        <v>[effect:fix_speed, target:myself, turn:2],[effect:dark, target:unit_all, turn:4, animation:enemy_dark]</v>
      </c>
      <c r="N148" s="48" t="str">
        <f t="shared" si="229"/>
        <v>[effect:fix_speed, target:myself, turn:2],[effect:dark, target:unit_all, turn:4, animation:enemy_dark]</v>
      </c>
      <c r="O148" s="63">
        <f t="shared" si="218"/>
        <v>9</v>
      </c>
      <c r="P148" s="63">
        <f t="shared" si="219"/>
        <v>18</v>
      </c>
      <c r="Q148" s="63">
        <f t="shared" si="220"/>
        <v>27</v>
      </c>
      <c r="R148" s="63">
        <f t="shared" si="221"/>
        <v>33</v>
      </c>
      <c r="S148" s="63" t="str">
        <f>IFERROR(VLOOKUP(MID(N148,Q148,R148-Q148),[6]skilldef!$C:$D,2,FALSE),"-") &amp; " / " &amp; IFERROR(VLOOKUP(MID(N148,O148,P148-O148),[6]skilldef!$A:$B,2,FALSE),"-")</f>
        <v>自分自身に / 行動値設定</v>
      </c>
      <c r="T148" s="48" t="str">
        <f t="shared" si="222"/>
        <v>[effect:dark, target:unit_all, turn:4, animation:enemy_dark]</v>
      </c>
      <c r="U148" s="63">
        <f t="shared" si="223"/>
        <v>9</v>
      </c>
      <c r="V148" s="63">
        <f t="shared" si="224"/>
        <v>13</v>
      </c>
      <c r="W148" s="63">
        <f t="shared" si="225"/>
        <v>22</v>
      </c>
      <c r="X148" s="63">
        <f t="shared" si="226"/>
        <v>30</v>
      </c>
      <c r="Y148" s="63" t="str">
        <f>IFERROR(VLOOKUP(MID(T148,W148,X148-W148),[6]skilldef!$C:$D,2,FALSE),"-") &amp; " / " &amp; IFERROR(VLOOKUP(MID(T148,U148,V148-U148),[6]skilldef!$A:$B,2,FALSE),"-")</f>
        <v>味方全体に / 暗黒</v>
      </c>
      <c r="Z148" s="50"/>
      <c r="AA148" s="51"/>
      <c r="AB148" s="50"/>
    </row>
    <row r="149" spans="1:28" ht="21" customHeight="1" x14ac:dyDescent="0.15">
      <c r="A149" s="126">
        <v>49015148</v>
      </c>
      <c r="B149" s="106" t="s">
        <v>564</v>
      </c>
      <c r="C149" s="50">
        <v>3</v>
      </c>
      <c r="D149" s="50" t="s">
        <v>127</v>
      </c>
      <c r="E149" s="105" t="s">
        <v>315</v>
      </c>
      <c r="F149" s="118" t="s">
        <v>561</v>
      </c>
      <c r="G149" s="63" t="str">
        <f t="shared" si="212"/>
        <v>[effect:enemy_message, val1:1.2, val2:2.3]</v>
      </c>
      <c r="H149" s="63">
        <f t="shared" si="213"/>
        <v>9</v>
      </c>
      <c r="I149" s="63">
        <f t="shared" si="214"/>
        <v>22</v>
      </c>
      <c r="J149" s="63" t="e">
        <f t="shared" si="215"/>
        <v>#VALUE!</v>
      </c>
      <c r="K149" s="63">
        <f t="shared" si="216"/>
        <v>32</v>
      </c>
      <c r="L149" s="63" t="str">
        <f>IFERROR(VLOOKUP(MID(G149,J149,K149-J149),[6]skilldef!$C:$D,2,FALSE),"-") &amp; " / " &amp; IFERROR(VLOOKUP(MID(G149,H149,I149-H149),[6]skilldef!$A:$B,2,FALSE),"-")</f>
        <v>- / -</v>
      </c>
      <c r="M149" s="63" t="str">
        <f t="shared" si="217"/>
        <v>[effect:fix_speed, target:myself, turn:2],[effect:dark, target:unit_all, turn:4, animation:enemy_dark]</v>
      </c>
      <c r="N149" s="48" t="str">
        <f t="shared" si="229"/>
        <v>[effect:fix_speed, target:myself, turn:2],[effect:dark, target:unit_all, turn:4, animation:enemy_dark]</v>
      </c>
      <c r="O149" s="63">
        <f t="shared" si="218"/>
        <v>9</v>
      </c>
      <c r="P149" s="63">
        <f t="shared" si="219"/>
        <v>18</v>
      </c>
      <c r="Q149" s="63">
        <f t="shared" si="220"/>
        <v>27</v>
      </c>
      <c r="R149" s="63">
        <f t="shared" si="221"/>
        <v>33</v>
      </c>
      <c r="S149" s="63" t="str">
        <f>IFERROR(VLOOKUP(MID(N149,Q149,R149-Q149),[6]skilldef!$C:$D,2,FALSE),"-") &amp; " / " &amp; IFERROR(VLOOKUP(MID(N149,O149,P149-O149),[6]skilldef!$A:$B,2,FALSE),"-")</f>
        <v>自分自身に / 行動値設定</v>
      </c>
      <c r="T149" s="48" t="str">
        <f t="shared" si="222"/>
        <v>[effect:dark, target:unit_all, turn:4, animation:enemy_dark]</v>
      </c>
      <c r="U149" s="63">
        <f t="shared" si="223"/>
        <v>9</v>
      </c>
      <c r="V149" s="63">
        <f t="shared" si="224"/>
        <v>13</v>
      </c>
      <c r="W149" s="63">
        <f t="shared" si="225"/>
        <v>22</v>
      </c>
      <c r="X149" s="63">
        <f t="shared" si="226"/>
        <v>30</v>
      </c>
      <c r="Y149" s="63" t="str">
        <f>IFERROR(VLOOKUP(MID(T149,W149,X149-W149),[6]skilldef!$C:$D,2,FALSE),"-") &amp; " / " &amp; IFERROR(VLOOKUP(MID(T149,U149,V149-U149),[6]skilldef!$A:$B,2,FALSE),"-")</f>
        <v>味方全体に / 暗黒</v>
      </c>
      <c r="Z149" s="50"/>
      <c r="AA149" s="51"/>
      <c r="AB149" s="50"/>
    </row>
    <row r="150" spans="1:28" ht="21" customHeight="1" x14ac:dyDescent="0.15">
      <c r="A150" s="126">
        <v>49015149</v>
      </c>
      <c r="B150" s="106" t="s">
        <v>564</v>
      </c>
      <c r="C150" s="50">
        <v>3</v>
      </c>
      <c r="D150" s="50" t="s">
        <v>127</v>
      </c>
      <c r="E150" s="119" t="s">
        <v>316</v>
      </c>
      <c r="F150" s="119" t="s">
        <v>562</v>
      </c>
      <c r="G150" s="63" t="str">
        <f t="shared" si="212"/>
        <v>[effect:enemy_message, val1:1.2, val2:2.3]</v>
      </c>
      <c r="H150" s="63">
        <f t="shared" si="213"/>
        <v>9</v>
      </c>
      <c r="I150" s="63">
        <f t="shared" si="214"/>
        <v>22</v>
      </c>
      <c r="J150" s="63" t="e">
        <f t="shared" si="215"/>
        <v>#VALUE!</v>
      </c>
      <c r="K150" s="63">
        <f t="shared" si="216"/>
        <v>32</v>
      </c>
      <c r="L150" s="63" t="str">
        <f>IFERROR(VLOOKUP(MID(G150,J150,K150-J150),[6]skilldef!$C:$D,2,FALSE),"-") &amp; " / " &amp; IFERROR(VLOOKUP(MID(G150,H150,I150-H150),[6]skilldef!$A:$B,2,FALSE),"-")</f>
        <v>- / -</v>
      </c>
      <c r="M150" s="63" t="str">
        <f t="shared" si="217"/>
        <v>[effect:fix_speed, target:myself, turn:2],[effect:dark, target:unit_all, turn:4, animation:enemy_dark]</v>
      </c>
      <c r="N150" s="48" t="str">
        <f t="shared" ref="N150" si="230">IFERROR(LEFT(M150,FIND("],",M150)+S160),M150)</f>
        <v>[effect:fix_speed, target:myself, turn:2],[effect:dark, target:unit_all, turn:4, animation:enemy_dark]</v>
      </c>
      <c r="O150" s="63">
        <f t="shared" si="218"/>
        <v>9</v>
      </c>
      <c r="P150" s="63">
        <f t="shared" si="219"/>
        <v>18</v>
      </c>
      <c r="Q150" s="63">
        <f t="shared" si="220"/>
        <v>27</v>
      </c>
      <c r="R150" s="63">
        <f t="shared" si="221"/>
        <v>33</v>
      </c>
      <c r="S150" s="63" t="str">
        <f>IFERROR(VLOOKUP(MID(N150,Q150,R150-Q150),[6]skilldef!$C:$D,2,FALSE),"-") &amp; " / " &amp; IFERROR(VLOOKUP(MID(N150,O150,P150-O150),[6]skilldef!$A:$B,2,FALSE),"-")</f>
        <v>自分自身に / 行動値設定</v>
      </c>
      <c r="T150" s="48" t="str">
        <f t="shared" si="222"/>
        <v>[effect:dark, target:unit_all, turn:4, animation:enemy_dark]</v>
      </c>
      <c r="U150" s="63">
        <f t="shared" si="223"/>
        <v>9</v>
      </c>
      <c r="V150" s="63">
        <f t="shared" si="224"/>
        <v>13</v>
      </c>
      <c r="W150" s="63">
        <f t="shared" si="225"/>
        <v>22</v>
      </c>
      <c r="X150" s="63">
        <f t="shared" si="226"/>
        <v>30</v>
      </c>
      <c r="Y150" s="63" t="str">
        <f>IFERROR(VLOOKUP(MID(T150,W150,X150-W150),[6]skilldef!$C:$D,2,FALSE),"-") &amp; " / " &amp; IFERROR(VLOOKUP(MID(T150,U150,V150-U150),[6]skilldef!$A:$B,2,FALSE),"-")</f>
        <v>味方全体に / 暗黒</v>
      </c>
      <c r="Z150" s="50"/>
      <c r="AA150" s="51"/>
      <c r="AB150" s="50"/>
    </row>
    <row r="151" spans="1:28" ht="21" customHeight="1" x14ac:dyDescent="0.15">
      <c r="A151" s="126">
        <v>49015150</v>
      </c>
      <c r="B151" s="106" t="s">
        <v>583</v>
      </c>
      <c r="C151" s="50">
        <v>3</v>
      </c>
      <c r="D151" s="50" t="s">
        <v>127</v>
      </c>
      <c r="E151" s="105" t="s">
        <v>317</v>
      </c>
      <c r="F151" s="119" t="s">
        <v>563</v>
      </c>
      <c r="G151" s="63" t="str">
        <f t="shared" si="212"/>
        <v>[effect:enemy_message, val1:1.8, val2:2.8]</v>
      </c>
      <c r="H151" s="63">
        <f t="shared" si="213"/>
        <v>9</v>
      </c>
      <c r="I151" s="63">
        <f t="shared" si="214"/>
        <v>22</v>
      </c>
      <c r="J151" s="63" t="e">
        <f t="shared" si="215"/>
        <v>#VALUE!</v>
      </c>
      <c r="K151" s="63">
        <f t="shared" si="216"/>
        <v>32</v>
      </c>
      <c r="L151" s="63" t="str">
        <f>IFERROR(VLOOKUP(MID(G151,J151,K151-J151),[6]skilldef!$C:$D,2,FALSE),"-") &amp; " / " &amp; IFERROR(VLOOKUP(MID(G151,H151,I151-H151),[6]skilldef!$A:$B,2,FALSE),"-")</f>
        <v>- / -</v>
      </c>
      <c r="M151" s="63" t="str">
        <f t="shared" si="217"/>
        <v>[effect:fix_speed, target:myself, turn:2],[effect:dark, target:unit_all, turn:4, animation:enemy_dark],[effect:force_change_block, new_block:crash, target:block_all, ignore01:block_positive, count:1, val:12]</v>
      </c>
      <c r="N151" s="48" t="str">
        <f t="shared" ref="N151:N161" si="231">IFERROR(LEFT(M151,FIND("],",M151)+S162),M151)</f>
        <v>[effect:fix_speed, target:myself, turn:2],[effect:dark, target:unit_all, turn:4, animation:enemy_dark],[effect:force_change_block, new_block:crash, target:block_all, ignore01:block_positive, count:1, val:12]</v>
      </c>
      <c r="O151" s="63">
        <f t="shared" si="218"/>
        <v>9</v>
      </c>
      <c r="P151" s="63">
        <f t="shared" si="219"/>
        <v>18</v>
      </c>
      <c r="Q151" s="63">
        <f t="shared" si="220"/>
        <v>27</v>
      </c>
      <c r="R151" s="63">
        <f t="shared" si="221"/>
        <v>33</v>
      </c>
      <c r="S151" s="63" t="str">
        <f>IFERROR(VLOOKUP(MID(N151,Q151,R151-Q151),[6]skilldef!$C:$D,2,FALSE),"-") &amp; " / " &amp; IFERROR(VLOOKUP(MID(N151,O151,P151-O151),[6]skilldef!$A:$B,2,FALSE),"-")</f>
        <v>自分自身に / 行動値設定</v>
      </c>
      <c r="T151" s="48" t="str">
        <f t="shared" si="222"/>
        <v>[effect:dark, target:unit_all, turn:4, animation:enemy_dark],[effect:force_change_block, new_block:crash, target:block_all, ignore01:block_positive, count:1, val:12]</v>
      </c>
      <c r="U151" s="63">
        <f t="shared" si="223"/>
        <v>9</v>
      </c>
      <c r="V151" s="63">
        <f t="shared" si="224"/>
        <v>13</v>
      </c>
      <c r="W151" s="63">
        <f t="shared" si="225"/>
        <v>22</v>
      </c>
      <c r="X151" s="63">
        <f t="shared" si="226"/>
        <v>30</v>
      </c>
      <c r="Y151" s="63" t="str">
        <f>IFERROR(VLOOKUP(MID(T151,W151,X151-W151),[6]skilldef!$C:$D,2,FALSE),"-") &amp; " / " &amp; IFERROR(VLOOKUP(MID(T151,U151,V151-U151),[6]skilldef!$A:$B,2,FALSE),"-")</f>
        <v>味方全体に / 暗黒</v>
      </c>
      <c r="Z151" s="50"/>
      <c r="AA151" s="51"/>
      <c r="AB151" s="50"/>
    </row>
    <row r="152" spans="1:28" ht="21" customHeight="1" x14ac:dyDescent="0.15">
      <c r="A152" s="126">
        <v>49015151</v>
      </c>
      <c r="B152" s="106" t="s">
        <v>557</v>
      </c>
      <c r="C152" s="50">
        <v>3</v>
      </c>
      <c r="D152" s="50" t="s">
        <v>127</v>
      </c>
      <c r="E152" s="105" t="s">
        <v>378</v>
      </c>
      <c r="F152" s="118" t="s">
        <v>559</v>
      </c>
      <c r="G152" s="63" t="str">
        <f t="shared" si="212"/>
        <v>[effect:enemy_message, val1:1.7, val2:1.2]</v>
      </c>
      <c r="H152" s="63">
        <f t="shared" si="213"/>
        <v>9</v>
      </c>
      <c r="I152" s="63">
        <f t="shared" si="214"/>
        <v>22</v>
      </c>
      <c r="J152" s="63" t="e">
        <f t="shared" si="215"/>
        <v>#VALUE!</v>
      </c>
      <c r="K152" s="63">
        <f t="shared" si="216"/>
        <v>32</v>
      </c>
      <c r="L152" s="63" t="str">
        <f>IFERROR(VLOOKUP(MID(G152,J152,K152-J152),[6]skilldef!$C:$D,2,FALSE),"-") &amp; " / " &amp; IFERROR(VLOOKUP(MID(G152,H152,I152-H152),[6]skilldef!$A:$B,2,FALSE),"-")</f>
        <v>- / -</v>
      </c>
      <c r="M152" s="63" t="str">
        <f t="shared" si="217"/>
        <v>[effect:fix_speed, target:myself, turn:2],[effect:dark, target:unit_all, turn:4, animation:enemy_dark]</v>
      </c>
      <c r="N152" s="48" t="str">
        <f t="shared" si="231"/>
        <v>[effect:fix_speed, target:myself, turn:2],[effect:dark, target:unit_all, turn:4, animation:enemy_dark]</v>
      </c>
      <c r="O152" s="63">
        <f t="shared" si="218"/>
        <v>9</v>
      </c>
      <c r="P152" s="63">
        <f t="shared" si="219"/>
        <v>18</v>
      </c>
      <c r="Q152" s="63">
        <f t="shared" si="220"/>
        <v>27</v>
      </c>
      <c r="R152" s="63">
        <f t="shared" si="221"/>
        <v>33</v>
      </c>
      <c r="S152" s="63" t="str">
        <f>IFERROR(VLOOKUP(MID(N152,Q152,R152-Q152),[6]skilldef!$C:$D,2,FALSE),"-") &amp; " / " &amp; IFERROR(VLOOKUP(MID(N152,O152,P152-O152),[6]skilldef!$A:$B,2,FALSE),"-")</f>
        <v>自分自身に / 行動値設定</v>
      </c>
      <c r="T152" s="48" t="str">
        <f t="shared" si="222"/>
        <v>[effect:dark, target:unit_all, turn:4, animation:enemy_dark]</v>
      </c>
      <c r="U152" s="63">
        <f t="shared" si="223"/>
        <v>9</v>
      </c>
      <c r="V152" s="63">
        <f t="shared" si="224"/>
        <v>13</v>
      </c>
      <c r="W152" s="63">
        <f t="shared" si="225"/>
        <v>22</v>
      </c>
      <c r="X152" s="63">
        <f t="shared" si="226"/>
        <v>30</v>
      </c>
      <c r="Y152" s="63" t="str">
        <f>IFERROR(VLOOKUP(MID(T152,W152,X152-W152),[6]skilldef!$C:$D,2,FALSE),"-") &amp; " / " &amp; IFERROR(VLOOKUP(MID(T152,U152,V152-U152),[6]skilldef!$A:$B,2,FALSE),"-")</f>
        <v>味方全体に / 暗黒</v>
      </c>
      <c r="Z152" s="50"/>
      <c r="AA152" s="51"/>
      <c r="AB152" s="50"/>
    </row>
    <row r="153" spans="1:28" ht="21" customHeight="1" x14ac:dyDescent="0.15">
      <c r="A153" s="126">
        <v>49015152</v>
      </c>
      <c r="B153" s="106" t="s">
        <v>555</v>
      </c>
      <c r="C153" s="50">
        <v>3</v>
      </c>
      <c r="D153" s="50" t="s">
        <v>127</v>
      </c>
      <c r="E153" s="105" t="s">
        <v>379</v>
      </c>
      <c r="F153" s="118" t="s">
        <v>559</v>
      </c>
      <c r="G153" s="63" t="str">
        <f t="shared" si="212"/>
        <v>[effect:enemy_message, val1:1.6, val2:1.2]</v>
      </c>
      <c r="H153" s="63">
        <f t="shared" si="213"/>
        <v>9</v>
      </c>
      <c r="I153" s="63">
        <f t="shared" si="214"/>
        <v>22</v>
      </c>
      <c r="J153" s="63" t="e">
        <f t="shared" si="215"/>
        <v>#VALUE!</v>
      </c>
      <c r="K153" s="63">
        <f t="shared" si="216"/>
        <v>32</v>
      </c>
      <c r="L153" s="63" t="str">
        <f>IFERROR(VLOOKUP(MID(G153,J153,K153-J153),[6]skilldef!$C:$D,2,FALSE),"-") &amp; " / " &amp; IFERROR(VLOOKUP(MID(G153,H153,I153-H153),[6]skilldef!$A:$B,2,FALSE),"-")</f>
        <v>- / -</v>
      </c>
      <c r="M153" s="63" t="str">
        <f t="shared" si="217"/>
        <v>[effect:fix_speed, target:myself, turn:2],[effect:dark, target:unit_all, turn:4, animation:enemy_dark]</v>
      </c>
      <c r="N153" s="48" t="str">
        <f t="shared" si="231"/>
        <v>[effect:fix_speed, target:myself, turn:2],[effect:dark, target:unit_all, turn:4, animation:enemy_dark]</v>
      </c>
      <c r="O153" s="63">
        <f t="shared" si="218"/>
        <v>9</v>
      </c>
      <c r="P153" s="63">
        <f t="shared" si="219"/>
        <v>18</v>
      </c>
      <c r="Q153" s="63">
        <f t="shared" si="220"/>
        <v>27</v>
      </c>
      <c r="R153" s="63">
        <f t="shared" si="221"/>
        <v>33</v>
      </c>
      <c r="S153" s="63" t="str">
        <f>IFERROR(VLOOKUP(MID(N153,Q153,R153-Q153),[6]skilldef!$C:$D,2,FALSE),"-") &amp; " / " &amp; IFERROR(VLOOKUP(MID(N153,O153,P153-O153),[6]skilldef!$A:$B,2,FALSE),"-")</f>
        <v>自分自身に / 行動値設定</v>
      </c>
      <c r="T153" s="48" t="str">
        <f t="shared" si="222"/>
        <v>[effect:dark, target:unit_all, turn:4, animation:enemy_dark]</v>
      </c>
      <c r="U153" s="63">
        <f t="shared" si="223"/>
        <v>9</v>
      </c>
      <c r="V153" s="63">
        <f t="shared" si="224"/>
        <v>13</v>
      </c>
      <c r="W153" s="63">
        <f t="shared" si="225"/>
        <v>22</v>
      </c>
      <c r="X153" s="63">
        <f t="shared" si="226"/>
        <v>30</v>
      </c>
      <c r="Y153" s="63" t="str">
        <f>IFERROR(VLOOKUP(MID(T153,W153,X153-W153),[6]skilldef!$C:$D,2,FALSE),"-") &amp; " / " &amp; IFERROR(VLOOKUP(MID(T153,U153,V153-U153),[6]skilldef!$A:$B,2,FALSE),"-")</f>
        <v>味方全体に / 暗黒</v>
      </c>
      <c r="Z153" s="50"/>
      <c r="AA153" s="51"/>
      <c r="AB153" s="50"/>
    </row>
    <row r="154" spans="1:28" ht="21" customHeight="1" x14ac:dyDescent="0.15">
      <c r="A154" s="126">
        <v>49015153</v>
      </c>
      <c r="B154" s="106" t="s">
        <v>558</v>
      </c>
      <c r="C154" s="50">
        <v>3</v>
      </c>
      <c r="D154" s="50" t="s">
        <v>127</v>
      </c>
      <c r="E154" s="119" t="s">
        <v>318</v>
      </c>
      <c r="F154" s="118" t="s">
        <v>559</v>
      </c>
      <c r="G154" s="63" t="str">
        <f t="shared" ref="G154:G217" si="232">IFERROR(LEFT(B154,FIND("],",B154)),B154)</f>
        <v>[effect:enemy_message, val1:1.2, val2:1.2]</v>
      </c>
      <c r="H154" s="63">
        <f t="shared" ref="H154:H217" si="233">FIND("effect:",G154)+7</f>
        <v>9</v>
      </c>
      <c r="I154" s="63">
        <f t="shared" ref="I154:I217" si="234">IFERROR(FIND(",",G154),LEN(G154))</f>
        <v>22</v>
      </c>
      <c r="J154" s="63" t="e">
        <f t="shared" ref="J154:J217" si="235">FIND("target:",G154)+7</f>
        <v>#VALUE!</v>
      </c>
      <c r="K154" s="63">
        <f t="shared" ref="K154:K217" si="236">FIND(",",G154,I154+1)</f>
        <v>32</v>
      </c>
      <c r="L154" s="63" t="str">
        <f>IFERROR(VLOOKUP(MID(G154,J154,K154-J154),[6]skilldef!$C:$D,2,FALSE),"-") &amp; " / " &amp; IFERROR(VLOOKUP(MID(G154,H154,I154-H154),[6]skilldef!$A:$B,2,FALSE),"-")</f>
        <v>- / -</v>
      </c>
      <c r="M154" s="63" t="str">
        <f t="shared" ref="M154:M217" si="237">IFERROR(RIGHT(B154,LEN(B154)-FIND("],",B154)-1),"none")</f>
        <v>[effect:fix_speed, target:myself, turn:2],[effect:dark, target:unit_all, turn:4, animation:enemy_dark]</v>
      </c>
      <c r="N154" s="48" t="str">
        <f t="shared" si="231"/>
        <v>[effect:fix_speed, target:myself, turn:2],[effect:dark, target:unit_all, turn:4, animation:enemy_dark]</v>
      </c>
      <c r="O154" s="63">
        <f t="shared" ref="O154:O217" si="238">FIND("effect:",N154)+7</f>
        <v>9</v>
      </c>
      <c r="P154" s="63">
        <f t="shared" ref="P154:P217" si="239">IFERROR(FIND(",",N154),LEN(N154))</f>
        <v>18</v>
      </c>
      <c r="Q154" s="63">
        <f t="shared" ref="Q154:Q217" si="240">FIND("target:",N154)+7</f>
        <v>27</v>
      </c>
      <c r="R154" s="63">
        <f t="shared" ref="R154:R217" si="241">FIND(",",N154,P154+1)</f>
        <v>33</v>
      </c>
      <c r="S154" s="63" t="str">
        <f>IFERROR(VLOOKUP(MID(N154,Q154,R154-Q154),[6]skilldef!$C:$D,2,FALSE),"-") &amp; " / " &amp; IFERROR(VLOOKUP(MID(N154,O154,P154-O154),[6]skilldef!$A:$B,2,FALSE),"-")</f>
        <v>自分自身に / 行動値設定</v>
      </c>
      <c r="T154" s="48" t="str">
        <f t="shared" ref="T154:T217" si="242">IFERROR(RIGHT(M154,LEN(M154)-FIND("],",M154)-1),"none")</f>
        <v>[effect:dark, target:unit_all, turn:4, animation:enemy_dark]</v>
      </c>
      <c r="U154" s="63">
        <f t="shared" ref="U154:U217" si="243">FIND("effect:",T154)+7</f>
        <v>9</v>
      </c>
      <c r="V154" s="63">
        <f t="shared" ref="V154:V217" si="244">IFERROR(FIND(",",T154),LEN(T154))</f>
        <v>13</v>
      </c>
      <c r="W154" s="63">
        <f t="shared" ref="W154:W217" si="245">FIND("target:",T154)+7</f>
        <v>22</v>
      </c>
      <c r="X154" s="63">
        <f t="shared" ref="X154:X217" si="246">FIND(",",T154,V154+1)</f>
        <v>30</v>
      </c>
      <c r="Y154" s="63" t="str">
        <f>IFERROR(VLOOKUP(MID(T154,W154,X154-W154),[6]skilldef!$C:$D,2,FALSE),"-") &amp; " / " &amp; IFERROR(VLOOKUP(MID(T154,U154,V154-U154),[6]skilldef!$A:$B,2,FALSE),"-")</f>
        <v>味方全体に / 暗黒</v>
      </c>
      <c r="Z154" s="50"/>
      <c r="AA154" s="51"/>
      <c r="AB154" s="50"/>
    </row>
    <row r="155" spans="1:28" ht="21" customHeight="1" x14ac:dyDescent="0.15">
      <c r="A155" s="126">
        <v>49015154</v>
      </c>
      <c r="B155" s="47" t="s">
        <v>481</v>
      </c>
      <c r="C155" s="50">
        <v>3</v>
      </c>
      <c r="D155" s="50" t="s">
        <v>127</v>
      </c>
      <c r="E155" s="119" t="s">
        <v>311</v>
      </c>
      <c r="F155" s="119" t="s">
        <v>479</v>
      </c>
      <c r="G155" s="63" t="str">
        <f t="shared" si="232"/>
        <v>[effect:enemy_message, val1:1.2, val2:2.3]</v>
      </c>
      <c r="H155" s="63">
        <f t="shared" si="233"/>
        <v>9</v>
      </c>
      <c r="I155" s="63">
        <f t="shared" si="234"/>
        <v>22</v>
      </c>
      <c r="J155" s="63" t="e">
        <f t="shared" si="235"/>
        <v>#VALUE!</v>
      </c>
      <c r="K155" s="63">
        <f t="shared" si="236"/>
        <v>32</v>
      </c>
      <c r="L155" s="63" t="str">
        <f>IFERROR(VLOOKUP(MID(G155,J155,K155-J155),[6]skilldef!$C:$D,2,FALSE),"-") &amp; " / " &amp; IFERROR(VLOOKUP(MID(G155,H155,I155-H155),[6]skilldef!$A:$B,2,FALSE),"-")</f>
        <v>- / -</v>
      </c>
      <c r="M155" s="63" t="str">
        <f t="shared" si="237"/>
        <v>[effect:rush, count:1, val:0.5],[effect:hungup, target:unit_one, turn:1, rate:1, animation:hungup01]</v>
      </c>
      <c r="N155" s="48" t="str">
        <f t="shared" si="231"/>
        <v>[effect:rush, count:1, val:0.5],[effect:hungup, target:unit_one, turn:1, rate:1, animation:hungup01]</v>
      </c>
      <c r="O155" s="63">
        <f t="shared" si="238"/>
        <v>9</v>
      </c>
      <c r="P155" s="63">
        <f t="shared" si="239"/>
        <v>13</v>
      </c>
      <c r="Q155" s="63">
        <f t="shared" si="240"/>
        <v>56</v>
      </c>
      <c r="R155" s="63">
        <f t="shared" si="241"/>
        <v>22</v>
      </c>
      <c r="S155" s="63" t="str">
        <f>IFERROR(VLOOKUP(MID(N155,Q155,R155-Q155),[6]skilldef!$C:$D,2,FALSE),"-") &amp; " / " &amp; IFERROR(VLOOKUP(MID(N155,O155,P155-O155),[6]skilldef!$A:$B,2,FALSE),"-")</f>
        <v>- / 連続攻撃</v>
      </c>
      <c r="T155" s="48" t="str">
        <f t="shared" si="242"/>
        <v>[effect:hungup, target:unit_one, turn:1, rate:1, animation:hungup01]</v>
      </c>
      <c r="U155" s="63">
        <f t="shared" si="243"/>
        <v>9</v>
      </c>
      <c r="V155" s="63">
        <f t="shared" si="244"/>
        <v>15</v>
      </c>
      <c r="W155" s="63">
        <f t="shared" si="245"/>
        <v>24</v>
      </c>
      <c r="X155" s="63">
        <f t="shared" si="246"/>
        <v>32</v>
      </c>
      <c r="Y155" s="63" t="str">
        <f>IFERROR(VLOOKUP(MID(T155,W155,X155-W155),[6]skilldef!$C:$D,2,FALSE),"-") &amp; " / " &amp; IFERROR(VLOOKUP(MID(T155,U155,V155-U155),[6]skilldef!$A:$B,2,FALSE),"-")</f>
        <v>味方単体に / ハングアップ</v>
      </c>
      <c r="Z155" s="50"/>
      <c r="AA155" s="51"/>
      <c r="AB155" s="50"/>
    </row>
    <row r="156" spans="1:28" ht="21" customHeight="1" x14ac:dyDescent="0.15">
      <c r="A156" s="126">
        <v>49015155</v>
      </c>
      <c r="B156" s="129" t="s">
        <v>533</v>
      </c>
      <c r="C156" s="50">
        <v>3</v>
      </c>
      <c r="D156" s="130" t="s">
        <v>127</v>
      </c>
      <c r="E156" s="105" t="s">
        <v>312</v>
      </c>
      <c r="F156" s="118" t="s">
        <v>409</v>
      </c>
      <c r="G156" s="131" t="str">
        <f t="shared" si="232"/>
        <v>[effect:enemy_message, val1:1.2, val2:2.6]</v>
      </c>
      <c r="H156" s="131">
        <f t="shared" si="233"/>
        <v>9</v>
      </c>
      <c r="I156" s="131">
        <f t="shared" si="234"/>
        <v>22</v>
      </c>
      <c r="J156" s="131" t="e">
        <f t="shared" si="235"/>
        <v>#VALUE!</v>
      </c>
      <c r="K156" s="131">
        <f t="shared" si="236"/>
        <v>32</v>
      </c>
      <c r="L156" s="131" t="str">
        <f>IFERROR(VLOOKUP(MID(G156,J156,K156-J156),[6]skilldef!$C:$D,2,FALSE),"-") &amp; " / " &amp; IFERROR(VLOOKUP(MID(G156,H156,I156-H156),[6]skilldef!$A:$B,2,FALSE),"-")</f>
        <v>- / -</v>
      </c>
      <c r="M156" s="131" t="str">
        <f t="shared" si="237"/>
        <v>[effect:rush, count:1, val:0.5],[effect:force_change_block, new_block:damage, target:block_all, ignore01:block_positive, ignore02:damage, count:3, val:0.06, animation:change_block]</v>
      </c>
      <c r="N156" s="132" t="str">
        <f t="shared" si="231"/>
        <v>[effect:rush, count:1, val:0.5],[effect:force_change_block, new_block:damage, target:block_all, ignore01:block_positive, ignore02:damage, count:3, val:0.06, animation:change_block]</v>
      </c>
      <c r="O156" s="131">
        <f t="shared" si="238"/>
        <v>9</v>
      </c>
      <c r="P156" s="131">
        <f t="shared" si="239"/>
        <v>13</v>
      </c>
      <c r="Q156" s="131">
        <f t="shared" si="240"/>
        <v>86</v>
      </c>
      <c r="R156" s="131">
        <f t="shared" si="241"/>
        <v>22</v>
      </c>
      <c r="S156" s="131" t="str">
        <f>IFERROR(VLOOKUP(MID(N156,Q156,R156-Q156),[6]skilldef!$C:$D,2,FALSE),"-") &amp; " / " &amp; IFERROR(VLOOKUP(MID(N156,O156,P156-O156),[6]skilldef!$A:$B,2,FALSE),"-")</f>
        <v>- / 連続攻撃</v>
      </c>
      <c r="T156" s="132" t="str">
        <f t="shared" si="242"/>
        <v>[effect:force_change_block, new_block:damage, target:block_all, ignore01:block_positive, ignore02:damage, count:3, val:0.06, animation:change_block]</v>
      </c>
      <c r="U156" s="131">
        <f t="shared" si="243"/>
        <v>9</v>
      </c>
      <c r="V156" s="131">
        <f t="shared" si="244"/>
        <v>27</v>
      </c>
      <c r="W156" s="131">
        <f t="shared" si="245"/>
        <v>54</v>
      </c>
      <c r="X156" s="131">
        <f t="shared" si="246"/>
        <v>45</v>
      </c>
      <c r="Y156" s="131" t="str">
        <f>IFERROR(VLOOKUP(MID(T156,W156,X156-W156),[6]skilldef!$C:$D,2,FALSE),"-") &amp; " / " &amp; IFERROR(VLOOKUP(MID(T156,U156,V156-U156),[6]skilldef!$A:$B,2,FALSE),"-")</f>
        <v>- / -</v>
      </c>
      <c r="Z156" s="130"/>
      <c r="AA156" s="133"/>
      <c r="AB156" s="130"/>
    </row>
    <row r="157" spans="1:28" ht="21" customHeight="1" thickBot="1" x14ac:dyDescent="0.2">
      <c r="A157" s="127">
        <v>49015156</v>
      </c>
      <c r="B157" s="111" t="s">
        <v>584</v>
      </c>
      <c r="C157" s="50">
        <v>3</v>
      </c>
      <c r="D157" s="112" t="s">
        <v>127</v>
      </c>
      <c r="E157" s="128" t="s">
        <v>313</v>
      </c>
      <c r="F157" s="117" t="s">
        <v>429</v>
      </c>
      <c r="G157" s="113" t="str">
        <f t="shared" si="232"/>
        <v>[effect:enemy_message, val1:1.2, val2:1.5]</v>
      </c>
      <c r="H157" s="113">
        <f t="shared" si="233"/>
        <v>9</v>
      </c>
      <c r="I157" s="113">
        <f t="shared" si="234"/>
        <v>22</v>
      </c>
      <c r="J157" s="113" t="e">
        <f t="shared" si="235"/>
        <v>#VALUE!</v>
      </c>
      <c r="K157" s="113">
        <f t="shared" si="236"/>
        <v>32</v>
      </c>
      <c r="L157" s="113" t="str">
        <f>IFERROR(VLOOKUP(MID(G157,J157,K157-J157),[6]skilldef!$C:$D,2,FALSE),"-") &amp; " / " &amp; IFERROR(VLOOKUP(MID(G157,H157,I157-H157),[6]skilldef!$A:$B,2,FALSE),"-")</f>
        <v>- / -</v>
      </c>
      <c r="M157" s="113" t="str">
        <f t="shared" si="237"/>
        <v>[effect:damage_anti_abnormal, target:unit_one, target_effect01:dark, val1:0.9, val2:0.5]</v>
      </c>
      <c r="N157" s="114" t="str">
        <f t="shared" si="231"/>
        <v>[effect:damage_anti_abnormal, target:unit_one, target_effect01:dark, val1:0.9, val2:0.5]</v>
      </c>
      <c r="O157" s="113">
        <f t="shared" si="238"/>
        <v>9</v>
      </c>
      <c r="P157" s="113">
        <f t="shared" si="239"/>
        <v>29</v>
      </c>
      <c r="Q157" s="113">
        <f t="shared" si="240"/>
        <v>38</v>
      </c>
      <c r="R157" s="113">
        <f t="shared" si="241"/>
        <v>46</v>
      </c>
      <c r="S157" s="113" t="str">
        <f>IFERROR(VLOOKUP(MID(N157,Q157,R157-Q157),[6]skilldef!$C:$D,2,FALSE),"-") &amp; " / " &amp; IFERROR(VLOOKUP(MID(N157,O157,P157-O157),[6]skilldef!$A:$B,2,FALSE),"-")</f>
        <v>味方単体に / -</v>
      </c>
      <c r="T157" s="114" t="str">
        <f t="shared" si="242"/>
        <v>none</v>
      </c>
      <c r="U157" s="113" t="e">
        <f t="shared" si="243"/>
        <v>#VALUE!</v>
      </c>
      <c r="V157" s="113">
        <f t="shared" si="244"/>
        <v>4</v>
      </c>
      <c r="W157" s="113" t="e">
        <f t="shared" si="245"/>
        <v>#VALUE!</v>
      </c>
      <c r="X157" s="113" t="e">
        <f t="shared" si="246"/>
        <v>#VALUE!</v>
      </c>
      <c r="Y157" s="113" t="str">
        <f>IFERROR(VLOOKUP(MID(T157,W157,X157-W157),[6]skilldef!$C:$D,2,FALSE),"-") &amp; " / " &amp; IFERROR(VLOOKUP(MID(T157,U157,V157-U157),[6]skilldef!$A:$B,2,FALSE),"-")</f>
        <v>- / -</v>
      </c>
      <c r="Z157" s="112"/>
      <c r="AA157" s="115"/>
      <c r="AB157" s="112"/>
    </row>
    <row r="158" spans="1:28" ht="238" x14ac:dyDescent="0.15">
      <c r="A158" s="126">
        <v>49015157</v>
      </c>
      <c r="B158" s="106" t="s">
        <v>570</v>
      </c>
      <c r="C158" s="50">
        <v>3</v>
      </c>
      <c r="D158" s="107" t="s">
        <v>127</v>
      </c>
      <c r="E158" s="119" t="s">
        <v>319</v>
      </c>
      <c r="F158" s="119" t="s">
        <v>565</v>
      </c>
      <c r="G158" s="108" t="str">
        <f t="shared" si="232"/>
        <v>[effect:enemy_message, val1:1.2, val2:4.6]</v>
      </c>
      <c r="H158" s="108">
        <f t="shared" si="233"/>
        <v>9</v>
      </c>
      <c r="I158" s="108">
        <f t="shared" si="234"/>
        <v>22</v>
      </c>
      <c r="J158" s="108" t="e">
        <f t="shared" si="235"/>
        <v>#VALUE!</v>
      </c>
      <c r="K158" s="108">
        <f t="shared" si="236"/>
        <v>32</v>
      </c>
      <c r="L158" s="108" t="str">
        <f>IFERROR(VLOOKUP(MID(G158,J158,K158-J158),[6]skilldef!$C:$D,2,FALSE),"-") &amp; " / " &amp; IFERROR(VLOOKUP(MID(G158,H158,I158-H158),[6]skilldef!$A:$B,2,FALSE),"-")</f>
        <v>- / -</v>
      </c>
      <c r="M158" s="108" t="str">
        <f t="shared" si="237"/>
        <v>[effect:fix_speed, target:myself, turn:1],[effect:force_change_block, new_block:color_break, target:block_all, ignore01:block_positive, ignore02:damage, color:block_red, count:2, val:0, animation:change_block],[effect:force_change_block, new_block:damage, target:block_all, ignore01:block_positive, ignore02:damage, count:5, val:0.04, animation:change_block],[effect:dark, target:unit_all, turn:4, animation:enemy_dark]</v>
      </c>
      <c r="N158" s="109" t="str">
        <f t="shared" si="231"/>
        <v>[effect:fix_speed, target:myself, turn:1],[effect:force_change_block, new_block:color_break, target:block_all, ignore01:block_positive, ignore02:damage, color:block_red, count:2, val:0, animation:change_block],[effect:force_change_block, new_block:damage, target:block_all, ignore01:block_positive, ignore02:damage, count:5, val:0.04, animation:change_block],[effect:dark, target:unit_all, turn:4, animation:enemy_dark]</v>
      </c>
      <c r="O158" s="108">
        <f t="shared" si="238"/>
        <v>9</v>
      </c>
      <c r="P158" s="108">
        <f t="shared" si="239"/>
        <v>18</v>
      </c>
      <c r="Q158" s="108">
        <f t="shared" si="240"/>
        <v>27</v>
      </c>
      <c r="R158" s="108">
        <f t="shared" si="241"/>
        <v>33</v>
      </c>
      <c r="S158" s="108" t="str">
        <f>IFERROR(VLOOKUP(MID(N158,Q158,R158-Q158),[6]skilldef!$C:$D,2,FALSE),"-") &amp; " / " &amp; IFERROR(VLOOKUP(MID(N158,O158,P158-O158),[6]skilldef!$A:$B,2,FALSE),"-")</f>
        <v>自分自身に / 行動値設定</v>
      </c>
      <c r="T158" s="109" t="str">
        <f t="shared" si="242"/>
        <v>[effect:force_change_block, new_block:color_break, target:block_all, ignore01:block_positive, ignore02:damage, color:block_red, count:2, val:0, animation:change_block],[effect:force_change_block, new_block:damage, target:block_all, ignore01:block_positive, ignore02:damage, count:5, val:0.04, animation:change_block],[effect:dark, target:unit_all, turn:4, animation:enemy_dark]</v>
      </c>
      <c r="U158" s="108">
        <f t="shared" si="243"/>
        <v>9</v>
      </c>
      <c r="V158" s="108">
        <f t="shared" si="244"/>
        <v>27</v>
      </c>
      <c r="W158" s="108">
        <f t="shared" si="245"/>
        <v>59</v>
      </c>
      <c r="X158" s="108">
        <f t="shared" si="246"/>
        <v>50</v>
      </c>
      <c r="Y158" s="108" t="str">
        <f>IFERROR(VLOOKUP(MID(T158,W158,X158-W158),[6]skilldef!$C:$D,2,FALSE),"-") &amp; " / " &amp; IFERROR(VLOOKUP(MID(T158,U158,V158-U158),[6]skilldef!$A:$B,2,FALSE),"-")</f>
        <v>- / -</v>
      </c>
      <c r="Z158" s="107"/>
      <c r="AA158" s="110"/>
      <c r="AB158" s="107"/>
    </row>
    <row r="159" spans="1:28" ht="21" customHeight="1" x14ac:dyDescent="0.15">
      <c r="A159" s="126">
        <v>49015158</v>
      </c>
      <c r="B159" s="106" t="s">
        <v>492</v>
      </c>
      <c r="C159" s="50">
        <v>3</v>
      </c>
      <c r="D159" s="50" t="s">
        <v>127</v>
      </c>
      <c r="E159" s="105" t="s">
        <v>320</v>
      </c>
      <c r="F159" s="118" t="s">
        <v>380</v>
      </c>
      <c r="G159" s="63" t="str">
        <f t="shared" si="232"/>
        <v>[effect:enemy_message, val1:1.2, val2:2.2]</v>
      </c>
      <c r="H159" s="63">
        <f t="shared" si="233"/>
        <v>9</v>
      </c>
      <c r="I159" s="63">
        <f t="shared" si="234"/>
        <v>22</v>
      </c>
      <c r="J159" s="63" t="e">
        <f t="shared" si="235"/>
        <v>#VALUE!</v>
      </c>
      <c r="K159" s="63">
        <f t="shared" si="236"/>
        <v>32</v>
      </c>
      <c r="L159" s="63" t="str">
        <f>IFERROR(VLOOKUP(MID(G159,J159,K159-J159),[6]skilldef!$C:$D,2,FALSE),"-") &amp; " / " &amp; IFERROR(VLOOKUP(MID(G159,H159,I159-H159),[6]skilldef!$A:$B,2,FALSE),"-")</f>
        <v>- / -</v>
      </c>
      <c r="M159" s="63" t="str">
        <f t="shared" si="237"/>
        <v>[effect:spread, val:0.18],[effect:hungup, target:unit_all, turn:1, rate:1, animation:hungup01]</v>
      </c>
      <c r="N159" s="48" t="str">
        <f t="shared" si="231"/>
        <v>[effect:spread, val:0.18],[effect:hungup, target:unit_all, turn:1, rate:1, animation:hungup01]</v>
      </c>
      <c r="O159" s="63">
        <f t="shared" si="238"/>
        <v>9</v>
      </c>
      <c r="P159" s="63">
        <f t="shared" si="239"/>
        <v>15</v>
      </c>
      <c r="Q159" s="63">
        <f t="shared" si="240"/>
        <v>50</v>
      </c>
      <c r="R159" s="63">
        <f t="shared" si="241"/>
        <v>26</v>
      </c>
      <c r="S159" s="63" t="str">
        <f>IFERROR(VLOOKUP(MID(N159,Q159,R159-Q159),[6]skilldef!$C:$D,2,FALSE),"-") &amp; " / " &amp; IFERROR(VLOOKUP(MID(N159,O159,P159-O159),[6]skilldef!$A:$B,2,FALSE),"-")</f>
        <v>- / 全体攻撃</v>
      </c>
      <c r="T159" s="48" t="str">
        <f t="shared" si="242"/>
        <v>[effect:hungup, target:unit_all, turn:1, rate:1, animation:hungup01]</v>
      </c>
      <c r="U159" s="63">
        <f t="shared" si="243"/>
        <v>9</v>
      </c>
      <c r="V159" s="63">
        <f t="shared" si="244"/>
        <v>15</v>
      </c>
      <c r="W159" s="63">
        <f t="shared" si="245"/>
        <v>24</v>
      </c>
      <c r="X159" s="63">
        <f t="shared" si="246"/>
        <v>32</v>
      </c>
      <c r="Y159" s="63" t="str">
        <f>IFERROR(VLOOKUP(MID(T159,W159,X159-W159),[6]skilldef!$C:$D,2,FALSE),"-") &amp; " / " &amp; IFERROR(VLOOKUP(MID(T159,U159,V159-U159),[6]skilldef!$A:$B,2,FALSE),"-")</f>
        <v>味方全体に / ハングアップ</v>
      </c>
      <c r="Z159" s="50"/>
      <c r="AA159" s="51"/>
      <c r="AB159" s="50"/>
    </row>
    <row r="160" spans="1:28" ht="56" x14ac:dyDescent="0.15">
      <c r="A160" s="126">
        <v>49015159</v>
      </c>
      <c r="B160" s="106" t="s">
        <v>491</v>
      </c>
      <c r="C160" s="50">
        <v>3</v>
      </c>
      <c r="D160" s="50" t="s">
        <v>127</v>
      </c>
      <c r="E160" s="119" t="s">
        <v>321</v>
      </c>
      <c r="F160" s="119" t="s">
        <v>451</v>
      </c>
      <c r="G160" s="63" t="str">
        <f t="shared" si="232"/>
        <v>[effect:enemy_message, val1:1.2, val2:1.8]</v>
      </c>
      <c r="H160" s="63">
        <f t="shared" si="233"/>
        <v>9</v>
      </c>
      <c r="I160" s="63">
        <f t="shared" si="234"/>
        <v>22</v>
      </c>
      <c r="J160" s="63" t="e">
        <f t="shared" si="235"/>
        <v>#VALUE!</v>
      </c>
      <c r="K160" s="63">
        <f t="shared" si="236"/>
        <v>32</v>
      </c>
      <c r="L160" s="63" t="str">
        <f>IFERROR(VLOOKUP(MID(G160,J160,K160-J160),[6]skilldef!$C:$D,2,FALSE),"-") &amp; " / " &amp; IFERROR(VLOOKUP(MID(G160,H160,I160-H160),[6]skilldef!$A:$B,2,FALSE),"-")</f>
        <v>- / -</v>
      </c>
      <c r="M160" s="63" t="str">
        <f t="shared" si="237"/>
        <v>[effect:rush, count:1, val:0.5],[effect:degrade_fever, val:100, animation:fevergauge_down]</v>
      </c>
      <c r="N160" s="48" t="str">
        <f t="shared" si="231"/>
        <v>[effect:rush, count:1, val:0.5],[effect:degrade_fever, val:100, animation:fevergauge_down]</v>
      </c>
      <c r="O160" s="63">
        <f t="shared" si="238"/>
        <v>9</v>
      </c>
      <c r="P160" s="63">
        <f t="shared" si="239"/>
        <v>13</v>
      </c>
      <c r="Q160" s="63" t="e">
        <f t="shared" si="240"/>
        <v>#VALUE!</v>
      </c>
      <c r="R160" s="63">
        <f t="shared" si="241"/>
        <v>22</v>
      </c>
      <c r="S160" s="63" t="str">
        <f>IFERROR(VLOOKUP(MID(N160,Q160,R160-Q160),[6]skilldef!$C:$D,2,FALSE),"-") &amp; " / " &amp; IFERROR(VLOOKUP(MID(N160,O160,P160-O160),[6]skilldef!$A:$B,2,FALSE),"-")</f>
        <v>- / 連続攻撃</v>
      </c>
      <c r="T160" s="48" t="str">
        <f t="shared" si="242"/>
        <v>[effect:degrade_fever, val:100, animation:fevergauge_down]</v>
      </c>
      <c r="U160" s="63">
        <f t="shared" si="243"/>
        <v>9</v>
      </c>
      <c r="V160" s="63">
        <f t="shared" si="244"/>
        <v>22</v>
      </c>
      <c r="W160" s="63" t="e">
        <f t="shared" si="245"/>
        <v>#VALUE!</v>
      </c>
      <c r="X160" s="63">
        <f t="shared" si="246"/>
        <v>31</v>
      </c>
      <c r="Y160" s="63" t="str">
        <f>IFERROR(VLOOKUP(MID(T160,W160,X160-W160),[6]skilldef!$C:$D,2,FALSE),"-") &amp; " / " &amp; IFERROR(VLOOKUP(MID(T160,U160,V160-U160),[6]skilldef!$A:$B,2,FALSE),"-")</f>
        <v>- / フィーバーゲージ減少</v>
      </c>
      <c r="Z160" s="50"/>
      <c r="AA160" s="51"/>
      <c r="AB160" s="50"/>
    </row>
    <row r="161" spans="1:28" ht="98" x14ac:dyDescent="0.15">
      <c r="A161" s="126">
        <v>49015160</v>
      </c>
      <c r="B161" s="106" t="s">
        <v>533</v>
      </c>
      <c r="C161" s="50">
        <v>3</v>
      </c>
      <c r="D161" s="50" t="s">
        <v>127</v>
      </c>
      <c r="E161" s="119" t="s">
        <v>323</v>
      </c>
      <c r="F161" s="119" t="s">
        <v>409</v>
      </c>
      <c r="G161" s="63" t="str">
        <f t="shared" si="232"/>
        <v>[effect:enemy_message, val1:1.2, val2:2.6]</v>
      </c>
      <c r="H161" s="63">
        <f t="shared" si="233"/>
        <v>9</v>
      </c>
      <c r="I161" s="63">
        <f t="shared" si="234"/>
        <v>22</v>
      </c>
      <c r="J161" s="63" t="e">
        <f t="shared" si="235"/>
        <v>#VALUE!</v>
      </c>
      <c r="K161" s="63">
        <f t="shared" si="236"/>
        <v>32</v>
      </c>
      <c r="L161" s="63" t="str">
        <f>IFERROR(VLOOKUP(MID(G161,J161,K161-J161),[6]skilldef!$C:$D,2,FALSE),"-") &amp; " / " &amp; IFERROR(VLOOKUP(MID(G161,H161,I161-H161),[6]skilldef!$A:$B,2,FALSE),"-")</f>
        <v>- / -</v>
      </c>
      <c r="M161" s="63" t="str">
        <f t="shared" si="237"/>
        <v>[effect:rush, count:1, val:0.5],[effect:force_change_block, new_block:damage, target:block_all, ignore01:block_positive, ignore02:damage, count:3, val:0.06, animation:change_block]</v>
      </c>
      <c r="N161" s="48" t="str">
        <f t="shared" si="231"/>
        <v>[effect:rush, count:1, val:0.5],[effect:force_change_block, new_block:damage, target:block_all, ignore01:block_positive, ignore02:damage, count:3, val:0.06, animation:change_block]</v>
      </c>
      <c r="O161" s="63">
        <f t="shared" si="238"/>
        <v>9</v>
      </c>
      <c r="P161" s="63">
        <f t="shared" si="239"/>
        <v>13</v>
      </c>
      <c r="Q161" s="63">
        <f t="shared" si="240"/>
        <v>86</v>
      </c>
      <c r="R161" s="63">
        <f t="shared" si="241"/>
        <v>22</v>
      </c>
      <c r="S161" s="63" t="str">
        <f>IFERROR(VLOOKUP(MID(N161,Q161,R161-Q161),[6]skilldef!$C:$D,2,FALSE),"-") &amp; " / " &amp; IFERROR(VLOOKUP(MID(N161,O161,P161-O161),[6]skilldef!$A:$B,2,FALSE),"-")</f>
        <v>- / 連続攻撃</v>
      </c>
      <c r="T161" s="48" t="str">
        <f t="shared" si="242"/>
        <v>[effect:force_change_block, new_block:damage, target:block_all, ignore01:block_positive, ignore02:damage, count:3, val:0.06, animation:change_block]</v>
      </c>
      <c r="U161" s="63">
        <f t="shared" si="243"/>
        <v>9</v>
      </c>
      <c r="V161" s="63">
        <f t="shared" si="244"/>
        <v>27</v>
      </c>
      <c r="W161" s="63">
        <f t="shared" si="245"/>
        <v>54</v>
      </c>
      <c r="X161" s="63">
        <f t="shared" si="246"/>
        <v>45</v>
      </c>
      <c r="Y161" s="63" t="str">
        <f>IFERROR(VLOOKUP(MID(T161,W161,X161-W161),[6]skilldef!$C:$D,2,FALSE),"-") &amp; " / " &amp; IFERROR(VLOOKUP(MID(T161,U161,V161-U161),[6]skilldef!$A:$B,2,FALSE),"-")</f>
        <v>- / -</v>
      </c>
      <c r="Z161" s="50"/>
      <c r="AA161" s="51"/>
      <c r="AB161" s="50"/>
    </row>
    <row r="162" spans="1:28" ht="21" customHeight="1" x14ac:dyDescent="0.15">
      <c r="A162" s="126">
        <v>49015161</v>
      </c>
      <c r="B162" s="47" t="s">
        <v>584</v>
      </c>
      <c r="C162" s="50">
        <v>3</v>
      </c>
      <c r="D162" s="50" t="s">
        <v>127</v>
      </c>
      <c r="E162" s="119" t="s">
        <v>313</v>
      </c>
      <c r="F162" s="105" t="s">
        <v>429</v>
      </c>
      <c r="G162" s="63" t="str">
        <f t="shared" si="232"/>
        <v>[effect:enemy_message, val1:1.2, val2:1.5]</v>
      </c>
      <c r="H162" s="63">
        <f t="shared" si="233"/>
        <v>9</v>
      </c>
      <c r="I162" s="63">
        <f t="shared" si="234"/>
        <v>22</v>
      </c>
      <c r="J162" s="63" t="e">
        <f t="shared" si="235"/>
        <v>#VALUE!</v>
      </c>
      <c r="K162" s="63">
        <f t="shared" si="236"/>
        <v>32</v>
      </c>
      <c r="L162" s="63" t="str">
        <f>IFERROR(VLOOKUP(MID(G162,J162,K162-J162),[6]skilldef!$C:$D,2,FALSE),"-") &amp; " / " &amp; IFERROR(VLOOKUP(MID(G162,H162,I162-H162),[6]skilldef!$A:$B,2,FALSE),"-")</f>
        <v>- / -</v>
      </c>
      <c r="M162" s="63" t="str">
        <f t="shared" si="237"/>
        <v>[effect:damage_anti_abnormal, target:unit_one, target_effect01:dark, val1:0.9, val2:0.5]</v>
      </c>
      <c r="N162" s="48" t="str">
        <f t="shared" ref="N162:N172" si="247">IFERROR(LEFT(M162,FIND("],",M162)+S172),M162)</f>
        <v>[effect:damage_anti_abnormal, target:unit_one, target_effect01:dark, val1:0.9, val2:0.5]</v>
      </c>
      <c r="O162" s="63">
        <f t="shared" si="238"/>
        <v>9</v>
      </c>
      <c r="P162" s="63">
        <f t="shared" si="239"/>
        <v>29</v>
      </c>
      <c r="Q162" s="63">
        <f t="shared" si="240"/>
        <v>38</v>
      </c>
      <c r="R162" s="63">
        <f t="shared" si="241"/>
        <v>46</v>
      </c>
      <c r="S162" s="63" t="str">
        <f>IFERROR(VLOOKUP(MID(N162,Q162,R162-Q162),[6]skilldef!$C:$D,2,FALSE),"-") &amp; " / " &amp; IFERROR(VLOOKUP(MID(N162,O162,P162-O162),[6]skilldef!$A:$B,2,FALSE),"-")</f>
        <v>味方単体に / -</v>
      </c>
      <c r="T162" s="48" t="str">
        <f t="shared" si="242"/>
        <v>none</v>
      </c>
      <c r="U162" s="63" t="e">
        <f t="shared" si="243"/>
        <v>#VALUE!</v>
      </c>
      <c r="V162" s="63">
        <f t="shared" si="244"/>
        <v>4</v>
      </c>
      <c r="W162" s="63" t="e">
        <f t="shared" si="245"/>
        <v>#VALUE!</v>
      </c>
      <c r="X162" s="63" t="e">
        <f t="shared" si="246"/>
        <v>#VALUE!</v>
      </c>
      <c r="Y162" s="63" t="str">
        <f>IFERROR(VLOOKUP(MID(T162,W162,X162-W162),[6]skilldef!$C:$D,2,FALSE),"-") &amp; " / " &amp; IFERROR(VLOOKUP(MID(T162,U162,V162-U162),[6]skilldef!$A:$B,2,FALSE),"-")</f>
        <v>- / -</v>
      </c>
      <c r="Z162" s="50"/>
      <c r="AA162" s="51"/>
      <c r="AB162" s="50"/>
    </row>
    <row r="163" spans="1:28" ht="21" customHeight="1" x14ac:dyDescent="0.15">
      <c r="A163" s="126">
        <v>49015162</v>
      </c>
      <c r="B163" s="106" t="s">
        <v>452</v>
      </c>
      <c r="C163" s="50">
        <v>3</v>
      </c>
      <c r="D163" s="50" t="s">
        <v>127</v>
      </c>
      <c r="E163" s="120" t="s">
        <v>324</v>
      </c>
      <c r="F163" s="120" t="s">
        <v>456</v>
      </c>
      <c r="G163" s="63" t="str">
        <f t="shared" si="232"/>
        <v>[effect:enemy_message, val1:1.2, val2:1.3]</v>
      </c>
      <c r="H163" s="63">
        <f t="shared" si="233"/>
        <v>9</v>
      </c>
      <c r="I163" s="63">
        <f t="shared" si="234"/>
        <v>22</v>
      </c>
      <c r="J163" s="63" t="e">
        <f t="shared" si="235"/>
        <v>#VALUE!</v>
      </c>
      <c r="K163" s="63">
        <f t="shared" si="236"/>
        <v>32</v>
      </c>
      <c r="L163" s="63" t="str">
        <f>IFERROR(VLOOKUP(MID(G163,J163,K163-J163),[6]skilldef!$C:$D,2,FALSE),"-") &amp; " / " &amp; IFERROR(VLOOKUP(MID(G163,H163,I163-H163),[6]skilldef!$A:$B,2,FALSE),"-")</f>
        <v>- / -</v>
      </c>
      <c r="M163" s="63" t="str">
        <f t="shared" si="237"/>
        <v>[effect:damage_gravity, val:0.3, animation:fevergauge_down]</v>
      </c>
      <c r="N163" s="48" t="str">
        <f t="shared" si="247"/>
        <v>[effect:damage_gravity, val:0.3, animation:fevergauge_down]</v>
      </c>
      <c r="O163" s="63">
        <f t="shared" si="238"/>
        <v>9</v>
      </c>
      <c r="P163" s="63">
        <f t="shared" si="239"/>
        <v>23</v>
      </c>
      <c r="Q163" s="63" t="e">
        <f t="shared" si="240"/>
        <v>#VALUE!</v>
      </c>
      <c r="R163" s="63">
        <f t="shared" si="241"/>
        <v>32</v>
      </c>
      <c r="S163" s="63" t="str">
        <f>IFERROR(VLOOKUP(MID(N163,Q163,R163-Q163),[6]skilldef!$C:$D,2,FALSE),"-") &amp; " / " &amp; IFERROR(VLOOKUP(MID(N163,O163,P163-O163),[6]skilldef!$A:$B,2,FALSE),"-")</f>
        <v>- / 割合ダメージ</v>
      </c>
      <c r="T163" s="48" t="str">
        <f t="shared" si="242"/>
        <v>none</v>
      </c>
      <c r="U163" s="63" t="e">
        <f t="shared" si="243"/>
        <v>#VALUE!</v>
      </c>
      <c r="V163" s="63">
        <f t="shared" si="244"/>
        <v>4</v>
      </c>
      <c r="W163" s="63" t="e">
        <f t="shared" si="245"/>
        <v>#VALUE!</v>
      </c>
      <c r="X163" s="63" t="e">
        <f t="shared" si="246"/>
        <v>#VALUE!</v>
      </c>
      <c r="Y163" s="63" t="str">
        <f>IFERROR(VLOOKUP(MID(T163,W163,X163-W163),[6]skilldef!$C:$D,2,FALSE),"-") &amp; " / " &amp; IFERROR(VLOOKUP(MID(T163,U163,V163-U163),[6]skilldef!$A:$B,2,FALSE),"-")</f>
        <v>- / -</v>
      </c>
      <c r="Z163" s="50"/>
      <c r="AA163" s="51"/>
      <c r="AB163" s="50"/>
    </row>
    <row r="164" spans="1:28" ht="14" x14ac:dyDescent="0.15">
      <c r="A164" s="126">
        <v>49015163</v>
      </c>
      <c r="B164" s="106" t="s">
        <v>356</v>
      </c>
      <c r="C164" s="50">
        <v>3</v>
      </c>
      <c r="D164" s="50" t="s">
        <v>127</v>
      </c>
      <c r="E164" s="119" t="s">
        <v>325</v>
      </c>
      <c r="F164" s="105" t="s">
        <v>261</v>
      </c>
      <c r="G164" s="63" t="str">
        <f t="shared" si="232"/>
        <v>[effect:enemy_message, val1:1.2, val2:0, dead_type:escape]</v>
      </c>
      <c r="H164" s="63">
        <f t="shared" si="233"/>
        <v>9</v>
      </c>
      <c r="I164" s="63">
        <f t="shared" si="234"/>
        <v>22</v>
      </c>
      <c r="J164" s="63" t="e">
        <f t="shared" si="235"/>
        <v>#VALUE!</v>
      </c>
      <c r="K164" s="63">
        <f t="shared" si="236"/>
        <v>32</v>
      </c>
      <c r="L164" s="63" t="str">
        <f>IFERROR(VLOOKUP(MID(G164,J164,K164-J164),[6]skilldef!$C:$D,2,FALSE),"-") &amp; " / " &amp; IFERROR(VLOOKUP(MID(G164,H164,I164-H164),[6]skilldef!$A:$B,2,FALSE),"-")</f>
        <v>- / -</v>
      </c>
      <c r="M164" s="63" t="str">
        <f t="shared" si="237"/>
        <v>none</v>
      </c>
      <c r="N164" s="48" t="str">
        <f t="shared" si="247"/>
        <v>none</v>
      </c>
      <c r="O164" s="63" t="e">
        <f t="shared" si="238"/>
        <v>#VALUE!</v>
      </c>
      <c r="P164" s="63">
        <f t="shared" si="239"/>
        <v>4</v>
      </c>
      <c r="Q164" s="63" t="e">
        <f t="shared" si="240"/>
        <v>#VALUE!</v>
      </c>
      <c r="R164" s="63" t="e">
        <f t="shared" si="241"/>
        <v>#VALUE!</v>
      </c>
      <c r="S164" s="63" t="str">
        <f>IFERROR(VLOOKUP(MID(N164,Q164,R164-Q164),[6]skilldef!$C:$D,2,FALSE),"-") &amp; " / " &amp; IFERROR(VLOOKUP(MID(N164,O164,P164-O164),[6]skilldef!$A:$B,2,FALSE),"-")</f>
        <v>- / -</v>
      </c>
      <c r="T164" s="48" t="str">
        <f t="shared" si="242"/>
        <v>none</v>
      </c>
      <c r="U164" s="63" t="e">
        <f t="shared" si="243"/>
        <v>#VALUE!</v>
      </c>
      <c r="V164" s="63">
        <f t="shared" si="244"/>
        <v>4</v>
      </c>
      <c r="W164" s="63" t="e">
        <f t="shared" si="245"/>
        <v>#VALUE!</v>
      </c>
      <c r="X164" s="63" t="e">
        <f t="shared" si="246"/>
        <v>#VALUE!</v>
      </c>
      <c r="Y164" s="63" t="str">
        <f>IFERROR(VLOOKUP(MID(T164,W164,X164-W164),[6]skilldef!$C:$D,2,FALSE),"-") &amp; " / " &amp; IFERROR(VLOOKUP(MID(T164,U164,V164-U164),[6]skilldef!$A:$B,2,FALSE),"-")</f>
        <v>- / -</v>
      </c>
      <c r="Z164" s="50"/>
      <c r="AA164" s="51"/>
      <c r="AB164" s="50"/>
    </row>
    <row r="165" spans="1:28" ht="14" x14ac:dyDescent="0.15">
      <c r="A165" s="126">
        <v>49015164</v>
      </c>
      <c r="B165" s="106" t="s">
        <v>352</v>
      </c>
      <c r="C165" s="50">
        <v>3</v>
      </c>
      <c r="D165" s="50" t="s">
        <v>127</v>
      </c>
      <c r="E165" s="119" t="s">
        <v>326</v>
      </c>
      <c r="F165" s="105" t="s">
        <v>327</v>
      </c>
      <c r="G165" s="63" t="str">
        <f t="shared" si="232"/>
        <v>[effect:enemy_message, val1:1.2, val2:1.2, dead_type:escape]</v>
      </c>
      <c r="H165" s="63">
        <f t="shared" si="233"/>
        <v>9</v>
      </c>
      <c r="I165" s="63">
        <f t="shared" si="234"/>
        <v>22</v>
      </c>
      <c r="J165" s="63" t="e">
        <f t="shared" si="235"/>
        <v>#VALUE!</v>
      </c>
      <c r="K165" s="63">
        <f t="shared" si="236"/>
        <v>32</v>
      </c>
      <c r="L165" s="63" t="str">
        <f>IFERROR(VLOOKUP(MID(G165,J165,K165-J165),[6]skilldef!$C:$D,2,FALSE),"-") &amp; " / " &amp; IFERROR(VLOOKUP(MID(G165,H165,I165-H165),[6]skilldef!$A:$B,2,FALSE),"-")</f>
        <v>- / -</v>
      </c>
      <c r="M165" s="63" t="str">
        <f t="shared" si="237"/>
        <v>none</v>
      </c>
      <c r="N165" s="48" t="str">
        <f t="shared" si="247"/>
        <v>none</v>
      </c>
      <c r="O165" s="63" t="e">
        <f t="shared" si="238"/>
        <v>#VALUE!</v>
      </c>
      <c r="P165" s="63">
        <f t="shared" si="239"/>
        <v>4</v>
      </c>
      <c r="Q165" s="63" t="e">
        <f t="shared" si="240"/>
        <v>#VALUE!</v>
      </c>
      <c r="R165" s="63" t="e">
        <f t="shared" si="241"/>
        <v>#VALUE!</v>
      </c>
      <c r="S165" s="63" t="str">
        <f>IFERROR(VLOOKUP(MID(N165,Q165,R165-Q165),[6]skilldef!$C:$D,2,FALSE),"-") &amp; " / " &amp; IFERROR(VLOOKUP(MID(N165,O165,P165-O165),[6]skilldef!$A:$B,2,FALSE),"-")</f>
        <v>- / -</v>
      </c>
      <c r="T165" s="48" t="str">
        <f t="shared" si="242"/>
        <v>none</v>
      </c>
      <c r="U165" s="63" t="e">
        <f t="shared" si="243"/>
        <v>#VALUE!</v>
      </c>
      <c r="V165" s="63">
        <f t="shared" si="244"/>
        <v>4</v>
      </c>
      <c r="W165" s="63" t="e">
        <f t="shared" si="245"/>
        <v>#VALUE!</v>
      </c>
      <c r="X165" s="63" t="e">
        <f t="shared" si="246"/>
        <v>#VALUE!</v>
      </c>
      <c r="Y165" s="63" t="str">
        <f>IFERROR(VLOOKUP(MID(T165,W165,X165-W165),[6]skilldef!$C:$D,2,FALSE),"-") &amp; " / " &amp; IFERROR(VLOOKUP(MID(T165,U165,V165-U165),[6]skilldef!$A:$B,2,FALSE),"-")</f>
        <v>- / -</v>
      </c>
      <c r="Z165" s="50"/>
      <c r="AA165" s="51"/>
      <c r="AB165" s="50"/>
    </row>
    <row r="166" spans="1:28" ht="21" customHeight="1" x14ac:dyDescent="0.15">
      <c r="A166" s="126">
        <v>49015165</v>
      </c>
      <c r="B166" s="106" t="s">
        <v>593</v>
      </c>
      <c r="C166" s="50">
        <v>3</v>
      </c>
      <c r="D166" s="50" t="s">
        <v>127</v>
      </c>
      <c r="E166" s="105" t="s">
        <v>383</v>
      </c>
      <c r="F166" s="105" t="s">
        <v>261</v>
      </c>
      <c r="G166" s="63" t="str">
        <f t="shared" si="232"/>
        <v>[effect:enemy_message, val1:1.6, val2:0, dead_type:escape]</v>
      </c>
      <c r="H166" s="63">
        <f t="shared" si="233"/>
        <v>9</v>
      </c>
      <c r="I166" s="63">
        <f t="shared" si="234"/>
        <v>22</v>
      </c>
      <c r="J166" s="63" t="e">
        <f t="shared" si="235"/>
        <v>#VALUE!</v>
      </c>
      <c r="K166" s="63">
        <f t="shared" si="236"/>
        <v>32</v>
      </c>
      <c r="L166" s="63" t="str">
        <f>IFERROR(VLOOKUP(MID(G166,J166,K166-J166),[6]skilldef!$C:$D,2,FALSE),"-") &amp; " / " &amp; IFERROR(VLOOKUP(MID(G166,H166,I166-H166),[6]skilldef!$A:$B,2,FALSE),"-")</f>
        <v>- / -</v>
      </c>
      <c r="M166" s="63" t="str">
        <f t="shared" si="237"/>
        <v>none</v>
      </c>
      <c r="N166" s="48" t="str">
        <f t="shared" si="247"/>
        <v>none</v>
      </c>
      <c r="O166" s="63" t="e">
        <f t="shared" si="238"/>
        <v>#VALUE!</v>
      </c>
      <c r="P166" s="63">
        <f t="shared" si="239"/>
        <v>4</v>
      </c>
      <c r="Q166" s="63" t="e">
        <f t="shared" si="240"/>
        <v>#VALUE!</v>
      </c>
      <c r="R166" s="63" t="e">
        <f t="shared" si="241"/>
        <v>#VALUE!</v>
      </c>
      <c r="S166" s="63" t="str">
        <f>IFERROR(VLOOKUP(MID(N166,Q166,R166-Q166),[6]skilldef!$C:$D,2,FALSE),"-") &amp; " / " &amp; IFERROR(VLOOKUP(MID(N166,O166,P166-O166),[6]skilldef!$A:$B,2,FALSE),"-")</f>
        <v>- / -</v>
      </c>
      <c r="T166" s="48" t="str">
        <f t="shared" si="242"/>
        <v>none</v>
      </c>
      <c r="U166" s="63" t="e">
        <f t="shared" si="243"/>
        <v>#VALUE!</v>
      </c>
      <c r="V166" s="63">
        <f t="shared" si="244"/>
        <v>4</v>
      </c>
      <c r="W166" s="63" t="e">
        <f t="shared" si="245"/>
        <v>#VALUE!</v>
      </c>
      <c r="X166" s="63" t="e">
        <f t="shared" si="246"/>
        <v>#VALUE!</v>
      </c>
      <c r="Y166" s="63" t="str">
        <f>IFERROR(VLOOKUP(MID(T166,W166,X166-W166),[6]skilldef!$C:$D,2,FALSE),"-") &amp; " / " &amp; IFERROR(VLOOKUP(MID(T166,U166,V166-U166),[6]skilldef!$A:$B,2,FALSE),"-")</f>
        <v>- / -</v>
      </c>
      <c r="Z166" s="50"/>
      <c r="AA166" s="51"/>
      <c r="AB166" s="50"/>
    </row>
    <row r="167" spans="1:28" ht="14" x14ac:dyDescent="0.15">
      <c r="A167" s="126">
        <v>49015166</v>
      </c>
      <c r="B167" s="106" t="s">
        <v>405</v>
      </c>
      <c r="C167" s="50">
        <v>3</v>
      </c>
      <c r="D167" s="50" t="s">
        <v>127</v>
      </c>
      <c r="E167" s="119" t="s">
        <v>328</v>
      </c>
      <c r="F167" s="105" t="s">
        <v>261</v>
      </c>
      <c r="G167" s="63" t="str">
        <f t="shared" si="232"/>
        <v>[effect:enemy_message, val1:1.3, val2:0, dead_type:escape]</v>
      </c>
      <c r="H167" s="63">
        <f t="shared" si="233"/>
        <v>9</v>
      </c>
      <c r="I167" s="63">
        <f t="shared" si="234"/>
        <v>22</v>
      </c>
      <c r="J167" s="63" t="e">
        <f t="shared" si="235"/>
        <v>#VALUE!</v>
      </c>
      <c r="K167" s="63">
        <f t="shared" si="236"/>
        <v>32</v>
      </c>
      <c r="L167" s="63" t="str">
        <f>IFERROR(VLOOKUP(MID(G167,J167,K167-J167),[6]skilldef!$C:$D,2,FALSE),"-") &amp; " / " &amp; IFERROR(VLOOKUP(MID(G167,H167,I167-H167),[6]skilldef!$A:$B,2,FALSE),"-")</f>
        <v>- / -</v>
      </c>
      <c r="M167" s="63" t="str">
        <f t="shared" si="237"/>
        <v>none</v>
      </c>
      <c r="N167" s="48" t="str">
        <f t="shared" si="247"/>
        <v>none</v>
      </c>
      <c r="O167" s="63" t="e">
        <f t="shared" si="238"/>
        <v>#VALUE!</v>
      </c>
      <c r="P167" s="63">
        <f t="shared" si="239"/>
        <v>4</v>
      </c>
      <c r="Q167" s="63" t="e">
        <f t="shared" si="240"/>
        <v>#VALUE!</v>
      </c>
      <c r="R167" s="63" t="e">
        <f t="shared" si="241"/>
        <v>#VALUE!</v>
      </c>
      <c r="S167" s="63" t="str">
        <f>IFERROR(VLOOKUP(MID(N167,Q167,R167-Q167),[6]skilldef!$C:$D,2,FALSE),"-") &amp; " / " &amp; IFERROR(VLOOKUP(MID(N167,O167,P167-O167),[6]skilldef!$A:$B,2,FALSE),"-")</f>
        <v>- / -</v>
      </c>
      <c r="T167" s="48" t="str">
        <f t="shared" si="242"/>
        <v>none</v>
      </c>
      <c r="U167" s="63" t="e">
        <f t="shared" si="243"/>
        <v>#VALUE!</v>
      </c>
      <c r="V167" s="63">
        <f t="shared" si="244"/>
        <v>4</v>
      </c>
      <c r="W167" s="63" t="e">
        <f t="shared" si="245"/>
        <v>#VALUE!</v>
      </c>
      <c r="X167" s="63" t="e">
        <f t="shared" si="246"/>
        <v>#VALUE!</v>
      </c>
      <c r="Y167" s="63" t="str">
        <f>IFERROR(VLOOKUP(MID(T167,W167,X167-W167),[6]skilldef!$C:$D,2,FALSE),"-") &amp; " / " &amp; IFERROR(VLOOKUP(MID(T167,U167,V167-U167),[6]skilldef!$A:$B,2,FALSE),"-")</f>
        <v>- / -</v>
      </c>
      <c r="Z167" s="50"/>
      <c r="AA167" s="51"/>
      <c r="AB167" s="50"/>
    </row>
    <row r="168" spans="1:28" ht="21" customHeight="1" x14ac:dyDescent="0.15">
      <c r="A168" s="126">
        <v>49015167</v>
      </c>
      <c r="B168" s="106" t="s">
        <v>352</v>
      </c>
      <c r="C168" s="50">
        <v>3</v>
      </c>
      <c r="D168" s="50" t="s">
        <v>127</v>
      </c>
      <c r="E168" s="105" t="s">
        <v>329</v>
      </c>
      <c r="F168" s="105" t="s">
        <v>330</v>
      </c>
      <c r="G168" s="63" t="str">
        <f t="shared" si="232"/>
        <v>[effect:enemy_message, val1:1.2, val2:1.2, dead_type:escape]</v>
      </c>
      <c r="H168" s="63">
        <f t="shared" si="233"/>
        <v>9</v>
      </c>
      <c r="I168" s="63">
        <f t="shared" si="234"/>
        <v>22</v>
      </c>
      <c r="J168" s="63" t="e">
        <f t="shared" si="235"/>
        <v>#VALUE!</v>
      </c>
      <c r="K168" s="63">
        <f t="shared" si="236"/>
        <v>32</v>
      </c>
      <c r="L168" s="63" t="str">
        <f>IFERROR(VLOOKUP(MID(G168,J168,K168-J168),[6]skilldef!$C:$D,2,FALSE),"-") &amp; " / " &amp; IFERROR(VLOOKUP(MID(G168,H168,I168-H168),[6]skilldef!$A:$B,2,FALSE),"-")</f>
        <v>- / -</v>
      </c>
      <c r="M168" s="63" t="str">
        <f t="shared" si="237"/>
        <v>none</v>
      </c>
      <c r="N168" s="48" t="str">
        <f t="shared" si="247"/>
        <v>none</v>
      </c>
      <c r="O168" s="63" t="e">
        <f t="shared" si="238"/>
        <v>#VALUE!</v>
      </c>
      <c r="P168" s="63">
        <f t="shared" si="239"/>
        <v>4</v>
      </c>
      <c r="Q168" s="63" t="e">
        <f t="shared" si="240"/>
        <v>#VALUE!</v>
      </c>
      <c r="R168" s="63" t="e">
        <f t="shared" si="241"/>
        <v>#VALUE!</v>
      </c>
      <c r="S168" s="63" t="str">
        <f>IFERROR(VLOOKUP(MID(N168,Q168,R168-Q168),[6]skilldef!$C:$D,2,FALSE),"-") &amp; " / " &amp; IFERROR(VLOOKUP(MID(N168,O168,P168-O168),[6]skilldef!$A:$B,2,FALSE),"-")</f>
        <v>- / -</v>
      </c>
      <c r="T168" s="48" t="str">
        <f t="shared" si="242"/>
        <v>none</v>
      </c>
      <c r="U168" s="63" t="e">
        <f t="shared" si="243"/>
        <v>#VALUE!</v>
      </c>
      <c r="V168" s="63">
        <f t="shared" si="244"/>
        <v>4</v>
      </c>
      <c r="W168" s="63" t="e">
        <f t="shared" si="245"/>
        <v>#VALUE!</v>
      </c>
      <c r="X168" s="63" t="e">
        <f t="shared" si="246"/>
        <v>#VALUE!</v>
      </c>
      <c r="Y168" s="63" t="str">
        <f>IFERROR(VLOOKUP(MID(T168,W168,X168-W168),[6]skilldef!$C:$D,2,FALSE),"-") &amp; " / " &amp; IFERROR(VLOOKUP(MID(T168,U168,V168-U168),[6]skilldef!$A:$B,2,FALSE),"-")</f>
        <v>- / -</v>
      </c>
      <c r="Z168" s="50"/>
      <c r="AA168" s="51"/>
      <c r="AB168" s="50"/>
    </row>
    <row r="169" spans="1:28" ht="21" customHeight="1" x14ac:dyDescent="0.15">
      <c r="A169" s="126">
        <v>49015168</v>
      </c>
      <c r="B169" s="106" t="s">
        <v>386</v>
      </c>
      <c r="C169" s="50">
        <v>3</v>
      </c>
      <c r="D169" s="50" t="s">
        <v>127</v>
      </c>
      <c r="E169" s="105" t="s">
        <v>384</v>
      </c>
      <c r="F169" s="105" t="s">
        <v>385</v>
      </c>
      <c r="G169" s="63" t="str">
        <f t="shared" si="232"/>
        <v>[effect:enemy_message, val1:1.3, val2:1.5, dead_type:escape]</v>
      </c>
      <c r="H169" s="63">
        <f t="shared" si="233"/>
        <v>9</v>
      </c>
      <c r="I169" s="63">
        <f t="shared" si="234"/>
        <v>22</v>
      </c>
      <c r="J169" s="63" t="e">
        <f t="shared" si="235"/>
        <v>#VALUE!</v>
      </c>
      <c r="K169" s="63">
        <f t="shared" si="236"/>
        <v>32</v>
      </c>
      <c r="L169" s="63" t="str">
        <f>IFERROR(VLOOKUP(MID(G169,J169,K169-J169),[6]skilldef!$C:$D,2,FALSE),"-") &amp; " / " &amp; IFERROR(VLOOKUP(MID(G169,H169,I169-H169),[6]skilldef!$A:$B,2,FALSE),"-")</f>
        <v>- / -</v>
      </c>
      <c r="M169" s="63" t="str">
        <f t="shared" si="237"/>
        <v>none</v>
      </c>
      <c r="N169" s="48" t="str">
        <f t="shared" si="247"/>
        <v>none</v>
      </c>
      <c r="O169" s="63" t="e">
        <f t="shared" si="238"/>
        <v>#VALUE!</v>
      </c>
      <c r="P169" s="63">
        <f t="shared" si="239"/>
        <v>4</v>
      </c>
      <c r="Q169" s="63" t="e">
        <f t="shared" si="240"/>
        <v>#VALUE!</v>
      </c>
      <c r="R169" s="63" t="e">
        <f t="shared" si="241"/>
        <v>#VALUE!</v>
      </c>
      <c r="S169" s="63" t="str">
        <f>IFERROR(VLOOKUP(MID(N169,Q169,R169-Q169),[6]skilldef!$C:$D,2,FALSE),"-") &amp; " / " &amp; IFERROR(VLOOKUP(MID(N169,O169,P169-O169),[6]skilldef!$A:$B,2,FALSE),"-")</f>
        <v>- / -</v>
      </c>
      <c r="T169" s="48" t="str">
        <f t="shared" si="242"/>
        <v>none</v>
      </c>
      <c r="U169" s="63" t="e">
        <f t="shared" si="243"/>
        <v>#VALUE!</v>
      </c>
      <c r="V169" s="63">
        <f t="shared" si="244"/>
        <v>4</v>
      </c>
      <c r="W169" s="63" t="e">
        <f t="shared" si="245"/>
        <v>#VALUE!</v>
      </c>
      <c r="X169" s="63" t="e">
        <f t="shared" si="246"/>
        <v>#VALUE!</v>
      </c>
      <c r="Y169" s="63" t="str">
        <f>IFERROR(VLOOKUP(MID(T169,W169,X169-W169),[6]skilldef!$C:$D,2,FALSE),"-") &amp; " / " &amp; IFERROR(VLOOKUP(MID(T169,U169,V169-U169),[6]skilldef!$A:$B,2,FALSE),"-")</f>
        <v>- / -</v>
      </c>
      <c r="Z169" s="50"/>
      <c r="AA169" s="51"/>
      <c r="AB169" s="50"/>
    </row>
    <row r="170" spans="1:28" ht="21" customHeight="1" x14ac:dyDescent="0.15">
      <c r="A170" s="126">
        <v>49015169</v>
      </c>
      <c r="B170" s="106" t="s">
        <v>352</v>
      </c>
      <c r="C170" s="50">
        <v>3</v>
      </c>
      <c r="D170" s="50" t="s">
        <v>127</v>
      </c>
      <c r="E170" s="105" t="s">
        <v>387</v>
      </c>
      <c r="F170" s="118" t="s">
        <v>331</v>
      </c>
      <c r="G170" s="63" t="str">
        <f t="shared" si="232"/>
        <v>[effect:enemy_message, val1:1.2, val2:1.2, dead_type:escape]</v>
      </c>
      <c r="H170" s="63">
        <f t="shared" si="233"/>
        <v>9</v>
      </c>
      <c r="I170" s="63">
        <f t="shared" si="234"/>
        <v>22</v>
      </c>
      <c r="J170" s="63" t="e">
        <f t="shared" si="235"/>
        <v>#VALUE!</v>
      </c>
      <c r="K170" s="63">
        <f t="shared" si="236"/>
        <v>32</v>
      </c>
      <c r="L170" s="63" t="str">
        <f>IFERROR(VLOOKUP(MID(G170,J170,K170-J170),[6]skilldef!$C:$D,2,FALSE),"-") &amp; " / " &amp; IFERROR(VLOOKUP(MID(G170,H170,I170-H170),[6]skilldef!$A:$B,2,FALSE),"-")</f>
        <v>- / -</v>
      </c>
      <c r="M170" s="63" t="str">
        <f t="shared" si="237"/>
        <v>none</v>
      </c>
      <c r="N170" s="48" t="str">
        <f t="shared" si="247"/>
        <v>none</v>
      </c>
      <c r="O170" s="63" t="e">
        <f t="shared" si="238"/>
        <v>#VALUE!</v>
      </c>
      <c r="P170" s="63">
        <f t="shared" si="239"/>
        <v>4</v>
      </c>
      <c r="Q170" s="63" t="e">
        <f t="shared" si="240"/>
        <v>#VALUE!</v>
      </c>
      <c r="R170" s="63" t="e">
        <f t="shared" si="241"/>
        <v>#VALUE!</v>
      </c>
      <c r="S170" s="63" t="str">
        <f>IFERROR(VLOOKUP(MID(N170,Q170,R170-Q170),[6]skilldef!$C:$D,2,FALSE),"-") &amp; " / " &amp; IFERROR(VLOOKUP(MID(N170,O170,P170-O170),[6]skilldef!$A:$B,2,FALSE),"-")</f>
        <v>- / -</v>
      </c>
      <c r="T170" s="48" t="str">
        <f t="shared" si="242"/>
        <v>none</v>
      </c>
      <c r="U170" s="63" t="e">
        <f t="shared" si="243"/>
        <v>#VALUE!</v>
      </c>
      <c r="V170" s="63">
        <f t="shared" si="244"/>
        <v>4</v>
      </c>
      <c r="W170" s="63" t="e">
        <f t="shared" si="245"/>
        <v>#VALUE!</v>
      </c>
      <c r="X170" s="63" t="e">
        <f t="shared" si="246"/>
        <v>#VALUE!</v>
      </c>
      <c r="Y170" s="63" t="str">
        <f>IFERROR(VLOOKUP(MID(T170,W170,X170-W170),[6]skilldef!$C:$D,2,FALSE),"-") &amp; " / " &amp; IFERROR(VLOOKUP(MID(T170,U170,V170-U170),[6]skilldef!$A:$B,2,FALSE),"-")</f>
        <v>- / -</v>
      </c>
      <c r="Z170" s="50"/>
      <c r="AA170" s="51"/>
      <c r="AB170" s="50"/>
    </row>
    <row r="171" spans="1:28" ht="21" customHeight="1" thickBot="1" x14ac:dyDescent="0.2">
      <c r="A171" s="127">
        <v>49015170</v>
      </c>
      <c r="B171" s="111" t="s">
        <v>389</v>
      </c>
      <c r="C171" s="50">
        <v>3</v>
      </c>
      <c r="D171" s="112" t="s">
        <v>127</v>
      </c>
      <c r="E171" s="117" t="s">
        <v>332</v>
      </c>
      <c r="F171" s="117" t="s">
        <v>388</v>
      </c>
      <c r="G171" s="113" t="str">
        <f t="shared" si="232"/>
        <v>[effect:enemy_message, val1:1.2, val2:1.7, dead_type:escape]</v>
      </c>
      <c r="H171" s="113">
        <f t="shared" si="233"/>
        <v>9</v>
      </c>
      <c r="I171" s="113">
        <f t="shared" si="234"/>
        <v>22</v>
      </c>
      <c r="J171" s="113" t="e">
        <f t="shared" si="235"/>
        <v>#VALUE!</v>
      </c>
      <c r="K171" s="113">
        <f t="shared" si="236"/>
        <v>32</v>
      </c>
      <c r="L171" s="113" t="str">
        <f>IFERROR(VLOOKUP(MID(G171,J171,K171-J171),[6]skilldef!$C:$D,2,FALSE),"-") &amp; " / " &amp; IFERROR(VLOOKUP(MID(G171,H171,I171-H171),[6]skilldef!$A:$B,2,FALSE),"-")</f>
        <v>- / -</v>
      </c>
      <c r="M171" s="113" t="str">
        <f t="shared" si="237"/>
        <v>none</v>
      </c>
      <c r="N171" s="114" t="str">
        <f t="shared" si="247"/>
        <v>none</v>
      </c>
      <c r="O171" s="113" t="e">
        <f t="shared" si="238"/>
        <v>#VALUE!</v>
      </c>
      <c r="P171" s="113">
        <f t="shared" si="239"/>
        <v>4</v>
      </c>
      <c r="Q171" s="113" t="e">
        <f t="shared" si="240"/>
        <v>#VALUE!</v>
      </c>
      <c r="R171" s="113" t="e">
        <f t="shared" si="241"/>
        <v>#VALUE!</v>
      </c>
      <c r="S171" s="113" t="str">
        <f>IFERROR(VLOOKUP(MID(N171,Q171,R171-Q171),[6]skilldef!$C:$D,2,FALSE),"-") &amp; " / " &amp; IFERROR(VLOOKUP(MID(N171,O171,P171-O171),[6]skilldef!$A:$B,2,FALSE),"-")</f>
        <v>- / -</v>
      </c>
      <c r="T171" s="114" t="str">
        <f t="shared" si="242"/>
        <v>none</v>
      </c>
      <c r="U171" s="113" t="e">
        <f t="shared" si="243"/>
        <v>#VALUE!</v>
      </c>
      <c r="V171" s="113">
        <f t="shared" si="244"/>
        <v>4</v>
      </c>
      <c r="W171" s="113" t="e">
        <f t="shared" si="245"/>
        <v>#VALUE!</v>
      </c>
      <c r="X171" s="113" t="e">
        <f t="shared" si="246"/>
        <v>#VALUE!</v>
      </c>
      <c r="Y171" s="113" t="str">
        <f>IFERROR(VLOOKUP(MID(T171,W171,X171-W171),[6]skilldef!$C:$D,2,FALSE),"-") &amp; " / " &amp; IFERROR(VLOOKUP(MID(T171,U171,V171-U171),[6]skilldef!$A:$B,2,FALSE),"-")</f>
        <v>- / -</v>
      </c>
      <c r="Z171" s="112"/>
      <c r="AA171" s="115"/>
      <c r="AB171" s="112"/>
    </row>
    <row r="172" spans="1:28" ht="21" customHeight="1" x14ac:dyDescent="0.15">
      <c r="A172" s="138">
        <v>49015171</v>
      </c>
      <c r="B172" s="129" t="s">
        <v>520</v>
      </c>
      <c r="C172" s="50">
        <v>3</v>
      </c>
      <c r="D172" s="130" t="s">
        <v>127</v>
      </c>
      <c r="E172" s="189" t="s">
        <v>416</v>
      </c>
      <c r="F172" s="189" t="s">
        <v>333</v>
      </c>
      <c r="G172" s="131" t="str">
        <f t="shared" si="232"/>
        <v>[effect:enemy_message, val1:1.2, val2:1.2]</v>
      </c>
      <c r="H172" s="131">
        <f t="shared" si="233"/>
        <v>9</v>
      </c>
      <c r="I172" s="131">
        <f t="shared" si="234"/>
        <v>22</v>
      </c>
      <c r="J172" s="131" t="e">
        <f t="shared" si="235"/>
        <v>#VALUE!</v>
      </c>
      <c r="K172" s="131">
        <f t="shared" si="236"/>
        <v>32</v>
      </c>
      <c r="L172" s="131" t="str">
        <f>IFERROR(VLOOKUP(MID(G172,J172,K172-J172),[6]skilldef!$C:$D,2,FALSE),"-") &amp; " / " &amp; IFERROR(VLOOKUP(MID(G172,H172,I172-H172),[6]skilldef!$A:$B,2,FALSE),"-")</f>
        <v>- / -</v>
      </c>
      <c r="M172" s="131" t="str">
        <f t="shared" si="237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172" s="132" t="str">
        <f t="shared" si="247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172" s="131">
        <f t="shared" si="238"/>
        <v>9</v>
      </c>
      <c r="P172" s="131">
        <f t="shared" si="239"/>
        <v>18</v>
      </c>
      <c r="Q172" s="131">
        <f t="shared" si="240"/>
        <v>27</v>
      </c>
      <c r="R172" s="131">
        <f t="shared" si="241"/>
        <v>33</v>
      </c>
      <c r="S172" s="131" t="str">
        <f>IFERROR(VLOOKUP(MID(N172,Q172,R172-Q172),[6]skilldef!$C:$D,2,FALSE),"-") &amp; " / " &amp; IFERROR(VLOOKUP(MID(N172,O172,P172-O172),[6]skilldef!$A:$B,2,FALSE),"-")</f>
        <v>自分自身に / 行動値設定</v>
      </c>
      <c r="T172" s="132" t="str">
        <f t="shared" si="242"/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172" s="131">
        <f t="shared" si="243"/>
        <v>9</v>
      </c>
      <c r="V172" s="131">
        <f t="shared" si="244"/>
        <v>23</v>
      </c>
      <c r="W172" s="131">
        <f t="shared" si="245"/>
        <v>116</v>
      </c>
      <c r="X172" s="131">
        <f t="shared" si="246"/>
        <v>32</v>
      </c>
      <c r="Y172" s="131" t="str">
        <f>IFERROR(VLOOKUP(MID(T172,W172,X172-W172),[6]skilldef!$C:$D,2,FALSE),"-") &amp; " / " &amp; IFERROR(VLOOKUP(MID(T172,U172,V172-U172),[6]skilldef!$A:$B,2,FALSE),"-")</f>
        <v>- / -</v>
      </c>
      <c r="Z172" s="130"/>
      <c r="AA172" s="133"/>
      <c r="AB172" s="130"/>
    </row>
    <row r="173" spans="1:28" ht="21" customHeight="1" x14ac:dyDescent="0.15">
      <c r="A173" s="138">
        <v>49015172</v>
      </c>
      <c r="B173" s="129" t="s">
        <v>521</v>
      </c>
      <c r="C173" s="50">
        <v>3</v>
      </c>
      <c r="D173" s="50" t="s">
        <v>127</v>
      </c>
      <c r="E173" s="190" t="s">
        <v>465</v>
      </c>
      <c r="F173" s="190" t="s">
        <v>466</v>
      </c>
      <c r="G173" s="63" t="str">
        <f t="shared" si="232"/>
        <v>[effect:enemy_message, val1:2.2, val2:1.7]</v>
      </c>
      <c r="H173" s="63">
        <f t="shared" si="233"/>
        <v>9</v>
      </c>
      <c r="I173" s="63">
        <f t="shared" si="234"/>
        <v>22</v>
      </c>
      <c r="J173" s="63" t="e">
        <f t="shared" si="235"/>
        <v>#VALUE!</v>
      </c>
      <c r="K173" s="63">
        <f t="shared" si="236"/>
        <v>32</v>
      </c>
      <c r="L173" s="63" t="str">
        <f>IFERROR(VLOOKUP(MID(G173,J173,K173-J173),[6]skilldef!$C:$D,2,FALSE),"-") &amp; " / " &amp; IFERROR(VLOOKUP(MID(G173,H173,I173-H173),[6]skilldef!$A:$B,2,FALSE),"-")</f>
        <v>- / -</v>
      </c>
      <c r="M173" s="63" t="str">
        <f t="shared" si="237"/>
        <v>[effect:fix_speed, target:myself, turn:2],[effect:set_background, turn:-1, background_id:994, switching_mode:go_front, duration:2],[effect:tolerance, target:myself, turn:-1, count:-1, tolerance_effect:all, animation:enemy_tolerance],[effect:change_panel_ratio, turn:-1, block_type:yellow, val:0.6, animation:block_incidence04],[effect:remove_enhancement,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173" s="48" t="str">
        <f>IFERROR(LEFT(M173,FIND("],",M173)+#REF!),M173)</f>
        <v>[effect:fix_speed, target:myself, turn:2],[effect:set_background, turn:-1, background_id:994, switching_mode:go_front, duration:2],[effect:tolerance, target:myself, turn:-1, count:-1, tolerance_effect:all, animation:enemy_tolerance],[effect:change_panel_ratio, turn:-1, block_type:yellow, val:0.6, animation:block_incidence04],[effect:remove_enhancement,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173" s="63">
        <f t="shared" si="238"/>
        <v>9</v>
      </c>
      <c r="P173" s="63">
        <f t="shared" si="239"/>
        <v>18</v>
      </c>
      <c r="Q173" s="63">
        <f t="shared" si="240"/>
        <v>27</v>
      </c>
      <c r="R173" s="63">
        <f t="shared" si="241"/>
        <v>33</v>
      </c>
      <c r="S173" s="63" t="str">
        <f>IFERROR(VLOOKUP(MID(N173,Q173,R173-Q173),[6]skilldef!$C:$D,2,FALSE),"-") &amp; " / " &amp; IFERROR(VLOOKUP(MID(N173,O173,P173-O173),[6]skilldef!$A:$B,2,FALSE),"-")</f>
        <v>自分自身に / 行動値設定</v>
      </c>
      <c r="T173" s="48" t="str">
        <f t="shared" si="242"/>
        <v>[effect:set_background, turn:-1, background_id:994, switching_mode:go_front, duration:2],[effect:tolerance, target:myself, turn:-1, count:-1, tolerance_effect:all, animation:enemy_tolerance],[effect:change_panel_ratio, turn:-1, block_type:yellow, val:0.6, animation:block_incidence04],[effect:remove_enhancement,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173" s="63">
        <f t="shared" si="243"/>
        <v>9</v>
      </c>
      <c r="V173" s="63">
        <f t="shared" si="244"/>
        <v>23</v>
      </c>
      <c r="W173" s="63">
        <f t="shared" si="245"/>
        <v>116</v>
      </c>
      <c r="X173" s="63">
        <f t="shared" si="246"/>
        <v>32</v>
      </c>
      <c r="Y173" s="63" t="str">
        <f>IFERROR(VLOOKUP(MID(T173,W173,X173-W173),[6]skilldef!$C:$D,2,FALSE),"-") &amp; " / " &amp; IFERROR(VLOOKUP(MID(T173,U173,V173-U173),[6]skilldef!$A:$B,2,FALSE),"-")</f>
        <v>- / -</v>
      </c>
      <c r="Z173" s="50"/>
      <c r="AA173" s="51"/>
      <c r="AB173" s="50"/>
    </row>
    <row r="174" spans="1:28" ht="21" customHeight="1" x14ac:dyDescent="0.15">
      <c r="A174" s="138">
        <v>49015173</v>
      </c>
      <c r="B174" s="129" t="s">
        <v>548</v>
      </c>
      <c r="C174" s="50">
        <v>3</v>
      </c>
      <c r="D174" s="50" t="s">
        <v>127</v>
      </c>
      <c r="E174" s="190" t="s">
        <v>417</v>
      </c>
      <c r="F174" s="191" t="s">
        <v>418</v>
      </c>
      <c r="G174" s="63" t="str">
        <f t="shared" si="232"/>
        <v>[effect:enemy_message, val1:1.2, val2:1.2]</v>
      </c>
      <c r="H174" s="63">
        <f t="shared" si="233"/>
        <v>9</v>
      </c>
      <c r="I174" s="63">
        <f t="shared" si="234"/>
        <v>22</v>
      </c>
      <c r="J174" s="63" t="e">
        <f t="shared" si="235"/>
        <v>#VALUE!</v>
      </c>
      <c r="K174" s="63">
        <f t="shared" si="236"/>
        <v>32</v>
      </c>
      <c r="L174" s="63" t="str">
        <f>IFERROR(VLOOKUP(MID(G174,J174,K174-J174),[6]skilldef!$C:$D,2,FALSE),"-") &amp; " / " &amp; IFERROR(VLOOKUP(MID(G174,H174,I174-H174),[6]skilldef!$A:$B,2,FALSE),"-")</f>
        <v>- / -</v>
      </c>
      <c r="M174" s="63" t="str">
        <f t="shared" si="237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174" s="48" t="str">
        <f>IFERROR(LEFT(M174,FIND("],",M174)+S183),M174)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174" s="63">
        <f t="shared" si="238"/>
        <v>9</v>
      </c>
      <c r="P174" s="63">
        <f t="shared" si="239"/>
        <v>18</v>
      </c>
      <c r="Q174" s="63">
        <f t="shared" si="240"/>
        <v>27</v>
      </c>
      <c r="R174" s="63">
        <f t="shared" si="241"/>
        <v>33</v>
      </c>
      <c r="S174" s="63" t="str">
        <f>IFERROR(VLOOKUP(MID(N174,Q174,R174-Q174),[6]skilldef!$C:$D,2,FALSE),"-") &amp; " / " &amp; IFERROR(VLOOKUP(MID(N174,O174,P174-O174),[6]skilldef!$A:$B,2,FALSE),"-")</f>
        <v>自分自身に / 行動値設定</v>
      </c>
      <c r="T174" s="48" t="str">
        <f t="shared" si="242"/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174" s="63">
        <f t="shared" si="243"/>
        <v>9</v>
      </c>
      <c r="V174" s="63">
        <f t="shared" si="244"/>
        <v>23</v>
      </c>
      <c r="W174" s="63">
        <f t="shared" si="245"/>
        <v>116</v>
      </c>
      <c r="X174" s="63">
        <f t="shared" si="246"/>
        <v>32</v>
      </c>
      <c r="Y174" s="63" t="str">
        <f>IFERROR(VLOOKUP(MID(T174,W174,X174-W174),[6]skilldef!$C:$D,2,FALSE),"-") &amp; " / " &amp; IFERROR(VLOOKUP(MID(T174,U174,V174-U174),[6]skilldef!$A:$B,2,FALSE),"-")</f>
        <v>- / -</v>
      </c>
      <c r="Z174" s="50"/>
      <c r="AA174" s="51"/>
      <c r="AB174" s="50"/>
    </row>
    <row r="175" spans="1:28" ht="21" customHeight="1" x14ac:dyDescent="0.15">
      <c r="A175" s="138">
        <v>49015174</v>
      </c>
      <c r="B175" s="129" t="s">
        <v>522</v>
      </c>
      <c r="C175" s="50">
        <v>3</v>
      </c>
      <c r="D175" s="50" t="s">
        <v>127</v>
      </c>
      <c r="E175" s="190" t="s">
        <v>419</v>
      </c>
      <c r="F175" s="190" t="s">
        <v>420</v>
      </c>
      <c r="G175" s="63" t="str">
        <f t="shared" si="232"/>
        <v>[effect:enemy_message, val1:1.6, val2:1.2]</v>
      </c>
      <c r="H175" s="63">
        <f t="shared" si="233"/>
        <v>9</v>
      </c>
      <c r="I175" s="63">
        <f t="shared" si="234"/>
        <v>22</v>
      </c>
      <c r="J175" s="63" t="e">
        <f t="shared" si="235"/>
        <v>#VALUE!</v>
      </c>
      <c r="K175" s="63">
        <f t="shared" si="236"/>
        <v>32</v>
      </c>
      <c r="L175" s="63" t="str">
        <f>IFERROR(VLOOKUP(MID(G175,J175,K175-J175),[6]skilldef!$C:$D,2,FALSE),"-") &amp; " / " &amp; IFERROR(VLOOKUP(MID(G175,H175,I175-H175),[6]skilldef!$A:$B,2,FALSE),"-")</f>
        <v>- / -</v>
      </c>
      <c r="M175" s="63" t="str">
        <f t="shared" si="237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175" s="48" t="str">
        <f>IFERROR(LEFT(M175,FIND("],",M175)+S184),M175)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175" s="63">
        <f t="shared" si="238"/>
        <v>9</v>
      </c>
      <c r="P175" s="63">
        <f t="shared" si="239"/>
        <v>18</v>
      </c>
      <c r="Q175" s="63">
        <f t="shared" si="240"/>
        <v>27</v>
      </c>
      <c r="R175" s="63">
        <f t="shared" si="241"/>
        <v>33</v>
      </c>
      <c r="S175" s="63" t="str">
        <f>IFERROR(VLOOKUP(MID(N175,Q175,R175-Q175),[6]skilldef!$C:$D,2,FALSE),"-") &amp; " / " &amp; IFERROR(VLOOKUP(MID(N175,O175,P175-O175),[6]skilldef!$A:$B,2,FALSE),"-")</f>
        <v>自分自身に / 行動値設定</v>
      </c>
      <c r="T175" s="48" t="str">
        <f t="shared" si="242"/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175" s="63">
        <f t="shared" si="243"/>
        <v>9</v>
      </c>
      <c r="V175" s="63">
        <f t="shared" si="244"/>
        <v>23</v>
      </c>
      <c r="W175" s="63">
        <f t="shared" si="245"/>
        <v>116</v>
      </c>
      <c r="X175" s="63">
        <f t="shared" si="246"/>
        <v>32</v>
      </c>
      <c r="Y175" s="63" t="str">
        <f>IFERROR(VLOOKUP(MID(T175,W175,X175-W175),[6]skilldef!$C:$D,2,FALSE),"-") &amp; " / " &amp; IFERROR(VLOOKUP(MID(T175,U175,V175-U175),[6]skilldef!$A:$B,2,FALSE),"-")</f>
        <v>- / -</v>
      </c>
      <c r="Z175" s="50"/>
      <c r="AA175" s="51"/>
      <c r="AB175" s="50"/>
    </row>
    <row r="176" spans="1:28" ht="21" customHeight="1" x14ac:dyDescent="0.15">
      <c r="A176" s="138">
        <v>49015175</v>
      </c>
      <c r="B176" s="129" t="s">
        <v>523</v>
      </c>
      <c r="C176" s="50">
        <v>3</v>
      </c>
      <c r="D176" s="50" t="s">
        <v>127</v>
      </c>
      <c r="E176" s="191" t="s">
        <v>421</v>
      </c>
      <c r="F176" s="190" t="s">
        <v>422</v>
      </c>
      <c r="G176" s="63" t="str">
        <f t="shared" si="232"/>
        <v>[effect:enemy_message, val1:1.2, val2:1.7]</v>
      </c>
      <c r="H176" s="63">
        <f t="shared" si="233"/>
        <v>9</v>
      </c>
      <c r="I176" s="63">
        <f t="shared" si="234"/>
        <v>22</v>
      </c>
      <c r="J176" s="63" t="e">
        <f t="shared" si="235"/>
        <v>#VALUE!</v>
      </c>
      <c r="K176" s="63">
        <f t="shared" si="236"/>
        <v>32</v>
      </c>
      <c r="L176" s="63" t="str">
        <f>IFERROR(VLOOKUP(MID(G176,J176,K176-J176),[6]skilldef!$C:$D,2,FALSE),"-") &amp; " / " &amp; IFERROR(VLOOKUP(MID(G176,H176,I176-H176),[6]skilldef!$A:$B,2,FALSE),"-")</f>
        <v>- / -</v>
      </c>
      <c r="M176" s="63" t="str">
        <f t="shared" si="237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176" s="48" t="str">
        <f>IFERROR(LEFT(M176,FIND("],",M176)+S185),M176)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176" s="63">
        <f t="shared" si="238"/>
        <v>9</v>
      </c>
      <c r="P176" s="63">
        <f t="shared" si="239"/>
        <v>18</v>
      </c>
      <c r="Q176" s="63">
        <f t="shared" si="240"/>
        <v>27</v>
      </c>
      <c r="R176" s="63">
        <f t="shared" si="241"/>
        <v>33</v>
      </c>
      <c r="S176" s="63" t="str">
        <f>IFERROR(VLOOKUP(MID(N176,Q176,R176-Q176),[6]skilldef!$C:$D,2,FALSE),"-") &amp; " / " &amp; IFERROR(VLOOKUP(MID(N176,O176,P176-O176),[6]skilldef!$A:$B,2,FALSE),"-")</f>
        <v>自分自身に / 行動値設定</v>
      </c>
      <c r="T176" s="48" t="str">
        <f t="shared" si="242"/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176" s="63">
        <f t="shared" si="243"/>
        <v>9</v>
      </c>
      <c r="V176" s="63">
        <f t="shared" si="244"/>
        <v>23</v>
      </c>
      <c r="W176" s="63">
        <f t="shared" si="245"/>
        <v>116</v>
      </c>
      <c r="X176" s="63">
        <f t="shared" si="246"/>
        <v>32</v>
      </c>
      <c r="Y176" s="63" t="str">
        <f>IFERROR(VLOOKUP(MID(T176,W176,X176-W176),[6]skilldef!$C:$D,2,FALSE),"-") &amp; " / " &amp; IFERROR(VLOOKUP(MID(T176,U176,V176-U176),[6]skilldef!$A:$B,2,FALSE),"-")</f>
        <v>- / -</v>
      </c>
      <c r="Z176" s="50"/>
      <c r="AA176" s="51"/>
      <c r="AB176" s="50"/>
    </row>
    <row r="177" spans="1:28" ht="364" x14ac:dyDescent="0.15">
      <c r="A177" s="138">
        <v>49015176</v>
      </c>
      <c r="B177" s="129" t="s">
        <v>524</v>
      </c>
      <c r="C177" s="50">
        <v>3</v>
      </c>
      <c r="D177" s="50" t="s">
        <v>127</v>
      </c>
      <c r="E177" s="119" t="s">
        <v>334</v>
      </c>
      <c r="F177" s="105" t="s">
        <v>592</v>
      </c>
      <c r="G177" s="63" t="str">
        <f t="shared" si="232"/>
        <v>[effect:enemy_message, val1:3.1, val2:1.2]</v>
      </c>
      <c r="H177" s="63">
        <f t="shared" si="233"/>
        <v>9</v>
      </c>
      <c r="I177" s="63">
        <f t="shared" si="234"/>
        <v>22</v>
      </c>
      <c r="J177" s="63" t="e">
        <f t="shared" si="235"/>
        <v>#VALUE!</v>
      </c>
      <c r="K177" s="63">
        <f t="shared" si="236"/>
        <v>32</v>
      </c>
      <c r="L177" s="63" t="str">
        <f>IFERROR(VLOOKUP(MID(G177,J177,K177-J177),[6]skilldef!$C:$D,2,FALSE),"-") &amp; " / " &amp; IFERROR(VLOOKUP(MID(G177,H177,I177-H177),[6]skilldef!$A:$B,2,FALSE),"-")</f>
        <v>- / -</v>
      </c>
      <c r="M177" s="63" t="str">
        <f t="shared" si="237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177" s="48" t="str">
        <f>IFERROR(LEFT(M177,FIND("],",M177)+S186),M177)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177" s="63">
        <f t="shared" si="238"/>
        <v>9</v>
      </c>
      <c r="P177" s="63">
        <f t="shared" si="239"/>
        <v>18</v>
      </c>
      <c r="Q177" s="63">
        <f t="shared" si="240"/>
        <v>27</v>
      </c>
      <c r="R177" s="63">
        <f t="shared" si="241"/>
        <v>33</v>
      </c>
      <c r="S177" s="63" t="str">
        <f>IFERROR(VLOOKUP(MID(N177,Q177,R177-Q177),[6]skilldef!$C:$D,2,FALSE),"-") &amp; " / " &amp; IFERROR(VLOOKUP(MID(N177,O177,P177-O177),[6]skilldef!$A:$B,2,FALSE),"-")</f>
        <v>自分自身に / 行動値設定</v>
      </c>
      <c r="T177" s="48" t="str">
        <f t="shared" si="242"/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177" s="63">
        <f t="shared" si="243"/>
        <v>9</v>
      </c>
      <c r="V177" s="63">
        <f t="shared" si="244"/>
        <v>23</v>
      </c>
      <c r="W177" s="63">
        <f t="shared" si="245"/>
        <v>116</v>
      </c>
      <c r="X177" s="63">
        <f t="shared" si="246"/>
        <v>32</v>
      </c>
      <c r="Y177" s="63" t="str">
        <f>IFERROR(VLOOKUP(MID(T177,W177,X177-W177),[6]skilldef!$C:$D,2,FALSE),"-") &amp; " / " &amp; IFERROR(VLOOKUP(MID(T177,U177,V177-U177),[6]skilldef!$A:$B,2,FALSE),"-")</f>
        <v>- / -</v>
      </c>
      <c r="Z177" s="50"/>
      <c r="AA177" s="51"/>
      <c r="AB177" s="50"/>
    </row>
    <row r="178" spans="1:28" ht="21" customHeight="1" x14ac:dyDescent="0.15">
      <c r="A178" s="138">
        <v>49015177</v>
      </c>
      <c r="B178" s="129" t="s">
        <v>523</v>
      </c>
      <c r="C178" s="50">
        <v>3</v>
      </c>
      <c r="D178" s="50" t="s">
        <v>127</v>
      </c>
      <c r="E178" s="190" t="s">
        <v>423</v>
      </c>
      <c r="F178" s="190" t="s">
        <v>424</v>
      </c>
      <c r="G178" s="63" t="str">
        <f t="shared" si="232"/>
        <v>[effect:enemy_message, val1:1.2, val2:1.7]</v>
      </c>
      <c r="H178" s="63">
        <f t="shared" si="233"/>
        <v>9</v>
      </c>
      <c r="I178" s="63">
        <f t="shared" si="234"/>
        <v>22</v>
      </c>
      <c r="J178" s="63" t="e">
        <f t="shared" si="235"/>
        <v>#VALUE!</v>
      </c>
      <c r="K178" s="63">
        <f t="shared" si="236"/>
        <v>32</v>
      </c>
      <c r="L178" s="63" t="str">
        <f>IFERROR(VLOOKUP(MID(G178,J178,K178-J178),[6]skilldef!$C:$D,2,FALSE),"-") &amp; " / " &amp; IFERROR(VLOOKUP(MID(G178,H178,I178-H178),[6]skilldef!$A:$B,2,FALSE),"-")</f>
        <v>- / -</v>
      </c>
      <c r="M178" s="63" t="str">
        <f t="shared" si="237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178" s="48" t="str">
        <f>IFERROR(LEFT(M178,FIND("],",M178)+S187),M178)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178" s="63">
        <f t="shared" si="238"/>
        <v>9</v>
      </c>
      <c r="P178" s="63">
        <f t="shared" si="239"/>
        <v>18</v>
      </c>
      <c r="Q178" s="63">
        <f t="shared" si="240"/>
        <v>27</v>
      </c>
      <c r="R178" s="63">
        <f t="shared" si="241"/>
        <v>33</v>
      </c>
      <c r="S178" s="63" t="str">
        <f>IFERROR(VLOOKUP(MID(N178,Q178,R178-Q178),[6]skilldef!$C:$D,2,FALSE),"-") &amp; " / " &amp; IFERROR(VLOOKUP(MID(N178,O178,P178-O178),[6]skilldef!$A:$B,2,FALSE),"-")</f>
        <v>自分自身に / 行動値設定</v>
      </c>
      <c r="T178" s="48" t="str">
        <f t="shared" si="242"/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178" s="63">
        <f t="shared" si="243"/>
        <v>9</v>
      </c>
      <c r="V178" s="63">
        <f t="shared" si="244"/>
        <v>23</v>
      </c>
      <c r="W178" s="63">
        <f t="shared" si="245"/>
        <v>116</v>
      </c>
      <c r="X178" s="63">
        <f t="shared" si="246"/>
        <v>32</v>
      </c>
      <c r="Y178" s="63" t="str">
        <f>IFERROR(VLOOKUP(MID(T178,W178,X178-W178),[6]skilldef!$C:$D,2,FALSE),"-") &amp; " / " &amp; IFERROR(VLOOKUP(MID(T178,U178,V178-U178),[6]skilldef!$A:$B,2,FALSE),"-")</f>
        <v>- / -</v>
      </c>
      <c r="Z178" s="50"/>
      <c r="AA178" s="51"/>
      <c r="AB178" s="50"/>
    </row>
    <row r="179" spans="1:28" ht="21" customHeight="1" x14ac:dyDescent="0.15">
      <c r="A179" s="138">
        <v>49015178</v>
      </c>
      <c r="B179" s="129" t="s">
        <v>520</v>
      </c>
      <c r="C179" s="50">
        <v>3</v>
      </c>
      <c r="D179" s="50" t="s">
        <v>127</v>
      </c>
      <c r="E179" s="191" t="s">
        <v>425</v>
      </c>
      <c r="F179" s="191" t="s">
        <v>426</v>
      </c>
      <c r="G179" s="63" t="str">
        <f t="shared" si="232"/>
        <v>[effect:enemy_message, val1:1.2, val2:1.2]</v>
      </c>
      <c r="H179" s="63">
        <f t="shared" si="233"/>
        <v>9</v>
      </c>
      <c r="I179" s="63">
        <f t="shared" si="234"/>
        <v>22</v>
      </c>
      <c r="J179" s="63" t="e">
        <f t="shared" si="235"/>
        <v>#VALUE!</v>
      </c>
      <c r="K179" s="63">
        <f t="shared" si="236"/>
        <v>32</v>
      </c>
      <c r="L179" s="63" t="str">
        <f>IFERROR(VLOOKUP(MID(G179,J179,K179-J179),[6]skilldef!$C:$D,2,FALSE),"-") &amp; " / " &amp; IFERROR(VLOOKUP(MID(G179,H179,I179-H179),[6]skilldef!$A:$B,2,FALSE),"-")</f>
        <v>- / -</v>
      </c>
      <c r="M179" s="63" t="str">
        <f t="shared" si="237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179" s="48" t="str">
        <f>IFERROR(LEFT(M179,FIND("],",M179)+#REF!),M179)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179" s="63">
        <f t="shared" si="238"/>
        <v>9</v>
      </c>
      <c r="P179" s="63">
        <f t="shared" si="239"/>
        <v>18</v>
      </c>
      <c r="Q179" s="63">
        <f t="shared" si="240"/>
        <v>27</v>
      </c>
      <c r="R179" s="63">
        <f t="shared" si="241"/>
        <v>33</v>
      </c>
      <c r="S179" s="63" t="str">
        <f>IFERROR(VLOOKUP(MID(N179,Q179,R179-Q179),[6]skilldef!$C:$D,2,FALSE),"-") &amp; " / " &amp; IFERROR(VLOOKUP(MID(N179,O179,P179-O179),[6]skilldef!$A:$B,2,FALSE),"-")</f>
        <v>自分自身に / 行動値設定</v>
      </c>
      <c r="T179" s="48" t="str">
        <f t="shared" si="242"/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179" s="63">
        <f t="shared" si="243"/>
        <v>9</v>
      </c>
      <c r="V179" s="63">
        <f t="shared" si="244"/>
        <v>23</v>
      </c>
      <c r="W179" s="63">
        <f t="shared" si="245"/>
        <v>116</v>
      </c>
      <c r="X179" s="63">
        <f t="shared" si="246"/>
        <v>32</v>
      </c>
      <c r="Y179" s="63" t="str">
        <f>IFERROR(VLOOKUP(MID(T179,W179,X179-W179),[6]skilldef!$C:$D,2,FALSE),"-") &amp; " / " &amp; IFERROR(VLOOKUP(MID(T179,U179,V179-U179),[6]skilldef!$A:$B,2,FALSE),"-")</f>
        <v>- / -</v>
      </c>
      <c r="Z179" s="50"/>
      <c r="AA179" s="51"/>
      <c r="AB179" s="50"/>
    </row>
    <row r="180" spans="1:28" ht="21" customHeight="1" x14ac:dyDescent="0.15">
      <c r="A180" s="138">
        <v>49015179</v>
      </c>
      <c r="B180" s="47" t="s">
        <v>499</v>
      </c>
      <c r="C180" s="50">
        <v>3</v>
      </c>
      <c r="D180" s="50" t="s">
        <v>127</v>
      </c>
      <c r="E180" s="105" t="s">
        <v>335</v>
      </c>
      <c r="F180" s="105" t="s">
        <v>497</v>
      </c>
      <c r="G180" s="63" t="str">
        <f t="shared" si="232"/>
        <v>[effect:enemy_message, val1:1.2, val2:1.5]</v>
      </c>
      <c r="H180" s="63">
        <f t="shared" si="233"/>
        <v>9</v>
      </c>
      <c r="I180" s="63">
        <f t="shared" si="234"/>
        <v>22</v>
      </c>
      <c r="J180" s="63" t="e">
        <f t="shared" si="235"/>
        <v>#VALUE!</v>
      </c>
      <c r="K180" s="63">
        <f t="shared" si="236"/>
        <v>32</v>
      </c>
      <c r="L180" s="63" t="str">
        <f>IFERROR(VLOOKUP(MID(G180,J180,K180-J180),[6]skilldef!$C:$D,2,FALSE),"-") &amp; " / " &amp; IFERROR(VLOOKUP(MID(G180,H180,I180-H180),[6]skilldef!$A:$B,2,FALSE),"-")</f>
        <v>- / -</v>
      </c>
      <c r="M180" s="63" t="str">
        <f t="shared" si="237"/>
        <v>[effect:break_attack, target:unit_all, val:0.02, lowest_val:1000, count:-1, color:blue, block01:jammer]</v>
      </c>
      <c r="N180" s="48" t="str">
        <f>IFERROR(LEFT(M180,FIND("],",M180)+S188),M180)</f>
        <v>[effect:break_attack, target:unit_all, val:0.02, lowest_val:1000, count:-1, color:blue, block01:jammer]</v>
      </c>
      <c r="O180" s="63">
        <f t="shared" si="238"/>
        <v>9</v>
      </c>
      <c r="P180" s="63">
        <f t="shared" si="239"/>
        <v>21</v>
      </c>
      <c r="Q180" s="63">
        <f t="shared" si="240"/>
        <v>30</v>
      </c>
      <c r="R180" s="63">
        <f t="shared" si="241"/>
        <v>38</v>
      </c>
      <c r="S180" s="63" t="str">
        <f>IFERROR(VLOOKUP(MID(N180,Q180,R180-Q180),[6]skilldef!$C:$D,2,FALSE),"-") &amp; " / " &amp; IFERROR(VLOOKUP(MID(N180,O180,P180-O180),[6]skilldef!$A:$B,2,FALSE),"-")</f>
        <v>味方全体に / -</v>
      </c>
      <c r="T180" s="48" t="str">
        <f t="shared" si="242"/>
        <v>none</v>
      </c>
      <c r="U180" s="63" t="e">
        <f t="shared" si="243"/>
        <v>#VALUE!</v>
      </c>
      <c r="V180" s="63">
        <f t="shared" si="244"/>
        <v>4</v>
      </c>
      <c r="W180" s="63" t="e">
        <f t="shared" si="245"/>
        <v>#VALUE!</v>
      </c>
      <c r="X180" s="63" t="e">
        <f t="shared" si="246"/>
        <v>#VALUE!</v>
      </c>
      <c r="Y180" s="63" t="str">
        <f>IFERROR(VLOOKUP(MID(T180,W180,X180-W180),[6]skilldef!$C:$D,2,FALSE),"-") &amp; " / " &amp; IFERROR(VLOOKUP(MID(T180,U180,V180-U180),[6]skilldef!$A:$B,2,FALSE),"-")</f>
        <v>- / -</v>
      </c>
      <c r="Z180" s="50"/>
      <c r="AA180" s="51"/>
      <c r="AB180" s="50"/>
    </row>
    <row r="181" spans="1:28" ht="98" x14ac:dyDescent="0.15">
      <c r="A181" s="138">
        <v>49015180</v>
      </c>
      <c r="B181" s="47" t="s">
        <v>534</v>
      </c>
      <c r="C181" s="50">
        <v>3</v>
      </c>
      <c r="D181" s="50" t="s">
        <v>127</v>
      </c>
      <c r="E181" s="119" t="s">
        <v>336</v>
      </c>
      <c r="F181" s="119" t="s">
        <v>391</v>
      </c>
      <c r="G181" s="63" t="str">
        <f t="shared" si="232"/>
        <v>[effect:enemy_message, val1:1.2, val2:2.3]</v>
      </c>
      <c r="H181" s="63">
        <f t="shared" si="233"/>
        <v>9</v>
      </c>
      <c r="I181" s="63">
        <f t="shared" si="234"/>
        <v>22</v>
      </c>
      <c r="J181" s="63" t="e">
        <f t="shared" si="235"/>
        <v>#VALUE!</v>
      </c>
      <c r="K181" s="63">
        <f t="shared" si="236"/>
        <v>32</v>
      </c>
      <c r="L181" s="63" t="str">
        <f>IFERROR(VLOOKUP(MID(G181,J181,K181-J181),[6]skilldef!$C:$D,2,FALSE),"-") &amp; " / " &amp; IFERROR(VLOOKUP(MID(G181,H181,I181-H181),[6]skilldef!$A:$B,2,FALSE),"-")</f>
        <v>- / -</v>
      </c>
      <c r="M181" s="63" t="str">
        <f t="shared" si="237"/>
        <v>[effect:rush, count:1, val:0.8],[effect:force_change_block, new_block:jammer, target:block_all, ignore01:block_positive, ignore02:jammer, count:3, val:0, animation:change_block]</v>
      </c>
      <c r="N181" s="48" t="str">
        <f>IFERROR(LEFT(M181,FIND("],",M181)+S189),M181)</f>
        <v>[effect:rush, count:1, val:0.8],[effect:force_change_block, new_block:jammer, target:block_all, ignore01:block_positive, ignore02:jammer, count:3, val:0, animation:change_block]</v>
      </c>
      <c r="O181" s="63">
        <f t="shared" si="238"/>
        <v>9</v>
      </c>
      <c r="P181" s="63">
        <f t="shared" si="239"/>
        <v>13</v>
      </c>
      <c r="Q181" s="63">
        <f t="shared" si="240"/>
        <v>86</v>
      </c>
      <c r="R181" s="63">
        <f t="shared" si="241"/>
        <v>22</v>
      </c>
      <c r="S181" s="63" t="str">
        <f>IFERROR(VLOOKUP(MID(N181,Q181,R181-Q181),[6]skilldef!$C:$D,2,FALSE),"-") &amp; " / " &amp; IFERROR(VLOOKUP(MID(N181,O181,P181-O181),[6]skilldef!$A:$B,2,FALSE),"-")</f>
        <v>- / 連続攻撃</v>
      </c>
      <c r="T181" s="48" t="str">
        <f t="shared" si="242"/>
        <v>[effect:force_change_block, new_block:jammer, target:block_all, ignore01:block_positive, ignore02:jammer, count:3, val:0, animation:change_block]</v>
      </c>
      <c r="U181" s="63">
        <f t="shared" si="243"/>
        <v>9</v>
      </c>
      <c r="V181" s="63">
        <f t="shared" si="244"/>
        <v>27</v>
      </c>
      <c r="W181" s="63">
        <f t="shared" si="245"/>
        <v>54</v>
      </c>
      <c r="X181" s="63">
        <f t="shared" si="246"/>
        <v>45</v>
      </c>
      <c r="Y181" s="63" t="str">
        <f>IFERROR(VLOOKUP(MID(T181,W181,X181-W181),[6]skilldef!$C:$D,2,FALSE),"-") &amp; " / " &amp; IFERROR(VLOOKUP(MID(T181,U181,V181-U181),[6]skilldef!$A:$B,2,FALSE),"-")</f>
        <v>- / -</v>
      </c>
      <c r="Z181" s="50"/>
      <c r="AA181" s="51"/>
      <c r="AB181" s="50"/>
    </row>
    <row r="182" spans="1:28" ht="141" thickBot="1" x14ac:dyDescent="0.2">
      <c r="A182" s="137">
        <v>49015181</v>
      </c>
      <c r="B182" s="111" t="s">
        <v>535</v>
      </c>
      <c r="C182" s="50">
        <v>3</v>
      </c>
      <c r="D182" s="112" t="s">
        <v>127</v>
      </c>
      <c r="E182" s="117" t="s">
        <v>337</v>
      </c>
      <c r="F182" s="128" t="s">
        <v>441</v>
      </c>
      <c r="G182" s="113" t="str">
        <f t="shared" si="232"/>
        <v>[effect:enemy_message, val1:1.2, val2:2.0]</v>
      </c>
      <c r="H182" s="113">
        <f t="shared" si="233"/>
        <v>9</v>
      </c>
      <c r="I182" s="113">
        <f t="shared" si="234"/>
        <v>22</v>
      </c>
      <c r="J182" s="113" t="e">
        <f t="shared" si="235"/>
        <v>#VALUE!</v>
      </c>
      <c r="K182" s="113">
        <f t="shared" si="236"/>
        <v>32</v>
      </c>
      <c r="L182" s="113" t="str">
        <f>IFERROR(VLOOKUP(MID(G182,J182,K182-J182),[6]skilldef!$C:$D,2,FALSE),"-") &amp; " / " &amp; IFERROR(VLOOKUP(MID(G182,H182,I182-H182),[6]skilldef!$A:$B,2,FALSE),"-")</f>
        <v>- / -</v>
      </c>
      <c r="M182" s="113" t="str">
        <f t="shared" si="237"/>
        <v>[effect:rush, count:1, val:0.8],[effect:change_range_block, block_change:1, base_type:0, square_count:5, position01:10,  value_h01:1, value_w01:5, new_block:jammer, target:block_all, ignore01:block_positive, ignore02:jammer, count:4, val:0, animation:change_range_block]</v>
      </c>
      <c r="N182" s="114" t="str">
        <f>IFERROR(LEFT(M182,FIND("],",M182)+S190),M182)</f>
        <v>[effect:rush, count:1, val:0.8],[effect:change_range_block, block_change:1, base_type:0, square_count:5, position01:10,  value_h01:1, value_w01:5, new_block:jammer, target:block_all, ignore01:block_positive, ignore02:jammer, count:4, val:0, animation:change_range_block]</v>
      </c>
      <c r="O182" s="113">
        <f t="shared" si="238"/>
        <v>9</v>
      </c>
      <c r="P182" s="113">
        <f t="shared" si="239"/>
        <v>13</v>
      </c>
      <c r="Q182" s="113">
        <f t="shared" si="240"/>
        <v>173</v>
      </c>
      <c r="R182" s="113">
        <f t="shared" si="241"/>
        <v>22</v>
      </c>
      <c r="S182" s="113" t="str">
        <f>IFERROR(VLOOKUP(MID(N182,Q182,R182-Q182),[6]skilldef!$C:$D,2,FALSE),"-") &amp; " / " &amp; IFERROR(VLOOKUP(MID(N182,O182,P182-O182),[6]skilldef!$A:$B,2,FALSE),"-")</f>
        <v>- / 連続攻撃</v>
      </c>
      <c r="T182" s="114" t="str">
        <f t="shared" si="242"/>
        <v>[effect:change_range_block, block_change:1, base_type:0, square_count:5, position01:10,  value_h01:1, value_w01:5, new_block:jammer, target:block_all, ignore01:block_positive, ignore02:jammer, count:4, val:0, animation:change_range_block]</v>
      </c>
      <c r="U182" s="113">
        <f t="shared" si="243"/>
        <v>9</v>
      </c>
      <c r="V182" s="113">
        <f t="shared" si="244"/>
        <v>27</v>
      </c>
      <c r="W182" s="113">
        <f t="shared" si="245"/>
        <v>141</v>
      </c>
      <c r="X182" s="113">
        <f t="shared" si="246"/>
        <v>43</v>
      </c>
      <c r="Y182" s="113" t="str">
        <f>IFERROR(VLOOKUP(MID(T182,W182,X182-W182),[6]skilldef!$C:$D,2,FALSE),"-") &amp; " / " &amp; IFERROR(VLOOKUP(MID(T182,U182,V182-U182),[6]skilldef!$A:$B,2,FALSE),"-")</f>
        <v>- / -</v>
      </c>
      <c r="Z182" s="112"/>
      <c r="AA182" s="115"/>
      <c r="AB182" s="112"/>
    </row>
    <row r="183" spans="1:28" ht="21" customHeight="1" x14ac:dyDescent="0.15">
      <c r="A183" s="138">
        <v>49015182</v>
      </c>
      <c r="B183" s="106" t="s">
        <v>390</v>
      </c>
      <c r="C183" s="50">
        <v>3</v>
      </c>
      <c r="D183" s="107" t="s">
        <v>127</v>
      </c>
      <c r="E183" s="120" t="s">
        <v>338</v>
      </c>
      <c r="F183" s="120" t="s">
        <v>340</v>
      </c>
      <c r="G183" s="108" t="str">
        <f t="shared" si="232"/>
        <v>[effect:enemy_message, val1:1.2, val2:1.2]</v>
      </c>
      <c r="H183" s="108">
        <f t="shared" si="233"/>
        <v>9</v>
      </c>
      <c r="I183" s="108">
        <f t="shared" si="234"/>
        <v>22</v>
      </c>
      <c r="J183" s="108" t="e">
        <f t="shared" si="235"/>
        <v>#VALUE!</v>
      </c>
      <c r="K183" s="108">
        <f t="shared" si="236"/>
        <v>32</v>
      </c>
      <c r="L183" s="108" t="str">
        <f>IFERROR(VLOOKUP(MID(G183,J183,K183-J183),[6]skilldef!$C:$D,2,FALSE),"-") &amp; " / " &amp; IFERROR(VLOOKUP(MID(G183,H183,I183-H183),[6]skilldef!$A:$B,2,FALSE),"-")</f>
        <v>- / -</v>
      </c>
      <c r="M183" s="108" t="str">
        <f t="shared" si="237"/>
        <v>[effect:fix_speed, target:myself, turn:2],[effect:tolerance, target:myself, turn:-1, count:-1, tolerance_effect:all, animation:enemy_tolerance]</v>
      </c>
      <c r="N183" s="109" t="str">
        <f>IFERROR(LEFT(M183,FIND("],",M183)+#REF!),M183)</f>
        <v>[effect:fix_speed, target:myself, turn:2],[effect:tolerance, target:myself, turn:-1, count:-1, tolerance_effect:all, animation:enemy_tolerance]</v>
      </c>
      <c r="O183" s="108">
        <f t="shared" si="238"/>
        <v>9</v>
      </c>
      <c r="P183" s="108">
        <f t="shared" si="239"/>
        <v>18</v>
      </c>
      <c r="Q183" s="108">
        <f t="shared" si="240"/>
        <v>27</v>
      </c>
      <c r="R183" s="108">
        <f t="shared" si="241"/>
        <v>33</v>
      </c>
      <c r="S183" s="108" t="str">
        <f>IFERROR(VLOOKUP(MID(N183,Q183,R183-Q183),[6]skilldef!$C:$D,2,FALSE),"-") &amp; " / " &amp; IFERROR(VLOOKUP(MID(N183,O183,P183-O183),[6]skilldef!$A:$B,2,FALSE),"-")</f>
        <v>自分自身に / 行動値設定</v>
      </c>
      <c r="T183" s="109" t="str">
        <f t="shared" si="242"/>
        <v>[effect:tolerance, target:myself, turn:-1, count:-1, tolerance_effect:all, animation:enemy_tolerance]</v>
      </c>
      <c r="U183" s="108">
        <f t="shared" si="243"/>
        <v>9</v>
      </c>
      <c r="V183" s="108">
        <f t="shared" si="244"/>
        <v>18</v>
      </c>
      <c r="W183" s="108">
        <f t="shared" si="245"/>
        <v>27</v>
      </c>
      <c r="X183" s="108">
        <f t="shared" si="246"/>
        <v>33</v>
      </c>
      <c r="Y183" s="108" t="str">
        <f>IFERROR(VLOOKUP(MID(T183,W183,X183-W183),[6]skilldef!$C:$D,2,FALSE),"-") &amp; " / " &amp; IFERROR(VLOOKUP(MID(T183,U183,V183-U183),[6]skilldef!$A:$B,2,FALSE),"-")</f>
        <v>自分自身に / 状態異常耐性</v>
      </c>
      <c r="Z183" s="107"/>
      <c r="AA183" s="110"/>
      <c r="AB183" s="107"/>
    </row>
    <row r="184" spans="1:28" ht="21" customHeight="1" x14ac:dyDescent="0.15">
      <c r="A184" s="138">
        <v>49015183</v>
      </c>
      <c r="B184" s="47" t="s">
        <v>431</v>
      </c>
      <c r="C184" s="50">
        <v>3</v>
      </c>
      <c r="D184" s="50" t="s">
        <v>127</v>
      </c>
      <c r="E184" s="105" t="s">
        <v>339</v>
      </c>
      <c r="F184" s="105" t="s">
        <v>269</v>
      </c>
      <c r="G184" s="63" t="str">
        <f t="shared" si="232"/>
        <v>[effect:enemy_message, val1:1.2, val2:1.2]</v>
      </c>
      <c r="H184" s="63">
        <f t="shared" si="233"/>
        <v>9</v>
      </c>
      <c r="I184" s="63">
        <f t="shared" si="234"/>
        <v>22</v>
      </c>
      <c r="J184" s="63" t="e">
        <f t="shared" si="235"/>
        <v>#VALUE!</v>
      </c>
      <c r="K184" s="63">
        <f t="shared" si="236"/>
        <v>32</v>
      </c>
      <c r="L184" s="63" t="str">
        <f>IFERROR(VLOOKUP(MID(G184,J184,K184-J184),[6]skilldef!$C:$D,2,FALSE),"-") &amp; " / " &amp; IFERROR(VLOOKUP(MID(G184,H184,I184-H184),[6]skilldef!$A:$B,2,FALSE),"-")</f>
        <v>- / -</v>
      </c>
      <c r="M184" s="63" t="str">
        <f t="shared" si="237"/>
        <v>[effect:spread, val:0.25]</v>
      </c>
      <c r="N184" s="48" t="str">
        <f>IFERROR(LEFT(M184,FIND("],",M184)+S192),M184)</f>
        <v>[effect:spread, val:0.25]</v>
      </c>
      <c r="O184" s="63">
        <f t="shared" si="238"/>
        <v>9</v>
      </c>
      <c r="P184" s="63">
        <f t="shared" si="239"/>
        <v>15</v>
      </c>
      <c r="Q184" s="63" t="e">
        <f t="shared" si="240"/>
        <v>#VALUE!</v>
      </c>
      <c r="R184" s="63" t="e">
        <f t="shared" si="241"/>
        <v>#VALUE!</v>
      </c>
      <c r="S184" s="63" t="str">
        <f>IFERROR(VLOOKUP(MID(N184,Q184,R184-Q184),[6]skilldef!$C:$D,2,FALSE),"-") &amp; " / " &amp; IFERROR(VLOOKUP(MID(N184,O184,P184-O184),[6]skilldef!$A:$B,2,FALSE),"-")</f>
        <v>- / 全体攻撃</v>
      </c>
      <c r="T184" s="48" t="str">
        <f t="shared" si="242"/>
        <v>none</v>
      </c>
      <c r="U184" s="63" t="e">
        <f t="shared" si="243"/>
        <v>#VALUE!</v>
      </c>
      <c r="V184" s="63">
        <f t="shared" si="244"/>
        <v>4</v>
      </c>
      <c r="W184" s="63" t="e">
        <f t="shared" si="245"/>
        <v>#VALUE!</v>
      </c>
      <c r="X184" s="63" t="e">
        <f t="shared" si="246"/>
        <v>#VALUE!</v>
      </c>
      <c r="Y184" s="63" t="str">
        <f>IFERROR(VLOOKUP(MID(T184,W184,X184-W184),[6]skilldef!$C:$D,2,FALSE),"-") &amp; " / " &amp; IFERROR(VLOOKUP(MID(T184,U184,V184-U184),[6]skilldef!$A:$B,2,FALSE),"-")</f>
        <v>- / -</v>
      </c>
      <c r="Z184" s="50"/>
      <c r="AA184" s="51"/>
      <c r="AB184" s="50"/>
    </row>
    <row r="185" spans="1:28" ht="21" customHeight="1" x14ac:dyDescent="0.15">
      <c r="A185" s="138">
        <v>49015184</v>
      </c>
      <c r="B185" s="47" t="s">
        <v>534</v>
      </c>
      <c r="C185" s="50">
        <v>3</v>
      </c>
      <c r="D185" s="50" t="s">
        <v>127</v>
      </c>
      <c r="E185" s="105" t="s">
        <v>336</v>
      </c>
      <c r="F185" s="119" t="s">
        <v>391</v>
      </c>
      <c r="G185" s="63" t="str">
        <f t="shared" si="232"/>
        <v>[effect:enemy_message, val1:1.2, val2:2.3]</v>
      </c>
      <c r="H185" s="63">
        <f t="shared" si="233"/>
        <v>9</v>
      </c>
      <c r="I185" s="63">
        <f t="shared" si="234"/>
        <v>22</v>
      </c>
      <c r="J185" s="63" t="e">
        <f t="shared" si="235"/>
        <v>#VALUE!</v>
      </c>
      <c r="K185" s="63">
        <f t="shared" si="236"/>
        <v>32</v>
      </c>
      <c r="L185" s="63" t="str">
        <f>IFERROR(VLOOKUP(MID(G185,J185,K185-J185),[6]skilldef!$C:$D,2,FALSE),"-") &amp; " / " &amp; IFERROR(VLOOKUP(MID(G185,H185,I185-H185),[6]skilldef!$A:$B,2,FALSE),"-")</f>
        <v>- / -</v>
      </c>
      <c r="M185" s="63" t="str">
        <f t="shared" si="237"/>
        <v>[effect:rush, count:1, val:0.8],[effect:force_change_block, new_block:jammer, target:block_all, ignore01:block_positive, ignore02:jammer, count:3, val:0, animation:change_block]</v>
      </c>
      <c r="N185" s="48" t="str">
        <f>IFERROR(LEFT(M185,FIND("],",M185)+S193),M185)</f>
        <v>[effect:rush, count:1, val:0.8],[effect:force_change_block, new_block:jammer, target:block_all, ignore01:block_positive, ignore02:jammer, count:3, val:0, animation:change_block]</v>
      </c>
      <c r="O185" s="63">
        <f t="shared" si="238"/>
        <v>9</v>
      </c>
      <c r="P185" s="63">
        <f t="shared" si="239"/>
        <v>13</v>
      </c>
      <c r="Q185" s="63">
        <f t="shared" si="240"/>
        <v>86</v>
      </c>
      <c r="R185" s="63">
        <f t="shared" si="241"/>
        <v>22</v>
      </c>
      <c r="S185" s="63" t="str">
        <f>IFERROR(VLOOKUP(MID(N185,Q185,R185-Q185),[6]skilldef!$C:$D,2,FALSE),"-") &amp; " / " &amp; IFERROR(VLOOKUP(MID(N185,O185,P185-O185),[6]skilldef!$A:$B,2,FALSE),"-")</f>
        <v>- / 連続攻撃</v>
      </c>
      <c r="T185" s="48" t="str">
        <f t="shared" si="242"/>
        <v>[effect:force_change_block, new_block:jammer, target:block_all, ignore01:block_positive, ignore02:jammer, count:3, val:0, animation:change_block]</v>
      </c>
      <c r="U185" s="63">
        <f t="shared" si="243"/>
        <v>9</v>
      </c>
      <c r="V185" s="63">
        <f t="shared" si="244"/>
        <v>27</v>
      </c>
      <c r="W185" s="63">
        <f t="shared" si="245"/>
        <v>54</v>
      </c>
      <c r="X185" s="63">
        <f t="shared" si="246"/>
        <v>45</v>
      </c>
      <c r="Y185" s="63" t="str">
        <f>IFERROR(VLOOKUP(MID(T185,W185,X185-W185),[6]skilldef!$C:$D,2,FALSE),"-") &amp; " / " &amp; IFERROR(VLOOKUP(MID(T185,U185,V185-U185),[6]skilldef!$A:$B,2,FALSE),"-")</f>
        <v>- / -</v>
      </c>
      <c r="Z185" s="50"/>
      <c r="AA185" s="51"/>
      <c r="AB185" s="50"/>
    </row>
    <row r="186" spans="1:28" ht="140" x14ac:dyDescent="0.15">
      <c r="A186" s="138">
        <v>49015185</v>
      </c>
      <c r="B186" s="47" t="s">
        <v>536</v>
      </c>
      <c r="C186" s="50">
        <v>3</v>
      </c>
      <c r="D186" s="50" t="s">
        <v>127</v>
      </c>
      <c r="E186" s="119" t="s">
        <v>337</v>
      </c>
      <c r="F186" s="119" t="s">
        <v>441</v>
      </c>
      <c r="G186" s="63" t="str">
        <f t="shared" si="232"/>
        <v>[effect:enemy_message, val1:1.2, val2:2.0]</v>
      </c>
      <c r="H186" s="63">
        <f t="shared" si="233"/>
        <v>9</v>
      </c>
      <c r="I186" s="63">
        <f t="shared" si="234"/>
        <v>22</v>
      </c>
      <c r="J186" s="63" t="e">
        <f t="shared" si="235"/>
        <v>#VALUE!</v>
      </c>
      <c r="K186" s="63">
        <f t="shared" si="236"/>
        <v>32</v>
      </c>
      <c r="L186" s="63" t="str">
        <f>IFERROR(VLOOKUP(MID(G186,J186,K186-J186),[6]skilldef!$C:$D,2,FALSE),"-") &amp; " / " &amp; IFERROR(VLOOKUP(MID(G186,H186,I186-H186),[6]skilldef!$A:$B,2,FALSE),"-")</f>
        <v>- / -</v>
      </c>
      <c r="M186" s="63" t="str">
        <f t="shared" si="237"/>
        <v>[effect:rush, count:1, val:0.8],[effect:change_range_block, block_change:1, base_type:0, square_count:5, position01:2,  value_h01:5, value_w01:1,  new_block:jammer, target:block_all, ignore01:block_positive, ignore02:jammer, count:4, val:0, animation:change_range_block]</v>
      </c>
      <c r="N186" s="48" t="str">
        <f>IFERROR(LEFT(M186,FIND("],",M186)+S194),M186)</f>
        <v>[effect:rush, count:1, val:0.8],[effect:change_range_block, block_change:1, base_type:0, square_count:5, position01:2,  value_h01:5, value_w01:1,  new_block:jammer, target:block_all, ignore01:block_positive, ignore02:jammer, count:4, val:0, animation:change_range_block]</v>
      </c>
      <c r="O186" s="63">
        <f t="shared" si="238"/>
        <v>9</v>
      </c>
      <c r="P186" s="63">
        <f t="shared" si="239"/>
        <v>13</v>
      </c>
      <c r="Q186" s="63">
        <f t="shared" si="240"/>
        <v>173</v>
      </c>
      <c r="R186" s="63">
        <f t="shared" si="241"/>
        <v>22</v>
      </c>
      <c r="S186" s="63" t="str">
        <f>IFERROR(VLOOKUP(MID(N186,Q186,R186-Q186),[6]skilldef!$C:$D,2,FALSE),"-") &amp; " / " &amp; IFERROR(VLOOKUP(MID(N186,O186,P186-O186),[6]skilldef!$A:$B,2,FALSE),"-")</f>
        <v>- / 連続攻撃</v>
      </c>
      <c r="T186" s="48" t="str">
        <f t="shared" si="242"/>
        <v>[effect:change_range_block, block_change:1, base_type:0, square_count:5, position01:2,  value_h01:5, value_w01:1,  new_block:jammer, target:block_all, ignore01:block_positive, ignore02:jammer, count:4, val:0, animation:change_range_block]</v>
      </c>
      <c r="U186" s="63">
        <f t="shared" si="243"/>
        <v>9</v>
      </c>
      <c r="V186" s="63">
        <f t="shared" si="244"/>
        <v>27</v>
      </c>
      <c r="W186" s="63">
        <f t="shared" si="245"/>
        <v>141</v>
      </c>
      <c r="X186" s="63">
        <f t="shared" si="246"/>
        <v>43</v>
      </c>
      <c r="Y186" s="63" t="str">
        <f>IFERROR(VLOOKUP(MID(T186,W186,X186-W186),[6]skilldef!$C:$D,2,FALSE),"-") &amp; " / " &amp; IFERROR(VLOOKUP(MID(T186,U186,V186-U186),[6]skilldef!$A:$B,2,FALSE),"-")</f>
        <v>- / -</v>
      </c>
      <c r="Z186" s="50"/>
      <c r="AA186" s="51"/>
      <c r="AB186" s="50"/>
    </row>
    <row r="187" spans="1:28" ht="57" thickBot="1" x14ac:dyDescent="0.2">
      <c r="A187" s="137">
        <v>49015186</v>
      </c>
      <c r="B187" s="111" t="s">
        <v>499</v>
      </c>
      <c r="C187" s="50">
        <v>3</v>
      </c>
      <c r="D187" s="112" t="s">
        <v>127</v>
      </c>
      <c r="E187" s="117" t="s">
        <v>335</v>
      </c>
      <c r="F187" s="117" t="s">
        <v>497</v>
      </c>
      <c r="G187" s="113" t="str">
        <f t="shared" si="232"/>
        <v>[effect:enemy_message, val1:1.2, val2:1.5]</v>
      </c>
      <c r="H187" s="113">
        <f t="shared" si="233"/>
        <v>9</v>
      </c>
      <c r="I187" s="113">
        <f t="shared" si="234"/>
        <v>22</v>
      </c>
      <c r="J187" s="113" t="e">
        <f t="shared" si="235"/>
        <v>#VALUE!</v>
      </c>
      <c r="K187" s="113">
        <f t="shared" si="236"/>
        <v>32</v>
      </c>
      <c r="L187" s="113" t="str">
        <f>IFERROR(VLOOKUP(MID(G187,J187,K187-J187),[6]skilldef!$C:$D,2,FALSE),"-") &amp; " / " &amp; IFERROR(VLOOKUP(MID(G187,H187,I187-H187),[6]skilldef!$A:$B,2,FALSE),"-")</f>
        <v>- / -</v>
      </c>
      <c r="M187" s="113" t="str">
        <f t="shared" si="237"/>
        <v>[effect:break_attack, target:unit_all, val:0.02, lowest_val:1000, count:-1, color:blue, block01:jammer]</v>
      </c>
      <c r="N187" s="114" t="str">
        <f>IFERROR(LEFT(M187,FIND("],",M187)+S195),M187)</f>
        <v>[effect:break_attack, target:unit_all, val:0.02, lowest_val:1000, count:-1, color:blue, block01:jammer]</v>
      </c>
      <c r="O187" s="113">
        <f t="shared" si="238"/>
        <v>9</v>
      </c>
      <c r="P187" s="113">
        <f t="shared" si="239"/>
        <v>21</v>
      </c>
      <c r="Q187" s="113">
        <f t="shared" si="240"/>
        <v>30</v>
      </c>
      <c r="R187" s="113">
        <f t="shared" si="241"/>
        <v>38</v>
      </c>
      <c r="S187" s="113" t="str">
        <f>IFERROR(VLOOKUP(MID(N187,Q187,R187-Q187),[6]skilldef!$C:$D,2,FALSE),"-") &amp; " / " &amp; IFERROR(VLOOKUP(MID(N187,O187,P187-O187),[6]skilldef!$A:$B,2,FALSE),"-")</f>
        <v>味方全体に / -</v>
      </c>
      <c r="T187" s="114" t="str">
        <f t="shared" si="242"/>
        <v>none</v>
      </c>
      <c r="U187" s="113" t="e">
        <f t="shared" si="243"/>
        <v>#VALUE!</v>
      </c>
      <c r="V187" s="113">
        <f t="shared" si="244"/>
        <v>4</v>
      </c>
      <c r="W187" s="113" t="e">
        <f t="shared" si="245"/>
        <v>#VALUE!</v>
      </c>
      <c r="X187" s="113" t="e">
        <f t="shared" si="246"/>
        <v>#VALUE!</v>
      </c>
      <c r="Y187" s="113" t="str">
        <f>IFERROR(VLOOKUP(MID(T187,W187,X187-W187),[6]skilldef!$C:$D,2,FALSE),"-") &amp; " / " &amp; IFERROR(VLOOKUP(MID(T187,U187,V187-U187),[6]skilldef!$A:$B,2,FALSE),"-")</f>
        <v>- / -</v>
      </c>
      <c r="Z187" s="112"/>
      <c r="AA187" s="115"/>
      <c r="AB187" s="112"/>
    </row>
    <row r="188" spans="1:28" ht="21" customHeight="1" x14ac:dyDescent="0.15">
      <c r="A188" s="138">
        <v>49015187</v>
      </c>
      <c r="B188" s="106" t="s">
        <v>537</v>
      </c>
      <c r="C188" s="50">
        <v>3</v>
      </c>
      <c r="D188" s="107" t="s">
        <v>127</v>
      </c>
      <c r="E188" s="192" t="s">
        <v>427</v>
      </c>
      <c r="F188" s="192" t="s">
        <v>358</v>
      </c>
      <c r="G188" s="108" t="str">
        <f t="shared" si="232"/>
        <v>[effect:enemy_message, val1:1.2, val2:1.2]</v>
      </c>
      <c r="H188" s="108">
        <f t="shared" si="233"/>
        <v>9</v>
      </c>
      <c r="I188" s="108">
        <f t="shared" si="234"/>
        <v>22</v>
      </c>
      <c r="J188" s="108" t="e">
        <f t="shared" si="235"/>
        <v>#VALUE!</v>
      </c>
      <c r="K188" s="108">
        <f t="shared" si="236"/>
        <v>32</v>
      </c>
      <c r="L188" s="108" t="str">
        <f>IFERROR(VLOOKUP(MID(G188,J188,K188-J188),[6]skilldef!$C:$D,2,FALSE),"-") &amp; " / " &amp; IFERROR(VLOOKUP(MID(G188,H188,I188-H188),[6]skilldef!$A:$B,2,FALSE),"-")</f>
        <v>- / -</v>
      </c>
      <c r="M188" s="108" t="str">
        <f t="shared" si="237"/>
        <v>[effect:fix_speed, target:myself, turn:1],[effect:tolerance, target:myself, turn:-1, count:-1, tolerance_effect:all, animation:enemy_tolerance],[effect:change_range_block, block_change:1, base_type:0, square_count:7, position01:1, position02:3, position03:5, value_h01:7.0, value_h02:7.0, value_h03:7.0, value_w01:1.0, value_w02:1.0, value_w03:1.0, new_block:jammer, target:block_all, ignore01:block_positive, ignore02:jammer, count:0, val:0, animation:change_range_block]</v>
      </c>
      <c r="N188" s="109" t="str">
        <f>IFERROR(LEFT(M188,FIND("],",M188)+S197),M188)</f>
        <v>[effect:fix_speed, target:myself, turn:1],[effect:tolerance, target:myself, turn:-1, count:-1, tolerance_effect:all, animation:enemy_tolerance],[effect:change_range_block, block_change:1, base_type:0, square_count:7, position01:1, position02:3, position03:5, value_h01:7.0, value_h02:7.0, value_h03:7.0, value_w01:1.0, value_w02:1.0, value_w03:1.0, new_block:jammer, target:block_all, ignore01:block_positive, ignore02:jammer, count:0, val:0, animation:change_range_block]</v>
      </c>
      <c r="O188" s="108">
        <f t="shared" si="238"/>
        <v>9</v>
      </c>
      <c r="P188" s="108">
        <f t="shared" si="239"/>
        <v>18</v>
      </c>
      <c r="Q188" s="108">
        <f t="shared" si="240"/>
        <v>27</v>
      </c>
      <c r="R188" s="108">
        <f t="shared" si="241"/>
        <v>33</v>
      </c>
      <c r="S188" s="108" t="str">
        <f>IFERROR(VLOOKUP(MID(N188,Q188,R188-Q188),[6]skilldef!$C:$D,2,FALSE),"-") &amp; " / " &amp; IFERROR(VLOOKUP(MID(N188,O188,P188-O188),[6]skilldef!$A:$B,2,FALSE),"-")</f>
        <v>自分自身に / 行動値設定</v>
      </c>
      <c r="T188" s="109" t="str">
        <f t="shared" si="242"/>
        <v>[effect:tolerance, target:myself, turn:-1, count:-1, tolerance_effect:all, animation:enemy_tolerance],[effect:change_range_block, block_change:1, base_type:0, square_count:7, position01:1, position02:3, position03:5, value_h01:7.0, value_h02:7.0, value_h03:7.0, value_w01:1.0, value_w02:1.0, value_w03:1.0, new_block:jammer, target:block_all, ignore01:block_positive, ignore02:jammer, count:0, val:0, animation:change_range_block]</v>
      </c>
      <c r="U188" s="108">
        <f t="shared" si="243"/>
        <v>9</v>
      </c>
      <c r="V188" s="108">
        <f t="shared" si="244"/>
        <v>18</v>
      </c>
      <c r="W188" s="108">
        <f t="shared" si="245"/>
        <v>27</v>
      </c>
      <c r="X188" s="108">
        <f t="shared" si="246"/>
        <v>33</v>
      </c>
      <c r="Y188" s="108" t="str">
        <f>IFERROR(VLOOKUP(MID(T188,W188,X188-W188),[6]skilldef!$C:$D,2,FALSE),"-") &amp; " / " &amp; IFERROR(VLOOKUP(MID(T188,U188,V188-U188),[6]skilldef!$A:$B,2,FALSE),"-")</f>
        <v>自分自身に / 状態異常耐性</v>
      </c>
      <c r="Z188" s="107"/>
      <c r="AA188" s="110"/>
      <c r="AB188" s="107"/>
    </row>
    <row r="189" spans="1:28" ht="21" customHeight="1" x14ac:dyDescent="0.15">
      <c r="A189" s="138">
        <v>49015188</v>
      </c>
      <c r="B189" s="47" t="s">
        <v>538</v>
      </c>
      <c r="C189" s="50">
        <v>3</v>
      </c>
      <c r="D189" s="50" t="s">
        <v>127</v>
      </c>
      <c r="E189" s="105" t="s">
        <v>337</v>
      </c>
      <c r="F189" s="119" t="s">
        <v>442</v>
      </c>
      <c r="G189" s="63" t="str">
        <f t="shared" si="232"/>
        <v>[effect:enemy_message, val1:1.2, val2:2.0]</v>
      </c>
      <c r="H189" s="63">
        <f t="shared" si="233"/>
        <v>9</v>
      </c>
      <c r="I189" s="63">
        <f t="shared" si="234"/>
        <v>22</v>
      </c>
      <c r="J189" s="63" t="e">
        <f t="shared" si="235"/>
        <v>#VALUE!</v>
      </c>
      <c r="K189" s="63">
        <f t="shared" si="236"/>
        <v>32</v>
      </c>
      <c r="L189" s="63" t="str">
        <f>IFERROR(VLOOKUP(MID(G189,J189,K189-J189),[6]skilldef!$C:$D,2,FALSE),"-") &amp; " / " &amp; IFERROR(VLOOKUP(MID(G189,H189,I189-H189),[6]skilldef!$A:$B,2,FALSE),"-")</f>
        <v>- / -</v>
      </c>
      <c r="M189" s="63" t="str">
        <f t="shared" si="237"/>
        <v>[effect:spread, val:0.25],[effect:change_range_block, block_change:1, base_type:1, square_count:5, position01:12, value_rad01:3.0, value_h01:1.0, value_w01:1.0, new_block:jammer, target:block_all, ignore01:block_positive, ignore02:jammer, count:3, val:0, animation:change_range_block]</v>
      </c>
      <c r="N189" s="48" t="str">
        <f>IFERROR(LEFT(M189,FIND("],",M189)+S198),M189)</f>
        <v>[effect:spread, val:0.25],[effect:change_range_block, block_change:1, base_type:1, square_count:5, position01:12, value_rad01:3.0, value_h01:1.0, value_w01:1.0, new_block:jammer, target:block_all, ignore01:block_positive, ignore02:jammer, count:3, val:0, animation:change_range_block]</v>
      </c>
      <c r="O189" s="63">
        <f t="shared" si="238"/>
        <v>9</v>
      </c>
      <c r="P189" s="63">
        <f t="shared" si="239"/>
        <v>15</v>
      </c>
      <c r="Q189" s="63">
        <f t="shared" si="240"/>
        <v>187</v>
      </c>
      <c r="R189" s="63">
        <f t="shared" si="241"/>
        <v>26</v>
      </c>
      <c r="S189" s="63" t="str">
        <f>IFERROR(VLOOKUP(MID(N189,Q189,R189-Q189),[6]skilldef!$C:$D,2,FALSE),"-") &amp; " / " &amp; IFERROR(VLOOKUP(MID(N189,O189,P189-O189),[6]skilldef!$A:$B,2,FALSE),"-")</f>
        <v>- / 全体攻撃</v>
      </c>
      <c r="T189" s="48" t="str">
        <f t="shared" si="242"/>
        <v>[effect:change_range_block, block_change:1, base_type:1, square_count:5, position01:12, value_rad01:3.0, value_h01:1.0, value_w01:1.0, new_block:jammer, target:block_all, ignore01:block_positive, ignore02:jammer, count:3, val:0, animation:change_range_block]</v>
      </c>
      <c r="U189" s="63">
        <f t="shared" si="243"/>
        <v>9</v>
      </c>
      <c r="V189" s="63">
        <f t="shared" si="244"/>
        <v>27</v>
      </c>
      <c r="W189" s="63">
        <f t="shared" si="245"/>
        <v>161</v>
      </c>
      <c r="X189" s="63">
        <f t="shared" si="246"/>
        <v>43</v>
      </c>
      <c r="Y189" s="63" t="str">
        <f>IFERROR(VLOOKUP(MID(T189,W189,X189-W189),[6]skilldef!$C:$D,2,FALSE),"-") &amp; " / " &amp; IFERROR(VLOOKUP(MID(T189,U189,V189-U189),[6]skilldef!$A:$B,2,FALSE),"-")</f>
        <v>- / -</v>
      </c>
      <c r="Z189" s="50"/>
      <c r="AA189" s="51"/>
      <c r="AB189" s="50"/>
    </row>
    <row r="190" spans="1:28" ht="56" x14ac:dyDescent="0.15">
      <c r="A190" s="138">
        <v>49015189</v>
      </c>
      <c r="B190" s="47" t="s">
        <v>496</v>
      </c>
      <c r="C190" s="50">
        <v>3</v>
      </c>
      <c r="D190" s="50" t="s">
        <v>127</v>
      </c>
      <c r="E190" s="105" t="s">
        <v>335</v>
      </c>
      <c r="F190" s="105" t="s">
        <v>497</v>
      </c>
      <c r="G190" s="63" t="str">
        <f t="shared" si="232"/>
        <v>[effect:enemy_message, val1:1.2, val2:1.5]</v>
      </c>
      <c r="H190" s="63">
        <f t="shared" si="233"/>
        <v>9</v>
      </c>
      <c r="I190" s="63">
        <f t="shared" si="234"/>
        <v>22</v>
      </c>
      <c r="J190" s="63" t="e">
        <f t="shared" si="235"/>
        <v>#VALUE!</v>
      </c>
      <c r="K190" s="63">
        <f t="shared" si="236"/>
        <v>32</v>
      </c>
      <c r="L190" s="63" t="str">
        <f>IFERROR(VLOOKUP(MID(G190,J190,K190-J190),[6]skilldef!$C:$D,2,FALSE),"-") &amp; " / " &amp; IFERROR(VLOOKUP(MID(G190,H190,I190-H190),[6]skilldef!$A:$B,2,FALSE),"-")</f>
        <v>- / -</v>
      </c>
      <c r="M190" s="63" t="str">
        <f t="shared" si="237"/>
        <v>[effect:break_attack, target:unit_all, val:0.02, lowest_val:1200, count:-1, color:blue, block01:jammer]</v>
      </c>
      <c r="N190" s="48" t="str">
        <f>IFERROR(LEFT(M190,FIND("],",M190)+S199),M190)</f>
        <v>[effect:break_attack, target:unit_all, val:0.02, lowest_val:1200, count:-1, color:blue, block01:jammer]</v>
      </c>
      <c r="O190" s="63">
        <f t="shared" si="238"/>
        <v>9</v>
      </c>
      <c r="P190" s="63">
        <f t="shared" si="239"/>
        <v>21</v>
      </c>
      <c r="Q190" s="63">
        <f t="shared" si="240"/>
        <v>30</v>
      </c>
      <c r="R190" s="63">
        <f t="shared" si="241"/>
        <v>38</v>
      </c>
      <c r="S190" s="63" t="str">
        <f>IFERROR(VLOOKUP(MID(N190,Q190,R190-Q190),[6]skilldef!$C:$D,2,FALSE),"-") &amp; " / " &amp; IFERROR(VLOOKUP(MID(N190,O190,P190-O190),[6]skilldef!$A:$B,2,FALSE),"-")</f>
        <v>味方全体に / -</v>
      </c>
      <c r="T190" s="48" t="str">
        <f t="shared" si="242"/>
        <v>none</v>
      </c>
      <c r="U190" s="63" t="e">
        <f t="shared" si="243"/>
        <v>#VALUE!</v>
      </c>
      <c r="V190" s="63">
        <f t="shared" si="244"/>
        <v>4</v>
      </c>
      <c r="W190" s="63" t="e">
        <f t="shared" si="245"/>
        <v>#VALUE!</v>
      </c>
      <c r="X190" s="63" t="e">
        <f t="shared" si="246"/>
        <v>#VALUE!</v>
      </c>
      <c r="Y190" s="63" t="str">
        <f>IFERROR(VLOOKUP(MID(T190,W190,X190-W190),[6]skilldef!$C:$D,2,FALSE),"-") &amp; " / " &amp; IFERROR(VLOOKUP(MID(T190,U190,V190-U190),[6]skilldef!$A:$B,2,FALSE),"-")</f>
        <v>- / -</v>
      </c>
      <c r="Z190" s="50"/>
      <c r="AA190" s="51"/>
      <c r="AB190" s="50"/>
    </row>
    <row r="191" spans="1:28" ht="112" x14ac:dyDescent="0.15">
      <c r="A191" s="138">
        <v>49015190</v>
      </c>
      <c r="B191" s="106" t="s">
        <v>605</v>
      </c>
      <c r="C191" s="50">
        <v>3</v>
      </c>
      <c r="D191" s="50" t="s">
        <v>127</v>
      </c>
      <c r="E191" s="105" t="s">
        <v>341</v>
      </c>
      <c r="F191" s="119" t="s">
        <v>604</v>
      </c>
      <c r="G191" s="63" t="str">
        <f t="shared" si="232"/>
        <v>[effect:enemy_message, val1:1.2, val2:3.2]</v>
      </c>
      <c r="H191" s="63">
        <f t="shared" si="233"/>
        <v>9</v>
      </c>
      <c r="I191" s="63">
        <f t="shared" si="234"/>
        <v>22</v>
      </c>
      <c r="J191" s="63" t="e">
        <f t="shared" si="235"/>
        <v>#VALUE!</v>
      </c>
      <c r="K191" s="63">
        <f t="shared" si="236"/>
        <v>32</v>
      </c>
      <c r="L191" s="63" t="str">
        <f>IFERROR(VLOOKUP(MID(G191,J191,K191-J191),[6]skilldef!$C:$D,2,FALSE),"-") &amp; " / " &amp; IFERROR(VLOOKUP(MID(G191,H191,I191-H191),[6]skilldef!$A:$B,2,FALSE),"-")</f>
        <v>- / -</v>
      </c>
      <c r="M191" s="63" t="str">
        <f t="shared" si="237"/>
        <v>[effect:damage_gravity, val:0.25, animation:fevergauge_down],[effect:force_change_block, new_block:jammer, target:block_all, ignore01:block_positive, ignore02:jammer, count:2, val:0, animation:change_block]</v>
      </c>
      <c r="N191" s="48" t="str">
        <f>IFERROR(LEFT(M191,FIND("],",M191)+S200),M191)</f>
        <v>[effect:damage_gravity, val:0.25, animation:fevergauge_down],[effect:force_change_block, new_block:jammer, target:block_all, ignore01:block_positive, ignore02:jammer, count:2, val:0, animation:change_block]</v>
      </c>
      <c r="O191" s="63">
        <f t="shared" si="238"/>
        <v>9</v>
      </c>
      <c r="P191" s="63">
        <f t="shared" si="239"/>
        <v>23</v>
      </c>
      <c r="Q191" s="63">
        <f t="shared" si="240"/>
        <v>115</v>
      </c>
      <c r="R191" s="63">
        <f t="shared" si="241"/>
        <v>33</v>
      </c>
      <c r="S191" s="63" t="str">
        <f>IFERROR(VLOOKUP(MID(N191,Q191,R191-Q191),[6]skilldef!$C:$D,2,FALSE),"-") &amp; " / " &amp; IFERROR(VLOOKUP(MID(N191,O191,P191-O191),[6]skilldef!$A:$B,2,FALSE),"-")</f>
        <v>- / 割合ダメージ</v>
      </c>
      <c r="T191" s="48" t="str">
        <f t="shared" si="242"/>
        <v>[effect:force_change_block, new_block:jammer, target:block_all, ignore01:block_positive, ignore02:jammer, count:2, val:0, animation:change_block]</v>
      </c>
      <c r="U191" s="63">
        <f t="shared" si="243"/>
        <v>9</v>
      </c>
      <c r="V191" s="63">
        <f t="shared" si="244"/>
        <v>27</v>
      </c>
      <c r="W191" s="63">
        <f t="shared" si="245"/>
        <v>54</v>
      </c>
      <c r="X191" s="63">
        <f t="shared" si="246"/>
        <v>45</v>
      </c>
      <c r="Y191" s="63" t="str">
        <f>IFERROR(VLOOKUP(MID(T191,W191,X191-W191),[6]skilldef!$C:$D,2,FALSE),"-") &amp; " / " &amp; IFERROR(VLOOKUP(MID(T191,U191,V191-U191),[6]skilldef!$A:$B,2,FALSE),"-")</f>
        <v>- / -</v>
      </c>
      <c r="Z191" s="50"/>
      <c r="AA191" s="51"/>
      <c r="AB191" s="50"/>
    </row>
    <row r="192" spans="1:28" ht="14" x14ac:dyDescent="0.15">
      <c r="A192" s="138">
        <v>49015191</v>
      </c>
      <c r="B192" s="106" t="s">
        <v>392</v>
      </c>
      <c r="C192" s="50">
        <v>3</v>
      </c>
      <c r="D192" s="50" t="s">
        <v>127</v>
      </c>
      <c r="E192" s="119" t="s">
        <v>342</v>
      </c>
      <c r="F192" s="105" t="s">
        <v>343</v>
      </c>
      <c r="G192" s="63" t="str">
        <f t="shared" si="232"/>
        <v>[effect:enemy_message, val1:1.7, val2:1.7, dead_type:escape]</v>
      </c>
      <c r="H192" s="63">
        <f t="shared" si="233"/>
        <v>9</v>
      </c>
      <c r="I192" s="63">
        <f t="shared" si="234"/>
        <v>22</v>
      </c>
      <c r="J192" s="63" t="e">
        <f t="shared" si="235"/>
        <v>#VALUE!</v>
      </c>
      <c r="K192" s="63">
        <f t="shared" si="236"/>
        <v>32</v>
      </c>
      <c r="L192" s="63" t="str">
        <f>IFERROR(VLOOKUP(MID(G192,J192,K192-J192),[6]skilldef!$C:$D,2,FALSE),"-") &amp; " / " &amp; IFERROR(VLOOKUP(MID(G192,H192,I192-H192),[6]skilldef!$A:$B,2,FALSE),"-")</f>
        <v>- / -</v>
      </c>
      <c r="M192" s="63" t="str">
        <f t="shared" si="237"/>
        <v>none</v>
      </c>
      <c r="N192" s="48" t="str">
        <f t="shared" ref="N192:N227" si="248">IFERROR(LEFT(M192,FIND("],",M192)+S202),M192)</f>
        <v>none</v>
      </c>
      <c r="O192" s="63" t="e">
        <f t="shared" si="238"/>
        <v>#VALUE!</v>
      </c>
      <c r="P192" s="63">
        <f t="shared" si="239"/>
        <v>4</v>
      </c>
      <c r="Q192" s="63" t="e">
        <f t="shared" si="240"/>
        <v>#VALUE!</v>
      </c>
      <c r="R192" s="63" t="e">
        <f t="shared" si="241"/>
        <v>#VALUE!</v>
      </c>
      <c r="S192" s="63" t="str">
        <f>IFERROR(VLOOKUP(MID(N192,Q192,R192-Q192),[6]skilldef!$C:$D,2,FALSE),"-") &amp; " / " &amp; IFERROR(VLOOKUP(MID(N192,O192,P192-O192),[6]skilldef!$A:$B,2,FALSE),"-")</f>
        <v>- / -</v>
      </c>
      <c r="T192" s="48" t="str">
        <f t="shared" si="242"/>
        <v>none</v>
      </c>
      <c r="U192" s="63" t="e">
        <f t="shared" si="243"/>
        <v>#VALUE!</v>
      </c>
      <c r="V192" s="63">
        <f t="shared" si="244"/>
        <v>4</v>
      </c>
      <c r="W192" s="63" t="e">
        <f t="shared" si="245"/>
        <v>#VALUE!</v>
      </c>
      <c r="X192" s="63" t="e">
        <f t="shared" si="246"/>
        <v>#VALUE!</v>
      </c>
      <c r="Y192" s="63" t="str">
        <f>IFERROR(VLOOKUP(MID(T192,W192,X192-W192),[6]skilldef!$C:$D,2,FALSE),"-") &amp; " / " &amp; IFERROR(VLOOKUP(MID(T192,U192,V192-U192),[6]skilldef!$A:$B,2,FALSE),"-")</f>
        <v>- / -</v>
      </c>
      <c r="Z192" s="50"/>
      <c r="AA192" s="51"/>
      <c r="AB192" s="50"/>
    </row>
    <row r="193" spans="1:28" ht="14" x14ac:dyDescent="0.15">
      <c r="A193" s="138">
        <v>49015192</v>
      </c>
      <c r="B193" s="106" t="s">
        <v>392</v>
      </c>
      <c r="C193" s="50">
        <v>3</v>
      </c>
      <c r="D193" s="50" t="s">
        <v>127</v>
      </c>
      <c r="E193" s="119" t="s">
        <v>344</v>
      </c>
      <c r="F193" s="105" t="s">
        <v>345</v>
      </c>
      <c r="G193" s="63" t="str">
        <f t="shared" si="232"/>
        <v>[effect:enemy_message, val1:1.7, val2:1.7, dead_type:escape]</v>
      </c>
      <c r="H193" s="63">
        <f t="shared" si="233"/>
        <v>9</v>
      </c>
      <c r="I193" s="63">
        <f t="shared" si="234"/>
        <v>22</v>
      </c>
      <c r="J193" s="63" t="e">
        <f t="shared" si="235"/>
        <v>#VALUE!</v>
      </c>
      <c r="K193" s="63">
        <f t="shared" si="236"/>
        <v>32</v>
      </c>
      <c r="L193" s="63" t="str">
        <f>IFERROR(VLOOKUP(MID(G193,J193,K193-J193),[6]skilldef!$C:$D,2,FALSE),"-") &amp; " / " &amp; IFERROR(VLOOKUP(MID(G193,H193,I193-H193),[6]skilldef!$A:$B,2,FALSE),"-")</f>
        <v>- / -</v>
      </c>
      <c r="M193" s="63" t="str">
        <f t="shared" si="237"/>
        <v>none</v>
      </c>
      <c r="N193" s="48" t="str">
        <f t="shared" si="248"/>
        <v>none</v>
      </c>
      <c r="O193" s="63" t="e">
        <f t="shared" si="238"/>
        <v>#VALUE!</v>
      </c>
      <c r="P193" s="63">
        <f t="shared" si="239"/>
        <v>4</v>
      </c>
      <c r="Q193" s="63" t="e">
        <f t="shared" si="240"/>
        <v>#VALUE!</v>
      </c>
      <c r="R193" s="63" t="e">
        <f t="shared" si="241"/>
        <v>#VALUE!</v>
      </c>
      <c r="S193" s="63" t="str">
        <f>IFERROR(VLOOKUP(MID(N193,Q193,R193-Q193),[6]skilldef!$C:$D,2,FALSE),"-") &amp; " / " &amp; IFERROR(VLOOKUP(MID(N193,O193,P193-O193),[6]skilldef!$A:$B,2,FALSE),"-")</f>
        <v>- / -</v>
      </c>
      <c r="T193" s="48" t="str">
        <f t="shared" si="242"/>
        <v>none</v>
      </c>
      <c r="U193" s="63" t="e">
        <f t="shared" si="243"/>
        <v>#VALUE!</v>
      </c>
      <c r="V193" s="63">
        <f t="shared" si="244"/>
        <v>4</v>
      </c>
      <c r="W193" s="63" t="e">
        <f t="shared" si="245"/>
        <v>#VALUE!</v>
      </c>
      <c r="X193" s="63" t="e">
        <f t="shared" si="246"/>
        <v>#VALUE!</v>
      </c>
      <c r="Y193" s="63" t="str">
        <f>IFERROR(VLOOKUP(MID(T193,W193,X193-W193),[6]skilldef!$C:$D,2,FALSE),"-") &amp; " / " &amp; IFERROR(VLOOKUP(MID(T193,U193,V193-U193),[6]skilldef!$A:$B,2,FALSE),"-")</f>
        <v>- / -</v>
      </c>
      <c r="Z193" s="50"/>
      <c r="AA193" s="51"/>
      <c r="AB193" s="50"/>
    </row>
    <row r="194" spans="1:28" ht="21" customHeight="1" x14ac:dyDescent="0.15">
      <c r="A194" s="138">
        <v>49015193</v>
      </c>
      <c r="B194" s="106" t="s">
        <v>392</v>
      </c>
      <c r="C194" s="50">
        <v>3</v>
      </c>
      <c r="D194" s="50" t="s">
        <v>127</v>
      </c>
      <c r="E194" s="105" t="s">
        <v>346</v>
      </c>
      <c r="F194" s="118" t="s">
        <v>393</v>
      </c>
      <c r="G194" s="63" t="str">
        <f t="shared" si="232"/>
        <v>[effect:enemy_message, val1:1.7, val2:1.7, dead_type:escape]</v>
      </c>
      <c r="H194" s="63">
        <f t="shared" si="233"/>
        <v>9</v>
      </c>
      <c r="I194" s="63">
        <f t="shared" si="234"/>
        <v>22</v>
      </c>
      <c r="J194" s="63" t="e">
        <f t="shared" si="235"/>
        <v>#VALUE!</v>
      </c>
      <c r="K194" s="63">
        <f t="shared" si="236"/>
        <v>32</v>
      </c>
      <c r="L194" s="63" t="str">
        <f>IFERROR(VLOOKUP(MID(G194,J194,K194-J194),[6]skilldef!$C:$D,2,FALSE),"-") &amp; " / " &amp; IFERROR(VLOOKUP(MID(G194,H194,I194-H194),[6]skilldef!$A:$B,2,FALSE),"-")</f>
        <v>- / -</v>
      </c>
      <c r="M194" s="63" t="str">
        <f t="shared" si="237"/>
        <v>none</v>
      </c>
      <c r="N194" s="48" t="str">
        <f t="shared" si="248"/>
        <v>none</v>
      </c>
      <c r="O194" s="63" t="e">
        <f t="shared" si="238"/>
        <v>#VALUE!</v>
      </c>
      <c r="P194" s="63">
        <f t="shared" si="239"/>
        <v>4</v>
      </c>
      <c r="Q194" s="63" t="e">
        <f t="shared" si="240"/>
        <v>#VALUE!</v>
      </c>
      <c r="R194" s="63" t="e">
        <f t="shared" si="241"/>
        <v>#VALUE!</v>
      </c>
      <c r="S194" s="63" t="str">
        <f>IFERROR(VLOOKUP(MID(N194,Q194,R194-Q194),[6]skilldef!$C:$D,2,FALSE),"-") &amp; " / " &amp; IFERROR(VLOOKUP(MID(N194,O194,P194-O194),[6]skilldef!$A:$B,2,FALSE),"-")</f>
        <v>- / -</v>
      </c>
      <c r="T194" s="48" t="str">
        <f t="shared" si="242"/>
        <v>none</v>
      </c>
      <c r="U194" s="63" t="e">
        <f t="shared" si="243"/>
        <v>#VALUE!</v>
      </c>
      <c r="V194" s="63">
        <f t="shared" si="244"/>
        <v>4</v>
      </c>
      <c r="W194" s="63" t="e">
        <f t="shared" si="245"/>
        <v>#VALUE!</v>
      </c>
      <c r="X194" s="63" t="e">
        <f t="shared" si="246"/>
        <v>#VALUE!</v>
      </c>
      <c r="Y194" s="63" t="str">
        <f>IFERROR(VLOOKUP(MID(T194,W194,X194-W194),[6]skilldef!$C:$D,2,FALSE),"-") &amp; " / " &amp; IFERROR(VLOOKUP(MID(T194,U194,V194-U194),[6]skilldef!$A:$B,2,FALSE),"-")</f>
        <v>- / -</v>
      </c>
      <c r="Z194" s="50"/>
      <c r="AA194" s="51"/>
      <c r="AB194" s="50"/>
    </row>
    <row r="195" spans="1:28" ht="14" x14ac:dyDescent="0.15">
      <c r="A195" s="138">
        <v>49015194</v>
      </c>
      <c r="B195" s="106" t="s">
        <v>392</v>
      </c>
      <c r="C195" s="50">
        <v>3</v>
      </c>
      <c r="D195" s="50" t="s">
        <v>127</v>
      </c>
      <c r="E195" s="119" t="s">
        <v>575</v>
      </c>
      <c r="F195" s="105" t="s">
        <v>576</v>
      </c>
      <c r="G195" s="63" t="str">
        <f t="shared" si="232"/>
        <v>[effect:enemy_message, val1:1.7, val2:1.7, dead_type:escape]</v>
      </c>
      <c r="H195" s="63">
        <f t="shared" si="233"/>
        <v>9</v>
      </c>
      <c r="I195" s="63">
        <f t="shared" si="234"/>
        <v>22</v>
      </c>
      <c r="J195" s="63" t="e">
        <f t="shared" si="235"/>
        <v>#VALUE!</v>
      </c>
      <c r="K195" s="63">
        <f t="shared" si="236"/>
        <v>32</v>
      </c>
      <c r="L195" s="63" t="str">
        <f>IFERROR(VLOOKUP(MID(G195,J195,K195-J195),[6]skilldef!$C:$D,2,FALSE),"-") &amp; " / " &amp; IFERROR(VLOOKUP(MID(G195,H195,I195-H195),[6]skilldef!$A:$B,2,FALSE),"-")</f>
        <v>- / -</v>
      </c>
      <c r="M195" s="63" t="str">
        <f t="shared" si="237"/>
        <v>none</v>
      </c>
      <c r="N195" s="48" t="str">
        <f t="shared" si="248"/>
        <v>none</v>
      </c>
      <c r="O195" s="63" t="e">
        <f t="shared" si="238"/>
        <v>#VALUE!</v>
      </c>
      <c r="P195" s="63">
        <f t="shared" si="239"/>
        <v>4</v>
      </c>
      <c r="Q195" s="63" t="e">
        <f t="shared" si="240"/>
        <v>#VALUE!</v>
      </c>
      <c r="R195" s="63" t="e">
        <f t="shared" si="241"/>
        <v>#VALUE!</v>
      </c>
      <c r="S195" s="63" t="str">
        <f>IFERROR(VLOOKUP(MID(N195,Q195,R195-Q195),[6]skilldef!$C:$D,2,FALSE),"-") &amp; " / " &amp; IFERROR(VLOOKUP(MID(N195,O195,P195-O195),[6]skilldef!$A:$B,2,FALSE),"-")</f>
        <v>- / -</v>
      </c>
      <c r="T195" s="48" t="str">
        <f t="shared" si="242"/>
        <v>none</v>
      </c>
      <c r="U195" s="63" t="e">
        <f t="shared" si="243"/>
        <v>#VALUE!</v>
      </c>
      <c r="V195" s="63">
        <f t="shared" si="244"/>
        <v>4</v>
      </c>
      <c r="W195" s="63" t="e">
        <f t="shared" si="245"/>
        <v>#VALUE!</v>
      </c>
      <c r="X195" s="63" t="e">
        <f t="shared" si="246"/>
        <v>#VALUE!</v>
      </c>
      <c r="Y195" s="63" t="str">
        <f>IFERROR(VLOOKUP(MID(T195,W195,X195-W195),[6]skilldef!$C:$D,2,FALSE),"-") &amp; " / " &amp; IFERROR(VLOOKUP(MID(T195,U195,V195-U195),[6]skilldef!$A:$B,2,FALSE),"-")</f>
        <v>- / -</v>
      </c>
      <c r="Z195" s="50"/>
      <c r="AA195" s="51"/>
      <c r="AB195" s="50"/>
    </row>
    <row r="196" spans="1:28" ht="21" customHeight="1" x14ac:dyDescent="0.15">
      <c r="A196" s="138">
        <v>49015195</v>
      </c>
      <c r="B196" s="106" t="s">
        <v>395</v>
      </c>
      <c r="C196" s="50">
        <v>3</v>
      </c>
      <c r="D196" s="50" t="s">
        <v>127</v>
      </c>
      <c r="E196" s="105" t="s">
        <v>394</v>
      </c>
      <c r="F196" s="105" t="s">
        <v>347</v>
      </c>
      <c r="G196" s="63" t="str">
        <f t="shared" si="232"/>
        <v>[effect:enemy_message, val1:1.7, val2:2.1, dead_type:escape]</v>
      </c>
      <c r="H196" s="63">
        <f t="shared" si="233"/>
        <v>9</v>
      </c>
      <c r="I196" s="63">
        <f t="shared" si="234"/>
        <v>22</v>
      </c>
      <c r="J196" s="63" t="e">
        <f t="shared" si="235"/>
        <v>#VALUE!</v>
      </c>
      <c r="K196" s="63">
        <f t="shared" si="236"/>
        <v>32</v>
      </c>
      <c r="L196" s="63" t="str">
        <f>IFERROR(VLOOKUP(MID(G196,J196,K196-J196),[6]skilldef!$C:$D,2,FALSE),"-") &amp; " / " &amp; IFERROR(VLOOKUP(MID(G196,H196,I196-H196),[6]skilldef!$A:$B,2,FALSE),"-")</f>
        <v>- / -</v>
      </c>
      <c r="M196" s="63" t="str">
        <f t="shared" si="237"/>
        <v>none</v>
      </c>
      <c r="N196" s="48" t="str">
        <f t="shared" si="248"/>
        <v>none</v>
      </c>
      <c r="O196" s="63" t="e">
        <f t="shared" si="238"/>
        <v>#VALUE!</v>
      </c>
      <c r="P196" s="63">
        <f t="shared" si="239"/>
        <v>4</v>
      </c>
      <c r="Q196" s="63" t="e">
        <f t="shared" si="240"/>
        <v>#VALUE!</v>
      </c>
      <c r="R196" s="63" t="e">
        <f t="shared" si="241"/>
        <v>#VALUE!</v>
      </c>
      <c r="S196" s="63" t="str">
        <f>IFERROR(VLOOKUP(MID(N196,Q196,R196-Q196),[6]skilldef!$C:$D,2,FALSE),"-") &amp; " / " &amp; IFERROR(VLOOKUP(MID(N196,O196,P196-O196),[6]skilldef!$A:$B,2,FALSE),"-")</f>
        <v>- / -</v>
      </c>
      <c r="T196" s="48" t="str">
        <f t="shared" si="242"/>
        <v>none</v>
      </c>
      <c r="U196" s="63" t="e">
        <f t="shared" si="243"/>
        <v>#VALUE!</v>
      </c>
      <c r="V196" s="63">
        <f t="shared" si="244"/>
        <v>4</v>
      </c>
      <c r="W196" s="63" t="e">
        <f t="shared" si="245"/>
        <v>#VALUE!</v>
      </c>
      <c r="X196" s="63" t="e">
        <f t="shared" si="246"/>
        <v>#VALUE!</v>
      </c>
      <c r="Y196" s="63" t="str">
        <f>IFERROR(VLOOKUP(MID(T196,W196,X196-W196),[6]skilldef!$C:$D,2,FALSE),"-") &amp; " / " &amp; IFERROR(VLOOKUP(MID(T196,U196,V196-U196),[6]skilldef!$A:$B,2,FALSE),"-")</f>
        <v>- / -</v>
      </c>
      <c r="Z196" s="50"/>
      <c r="AA196" s="51"/>
      <c r="AB196" s="50"/>
    </row>
    <row r="197" spans="1:28" ht="21" customHeight="1" x14ac:dyDescent="0.15">
      <c r="A197" s="138">
        <v>49015196</v>
      </c>
      <c r="B197" s="106" t="s">
        <v>406</v>
      </c>
      <c r="C197" s="50">
        <v>3</v>
      </c>
      <c r="D197" s="50" t="s">
        <v>127</v>
      </c>
      <c r="E197" s="105" t="s">
        <v>396</v>
      </c>
      <c r="F197" s="105" t="s">
        <v>348</v>
      </c>
      <c r="G197" s="63" t="str">
        <f t="shared" si="232"/>
        <v>[effect:enemy_message, val1:2.1, val2:1.7, dead_type:escape]</v>
      </c>
      <c r="H197" s="63">
        <f t="shared" si="233"/>
        <v>9</v>
      </c>
      <c r="I197" s="63">
        <f t="shared" si="234"/>
        <v>22</v>
      </c>
      <c r="J197" s="63" t="e">
        <f t="shared" si="235"/>
        <v>#VALUE!</v>
      </c>
      <c r="K197" s="63">
        <f t="shared" si="236"/>
        <v>32</v>
      </c>
      <c r="L197" s="63" t="str">
        <f>IFERROR(VLOOKUP(MID(G197,J197,K197-J197),[6]skilldef!$C:$D,2,FALSE),"-") &amp; " / " &amp; IFERROR(VLOOKUP(MID(G197,H197,I197-H197),[6]skilldef!$A:$B,2,FALSE),"-")</f>
        <v>- / -</v>
      </c>
      <c r="M197" s="63" t="str">
        <f t="shared" si="237"/>
        <v>none</v>
      </c>
      <c r="N197" s="48" t="str">
        <f t="shared" si="248"/>
        <v>none</v>
      </c>
      <c r="O197" s="63" t="e">
        <f t="shared" si="238"/>
        <v>#VALUE!</v>
      </c>
      <c r="P197" s="63">
        <f t="shared" si="239"/>
        <v>4</v>
      </c>
      <c r="Q197" s="63" t="e">
        <f t="shared" si="240"/>
        <v>#VALUE!</v>
      </c>
      <c r="R197" s="63" t="e">
        <f t="shared" si="241"/>
        <v>#VALUE!</v>
      </c>
      <c r="S197" s="63" t="str">
        <f>IFERROR(VLOOKUP(MID(N197,Q197,R197-Q197),[6]skilldef!$C:$D,2,FALSE),"-") &amp; " / " &amp; IFERROR(VLOOKUP(MID(N197,O197,P197-O197),[6]skilldef!$A:$B,2,FALSE),"-")</f>
        <v>- / -</v>
      </c>
      <c r="T197" s="48" t="str">
        <f t="shared" si="242"/>
        <v>none</v>
      </c>
      <c r="U197" s="63" t="e">
        <f t="shared" si="243"/>
        <v>#VALUE!</v>
      </c>
      <c r="V197" s="63">
        <f t="shared" si="244"/>
        <v>4</v>
      </c>
      <c r="W197" s="63" t="e">
        <f t="shared" si="245"/>
        <v>#VALUE!</v>
      </c>
      <c r="X197" s="63" t="e">
        <f t="shared" si="246"/>
        <v>#VALUE!</v>
      </c>
      <c r="Y197" s="63" t="str">
        <f>IFERROR(VLOOKUP(MID(T197,W197,X197-W197),[6]skilldef!$C:$D,2,FALSE),"-") &amp; " / " &amp; IFERROR(VLOOKUP(MID(T197,U197,V197-U197),[6]skilldef!$A:$B,2,FALSE),"-")</f>
        <v>- / -</v>
      </c>
      <c r="Z197" s="50"/>
      <c r="AA197" s="51"/>
      <c r="AB197" s="50"/>
    </row>
    <row r="198" spans="1:28" ht="21" customHeight="1" x14ac:dyDescent="0.15">
      <c r="A198" s="138">
        <v>49015197</v>
      </c>
      <c r="B198" s="106" t="s">
        <v>408</v>
      </c>
      <c r="C198" s="50">
        <v>3</v>
      </c>
      <c r="D198" s="50" t="s">
        <v>127</v>
      </c>
      <c r="E198" s="105" t="s">
        <v>407</v>
      </c>
      <c r="F198" s="118" t="s">
        <v>349</v>
      </c>
      <c r="G198" s="63" t="str">
        <f t="shared" si="232"/>
        <v>[effect:enemy_message, val1:1.9, val2:1.7, dead_type:escape]</v>
      </c>
      <c r="H198" s="63">
        <f t="shared" si="233"/>
        <v>9</v>
      </c>
      <c r="I198" s="63">
        <f t="shared" si="234"/>
        <v>22</v>
      </c>
      <c r="J198" s="63" t="e">
        <f t="shared" si="235"/>
        <v>#VALUE!</v>
      </c>
      <c r="K198" s="63">
        <f t="shared" si="236"/>
        <v>32</v>
      </c>
      <c r="L198" s="63" t="str">
        <f>IFERROR(VLOOKUP(MID(G198,J198,K198-J198),[6]skilldef!$C:$D,2,FALSE),"-") &amp; " / " &amp; IFERROR(VLOOKUP(MID(G198,H198,I198-H198),[6]skilldef!$A:$B,2,FALSE),"-")</f>
        <v>- / -</v>
      </c>
      <c r="M198" s="63" t="str">
        <f t="shared" si="237"/>
        <v>none</v>
      </c>
      <c r="N198" s="48" t="str">
        <f t="shared" si="248"/>
        <v>none</v>
      </c>
      <c r="O198" s="63" t="e">
        <f t="shared" si="238"/>
        <v>#VALUE!</v>
      </c>
      <c r="P198" s="63">
        <f t="shared" si="239"/>
        <v>4</v>
      </c>
      <c r="Q198" s="63" t="e">
        <f t="shared" si="240"/>
        <v>#VALUE!</v>
      </c>
      <c r="R198" s="63" t="e">
        <f t="shared" si="241"/>
        <v>#VALUE!</v>
      </c>
      <c r="S198" s="63" t="str">
        <f>IFERROR(VLOOKUP(MID(N198,Q198,R198-Q198),[6]skilldef!$C:$D,2,FALSE),"-") &amp; " / " &amp; IFERROR(VLOOKUP(MID(N198,O198,P198-O198),[6]skilldef!$A:$B,2,FALSE),"-")</f>
        <v>- / -</v>
      </c>
      <c r="T198" s="48" t="str">
        <f t="shared" si="242"/>
        <v>none</v>
      </c>
      <c r="U198" s="63" t="e">
        <f t="shared" si="243"/>
        <v>#VALUE!</v>
      </c>
      <c r="V198" s="63">
        <f t="shared" si="244"/>
        <v>4</v>
      </c>
      <c r="W198" s="63" t="e">
        <f t="shared" si="245"/>
        <v>#VALUE!</v>
      </c>
      <c r="X198" s="63" t="e">
        <f t="shared" si="246"/>
        <v>#VALUE!</v>
      </c>
      <c r="Y198" s="63" t="str">
        <f>IFERROR(VLOOKUP(MID(T198,W198,X198-W198),[6]skilldef!$C:$D,2,FALSE),"-") &amp; " / " &amp; IFERROR(VLOOKUP(MID(T198,U198,V198-U198),[6]skilldef!$A:$B,2,FALSE),"-")</f>
        <v>- / -</v>
      </c>
      <c r="Z198" s="50"/>
      <c r="AA198" s="51"/>
      <c r="AB198" s="50"/>
    </row>
    <row r="199" spans="1:28" ht="21" customHeight="1" thickBot="1" x14ac:dyDescent="0.2">
      <c r="A199" s="137">
        <v>49015198</v>
      </c>
      <c r="B199" s="111" t="s">
        <v>397</v>
      </c>
      <c r="C199" s="50">
        <v>3</v>
      </c>
      <c r="D199" s="112" t="s">
        <v>127</v>
      </c>
      <c r="E199" s="117" t="s">
        <v>350</v>
      </c>
      <c r="F199" s="117" t="s">
        <v>351</v>
      </c>
      <c r="G199" s="113" t="str">
        <f t="shared" si="232"/>
        <v>[effect:enemy_message, val1:1.7, val2:2.2, dead_type:escape]</v>
      </c>
      <c r="H199" s="113">
        <f t="shared" si="233"/>
        <v>9</v>
      </c>
      <c r="I199" s="113">
        <f t="shared" si="234"/>
        <v>22</v>
      </c>
      <c r="J199" s="113" t="e">
        <f t="shared" si="235"/>
        <v>#VALUE!</v>
      </c>
      <c r="K199" s="113">
        <f t="shared" si="236"/>
        <v>32</v>
      </c>
      <c r="L199" s="113" t="str">
        <f>IFERROR(VLOOKUP(MID(G199,J199,K199-J199),[6]skilldef!$C:$D,2,FALSE),"-") &amp; " / " &amp; IFERROR(VLOOKUP(MID(G199,H199,I199-H199),[6]skilldef!$A:$B,2,FALSE),"-")</f>
        <v>- / -</v>
      </c>
      <c r="M199" s="113" t="str">
        <f t="shared" si="237"/>
        <v>none</v>
      </c>
      <c r="N199" s="114" t="str">
        <f t="shared" si="248"/>
        <v>none</v>
      </c>
      <c r="O199" s="113" t="e">
        <f t="shared" si="238"/>
        <v>#VALUE!</v>
      </c>
      <c r="P199" s="113">
        <f t="shared" si="239"/>
        <v>4</v>
      </c>
      <c r="Q199" s="113" t="e">
        <f t="shared" si="240"/>
        <v>#VALUE!</v>
      </c>
      <c r="R199" s="113" t="e">
        <f t="shared" si="241"/>
        <v>#VALUE!</v>
      </c>
      <c r="S199" s="113" t="str">
        <f>IFERROR(VLOOKUP(MID(N199,Q199,R199-Q199),[6]skilldef!$C:$D,2,FALSE),"-") &amp; " / " &amp; IFERROR(VLOOKUP(MID(N199,O199,P199-O199),[6]skilldef!$A:$B,2,FALSE),"-")</f>
        <v>- / -</v>
      </c>
      <c r="T199" s="114" t="str">
        <f t="shared" si="242"/>
        <v>none</v>
      </c>
      <c r="U199" s="113" t="e">
        <f t="shared" si="243"/>
        <v>#VALUE!</v>
      </c>
      <c r="V199" s="113">
        <f t="shared" si="244"/>
        <v>4</v>
      </c>
      <c r="W199" s="113" t="e">
        <f t="shared" si="245"/>
        <v>#VALUE!</v>
      </c>
      <c r="X199" s="113" t="e">
        <f t="shared" si="246"/>
        <v>#VALUE!</v>
      </c>
      <c r="Y199" s="113" t="str">
        <f>IFERROR(VLOOKUP(MID(T199,W199,X199-W199),[6]skilldef!$C:$D,2,FALSE),"-") &amp; " / " &amp; IFERROR(VLOOKUP(MID(T199,U199,V199-U199),[6]skilldef!$A:$B,2,FALSE),"-")</f>
        <v>- / -</v>
      </c>
      <c r="Z199" s="112"/>
      <c r="AA199" s="115"/>
      <c r="AB199" s="112"/>
    </row>
    <row r="200" spans="1:28" ht="21" customHeight="1" x14ac:dyDescent="0.15">
      <c r="A200" s="121">
        <v>49015199</v>
      </c>
      <c r="B200" s="47" t="s">
        <v>359</v>
      </c>
      <c r="C200" s="50">
        <v>3</v>
      </c>
      <c r="D200" s="50" t="s">
        <v>127</v>
      </c>
      <c r="E200" s="116" t="s">
        <v>254</v>
      </c>
      <c r="F200" s="116" t="s">
        <v>360</v>
      </c>
      <c r="G200" s="63" t="str">
        <f t="shared" si="232"/>
        <v>[effect:enemy_message, val1:1.2, val2:0]</v>
      </c>
      <c r="H200" s="63">
        <f t="shared" si="233"/>
        <v>9</v>
      </c>
      <c r="I200" s="63">
        <f t="shared" si="234"/>
        <v>22</v>
      </c>
      <c r="J200" s="63" t="e">
        <f t="shared" si="235"/>
        <v>#VALUE!</v>
      </c>
      <c r="K200" s="63">
        <f t="shared" si="236"/>
        <v>32</v>
      </c>
      <c r="L200" s="63" t="str">
        <f>IFERROR(VLOOKUP(MID(G200,J200,K200-J200),[6]skilldef!$C:$D,2,FALSE),"-") &amp; " / " &amp; IFERROR(VLOOKUP(MID(G200,H200,I200-H200),[6]skilldef!$A:$B,2,FALSE),"-")</f>
        <v>- / -</v>
      </c>
      <c r="M200" s="63" t="str">
        <f t="shared" si="237"/>
        <v>[effect:fix_speed, target:myself, turn:1]</v>
      </c>
      <c r="N200" s="48" t="str">
        <f t="shared" si="248"/>
        <v>[effect:fix_speed, target:myself, turn:1]</v>
      </c>
      <c r="O200" s="63">
        <f t="shared" si="238"/>
        <v>9</v>
      </c>
      <c r="P200" s="63">
        <f t="shared" si="239"/>
        <v>18</v>
      </c>
      <c r="Q200" s="63">
        <f t="shared" si="240"/>
        <v>27</v>
      </c>
      <c r="R200" s="63">
        <f t="shared" si="241"/>
        <v>33</v>
      </c>
      <c r="S200" s="63" t="str">
        <f>IFERROR(VLOOKUP(MID(N200,Q200,R200-Q200),[6]skilldef!$C:$D,2,FALSE),"-") &amp; " / " &amp; IFERROR(VLOOKUP(MID(N200,O200,P200-O200),[6]skilldef!$A:$B,2,FALSE),"-")</f>
        <v>自分自身に / 行動値設定</v>
      </c>
      <c r="T200" s="48" t="str">
        <f t="shared" si="242"/>
        <v>none</v>
      </c>
      <c r="U200" s="63" t="e">
        <f t="shared" si="243"/>
        <v>#VALUE!</v>
      </c>
      <c r="V200" s="63">
        <f t="shared" si="244"/>
        <v>4</v>
      </c>
      <c r="W200" s="63" t="e">
        <f t="shared" si="245"/>
        <v>#VALUE!</v>
      </c>
      <c r="X200" s="63" t="e">
        <f t="shared" si="246"/>
        <v>#VALUE!</v>
      </c>
      <c r="Y200" s="63" t="str">
        <f>IFERROR(VLOOKUP(MID(T200,W200,X200-W200),[6]skilldef!$C:$D,2,FALSE),"-") &amp; " / " &amp; IFERROR(VLOOKUP(MID(T200,U200,V200-U200),[6]skilldef!$A:$B,2,FALSE),"-")</f>
        <v>- / -</v>
      </c>
      <c r="Z200" s="50"/>
      <c r="AA200" s="51"/>
      <c r="AB200" s="50"/>
    </row>
    <row r="201" spans="1:28" ht="21" customHeight="1" x14ac:dyDescent="0.15">
      <c r="A201" s="121">
        <v>49015200</v>
      </c>
      <c r="B201" s="47" t="s">
        <v>361</v>
      </c>
      <c r="C201" s="50">
        <v>3</v>
      </c>
      <c r="D201" s="50" t="s">
        <v>127</v>
      </c>
      <c r="E201" s="105" t="s">
        <v>256</v>
      </c>
      <c r="F201" s="105" t="s">
        <v>257</v>
      </c>
      <c r="G201" s="63" t="str">
        <f t="shared" si="232"/>
        <v>[effect:enemy_message, val1:1.5, val2:1.9]</v>
      </c>
      <c r="H201" s="63">
        <f t="shared" si="233"/>
        <v>9</v>
      </c>
      <c r="I201" s="63">
        <f t="shared" si="234"/>
        <v>22</v>
      </c>
      <c r="J201" s="63" t="e">
        <f t="shared" si="235"/>
        <v>#VALUE!</v>
      </c>
      <c r="K201" s="63">
        <f t="shared" si="236"/>
        <v>32</v>
      </c>
      <c r="L201" s="63" t="str">
        <f>IFERROR(VLOOKUP(MID(G201,J201,K201-J201),[6]skilldef!$C:$D,2,FALSE),"-") &amp; " / " &amp; IFERROR(VLOOKUP(MID(G201,H201,I201-H201),[6]skilldef!$A:$B,2,FALSE),"-")</f>
        <v>- / -</v>
      </c>
      <c r="M201" s="63" t="str">
        <f t="shared" si="237"/>
        <v>[effect:fix_speed, target:myself, turn:1]</v>
      </c>
      <c r="N201" s="48" t="str">
        <f t="shared" si="248"/>
        <v>[effect:fix_speed, target:myself, turn:1]</v>
      </c>
      <c r="O201" s="63">
        <f t="shared" si="238"/>
        <v>9</v>
      </c>
      <c r="P201" s="63">
        <f t="shared" si="239"/>
        <v>18</v>
      </c>
      <c r="Q201" s="63">
        <f t="shared" si="240"/>
        <v>27</v>
      </c>
      <c r="R201" s="63">
        <f t="shared" si="241"/>
        <v>33</v>
      </c>
      <c r="S201" s="63" t="str">
        <f>IFERROR(VLOOKUP(MID(N201,Q201,R201-Q201),[6]skilldef!$C:$D,2,FALSE),"-") &amp; " / " &amp; IFERROR(VLOOKUP(MID(N201,O201,P201-O201),[6]skilldef!$A:$B,2,FALSE),"-")</f>
        <v>自分自身に / 行動値設定</v>
      </c>
      <c r="T201" s="48" t="str">
        <f t="shared" si="242"/>
        <v>none</v>
      </c>
      <c r="U201" s="63" t="e">
        <f t="shared" si="243"/>
        <v>#VALUE!</v>
      </c>
      <c r="V201" s="63">
        <f t="shared" si="244"/>
        <v>4</v>
      </c>
      <c r="W201" s="63" t="e">
        <f t="shared" si="245"/>
        <v>#VALUE!</v>
      </c>
      <c r="X201" s="63" t="e">
        <f t="shared" si="246"/>
        <v>#VALUE!</v>
      </c>
      <c r="Y201" s="63" t="str">
        <f>IFERROR(VLOOKUP(MID(T201,W201,X201-W201),[6]skilldef!$C:$D,2,FALSE),"-") &amp; " / " &amp; IFERROR(VLOOKUP(MID(T201,U201,V201-U201),[6]skilldef!$A:$B,2,FALSE),"-")</f>
        <v>- / -</v>
      </c>
      <c r="Z201" s="50"/>
      <c r="AA201" s="51"/>
      <c r="AB201" s="50"/>
    </row>
    <row r="202" spans="1:28" ht="21" customHeight="1" x14ac:dyDescent="0.15">
      <c r="A202" s="121">
        <v>49015201</v>
      </c>
      <c r="B202" s="47" t="s">
        <v>464</v>
      </c>
      <c r="C202" s="50">
        <v>3</v>
      </c>
      <c r="D202" s="50" t="s">
        <v>127</v>
      </c>
      <c r="E202" s="105" t="s">
        <v>255</v>
      </c>
      <c r="F202" s="211" t="s">
        <v>609</v>
      </c>
      <c r="G202" s="63" t="str">
        <f t="shared" si="232"/>
        <v>[effect:enemy_message, val1:1.3, val2:4.0]</v>
      </c>
      <c r="H202" s="63">
        <f t="shared" si="233"/>
        <v>9</v>
      </c>
      <c r="I202" s="63">
        <f t="shared" si="234"/>
        <v>22</v>
      </c>
      <c r="J202" s="63" t="e">
        <f t="shared" si="235"/>
        <v>#VALUE!</v>
      </c>
      <c r="K202" s="63">
        <f t="shared" si="236"/>
        <v>32</v>
      </c>
      <c r="L202" s="63" t="str">
        <f>IFERROR(VLOOKUP(MID(G202,J202,K202-J202),[6]skilldef!$C:$D,2,FALSE),"-") &amp; " / " &amp; IFERROR(VLOOKUP(MID(G202,H202,I202-H202),[6]skilldef!$A:$B,2,FALSE),"-")</f>
        <v>- / -</v>
      </c>
      <c r="M202" s="63" t="str">
        <f t="shared" si="237"/>
        <v>[effect:fix_speed, target:myself, turn:1],[effect:sp_boost, target:unit_all, val:4, animation:sp_boost_one02]</v>
      </c>
      <c r="N202" s="48" t="str">
        <f t="shared" si="248"/>
        <v>[effect:fix_speed, target:myself, turn:1],[effect:sp_boost, target:unit_all, val:4, animation:sp_boost_one02]</v>
      </c>
      <c r="O202" s="63">
        <f t="shared" si="238"/>
        <v>9</v>
      </c>
      <c r="P202" s="63">
        <f t="shared" si="239"/>
        <v>18</v>
      </c>
      <c r="Q202" s="63">
        <f t="shared" si="240"/>
        <v>27</v>
      </c>
      <c r="R202" s="63">
        <f t="shared" si="241"/>
        <v>33</v>
      </c>
      <c r="S202" s="63" t="str">
        <f>IFERROR(VLOOKUP(MID(N202,Q202,R202-Q202),[6]skilldef!$C:$D,2,FALSE),"-") &amp; " / " &amp; IFERROR(VLOOKUP(MID(N202,O202,P202-O202),[6]skilldef!$A:$B,2,FALSE),"-")</f>
        <v>自分自身に / 行動値設定</v>
      </c>
      <c r="T202" s="48" t="str">
        <f t="shared" si="242"/>
        <v>[effect:sp_boost, target:unit_all, val:4, animation:sp_boost_one02]</v>
      </c>
      <c r="U202" s="63">
        <f t="shared" si="243"/>
        <v>9</v>
      </c>
      <c r="V202" s="63">
        <f t="shared" si="244"/>
        <v>17</v>
      </c>
      <c r="W202" s="63">
        <f t="shared" si="245"/>
        <v>26</v>
      </c>
      <c r="X202" s="63">
        <f t="shared" si="246"/>
        <v>34</v>
      </c>
      <c r="Y202" s="63" t="str">
        <f>IFERROR(VLOOKUP(MID(T202,W202,X202-W202),[6]skilldef!$C:$D,2,FALSE),"-") &amp; " / " &amp; IFERROR(VLOOKUP(MID(T202,U202,V202-U202),[6]skilldef!$A:$B,2,FALSE),"-")</f>
        <v>味方全体に / -</v>
      </c>
      <c r="Z202" s="50"/>
      <c r="AA202" s="51"/>
      <c r="AB202" s="50"/>
    </row>
    <row r="203" spans="1:28" ht="21" customHeight="1" x14ac:dyDescent="0.15">
      <c r="A203" s="121">
        <v>49015202</v>
      </c>
      <c r="B203" s="47" t="s">
        <v>362</v>
      </c>
      <c r="C203" s="50">
        <v>3</v>
      </c>
      <c r="D203" s="50" t="s">
        <v>127</v>
      </c>
      <c r="E203" s="105" t="s">
        <v>258</v>
      </c>
      <c r="F203" s="105" t="s">
        <v>259</v>
      </c>
      <c r="G203" s="63" t="str">
        <f t="shared" si="232"/>
        <v>[effect:enemy_message, val1:1.6, val2:1.2]</v>
      </c>
      <c r="H203" s="63">
        <f t="shared" si="233"/>
        <v>9</v>
      </c>
      <c r="I203" s="63">
        <f t="shared" si="234"/>
        <v>22</v>
      </c>
      <c r="J203" s="63" t="e">
        <f t="shared" si="235"/>
        <v>#VALUE!</v>
      </c>
      <c r="K203" s="63">
        <f t="shared" si="236"/>
        <v>32</v>
      </c>
      <c r="L203" s="63" t="str">
        <f>IFERROR(VLOOKUP(MID(G203,J203,K203-J203),[6]skilldef!$C:$D,2,FALSE),"-") &amp; " / " &amp; IFERROR(VLOOKUP(MID(G203,H203,I203-H203),[6]skilldef!$A:$B,2,FALSE),"-")</f>
        <v>- / -</v>
      </c>
      <c r="M203" s="63" t="str">
        <f t="shared" si="237"/>
        <v>[effect:fix_speed, target:myself, turn:1]</v>
      </c>
      <c r="N203" s="48" t="str">
        <f t="shared" si="248"/>
        <v>[effect:fix_speed, target:myself, turn:1]</v>
      </c>
      <c r="O203" s="63">
        <f t="shared" si="238"/>
        <v>9</v>
      </c>
      <c r="P203" s="63">
        <f t="shared" si="239"/>
        <v>18</v>
      </c>
      <c r="Q203" s="63">
        <f t="shared" si="240"/>
        <v>27</v>
      </c>
      <c r="R203" s="63">
        <f t="shared" si="241"/>
        <v>33</v>
      </c>
      <c r="S203" s="63" t="str">
        <f>IFERROR(VLOOKUP(MID(N203,Q203,R203-Q203),[6]skilldef!$C:$D,2,FALSE),"-") &amp; " / " &amp; IFERROR(VLOOKUP(MID(N203,O203,P203-O203),[6]skilldef!$A:$B,2,FALSE),"-")</f>
        <v>自分自身に / 行動値設定</v>
      </c>
      <c r="T203" s="48" t="str">
        <f t="shared" si="242"/>
        <v>none</v>
      </c>
      <c r="U203" s="63" t="e">
        <f t="shared" si="243"/>
        <v>#VALUE!</v>
      </c>
      <c r="V203" s="63">
        <f t="shared" si="244"/>
        <v>4</v>
      </c>
      <c r="W203" s="63" t="e">
        <f t="shared" si="245"/>
        <v>#VALUE!</v>
      </c>
      <c r="X203" s="63" t="e">
        <f t="shared" si="246"/>
        <v>#VALUE!</v>
      </c>
      <c r="Y203" s="63" t="str">
        <f>IFERROR(VLOOKUP(MID(T203,W203,X203-W203),[6]skilldef!$C:$D,2,FALSE),"-") &amp; " / " &amp; IFERROR(VLOOKUP(MID(T203,U203,V203-U203),[6]skilldef!$A:$B,2,FALSE),"-")</f>
        <v>- / -</v>
      </c>
      <c r="Z203" s="50"/>
      <c r="AA203" s="51"/>
      <c r="AB203" s="50"/>
    </row>
    <row r="204" spans="1:28" ht="21" customHeight="1" x14ac:dyDescent="0.15">
      <c r="A204" s="121">
        <v>49015203</v>
      </c>
      <c r="B204" s="47" t="s">
        <v>364</v>
      </c>
      <c r="C204" s="50">
        <v>3</v>
      </c>
      <c r="D204" s="50" t="s">
        <v>127</v>
      </c>
      <c r="E204" s="105" t="s">
        <v>260</v>
      </c>
      <c r="F204" s="105" t="s">
        <v>363</v>
      </c>
      <c r="G204" s="63" t="str">
        <f t="shared" si="232"/>
        <v>[effect:enemy_message, val1:1.8, val2:0]</v>
      </c>
      <c r="H204" s="63">
        <f t="shared" si="233"/>
        <v>9</v>
      </c>
      <c r="I204" s="63">
        <f t="shared" si="234"/>
        <v>22</v>
      </c>
      <c r="J204" s="63" t="e">
        <f t="shared" si="235"/>
        <v>#VALUE!</v>
      </c>
      <c r="K204" s="63">
        <f t="shared" si="236"/>
        <v>32</v>
      </c>
      <c r="L204" s="63" t="str">
        <f>IFERROR(VLOOKUP(MID(G204,J204,K204-J204),[6]skilldef!$C:$D,2,FALSE),"-") &amp; " / " &amp; IFERROR(VLOOKUP(MID(G204,H204,I204-H204),[6]skilldef!$A:$B,2,FALSE),"-")</f>
        <v>- / -</v>
      </c>
      <c r="M204" s="63" t="str">
        <f t="shared" si="237"/>
        <v>[effect:fix_speed, target:myself, turn:1]</v>
      </c>
      <c r="N204" s="48" t="str">
        <f t="shared" si="248"/>
        <v>[effect:fix_speed, target:myself, turn:1]</v>
      </c>
      <c r="O204" s="63">
        <f t="shared" si="238"/>
        <v>9</v>
      </c>
      <c r="P204" s="63">
        <f t="shared" si="239"/>
        <v>18</v>
      </c>
      <c r="Q204" s="63">
        <f t="shared" si="240"/>
        <v>27</v>
      </c>
      <c r="R204" s="63">
        <f t="shared" si="241"/>
        <v>33</v>
      </c>
      <c r="S204" s="63" t="str">
        <f>IFERROR(VLOOKUP(MID(N204,Q204,R204-Q204),[6]skilldef!$C:$D,2,FALSE),"-") &amp; " / " &amp; IFERROR(VLOOKUP(MID(N204,O204,P204-O204),[6]skilldef!$A:$B,2,FALSE),"-")</f>
        <v>自分自身に / 行動値設定</v>
      </c>
      <c r="T204" s="48" t="str">
        <f t="shared" si="242"/>
        <v>none</v>
      </c>
      <c r="U204" s="63" t="e">
        <f t="shared" si="243"/>
        <v>#VALUE!</v>
      </c>
      <c r="V204" s="63">
        <f t="shared" si="244"/>
        <v>4</v>
      </c>
      <c r="W204" s="63" t="e">
        <f t="shared" si="245"/>
        <v>#VALUE!</v>
      </c>
      <c r="X204" s="63" t="e">
        <f t="shared" si="246"/>
        <v>#VALUE!</v>
      </c>
      <c r="Y204" s="63" t="str">
        <f>IFERROR(VLOOKUP(MID(T204,W204,X204-W204),[6]skilldef!$C:$D,2,FALSE),"-") &amp; " / " &amp; IFERROR(VLOOKUP(MID(T204,U204,V204-U204),[6]skilldef!$A:$B,2,FALSE),"-")</f>
        <v>- / -</v>
      </c>
      <c r="Z204" s="50"/>
      <c r="AA204" s="51"/>
      <c r="AB204" s="50"/>
    </row>
    <row r="205" spans="1:28" ht="21" customHeight="1" x14ac:dyDescent="0.15">
      <c r="A205" s="121">
        <v>49015204</v>
      </c>
      <c r="B205" s="47" t="s">
        <v>365</v>
      </c>
      <c r="C205" s="50">
        <v>3</v>
      </c>
      <c r="D205" s="50" t="s">
        <v>127</v>
      </c>
      <c r="E205" s="105" t="s">
        <v>262</v>
      </c>
      <c r="F205" s="105" t="s">
        <v>363</v>
      </c>
      <c r="G205" s="63" t="str">
        <f t="shared" si="232"/>
        <v>[effect:enemy_message, val1:1.4, val2:0]</v>
      </c>
      <c r="H205" s="63">
        <f t="shared" si="233"/>
        <v>9</v>
      </c>
      <c r="I205" s="63">
        <f t="shared" si="234"/>
        <v>22</v>
      </c>
      <c r="J205" s="63" t="e">
        <f t="shared" si="235"/>
        <v>#VALUE!</v>
      </c>
      <c r="K205" s="63">
        <f t="shared" si="236"/>
        <v>32</v>
      </c>
      <c r="L205" s="63" t="str">
        <f>IFERROR(VLOOKUP(MID(G205,J205,K205-J205),[6]skilldef!$C:$D,2,FALSE),"-") &amp; " / " &amp; IFERROR(VLOOKUP(MID(G205,H205,I205-H205),[6]skilldef!$A:$B,2,FALSE),"-")</f>
        <v>- / -</v>
      </c>
      <c r="M205" s="63" t="str">
        <f t="shared" si="237"/>
        <v>[effect:fix_speed, target:myself, turn:1]</v>
      </c>
      <c r="N205" s="48" t="str">
        <f t="shared" si="248"/>
        <v>[effect:fix_speed, target:myself, turn:1]</v>
      </c>
      <c r="O205" s="63">
        <f t="shared" si="238"/>
        <v>9</v>
      </c>
      <c r="P205" s="63">
        <f t="shared" si="239"/>
        <v>18</v>
      </c>
      <c r="Q205" s="63">
        <f t="shared" si="240"/>
        <v>27</v>
      </c>
      <c r="R205" s="63">
        <f t="shared" si="241"/>
        <v>33</v>
      </c>
      <c r="S205" s="63" t="str">
        <f>IFERROR(VLOOKUP(MID(N205,Q205,R205-Q205),[6]skilldef!$C:$D,2,FALSE),"-") &amp; " / " &amp; IFERROR(VLOOKUP(MID(N205,O205,P205-O205),[6]skilldef!$A:$B,2,FALSE),"-")</f>
        <v>自分自身に / 行動値設定</v>
      </c>
      <c r="T205" s="48" t="str">
        <f t="shared" si="242"/>
        <v>none</v>
      </c>
      <c r="U205" s="63" t="e">
        <f t="shared" si="243"/>
        <v>#VALUE!</v>
      </c>
      <c r="V205" s="63">
        <f t="shared" si="244"/>
        <v>4</v>
      </c>
      <c r="W205" s="63" t="e">
        <f t="shared" si="245"/>
        <v>#VALUE!</v>
      </c>
      <c r="X205" s="63" t="e">
        <f t="shared" si="246"/>
        <v>#VALUE!</v>
      </c>
      <c r="Y205" s="63" t="str">
        <f>IFERROR(VLOOKUP(MID(T205,W205,X205-W205),[6]skilldef!$C:$D,2,FALSE),"-") &amp; " / " &amp; IFERROR(VLOOKUP(MID(T205,U205,V205-U205),[6]skilldef!$A:$B,2,FALSE),"-")</f>
        <v>- / -</v>
      </c>
      <c r="Z205" s="50"/>
      <c r="AA205" s="51"/>
      <c r="AB205" s="50"/>
    </row>
    <row r="206" spans="1:28" ht="21" customHeight="1" x14ac:dyDescent="0.15">
      <c r="A206" s="121">
        <v>49015205</v>
      </c>
      <c r="B206" s="47" t="s">
        <v>366</v>
      </c>
      <c r="C206" s="50">
        <v>3</v>
      </c>
      <c r="D206" s="50" t="s">
        <v>127</v>
      </c>
      <c r="E206" s="105" t="s">
        <v>263</v>
      </c>
      <c r="F206" s="105" t="s">
        <v>264</v>
      </c>
      <c r="G206" s="63" t="str">
        <f t="shared" si="232"/>
        <v>[effect:enemy_message, val1:1.2, val2:1.3]</v>
      </c>
      <c r="H206" s="63">
        <f t="shared" si="233"/>
        <v>9</v>
      </c>
      <c r="I206" s="63">
        <f t="shared" si="234"/>
        <v>22</v>
      </c>
      <c r="J206" s="63" t="e">
        <f t="shared" si="235"/>
        <v>#VALUE!</v>
      </c>
      <c r="K206" s="63">
        <f t="shared" si="236"/>
        <v>32</v>
      </c>
      <c r="L206" s="63" t="str">
        <f>IFERROR(VLOOKUP(MID(G206,J206,K206-J206),[6]skilldef!$C:$D,2,FALSE),"-") &amp; " / " &amp; IFERROR(VLOOKUP(MID(G206,H206,I206-H206),[6]skilldef!$A:$B,2,FALSE),"-")</f>
        <v>- / -</v>
      </c>
      <c r="M206" s="63" t="str">
        <f t="shared" si="237"/>
        <v>[effect:fix_speed, target:myself, turn:1]</v>
      </c>
      <c r="N206" s="48" t="str">
        <f t="shared" si="248"/>
        <v>[effect:fix_speed, target:myself, turn:1]</v>
      </c>
      <c r="O206" s="63">
        <f t="shared" si="238"/>
        <v>9</v>
      </c>
      <c r="P206" s="63">
        <f t="shared" si="239"/>
        <v>18</v>
      </c>
      <c r="Q206" s="63">
        <f t="shared" si="240"/>
        <v>27</v>
      </c>
      <c r="R206" s="63">
        <f t="shared" si="241"/>
        <v>33</v>
      </c>
      <c r="S206" s="63" t="str">
        <f>IFERROR(VLOOKUP(MID(N206,Q206,R206-Q206),[6]skilldef!$C:$D,2,FALSE),"-") &amp; " / " &amp; IFERROR(VLOOKUP(MID(N206,O206,P206-O206),[6]skilldef!$A:$B,2,FALSE),"-")</f>
        <v>自分自身に / 行動値設定</v>
      </c>
      <c r="T206" s="48" t="str">
        <f t="shared" si="242"/>
        <v>none</v>
      </c>
      <c r="U206" s="63" t="e">
        <f t="shared" si="243"/>
        <v>#VALUE!</v>
      </c>
      <c r="V206" s="63">
        <f t="shared" si="244"/>
        <v>4</v>
      </c>
      <c r="W206" s="63" t="e">
        <f t="shared" si="245"/>
        <v>#VALUE!</v>
      </c>
      <c r="X206" s="63" t="e">
        <f t="shared" si="246"/>
        <v>#VALUE!</v>
      </c>
      <c r="Y206" s="63" t="str">
        <f>IFERROR(VLOOKUP(MID(T206,W206,X206-W206),[6]skilldef!$C:$D,2,FALSE),"-") &amp; " / " &amp; IFERROR(VLOOKUP(MID(T206,U206,V206-U206),[6]skilldef!$A:$B,2,FALSE),"-")</f>
        <v>- / -</v>
      </c>
      <c r="Z206" s="50"/>
      <c r="AA206" s="51"/>
      <c r="AB206" s="50"/>
    </row>
    <row r="207" spans="1:28" ht="21" customHeight="1" x14ac:dyDescent="0.15">
      <c r="A207" s="121">
        <v>49015206</v>
      </c>
      <c r="B207" s="47" t="s">
        <v>367</v>
      </c>
      <c r="C207" s="50">
        <v>3</v>
      </c>
      <c r="D207" s="50" t="s">
        <v>127</v>
      </c>
      <c r="E207" s="105" t="s">
        <v>265</v>
      </c>
      <c r="F207" s="105" t="s">
        <v>266</v>
      </c>
      <c r="G207" s="63" t="str">
        <f t="shared" si="232"/>
        <v>[effect:enemy_message, val1:1.7, val2:2.4]</v>
      </c>
      <c r="H207" s="63">
        <f t="shared" si="233"/>
        <v>9</v>
      </c>
      <c r="I207" s="63">
        <f t="shared" si="234"/>
        <v>22</v>
      </c>
      <c r="J207" s="63" t="e">
        <f t="shared" si="235"/>
        <v>#VALUE!</v>
      </c>
      <c r="K207" s="63">
        <f t="shared" si="236"/>
        <v>32</v>
      </c>
      <c r="L207" s="63" t="str">
        <f>IFERROR(VLOOKUP(MID(G207,J207,K207-J207),[6]skilldef!$C:$D,2,FALSE),"-") &amp; " / " &amp; IFERROR(VLOOKUP(MID(G207,H207,I207-H207),[6]skilldef!$A:$B,2,FALSE),"-")</f>
        <v>- / -</v>
      </c>
      <c r="M207" s="63" t="str">
        <f t="shared" si="237"/>
        <v>[effect:fix_speed, target:myself, turn:1]</v>
      </c>
      <c r="N207" s="48" t="str">
        <f t="shared" si="248"/>
        <v>[effect:fix_speed, target:myself, turn:1]</v>
      </c>
      <c r="O207" s="63">
        <f t="shared" si="238"/>
        <v>9</v>
      </c>
      <c r="P207" s="63">
        <f t="shared" si="239"/>
        <v>18</v>
      </c>
      <c r="Q207" s="63">
        <f t="shared" si="240"/>
        <v>27</v>
      </c>
      <c r="R207" s="63">
        <f t="shared" si="241"/>
        <v>33</v>
      </c>
      <c r="S207" s="63" t="str">
        <f>IFERROR(VLOOKUP(MID(N207,Q207,R207-Q207),[6]skilldef!$C:$D,2,FALSE),"-") &amp; " / " &amp; IFERROR(VLOOKUP(MID(N207,O207,P207-O207),[6]skilldef!$A:$B,2,FALSE),"-")</f>
        <v>自分自身に / 行動値設定</v>
      </c>
      <c r="T207" s="48" t="str">
        <f t="shared" si="242"/>
        <v>none</v>
      </c>
      <c r="U207" s="63" t="e">
        <f t="shared" si="243"/>
        <v>#VALUE!</v>
      </c>
      <c r="V207" s="63">
        <f t="shared" si="244"/>
        <v>4</v>
      </c>
      <c r="W207" s="63" t="e">
        <f t="shared" si="245"/>
        <v>#VALUE!</v>
      </c>
      <c r="X207" s="63" t="e">
        <f t="shared" si="246"/>
        <v>#VALUE!</v>
      </c>
      <c r="Y207" s="63" t="str">
        <f>IFERROR(VLOOKUP(MID(T207,W207,X207-W207),[6]skilldef!$C:$D,2,FALSE),"-") &amp; " / " &amp; IFERROR(VLOOKUP(MID(T207,U207,V207-U207),[6]skilldef!$A:$B,2,FALSE),"-")</f>
        <v>- / -</v>
      </c>
      <c r="Z207" s="50"/>
      <c r="AA207" s="51"/>
      <c r="AB207" s="50"/>
    </row>
    <row r="208" spans="1:28" ht="21" customHeight="1" x14ac:dyDescent="0.15">
      <c r="A208" s="121">
        <v>49015207</v>
      </c>
      <c r="B208" s="47" t="s">
        <v>437</v>
      </c>
      <c r="C208" s="50">
        <v>3</v>
      </c>
      <c r="D208" s="50" t="s">
        <v>127</v>
      </c>
      <c r="E208" s="105" t="s">
        <v>267</v>
      </c>
      <c r="F208" s="105" t="s">
        <v>268</v>
      </c>
      <c r="G208" s="63" t="str">
        <f t="shared" si="232"/>
        <v>[effect:enemy_message, val1:1.2, val2:1.2]</v>
      </c>
      <c r="H208" s="63">
        <f t="shared" si="233"/>
        <v>9</v>
      </c>
      <c r="I208" s="63">
        <f t="shared" si="234"/>
        <v>22</v>
      </c>
      <c r="J208" s="63" t="e">
        <f t="shared" si="235"/>
        <v>#VALUE!</v>
      </c>
      <c r="K208" s="63">
        <f t="shared" si="236"/>
        <v>32</v>
      </c>
      <c r="L208" s="63" t="str">
        <f>IFERROR(VLOOKUP(MID(G208,J208,K208-J208),[6]skilldef!$C:$D,2,FALSE),"-") &amp; " / " &amp; IFERROR(VLOOKUP(MID(G208,H208,I208-H208),[6]skilldef!$A:$B,2,FALSE),"-")</f>
        <v>- / -</v>
      </c>
      <c r="M208" s="63" t="str">
        <f t="shared" si="237"/>
        <v>[effect:rush, count:4, val:0.1]</v>
      </c>
      <c r="N208" s="48" t="str">
        <f t="shared" si="248"/>
        <v>[effect:rush, count:4, val:0.1]</v>
      </c>
      <c r="O208" s="63">
        <f t="shared" si="238"/>
        <v>9</v>
      </c>
      <c r="P208" s="63">
        <f t="shared" si="239"/>
        <v>13</v>
      </c>
      <c r="Q208" s="63" t="e">
        <f t="shared" si="240"/>
        <v>#VALUE!</v>
      </c>
      <c r="R208" s="63">
        <f t="shared" si="241"/>
        <v>22</v>
      </c>
      <c r="S208" s="63" t="str">
        <f>IFERROR(VLOOKUP(MID(N208,Q208,R208-Q208),[6]skilldef!$C:$D,2,FALSE),"-") &amp; " / " &amp; IFERROR(VLOOKUP(MID(N208,O208,P208-O208),[6]skilldef!$A:$B,2,FALSE),"-")</f>
        <v>- / 連続攻撃</v>
      </c>
      <c r="T208" s="48" t="str">
        <f t="shared" si="242"/>
        <v>none</v>
      </c>
      <c r="U208" s="63" t="e">
        <f t="shared" si="243"/>
        <v>#VALUE!</v>
      </c>
      <c r="V208" s="63">
        <f t="shared" si="244"/>
        <v>4</v>
      </c>
      <c r="W208" s="63" t="e">
        <f t="shared" si="245"/>
        <v>#VALUE!</v>
      </c>
      <c r="X208" s="63" t="e">
        <f t="shared" si="246"/>
        <v>#VALUE!</v>
      </c>
      <c r="Y208" s="63" t="str">
        <f>IFERROR(VLOOKUP(MID(T208,W208,X208-W208),[6]skilldef!$C:$D,2,FALSE),"-") &amp; " / " &amp; IFERROR(VLOOKUP(MID(T208,U208,V208-U208),[6]skilldef!$A:$B,2,FALSE),"-")</f>
        <v>- / -</v>
      </c>
      <c r="Z208" s="50"/>
      <c r="AA208" s="51"/>
      <c r="AB208" s="50"/>
    </row>
    <row r="209" spans="1:28" ht="21" customHeight="1" x14ac:dyDescent="0.15">
      <c r="A209" s="121">
        <v>49015208</v>
      </c>
      <c r="B209" s="47" t="s">
        <v>446</v>
      </c>
      <c r="C209" s="50">
        <v>3</v>
      </c>
      <c r="D209" s="50" t="s">
        <v>127</v>
      </c>
      <c r="E209" s="105" t="s">
        <v>610</v>
      </c>
      <c r="F209" s="105" t="s">
        <v>269</v>
      </c>
      <c r="G209" s="63" t="str">
        <f t="shared" si="232"/>
        <v>[effect:enemy_message, val1:1.6, val2:1.2]</v>
      </c>
      <c r="H209" s="63">
        <f t="shared" si="233"/>
        <v>9</v>
      </c>
      <c r="I209" s="63">
        <f t="shared" si="234"/>
        <v>22</v>
      </c>
      <c r="J209" s="63" t="e">
        <f t="shared" si="235"/>
        <v>#VALUE!</v>
      </c>
      <c r="K209" s="63">
        <f t="shared" si="236"/>
        <v>32</v>
      </c>
      <c r="L209" s="63" t="str">
        <f>IFERROR(VLOOKUP(MID(G209,J209,K209-J209),[6]skilldef!$C:$D,2,FALSE),"-") &amp; " / " &amp; IFERROR(VLOOKUP(MID(G209,H209,I209-H209),[6]skilldef!$A:$B,2,FALSE),"-")</f>
        <v>- / -</v>
      </c>
      <c r="M209" s="63" t="str">
        <f t="shared" si="237"/>
        <v>[effect:spread, val:0.11]</v>
      </c>
      <c r="N209" s="48" t="str">
        <f t="shared" si="248"/>
        <v>[effect:spread, val:0.11]</v>
      </c>
      <c r="O209" s="63">
        <f t="shared" si="238"/>
        <v>9</v>
      </c>
      <c r="P209" s="63">
        <f t="shared" si="239"/>
        <v>15</v>
      </c>
      <c r="Q209" s="63" t="e">
        <f t="shared" si="240"/>
        <v>#VALUE!</v>
      </c>
      <c r="R209" s="63" t="e">
        <f t="shared" si="241"/>
        <v>#VALUE!</v>
      </c>
      <c r="S209" s="63" t="str">
        <f>IFERROR(VLOOKUP(MID(N209,Q209,R209-Q209),[6]skilldef!$C:$D,2,FALSE),"-") &amp; " / " &amp; IFERROR(VLOOKUP(MID(N209,O209,P209-O209),[6]skilldef!$A:$B,2,FALSE),"-")</f>
        <v>- / 全体攻撃</v>
      </c>
      <c r="T209" s="48" t="str">
        <f t="shared" si="242"/>
        <v>none</v>
      </c>
      <c r="U209" s="63" t="e">
        <f t="shared" si="243"/>
        <v>#VALUE!</v>
      </c>
      <c r="V209" s="63">
        <f t="shared" si="244"/>
        <v>4</v>
      </c>
      <c r="W209" s="63" t="e">
        <f t="shared" si="245"/>
        <v>#VALUE!</v>
      </c>
      <c r="X209" s="63" t="e">
        <f t="shared" si="246"/>
        <v>#VALUE!</v>
      </c>
      <c r="Y209" s="63" t="str">
        <f>IFERROR(VLOOKUP(MID(T209,W209,X209-W209),[6]skilldef!$C:$D,2,FALSE),"-") &amp; " / " &amp; IFERROR(VLOOKUP(MID(T209,U209,V209-U209),[6]skilldef!$A:$B,2,FALSE),"-")</f>
        <v>- / -</v>
      </c>
      <c r="Z209" s="50"/>
      <c r="AA209" s="51"/>
      <c r="AB209" s="50"/>
    </row>
    <row r="210" spans="1:28" ht="21" customHeight="1" thickBot="1" x14ac:dyDescent="0.2">
      <c r="A210" s="122">
        <v>49015209</v>
      </c>
      <c r="B210" s="111" t="s">
        <v>370</v>
      </c>
      <c r="C210" s="50">
        <v>3</v>
      </c>
      <c r="D210" s="112" t="s">
        <v>127</v>
      </c>
      <c r="E210" s="117" t="s">
        <v>369</v>
      </c>
      <c r="F210" s="117" t="s">
        <v>284</v>
      </c>
      <c r="G210" s="113" t="str">
        <f t="shared" si="232"/>
        <v>[effect:enemy_message, val1:1.2, val2:1.2]</v>
      </c>
      <c r="H210" s="113">
        <f t="shared" si="233"/>
        <v>9</v>
      </c>
      <c r="I210" s="113">
        <f t="shared" si="234"/>
        <v>22</v>
      </c>
      <c r="J210" s="113" t="e">
        <f t="shared" si="235"/>
        <v>#VALUE!</v>
      </c>
      <c r="K210" s="113">
        <f t="shared" si="236"/>
        <v>32</v>
      </c>
      <c r="L210" s="113" t="str">
        <f>IFERROR(VLOOKUP(MID(G210,J210,K210-J210),[6]skilldef!$C:$D,2,FALSE),"-") &amp; " / " &amp; IFERROR(VLOOKUP(MID(G210,H210,I210-H210),[6]skilldef!$A:$B,2,FALSE),"-")</f>
        <v>- / -</v>
      </c>
      <c r="M210" s="113" t="str">
        <f t="shared" si="237"/>
        <v>[effect:critical, val:1.1, animation:enemy_critical]</v>
      </c>
      <c r="N210" s="114" t="str">
        <f t="shared" si="248"/>
        <v>[effect:critical, val:1.1, animation:enemy_critical]</v>
      </c>
      <c r="O210" s="113">
        <f t="shared" si="238"/>
        <v>9</v>
      </c>
      <c r="P210" s="113">
        <f t="shared" si="239"/>
        <v>17</v>
      </c>
      <c r="Q210" s="113" t="e">
        <f t="shared" si="240"/>
        <v>#VALUE!</v>
      </c>
      <c r="R210" s="113">
        <f t="shared" si="241"/>
        <v>26</v>
      </c>
      <c r="S210" s="113" t="str">
        <f>IFERROR(VLOOKUP(MID(N210,Q210,R210-Q210),[6]skilldef!$C:$D,2,FALSE),"-") &amp; " / " &amp; IFERROR(VLOOKUP(MID(N210,O210,P210-O210),[6]skilldef!$A:$B,2,FALSE),"-")</f>
        <v>- / 大攻撃</v>
      </c>
      <c r="T210" s="114" t="str">
        <f t="shared" si="242"/>
        <v>none</v>
      </c>
      <c r="U210" s="113" t="e">
        <f t="shared" si="243"/>
        <v>#VALUE!</v>
      </c>
      <c r="V210" s="113">
        <f t="shared" si="244"/>
        <v>4</v>
      </c>
      <c r="W210" s="113" t="e">
        <f t="shared" si="245"/>
        <v>#VALUE!</v>
      </c>
      <c r="X210" s="113" t="e">
        <f t="shared" si="246"/>
        <v>#VALUE!</v>
      </c>
      <c r="Y210" s="113" t="str">
        <f>IFERROR(VLOOKUP(MID(T210,W210,X210-W210),[6]skilldef!$C:$D,2,FALSE),"-") &amp; " / " &amp; IFERROR(VLOOKUP(MID(T210,U210,V210-U210),[6]skilldef!$A:$B,2,FALSE),"-")</f>
        <v>- / -</v>
      </c>
      <c r="Z210" s="112"/>
      <c r="AA210" s="115"/>
      <c r="AB210" s="112"/>
    </row>
    <row r="211" spans="1:28" ht="21" customHeight="1" x14ac:dyDescent="0.15">
      <c r="A211" s="123">
        <v>49015210</v>
      </c>
      <c r="B211" s="106" t="s">
        <v>365</v>
      </c>
      <c r="C211" s="50">
        <v>3</v>
      </c>
      <c r="D211" s="107" t="s">
        <v>127</v>
      </c>
      <c r="E211" s="120" t="s">
        <v>270</v>
      </c>
      <c r="F211" s="120" t="s">
        <v>261</v>
      </c>
      <c r="G211" s="108" t="str">
        <f t="shared" si="232"/>
        <v>[effect:enemy_message, val1:1.4, val2:0]</v>
      </c>
      <c r="H211" s="108">
        <f t="shared" si="233"/>
        <v>9</v>
      </c>
      <c r="I211" s="108">
        <f t="shared" si="234"/>
        <v>22</v>
      </c>
      <c r="J211" s="108" t="e">
        <f t="shared" si="235"/>
        <v>#VALUE!</v>
      </c>
      <c r="K211" s="108">
        <f t="shared" si="236"/>
        <v>32</v>
      </c>
      <c r="L211" s="108" t="str">
        <f>IFERROR(VLOOKUP(MID(G211,J211,K211-J211),[6]skilldef!$C:$D,2,FALSE),"-") &amp; " / " &amp; IFERROR(VLOOKUP(MID(G211,H211,I211-H211),[6]skilldef!$A:$B,2,FALSE),"-")</f>
        <v>- / -</v>
      </c>
      <c r="M211" s="108" t="str">
        <f t="shared" si="237"/>
        <v>[effect:fix_speed, target:myself, turn:1]</v>
      </c>
      <c r="N211" s="109" t="str">
        <f t="shared" si="248"/>
        <v>[effect:fix_speed, target:myself, turn:1]</v>
      </c>
      <c r="O211" s="108">
        <f t="shared" si="238"/>
        <v>9</v>
      </c>
      <c r="P211" s="108">
        <f t="shared" si="239"/>
        <v>18</v>
      </c>
      <c r="Q211" s="108">
        <f t="shared" si="240"/>
        <v>27</v>
      </c>
      <c r="R211" s="108">
        <f t="shared" si="241"/>
        <v>33</v>
      </c>
      <c r="S211" s="108" t="str">
        <f>IFERROR(VLOOKUP(MID(N211,Q211,R211-Q211),[6]skilldef!$C:$D,2,FALSE),"-") &amp; " / " &amp; IFERROR(VLOOKUP(MID(N211,O211,P211-O211),[6]skilldef!$A:$B,2,FALSE),"-")</f>
        <v>自分自身に / 行動値設定</v>
      </c>
      <c r="T211" s="109" t="str">
        <f t="shared" si="242"/>
        <v>none</v>
      </c>
      <c r="U211" s="108" t="e">
        <f t="shared" si="243"/>
        <v>#VALUE!</v>
      </c>
      <c r="V211" s="108">
        <f t="shared" si="244"/>
        <v>4</v>
      </c>
      <c r="W211" s="108" t="e">
        <f t="shared" si="245"/>
        <v>#VALUE!</v>
      </c>
      <c r="X211" s="108" t="e">
        <f t="shared" si="246"/>
        <v>#VALUE!</v>
      </c>
      <c r="Y211" s="108" t="str">
        <f>IFERROR(VLOOKUP(MID(T211,W211,X211-W211),[6]skilldef!$C:$D,2,FALSE),"-") &amp; " / " &amp; IFERROR(VLOOKUP(MID(T211,U211,V211-U211),[6]skilldef!$A:$B,2,FALSE),"-")</f>
        <v>- / -</v>
      </c>
      <c r="Z211" s="107"/>
      <c r="AA211" s="110"/>
      <c r="AB211" s="107"/>
    </row>
    <row r="212" spans="1:28" ht="21" customHeight="1" x14ac:dyDescent="0.15">
      <c r="A212" s="121">
        <v>49015211</v>
      </c>
      <c r="B212" s="47" t="s">
        <v>444</v>
      </c>
      <c r="C212" s="50">
        <v>3</v>
      </c>
      <c r="D212" s="50" t="s">
        <v>127</v>
      </c>
      <c r="E212" s="105" t="s">
        <v>267</v>
      </c>
      <c r="F212" s="105" t="s">
        <v>268</v>
      </c>
      <c r="G212" s="63" t="str">
        <f t="shared" si="232"/>
        <v>[effect:enemy_message, val1:1.2, val2:1.2]</v>
      </c>
      <c r="H212" s="63">
        <f t="shared" si="233"/>
        <v>9</v>
      </c>
      <c r="I212" s="63">
        <f t="shared" si="234"/>
        <v>22</v>
      </c>
      <c r="J212" s="63" t="e">
        <f t="shared" si="235"/>
        <v>#VALUE!</v>
      </c>
      <c r="K212" s="63">
        <f t="shared" si="236"/>
        <v>32</v>
      </c>
      <c r="L212" s="63" t="str">
        <f>IFERROR(VLOOKUP(MID(G212,J212,K212-J212),[6]skilldef!$C:$D,2,FALSE),"-") &amp; " / " &amp; IFERROR(VLOOKUP(MID(G212,H212,I212-H212),[6]skilldef!$A:$B,2,FALSE),"-")</f>
        <v>- / -</v>
      </c>
      <c r="M212" s="63" t="str">
        <f t="shared" si="237"/>
        <v>[effect:rush, count:4, val:0.14]</v>
      </c>
      <c r="N212" s="48" t="str">
        <f t="shared" si="248"/>
        <v>[effect:rush, count:4, val:0.14]</v>
      </c>
      <c r="O212" s="63">
        <f t="shared" si="238"/>
        <v>9</v>
      </c>
      <c r="P212" s="63">
        <f t="shared" si="239"/>
        <v>13</v>
      </c>
      <c r="Q212" s="63" t="e">
        <f t="shared" si="240"/>
        <v>#VALUE!</v>
      </c>
      <c r="R212" s="63">
        <f t="shared" si="241"/>
        <v>22</v>
      </c>
      <c r="S212" s="63" t="str">
        <f>IFERROR(VLOOKUP(MID(N212,Q212,R212-Q212),[6]skilldef!$C:$D,2,FALSE),"-") &amp; " / " &amp; IFERROR(VLOOKUP(MID(N212,O212,P212-O212),[6]skilldef!$A:$B,2,FALSE),"-")</f>
        <v>- / 連続攻撃</v>
      </c>
      <c r="T212" s="48" t="str">
        <f t="shared" si="242"/>
        <v>none</v>
      </c>
      <c r="U212" s="63" t="e">
        <f t="shared" si="243"/>
        <v>#VALUE!</v>
      </c>
      <c r="V212" s="63">
        <f t="shared" si="244"/>
        <v>4</v>
      </c>
      <c r="W212" s="63" t="e">
        <f t="shared" si="245"/>
        <v>#VALUE!</v>
      </c>
      <c r="X212" s="63" t="e">
        <f t="shared" si="246"/>
        <v>#VALUE!</v>
      </c>
      <c r="Y212" s="63" t="str">
        <f>IFERROR(VLOOKUP(MID(T212,W212,X212-W212),[6]skilldef!$C:$D,2,FALSE),"-") &amp; " / " &amp; IFERROR(VLOOKUP(MID(T212,U212,V212-U212),[6]skilldef!$A:$B,2,FALSE),"-")</f>
        <v>- / -</v>
      </c>
      <c r="Z212" s="50"/>
      <c r="AA212" s="51"/>
      <c r="AB212" s="50"/>
    </row>
    <row r="213" spans="1:28" ht="21" customHeight="1" x14ac:dyDescent="0.15">
      <c r="A213" s="121">
        <v>49015212</v>
      </c>
      <c r="B213" s="47" t="s">
        <v>368</v>
      </c>
      <c r="C213" s="50">
        <v>3</v>
      </c>
      <c r="D213" s="50" t="s">
        <v>127</v>
      </c>
      <c r="E213" s="105" t="s">
        <v>610</v>
      </c>
      <c r="F213" s="105" t="s">
        <v>269</v>
      </c>
      <c r="G213" s="63" t="str">
        <f t="shared" si="232"/>
        <v>[effect:enemy_message, val1:1.6, val2:1.2]</v>
      </c>
      <c r="H213" s="63">
        <f t="shared" si="233"/>
        <v>9</v>
      </c>
      <c r="I213" s="63">
        <f t="shared" si="234"/>
        <v>22</v>
      </c>
      <c r="J213" s="63" t="e">
        <f t="shared" si="235"/>
        <v>#VALUE!</v>
      </c>
      <c r="K213" s="63">
        <f t="shared" si="236"/>
        <v>32</v>
      </c>
      <c r="L213" s="63" t="str">
        <f>IFERROR(VLOOKUP(MID(G213,J213,K213-J213),[6]skilldef!$C:$D,2,FALSE),"-") &amp; " / " &amp; IFERROR(VLOOKUP(MID(G213,H213,I213-H213),[6]skilldef!$A:$B,2,FALSE),"-")</f>
        <v>- / -</v>
      </c>
      <c r="M213" s="63" t="str">
        <f t="shared" si="237"/>
        <v>[effect:spread, val:0.15]</v>
      </c>
      <c r="N213" s="48" t="str">
        <f t="shared" si="248"/>
        <v>[effect:spread, val:0.15]</v>
      </c>
      <c r="O213" s="63">
        <f t="shared" si="238"/>
        <v>9</v>
      </c>
      <c r="P213" s="63">
        <f t="shared" si="239"/>
        <v>15</v>
      </c>
      <c r="Q213" s="63" t="e">
        <f t="shared" si="240"/>
        <v>#VALUE!</v>
      </c>
      <c r="R213" s="63" t="e">
        <f t="shared" si="241"/>
        <v>#VALUE!</v>
      </c>
      <c r="S213" s="63" t="str">
        <f>IFERROR(VLOOKUP(MID(N213,Q213,R213-Q213),[6]skilldef!$C:$D,2,FALSE),"-") &amp; " / " &amp; IFERROR(VLOOKUP(MID(N213,O213,P213-O213),[6]skilldef!$A:$B,2,FALSE),"-")</f>
        <v>- / 全体攻撃</v>
      </c>
      <c r="T213" s="48" t="str">
        <f t="shared" si="242"/>
        <v>none</v>
      </c>
      <c r="U213" s="63" t="e">
        <f t="shared" si="243"/>
        <v>#VALUE!</v>
      </c>
      <c r="V213" s="63">
        <f t="shared" si="244"/>
        <v>4</v>
      </c>
      <c r="W213" s="63" t="e">
        <f t="shared" si="245"/>
        <v>#VALUE!</v>
      </c>
      <c r="X213" s="63" t="e">
        <f t="shared" si="246"/>
        <v>#VALUE!</v>
      </c>
      <c r="Y213" s="63" t="str">
        <f>IFERROR(VLOOKUP(MID(T213,W213,X213-W213),[6]skilldef!$C:$D,2,FALSE),"-") &amp; " / " &amp; IFERROR(VLOOKUP(MID(T213,U213,V213-U213),[6]skilldef!$A:$B,2,FALSE),"-")</f>
        <v>- / -</v>
      </c>
      <c r="Z213" s="50"/>
      <c r="AA213" s="51"/>
      <c r="AB213" s="50"/>
    </row>
    <row r="214" spans="1:28" ht="21" customHeight="1" x14ac:dyDescent="0.15">
      <c r="A214" s="121">
        <v>49015213</v>
      </c>
      <c r="B214" s="47" t="s">
        <v>450</v>
      </c>
      <c r="C214" s="50">
        <v>3</v>
      </c>
      <c r="D214" s="50" t="s">
        <v>127</v>
      </c>
      <c r="E214" s="105" t="s">
        <v>271</v>
      </c>
      <c r="F214" s="105" t="s">
        <v>284</v>
      </c>
      <c r="G214" s="63" t="str">
        <f t="shared" si="232"/>
        <v>[effect:enemy_message, val1:1.2, val2:1.2]</v>
      </c>
      <c r="H214" s="63">
        <f t="shared" si="233"/>
        <v>9</v>
      </c>
      <c r="I214" s="63">
        <f t="shared" si="234"/>
        <v>22</v>
      </c>
      <c r="J214" s="63" t="e">
        <f t="shared" si="235"/>
        <v>#VALUE!</v>
      </c>
      <c r="K214" s="63">
        <f t="shared" si="236"/>
        <v>32</v>
      </c>
      <c r="L214" s="63" t="str">
        <f>IFERROR(VLOOKUP(MID(G214,J214,K214-J214),[6]skilldef!$C:$D,2,FALSE),"-") &amp; " / " &amp; IFERROR(VLOOKUP(MID(G214,H214,I214-H214),[6]skilldef!$A:$B,2,FALSE),"-")</f>
        <v>- / -</v>
      </c>
      <c r="M214" s="63" t="str">
        <f t="shared" si="237"/>
        <v>[effect:critical, val:1.11, animation:enemy_critical]</v>
      </c>
      <c r="N214" s="48" t="str">
        <f t="shared" si="248"/>
        <v>[effect:critical, val:1.11, animation:enemy_critical]</v>
      </c>
      <c r="O214" s="63">
        <f t="shared" si="238"/>
        <v>9</v>
      </c>
      <c r="P214" s="63">
        <f t="shared" si="239"/>
        <v>17</v>
      </c>
      <c r="Q214" s="63" t="e">
        <f t="shared" si="240"/>
        <v>#VALUE!</v>
      </c>
      <c r="R214" s="63">
        <f t="shared" si="241"/>
        <v>27</v>
      </c>
      <c r="S214" s="63" t="str">
        <f>IFERROR(VLOOKUP(MID(N214,Q214,R214-Q214),[6]skilldef!$C:$D,2,FALSE),"-") &amp; " / " &amp; IFERROR(VLOOKUP(MID(N214,O214,P214-O214),[6]skilldef!$A:$B,2,FALSE),"-")</f>
        <v>- / 大攻撃</v>
      </c>
      <c r="T214" s="48" t="str">
        <f t="shared" si="242"/>
        <v>none</v>
      </c>
      <c r="U214" s="63" t="e">
        <f t="shared" si="243"/>
        <v>#VALUE!</v>
      </c>
      <c r="V214" s="63">
        <f t="shared" si="244"/>
        <v>4</v>
      </c>
      <c r="W214" s="63" t="e">
        <f t="shared" si="245"/>
        <v>#VALUE!</v>
      </c>
      <c r="X214" s="63" t="e">
        <f t="shared" si="246"/>
        <v>#VALUE!</v>
      </c>
      <c r="Y214" s="63" t="str">
        <f>IFERROR(VLOOKUP(MID(T214,W214,X214-W214),[6]skilldef!$C:$D,2,FALSE),"-") &amp; " / " &amp; IFERROR(VLOOKUP(MID(T214,U214,V214-U214),[6]skilldef!$A:$B,2,FALSE),"-")</f>
        <v>- / -</v>
      </c>
      <c r="Z214" s="50"/>
      <c r="AA214" s="51"/>
      <c r="AB214" s="50"/>
    </row>
    <row r="215" spans="1:28" ht="21" customHeight="1" thickBot="1" x14ac:dyDescent="0.2">
      <c r="A215" s="122">
        <v>49015214</v>
      </c>
      <c r="B215" s="111" t="s">
        <v>355</v>
      </c>
      <c r="C215" s="50">
        <v>3</v>
      </c>
      <c r="D215" s="112" t="s">
        <v>127</v>
      </c>
      <c r="E215" s="117" t="s">
        <v>273</v>
      </c>
      <c r="F215" s="117" t="s">
        <v>272</v>
      </c>
      <c r="G215" s="113" t="str">
        <f t="shared" si="232"/>
        <v>[effect:enemy_message, val1:1.2, val2:1.2]</v>
      </c>
      <c r="H215" s="113">
        <f t="shared" si="233"/>
        <v>9</v>
      </c>
      <c r="I215" s="113">
        <f t="shared" si="234"/>
        <v>22</v>
      </c>
      <c r="J215" s="113" t="e">
        <f t="shared" si="235"/>
        <v>#VALUE!</v>
      </c>
      <c r="K215" s="113">
        <f t="shared" si="236"/>
        <v>32</v>
      </c>
      <c r="L215" s="113" t="str">
        <f>IFERROR(VLOOKUP(MID(G215,J215,K215-J215),[6]skilldef!$C:$D,2,FALSE),"-") &amp; " / " &amp; IFERROR(VLOOKUP(MID(G215,H215,I215-H215),[6]skilldef!$A:$B,2,FALSE),"-")</f>
        <v>- / -</v>
      </c>
      <c r="M215" s="113" t="str">
        <f t="shared" si="237"/>
        <v>[effect:suicide, target:myself, val:1, dead_type:escape, animation:enemy_suicide]</v>
      </c>
      <c r="N215" s="114" t="str">
        <f t="shared" si="248"/>
        <v>[effect:suicide, target:myself, val:1, dead_type:escape, animation:enemy_suicide]</v>
      </c>
      <c r="O215" s="113">
        <f t="shared" si="238"/>
        <v>9</v>
      </c>
      <c r="P215" s="113">
        <f t="shared" si="239"/>
        <v>16</v>
      </c>
      <c r="Q215" s="113">
        <f t="shared" si="240"/>
        <v>25</v>
      </c>
      <c r="R215" s="113">
        <f t="shared" si="241"/>
        <v>31</v>
      </c>
      <c r="S215" s="113" t="str">
        <f>IFERROR(VLOOKUP(MID(N215,Q215,R215-Q215),[6]skilldef!$C:$D,2,FALSE),"-") &amp; " / " &amp; IFERROR(VLOOKUP(MID(N215,O215,P215-O215),[6]skilldef!$A:$B,2,FALSE),"-")</f>
        <v>自分自身に / -</v>
      </c>
      <c r="T215" s="114" t="str">
        <f t="shared" si="242"/>
        <v>none</v>
      </c>
      <c r="U215" s="113" t="e">
        <f t="shared" si="243"/>
        <v>#VALUE!</v>
      </c>
      <c r="V215" s="113">
        <f t="shared" si="244"/>
        <v>4</v>
      </c>
      <c r="W215" s="113" t="e">
        <f t="shared" si="245"/>
        <v>#VALUE!</v>
      </c>
      <c r="X215" s="113" t="e">
        <f t="shared" si="246"/>
        <v>#VALUE!</v>
      </c>
      <c r="Y215" s="113" t="str">
        <f>IFERROR(VLOOKUP(MID(T215,W215,X215-W215),[6]skilldef!$C:$D,2,FALSE),"-") &amp; " / " &amp; IFERROR(VLOOKUP(MID(T215,U215,V215-U215),[6]skilldef!$A:$B,2,FALSE),"-")</f>
        <v>- / -</v>
      </c>
      <c r="Z215" s="112"/>
      <c r="AA215" s="115"/>
      <c r="AB215" s="112"/>
    </row>
    <row r="216" spans="1:28" ht="21" customHeight="1" x14ac:dyDescent="0.15">
      <c r="A216" s="124">
        <v>49015215</v>
      </c>
      <c r="B216" s="146" t="s">
        <v>506</v>
      </c>
      <c r="C216" s="50">
        <v>3</v>
      </c>
      <c r="D216" s="107" t="s">
        <v>127</v>
      </c>
      <c r="E216" s="118" t="s">
        <v>371</v>
      </c>
      <c r="F216" s="118" t="s">
        <v>608</v>
      </c>
      <c r="G216" s="108" t="str">
        <f t="shared" si="232"/>
        <v>[effect:enemy_message, val1:1.4, val2:2.0]</v>
      </c>
      <c r="H216" s="108">
        <f t="shared" si="233"/>
        <v>9</v>
      </c>
      <c r="I216" s="108">
        <f t="shared" si="234"/>
        <v>22</v>
      </c>
      <c r="J216" s="108" t="e">
        <f t="shared" si="235"/>
        <v>#VALUE!</v>
      </c>
      <c r="K216" s="108">
        <f t="shared" si="236"/>
        <v>32</v>
      </c>
      <c r="L216" s="108" t="str">
        <f>IFERROR(VLOOKUP(MID(G216,J216,K216-J216),[6]skilldef!$C:$D,2,FALSE),"-") &amp; " / " &amp; IFERROR(VLOOKUP(MID(G216,H216,I216-H216),[6]skilldef!$A:$B,2,FALSE),"-")</f>
        <v>- / -</v>
      </c>
      <c r="M216" s="108" t="str">
        <f t="shared" si="237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216" s="109" t="str">
        <f t="shared" si="248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216" s="108">
        <f t="shared" si="238"/>
        <v>9</v>
      </c>
      <c r="P216" s="108">
        <f t="shared" si="239"/>
        <v>18</v>
      </c>
      <c r="Q216" s="108">
        <f t="shared" si="240"/>
        <v>27</v>
      </c>
      <c r="R216" s="108">
        <f t="shared" si="241"/>
        <v>33</v>
      </c>
      <c r="S216" s="108" t="str">
        <f>IFERROR(VLOOKUP(MID(N216,Q216,R216-Q216),[6]skilldef!$C:$D,2,FALSE),"-") &amp; " / " &amp; IFERROR(VLOOKUP(MID(N216,O216,P216-O216),[6]skilldef!$A:$B,2,FALSE),"-")</f>
        <v>自分自身に / 行動値設定</v>
      </c>
      <c r="T216" s="109" t="str">
        <f t="shared" si="242"/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216" s="108">
        <f t="shared" si="243"/>
        <v>9</v>
      </c>
      <c r="V216" s="108">
        <f t="shared" si="244"/>
        <v>27</v>
      </c>
      <c r="W216" s="108">
        <f t="shared" si="245"/>
        <v>141</v>
      </c>
      <c r="X216" s="108">
        <f t="shared" si="246"/>
        <v>43</v>
      </c>
      <c r="Y216" s="108" t="str">
        <f>IFERROR(VLOOKUP(MID(T216,W216,X216-W216),[6]skilldef!$C:$D,2,FALSE),"-") &amp; " / " &amp; IFERROR(VLOOKUP(MID(T216,U216,V216-U216),[6]skilldef!$A:$B,2,FALSE),"-")</f>
        <v>- / -</v>
      </c>
      <c r="Z216" s="107"/>
      <c r="AA216" s="110"/>
      <c r="AB216" s="107"/>
    </row>
    <row r="217" spans="1:28" ht="280" x14ac:dyDescent="0.15">
      <c r="A217" s="124">
        <v>49015216</v>
      </c>
      <c r="B217" s="146" t="s">
        <v>507</v>
      </c>
      <c r="C217" s="50">
        <v>3</v>
      </c>
      <c r="D217" s="50" t="s">
        <v>127</v>
      </c>
      <c r="E217" s="119" t="s">
        <v>274</v>
      </c>
      <c r="F217" s="105" t="s">
        <v>275</v>
      </c>
      <c r="G217" s="63" t="str">
        <f t="shared" si="232"/>
        <v>[effect:enemy_message, val1:2.2, val2:1.2]</v>
      </c>
      <c r="H217" s="63">
        <f t="shared" si="233"/>
        <v>9</v>
      </c>
      <c r="I217" s="63">
        <f t="shared" si="234"/>
        <v>22</v>
      </c>
      <c r="J217" s="63" t="e">
        <f t="shared" si="235"/>
        <v>#VALUE!</v>
      </c>
      <c r="K217" s="63">
        <f t="shared" si="236"/>
        <v>32</v>
      </c>
      <c r="L217" s="63" t="str">
        <f>IFERROR(VLOOKUP(MID(G217,J217,K217-J217),[6]skilldef!$C:$D,2,FALSE),"-") &amp; " / " &amp; IFERROR(VLOOKUP(MID(G217,H217,I217-H217),[6]skilldef!$A:$B,2,FALSE),"-")</f>
        <v>- / -</v>
      </c>
      <c r="M217" s="63" t="str">
        <f t="shared" si="237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217" s="48" t="str">
        <f t="shared" si="248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217" s="63">
        <f t="shared" si="238"/>
        <v>9</v>
      </c>
      <c r="P217" s="63">
        <f t="shared" si="239"/>
        <v>18</v>
      </c>
      <c r="Q217" s="63">
        <f t="shared" si="240"/>
        <v>27</v>
      </c>
      <c r="R217" s="63">
        <f t="shared" si="241"/>
        <v>33</v>
      </c>
      <c r="S217" s="63" t="str">
        <f>IFERROR(VLOOKUP(MID(N217,Q217,R217-Q217),[6]skilldef!$C:$D,2,FALSE),"-") &amp; " / " &amp; IFERROR(VLOOKUP(MID(N217,O217,P217-O217),[6]skilldef!$A:$B,2,FALSE),"-")</f>
        <v>自分自身に / 行動値設定</v>
      </c>
      <c r="T217" s="48" t="str">
        <f t="shared" si="242"/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217" s="63">
        <f t="shared" si="243"/>
        <v>9</v>
      </c>
      <c r="V217" s="63">
        <f t="shared" si="244"/>
        <v>27</v>
      </c>
      <c r="W217" s="63">
        <f t="shared" si="245"/>
        <v>141</v>
      </c>
      <c r="X217" s="63">
        <f t="shared" si="246"/>
        <v>43</v>
      </c>
      <c r="Y217" s="63" t="str">
        <f>IFERROR(VLOOKUP(MID(T217,W217,X217-W217),[6]skilldef!$C:$D,2,FALSE),"-") &amp; " / " &amp; IFERROR(VLOOKUP(MID(T217,U217,V217-U217),[6]skilldef!$A:$B,2,FALSE),"-")</f>
        <v>- / -</v>
      </c>
      <c r="Z217" s="50"/>
      <c r="AA217" s="51"/>
      <c r="AB217" s="50"/>
    </row>
    <row r="218" spans="1:28" ht="21" customHeight="1" x14ac:dyDescent="0.15">
      <c r="A218" s="124">
        <v>49015217</v>
      </c>
      <c r="B218" s="146" t="s">
        <v>508</v>
      </c>
      <c r="C218" s="50">
        <v>3</v>
      </c>
      <c r="D218" s="50" t="s">
        <v>127</v>
      </c>
      <c r="E218" s="105" t="s">
        <v>276</v>
      </c>
      <c r="F218" s="156" t="s">
        <v>411</v>
      </c>
      <c r="G218" s="63" t="str">
        <f t="shared" ref="G218:G280" si="249">IFERROR(LEFT(B218,FIND("],",B218)),B218)</f>
        <v>[effect:enemy_message, val1:1.8, val2:1.2]</v>
      </c>
      <c r="H218" s="63">
        <f t="shared" ref="H218:H280" si="250">FIND("effect:",G218)+7</f>
        <v>9</v>
      </c>
      <c r="I218" s="63">
        <f t="shared" ref="I218:I280" si="251">IFERROR(FIND(",",G218),LEN(G218))</f>
        <v>22</v>
      </c>
      <c r="J218" s="63" t="e">
        <f t="shared" ref="J218:J280" si="252">FIND("target:",G218)+7</f>
        <v>#VALUE!</v>
      </c>
      <c r="K218" s="63">
        <f t="shared" ref="K218:K280" si="253">FIND(",",G218,I218+1)</f>
        <v>32</v>
      </c>
      <c r="L218" s="63" t="str">
        <f>IFERROR(VLOOKUP(MID(G218,J218,K218-J218),[6]skilldef!$C:$D,2,FALSE),"-") &amp; " / " &amp; IFERROR(VLOOKUP(MID(G218,H218,I218-H218),[6]skilldef!$A:$B,2,FALSE),"-")</f>
        <v>- / -</v>
      </c>
      <c r="M218" s="63" t="str">
        <f t="shared" ref="M218:M280" si="254">IFERROR(RIGHT(B218,LEN(B218)-FIND("],",B218)-1),"none")</f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218" s="48" t="str">
        <f t="shared" si="248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218" s="63">
        <f t="shared" ref="O218:O280" si="255">FIND("effect:",N218)+7</f>
        <v>9</v>
      </c>
      <c r="P218" s="63">
        <f t="shared" ref="P218:P280" si="256">IFERROR(FIND(",",N218),LEN(N218))</f>
        <v>18</v>
      </c>
      <c r="Q218" s="63">
        <f t="shared" ref="Q218:Q280" si="257">FIND("target:",N218)+7</f>
        <v>27</v>
      </c>
      <c r="R218" s="63">
        <f t="shared" ref="R218:R280" si="258">FIND(",",N218,P218+1)</f>
        <v>33</v>
      </c>
      <c r="S218" s="63" t="str">
        <f>IFERROR(VLOOKUP(MID(N218,Q218,R218-Q218),[6]skilldef!$C:$D,2,FALSE),"-") &amp; " / " &amp; IFERROR(VLOOKUP(MID(N218,O218,P218-O218),[6]skilldef!$A:$B,2,FALSE),"-")</f>
        <v>自分自身に / 行動値設定</v>
      </c>
      <c r="T218" s="48" t="str">
        <f t="shared" ref="T218:T280" si="259">IFERROR(RIGHT(M218,LEN(M218)-FIND("],",M218)-1),"none")</f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218" s="63">
        <f t="shared" ref="U218:U280" si="260">FIND("effect:",T218)+7</f>
        <v>9</v>
      </c>
      <c r="V218" s="63">
        <f t="shared" ref="V218:V280" si="261">IFERROR(FIND(",",T218),LEN(T218))</f>
        <v>27</v>
      </c>
      <c r="W218" s="63">
        <f t="shared" ref="W218:W280" si="262">FIND("target:",T218)+7</f>
        <v>141</v>
      </c>
      <c r="X218" s="63">
        <f t="shared" ref="X218:X280" si="263">FIND(",",T218,V218+1)</f>
        <v>43</v>
      </c>
      <c r="Y218" s="63" t="str">
        <f>IFERROR(VLOOKUP(MID(T218,W218,X218-W218),[6]skilldef!$C:$D,2,FALSE),"-") &amp; " / " &amp; IFERROR(VLOOKUP(MID(T218,U218,V218-U218),[6]skilldef!$A:$B,2,FALSE),"-")</f>
        <v>- / -</v>
      </c>
      <c r="Z218" s="50"/>
      <c r="AA218" s="51"/>
      <c r="AB218" s="50"/>
    </row>
    <row r="219" spans="1:28" ht="336" x14ac:dyDescent="0.15">
      <c r="A219" s="124">
        <v>49015218</v>
      </c>
      <c r="B219" s="146" t="s">
        <v>597</v>
      </c>
      <c r="C219" s="50">
        <v>3</v>
      </c>
      <c r="D219" s="50" t="s">
        <v>127</v>
      </c>
      <c r="E219" s="119" t="s">
        <v>277</v>
      </c>
      <c r="F219" s="119" t="s">
        <v>600</v>
      </c>
      <c r="G219" s="63" t="str">
        <f t="shared" si="249"/>
        <v>[effect:enemy_message, val1:2.5, val2:2.8]</v>
      </c>
      <c r="H219" s="63">
        <f t="shared" si="250"/>
        <v>9</v>
      </c>
      <c r="I219" s="63">
        <f t="shared" si="251"/>
        <v>22</v>
      </c>
      <c r="J219" s="63" t="e">
        <f t="shared" si="252"/>
        <v>#VALUE!</v>
      </c>
      <c r="K219" s="63">
        <f t="shared" si="253"/>
        <v>32</v>
      </c>
      <c r="L219" s="63" t="str">
        <f>IFERROR(VLOOKUP(MID(G219,J219,K219-J219),[6]skilldef!$C:$D,2,FALSE),"-") &amp; " / " &amp; IFERROR(VLOOKUP(MID(G219,H219,I219-H219),[6]skilldef!$A:$B,2,FALSE),"-")</f>
        <v>- / -</v>
      </c>
      <c r="M219" s="63" t="str">
        <f t="shared" si="254"/>
        <v>[effect:fix_speed, target:myself, turn:2],[effect:enhance_unit, target:unit_red/unit_human/unit_hero/unit_attack/and, turn:-1, status:attack, val:0.7, calc:mul],[effect:change_range_block,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219" s="48" t="str">
        <f t="shared" si="248"/>
        <v>[effect:fix_speed, target:myself, turn:2],[effect:enhance_unit, target:unit_red/unit_human/unit_hero/unit_attack/and, turn:-1, status:attack, val:0.7, calc:mul],[effect:change_range_block,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219" s="63">
        <f t="shared" si="255"/>
        <v>9</v>
      </c>
      <c r="P219" s="63">
        <f t="shared" si="256"/>
        <v>18</v>
      </c>
      <c r="Q219" s="63">
        <f t="shared" si="257"/>
        <v>27</v>
      </c>
      <c r="R219" s="63">
        <f t="shared" si="258"/>
        <v>33</v>
      </c>
      <c r="S219" s="63" t="str">
        <f>IFERROR(VLOOKUP(MID(N219,Q219,R219-Q219),[6]skilldef!$C:$D,2,FALSE),"-") &amp; " / " &amp; IFERROR(VLOOKUP(MID(N219,O219,P219-O219),[6]skilldef!$A:$B,2,FALSE),"-")</f>
        <v>自分自身に / 行動値設定</v>
      </c>
      <c r="T219" s="48" t="str">
        <f t="shared" si="259"/>
        <v>[effect:enhance_unit, target:unit_red/unit_human/unit_hero/unit_attack/and, turn:-1, status:attack, val:0.7, calc:mul],[effect:change_range_block,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219" s="63">
        <f t="shared" si="260"/>
        <v>9</v>
      </c>
      <c r="V219" s="63">
        <f t="shared" si="261"/>
        <v>21</v>
      </c>
      <c r="W219" s="63">
        <f t="shared" si="262"/>
        <v>30</v>
      </c>
      <c r="X219" s="63">
        <f t="shared" si="263"/>
        <v>75</v>
      </c>
      <c r="Y219" s="63" t="str">
        <f>IFERROR(VLOOKUP(MID(T219,W219,X219-W219),[6]skilldef!$C:$D,2,FALSE),"-") &amp; " / " &amp; IFERROR(VLOOKUP(MID(T219,U219,V219-U219),[6]skilldef!$A:$B,2,FALSE),"-")</f>
        <v>- / -</v>
      </c>
      <c r="Z219" s="50"/>
      <c r="AA219" s="51"/>
      <c r="AB219" s="50"/>
    </row>
    <row r="220" spans="1:28" ht="21" customHeight="1" x14ac:dyDescent="0.15">
      <c r="A220" s="124">
        <v>49015219</v>
      </c>
      <c r="B220" s="146" t="s">
        <v>509</v>
      </c>
      <c r="C220" s="50">
        <v>3</v>
      </c>
      <c r="D220" s="50" t="s">
        <v>127</v>
      </c>
      <c r="E220" s="105" t="s">
        <v>278</v>
      </c>
      <c r="F220" s="105" t="s">
        <v>279</v>
      </c>
      <c r="G220" s="63" t="str">
        <f t="shared" si="249"/>
        <v>[effect:enemy_message, val1:1.5, val2:1.7]</v>
      </c>
      <c r="H220" s="63">
        <f t="shared" si="250"/>
        <v>9</v>
      </c>
      <c r="I220" s="63">
        <f t="shared" si="251"/>
        <v>22</v>
      </c>
      <c r="J220" s="63" t="e">
        <f t="shared" si="252"/>
        <v>#VALUE!</v>
      </c>
      <c r="K220" s="63">
        <f t="shared" si="253"/>
        <v>32</v>
      </c>
      <c r="L220" s="63" t="str">
        <f>IFERROR(VLOOKUP(MID(G220,J220,K220-J220),[6]skilldef!$C:$D,2,FALSE),"-") &amp; " / " &amp; IFERROR(VLOOKUP(MID(G220,H220,I220-H220),[6]skilldef!$A:$B,2,FALSE),"-")</f>
        <v>- / -</v>
      </c>
      <c r="M220" s="63" t="str">
        <f t="shared" si="254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220" s="48" t="str">
        <f t="shared" si="248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220" s="63">
        <f t="shared" si="255"/>
        <v>9</v>
      </c>
      <c r="P220" s="63">
        <f t="shared" si="256"/>
        <v>18</v>
      </c>
      <c r="Q220" s="63">
        <f t="shared" si="257"/>
        <v>27</v>
      </c>
      <c r="R220" s="63">
        <f t="shared" si="258"/>
        <v>33</v>
      </c>
      <c r="S220" s="63" t="str">
        <f>IFERROR(VLOOKUP(MID(N220,Q220,R220-Q220),[6]skilldef!$C:$D,2,FALSE),"-") &amp; " / " &amp; IFERROR(VLOOKUP(MID(N220,O220,P220-O220),[6]skilldef!$A:$B,2,FALSE),"-")</f>
        <v>自分自身に / 行動値設定</v>
      </c>
      <c r="T220" s="48" t="str">
        <f t="shared" si="259"/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220" s="63">
        <f t="shared" si="260"/>
        <v>9</v>
      </c>
      <c r="V220" s="63">
        <f t="shared" si="261"/>
        <v>27</v>
      </c>
      <c r="W220" s="63">
        <f t="shared" si="262"/>
        <v>141</v>
      </c>
      <c r="X220" s="63">
        <f t="shared" si="263"/>
        <v>43</v>
      </c>
      <c r="Y220" s="63" t="str">
        <f>IFERROR(VLOOKUP(MID(T220,W220,X220-W220),[6]skilldef!$C:$D,2,FALSE),"-") &amp; " / " &amp; IFERROR(VLOOKUP(MID(T220,U220,V220-U220),[6]skilldef!$A:$B,2,FALSE),"-")</f>
        <v>- / -</v>
      </c>
      <c r="Z220" s="50"/>
      <c r="AA220" s="51"/>
      <c r="AB220" s="50"/>
    </row>
    <row r="221" spans="1:28" ht="21" customHeight="1" x14ac:dyDescent="0.15">
      <c r="A221" s="124">
        <v>49015220</v>
      </c>
      <c r="B221" s="146" t="s">
        <v>512</v>
      </c>
      <c r="C221" s="50">
        <v>3</v>
      </c>
      <c r="D221" s="50" t="s">
        <v>127</v>
      </c>
      <c r="E221" s="105" t="s">
        <v>372</v>
      </c>
      <c r="F221" s="105" t="s">
        <v>280</v>
      </c>
      <c r="G221" s="63" t="str">
        <f t="shared" si="249"/>
        <v>[effect:enemy_message, val1:1.9, val2:1.2]</v>
      </c>
      <c r="H221" s="63">
        <f t="shared" si="250"/>
        <v>9</v>
      </c>
      <c r="I221" s="63">
        <f t="shared" si="251"/>
        <v>22</v>
      </c>
      <c r="J221" s="63" t="e">
        <f t="shared" si="252"/>
        <v>#VALUE!</v>
      </c>
      <c r="K221" s="63">
        <f t="shared" si="253"/>
        <v>32</v>
      </c>
      <c r="L221" s="63" t="str">
        <f>IFERROR(VLOOKUP(MID(G221,J221,K221-J221),[6]skilldef!$C:$D,2,FALSE),"-") &amp; " / " &amp; IFERROR(VLOOKUP(MID(G221,H221,I221-H221),[6]skilldef!$A:$B,2,FALSE),"-")</f>
        <v>- / -</v>
      </c>
      <c r="M221" s="63" t="str">
        <f t="shared" si="254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221" s="48" t="str">
        <f t="shared" si="248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221" s="63">
        <f t="shared" si="255"/>
        <v>9</v>
      </c>
      <c r="P221" s="63">
        <f t="shared" si="256"/>
        <v>18</v>
      </c>
      <c r="Q221" s="63">
        <f t="shared" si="257"/>
        <v>27</v>
      </c>
      <c r="R221" s="63">
        <f t="shared" si="258"/>
        <v>33</v>
      </c>
      <c r="S221" s="63" t="str">
        <f>IFERROR(VLOOKUP(MID(N221,Q221,R221-Q221),[6]skilldef!$C:$D,2,FALSE),"-") &amp; " / " &amp; IFERROR(VLOOKUP(MID(N221,O221,P221-O221),[6]skilldef!$A:$B,2,FALSE),"-")</f>
        <v>自分自身に / 行動値設定</v>
      </c>
      <c r="T221" s="48" t="str">
        <f t="shared" si="259"/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221" s="63">
        <f t="shared" si="260"/>
        <v>9</v>
      </c>
      <c r="V221" s="63">
        <f t="shared" si="261"/>
        <v>27</v>
      </c>
      <c r="W221" s="63">
        <f t="shared" si="262"/>
        <v>141</v>
      </c>
      <c r="X221" s="63">
        <f t="shared" si="263"/>
        <v>43</v>
      </c>
      <c r="Y221" s="63" t="str">
        <f>IFERROR(VLOOKUP(MID(T221,W221,X221-W221),[6]skilldef!$C:$D,2,FALSE),"-") &amp; " / " &amp; IFERROR(VLOOKUP(MID(T221,U221,V221-U221),[6]skilldef!$A:$B,2,FALSE),"-")</f>
        <v>- / -</v>
      </c>
      <c r="Z221" s="50"/>
      <c r="AA221" s="51"/>
      <c r="AB221" s="50"/>
    </row>
    <row r="222" spans="1:28" ht="21" customHeight="1" x14ac:dyDescent="0.15">
      <c r="A222" s="124">
        <v>49015221</v>
      </c>
      <c r="B222" s="146" t="s">
        <v>595</v>
      </c>
      <c r="C222" s="50">
        <v>3</v>
      </c>
      <c r="D222" s="50" t="s">
        <v>127</v>
      </c>
      <c r="E222" s="105" t="s">
        <v>594</v>
      </c>
      <c r="F222" s="118" t="s">
        <v>412</v>
      </c>
      <c r="G222" s="63" t="str">
        <f t="shared" si="249"/>
        <v>[effect:enemy_message, val1:1.4, val2:1.6]</v>
      </c>
      <c r="H222" s="63">
        <f t="shared" si="250"/>
        <v>9</v>
      </c>
      <c r="I222" s="63">
        <f t="shared" si="251"/>
        <v>22</v>
      </c>
      <c r="J222" s="63" t="e">
        <f t="shared" si="252"/>
        <v>#VALUE!</v>
      </c>
      <c r="K222" s="63">
        <f t="shared" si="253"/>
        <v>32</v>
      </c>
      <c r="L222" s="63" t="str">
        <f>IFERROR(VLOOKUP(MID(G222,J222,K222-J222),[6]skilldef!$C:$D,2,FALSE),"-") &amp; " / " &amp; IFERROR(VLOOKUP(MID(G222,H222,I222-H222),[6]skilldef!$A:$B,2,FALSE),"-")</f>
        <v>- / -</v>
      </c>
      <c r="M222" s="63" t="str">
        <f t="shared" si="254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222" s="48" t="str">
        <f t="shared" si="248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222" s="63">
        <f t="shared" si="255"/>
        <v>9</v>
      </c>
      <c r="P222" s="63">
        <f t="shared" si="256"/>
        <v>18</v>
      </c>
      <c r="Q222" s="63">
        <f t="shared" si="257"/>
        <v>27</v>
      </c>
      <c r="R222" s="63">
        <f t="shared" si="258"/>
        <v>33</v>
      </c>
      <c r="S222" s="63" t="str">
        <f>IFERROR(VLOOKUP(MID(N222,Q222,R222-Q222),[6]skilldef!$C:$D,2,FALSE),"-") &amp; " / " &amp; IFERROR(VLOOKUP(MID(N222,O222,P222-O222),[6]skilldef!$A:$B,2,FALSE),"-")</f>
        <v>自分自身に / 行動値設定</v>
      </c>
      <c r="T222" s="48" t="str">
        <f t="shared" si="259"/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222" s="63">
        <f t="shared" si="260"/>
        <v>9</v>
      </c>
      <c r="V222" s="63">
        <f t="shared" si="261"/>
        <v>27</v>
      </c>
      <c r="W222" s="63">
        <f t="shared" si="262"/>
        <v>141</v>
      </c>
      <c r="X222" s="63">
        <f t="shared" si="263"/>
        <v>43</v>
      </c>
      <c r="Y222" s="63" t="str">
        <f>IFERROR(VLOOKUP(MID(T222,W222,X222-W222),[6]skilldef!$C:$D,2,FALSE),"-") &amp; " / " &amp; IFERROR(VLOOKUP(MID(T222,U222,V222-U222),[6]skilldef!$A:$B,2,FALSE),"-")</f>
        <v>- / -</v>
      </c>
      <c r="Z222" s="50"/>
      <c r="AA222" s="51"/>
      <c r="AB222" s="50"/>
    </row>
    <row r="223" spans="1:28" ht="21" customHeight="1" x14ac:dyDescent="0.15">
      <c r="A223" s="124">
        <v>49015222</v>
      </c>
      <c r="B223" s="146" t="s">
        <v>511</v>
      </c>
      <c r="C223" s="50">
        <v>3</v>
      </c>
      <c r="D223" s="50" t="s">
        <v>127</v>
      </c>
      <c r="E223" s="105" t="s">
        <v>281</v>
      </c>
      <c r="F223" s="105" t="s">
        <v>282</v>
      </c>
      <c r="G223" s="63" t="str">
        <f t="shared" si="249"/>
        <v>[effect:enemy_message, val1:1.9, val2:1.5]</v>
      </c>
      <c r="H223" s="63">
        <f t="shared" si="250"/>
        <v>9</v>
      </c>
      <c r="I223" s="63">
        <f t="shared" si="251"/>
        <v>22</v>
      </c>
      <c r="J223" s="63" t="e">
        <f t="shared" si="252"/>
        <v>#VALUE!</v>
      </c>
      <c r="K223" s="63">
        <f t="shared" si="253"/>
        <v>32</v>
      </c>
      <c r="L223" s="63" t="str">
        <f>IFERROR(VLOOKUP(MID(G223,J223,K223-J223),[6]skilldef!$C:$D,2,FALSE),"-") &amp; " / " &amp; IFERROR(VLOOKUP(MID(G223,H223,I223-H223),[6]skilldef!$A:$B,2,FALSE),"-")</f>
        <v>- / -</v>
      </c>
      <c r="M223" s="63" t="str">
        <f t="shared" si="254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N223" s="48" t="str">
        <f t="shared" si="248"/>
        <v>[effect:fix_speed, target:myself, turn:2],[effect:change_range_block,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O223" s="63">
        <f t="shared" si="255"/>
        <v>9</v>
      </c>
      <c r="P223" s="63">
        <f t="shared" si="256"/>
        <v>18</v>
      </c>
      <c r="Q223" s="63">
        <f t="shared" si="257"/>
        <v>27</v>
      </c>
      <c r="R223" s="63">
        <f t="shared" si="258"/>
        <v>33</v>
      </c>
      <c r="S223" s="63" t="str">
        <f>IFERROR(VLOOKUP(MID(N223,Q223,R223-Q223),[6]skilldef!$C:$D,2,FALSE),"-") &amp; " / " &amp; IFERROR(VLOOKUP(MID(N223,O223,P223-O223),[6]skilldef!$A:$B,2,FALSE),"-")</f>
        <v>自分自身に / 行動値設定</v>
      </c>
      <c r="T223" s="48" t="str">
        <f t="shared" si="259"/>
        <v>[effect:change_range_block, block_change:1, base_type:0, square_count:2, position01:0,  value_h01:2, value_w01:1,  new_block:jammer, target:block_all, ignore01:block_positive, ignore02:jammer, count:0, val:0, animation:change_range_block],[effect:change_range_block, block_change:1, base_type:0, square_count:2, position01:1,  value_h01:2, value_w01:1,  new_block:block_green, target:block_all, ignore01:block_positive, ignore02:block_green, count:0, val:0, animation:change_range_block]</v>
      </c>
      <c r="U223" s="63">
        <f t="shared" si="260"/>
        <v>9</v>
      </c>
      <c r="V223" s="63">
        <f t="shared" si="261"/>
        <v>27</v>
      </c>
      <c r="W223" s="63">
        <f t="shared" si="262"/>
        <v>141</v>
      </c>
      <c r="X223" s="63">
        <f t="shared" si="263"/>
        <v>43</v>
      </c>
      <c r="Y223" s="63" t="str">
        <f>IFERROR(VLOOKUP(MID(T223,W223,X223-W223),[6]skilldef!$C:$D,2,FALSE),"-") &amp; " / " &amp; IFERROR(VLOOKUP(MID(T223,U223,V223-U223),[6]skilldef!$A:$B,2,FALSE),"-")</f>
        <v>- / -</v>
      </c>
      <c r="Z223" s="50"/>
      <c r="AA223" s="51"/>
      <c r="AB223" s="50"/>
    </row>
    <row r="224" spans="1:28" ht="21" customHeight="1" x14ac:dyDescent="0.15">
      <c r="A224" s="124">
        <v>49015223</v>
      </c>
      <c r="B224" s="106" t="s">
        <v>539</v>
      </c>
      <c r="C224" s="50">
        <v>3</v>
      </c>
      <c r="D224" s="50" t="s">
        <v>127</v>
      </c>
      <c r="E224" s="105" t="s">
        <v>283</v>
      </c>
      <c r="F224" s="105" t="s">
        <v>410</v>
      </c>
      <c r="G224" s="63" t="str">
        <f t="shared" si="249"/>
        <v>[effect:enemy_message, val1:1.2, val2:2.1]</v>
      </c>
      <c r="H224" s="63">
        <f t="shared" si="250"/>
        <v>9</v>
      </c>
      <c r="I224" s="63">
        <f t="shared" si="251"/>
        <v>22</v>
      </c>
      <c r="J224" s="63" t="e">
        <f t="shared" si="252"/>
        <v>#VALUE!</v>
      </c>
      <c r="K224" s="63">
        <f t="shared" si="253"/>
        <v>32</v>
      </c>
      <c r="L224" s="63" t="str">
        <f>IFERROR(VLOOKUP(MID(G224,J224,K224-J224),[6]skilldef!$C:$D,2,FALSE),"-") &amp; " / " &amp; IFERROR(VLOOKUP(MID(G224,H224,I224-H224),[6]skilldef!$A:$B,2,FALSE),"-")</f>
        <v>- / -</v>
      </c>
      <c r="M224" s="63" t="str">
        <f t="shared" si="254"/>
        <v>[effect:force_change_block, new_block:damage, target:block_all, ignore01:block_positive, ignore02:damage, count:3, val:0.03, animation:change_block]</v>
      </c>
      <c r="N224" s="48" t="str">
        <f t="shared" si="248"/>
        <v>[effect:force_change_block, new_block:damage, target:block_all, ignore01:block_positive, ignore02:damage, count:3, val:0.03, animation:change_block]</v>
      </c>
      <c r="O224" s="63">
        <f t="shared" si="255"/>
        <v>9</v>
      </c>
      <c r="P224" s="63">
        <f t="shared" si="256"/>
        <v>27</v>
      </c>
      <c r="Q224" s="63">
        <f t="shared" si="257"/>
        <v>54</v>
      </c>
      <c r="R224" s="63">
        <f t="shared" si="258"/>
        <v>45</v>
      </c>
      <c r="S224" s="63" t="str">
        <f>IFERROR(VLOOKUP(MID(N224,Q224,R224-Q224),[6]skilldef!$C:$D,2,FALSE),"-") &amp; " / " &amp; IFERROR(VLOOKUP(MID(N224,O224,P224-O224),[6]skilldef!$A:$B,2,FALSE),"-")</f>
        <v>- / -</v>
      </c>
      <c r="T224" s="48" t="str">
        <f t="shared" si="259"/>
        <v>none</v>
      </c>
      <c r="U224" s="63" t="e">
        <f t="shared" si="260"/>
        <v>#VALUE!</v>
      </c>
      <c r="V224" s="63">
        <f t="shared" si="261"/>
        <v>4</v>
      </c>
      <c r="W224" s="63" t="e">
        <f t="shared" si="262"/>
        <v>#VALUE!</v>
      </c>
      <c r="X224" s="63" t="e">
        <f t="shared" si="263"/>
        <v>#VALUE!</v>
      </c>
      <c r="Y224" s="63" t="str">
        <f>IFERROR(VLOOKUP(MID(T224,W224,X224-W224),[6]skilldef!$C:$D,2,FALSE),"-") &amp; " / " &amp; IFERROR(VLOOKUP(MID(T224,U224,V224-U224),[6]skilldef!$A:$B,2,FALSE),"-")</f>
        <v>- / -</v>
      </c>
      <c r="Z224" s="50"/>
      <c r="AA224" s="51"/>
      <c r="AB224" s="50"/>
    </row>
    <row r="225" spans="1:28" ht="21" customHeight="1" x14ac:dyDescent="0.15">
      <c r="A225" s="124">
        <v>49015224</v>
      </c>
      <c r="B225" s="47" t="s">
        <v>435</v>
      </c>
      <c r="C225" s="50">
        <v>3</v>
      </c>
      <c r="D225" s="50" t="s">
        <v>127</v>
      </c>
      <c r="E225" s="105" t="s">
        <v>285</v>
      </c>
      <c r="F225" s="105" t="s">
        <v>436</v>
      </c>
      <c r="G225" s="63" t="str">
        <f t="shared" si="249"/>
        <v>[effect:enemy_message, val1:1.2, val2:1.2]</v>
      </c>
      <c r="H225" s="63">
        <f t="shared" si="250"/>
        <v>9</v>
      </c>
      <c r="I225" s="63">
        <f t="shared" si="251"/>
        <v>22</v>
      </c>
      <c r="J225" s="63" t="e">
        <f t="shared" si="252"/>
        <v>#VALUE!</v>
      </c>
      <c r="K225" s="63">
        <f t="shared" si="253"/>
        <v>32</v>
      </c>
      <c r="L225" s="63" t="str">
        <f>IFERROR(VLOOKUP(MID(G225,J225,K225-J225),[6]skilldef!$C:$D,2,FALSE),"-") &amp; " / " &amp; IFERROR(VLOOKUP(MID(G225,H225,I225-H225),[6]skilldef!$A:$B,2,FALSE),"-")</f>
        <v>- / -</v>
      </c>
      <c r="M225" s="63" t="str">
        <f t="shared" si="254"/>
        <v>[effect:rush, count:1, val:0.9]</v>
      </c>
      <c r="N225" s="48" t="str">
        <f t="shared" si="248"/>
        <v>[effect:rush, count:1, val:0.9]</v>
      </c>
      <c r="O225" s="63">
        <f t="shared" si="255"/>
        <v>9</v>
      </c>
      <c r="P225" s="63">
        <f t="shared" si="256"/>
        <v>13</v>
      </c>
      <c r="Q225" s="63" t="e">
        <f t="shared" si="257"/>
        <v>#VALUE!</v>
      </c>
      <c r="R225" s="63">
        <f t="shared" si="258"/>
        <v>22</v>
      </c>
      <c r="S225" s="63" t="str">
        <f>IFERROR(VLOOKUP(MID(N225,Q225,R225-Q225),[6]skilldef!$C:$D,2,FALSE),"-") &amp; " / " &amp; IFERROR(VLOOKUP(MID(N225,O225,P225-O225),[6]skilldef!$A:$B,2,FALSE),"-")</f>
        <v>- / 連続攻撃</v>
      </c>
      <c r="T225" s="48" t="str">
        <f t="shared" si="259"/>
        <v>none</v>
      </c>
      <c r="U225" s="63" t="e">
        <f t="shared" si="260"/>
        <v>#VALUE!</v>
      </c>
      <c r="V225" s="63">
        <f t="shared" si="261"/>
        <v>4</v>
      </c>
      <c r="W225" s="63" t="e">
        <f t="shared" si="262"/>
        <v>#VALUE!</v>
      </c>
      <c r="X225" s="63" t="e">
        <f t="shared" si="263"/>
        <v>#VALUE!</v>
      </c>
      <c r="Y225" s="63" t="str">
        <f>IFERROR(VLOOKUP(MID(T225,W225,X225-W225),[6]skilldef!$C:$D,2,FALSE),"-") &amp; " / " &amp; IFERROR(VLOOKUP(MID(T225,U225,V225-U225),[6]skilldef!$A:$B,2,FALSE),"-")</f>
        <v>- / -</v>
      </c>
      <c r="Z225" s="50"/>
      <c r="AA225" s="51"/>
      <c r="AB225" s="50"/>
    </row>
    <row r="226" spans="1:28" ht="21" customHeight="1" x14ac:dyDescent="0.15">
      <c r="A226" s="124">
        <v>49015225</v>
      </c>
      <c r="B226" s="106" t="s">
        <v>551</v>
      </c>
      <c r="C226" s="50">
        <v>3</v>
      </c>
      <c r="D226" s="50" t="s">
        <v>127</v>
      </c>
      <c r="E226" s="105" t="s">
        <v>286</v>
      </c>
      <c r="F226" s="118" t="s">
        <v>489</v>
      </c>
      <c r="G226" s="63" t="str">
        <f t="shared" si="249"/>
        <v>[effect:enemy_message, val1:1.2, val2:2.1]</v>
      </c>
      <c r="H226" s="63">
        <f t="shared" si="250"/>
        <v>9</v>
      </c>
      <c r="I226" s="63">
        <f t="shared" si="251"/>
        <v>22</v>
      </c>
      <c r="J226" s="63" t="e">
        <f t="shared" si="252"/>
        <v>#VALUE!</v>
      </c>
      <c r="K226" s="63">
        <f t="shared" si="253"/>
        <v>32</v>
      </c>
      <c r="L226" s="63" t="str">
        <f>IFERROR(VLOOKUP(MID(G226,J226,K226-J226),[6]skilldef!$C:$D,2,FALSE),"-") &amp; " / " &amp; IFERROR(VLOOKUP(MID(G226,H226,I226-H226),[6]skilldef!$A:$B,2,FALSE),"-")</f>
        <v>- / -</v>
      </c>
      <c r="M226" s="63" t="str">
        <f t="shared" si="254"/>
        <v>[effect:change_range_block, block_change:1, base_type:0, square_count:5, position01:10,  value_h01:1, value_w01:5,  new_block:time_bomb, target:block_all, ignore01:block_positive, ignore02:time_bomb, color:block_green, count:0, val:0.03, min_time_count:3, max_time_count:3, animation:change_range_block]</v>
      </c>
      <c r="N226" s="48" t="str">
        <f t="shared" si="248"/>
        <v>[effect:change_range_block, block_change:1, base_type:0, square_count:5, position01:10,  value_h01:1, value_w01:5,  new_block:time_bomb, target:block_all, ignore01:block_positive, ignore02:time_bomb, color:block_green, count:0, val:0.03, min_time_count:3, max_time_count:3, animation:change_range_block]</v>
      </c>
      <c r="O226" s="63">
        <f t="shared" si="255"/>
        <v>9</v>
      </c>
      <c r="P226" s="63">
        <f t="shared" si="256"/>
        <v>27</v>
      </c>
      <c r="Q226" s="63">
        <f t="shared" si="257"/>
        <v>145</v>
      </c>
      <c r="R226" s="63">
        <f t="shared" si="258"/>
        <v>43</v>
      </c>
      <c r="S226" s="63" t="str">
        <f>IFERROR(VLOOKUP(MID(N226,Q226,R226-Q226),[6]skilldef!$C:$D,2,FALSE),"-") &amp; " / " &amp; IFERROR(VLOOKUP(MID(N226,O226,P226-O226),[6]skilldef!$A:$B,2,FALSE),"-")</f>
        <v>- / -</v>
      </c>
      <c r="T226" s="48" t="str">
        <f t="shared" si="259"/>
        <v>none</v>
      </c>
      <c r="U226" s="63" t="e">
        <f t="shared" si="260"/>
        <v>#VALUE!</v>
      </c>
      <c r="V226" s="63">
        <f t="shared" si="261"/>
        <v>4</v>
      </c>
      <c r="W226" s="63" t="e">
        <f t="shared" si="262"/>
        <v>#VALUE!</v>
      </c>
      <c r="X226" s="63" t="e">
        <f t="shared" si="263"/>
        <v>#VALUE!</v>
      </c>
      <c r="Y226" s="63" t="str">
        <f>IFERROR(VLOOKUP(MID(T226,W226,X226-W226),[6]skilldef!$C:$D,2,FALSE),"-") &amp; " / " &amp; IFERROR(VLOOKUP(MID(T226,U226,V226-U226),[6]skilldef!$A:$B,2,FALSE),"-")</f>
        <v>- / -</v>
      </c>
      <c r="Z226" s="50"/>
      <c r="AA226" s="51"/>
      <c r="AB226" s="50"/>
    </row>
    <row r="227" spans="1:28" ht="21" customHeight="1" thickBot="1" x14ac:dyDescent="0.2">
      <c r="A227" s="125">
        <v>49015226</v>
      </c>
      <c r="B227" s="111" t="s">
        <v>540</v>
      </c>
      <c r="C227" s="50">
        <v>3</v>
      </c>
      <c r="D227" s="112" t="s">
        <v>127</v>
      </c>
      <c r="E227" s="117" t="s">
        <v>287</v>
      </c>
      <c r="F227" s="117" t="s">
        <v>438</v>
      </c>
      <c r="G227" s="113" t="str">
        <f t="shared" si="249"/>
        <v>[effect:enemy_message, val1:1.2, val2:1.5]</v>
      </c>
      <c r="H227" s="113">
        <f t="shared" si="250"/>
        <v>9</v>
      </c>
      <c r="I227" s="113">
        <f t="shared" si="251"/>
        <v>22</v>
      </c>
      <c r="J227" s="113" t="e">
        <f t="shared" si="252"/>
        <v>#VALUE!</v>
      </c>
      <c r="K227" s="113">
        <f t="shared" si="253"/>
        <v>32</v>
      </c>
      <c r="L227" s="113" t="str">
        <f>IFERROR(VLOOKUP(MID(G227,J227,K227-J227),[6]skilldef!$C:$D,2,FALSE),"-") &amp; " / " &amp; IFERROR(VLOOKUP(MID(G227,H227,I227-H227),[6]skilldef!$A:$B,2,FALSE),"-")</f>
        <v>- / -</v>
      </c>
      <c r="M227" s="113" t="str">
        <f t="shared" si="254"/>
        <v>[effect:change_range_block, block_change:1, base_type:0, square_count:5, position01:2,  value_h01:5, value_w01:1,  new_block:jammer, target:block_all, ignore01:block_positive, ignore02:jammer, count:3, val:0, animation:change_range_block]</v>
      </c>
      <c r="N227" s="114" t="str">
        <f t="shared" si="248"/>
        <v>[effect:change_range_block, block_change:1, base_type:0, square_count:5, position01:2,  value_h01:5, value_w01:1,  new_block:jammer, target:block_all, ignore01:block_positive, ignore02:jammer, count:3, val:0, animation:change_range_block]</v>
      </c>
      <c r="O227" s="113">
        <f t="shared" si="255"/>
        <v>9</v>
      </c>
      <c r="P227" s="113">
        <f t="shared" si="256"/>
        <v>27</v>
      </c>
      <c r="Q227" s="113">
        <f t="shared" si="257"/>
        <v>141</v>
      </c>
      <c r="R227" s="113">
        <f t="shared" si="258"/>
        <v>43</v>
      </c>
      <c r="S227" s="113" t="str">
        <f>IFERROR(VLOOKUP(MID(N227,Q227,R227-Q227),[6]skilldef!$C:$D,2,FALSE),"-") &amp; " / " &amp; IFERROR(VLOOKUP(MID(N227,O227,P227-O227),[6]skilldef!$A:$B,2,FALSE),"-")</f>
        <v>- / -</v>
      </c>
      <c r="T227" s="114" t="str">
        <f t="shared" si="259"/>
        <v>none</v>
      </c>
      <c r="U227" s="113" t="e">
        <f t="shared" si="260"/>
        <v>#VALUE!</v>
      </c>
      <c r="V227" s="113">
        <f t="shared" si="261"/>
        <v>4</v>
      </c>
      <c r="W227" s="113" t="e">
        <f t="shared" si="262"/>
        <v>#VALUE!</v>
      </c>
      <c r="X227" s="113" t="e">
        <f t="shared" si="263"/>
        <v>#VALUE!</v>
      </c>
      <c r="Y227" s="113" t="str">
        <f>IFERROR(VLOOKUP(MID(T227,W227,X227-W227),[6]skilldef!$C:$D,2,FALSE),"-") &amp; " / " &amp; IFERROR(VLOOKUP(MID(T227,U227,V227-U227),[6]skilldef!$A:$B,2,FALSE),"-")</f>
        <v>- / -</v>
      </c>
      <c r="Z227" s="112"/>
      <c r="AA227" s="115"/>
      <c r="AB227" s="112"/>
    </row>
    <row r="228" spans="1:28" ht="21" customHeight="1" x14ac:dyDescent="0.15">
      <c r="A228" s="124">
        <v>49015227</v>
      </c>
      <c r="B228" s="106" t="s">
        <v>373</v>
      </c>
      <c r="C228" s="50">
        <v>3</v>
      </c>
      <c r="D228" s="107" t="s">
        <v>127</v>
      </c>
      <c r="E228" s="120" t="s">
        <v>288</v>
      </c>
      <c r="F228" s="105" t="s">
        <v>289</v>
      </c>
      <c r="G228" s="108" t="str">
        <f t="shared" si="249"/>
        <v>[effect:enemy_message, val1:1.2, val2:0]</v>
      </c>
      <c r="H228" s="108">
        <f t="shared" si="250"/>
        <v>9</v>
      </c>
      <c r="I228" s="108">
        <f t="shared" si="251"/>
        <v>22</v>
      </c>
      <c r="J228" s="108" t="e">
        <f t="shared" si="252"/>
        <v>#VALUE!</v>
      </c>
      <c r="K228" s="108">
        <f t="shared" si="253"/>
        <v>32</v>
      </c>
      <c r="L228" s="108" t="str">
        <f>IFERROR(VLOOKUP(MID(G228,J228,K228-J228),[6]skilldef!$C:$D,2,FALSE),"-") &amp; " / " &amp; IFERROR(VLOOKUP(MID(G228,H228,I228-H228),[6]skilldef!$A:$B,2,FALSE),"-")</f>
        <v>- / -</v>
      </c>
      <c r="M228" s="108" t="str">
        <f t="shared" si="254"/>
        <v>[effect:fix_speed, target:myself, turn:2]</v>
      </c>
      <c r="N228" s="109" t="str">
        <f>IFERROR(LEFT(M228,FIND("],",M228)+#REF!),M228)</f>
        <v>[effect:fix_speed, target:myself, turn:2]</v>
      </c>
      <c r="O228" s="108">
        <f t="shared" si="255"/>
        <v>9</v>
      </c>
      <c r="P228" s="108">
        <f t="shared" si="256"/>
        <v>18</v>
      </c>
      <c r="Q228" s="108">
        <f t="shared" si="257"/>
        <v>27</v>
      </c>
      <c r="R228" s="108">
        <f t="shared" si="258"/>
        <v>33</v>
      </c>
      <c r="S228" s="108" t="str">
        <f>IFERROR(VLOOKUP(MID(N228,Q228,R228-Q228),[6]skilldef!$C:$D,2,FALSE),"-") &amp; " / " &amp; IFERROR(VLOOKUP(MID(N228,O228,P228-O228),[6]skilldef!$A:$B,2,FALSE),"-")</f>
        <v>自分自身に / 行動値設定</v>
      </c>
      <c r="T228" s="109" t="str">
        <f t="shared" si="259"/>
        <v>none</v>
      </c>
      <c r="U228" s="108" t="e">
        <f t="shared" si="260"/>
        <v>#VALUE!</v>
      </c>
      <c r="V228" s="108">
        <f t="shared" si="261"/>
        <v>4</v>
      </c>
      <c r="W228" s="108" t="e">
        <f t="shared" si="262"/>
        <v>#VALUE!</v>
      </c>
      <c r="X228" s="108" t="e">
        <f t="shared" si="263"/>
        <v>#VALUE!</v>
      </c>
      <c r="Y228" s="108" t="str">
        <f>IFERROR(VLOOKUP(MID(T228,W228,X228-W228),[6]skilldef!$C:$D,2,FALSE),"-") &amp; " / " &amp; IFERROR(VLOOKUP(MID(T228,U228,V228-U228),[6]skilldef!$A:$B,2,FALSE),"-")</f>
        <v>- / -</v>
      </c>
      <c r="Z228" s="107"/>
      <c r="AA228" s="110"/>
      <c r="AB228" s="107"/>
    </row>
    <row r="229" spans="1:28" ht="21" customHeight="1" x14ac:dyDescent="0.15">
      <c r="A229" s="124">
        <v>49015228</v>
      </c>
      <c r="B229" s="106" t="s">
        <v>434</v>
      </c>
      <c r="C229" s="50">
        <v>3</v>
      </c>
      <c r="D229" s="50" t="s">
        <v>127</v>
      </c>
      <c r="E229" s="105" t="s">
        <v>290</v>
      </c>
      <c r="F229" s="105" t="s">
        <v>291</v>
      </c>
      <c r="G229" s="63" t="str">
        <f t="shared" si="249"/>
        <v>[effect:enemy_message, val1:1.2, val2:1.2]</v>
      </c>
      <c r="H229" s="63">
        <f t="shared" si="250"/>
        <v>9</v>
      </c>
      <c r="I229" s="63">
        <f t="shared" si="251"/>
        <v>22</v>
      </c>
      <c r="J229" s="63" t="e">
        <f t="shared" si="252"/>
        <v>#VALUE!</v>
      </c>
      <c r="K229" s="63">
        <f t="shared" si="253"/>
        <v>32</v>
      </c>
      <c r="L229" s="63" t="str">
        <f>IFERROR(VLOOKUP(MID(G229,J229,K229-J229),[6]skilldef!$C:$D,2,FALSE),"-") &amp; " / " &amp; IFERROR(VLOOKUP(MID(G229,H229,I229-H229),[6]skilldef!$A:$B,2,FALSE),"-")</f>
        <v>- / -</v>
      </c>
      <c r="M229" s="63" t="str">
        <f t="shared" si="254"/>
        <v>[effect:rush, count:2, val:0.2]</v>
      </c>
      <c r="N229" s="48" t="str">
        <f t="shared" ref="N229:N238" si="264">IFERROR(LEFT(M229,FIND("],",M229)+S239),M229)</f>
        <v>[effect:rush, count:2, val:0.2]</v>
      </c>
      <c r="O229" s="63">
        <f t="shared" si="255"/>
        <v>9</v>
      </c>
      <c r="P229" s="63">
        <f t="shared" si="256"/>
        <v>13</v>
      </c>
      <c r="Q229" s="63" t="e">
        <f t="shared" si="257"/>
        <v>#VALUE!</v>
      </c>
      <c r="R229" s="63">
        <f t="shared" si="258"/>
        <v>22</v>
      </c>
      <c r="S229" s="63" t="str">
        <f>IFERROR(VLOOKUP(MID(N229,Q229,R229-Q229),[6]skilldef!$C:$D,2,FALSE),"-") &amp; " / " &amp; IFERROR(VLOOKUP(MID(N229,O229,P229-O229),[6]skilldef!$A:$B,2,FALSE),"-")</f>
        <v>- / 連続攻撃</v>
      </c>
      <c r="T229" s="48" t="str">
        <f t="shared" si="259"/>
        <v>none</v>
      </c>
      <c r="U229" s="63" t="e">
        <f t="shared" si="260"/>
        <v>#VALUE!</v>
      </c>
      <c r="V229" s="63">
        <f t="shared" si="261"/>
        <v>4</v>
      </c>
      <c r="W229" s="63" t="e">
        <f t="shared" si="262"/>
        <v>#VALUE!</v>
      </c>
      <c r="X229" s="63" t="e">
        <f t="shared" si="263"/>
        <v>#VALUE!</v>
      </c>
      <c r="Y229" s="63" t="str">
        <f>IFERROR(VLOOKUP(MID(T229,W229,X229-W229),[6]skilldef!$C:$D,2,FALSE),"-") &amp; " / " &amp; IFERROR(VLOOKUP(MID(T229,U229,V229-U229),[6]skilldef!$A:$B,2,FALSE),"-")</f>
        <v>- / -</v>
      </c>
      <c r="Z229" s="50"/>
      <c r="AA229" s="51"/>
      <c r="AB229" s="50"/>
    </row>
    <row r="230" spans="1:28" ht="21" customHeight="1" x14ac:dyDescent="0.15">
      <c r="A230" s="124">
        <v>49015229</v>
      </c>
      <c r="B230" s="47" t="s">
        <v>493</v>
      </c>
      <c r="C230" s="50">
        <v>3</v>
      </c>
      <c r="D230" s="50" t="s">
        <v>127</v>
      </c>
      <c r="E230" s="105" t="s">
        <v>292</v>
      </c>
      <c r="F230" s="105" t="s">
        <v>357</v>
      </c>
      <c r="G230" s="63" t="str">
        <f t="shared" si="249"/>
        <v>[effect:enemy_message, val1:1.3, val2:1.4]</v>
      </c>
      <c r="H230" s="63">
        <f t="shared" si="250"/>
        <v>9</v>
      </c>
      <c r="I230" s="63">
        <f t="shared" si="251"/>
        <v>22</v>
      </c>
      <c r="J230" s="63" t="e">
        <f t="shared" si="252"/>
        <v>#VALUE!</v>
      </c>
      <c r="K230" s="63">
        <f t="shared" si="253"/>
        <v>32</v>
      </c>
      <c r="L230" s="63" t="str">
        <f>IFERROR(VLOOKUP(MID(G230,J230,K230-J230),[6]skilldef!$C:$D,2,FALSE),"-") &amp; " / " &amp; IFERROR(VLOOKUP(MID(G230,H230,I230-H230),[6]skilldef!$A:$B,2,FALSE),"-")</f>
        <v>- / -</v>
      </c>
      <c r="M230" s="63" t="str">
        <f t="shared" si="254"/>
        <v>[effect:rush, count:1, val:0.35],[effect:enhance_enemy, target:myself, turn:3, status:attack, val:0.2, calc:mul, animation:enemy_enhance_attack]</v>
      </c>
      <c r="N230" s="48" t="str">
        <f t="shared" si="264"/>
        <v>[effect:rush, count:1, val:0.35],[effect:enhance_enemy, target:myself, turn:3, status:attack, val:0.2, calc:mul, animation:enemy_enhance_attack]</v>
      </c>
      <c r="O230" s="63">
        <f t="shared" si="255"/>
        <v>9</v>
      </c>
      <c r="P230" s="63">
        <f t="shared" si="256"/>
        <v>13</v>
      </c>
      <c r="Q230" s="63">
        <f t="shared" si="257"/>
        <v>64</v>
      </c>
      <c r="R230" s="63">
        <f t="shared" si="258"/>
        <v>22</v>
      </c>
      <c r="S230" s="63" t="str">
        <f>IFERROR(VLOOKUP(MID(N230,Q230,R230-Q230),[6]skilldef!$C:$D,2,FALSE),"-") &amp; " / " &amp; IFERROR(VLOOKUP(MID(N230,O230,P230-O230),[6]skilldef!$A:$B,2,FALSE),"-")</f>
        <v>- / 連続攻撃</v>
      </c>
      <c r="T230" s="48" t="str">
        <f t="shared" si="259"/>
        <v>[effect:enhance_enemy, target:myself, turn:3, status:attack, val:0.2, calc:mul, animation:enemy_enhance_attack]</v>
      </c>
      <c r="U230" s="63">
        <f t="shared" si="260"/>
        <v>9</v>
      </c>
      <c r="V230" s="63">
        <f t="shared" si="261"/>
        <v>22</v>
      </c>
      <c r="W230" s="63">
        <f t="shared" si="262"/>
        <v>31</v>
      </c>
      <c r="X230" s="63">
        <f t="shared" si="263"/>
        <v>37</v>
      </c>
      <c r="Y230" s="63" t="str">
        <f>IFERROR(VLOOKUP(MID(T230,W230,X230-W230),[6]skilldef!$C:$D,2,FALSE),"-") &amp; " / " &amp; IFERROR(VLOOKUP(MID(T230,U230,V230-U230),[6]skilldef!$A:$B,2,FALSE),"-")</f>
        <v>自分自身に / ステータス強化</v>
      </c>
      <c r="Z230" s="50"/>
      <c r="AA230" s="51"/>
      <c r="AB230" s="50"/>
    </row>
    <row r="231" spans="1:28" ht="21" customHeight="1" x14ac:dyDescent="0.15">
      <c r="A231" s="124">
        <v>49015230</v>
      </c>
      <c r="B231" s="106" t="s">
        <v>591</v>
      </c>
      <c r="C231" s="50">
        <v>3</v>
      </c>
      <c r="D231" s="50" t="s">
        <v>127</v>
      </c>
      <c r="E231" s="105" t="s">
        <v>293</v>
      </c>
      <c r="F231" s="118" t="s">
        <v>601</v>
      </c>
      <c r="G231" s="63" t="str">
        <f t="shared" si="249"/>
        <v>[effect:enemy_message, val1:1.2, val2:2.9]</v>
      </c>
      <c r="H231" s="63">
        <f t="shared" si="250"/>
        <v>9</v>
      </c>
      <c r="I231" s="63">
        <f t="shared" si="251"/>
        <v>22</v>
      </c>
      <c r="J231" s="63" t="e">
        <f t="shared" si="252"/>
        <v>#VALUE!</v>
      </c>
      <c r="K231" s="63">
        <f t="shared" si="253"/>
        <v>32</v>
      </c>
      <c r="L231" s="63" t="str">
        <f>IFERROR(VLOOKUP(MID(G231,J231,K231-J231),[6]skilldef!$C:$D,2,FALSE),"-") &amp; " / " &amp; IFERROR(VLOOKUP(MID(G231,H231,I231-H231),[6]skilldef!$A:$B,2,FALSE),"-")</f>
        <v>- / -</v>
      </c>
      <c r="M231" s="63" t="str">
        <f t="shared" si="254"/>
        <v>[effect:freq_turn, target:myself, turn:1, val:1, animation:enemy_freq_turn],[effect:enemy_counter, target:myself, invoke_condition:unit_all, counter_target:attacker, turn:2, val:0.18, animation:enemy_counter]</v>
      </c>
      <c r="N231" s="48" t="str">
        <f t="shared" si="264"/>
        <v>[effect:freq_turn, target:myself, turn:1, val:1, animation:enemy_freq_turn],[effect:enemy_counter, target:myself, invoke_condition:unit_all, counter_target:attacker, turn:2, val:0.18, animation:enemy_counter]</v>
      </c>
      <c r="O231" s="63">
        <f t="shared" si="255"/>
        <v>9</v>
      </c>
      <c r="P231" s="63">
        <f t="shared" si="256"/>
        <v>18</v>
      </c>
      <c r="Q231" s="63">
        <f t="shared" si="257"/>
        <v>27</v>
      </c>
      <c r="R231" s="63">
        <f t="shared" si="258"/>
        <v>33</v>
      </c>
      <c r="S231" s="63" t="str">
        <f>IFERROR(VLOOKUP(MID(N231,Q231,R231-Q231),[6]skilldef!$C:$D,2,FALSE),"-") &amp; " / " &amp; IFERROR(VLOOKUP(MID(N231,O231,P231-O231),[6]skilldef!$A:$B,2,FALSE),"-")</f>
        <v>自分自身に / 攻撃頻度がUP</v>
      </c>
      <c r="T231" s="48" t="str">
        <f t="shared" si="259"/>
        <v>[effect:enemy_counter, target:myself, invoke_condition:unit_all, counter_target:attacker, turn:2, val:0.18, animation:enemy_counter]</v>
      </c>
      <c r="U231" s="63">
        <f t="shared" si="260"/>
        <v>9</v>
      </c>
      <c r="V231" s="63">
        <f t="shared" si="261"/>
        <v>22</v>
      </c>
      <c r="W231" s="63">
        <f t="shared" si="262"/>
        <v>31</v>
      </c>
      <c r="X231" s="63">
        <f t="shared" si="263"/>
        <v>37</v>
      </c>
      <c r="Y231" s="63" t="str">
        <f>IFERROR(VLOOKUP(MID(T231,W231,X231-W231),[6]skilldef!$C:$D,2,FALSE),"-") &amp; " / " &amp; IFERROR(VLOOKUP(MID(T231,U231,V231-U231),[6]skilldef!$A:$B,2,FALSE),"-")</f>
        <v>自分自身に / カウンター</v>
      </c>
      <c r="Z231" s="50"/>
      <c r="AA231" s="51"/>
      <c r="AB231" s="50"/>
    </row>
    <row r="232" spans="1:28" ht="21" customHeight="1" thickBot="1" x14ac:dyDescent="0.2">
      <c r="A232" s="125">
        <v>49015231</v>
      </c>
      <c r="B232" s="111" t="s">
        <v>375</v>
      </c>
      <c r="C232" s="50">
        <v>3</v>
      </c>
      <c r="D232" s="112" t="s">
        <v>127</v>
      </c>
      <c r="E232" s="117" t="s">
        <v>294</v>
      </c>
      <c r="F232" s="117" t="s">
        <v>295</v>
      </c>
      <c r="G232" s="113" t="str">
        <f t="shared" si="249"/>
        <v>[effect:enemy_message, val1:1.2, val2:1.2]</v>
      </c>
      <c r="H232" s="113">
        <f t="shared" si="250"/>
        <v>9</v>
      </c>
      <c r="I232" s="113">
        <f t="shared" si="251"/>
        <v>22</v>
      </c>
      <c r="J232" s="113" t="e">
        <f t="shared" si="252"/>
        <v>#VALUE!</v>
      </c>
      <c r="K232" s="113">
        <f t="shared" si="253"/>
        <v>32</v>
      </c>
      <c r="L232" s="113" t="str">
        <f>IFERROR(VLOOKUP(MID(G232,J232,K232-J232),[6]skilldef!$C:$D,2,FALSE),"-") &amp; " / " &amp; IFERROR(VLOOKUP(MID(G232,H232,I232-H232),[6]skilldef!$A:$B,2,FALSE),"-")</f>
        <v>- / -</v>
      </c>
      <c r="M232" s="113" t="str">
        <f t="shared" si="254"/>
        <v>[effect:suicide, target:myself, val:1]</v>
      </c>
      <c r="N232" s="114" t="str">
        <f t="shared" si="264"/>
        <v>[effect:suicide, target:myself, val:1]</v>
      </c>
      <c r="O232" s="113">
        <f t="shared" si="255"/>
        <v>9</v>
      </c>
      <c r="P232" s="113">
        <f t="shared" si="256"/>
        <v>16</v>
      </c>
      <c r="Q232" s="113">
        <f t="shared" si="257"/>
        <v>25</v>
      </c>
      <c r="R232" s="113">
        <f t="shared" si="258"/>
        <v>31</v>
      </c>
      <c r="S232" s="113" t="str">
        <f>IFERROR(VLOOKUP(MID(N232,Q232,R232-Q232),[6]skilldef!$C:$D,2,FALSE),"-") &amp; " / " &amp; IFERROR(VLOOKUP(MID(N232,O232,P232-O232),[6]skilldef!$A:$B,2,FALSE),"-")</f>
        <v>自分自身に / -</v>
      </c>
      <c r="T232" s="114" t="str">
        <f t="shared" si="259"/>
        <v>none</v>
      </c>
      <c r="U232" s="113" t="e">
        <f t="shared" si="260"/>
        <v>#VALUE!</v>
      </c>
      <c r="V232" s="113">
        <f t="shared" si="261"/>
        <v>4</v>
      </c>
      <c r="W232" s="113" t="e">
        <f t="shared" si="262"/>
        <v>#VALUE!</v>
      </c>
      <c r="X232" s="113" t="e">
        <f t="shared" si="263"/>
        <v>#VALUE!</v>
      </c>
      <c r="Y232" s="113" t="str">
        <f>IFERROR(VLOOKUP(MID(T232,W232,X232-W232),[6]skilldef!$C:$D,2,FALSE),"-") &amp; " / " &amp; IFERROR(VLOOKUP(MID(T232,U232,V232-U232),[6]skilldef!$A:$B,2,FALSE),"-")</f>
        <v>- / -</v>
      </c>
      <c r="Z232" s="112"/>
      <c r="AA232" s="115"/>
      <c r="AB232" s="112"/>
    </row>
    <row r="233" spans="1:28" ht="21" customHeight="1" x14ac:dyDescent="0.15">
      <c r="A233" s="124">
        <v>49015232</v>
      </c>
      <c r="B233" s="106" t="s">
        <v>514</v>
      </c>
      <c r="C233" s="50">
        <v>3</v>
      </c>
      <c r="D233" s="107" t="s">
        <v>127</v>
      </c>
      <c r="E233" s="120" t="s">
        <v>296</v>
      </c>
      <c r="F233" s="120" t="s">
        <v>439</v>
      </c>
      <c r="G233" s="108" t="str">
        <f t="shared" si="249"/>
        <v>[effect:enemy_message, val1:1.3, val2:1.5]</v>
      </c>
      <c r="H233" s="108">
        <f t="shared" si="250"/>
        <v>9</v>
      </c>
      <c r="I233" s="108">
        <f t="shared" si="251"/>
        <v>22</v>
      </c>
      <c r="J233" s="108" t="e">
        <f t="shared" si="252"/>
        <v>#VALUE!</v>
      </c>
      <c r="K233" s="108">
        <f t="shared" si="253"/>
        <v>32</v>
      </c>
      <c r="L233" s="108" t="str">
        <f>IFERROR(VLOOKUP(MID(G233,J233,K233-J233),[6]skilldef!$C:$D,2,FALSE),"-") &amp; " / " &amp; IFERROR(VLOOKUP(MID(G233,H233,I233-H233),[6]skilldef!$A:$B,2,FALSE),"-")</f>
        <v>- / -</v>
      </c>
      <c r="M233" s="108" t="str">
        <f t="shared" si="254"/>
        <v>[effect:fix_speed, target:myself, turn:1],[effect:change_range_block, block_change:1, base_type:1, square_count:5, position01:12, value_rad01:3.0, value_h01:1.0, value_w01:1.0, new_block:block_heart, target:block_all, ignore01:block_positive, ignore02:block_heart, count:0, val:0, animation:change_range_block]</v>
      </c>
      <c r="N233" s="109" t="str">
        <f t="shared" si="264"/>
        <v>[effect:fix_speed, target:myself, turn:1],[effect:change_range_block, block_change:1, base_type:1, square_count:5, position01:12, value_rad01:3.0, value_h01:1.0, value_w01:1.0, new_block:block_heart, target:block_all, ignore01:block_positive, ignore02:block_heart, count:0, val:0, animation:change_range_block]</v>
      </c>
      <c r="O233" s="108">
        <f t="shared" si="255"/>
        <v>9</v>
      </c>
      <c r="P233" s="108">
        <f t="shared" si="256"/>
        <v>18</v>
      </c>
      <c r="Q233" s="108">
        <f t="shared" si="257"/>
        <v>27</v>
      </c>
      <c r="R233" s="108">
        <f t="shared" si="258"/>
        <v>33</v>
      </c>
      <c r="S233" s="108" t="str">
        <f>IFERROR(VLOOKUP(MID(N233,Q233,R233-Q233),[6]skilldef!$C:$D,2,FALSE),"-") &amp; " / " &amp; IFERROR(VLOOKUP(MID(N233,O233,P233-O233),[6]skilldef!$A:$B,2,FALSE),"-")</f>
        <v>自分自身に / 行動値設定</v>
      </c>
      <c r="T233" s="109" t="str">
        <f t="shared" si="259"/>
        <v>[effect:change_range_block, block_change:1, base_type:1, square_count:5, position01:12, value_rad01:3.0, value_h01:1.0, value_w01:1.0, new_block:block_heart, target:block_all, ignore01:block_positive, ignore02:block_heart, count:0, val:0, animation:change_range_block]</v>
      </c>
      <c r="U233" s="108">
        <f t="shared" si="260"/>
        <v>9</v>
      </c>
      <c r="V233" s="108">
        <f t="shared" si="261"/>
        <v>27</v>
      </c>
      <c r="W233" s="108">
        <f t="shared" si="262"/>
        <v>166</v>
      </c>
      <c r="X233" s="108">
        <f t="shared" si="263"/>
        <v>43</v>
      </c>
      <c r="Y233" s="108" t="str">
        <f>IFERROR(VLOOKUP(MID(T233,W233,X233-W233),[6]skilldef!$C:$D,2,FALSE),"-") &amp; " / " &amp; IFERROR(VLOOKUP(MID(T233,U233,V233-U233),[6]skilldef!$A:$B,2,FALSE),"-")</f>
        <v>- / -</v>
      </c>
      <c r="Z233" s="107"/>
      <c r="AA233" s="110"/>
      <c r="AB233" s="107"/>
    </row>
    <row r="234" spans="1:28" ht="21" customHeight="1" x14ac:dyDescent="0.15">
      <c r="A234" s="124">
        <v>49015233</v>
      </c>
      <c r="B234" s="106" t="s">
        <v>458</v>
      </c>
      <c r="C234" s="50">
        <v>3</v>
      </c>
      <c r="D234" s="50" t="s">
        <v>127</v>
      </c>
      <c r="E234" s="105" t="s">
        <v>297</v>
      </c>
      <c r="F234" s="105" t="s">
        <v>298</v>
      </c>
      <c r="G234" s="63" t="str">
        <f t="shared" si="249"/>
        <v>[effect:enemy_message, val1:1.2, val2:1.2]</v>
      </c>
      <c r="H234" s="63">
        <f t="shared" si="250"/>
        <v>9</v>
      </c>
      <c r="I234" s="63">
        <f t="shared" si="251"/>
        <v>22</v>
      </c>
      <c r="J234" s="63" t="e">
        <f t="shared" si="252"/>
        <v>#VALUE!</v>
      </c>
      <c r="K234" s="63">
        <f t="shared" si="253"/>
        <v>32</v>
      </c>
      <c r="L234" s="63" t="str">
        <f>IFERROR(VLOOKUP(MID(G234,J234,K234-J234),[6]skilldef!$C:$D,2,FALSE),"-") &amp; " / " &amp; IFERROR(VLOOKUP(MID(G234,H234,I234-H234),[6]skilldef!$A:$B,2,FALSE),"-")</f>
        <v>- / -</v>
      </c>
      <c r="M234" s="63" t="str">
        <f t="shared" si="254"/>
        <v>[effect:spread, val:0.12]</v>
      </c>
      <c r="N234" s="48" t="str">
        <f t="shared" si="264"/>
        <v>[effect:spread, val:0.12]</v>
      </c>
      <c r="O234" s="63">
        <f t="shared" si="255"/>
        <v>9</v>
      </c>
      <c r="P234" s="63">
        <f t="shared" si="256"/>
        <v>15</v>
      </c>
      <c r="Q234" s="63" t="e">
        <f t="shared" si="257"/>
        <v>#VALUE!</v>
      </c>
      <c r="R234" s="63" t="e">
        <f t="shared" si="258"/>
        <v>#VALUE!</v>
      </c>
      <c r="S234" s="63" t="str">
        <f>IFERROR(VLOOKUP(MID(N234,Q234,R234-Q234),[6]skilldef!$C:$D,2,FALSE),"-") &amp; " / " &amp; IFERROR(VLOOKUP(MID(N234,O234,P234-O234),[6]skilldef!$A:$B,2,FALSE),"-")</f>
        <v>- / 全体攻撃</v>
      </c>
      <c r="T234" s="48" t="str">
        <f t="shared" si="259"/>
        <v>none</v>
      </c>
      <c r="U234" s="63" t="e">
        <f t="shared" si="260"/>
        <v>#VALUE!</v>
      </c>
      <c r="V234" s="63">
        <f t="shared" si="261"/>
        <v>4</v>
      </c>
      <c r="W234" s="63" t="e">
        <f t="shared" si="262"/>
        <v>#VALUE!</v>
      </c>
      <c r="X234" s="63" t="e">
        <f t="shared" si="263"/>
        <v>#VALUE!</v>
      </c>
      <c r="Y234" s="63" t="str">
        <f>IFERROR(VLOOKUP(MID(T234,W234,X234-W234),[6]skilldef!$C:$D,2,FALSE),"-") &amp; " / " &amp; IFERROR(VLOOKUP(MID(T234,U234,V234-U234),[6]skilldef!$A:$B,2,FALSE),"-")</f>
        <v>- / -</v>
      </c>
      <c r="Z234" s="50"/>
      <c r="AA234" s="51"/>
      <c r="AB234" s="50"/>
    </row>
    <row r="235" spans="1:28" ht="21" customHeight="1" x14ac:dyDescent="0.15">
      <c r="A235" s="124">
        <v>49015234</v>
      </c>
      <c r="B235" s="47" t="s">
        <v>541</v>
      </c>
      <c r="C235" s="50">
        <v>3</v>
      </c>
      <c r="D235" s="50" t="s">
        <v>127</v>
      </c>
      <c r="E235" s="105" t="s">
        <v>428</v>
      </c>
      <c r="F235" s="119" t="s">
        <v>501</v>
      </c>
      <c r="G235" s="63" t="str">
        <f t="shared" si="249"/>
        <v>[effect:enemy_message, val1:1.2, val2:2.9]</v>
      </c>
      <c r="H235" s="63">
        <f t="shared" si="250"/>
        <v>9</v>
      </c>
      <c r="I235" s="63">
        <f t="shared" si="251"/>
        <v>22</v>
      </c>
      <c r="J235" s="63" t="e">
        <f t="shared" si="252"/>
        <v>#VALUE!</v>
      </c>
      <c r="K235" s="63">
        <f t="shared" si="253"/>
        <v>32</v>
      </c>
      <c r="L235" s="63" t="str">
        <f>IFERROR(VLOOKUP(MID(G235,J235,K235-J235),[6]skilldef!$C:$D,2,FALSE),"-") &amp; " / " &amp; IFERROR(VLOOKUP(MID(G235,H235,I235-H235),[6]skilldef!$A:$B,2,FALSE),"-")</f>
        <v>- / -</v>
      </c>
      <c r="M235" s="63" t="str">
        <f t="shared" si="254"/>
        <v>[effect:rush, count:1, val:0.32],[effect:force_change_block, new_block:time_bomb, target:block_all, ignore01:block_positive, ignore02:time_bomb, color:block_green, count:3, val:0.03, min_time_count:3, max_time_count:3, animation:change_block]</v>
      </c>
      <c r="N235" s="48" t="str">
        <f t="shared" si="264"/>
        <v>[effect:rush, count:1, val:0.32],[effect:force_change_block, new_block:time_bomb, target:block_all, ignore01:block_positive, ignore02:time_bomb, color:block_green, count:3, val:0.03, min_time_count:3, max_time_count:3, animation:change_block]</v>
      </c>
      <c r="O235" s="63">
        <f t="shared" si="255"/>
        <v>9</v>
      </c>
      <c r="P235" s="63">
        <f t="shared" si="256"/>
        <v>13</v>
      </c>
      <c r="Q235" s="63">
        <f t="shared" si="257"/>
        <v>90</v>
      </c>
      <c r="R235" s="63">
        <f t="shared" si="258"/>
        <v>22</v>
      </c>
      <c r="S235" s="63" t="str">
        <f>IFERROR(VLOOKUP(MID(N235,Q235,R235-Q235),[6]skilldef!$C:$D,2,FALSE),"-") &amp; " / " &amp; IFERROR(VLOOKUP(MID(N235,O235,P235-O235),[6]skilldef!$A:$B,2,FALSE),"-")</f>
        <v>- / 連続攻撃</v>
      </c>
      <c r="T235" s="48" t="str">
        <f t="shared" si="259"/>
        <v>[effect:force_change_block, new_block:time_bomb, target:block_all, ignore01:block_positive, ignore02:time_bomb, color:block_green, count:3, val:0.03, min_time_count:3, max_time_count:3, animation:change_block]</v>
      </c>
      <c r="U235" s="63">
        <f t="shared" si="260"/>
        <v>9</v>
      </c>
      <c r="V235" s="63">
        <f t="shared" si="261"/>
        <v>27</v>
      </c>
      <c r="W235" s="63">
        <f t="shared" si="262"/>
        <v>57</v>
      </c>
      <c r="X235" s="63">
        <f t="shared" si="263"/>
        <v>48</v>
      </c>
      <c r="Y235" s="63" t="str">
        <f>IFERROR(VLOOKUP(MID(T235,W235,X235-W235),[6]skilldef!$C:$D,2,FALSE),"-") &amp; " / " &amp; IFERROR(VLOOKUP(MID(T235,U235,V235-U235),[6]skilldef!$A:$B,2,FALSE),"-")</f>
        <v>- / -</v>
      </c>
      <c r="Z235" s="50"/>
      <c r="AA235" s="51"/>
      <c r="AB235" s="50"/>
    </row>
    <row r="236" spans="1:28" ht="21" customHeight="1" x14ac:dyDescent="0.15">
      <c r="A236" s="124">
        <v>49015235</v>
      </c>
      <c r="B236" s="106" t="s">
        <v>542</v>
      </c>
      <c r="C236" s="50">
        <v>3</v>
      </c>
      <c r="D236" s="50" t="s">
        <v>127</v>
      </c>
      <c r="E236" s="105" t="s">
        <v>404</v>
      </c>
      <c r="F236" s="119" t="s">
        <v>440</v>
      </c>
      <c r="G236" s="63" t="str">
        <f t="shared" si="249"/>
        <v>[effect:enemy_message, val1:1.2, val2:1.9]</v>
      </c>
      <c r="H236" s="63">
        <f t="shared" si="250"/>
        <v>9</v>
      </c>
      <c r="I236" s="63">
        <f t="shared" si="251"/>
        <v>22</v>
      </c>
      <c r="J236" s="63" t="e">
        <f t="shared" si="252"/>
        <v>#VALUE!</v>
      </c>
      <c r="K236" s="63">
        <f t="shared" si="253"/>
        <v>32</v>
      </c>
      <c r="L236" s="63" t="str">
        <f>IFERROR(VLOOKUP(MID(G236,J236,K236-J236),[6]skilldef!$C:$D,2,FALSE),"-") &amp; " / " &amp; IFERROR(VLOOKUP(MID(G236,H236,I236-H236),[6]skilldef!$A:$B,2,FALSE),"-")</f>
        <v>- / -</v>
      </c>
      <c r="M236" s="63" t="str">
        <f t="shared" si="254"/>
        <v>[effect:rush, count:1, val:0.32],[effect:change_range_block, block_change:1, base_type:1, square_count:5, position01:17, value_rad01:3.0, value_h01:1.0, value_w01:1.0, new_block:jammer, target:block_all, ignore01:block_positive, ignore02:jammer, count:2, val:0 animation:change_range_block]</v>
      </c>
      <c r="N236" s="48" t="str">
        <f t="shared" si="264"/>
        <v>[effect:rush, count:1, val:0.32],[effect:change_range_block, block_change:1, base_type:1, square_count:5, position01:17, value_rad01:3.0, value_h01:1.0, value_w01:1.0, new_block:jammer, target:block_all, ignore01:block_positive, ignore02:jammer, count:2, val:0 animation:change_range_block]</v>
      </c>
      <c r="O236" s="63">
        <f t="shared" si="255"/>
        <v>9</v>
      </c>
      <c r="P236" s="63">
        <f t="shared" si="256"/>
        <v>13</v>
      </c>
      <c r="Q236" s="63">
        <f t="shared" si="257"/>
        <v>194</v>
      </c>
      <c r="R236" s="63">
        <f t="shared" si="258"/>
        <v>22</v>
      </c>
      <c r="S236" s="63" t="str">
        <f>IFERROR(VLOOKUP(MID(N236,Q236,R236-Q236),[6]skilldef!$C:$D,2,FALSE),"-") &amp; " / " &amp; IFERROR(VLOOKUP(MID(N236,O236,P236-O236),[6]skilldef!$A:$B,2,FALSE),"-")</f>
        <v>- / 連続攻撃</v>
      </c>
      <c r="T236" s="48" t="str">
        <f t="shared" si="259"/>
        <v>[effect:change_range_block, block_change:1, base_type:1, square_count:5, position01:17, value_rad01:3.0, value_h01:1.0, value_w01:1.0, new_block:jammer, target:block_all, ignore01:block_positive, ignore02:jammer, count:2, val:0 animation:change_range_block]</v>
      </c>
      <c r="U236" s="63">
        <f t="shared" si="260"/>
        <v>9</v>
      </c>
      <c r="V236" s="63">
        <f t="shared" si="261"/>
        <v>27</v>
      </c>
      <c r="W236" s="63">
        <f t="shared" si="262"/>
        <v>161</v>
      </c>
      <c r="X236" s="63">
        <f t="shared" si="263"/>
        <v>43</v>
      </c>
      <c r="Y236" s="63" t="str">
        <f>IFERROR(VLOOKUP(MID(T236,W236,X236-W236),[6]skilldef!$C:$D,2,FALSE),"-") &amp; " / " &amp; IFERROR(VLOOKUP(MID(T236,U236,V236-U236),[6]skilldef!$A:$B,2,FALSE),"-")</f>
        <v>- / -</v>
      </c>
      <c r="Z236" s="50"/>
      <c r="AA236" s="51"/>
      <c r="AB236" s="50"/>
    </row>
    <row r="237" spans="1:28" ht="308" x14ac:dyDescent="0.15">
      <c r="A237" s="124">
        <v>49015236</v>
      </c>
      <c r="B237" s="106" t="s">
        <v>543</v>
      </c>
      <c r="C237" s="50">
        <v>3</v>
      </c>
      <c r="D237" s="50" t="s">
        <v>127</v>
      </c>
      <c r="E237" s="193" t="s">
        <v>467</v>
      </c>
      <c r="F237" s="193" t="s">
        <v>468</v>
      </c>
      <c r="G237" s="63" t="str">
        <f t="shared" si="249"/>
        <v>[effect:enemy_message, val1:2.3, val2:2.8]</v>
      </c>
      <c r="H237" s="63">
        <f t="shared" si="250"/>
        <v>9</v>
      </c>
      <c r="I237" s="63">
        <f t="shared" si="251"/>
        <v>22</v>
      </c>
      <c r="J237" s="63" t="e">
        <f t="shared" si="252"/>
        <v>#VALUE!</v>
      </c>
      <c r="K237" s="63">
        <f t="shared" si="253"/>
        <v>32</v>
      </c>
      <c r="L237" s="63" t="str">
        <f>IFERROR(VLOOKUP(MID(G237,J237,K237-J237),[6]skilldef!$C:$D,2,FALSE),"-") &amp; " / " &amp; IFERROR(VLOOKUP(MID(G237,H237,I237-H237),[6]skilldef!$A:$B,2,FALSE),"-")</f>
        <v>- / -</v>
      </c>
      <c r="M237" s="63" t="str">
        <f t="shared" si="254"/>
        <v>[effect:change_range_block, block_change:1, base_type:1, square_count:5, position01:7, value_rad01:2.0, value_h01:1.0, value_w01:1.0, new_block:jammer, target:block_all, ignore01:block_positive, ignore02:jammer, count:3, val:0 animation:change_range_block],[effect:change_range_block, block_change:1, base_type:1, square_count:5, position01:17, value_rad01:2.0, value_h01:1.0, value_w01:1.0, new_block:time_bomb, target:block_all, ignore01:block_positive, ignore02:time_bomb, color:block_green, count:0, val:0.03, min_time_count:3, max_time_count:3, animation:change_range_block]</v>
      </c>
      <c r="N237" s="48" t="str">
        <f t="shared" si="264"/>
        <v>[effect:change_range_block, block_change:1, base_type:1, square_count:5, position01:7, value_rad01:2.0, value_h01:1.0, value_w01:1.0, new_block:jammer, target:block_all, ignore01:block_positive, ignore02:jammer, count:3, val:0 animation:change_range_block],[effect:change_range_block, block_change:1, base_type:1, square_count:5, position01:17, value_rad01:2.0, value_h01:1.0, value_w01:1.0, new_block:time_bomb, target:block_all, ignore01:block_positive, ignore02:time_bomb, color:block_green, count:0, val:0.03, min_time_count:3, max_time_count:3, animation:change_range_block]</v>
      </c>
      <c r="O237" s="63">
        <f t="shared" si="255"/>
        <v>9</v>
      </c>
      <c r="P237" s="63">
        <f t="shared" si="256"/>
        <v>27</v>
      </c>
      <c r="Q237" s="63">
        <f t="shared" si="257"/>
        <v>160</v>
      </c>
      <c r="R237" s="63">
        <f t="shared" si="258"/>
        <v>43</v>
      </c>
      <c r="S237" s="63" t="str">
        <f>IFERROR(VLOOKUP(MID(N237,Q237,R237-Q237),[6]skilldef!$C:$D,2,FALSE),"-") &amp; " / " &amp; IFERROR(VLOOKUP(MID(N237,O237,P237-O237),[6]skilldef!$A:$B,2,FALSE),"-")</f>
        <v>- / -</v>
      </c>
      <c r="T237" s="48" t="str">
        <f t="shared" si="259"/>
        <v>[effect:change_range_block, block_change:1, base_type:1, square_count:5, position01:17, value_rad01:2.0, value_h01:1.0, value_w01:1.0, new_block:time_bomb, target:block_all, ignore01:block_positive, ignore02:time_bomb, color:block_green, count:0, val:0.03, min_time_count:3, max_time_count:3, animation:change_range_block]</v>
      </c>
      <c r="U237" s="63">
        <f t="shared" si="260"/>
        <v>9</v>
      </c>
      <c r="V237" s="63">
        <f t="shared" si="261"/>
        <v>27</v>
      </c>
      <c r="W237" s="63">
        <f t="shared" si="262"/>
        <v>164</v>
      </c>
      <c r="X237" s="63">
        <f t="shared" si="263"/>
        <v>43</v>
      </c>
      <c r="Y237" s="63" t="str">
        <f>IFERROR(VLOOKUP(MID(T237,W237,X237-W237),[6]skilldef!$C:$D,2,FALSE),"-") &amp; " / " &amp; IFERROR(VLOOKUP(MID(T237,U237,V237-U237),[6]skilldef!$A:$B,2,FALSE),"-")</f>
        <v>- / -</v>
      </c>
      <c r="Z237" s="50"/>
      <c r="AA237" s="51"/>
      <c r="AB237" s="50"/>
    </row>
    <row r="238" spans="1:28" ht="14" x14ac:dyDescent="0.15">
      <c r="A238" s="124">
        <v>49015237</v>
      </c>
      <c r="B238" s="106" t="s">
        <v>352</v>
      </c>
      <c r="C238" s="50">
        <v>3</v>
      </c>
      <c r="D238" s="50" t="s">
        <v>127</v>
      </c>
      <c r="E238" s="152" t="s">
        <v>299</v>
      </c>
      <c r="F238" s="120" t="s">
        <v>300</v>
      </c>
      <c r="G238" s="63" t="str">
        <f t="shared" si="249"/>
        <v>[effect:enemy_message, val1:1.2, val2:1.2, dead_type:escape]</v>
      </c>
      <c r="H238" s="63">
        <f t="shared" si="250"/>
        <v>9</v>
      </c>
      <c r="I238" s="63">
        <f t="shared" si="251"/>
        <v>22</v>
      </c>
      <c r="J238" s="63" t="e">
        <f t="shared" si="252"/>
        <v>#VALUE!</v>
      </c>
      <c r="K238" s="63">
        <f t="shared" si="253"/>
        <v>32</v>
      </c>
      <c r="L238" s="63" t="str">
        <f>IFERROR(VLOOKUP(MID(G238,J238,K238-J238),[6]skilldef!$C:$D,2,FALSE),"-") &amp; " / " &amp; IFERROR(VLOOKUP(MID(G238,H238,I238-H238),[6]skilldef!$A:$B,2,FALSE),"-")</f>
        <v>- / -</v>
      </c>
      <c r="M238" s="63" t="str">
        <f t="shared" si="254"/>
        <v>none</v>
      </c>
      <c r="N238" s="48" t="str">
        <f t="shared" si="264"/>
        <v>none</v>
      </c>
      <c r="O238" s="63" t="e">
        <f t="shared" si="255"/>
        <v>#VALUE!</v>
      </c>
      <c r="P238" s="63">
        <f t="shared" si="256"/>
        <v>4</v>
      </c>
      <c r="Q238" s="63" t="e">
        <f t="shared" si="257"/>
        <v>#VALUE!</v>
      </c>
      <c r="R238" s="63" t="e">
        <f t="shared" si="258"/>
        <v>#VALUE!</v>
      </c>
      <c r="S238" s="63" t="str">
        <f>IFERROR(VLOOKUP(MID(N238,Q238,R238-Q238),[6]skilldef!$C:$D,2,FALSE),"-") &amp; " / " &amp; IFERROR(VLOOKUP(MID(N238,O238,P238-O238),[6]skilldef!$A:$B,2,FALSE),"-")</f>
        <v>- / -</v>
      </c>
      <c r="T238" s="48" t="str">
        <f t="shared" si="259"/>
        <v>none</v>
      </c>
      <c r="U238" s="63" t="e">
        <f t="shared" si="260"/>
        <v>#VALUE!</v>
      </c>
      <c r="V238" s="63">
        <f t="shared" si="261"/>
        <v>4</v>
      </c>
      <c r="W238" s="63" t="e">
        <f t="shared" si="262"/>
        <v>#VALUE!</v>
      </c>
      <c r="X238" s="63" t="e">
        <f t="shared" si="263"/>
        <v>#VALUE!</v>
      </c>
      <c r="Y238" s="63" t="str">
        <f>IFERROR(VLOOKUP(MID(T238,W238,X238-W238),[6]skilldef!$C:$D,2,FALSE),"-") &amp; " / " &amp; IFERROR(VLOOKUP(MID(T238,U238,V238-U238),[6]skilldef!$A:$B,2,FALSE),"-")</f>
        <v>- / -</v>
      </c>
      <c r="Z238" s="50"/>
      <c r="AA238" s="51"/>
      <c r="AB238" s="50"/>
    </row>
    <row r="239" spans="1:28" ht="14" x14ac:dyDescent="0.15">
      <c r="A239" s="124">
        <v>49015238</v>
      </c>
      <c r="B239" s="106" t="s">
        <v>588</v>
      </c>
      <c r="C239" s="50">
        <v>3</v>
      </c>
      <c r="D239" s="50" t="s">
        <v>127</v>
      </c>
      <c r="E239" s="119" t="s">
        <v>413</v>
      </c>
      <c r="F239" s="105" t="s">
        <v>301</v>
      </c>
      <c r="G239" s="63" t="str">
        <f t="shared" si="249"/>
        <v>[effect:enemy_message, val1:1.2, val2:1.3, dead_type:escape]</v>
      </c>
      <c r="H239" s="63">
        <f t="shared" si="250"/>
        <v>9</v>
      </c>
      <c r="I239" s="63">
        <f t="shared" si="251"/>
        <v>22</v>
      </c>
      <c r="J239" s="63" t="e">
        <f t="shared" si="252"/>
        <v>#VALUE!</v>
      </c>
      <c r="K239" s="63">
        <f t="shared" si="253"/>
        <v>32</v>
      </c>
      <c r="L239" s="63" t="str">
        <f>IFERROR(VLOOKUP(MID(G239,J239,K239-J239),[6]skilldef!$C:$D,2,FALSE),"-") &amp; " / " &amp; IFERROR(VLOOKUP(MID(G239,H239,I239-H239),[6]skilldef!$A:$B,2,FALSE),"-")</f>
        <v>- / -</v>
      </c>
      <c r="M239" s="63" t="str">
        <f t="shared" si="254"/>
        <v>none</v>
      </c>
      <c r="N239" s="48" t="str">
        <f>IFERROR(LEFT(M239,FIND("],",M239)+#REF!),M239)</f>
        <v>none</v>
      </c>
      <c r="O239" s="63" t="e">
        <f t="shared" si="255"/>
        <v>#VALUE!</v>
      </c>
      <c r="P239" s="63">
        <f t="shared" si="256"/>
        <v>4</v>
      </c>
      <c r="Q239" s="63" t="e">
        <f t="shared" si="257"/>
        <v>#VALUE!</v>
      </c>
      <c r="R239" s="63" t="e">
        <f t="shared" si="258"/>
        <v>#VALUE!</v>
      </c>
      <c r="S239" s="63" t="str">
        <f>IFERROR(VLOOKUP(MID(N239,Q239,R239-Q239),[6]skilldef!$C:$D,2,FALSE),"-") &amp; " / " &amp; IFERROR(VLOOKUP(MID(N239,O239,P239-O239),[6]skilldef!$A:$B,2,FALSE),"-")</f>
        <v>- / -</v>
      </c>
      <c r="T239" s="48" t="str">
        <f t="shared" si="259"/>
        <v>none</v>
      </c>
      <c r="U239" s="63" t="e">
        <f t="shared" si="260"/>
        <v>#VALUE!</v>
      </c>
      <c r="V239" s="63">
        <f t="shared" si="261"/>
        <v>4</v>
      </c>
      <c r="W239" s="63" t="e">
        <f t="shared" si="262"/>
        <v>#VALUE!</v>
      </c>
      <c r="X239" s="63" t="e">
        <f t="shared" si="263"/>
        <v>#VALUE!</v>
      </c>
      <c r="Y239" s="63" t="str">
        <f>IFERROR(VLOOKUP(MID(T239,W239,X239-W239),[6]skilldef!$C:$D,2,FALSE),"-") &amp; " / " &amp; IFERROR(VLOOKUP(MID(T239,U239,V239-U239),[6]skilldef!$A:$B,2,FALSE),"-")</f>
        <v>- / -</v>
      </c>
      <c r="Z239" s="50"/>
      <c r="AA239" s="51"/>
      <c r="AB239" s="50"/>
    </row>
    <row r="240" spans="1:28" ht="21" customHeight="1" x14ac:dyDescent="0.15">
      <c r="A240" s="124">
        <v>49015239</v>
      </c>
      <c r="B240" s="106" t="s">
        <v>352</v>
      </c>
      <c r="C240" s="50">
        <v>3</v>
      </c>
      <c r="D240" s="50" t="s">
        <v>127</v>
      </c>
      <c r="E240" s="105" t="s">
        <v>302</v>
      </c>
      <c r="F240" s="118" t="s">
        <v>303</v>
      </c>
      <c r="G240" s="63" t="str">
        <f t="shared" si="249"/>
        <v>[effect:enemy_message, val1:1.2, val2:1.2, dead_type:escape]</v>
      </c>
      <c r="H240" s="63">
        <f t="shared" si="250"/>
        <v>9</v>
      </c>
      <c r="I240" s="63">
        <f t="shared" si="251"/>
        <v>22</v>
      </c>
      <c r="J240" s="63" t="e">
        <f t="shared" si="252"/>
        <v>#VALUE!</v>
      </c>
      <c r="K240" s="63">
        <f t="shared" si="253"/>
        <v>32</v>
      </c>
      <c r="L240" s="63" t="str">
        <f>IFERROR(VLOOKUP(MID(G240,J240,K240-J240),[6]skilldef!$C:$D,2,FALSE),"-") &amp; " / " &amp; IFERROR(VLOOKUP(MID(G240,H240,I240-H240),[6]skilldef!$A:$B,2,FALSE),"-")</f>
        <v>- / -</v>
      </c>
      <c r="M240" s="63" t="str">
        <f t="shared" si="254"/>
        <v>none</v>
      </c>
      <c r="N240" s="48" t="str">
        <f t="shared" ref="N240:N248" si="265">IFERROR(LEFT(M240,FIND("],",M240)+S249),M240)</f>
        <v>none</v>
      </c>
      <c r="O240" s="63" t="e">
        <f t="shared" si="255"/>
        <v>#VALUE!</v>
      </c>
      <c r="P240" s="63">
        <f t="shared" si="256"/>
        <v>4</v>
      </c>
      <c r="Q240" s="63" t="e">
        <f t="shared" si="257"/>
        <v>#VALUE!</v>
      </c>
      <c r="R240" s="63" t="e">
        <f t="shared" si="258"/>
        <v>#VALUE!</v>
      </c>
      <c r="S240" s="63" t="str">
        <f>IFERROR(VLOOKUP(MID(N240,Q240,R240-Q240),[6]skilldef!$C:$D,2,FALSE),"-") &amp; " / " &amp; IFERROR(VLOOKUP(MID(N240,O240,P240-O240),[6]skilldef!$A:$B,2,FALSE),"-")</f>
        <v>- / -</v>
      </c>
      <c r="T240" s="48" t="str">
        <f t="shared" si="259"/>
        <v>none</v>
      </c>
      <c r="U240" s="63" t="e">
        <f t="shared" si="260"/>
        <v>#VALUE!</v>
      </c>
      <c r="V240" s="63">
        <f t="shared" si="261"/>
        <v>4</v>
      </c>
      <c r="W240" s="63" t="e">
        <f t="shared" si="262"/>
        <v>#VALUE!</v>
      </c>
      <c r="X240" s="63" t="e">
        <f t="shared" si="263"/>
        <v>#VALUE!</v>
      </c>
      <c r="Y240" s="63" t="str">
        <f>IFERROR(VLOOKUP(MID(T240,W240,X240-W240),[6]skilldef!$C:$D,2,FALSE),"-") &amp; " / " &amp; IFERROR(VLOOKUP(MID(T240,U240,V240-U240),[6]skilldef!$A:$B,2,FALSE),"-")</f>
        <v>- / -</v>
      </c>
      <c r="Z240" s="50"/>
      <c r="AA240" s="51"/>
      <c r="AB240" s="50"/>
    </row>
    <row r="241" spans="1:28" ht="14" x14ac:dyDescent="0.15">
      <c r="A241" s="124">
        <v>49015240</v>
      </c>
      <c r="B241" s="106" t="s">
        <v>352</v>
      </c>
      <c r="C241" s="50">
        <v>3</v>
      </c>
      <c r="D241" s="50" t="s">
        <v>127</v>
      </c>
      <c r="E241" s="119" t="s">
        <v>574</v>
      </c>
      <c r="F241" s="105" t="s">
        <v>304</v>
      </c>
      <c r="G241" s="63" t="str">
        <f t="shared" si="249"/>
        <v>[effect:enemy_message, val1:1.2, val2:1.2, dead_type:escape]</v>
      </c>
      <c r="H241" s="63">
        <f t="shared" si="250"/>
        <v>9</v>
      </c>
      <c r="I241" s="63">
        <f t="shared" si="251"/>
        <v>22</v>
      </c>
      <c r="J241" s="63" t="e">
        <f t="shared" si="252"/>
        <v>#VALUE!</v>
      </c>
      <c r="K241" s="63">
        <f t="shared" si="253"/>
        <v>32</v>
      </c>
      <c r="L241" s="63" t="str">
        <f>IFERROR(VLOOKUP(MID(G241,J241,K241-J241),[6]skilldef!$C:$D,2,FALSE),"-") &amp; " / " &amp; IFERROR(VLOOKUP(MID(G241,H241,I241-H241),[6]skilldef!$A:$B,2,FALSE),"-")</f>
        <v>- / -</v>
      </c>
      <c r="M241" s="63" t="str">
        <f t="shared" si="254"/>
        <v>none</v>
      </c>
      <c r="N241" s="48" t="str">
        <f t="shared" si="265"/>
        <v>none</v>
      </c>
      <c r="O241" s="63" t="e">
        <f t="shared" si="255"/>
        <v>#VALUE!</v>
      </c>
      <c r="P241" s="63">
        <f t="shared" si="256"/>
        <v>4</v>
      </c>
      <c r="Q241" s="63" t="e">
        <f t="shared" si="257"/>
        <v>#VALUE!</v>
      </c>
      <c r="R241" s="63" t="e">
        <f t="shared" si="258"/>
        <v>#VALUE!</v>
      </c>
      <c r="S241" s="63" t="str">
        <f>IFERROR(VLOOKUP(MID(N241,Q241,R241-Q241),[6]skilldef!$C:$D,2,FALSE),"-") &amp; " / " &amp; IFERROR(VLOOKUP(MID(N241,O241,P241-O241),[6]skilldef!$A:$B,2,FALSE),"-")</f>
        <v>- / -</v>
      </c>
      <c r="T241" s="48" t="str">
        <f t="shared" si="259"/>
        <v>none</v>
      </c>
      <c r="U241" s="63" t="e">
        <f t="shared" si="260"/>
        <v>#VALUE!</v>
      </c>
      <c r="V241" s="63">
        <f t="shared" si="261"/>
        <v>4</v>
      </c>
      <c r="W241" s="63" t="e">
        <f t="shared" si="262"/>
        <v>#VALUE!</v>
      </c>
      <c r="X241" s="63" t="e">
        <f t="shared" si="263"/>
        <v>#VALUE!</v>
      </c>
      <c r="Y241" s="63" t="str">
        <f>IFERROR(VLOOKUP(MID(T241,W241,X241-W241),[6]skilldef!$C:$D,2,FALSE),"-") &amp; " / " &amp; IFERROR(VLOOKUP(MID(T241,U241,V241-U241),[6]skilldef!$A:$B,2,FALSE),"-")</f>
        <v>- / -</v>
      </c>
      <c r="Z241" s="50"/>
      <c r="AA241" s="51"/>
      <c r="AB241" s="50"/>
    </row>
    <row r="242" spans="1:28" ht="21" customHeight="1" x14ac:dyDescent="0.15">
      <c r="A242" s="124">
        <v>49015241</v>
      </c>
      <c r="B242" s="106" t="s">
        <v>377</v>
      </c>
      <c r="C242" s="50">
        <v>3</v>
      </c>
      <c r="D242" s="50" t="s">
        <v>127</v>
      </c>
      <c r="E242" s="105" t="s">
        <v>376</v>
      </c>
      <c r="F242" s="105" t="s">
        <v>261</v>
      </c>
      <c r="G242" s="63" t="str">
        <f t="shared" si="249"/>
        <v>[effect:enemy_message, val1:1.6, val2:0, dead_type:escape]</v>
      </c>
      <c r="H242" s="63">
        <f t="shared" si="250"/>
        <v>9</v>
      </c>
      <c r="I242" s="63">
        <f t="shared" si="251"/>
        <v>22</v>
      </c>
      <c r="J242" s="63" t="e">
        <f t="shared" si="252"/>
        <v>#VALUE!</v>
      </c>
      <c r="K242" s="63">
        <f t="shared" si="253"/>
        <v>32</v>
      </c>
      <c r="L242" s="63" t="str">
        <f>IFERROR(VLOOKUP(MID(G242,J242,K242-J242),[6]skilldef!$C:$D,2,FALSE),"-") &amp; " / " &amp; IFERROR(VLOOKUP(MID(G242,H242,I242-H242),[6]skilldef!$A:$B,2,FALSE),"-")</f>
        <v>- / -</v>
      </c>
      <c r="M242" s="63" t="str">
        <f t="shared" si="254"/>
        <v>none</v>
      </c>
      <c r="N242" s="48" t="str">
        <f t="shared" si="265"/>
        <v>none</v>
      </c>
      <c r="O242" s="63" t="e">
        <f t="shared" si="255"/>
        <v>#VALUE!</v>
      </c>
      <c r="P242" s="63">
        <f t="shared" si="256"/>
        <v>4</v>
      </c>
      <c r="Q242" s="63" t="e">
        <f t="shared" si="257"/>
        <v>#VALUE!</v>
      </c>
      <c r="R242" s="63" t="e">
        <f t="shared" si="258"/>
        <v>#VALUE!</v>
      </c>
      <c r="S242" s="63" t="str">
        <f>IFERROR(VLOOKUP(MID(N242,Q242,R242-Q242),[6]skilldef!$C:$D,2,FALSE),"-") &amp; " / " &amp; IFERROR(VLOOKUP(MID(N242,O242,P242-O242),[6]skilldef!$A:$B,2,FALSE),"-")</f>
        <v>- / -</v>
      </c>
      <c r="T242" s="48" t="str">
        <f t="shared" si="259"/>
        <v>none</v>
      </c>
      <c r="U242" s="63" t="e">
        <f t="shared" si="260"/>
        <v>#VALUE!</v>
      </c>
      <c r="V242" s="63">
        <f t="shared" si="261"/>
        <v>4</v>
      </c>
      <c r="W242" s="63" t="e">
        <f t="shared" si="262"/>
        <v>#VALUE!</v>
      </c>
      <c r="X242" s="63" t="e">
        <f t="shared" si="263"/>
        <v>#VALUE!</v>
      </c>
      <c r="Y242" s="63" t="str">
        <f>IFERROR(VLOOKUP(MID(T242,W242,X242-W242),[6]skilldef!$C:$D,2,FALSE),"-") &amp; " / " &amp; IFERROR(VLOOKUP(MID(T242,U242,V242-U242),[6]skilldef!$A:$B,2,FALSE),"-")</f>
        <v>- / -</v>
      </c>
      <c r="Z242" s="50"/>
      <c r="AA242" s="51"/>
      <c r="AB242" s="50"/>
    </row>
    <row r="243" spans="1:28" ht="21" customHeight="1" x14ac:dyDescent="0.15">
      <c r="A243" s="124">
        <v>49015242</v>
      </c>
      <c r="B243" s="106" t="s">
        <v>356</v>
      </c>
      <c r="C243" s="50">
        <v>3</v>
      </c>
      <c r="D243" s="50" t="s">
        <v>127</v>
      </c>
      <c r="E243" s="105" t="s">
        <v>305</v>
      </c>
      <c r="F243" s="105" t="s">
        <v>261</v>
      </c>
      <c r="G243" s="63" t="str">
        <f t="shared" si="249"/>
        <v>[effect:enemy_message, val1:1.2, val2:0, dead_type:escape]</v>
      </c>
      <c r="H243" s="63">
        <f t="shared" si="250"/>
        <v>9</v>
      </c>
      <c r="I243" s="63">
        <f t="shared" si="251"/>
        <v>22</v>
      </c>
      <c r="J243" s="63" t="e">
        <f t="shared" si="252"/>
        <v>#VALUE!</v>
      </c>
      <c r="K243" s="63">
        <f t="shared" si="253"/>
        <v>32</v>
      </c>
      <c r="L243" s="63" t="str">
        <f>IFERROR(VLOOKUP(MID(G243,J243,K243-J243),[6]skilldef!$C:$D,2,FALSE),"-") &amp; " / " &amp; IFERROR(VLOOKUP(MID(G243,H243,I243-H243),[6]skilldef!$A:$B,2,FALSE),"-")</f>
        <v>- / -</v>
      </c>
      <c r="M243" s="63" t="str">
        <f t="shared" si="254"/>
        <v>none</v>
      </c>
      <c r="N243" s="48" t="str">
        <f t="shared" si="265"/>
        <v>none</v>
      </c>
      <c r="O243" s="63" t="e">
        <f t="shared" si="255"/>
        <v>#VALUE!</v>
      </c>
      <c r="P243" s="63">
        <f t="shared" si="256"/>
        <v>4</v>
      </c>
      <c r="Q243" s="63" t="e">
        <f t="shared" si="257"/>
        <v>#VALUE!</v>
      </c>
      <c r="R243" s="63" t="e">
        <f t="shared" si="258"/>
        <v>#VALUE!</v>
      </c>
      <c r="S243" s="63" t="str">
        <f>IFERROR(VLOOKUP(MID(N243,Q243,R243-Q243),[6]skilldef!$C:$D,2,FALSE),"-") &amp; " / " &amp; IFERROR(VLOOKUP(MID(N243,O243,P243-O243),[6]skilldef!$A:$B,2,FALSE),"-")</f>
        <v>- / -</v>
      </c>
      <c r="T243" s="48" t="str">
        <f t="shared" si="259"/>
        <v>none</v>
      </c>
      <c r="U243" s="63" t="e">
        <f t="shared" si="260"/>
        <v>#VALUE!</v>
      </c>
      <c r="V243" s="63">
        <f t="shared" si="261"/>
        <v>4</v>
      </c>
      <c r="W243" s="63" t="e">
        <f t="shared" si="262"/>
        <v>#VALUE!</v>
      </c>
      <c r="X243" s="63" t="e">
        <f t="shared" si="263"/>
        <v>#VALUE!</v>
      </c>
      <c r="Y243" s="63" t="str">
        <f>IFERROR(VLOOKUP(MID(T243,W243,X243-W243),[6]skilldef!$C:$D,2,FALSE),"-") &amp; " / " &amp; IFERROR(VLOOKUP(MID(T243,U243,V243-U243),[6]skilldef!$A:$B,2,FALSE),"-")</f>
        <v>- / -</v>
      </c>
      <c r="Z243" s="50"/>
      <c r="AA243" s="51"/>
      <c r="AB243" s="50"/>
    </row>
    <row r="244" spans="1:28" ht="21" customHeight="1" x14ac:dyDescent="0.15">
      <c r="A244" s="124">
        <v>49015243</v>
      </c>
      <c r="B244" s="106" t="s">
        <v>352</v>
      </c>
      <c r="C244" s="50">
        <v>3</v>
      </c>
      <c r="D244" s="50" t="s">
        <v>127</v>
      </c>
      <c r="E244" s="105" t="s">
        <v>306</v>
      </c>
      <c r="F244" s="118" t="s">
        <v>307</v>
      </c>
      <c r="G244" s="63" t="str">
        <f t="shared" si="249"/>
        <v>[effect:enemy_message, val1:1.2, val2:1.2, dead_type:escape]</v>
      </c>
      <c r="H244" s="63">
        <f t="shared" si="250"/>
        <v>9</v>
      </c>
      <c r="I244" s="63">
        <f t="shared" si="251"/>
        <v>22</v>
      </c>
      <c r="J244" s="63" t="e">
        <f t="shared" si="252"/>
        <v>#VALUE!</v>
      </c>
      <c r="K244" s="63">
        <f t="shared" si="253"/>
        <v>32</v>
      </c>
      <c r="L244" s="63" t="str">
        <f>IFERROR(VLOOKUP(MID(G244,J244,K244-J244),[6]skilldef!$C:$D,2,FALSE),"-") &amp; " / " &amp; IFERROR(VLOOKUP(MID(G244,H244,I244-H244),[6]skilldef!$A:$B,2,FALSE),"-")</f>
        <v>- / -</v>
      </c>
      <c r="M244" s="63" t="str">
        <f t="shared" si="254"/>
        <v>none</v>
      </c>
      <c r="N244" s="48" t="str">
        <f t="shared" si="265"/>
        <v>none</v>
      </c>
      <c r="O244" s="63" t="e">
        <f t="shared" si="255"/>
        <v>#VALUE!</v>
      </c>
      <c r="P244" s="63">
        <f t="shared" si="256"/>
        <v>4</v>
      </c>
      <c r="Q244" s="63" t="e">
        <f t="shared" si="257"/>
        <v>#VALUE!</v>
      </c>
      <c r="R244" s="63" t="e">
        <f t="shared" si="258"/>
        <v>#VALUE!</v>
      </c>
      <c r="S244" s="63" t="str">
        <f>IFERROR(VLOOKUP(MID(N244,Q244,R244-Q244),[6]skilldef!$C:$D,2,FALSE),"-") &amp; " / " &amp; IFERROR(VLOOKUP(MID(N244,O244,P244-O244),[6]skilldef!$A:$B,2,FALSE),"-")</f>
        <v>- / -</v>
      </c>
      <c r="T244" s="48" t="str">
        <f t="shared" si="259"/>
        <v>none</v>
      </c>
      <c r="U244" s="63" t="e">
        <f t="shared" si="260"/>
        <v>#VALUE!</v>
      </c>
      <c r="V244" s="63">
        <f t="shared" si="261"/>
        <v>4</v>
      </c>
      <c r="W244" s="63" t="e">
        <f t="shared" si="262"/>
        <v>#VALUE!</v>
      </c>
      <c r="X244" s="63" t="e">
        <f t="shared" si="263"/>
        <v>#VALUE!</v>
      </c>
      <c r="Y244" s="63" t="str">
        <f>IFERROR(VLOOKUP(MID(T244,W244,X244-W244),[6]skilldef!$C:$D,2,FALSE),"-") &amp; " / " &amp; IFERROR(VLOOKUP(MID(T244,U244,V244-U244),[6]skilldef!$A:$B,2,FALSE),"-")</f>
        <v>- / -</v>
      </c>
      <c r="Z244" s="50"/>
      <c r="AA244" s="51"/>
      <c r="AB244" s="50"/>
    </row>
    <row r="245" spans="1:28" ht="21" customHeight="1" thickBot="1" x14ac:dyDescent="0.2">
      <c r="A245" s="125">
        <v>49015244</v>
      </c>
      <c r="B245" s="111" t="s">
        <v>352</v>
      </c>
      <c r="C245" s="50">
        <v>3</v>
      </c>
      <c r="D245" s="112" t="s">
        <v>127</v>
      </c>
      <c r="E245" s="117" t="s">
        <v>308</v>
      </c>
      <c r="F245" s="117" t="s">
        <v>309</v>
      </c>
      <c r="G245" s="113" t="str">
        <f t="shared" si="249"/>
        <v>[effect:enemy_message, val1:1.2, val2:1.2, dead_type:escape]</v>
      </c>
      <c r="H245" s="113">
        <f t="shared" si="250"/>
        <v>9</v>
      </c>
      <c r="I245" s="113">
        <f t="shared" si="251"/>
        <v>22</v>
      </c>
      <c r="J245" s="113" t="e">
        <f t="shared" si="252"/>
        <v>#VALUE!</v>
      </c>
      <c r="K245" s="113">
        <f t="shared" si="253"/>
        <v>32</v>
      </c>
      <c r="L245" s="113" t="str">
        <f>IFERROR(VLOOKUP(MID(G245,J245,K245-J245),[6]skilldef!$C:$D,2,FALSE),"-") &amp; " / " &amp; IFERROR(VLOOKUP(MID(G245,H245,I245-H245),[6]skilldef!$A:$B,2,FALSE),"-")</f>
        <v>- / -</v>
      </c>
      <c r="M245" s="113" t="str">
        <f t="shared" si="254"/>
        <v>none</v>
      </c>
      <c r="N245" s="114" t="str">
        <f t="shared" si="265"/>
        <v>none</v>
      </c>
      <c r="O245" s="113" t="e">
        <f t="shared" si="255"/>
        <v>#VALUE!</v>
      </c>
      <c r="P245" s="113">
        <f t="shared" si="256"/>
        <v>4</v>
      </c>
      <c r="Q245" s="113" t="e">
        <f t="shared" si="257"/>
        <v>#VALUE!</v>
      </c>
      <c r="R245" s="113" t="e">
        <f t="shared" si="258"/>
        <v>#VALUE!</v>
      </c>
      <c r="S245" s="113" t="str">
        <f>IFERROR(VLOOKUP(MID(N245,Q245,R245-Q245),[6]skilldef!$C:$D,2,FALSE),"-") &amp; " / " &amp; IFERROR(VLOOKUP(MID(N245,O245,P245-O245),[6]skilldef!$A:$B,2,FALSE),"-")</f>
        <v>- / -</v>
      </c>
      <c r="T245" s="114" t="str">
        <f t="shared" si="259"/>
        <v>none</v>
      </c>
      <c r="U245" s="113" t="e">
        <f t="shared" si="260"/>
        <v>#VALUE!</v>
      </c>
      <c r="V245" s="113">
        <f t="shared" si="261"/>
        <v>4</v>
      </c>
      <c r="W245" s="113" t="e">
        <f t="shared" si="262"/>
        <v>#VALUE!</v>
      </c>
      <c r="X245" s="113" t="e">
        <f t="shared" si="263"/>
        <v>#VALUE!</v>
      </c>
      <c r="Y245" s="113" t="str">
        <f>IFERROR(VLOOKUP(MID(T245,W245,X245-W245),[6]skilldef!$C:$D,2,FALSE),"-") &amp; " / " &amp; IFERROR(VLOOKUP(MID(T245,U245,V245-U245),[6]skilldef!$A:$B,2,FALSE),"-")</f>
        <v>- / -</v>
      </c>
      <c r="Z245" s="112"/>
      <c r="AA245" s="115"/>
      <c r="AB245" s="112"/>
    </row>
    <row r="246" spans="1:28" ht="21" customHeight="1" x14ac:dyDescent="0.15">
      <c r="A246" s="126">
        <v>49015245</v>
      </c>
      <c r="B246" s="106" t="s">
        <v>555</v>
      </c>
      <c r="C246" s="50">
        <v>3</v>
      </c>
      <c r="D246" s="107" t="s">
        <v>127</v>
      </c>
      <c r="E246" s="118" t="s">
        <v>310</v>
      </c>
      <c r="F246" s="118" t="s">
        <v>566</v>
      </c>
      <c r="G246" s="108" t="str">
        <f t="shared" si="249"/>
        <v>[effect:enemy_message, val1:1.6, val2:1.2]</v>
      </c>
      <c r="H246" s="108">
        <f t="shared" si="250"/>
        <v>9</v>
      </c>
      <c r="I246" s="108">
        <f t="shared" si="251"/>
        <v>22</v>
      </c>
      <c r="J246" s="108" t="e">
        <f t="shared" si="252"/>
        <v>#VALUE!</v>
      </c>
      <c r="K246" s="108">
        <f t="shared" si="253"/>
        <v>32</v>
      </c>
      <c r="L246" s="108" t="str">
        <f>IFERROR(VLOOKUP(MID(G246,J246,K246-J246),[6]skilldef!$C:$D,2,FALSE),"-") &amp; " / " &amp; IFERROR(VLOOKUP(MID(G246,H246,I246-H246),[6]skilldef!$A:$B,2,FALSE),"-")</f>
        <v>- / -</v>
      </c>
      <c r="M246" s="108" t="str">
        <f t="shared" si="254"/>
        <v>[effect:fix_speed, target:myself, turn:2],[effect:dark, target:unit_all, turn:4, animation:enemy_dark]</v>
      </c>
      <c r="N246" s="109" t="str">
        <f t="shared" si="265"/>
        <v>[effect:fix_speed, target:myself, turn:2],[effect:dark, target:unit_all, turn:4, animation:enemy_dark]</v>
      </c>
      <c r="O246" s="108">
        <f t="shared" si="255"/>
        <v>9</v>
      </c>
      <c r="P246" s="108">
        <f t="shared" si="256"/>
        <v>18</v>
      </c>
      <c r="Q246" s="108">
        <f t="shared" si="257"/>
        <v>27</v>
      </c>
      <c r="R246" s="108">
        <f t="shared" si="258"/>
        <v>33</v>
      </c>
      <c r="S246" s="108" t="str">
        <f>IFERROR(VLOOKUP(MID(N246,Q246,R246-Q246),[6]skilldef!$C:$D,2,FALSE),"-") &amp; " / " &amp; IFERROR(VLOOKUP(MID(N246,O246,P246-O246),[6]skilldef!$A:$B,2,FALSE),"-")</f>
        <v>自分自身に / 行動値設定</v>
      </c>
      <c r="T246" s="109" t="str">
        <f t="shared" si="259"/>
        <v>[effect:dark, target:unit_all, turn:4, animation:enemy_dark]</v>
      </c>
      <c r="U246" s="108">
        <f t="shared" si="260"/>
        <v>9</v>
      </c>
      <c r="V246" s="108">
        <f t="shared" si="261"/>
        <v>13</v>
      </c>
      <c r="W246" s="108">
        <f t="shared" si="262"/>
        <v>22</v>
      </c>
      <c r="X246" s="108">
        <f t="shared" si="263"/>
        <v>30</v>
      </c>
      <c r="Y246" s="108" t="str">
        <f>IFERROR(VLOOKUP(MID(T246,W246,X246-W246),[6]skilldef!$C:$D,2,FALSE),"-") &amp; " / " &amp; IFERROR(VLOOKUP(MID(T246,U246,V246-U246),[6]skilldef!$A:$B,2,FALSE),"-")</f>
        <v>味方全体に / 暗黒</v>
      </c>
      <c r="Z246" s="107"/>
      <c r="AA246" s="110"/>
      <c r="AB246" s="107"/>
    </row>
    <row r="247" spans="1:28" ht="56" x14ac:dyDescent="0.15">
      <c r="A247" s="126">
        <v>49015246</v>
      </c>
      <c r="B247" s="106" t="s">
        <v>580</v>
      </c>
      <c r="C247" s="50">
        <v>3</v>
      </c>
      <c r="D247" s="50" t="s">
        <v>127</v>
      </c>
      <c r="E247" s="119" t="s">
        <v>314</v>
      </c>
      <c r="F247" s="119" t="s">
        <v>560</v>
      </c>
      <c r="G247" s="63" t="str">
        <f t="shared" si="249"/>
        <v>[effect:enemy_message, val1:1.2, val2:2.1]</v>
      </c>
      <c r="H247" s="63">
        <f t="shared" si="250"/>
        <v>9</v>
      </c>
      <c r="I247" s="63">
        <f t="shared" si="251"/>
        <v>22</v>
      </c>
      <c r="J247" s="63" t="e">
        <f t="shared" si="252"/>
        <v>#VALUE!</v>
      </c>
      <c r="K247" s="63">
        <f t="shared" si="253"/>
        <v>32</v>
      </c>
      <c r="L247" s="63" t="str">
        <f>IFERROR(VLOOKUP(MID(G247,J247,K247-J247),[6]skilldef!$C:$D,2,FALSE),"-") &amp; " / " &amp; IFERROR(VLOOKUP(MID(G247,H247,I247-H247),[6]skilldef!$A:$B,2,FALSE),"-")</f>
        <v>- / -</v>
      </c>
      <c r="M247" s="63" t="str">
        <f t="shared" si="254"/>
        <v>[effect:fix_speed, target:myself, turn:2],[effect:dark, target:unit_all, turn:4, animation:enemy_dark]</v>
      </c>
      <c r="N247" s="48" t="str">
        <f t="shared" si="265"/>
        <v>[effect:fix_speed, target:myself, turn:2],[effect:dark, target:unit_all, turn:4, animation:enemy_dark]</v>
      </c>
      <c r="O247" s="63">
        <f t="shared" si="255"/>
        <v>9</v>
      </c>
      <c r="P247" s="63">
        <f t="shared" si="256"/>
        <v>18</v>
      </c>
      <c r="Q247" s="63">
        <f t="shared" si="257"/>
        <v>27</v>
      </c>
      <c r="R247" s="63">
        <f t="shared" si="258"/>
        <v>33</v>
      </c>
      <c r="S247" s="63" t="str">
        <f>IFERROR(VLOOKUP(MID(N247,Q247,R247-Q247),[6]skilldef!$C:$D,2,FALSE),"-") &amp; " / " &amp; IFERROR(VLOOKUP(MID(N247,O247,P247-O247),[6]skilldef!$A:$B,2,FALSE),"-")</f>
        <v>自分自身に / 行動値設定</v>
      </c>
      <c r="T247" s="48" t="str">
        <f t="shared" si="259"/>
        <v>[effect:dark, target:unit_all, turn:4, animation:enemy_dark]</v>
      </c>
      <c r="U247" s="63">
        <f t="shared" si="260"/>
        <v>9</v>
      </c>
      <c r="V247" s="63">
        <f t="shared" si="261"/>
        <v>13</v>
      </c>
      <c r="W247" s="63">
        <f t="shared" si="262"/>
        <v>22</v>
      </c>
      <c r="X247" s="63">
        <f t="shared" si="263"/>
        <v>30</v>
      </c>
      <c r="Y247" s="63" t="str">
        <f>IFERROR(VLOOKUP(MID(T247,W247,X247-W247),[6]skilldef!$C:$D,2,FALSE),"-") &amp; " / " &amp; IFERROR(VLOOKUP(MID(T247,U247,V247-U247),[6]skilldef!$A:$B,2,FALSE),"-")</f>
        <v>味方全体に / 暗黒</v>
      </c>
      <c r="Z247" s="50"/>
      <c r="AA247" s="51"/>
      <c r="AB247" s="50"/>
    </row>
    <row r="248" spans="1:28" ht="21" customHeight="1" x14ac:dyDescent="0.15">
      <c r="A248" s="126">
        <v>49015247</v>
      </c>
      <c r="B248" s="106" t="s">
        <v>564</v>
      </c>
      <c r="C248" s="50">
        <v>3</v>
      </c>
      <c r="D248" s="50" t="s">
        <v>127</v>
      </c>
      <c r="E248" s="105" t="s">
        <v>315</v>
      </c>
      <c r="F248" s="118" t="s">
        <v>561</v>
      </c>
      <c r="G248" s="63" t="str">
        <f t="shared" si="249"/>
        <v>[effect:enemy_message, val1:1.2, val2:2.3]</v>
      </c>
      <c r="H248" s="63">
        <f t="shared" si="250"/>
        <v>9</v>
      </c>
      <c r="I248" s="63">
        <f t="shared" si="251"/>
        <v>22</v>
      </c>
      <c r="J248" s="63" t="e">
        <f t="shared" si="252"/>
        <v>#VALUE!</v>
      </c>
      <c r="K248" s="63">
        <f t="shared" si="253"/>
        <v>32</v>
      </c>
      <c r="L248" s="63" t="str">
        <f>IFERROR(VLOOKUP(MID(G248,J248,K248-J248),[6]skilldef!$C:$D,2,FALSE),"-") &amp; " / " &amp; IFERROR(VLOOKUP(MID(G248,H248,I248-H248),[6]skilldef!$A:$B,2,FALSE),"-")</f>
        <v>- / -</v>
      </c>
      <c r="M248" s="63" t="str">
        <f t="shared" si="254"/>
        <v>[effect:fix_speed, target:myself, turn:2],[effect:dark, target:unit_all, turn:4, animation:enemy_dark]</v>
      </c>
      <c r="N248" s="48" t="str">
        <f t="shared" si="265"/>
        <v>[effect:fix_speed, target:myself, turn:2],[effect:dark, target:unit_all, turn:4, animation:enemy_dark]</v>
      </c>
      <c r="O248" s="63">
        <f t="shared" si="255"/>
        <v>9</v>
      </c>
      <c r="P248" s="63">
        <f t="shared" si="256"/>
        <v>18</v>
      </c>
      <c r="Q248" s="63">
        <f t="shared" si="257"/>
        <v>27</v>
      </c>
      <c r="R248" s="63">
        <f t="shared" si="258"/>
        <v>33</v>
      </c>
      <c r="S248" s="63" t="str">
        <f>IFERROR(VLOOKUP(MID(N248,Q248,R248-Q248),[6]skilldef!$C:$D,2,FALSE),"-") &amp; " / " &amp; IFERROR(VLOOKUP(MID(N248,O248,P248-O248),[6]skilldef!$A:$B,2,FALSE),"-")</f>
        <v>自分自身に / 行動値設定</v>
      </c>
      <c r="T248" s="48" t="str">
        <f t="shared" si="259"/>
        <v>[effect:dark, target:unit_all, turn:4, animation:enemy_dark]</v>
      </c>
      <c r="U248" s="63">
        <f t="shared" si="260"/>
        <v>9</v>
      </c>
      <c r="V248" s="63">
        <f t="shared" si="261"/>
        <v>13</v>
      </c>
      <c r="W248" s="63">
        <f t="shared" si="262"/>
        <v>22</v>
      </c>
      <c r="X248" s="63">
        <f t="shared" si="263"/>
        <v>30</v>
      </c>
      <c r="Y248" s="63" t="str">
        <f>IFERROR(VLOOKUP(MID(T248,W248,X248-W248),[6]skilldef!$C:$D,2,FALSE),"-") &amp; " / " &amp; IFERROR(VLOOKUP(MID(T248,U248,V248-U248),[6]skilldef!$A:$B,2,FALSE),"-")</f>
        <v>味方全体に / 暗黒</v>
      </c>
      <c r="Z248" s="50"/>
      <c r="AA248" s="51"/>
      <c r="AB248" s="50"/>
    </row>
    <row r="249" spans="1:28" ht="21" customHeight="1" x14ac:dyDescent="0.15">
      <c r="A249" s="126">
        <v>49015248</v>
      </c>
      <c r="B249" s="106" t="s">
        <v>581</v>
      </c>
      <c r="C249" s="50">
        <v>3</v>
      </c>
      <c r="D249" s="50" t="s">
        <v>127</v>
      </c>
      <c r="E249" s="119" t="s">
        <v>316</v>
      </c>
      <c r="F249" s="119" t="s">
        <v>562</v>
      </c>
      <c r="G249" s="63" t="str">
        <f t="shared" si="249"/>
        <v>[effect:enemy_message, val1:1.2, val2:2.3]</v>
      </c>
      <c r="H249" s="63">
        <f t="shared" si="250"/>
        <v>9</v>
      </c>
      <c r="I249" s="63">
        <f t="shared" si="251"/>
        <v>22</v>
      </c>
      <c r="J249" s="63" t="e">
        <f t="shared" si="252"/>
        <v>#VALUE!</v>
      </c>
      <c r="K249" s="63">
        <f t="shared" si="253"/>
        <v>32</v>
      </c>
      <c r="L249" s="63" t="str">
        <f>IFERROR(VLOOKUP(MID(G249,J249,K249-J249),[6]skilldef!$C:$D,2,FALSE),"-") &amp; " / " &amp; IFERROR(VLOOKUP(MID(G249,H249,I249-H249),[6]skilldef!$A:$B,2,FALSE),"-")</f>
        <v>- / -</v>
      </c>
      <c r="M249" s="63" t="str">
        <f t="shared" si="254"/>
        <v>[effect:fix_speed, target:myself, turn:2],[effect:dark, target:unit_all, turn:4, animation:enemy_dark]</v>
      </c>
      <c r="N249" s="48" t="str">
        <f t="shared" ref="N249" si="266">IFERROR(LEFT(M249,FIND("],",M249)+S259),M249)</f>
        <v>[effect:fix_speed, target:myself, turn:2],[effect:dark, target:unit_all, turn:4, animation:enemy_dark]</v>
      </c>
      <c r="O249" s="63">
        <f t="shared" si="255"/>
        <v>9</v>
      </c>
      <c r="P249" s="63">
        <f t="shared" si="256"/>
        <v>18</v>
      </c>
      <c r="Q249" s="63">
        <f t="shared" si="257"/>
        <v>27</v>
      </c>
      <c r="R249" s="63">
        <f t="shared" si="258"/>
        <v>33</v>
      </c>
      <c r="S249" s="63" t="str">
        <f>IFERROR(VLOOKUP(MID(N249,Q249,R249-Q249),[6]skilldef!$C:$D,2,FALSE),"-") &amp; " / " &amp; IFERROR(VLOOKUP(MID(N249,O249,P249-O249),[6]skilldef!$A:$B,2,FALSE),"-")</f>
        <v>自分自身に / 行動値設定</v>
      </c>
      <c r="T249" s="48" t="str">
        <f t="shared" si="259"/>
        <v>[effect:dark, target:unit_all, turn:4, animation:enemy_dark]</v>
      </c>
      <c r="U249" s="63">
        <f t="shared" si="260"/>
        <v>9</v>
      </c>
      <c r="V249" s="63">
        <f t="shared" si="261"/>
        <v>13</v>
      </c>
      <c r="W249" s="63">
        <f t="shared" si="262"/>
        <v>22</v>
      </c>
      <c r="X249" s="63">
        <f t="shared" si="263"/>
        <v>30</v>
      </c>
      <c r="Y249" s="63" t="str">
        <f>IFERROR(VLOOKUP(MID(T249,W249,X249-W249),[6]skilldef!$C:$D,2,FALSE),"-") &amp; " / " &amp; IFERROR(VLOOKUP(MID(T249,U249,V249-U249),[6]skilldef!$A:$B,2,FALSE),"-")</f>
        <v>味方全体に / 暗黒</v>
      </c>
      <c r="Z249" s="50"/>
      <c r="AA249" s="51"/>
      <c r="AB249" s="50"/>
    </row>
    <row r="250" spans="1:28" ht="21" customHeight="1" x14ac:dyDescent="0.15">
      <c r="A250" s="126">
        <v>49015249</v>
      </c>
      <c r="B250" s="106" t="s">
        <v>583</v>
      </c>
      <c r="C250" s="50">
        <v>3</v>
      </c>
      <c r="D250" s="50" t="s">
        <v>127</v>
      </c>
      <c r="E250" s="105" t="s">
        <v>317</v>
      </c>
      <c r="F250" s="119" t="s">
        <v>563</v>
      </c>
      <c r="G250" s="63" t="str">
        <f t="shared" si="249"/>
        <v>[effect:enemy_message, val1:1.8, val2:2.8]</v>
      </c>
      <c r="H250" s="63">
        <f t="shared" si="250"/>
        <v>9</v>
      </c>
      <c r="I250" s="63">
        <f t="shared" si="251"/>
        <v>22</v>
      </c>
      <c r="J250" s="63" t="e">
        <f t="shared" si="252"/>
        <v>#VALUE!</v>
      </c>
      <c r="K250" s="63">
        <f t="shared" si="253"/>
        <v>32</v>
      </c>
      <c r="L250" s="63" t="str">
        <f>IFERROR(VLOOKUP(MID(G250,J250,K250-J250),[6]skilldef!$C:$D,2,FALSE),"-") &amp; " / " &amp; IFERROR(VLOOKUP(MID(G250,H250,I250-H250),[6]skilldef!$A:$B,2,FALSE),"-")</f>
        <v>- / -</v>
      </c>
      <c r="M250" s="63" t="str">
        <f t="shared" si="254"/>
        <v>[effect:fix_speed, target:myself, turn:2],[effect:dark, target:unit_all, turn:4, animation:enemy_dark],[effect:force_change_block, new_block:crash, target:block_all, ignore01:block_positive, count:1, val:12]</v>
      </c>
      <c r="N250" s="48" t="str">
        <f t="shared" ref="N250:N260" si="267">IFERROR(LEFT(M250,FIND("],",M250)+S261),M250)</f>
        <v>[effect:fix_speed, target:myself, turn:2],[effect:dark, target:unit_all, turn:4, animation:enemy_dark],[effect:force_change_block, new_block:crash, target:block_all, ignore01:block_positive, count:1, val:12]</v>
      </c>
      <c r="O250" s="63">
        <f t="shared" si="255"/>
        <v>9</v>
      </c>
      <c r="P250" s="63">
        <f t="shared" si="256"/>
        <v>18</v>
      </c>
      <c r="Q250" s="63">
        <f t="shared" si="257"/>
        <v>27</v>
      </c>
      <c r="R250" s="63">
        <f t="shared" si="258"/>
        <v>33</v>
      </c>
      <c r="S250" s="63" t="str">
        <f>IFERROR(VLOOKUP(MID(N250,Q250,R250-Q250),[6]skilldef!$C:$D,2,FALSE),"-") &amp; " / " &amp; IFERROR(VLOOKUP(MID(N250,O250,P250-O250),[6]skilldef!$A:$B,2,FALSE),"-")</f>
        <v>自分自身に / 行動値設定</v>
      </c>
      <c r="T250" s="48" t="str">
        <f t="shared" si="259"/>
        <v>[effect:dark, target:unit_all, turn:4, animation:enemy_dark],[effect:force_change_block, new_block:crash, target:block_all, ignore01:block_positive, count:1, val:12]</v>
      </c>
      <c r="U250" s="63">
        <f t="shared" si="260"/>
        <v>9</v>
      </c>
      <c r="V250" s="63">
        <f t="shared" si="261"/>
        <v>13</v>
      </c>
      <c r="W250" s="63">
        <f t="shared" si="262"/>
        <v>22</v>
      </c>
      <c r="X250" s="63">
        <f t="shared" si="263"/>
        <v>30</v>
      </c>
      <c r="Y250" s="63" t="str">
        <f>IFERROR(VLOOKUP(MID(T250,W250,X250-W250),[6]skilldef!$C:$D,2,FALSE),"-") &amp; " / " &amp; IFERROR(VLOOKUP(MID(T250,U250,V250-U250),[6]skilldef!$A:$B,2,FALSE),"-")</f>
        <v>味方全体に / 暗黒</v>
      </c>
      <c r="Z250" s="50"/>
      <c r="AA250" s="51"/>
      <c r="AB250" s="50"/>
    </row>
    <row r="251" spans="1:28" ht="21" customHeight="1" x14ac:dyDescent="0.15">
      <c r="A251" s="126">
        <v>49015250</v>
      </c>
      <c r="B251" s="106" t="s">
        <v>557</v>
      </c>
      <c r="C251" s="50">
        <v>3</v>
      </c>
      <c r="D251" s="50" t="s">
        <v>127</v>
      </c>
      <c r="E251" s="105" t="s">
        <v>378</v>
      </c>
      <c r="F251" s="118" t="s">
        <v>566</v>
      </c>
      <c r="G251" s="63" t="str">
        <f t="shared" si="249"/>
        <v>[effect:enemy_message, val1:1.7, val2:1.2]</v>
      </c>
      <c r="H251" s="63">
        <f t="shared" si="250"/>
        <v>9</v>
      </c>
      <c r="I251" s="63">
        <f t="shared" si="251"/>
        <v>22</v>
      </c>
      <c r="J251" s="63" t="e">
        <f t="shared" si="252"/>
        <v>#VALUE!</v>
      </c>
      <c r="K251" s="63">
        <f t="shared" si="253"/>
        <v>32</v>
      </c>
      <c r="L251" s="63" t="str">
        <f>IFERROR(VLOOKUP(MID(G251,J251,K251-J251),[6]skilldef!$C:$D,2,FALSE),"-") &amp; " / " &amp; IFERROR(VLOOKUP(MID(G251,H251,I251-H251),[6]skilldef!$A:$B,2,FALSE),"-")</f>
        <v>- / -</v>
      </c>
      <c r="M251" s="63" t="str">
        <f t="shared" si="254"/>
        <v>[effect:fix_speed, target:myself, turn:2],[effect:dark, target:unit_all, turn:4, animation:enemy_dark]</v>
      </c>
      <c r="N251" s="48" t="str">
        <f t="shared" si="267"/>
        <v>[effect:fix_speed, target:myself, turn:2],[effect:dark, target:unit_all, turn:4, animation:enemy_dark]</v>
      </c>
      <c r="O251" s="63">
        <f t="shared" si="255"/>
        <v>9</v>
      </c>
      <c r="P251" s="63">
        <f t="shared" si="256"/>
        <v>18</v>
      </c>
      <c r="Q251" s="63">
        <f t="shared" si="257"/>
        <v>27</v>
      </c>
      <c r="R251" s="63">
        <f t="shared" si="258"/>
        <v>33</v>
      </c>
      <c r="S251" s="63" t="str">
        <f>IFERROR(VLOOKUP(MID(N251,Q251,R251-Q251),[6]skilldef!$C:$D,2,FALSE),"-") &amp; " / " &amp; IFERROR(VLOOKUP(MID(N251,O251,P251-O251),[6]skilldef!$A:$B,2,FALSE),"-")</f>
        <v>自分自身に / 行動値設定</v>
      </c>
      <c r="T251" s="48" t="str">
        <f t="shared" si="259"/>
        <v>[effect:dark, target:unit_all, turn:4, animation:enemy_dark]</v>
      </c>
      <c r="U251" s="63">
        <f t="shared" si="260"/>
        <v>9</v>
      </c>
      <c r="V251" s="63">
        <f t="shared" si="261"/>
        <v>13</v>
      </c>
      <c r="W251" s="63">
        <f t="shared" si="262"/>
        <v>22</v>
      </c>
      <c r="X251" s="63">
        <f t="shared" si="263"/>
        <v>30</v>
      </c>
      <c r="Y251" s="63" t="str">
        <f>IFERROR(VLOOKUP(MID(T251,W251,X251-W251),[6]skilldef!$C:$D,2,FALSE),"-") &amp; " / " &amp; IFERROR(VLOOKUP(MID(T251,U251,V251-U251),[6]skilldef!$A:$B,2,FALSE),"-")</f>
        <v>味方全体に / 暗黒</v>
      </c>
      <c r="Z251" s="50"/>
      <c r="AA251" s="51"/>
      <c r="AB251" s="50"/>
    </row>
    <row r="252" spans="1:28" ht="21" customHeight="1" x14ac:dyDescent="0.15">
      <c r="A252" s="126">
        <v>49015251</v>
      </c>
      <c r="B252" s="106" t="s">
        <v>555</v>
      </c>
      <c r="C252" s="50">
        <v>3</v>
      </c>
      <c r="D252" s="50" t="s">
        <v>127</v>
      </c>
      <c r="E252" s="105" t="s">
        <v>379</v>
      </c>
      <c r="F252" s="118" t="s">
        <v>566</v>
      </c>
      <c r="G252" s="63" t="str">
        <f t="shared" si="249"/>
        <v>[effect:enemy_message, val1:1.6, val2:1.2]</v>
      </c>
      <c r="H252" s="63">
        <f t="shared" si="250"/>
        <v>9</v>
      </c>
      <c r="I252" s="63">
        <f t="shared" si="251"/>
        <v>22</v>
      </c>
      <c r="J252" s="63" t="e">
        <f t="shared" si="252"/>
        <v>#VALUE!</v>
      </c>
      <c r="K252" s="63">
        <f t="shared" si="253"/>
        <v>32</v>
      </c>
      <c r="L252" s="63" t="str">
        <f>IFERROR(VLOOKUP(MID(G252,J252,K252-J252),[6]skilldef!$C:$D,2,FALSE),"-") &amp; " / " &amp; IFERROR(VLOOKUP(MID(G252,H252,I252-H252),[6]skilldef!$A:$B,2,FALSE),"-")</f>
        <v>- / -</v>
      </c>
      <c r="M252" s="63" t="str">
        <f t="shared" si="254"/>
        <v>[effect:fix_speed, target:myself, turn:2],[effect:dark, target:unit_all, turn:4, animation:enemy_dark]</v>
      </c>
      <c r="N252" s="48" t="str">
        <f t="shared" si="267"/>
        <v>[effect:fix_speed, target:myself, turn:2],[effect:dark, target:unit_all, turn:4, animation:enemy_dark]</v>
      </c>
      <c r="O252" s="63">
        <f t="shared" si="255"/>
        <v>9</v>
      </c>
      <c r="P252" s="63">
        <f t="shared" si="256"/>
        <v>18</v>
      </c>
      <c r="Q252" s="63">
        <f t="shared" si="257"/>
        <v>27</v>
      </c>
      <c r="R252" s="63">
        <f t="shared" si="258"/>
        <v>33</v>
      </c>
      <c r="S252" s="63" t="str">
        <f>IFERROR(VLOOKUP(MID(N252,Q252,R252-Q252),[6]skilldef!$C:$D,2,FALSE),"-") &amp; " / " &amp; IFERROR(VLOOKUP(MID(N252,O252,P252-O252),[6]skilldef!$A:$B,2,FALSE),"-")</f>
        <v>自分自身に / 行動値設定</v>
      </c>
      <c r="T252" s="48" t="str">
        <f t="shared" si="259"/>
        <v>[effect:dark, target:unit_all, turn:4, animation:enemy_dark]</v>
      </c>
      <c r="U252" s="63">
        <f t="shared" si="260"/>
        <v>9</v>
      </c>
      <c r="V252" s="63">
        <f t="shared" si="261"/>
        <v>13</v>
      </c>
      <c r="W252" s="63">
        <f t="shared" si="262"/>
        <v>22</v>
      </c>
      <c r="X252" s="63">
        <f t="shared" si="263"/>
        <v>30</v>
      </c>
      <c r="Y252" s="63" t="str">
        <f>IFERROR(VLOOKUP(MID(T252,W252,X252-W252),[6]skilldef!$C:$D,2,FALSE),"-") &amp; " / " &amp; IFERROR(VLOOKUP(MID(T252,U252,V252-U252),[6]skilldef!$A:$B,2,FALSE),"-")</f>
        <v>味方全体に / 暗黒</v>
      </c>
      <c r="Z252" s="50"/>
      <c r="AA252" s="51"/>
      <c r="AB252" s="50"/>
    </row>
    <row r="253" spans="1:28" ht="21" customHeight="1" x14ac:dyDescent="0.15">
      <c r="A253" s="126">
        <v>49015252</v>
      </c>
      <c r="B253" s="106" t="s">
        <v>558</v>
      </c>
      <c r="C253" s="50">
        <v>3</v>
      </c>
      <c r="D253" s="50" t="s">
        <v>127</v>
      </c>
      <c r="E253" s="119" t="s">
        <v>318</v>
      </c>
      <c r="F253" s="118" t="s">
        <v>566</v>
      </c>
      <c r="G253" s="63" t="str">
        <f t="shared" si="249"/>
        <v>[effect:enemy_message, val1:1.2, val2:1.2]</v>
      </c>
      <c r="H253" s="63">
        <f t="shared" si="250"/>
        <v>9</v>
      </c>
      <c r="I253" s="63">
        <f t="shared" si="251"/>
        <v>22</v>
      </c>
      <c r="J253" s="63" t="e">
        <f t="shared" si="252"/>
        <v>#VALUE!</v>
      </c>
      <c r="K253" s="63">
        <f t="shared" si="253"/>
        <v>32</v>
      </c>
      <c r="L253" s="63" t="str">
        <f>IFERROR(VLOOKUP(MID(G253,J253,K253-J253),[6]skilldef!$C:$D,2,FALSE),"-") &amp; " / " &amp; IFERROR(VLOOKUP(MID(G253,H253,I253-H253),[6]skilldef!$A:$B,2,FALSE),"-")</f>
        <v>- / -</v>
      </c>
      <c r="M253" s="63" t="str">
        <f t="shared" si="254"/>
        <v>[effect:fix_speed, target:myself, turn:2],[effect:dark, target:unit_all, turn:4, animation:enemy_dark]</v>
      </c>
      <c r="N253" s="48" t="str">
        <f t="shared" si="267"/>
        <v>[effect:fix_speed, target:myself, turn:2],[effect:dark, target:unit_all, turn:4, animation:enemy_dark]</v>
      </c>
      <c r="O253" s="63">
        <f t="shared" si="255"/>
        <v>9</v>
      </c>
      <c r="P253" s="63">
        <f t="shared" si="256"/>
        <v>18</v>
      </c>
      <c r="Q253" s="63">
        <f t="shared" si="257"/>
        <v>27</v>
      </c>
      <c r="R253" s="63">
        <f t="shared" si="258"/>
        <v>33</v>
      </c>
      <c r="S253" s="63" t="str">
        <f>IFERROR(VLOOKUP(MID(N253,Q253,R253-Q253),[6]skilldef!$C:$D,2,FALSE),"-") &amp; " / " &amp; IFERROR(VLOOKUP(MID(N253,O253,P253-O253),[6]skilldef!$A:$B,2,FALSE),"-")</f>
        <v>自分自身に / 行動値設定</v>
      </c>
      <c r="T253" s="48" t="str">
        <f t="shared" si="259"/>
        <v>[effect:dark, target:unit_all, turn:4, animation:enemy_dark]</v>
      </c>
      <c r="U253" s="63">
        <f t="shared" si="260"/>
        <v>9</v>
      </c>
      <c r="V253" s="63">
        <f t="shared" si="261"/>
        <v>13</v>
      </c>
      <c r="W253" s="63">
        <f t="shared" si="262"/>
        <v>22</v>
      </c>
      <c r="X253" s="63">
        <f t="shared" si="263"/>
        <v>30</v>
      </c>
      <c r="Y253" s="63" t="str">
        <f>IFERROR(VLOOKUP(MID(T253,W253,X253-W253),[6]skilldef!$C:$D,2,FALSE),"-") &amp; " / " &amp; IFERROR(VLOOKUP(MID(T253,U253,V253-U253),[6]skilldef!$A:$B,2,FALSE),"-")</f>
        <v>味方全体に / 暗黒</v>
      </c>
      <c r="Z253" s="50"/>
      <c r="AA253" s="51"/>
      <c r="AB253" s="50"/>
    </row>
    <row r="254" spans="1:28" ht="21" customHeight="1" x14ac:dyDescent="0.15">
      <c r="A254" s="126">
        <v>49015253</v>
      </c>
      <c r="B254" s="47" t="s">
        <v>457</v>
      </c>
      <c r="C254" s="50">
        <v>3</v>
      </c>
      <c r="D254" s="50" t="s">
        <v>127</v>
      </c>
      <c r="E254" s="119" t="s">
        <v>311</v>
      </c>
      <c r="F254" s="119" t="s">
        <v>479</v>
      </c>
      <c r="G254" s="63" t="str">
        <f t="shared" si="249"/>
        <v>[effect:enemy_message, val1:1.2, val2:2.3]</v>
      </c>
      <c r="H254" s="63">
        <f t="shared" si="250"/>
        <v>9</v>
      </c>
      <c r="I254" s="63">
        <f t="shared" si="251"/>
        <v>22</v>
      </c>
      <c r="J254" s="63" t="e">
        <f t="shared" si="252"/>
        <v>#VALUE!</v>
      </c>
      <c r="K254" s="63">
        <f t="shared" si="253"/>
        <v>32</v>
      </c>
      <c r="L254" s="63" t="str">
        <f>IFERROR(VLOOKUP(MID(G254,J254,K254-J254),[6]skilldef!$C:$D,2,FALSE),"-") &amp; " / " &amp; IFERROR(VLOOKUP(MID(G254,H254,I254-H254),[6]skilldef!$A:$B,2,FALSE),"-")</f>
        <v>- / -</v>
      </c>
      <c r="M254" s="63" t="str">
        <f t="shared" si="254"/>
        <v>[effect:rush, count:1, val:0.4],[effect:hungup, target:unit_one, turn:1, rate:1, animation:hungup01]</v>
      </c>
      <c r="N254" s="48" t="str">
        <f t="shared" si="267"/>
        <v>[effect:rush, count:1, val:0.4],[effect:hungup, target:unit_one, turn:1, rate:1, animation:hungup01]</v>
      </c>
      <c r="O254" s="63">
        <f t="shared" si="255"/>
        <v>9</v>
      </c>
      <c r="P254" s="63">
        <f t="shared" si="256"/>
        <v>13</v>
      </c>
      <c r="Q254" s="63">
        <f t="shared" si="257"/>
        <v>56</v>
      </c>
      <c r="R254" s="63">
        <f t="shared" si="258"/>
        <v>22</v>
      </c>
      <c r="S254" s="63" t="str">
        <f>IFERROR(VLOOKUP(MID(N254,Q254,R254-Q254),[6]skilldef!$C:$D,2,FALSE),"-") &amp; " / " &amp; IFERROR(VLOOKUP(MID(N254,O254,P254-O254),[6]skilldef!$A:$B,2,FALSE),"-")</f>
        <v>- / 連続攻撃</v>
      </c>
      <c r="T254" s="48" t="str">
        <f t="shared" si="259"/>
        <v>[effect:hungup, target:unit_one, turn:1, rate:1, animation:hungup01]</v>
      </c>
      <c r="U254" s="63">
        <f t="shared" si="260"/>
        <v>9</v>
      </c>
      <c r="V254" s="63">
        <f t="shared" si="261"/>
        <v>15</v>
      </c>
      <c r="W254" s="63">
        <f t="shared" si="262"/>
        <v>24</v>
      </c>
      <c r="X254" s="63">
        <f t="shared" si="263"/>
        <v>32</v>
      </c>
      <c r="Y254" s="63" t="str">
        <f>IFERROR(VLOOKUP(MID(T254,W254,X254-W254),[6]skilldef!$C:$D,2,FALSE),"-") &amp; " / " &amp; IFERROR(VLOOKUP(MID(T254,U254,V254-U254),[6]skilldef!$A:$B,2,FALSE),"-")</f>
        <v>味方単体に / ハングアップ</v>
      </c>
      <c r="Z254" s="50"/>
      <c r="AA254" s="51"/>
      <c r="AB254" s="50"/>
    </row>
    <row r="255" spans="1:28" ht="21" customHeight="1" x14ac:dyDescent="0.15">
      <c r="A255" s="126">
        <v>49015254</v>
      </c>
      <c r="B255" s="129" t="s">
        <v>544</v>
      </c>
      <c r="C255" s="50">
        <v>3</v>
      </c>
      <c r="D255" s="130" t="s">
        <v>127</v>
      </c>
      <c r="E255" s="105" t="s">
        <v>312</v>
      </c>
      <c r="F255" s="118" t="s">
        <v>432</v>
      </c>
      <c r="G255" s="131" t="str">
        <f t="shared" si="249"/>
        <v>[effect:enemy_message, val1:1.2, val2:2.6]</v>
      </c>
      <c r="H255" s="131">
        <f t="shared" si="250"/>
        <v>9</v>
      </c>
      <c r="I255" s="131">
        <f t="shared" si="251"/>
        <v>22</v>
      </c>
      <c r="J255" s="131" t="e">
        <f t="shared" si="252"/>
        <v>#VALUE!</v>
      </c>
      <c r="K255" s="131">
        <f t="shared" si="253"/>
        <v>32</v>
      </c>
      <c r="L255" s="131" t="str">
        <f>IFERROR(VLOOKUP(MID(G255,J255,K255-J255),[6]skilldef!$C:$D,2,FALSE),"-") &amp; " / " &amp; IFERROR(VLOOKUP(MID(G255,H255,I255-H255),[6]skilldef!$A:$B,2,FALSE),"-")</f>
        <v>- / -</v>
      </c>
      <c r="M255" s="131" t="str">
        <f t="shared" si="254"/>
        <v>[effect:rush, count:1, val:0.4],[effect:force_change_block, new_block:damage, target:block_all, ignore01:block_positive, ignore02:damage, count:2, val:0.03, animation:change_block]</v>
      </c>
      <c r="N255" s="132" t="str">
        <f t="shared" si="267"/>
        <v>[effect:rush, count:1, val:0.4],[effect:force_change_block, new_block:damage, target:block_all, ignore01:block_positive, ignore02:damage, count:2, val:0.03, animation:change_block]</v>
      </c>
      <c r="O255" s="131">
        <f t="shared" si="255"/>
        <v>9</v>
      </c>
      <c r="P255" s="131">
        <f t="shared" si="256"/>
        <v>13</v>
      </c>
      <c r="Q255" s="131">
        <f t="shared" si="257"/>
        <v>86</v>
      </c>
      <c r="R255" s="131">
        <f t="shared" si="258"/>
        <v>22</v>
      </c>
      <c r="S255" s="131" t="str">
        <f>IFERROR(VLOOKUP(MID(N255,Q255,R255-Q255),[6]skilldef!$C:$D,2,FALSE),"-") &amp; " / " &amp; IFERROR(VLOOKUP(MID(N255,O255,P255-O255),[6]skilldef!$A:$B,2,FALSE),"-")</f>
        <v>- / 連続攻撃</v>
      </c>
      <c r="T255" s="132" t="str">
        <f t="shared" si="259"/>
        <v>[effect:force_change_block, new_block:damage, target:block_all, ignore01:block_positive, ignore02:damage, count:2, val:0.03, animation:change_block]</v>
      </c>
      <c r="U255" s="131">
        <f t="shared" si="260"/>
        <v>9</v>
      </c>
      <c r="V255" s="131">
        <f t="shared" si="261"/>
        <v>27</v>
      </c>
      <c r="W255" s="131">
        <f t="shared" si="262"/>
        <v>54</v>
      </c>
      <c r="X255" s="131">
        <f t="shared" si="263"/>
        <v>45</v>
      </c>
      <c r="Y255" s="131" t="str">
        <f>IFERROR(VLOOKUP(MID(T255,W255,X255-W255),[6]skilldef!$C:$D,2,FALSE),"-") &amp; " / " &amp; IFERROR(VLOOKUP(MID(T255,U255,V255-U255),[6]skilldef!$A:$B,2,FALSE),"-")</f>
        <v>- / -</v>
      </c>
      <c r="Z255" s="130"/>
      <c r="AA255" s="133"/>
      <c r="AB255" s="130"/>
    </row>
    <row r="256" spans="1:28" ht="21" customHeight="1" thickBot="1" x14ac:dyDescent="0.2">
      <c r="A256" s="127">
        <v>49015255</v>
      </c>
      <c r="B256" s="111" t="s">
        <v>585</v>
      </c>
      <c r="C256" s="50">
        <v>3</v>
      </c>
      <c r="D256" s="112" t="s">
        <v>127</v>
      </c>
      <c r="E256" s="128" t="s">
        <v>313</v>
      </c>
      <c r="F256" s="117" t="s">
        <v>429</v>
      </c>
      <c r="G256" s="113" t="str">
        <f t="shared" si="249"/>
        <v>[effect:enemy_message, val1:1.2, val2:1.5]</v>
      </c>
      <c r="H256" s="113">
        <f t="shared" si="250"/>
        <v>9</v>
      </c>
      <c r="I256" s="113">
        <f t="shared" si="251"/>
        <v>22</v>
      </c>
      <c r="J256" s="113" t="e">
        <f t="shared" si="252"/>
        <v>#VALUE!</v>
      </c>
      <c r="K256" s="113">
        <f t="shared" si="253"/>
        <v>32</v>
      </c>
      <c r="L256" s="113" t="str">
        <f>IFERROR(VLOOKUP(MID(G256,J256,K256-J256),[6]skilldef!$C:$D,2,FALSE),"-") &amp; " / " &amp; IFERROR(VLOOKUP(MID(G256,H256,I256-H256),[6]skilldef!$A:$B,2,FALSE),"-")</f>
        <v>- / -</v>
      </c>
      <c r="M256" s="113" t="str">
        <f t="shared" si="254"/>
        <v>[effect:damage_anti_abnormal, target:unit_one, target_effect01:dark, val1:0.7, val2:0.45]</v>
      </c>
      <c r="N256" s="114" t="str">
        <f t="shared" si="267"/>
        <v>[effect:damage_anti_abnormal, target:unit_one, target_effect01:dark, val1:0.7, val2:0.45]</v>
      </c>
      <c r="O256" s="113">
        <f t="shared" si="255"/>
        <v>9</v>
      </c>
      <c r="P256" s="113">
        <f t="shared" si="256"/>
        <v>29</v>
      </c>
      <c r="Q256" s="113">
        <f t="shared" si="257"/>
        <v>38</v>
      </c>
      <c r="R256" s="113">
        <f t="shared" si="258"/>
        <v>46</v>
      </c>
      <c r="S256" s="113" t="str">
        <f>IFERROR(VLOOKUP(MID(N256,Q256,R256-Q256),[6]skilldef!$C:$D,2,FALSE),"-") &amp; " / " &amp; IFERROR(VLOOKUP(MID(N256,O256,P256-O256),[6]skilldef!$A:$B,2,FALSE),"-")</f>
        <v>味方単体に / -</v>
      </c>
      <c r="T256" s="114" t="str">
        <f t="shared" si="259"/>
        <v>none</v>
      </c>
      <c r="U256" s="113" t="e">
        <f t="shared" si="260"/>
        <v>#VALUE!</v>
      </c>
      <c r="V256" s="113">
        <f t="shared" si="261"/>
        <v>4</v>
      </c>
      <c r="W256" s="113" t="e">
        <f t="shared" si="262"/>
        <v>#VALUE!</v>
      </c>
      <c r="X256" s="113" t="e">
        <f t="shared" si="263"/>
        <v>#VALUE!</v>
      </c>
      <c r="Y256" s="113" t="str">
        <f>IFERROR(VLOOKUP(MID(T256,W256,X256-W256),[6]skilldef!$C:$D,2,FALSE),"-") &amp; " / " &amp; IFERROR(VLOOKUP(MID(T256,U256,V256-U256),[6]skilldef!$A:$B,2,FALSE),"-")</f>
        <v>- / -</v>
      </c>
      <c r="Z256" s="112"/>
      <c r="AA256" s="115"/>
      <c r="AB256" s="112"/>
    </row>
    <row r="257" spans="1:28" ht="238" x14ac:dyDescent="0.15">
      <c r="A257" s="126">
        <v>49015256</v>
      </c>
      <c r="B257" s="106" t="s">
        <v>571</v>
      </c>
      <c r="C257" s="50">
        <v>3</v>
      </c>
      <c r="D257" s="107" t="s">
        <v>127</v>
      </c>
      <c r="E257" s="119" t="s">
        <v>319</v>
      </c>
      <c r="F257" s="119" t="s">
        <v>565</v>
      </c>
      <c r="G257" s="108" t="str">
        <f t="shared" si="249"/>
        <v>[effect:enemy_message, val1:1.2, val2:4.6]</v>
      </c>
      <c r="H257" s="108">
        <f t="shared" si="250"/>
        <v>9</v>
      </c>
      <c r="I257" s="108">
        <f t="shared" si="251"/>
        <v>22</v>
      </c>
      <c r="J257" s="108" t="e">
        <f t="shared" si="252"/>
        <v>#VALUE!</v>
      </c>
      <c r="K257" s="108">
        <f t="shared" si="253"/>
        <v>32</v>
      </c>
      <c r="L257" s="108" t="str">
        <f>IFERROR(VLOOKUP(MID(G257,J257,K257-J257),[6]skilldef!$C:$D,2,FALSE),"-") &amp; " / " &amp; IFERROR(VLOOKUP(MID(G257,H257,I257-H257),[6]skilldef!$A:$B,2,FALSE),"-")</f>
        <v>- / -</v>
      </c>
      <c r="M257" s="108" t="str">
        <f t="shared" si="254"/>
        <v>[effect:fix_speed, target:myself, turn:1],[effect:force_change_block, new_block:color_break, target:block_all, ignore01:block_positive, ignore02:damage, color:block_red, count:2, val:0, animation:change_block],[effect:force_change_block, new_block:damage, target:block_all, ignore01:block_positive, ignore02:damage, count:5, val:0.02, animation:change_block],[effect:dark, target:unit_all, turn:4, animation:enemy_dark]</v>
      </c>
      <c r="N257" s="109" t="str">
        <f t="shared" si="267"/>
        <v>[effect:fix_speed, target:myself, turn:1],[effect:force_change_block, new_block:color_break, target:block_all, ignore01:block_positive, ignore02:damage, color:block_red, count:2, val:0, animation:change_block],[effect:force_change_block, new_block:damage, target:block_all, ignore01:block_positive, ignore02:damage, count:5, val:0.02, animation:change_block],[effect:dark, target:unit_all, turn:4, animation:enemy_dark]</v>
      </c>
      <c r="O257" s="108">
        <f t="shared" si="255"/>
        <v>9</v>
      </c>
      <c r="P257" s="108">
        <f t="shared" si="256"/>
        <v>18</v>
      </c>
      <c r="Q257" s="108">
        <f t="shared" si="257"/>
        <v>27</v>
      </c>
      <c r="R257" s="108">
        <f t="shared" si="258"/>
        <v>33</v>
      </c>
      <c r="S257" s="108" t="str">
        <f>IFERROR(VLOOKUP(MID(N257,Q257,R257-Q257),[6]skilldef!$C:$D,2,FALSE),"-") &amp; " / " &amp; IFERROR(VLOOKUP(MID(N257,O257,P257-O257),[6]skilldef!$A:$B,2,FALSE),"-")</f>
        <v>自分自身に / 行動値設定</v>
      </c>
      <c r="T257" s="109" t="str">
        <f t="shared" si="259"/>
        <v>[effect:force_change_block, new_block:color_break, target:block_all, ignore01:block_positive, ignore02:damage, color:block_red, count:2, val:0, animation:change_block],[effect:force_change_block, new_block:damage, target:block_all, ignore01:block_positive, ignore02:damage, count:5, val:0.02, animation:change_block],[effect:dark, target:unit_all, turn:4, animation:enemy_dark]</v>
      </c>
      <c r="U257" s="108">
        <f t="shared" si="260"/>
        <v>9</v>
      </c>
      <c r="V257" s="108">
        <f t="shared" si="261"/>
        <v>27</v>
      </c>
      <c r="W257" s="108">
        <f t="shared" si="262"/>
        <v>59</v>
      </c>
      <c r="X257" s="108">
        <f t="shared" si="263"/>
        <v>50</v>
      </c>
      <c r="Y257" s="108" t="str">
        <f>IFERROR(VLOOKUP(MID(T257,W257,X257-W257),[6]skilldef!$C:$D,2,FALSE),"-") &amp; " / " &amp; IFERROR(VLOOKUP(MID(T257,U257,V257-U257),[6]skilldef!$A:$B,2,FALSE),"-")</f>
        <v>- / -</v>
      </c>
      <c r="Z257" s="107"/>
      <c r="AA257" s="110"/>
      <c r="AB257" s="107"/>
    </row>
    <row r="258" spans="1:28" ht="21" customHeight="1" x14ac:dyDescent="0.15">
      <c r="A258" s="126">
        <v>49015257</v>
      </c>
      <c r="B258" s="106" t="s">
        <v>461</v>
      </c>
      <c r="C258" s="50">
        <v>3</v>
      </c>
      <c r="D258" s="50" t="s">
        <v>127</v>
      </c>
      <c r="E258" s="105" t="s">
        <v>320</v>
      </c>
      <c r="F258" s="118" t="s">
        <v>380</v>
      </c>
      <c r="G258" s="63" t="str">
        <f t="shared" si="249"/>
        <v>[effect:enemy_message, val1:1.2, val2:2.2]</v>
      </c>
      <c r="H258" s="63">
        <f t="shared" si="250"/>
        <v>9</v>
      </c>
      <c r="I258" s="63">
        <f t="shared" si="251"/>
        <v>22</v>
      </c>
      <c r="J258" s="63" t="e">
        <f t="shared" si="252"/>
        <v>#VALUE!</v>
      </c>
      <c r="K258" s="63">
        <f t="shared" si="253"/>
        <v>32</v>
      </c>
      <c r="L258" s="63" t="str">
        <f>IFERROR(VLOOKUP(MID(G258,J258,K258-J258),[6]skilldef!$C:$D,2,FALSE),"-") &amp; " / " &amp; IFERROR(VLOOKUP(MID(G258,H258,I258-H258),[6]skilldef!$A:$B,2,FALSE),"-")</f>
        <v>- / -</v>
      </c>
      <c r="M258" s="63" t="str">
        <f t="shared" si="254"/>
        <v>[effect:spread, val:0.08],[effect:hungup, target:unit_all, turn:1, rate:1, animation:hungup01]</v>
      </c>
      <c r="N258" s="48" t="str">
        <f t="shared" si="267"/>
        <v>[effect:spread, val:0.08],[effect:hungup, target:unit_all, turn:1, rate:1, animation:hungup01]</v>
      </c>
      <c r="O258" s="63">
        <f t="shared" si="255"/>
        <v>9</v>
      </c>
      <c r="P258" s="63">
        <f t="shared" si="256"/>
        <v>15</v>
      </c>
      <c r="Q258" s="63">
        <f t="shared" si="257"/>
        <v>50</v>
      </c>
      <c r="R258" s="63">
        <f t="shared" si="258"/>
        <v>26</v>
      </c>
      <c r="S258" s="63" t="str">
        <f>IFERROR(VLOOKUP(MID(N258,Q258,R258-Q258),[6]skilldef!$C:$D,2,FALSE),"-") &amp; " / " &amp; IFERROR(VLOOKUP(MID(N258,O258,P258-O258),[6]skilldef!$A:$B,2,FALSE),"-")</f>
        <v>- / 全体攻撃</v>
      </c>
      <c r="T258" s="48" t="str">
        <f t="shared" si="259"/>
        <v>[effect:hungup, target:unit_all, turn:1, rate:1, animation:hungup01]</v>
      </c>
      <c r="U258" s="63">
        <f t="shared" si="260"/>
        <v>9</v>
      </c>
      <c r="V258" s="63">
        <f t="shared" si="261"/>
        <v>15</v>
      </c>
      <c r="W258" s="63">
        <f t="shared" si="262"/>
        <v>24</v>
      </c>
      <c r="X258" s="63">
        <f t="shared" si="263"/>
        <v>32</v>
      </c>
      <c r="Y258" s="63" t="str">
        <f>IFERROR(VLOOKUP(MID(T258,W258,X258-W258),[6]skilldef!$C:$D,2,FALSE),"-") &amp; " / " &amp; IFERROR(VLOOKUP(MID(T258,U258,V258-U258),[6]skilldef!$A:$B,2,FALSE),"-")</f>
        <v>味方全体に / ハングアップ</v>
      </c>
      <c r="Z258" s="50"/>
      <c r="AA258" s="51"/>
      <c r="AB258" s="50"/>
    </row>
    <row r="259" spans="1:28" ht="56" x14ac:dyDescent="0.15">
      <c r="A259" s="126">
        <v>49015258</v>
      </c>
      <c r="B259" s="106" t="s">
        <v>460</v>
      </c>
      <c r="C259" s="50">
        <v>3</v>
      </c>
      <c r="D259" s="50" t="s">
        <v>127</v>
      </c>
      <c r="E259" s="119" t="s">
        <v>321</v>
      </c>
      <c r="F259" s="119" t="s">
        <v>451</v>
      </c>
      <c r="G259" s="63" t="str">
        <f t="shared" si="249"/>
        <v>[effect:enemy_message, val1:1.2, val2:1.8]</v>
      </c>
      <c r="H259" s="63">
        <f t="shared" si="250"/>
        <v>9</v>
      </c>
      <c r="I259" s="63">
        <f t="shared" si="251"/>
        <v>22</v>
      </c>
      <c r="J259" s="63" t="e">
        <f t="shared" si="252"/>
        <v>#VALUE!</v>
      </c>
      <c r="K259" s="63">
        <f t="shared" si="253"/>
        <v>32</v>
      </c>
      <c r="L259" s="63" t="str">
        <f>IFERROR(VLOOKUP(MID(G259,J259,K259-J259),[6]skilldef!$C:$D,2,FALSE),"-") &amp; " / " &amp; IFERROR(VLOOKUP(MID(G259,H259,I259-H259),[6]skilldef!$A:$B,2,FALSE),"-")</f>
        <v>- / -</v>
      </c>
      <c r="M259" s="63" t="str">
        <f t="shared" si="254"/>
        <v>[effect:rush, count:1, val:0.3],[effect:degrade_fever, val:100, animation:fevergauge_down]</v>
      </c>
      <c r="N259" s="48" t="str">
        <f t="shared" si="267"/>
        <v>[effect:rush, count:1, val:0.3],[effect:degrade_fever, val:100, animation:fevergauge_down]</v>
      </c>
      <c r="O259" s="63">
        <f t="shared" si="255"/>
        <v>9</v>
      </c>
      <c r="P259" s="63">
        <f t="shared" si="256"/>
        <v>13</v>
      </c>
      <c r="Q259" s="63" t="e">
        <f t="shared" si="257"/>
        <v>#VALUE!</v>
      </c>
      <c r="R259" s="63">
        <f t="shared" si="258"/>
        <v>22</v>
      </c>
      <c r="S259" s="63" t="str">
        <f>IFERROR(VLOOKUP(MID(N259,Q259,R259-Q259),[6]skilldef!$C:$D,2,FALSE),"-") &amp; " / " &amp; IFERROR(VLOOKUP(MID(N259,O259,P259-O259),[6]skilldef!$A:$B,2,FALSE),"-")</f>
        <v>- / 連続攻撃</v>
      </c>
      <c r="T259" s="48" t="str">
        <f t="shared" si="259"/>
        <v>[effect:degrade_fever, val:100, animation:fevergauge_down]</v>
      </c>
      <c r="U259" s="63">
        <f t="shared" si="260"/>
        <v>9</v>
      </c>
      <c r="V259" s="63">
        <f t="shared" si="261"/>
        <v>22</v>
      </c>
      <c r="W259" s="63" t="e">
        <f t="shared" si="262"/>
        <v>#VALUE!</v>
      </c>
      <c r="X259" s="63">
        <f t="shared" si="263"/>
        <v>31</v>
      </c>
      <c r="Y259" s="63" t="str">
        <f>IFERROR(VLOOKUP(MID(T259,W259,X259-W259),[6]skilldef!$C:$D,2,FALSE),"-") &amp; " / " &amp; IFERROR(VLOOKUP(MID(T259,U259,V259-U259),[6]skilldef!$A:$B,2,FALSE),"-")</f>
        <v>- / フィーバーゲージ減少</v>
      </c>
      <c r="Z259" s="50"/>
      <c r="AA259" s="51"/>
      <c r="AB259" s="50"/>
    </row>
    <row r="260" spans="1:28" ht="98" x14ac:dyDescent="0.15">
      <c r="A260" s="126">
        <v>49015259</v>
      </c>
      <c r="B260" s="106" t="s">
        <v>545</v>
      </c>
      <c r="C260" s="50">
        <v>3</v>
      </c>
      <c r="D260" s="50" t="s">
        <v>127</v>
      </c>
      <c r="E260" s="119" t="s">
        <v>323</v>
      </c>
      <c r="F260" s="119" t="s">
        <v>432</v>
      </c>
      <c r="G260" s="63" t="str">
        <f t="shared" si="249"/>
        <v>[effect:enemy_message, val1:1.2, val2:2.6]</v>
      </c>
      <c r="H260" s="63">
        <f t="shared" si="250"/>
        <v>9</v>
      </c>
      <c r="I260" s="63">
        <f t="shared" si="251"/>
        <v>22</v>
      </c>
      <c r="J260" s="63" t="e">
        <f t="shared" si="252"/>
        <v>#VALUE!</v>
      </c>
      <c r="K260" s="63">
        <f t="shared" si="253"/>
        <v>32</v>
      </c>
      <c r="L260" s="63" t="str">
        <f>IFERROR(VLOOKUP(MID(G260,J260,K260-J260),[6]skilldef!$C:$D,2,FALSE),"-") &amp; " / " &amp; IFERROR(VLOOKUP(MID(G260,H260,I260-H260),[6]skilldef!$A:$B,2,FALSE),"-")</f>
        <v>- / -</v>
      </c>
      <c r="M260" s="63" t="str">
        <f t="shared" si="254"/>
        <v>[effect:rush, count:1, val:0.3],[effect:force_change_block, new_block:damage, target:block_all, ignore01:block_positive, ignore02:damage, count:2, val:0.03, animation:change_block]</v>
      </c>
      <c r="N260" s="48" t="str">
        <f t="shared" si="267"/>
        <v>[effect:rush, count:1, val:0.3],[effect:force_change_block, new_block:damage, target:block_all, ignore01:block_positive, ignore02:damage, count:2, val:0.03, animation:change_block]</v>
      </c>
      <c r="O260" s="63">
        <f t="shared" si="255"/>
        <v>9</v>
      </c>
      <c r="P260" s="63">
        <f t="shared" si="256"/>
        <v>13</v>
      </c>
      <c r="Q260" s="63">
        <f t="shared" si="257"/>
        <v>86</v>
      </c>
      <c r="R260" s="63">
        <f t="shared" si="258"/>
        <v>22</v>
      </c>
      <c r="S260" s="63" t="str">
        <f>IFERROR(VLOOKUP(MID(N260,Q260,R260-Q260),[6]skilldef!$C:$D,2,FALSE),"-") &amp; " / " &amp; IFERROR(VLOOKUP(MID(N260,O260,P260-O260),[6]skilldef!$A:$B,2,FALSE),"-")</f>
        <v>- / 連続攻撃</v>
      </c>
      <c r="T260" s="48" t="str">
        <f t="shared" si="259"/>
        <v>[effect:force_change_block, new_block:damage, target:block_all, ignore01:block_positive, ignore02:damage, count:2, val:0.03, animation:change_block]</v>
      </c>
      <c r="U260" s="63">
        <f t="shared" si="260"/>
        <v>9</v>
      </c>
      <c r="V260" s="63">
        <f t="shared" si="261"/>
        <v>27</v>
      </c>
      <c r="W260" s="63">
        <f t="shared" si="262"/>
        <v>54</v>
      </c>
      <c r="X260" s="63">
        <f t="shared" si="263"/>
        <v>45</v>
      </c>
      <c r="Y260" s="63" t="str">
        <f>IFERROR(VLOOKUP(MID(T260,W260,X260-W260),[6]skilldef!$C:$D,2,FALSE),"-") &amp; " / " &amp; IFERROR(VLOOKUP(MID(T260,U260,V260-U260),[6]skilldef!$A:$B,2,FALSE),"-")</f>
        <v>- / -</v>
      </c>
      <c r="Z260" s="50"/>
      <c r="AA260" s="51"/>
      <c r="AB260" s="50"/>
    </row>
    <row r="261" spans="1:28" ht="21" customHeight="1" x14ac:dyDescent="0.15">
      <c r="A261" s="126">
        <v>49015260</v>
      </c>
      <c r="B261" s="47" t="s">
        <v>586</v>
      </c>
      <c r="C261" s="50">
        <v>3</v>
      </c>
      <c r="D261" s="50" t="s">
        <v>127</v>
      </c>
      <c r="E261" s="119" t="s">
        <v>313</v>
      </c>
      <c r="F261" s="105" t="s">
        <v>429</v>
      </c>
      <c r="G261" s="63" t="str">
        <f t="shared" si="249"/>
        <v>[effect:enemy_message, val1:1.2, val2:1.5]</v>
      </c>
      <c r="H261" s="63">
        <f t="shared" si="250"/>
        <v>9</v>
      </c>
      <c r="I261" s="63">
        <f t="shared" si="251"/>
        <v>22</v>
      </c>
      <c r="J261" s="63" t="e">
        <f t="shared" si="252"/>
        <v>#VALUE!</v>
      </c>
      <c r="K261" s="63">
        <f t="shared" si="253"/>
        <v>32</v>
      </c>
      <c r="L261" s="63" t="str">
        <f>IFERROR(VLOOKUP(MID(G261,J261,K261-J261),[6]skilldef!$C:$D,2,FALSE),"-") &amp; " / " &amp; IFERROR(VLOOKUP(MID(G261,H261,I261-H261),[6]skilldef!$A:$B,2,FALSE),"-")</f>
        <v>- / -</v>
      </c>
      <c r="M261" s="63" t="str">
        <f t="shared" si="254"/>
        <v>[effect:damage_anti_abnormal, target:unit_one, target_effect01:dark, val1:0.6, val2:0.18]</v>
      </c>
      <c r="N261" s="48" t="str">
        <f t="shared" ref="N261:N270" si="268">IFERROR(LEFT(M261,FIND("],",M261)+S271),M261)</f>
        <v>[effect:damage_anti_abnormal, target:unit_one, target_effect01:dark, val1:0.6, val2:0.18]</v>
      </c>
      <c r="O261" s="63">
        <f t="shared" si="255"/>
        <v>9</v>
      </c>
      <c r="P261" s="63">
        <f t="shared" si="256"/>
        <v>29</v>
      </c>
      <c r="Q261" s="63">
        <f t="shared" si="257"/>
        <v>38</v>
      </c>
      <c r="R261" s="63">
        <f t="shared" si="258"/>
        <v>46</v>
      </c>
      <c r="S261" s="63" t="str">
        <f>IFERROR(VLOOKUP(MID(N261,Q261,R261-Q261),[6]skilldef!$C:$D,2,FALSE),"-") &amp; " / " &amp; IFERROR(VLOOKUP(MID(N261,O261,P261-O261),[6]skilldef!$A:$B,2,FALSE),"-")</f>
        <v>味方単体に / -</v>
      </c>
      <c r="T261" s="48" t="str">
        <f t="shared" si="259"/>
        <v>none</v>
      </c>
      <c r="U261" s="63" t="e">
        <f t="shared" si="260"/>
        <v>#VALUE!</v>
      </c>
      <c r="V261" s="63">
        <f t="shared" si="261"/>
        <v>4</v>
      </c>
      <c r="W261" s="63" t="e">
        <f t="shared" si="262"/>
        <v>#VALUE!</v>
      </c>
      <c r="X261" s="63" t="e">
        <f t="shared" si="263"/>
        <v>#VALUE!</v>
      </c>
      <c r="Y261" s="63" t="str">
        <f>IFERROR(VLOOKUP(MID(T261,W261,X261-W261),[6]skilldef!$C:$D,2,FALSE),"-") &amp; " / " &amp; IFERROR(VLOOKUP(MID(T261,U261,V261-U261),[6]skilldef!$A:$B,2,FALSE),"-")</f>
        <v>- / -</v>
      </c>
      <c r="Z261" s="50"/>
      <c r="AA261" s="51"/>
      <c r="AB261" s="50"/>
    </row>
    <row r="262" spans="1:28" ht="21" customHeight="1" x14ac:dyDescent="0.15">
      <c r="A262" s="126">
        <v>49015261</v>
      </c>
      <c r="B262" s="106" t="s">
        <v>455</v>
      </c>
      <c r="C262" s="50">
        <v>3</v>
      </c>
      <c r="D262" s="50" t="s">
        <v>127</v>
      </c>
      <c r="E262" s="120" t="s">
        <v>324</v>
      </c>
      <c r="F262" s="120" t="s">
        <v>454</v>
      </c>
      <c r="G262" s="63" t="str">
        <f t="shared" si="249"/>
        <v>[effect:enemy_message, val1:1.2, val2:1.3]</v>
      </c>
      <c r="H262" s="63">
        <f t="shared" si="250"/>
        <v>9</v>
      </c>
      <c r="I262" s="63">
        <f t="shared" si="251"/>
        <v>22</v>
      </c>
      <c r="J262" s="63" t="e">
        <f t="shared" si="252"/>
        <v>#VALUE!</v>
      </c>
      <c r="K262" s="63">
        <f t="shared" si="253"/>
        <v>32</v>
      </c>
      <c r="L262" s="63" t="str">
        <f>IFERROR(VLOOKUP(MID(G262,J262,K262-J262),[6]skilldef!$C:$D,2,FALSE),"-") &amp; " / " &amp; IFERROR(VLOOKUP(MID(G262,H262,I262-H262),[6]skilldef!$A:$B,2,FALSE),"-")</f>
        <v>- / -</v>
      </c>
      <c r="M262" s="63" t="str">
        <f t="shared" si="254"/>
        <v>[effect:damage_gravity, val:0.2, animation:fevergauge_down]</v>
      </c>
      <c r="N262" s="48" t="str">
        <f t="shared" si="268"/>
        <v>[effect:damage_gravity, val:0.2, animation:fevergauge_down]</v>
      </c>
      <c r="O262" s="63">
        <f t="shared" si="255"/>
        <v>9</v>
      </c>
      <c r="P262" s="63">
        <f t="shared" si="256"/>
        <v>23</v>
      </c>
      <c r="Q262" s="63" t="e">
        <f t="shared" si="257"/>
        <v>#VALUE!</v>
      </c>
      <c r="R262" s="63">
        <f t="shared" si="258"/>
        <v>32</v>
      </c>
      <c r="S262" s="63" t="str">
        <f>IFERROR(VLOOKUP(MID(N262,Q262,R262-Q262),[6]skilldef!$C:$D,2,FALSE),"-") &amp; " / " &amp; IFERROR(VLOOKUP(MID(N262,O262,P262-O262),[6]skilldef!$A:$B,2,FALSE),"-")</f>
        <v>- / 割合ダメージ</v>
      </c>
      <c r="T262" s="48" t="str">
        <f t="shared" si="259"/>
        <v>none</v>
      </c>
      <c r="U262" s="63" t="e">
        <f t="shared" si="260"/>
        <v>#VALUE!</v>
      </c>
      <c r="V262" s="63">
        <f t="shared" si="261"/>
        <v>4</v>
      </c>
      <c r="W262" s="63" t="e">
        <f t="shared" si="262"/>
        <v>#VALUE!</v>
      </c>
      <c r="X262" s="63" t="e">
        <f t="shared" si="263"/>
        <v>#VALUE!</v>
      </c>
      <c r="Y262" s="63" t="str">
        <f>IFERROR(VLOOKUP(MID(T262,W262,X262-W262),[6]skilldef!$C:$D,2,FALSE),"-") &amp; " / " &amp; IFERROR(VLOOKUP(MID(T262,U262,V262-U262),[6]skilldef!$A:$B,2,FALSE),"-")</f>
        <v>- / -</v>
      </c>
      <c r="Z262" s="50"/>
      <c r="AA262" s="51"/>
      <c r="AB262" s="50"/>
    </row>
    <row r="263" spans="1:28" ht="14" x14ac:dyDescent="0.15">
      <c r="A263" s="126">
        <v>49015262</v>
      </c>
      <c r="B263" s="106" t="s">
        <v>453</v>
      </c>
      <c r="C263" s="50">
        <v>3</v>
      </c>
      <c r="D263" s="50" t="s">
        <v>127</v>
      </c>
      <c r="E263" s="119" t="s">
        <v>325</v>
      </c>
      <c r="F263" s="105" t="s">
        <v>261</v>
      </c>
      <c r="G263" s="63" t="str">
        <f t="shared" si="249"/>
        <v>[effect:enemy_message, val1:1.2, val2:0, dead_type:escape]</v>
      </c>
      <c r="H263" s="63">
        <f t="shared" si="250"/>
        <v>9</v>
      </c>
      <c r="I263" s="63">
        <f t="shared" si="251"/>
        <v>22</v>
      </c>
      <c r="J263" s="63" t="e">
        <f t="shared" si="252"/>
        <v>#VALUE!</v>
      </c>
      <c r="K263" s="63">
        <f t="shared" si="253"/>
        <v>32</v>
      </c>
      <c r="L263" s="63" t="str">
        <f>IFERROR(VLOOKUP(MID(G263,J263,K263-J263),[6]skilldef!$C:$D,2,FALSE),"-") &amp; " / " &amp; IFERROR(VLOOKUP(MID(G263,H263,I263-H263),[6]skilldef!$A:$B,2,FALSE),"-")</f>
        <v>- / -</v>
      </c>
      <c r="M263" s="63" t="str">
        <f t="shared" si="254"/>
        <v>none</v>
      </c>
      <c r="N263" s="48" t="str">
        <f t="shared" si="268"/>
        <v>none</v>
      </c>
      <c r="O263" s="63" t="e">
        <f t="shared" si="255"/>
        <v>#VALUE!</v>
      </c>
      <c r="P263" s="63">
        <f t="shared" si="256"/>
        <v>4</v>
      </c>
      <c r="Q263" s="63" t="e">
        <f t="shared" si="257"/>
        <v>#VALUE!</v>
      </c>
      <c r="R263" s="63" t="e">
        <f t="shared" si="258"/>
        <v>#VALUE!</v>
      </c>
      <c r="S263" s="63" t="str">
        <f>IFERROR(VLOOKUP(MID(N263,Q263,R263-Q263),[6]skilldef!$C:$D,2,FALSE),"-") &amp; " / " &amp; IFERROR(VLOOKUP(MID(N263,O263,P263-O263),[6]skilldef!$A:$B,2,FALSE),"-")</f>
        <v>- / -</v>
      </c>
      <c r="T263" s="48" t="str">
        <f t="shared" si="259"/>
        <v>none</v>
      </c>
      <c r="U263" s="63" t="e">
        <f t="shared" si="260"/>
        <v>#VALUE!</v>
      </c>
      <c r="V263" s="63">
        <f t="shared" si="261"/>
        <v>4</v>
      </c>
      <c r="W263" s="63" t="e">
        <f t="shared" si="262"/>
        <v>#VALUE!</v>
      </c>
      <c r="X263" s="63" t="e">
        <f t="shared" si="263"/>
        <v>#VALUE!</v>
      </c>
      <c r="Y263" s="63" t="str">
        <f>IFERROR(VLOOKUP(MID(T263,W263,X263-W263),[6]skilldef!$C:$D,2,FALSE),"-") &amp; " / " &amp; IFERROR(VLOOKUP(MID(T263,U263,V263-U263),[6]skilldef!$A:$B,2,FALSE),"-")</f>
        <v>- / -</v>
      </c>
      <c r="Z263" s="50"/>
      <c r="AA263" s="51"/>
      <c r="AB263" s="50"/>
    </row>
    <row r="264" spans="1:28" ht="14" x14ac:dyDescent="0.15">
      <c r="A264" s="126">
        <v>49015263</v>
      </c>
      <c r="B264" s="106" t="s">
        <v>352</v>
      </c>
      <c r="C264" s="50">
        <v>3</v>
      </c>
      <c r="D264" s="50" t="s">
        <v>127</v>
      </c>
      <c r="E264" s="119" t="s">
        <v>326</v>
      </c>
      <c r="F264" s="105" t="s">
        <v>327</v>
      </c>
      <c r="G264" s="63" t="str">
        <f t="shared" si="249"/>
        <v>[effect:enemy_message, val1:1.2, val2:1.2, dead_type:escape]</v>
      </c>
      <c r="H264" s="63">
        <f t="shared" si="250"/>
        <v>9</v>
      </c>
      <c r="I264" s="63">
        <f t="shared" si="251"/>
        <v>22</v>
      </c>
      <c r="J264" s="63" t="e">
        <f t="shared" si="252"/>
        <v>#VALUE!</v>
      </c>
      <c r="K264" s="63">
        <f t="shared" si="253"/>
        <v>32</v>
      </c>
      <c r="L264" s="63" t="str">
        <f>IFERROR(VLOOKUP(MID(G264,J264,K264-J264),[6]skilldef!$C:$D,2,FALSE),"-") &amp; " / " &amp; IFERROR(VLOOKUP(MID(G264,H264,I264-H264),[6]skilldef!$A:$B,2,FALSE),"-")</f>
        <v>- / -</v>
      </c>
      <c r="M264" s="63" t="str">
        <f t="shared" si="254"/>
        <v>none</v>
      </c>
      <c r="N264" s="48" t="str">
        <f t="shared" si="268"/>
        <v>none</v>
      </c>
      <c r="O264" s="63" t="e">
        <f t="shared" si="255"/>
        <v>#VALUE!</v>
      </c>
      <c r="P264" s="63">
        <f t="shared" si="256"/>
        <v>4</v>
      </c>
      <c r="Q264" s="63" t="e">
        <f t="shared" si="257"/>
        <v>#VALUE!</v>
      </c>
      <c r="R264" s="63" t="e">
        <f t="shared" si="258"/>
        <v>#VALUE!</v>
      </c>
      <c r="S264" s="63" t="str">
        <f>IFERROR(VLOOKUP(MID(N264,Q264,R264-Q264),[6]skilldef!$C:$D,2,FALSE),"-") &amp; " / " &amp; IFERROR(VLOOKUP(MID(N264,O264,P264-O264),[6]skilldef!$A:$B,2,FALSE),"-")</f>
        <v>- / -</v>
      </c>
      <c r="T264" s="48" t="str">
        <f t="shared" si="259"/>
        <v>none</v>
      </c>
      <c r="U264" s="63" t="e">
        <f t="shared" si="260"/>
        <v>#VALUE!</v>
      </c>
      <c r="V264" s="63">
        <f t="shared" si="261"/>
        <v>4</v>
      </c>
      <c r="W264" s="63" t="e">
        <f t="shared" si="262"/>
        <v>#VALUE!</v>
      </c>
      <c r="X264" s="63" t="e">
        <f t="shared" si="263"/>
        <v>#VALUE!</v>
      </c>
      <c r="Y264" s="63" t="str">
        <f>IFERROR(VLOOKUP(MID(T264,W264,X264-W264),[6]skilldef!$C:$D,2,FALSE),"-") &amp; " / " &amp; IFERROR(VLOOKUP(MID(T264,U264,V264-U264),[6]skilldef!$A:$B,2,FALSE),"-")</f>
        <v>- / -</v>
      </c>
      <c r="Z264" s="50"/>
      <c r="AA264" s="51"/>
      <c r="AB264" s="50"/>
    </row>
    <row r="265" spans="1:28" ht="21" customHeight="1" x14ac:dyDescent="0.15">
      <c r="A265" s="126">
        <v>49015264</v>
      </c>
      <c r="B265" s="106" t="s">
        <v>593</v>
      </c>
      <c r="C265" s="50">
        <v>3</v>
      </c>
      <c r="D265" s="50" t="s">
        <v>127</v>
      </c>
      <c r="E265" s="105" t="s">
        <v>383</v>
      </c>
      <c r="F265" s="105" t="s">
        <v>261</v>
      </c>
      <c r="G265" s="63" t="str">
        <f t="shared" si="249"/>
        <v>[effect:enemy_message, val1:1.6, val2:0, dead_type:escape]</v>
      </c>
      <c r="H265" s="63">
        <f t="shared" si="250"/>
        <v>9</v>
      </c>
      <c r="I265" s="63">
        <f t="shared" si="251"/>
        <v>22</v>
      </c>
      <c r="J265" s="63" t="e">
        <f t="shared" si="252"/>
        <v>#VALUE!</v>
      </c>
      <c r="K265" s="63">
        <f t="shared" si="253"/>
        <v>32</v>
      </c>
      <c r="L265" s="63" t="str">
        <f>IFERROR(VLOOKUP(MID(G265,J265,K265-J265),[6]skilldef!$C:$D,2,FALSE),"-") &amp; " / " &amp; IFERROR(VLOOKUP(MID(G265,H265,I265-H265),[6]skilldef!$A:$B,2,FALSE),"-")</f>
        <v>- / -</v>
      </c>
      <c r="M265" s="63" t="str">
        <f t="shared" si="254"/>
        <v>none</v>
      </c>
      <c r="N265" s="48" t="str">
        <f t="shared" si="268"/>
        <v>none</v>
      </c>
      <c r="O265" s="63" t="e">
        <f t="shared" si="255"/>
        <v>#VALUE!</v>
      </c>
      <c r="P265" s="63">
        <f t="shared" si="256"/>
        <v>4</v>
      </c>
      <c r="Q265" s="63" t="e">
        <f t="shared" si="257"/>
        <v>#VALUE!</v>
      </c>
      <c r="R265" s="63" t="e">
        <f t="shared" si="258"/>
        <v>#VALUE!</v>
      </c>
      <c r="S265" s="63" t="str">
        <f>IFERROR(VLOOKUP(MID(N265,Q265,R265-Q265),[6]skilldef!$C:$D,2,FALSE),"-") &amp; " / " &amp; IFERROR(VLOOKUP(MID(N265,O265,P265-O265),[6]skilldef!$A:$B,2,FALSE),"-")</f>
        <v>- / -</v>
      </c>
      <c r="T265" s="48" t="str">
        <f t="shared" si="259"/>
        <v>none</v>
      </c>
      <c r="U265" s="63" t="e">
        <f t="shared" si="260"/>
        <v>#VALUE!</v>
      </c>
      <c r="V265" s="63">
        <f t="shared" si="261"/>
        <v>4</v>
      </c>
      <c r="W265" s="63" t="e">
        <f t="shared" si="262"/>
        <v>#VALUE!</v>
      </c>
      <c r="X265" s="63" t="e">
        <f t="shared" si="263"/>
        <v>#VALUE!</v>
      </c>
      <c r="Y265" s="63" t="str">
        <f>IFERROR(VLOOKUP(MID(T265,W265,X265-W265),[6]skilldef!$C:$D,2,FALSE),"-") &amp; " / " &amp; IFERROR(VLOOKUP(MID(T265,U265,V265-U265),[6]skilldef!$A:$B,2,FALSE),"-")</f>
        <v>- / -</v>
      </c>
      <c r="Z265" s="50"/>
      <c r="AA265" s="51"/>
      <c r="AB265" s="50"/>
    </row>
    <row r="266" spans="1:28" ht="14" x14ac:dyDescent="0.15">
      <c r="A266" s="126">
        <v>49015265</v>
      </c>
      <c r="B266" s="106" t="s">
        <v>405</v>
      </c>
      <c r="C266" s="50">
        <v>3</v>
      </c>
      <c r="D266" s="50" t="s">
        <v>127</v>
      </c>
      <c r="E266" s="119" t="s">
        <v>328</v>
      </c>
      <c r="F266" s="105" t="s">
        <v>261</v>
      </c>
      <c r="G266" s="63" t="str">
        <f t="shared" si="249"/>
        <v>[effect:enemy_message, val1:1.3, val2:0, dead_type:escape]</v>
      </c>
      <c r="H266" s="63">
        <f t="shared" si="250"/>
        <v>9</v>
      </c>
      <c r="I266" s="63">
        <f t="shared" si="251"/>
        <v>22</v>
      </c>
      <c r="J266" s="63" t="e">
        <f t="shared" si="252"/>
        <v>#VALUE!</v>
      </c>
      <c r="K266" s="63">
        <f t="shared" si="253"/>
        <v>32</v>
      </c>
      <c r="L266" s="63" t="str">
        <f>IFERROR(VLOOKUP(MID(G266,J266,K266-J266),[6]skilldef!$C:$D,2,FALSE),"-") &amp; " / " &amp; IFERROR(VLOOKUP(MID(G266,H266,I266-H266),[6]skilldef!$A:$B,2,FALSE),"-")</f>
        <v>- / -</v>
      </c>
      <c r="M266" s="63" t="str">
        <f t="shared" si="254"/>
        <v>none</v>
      </c>
      <c r="N266" s="48" t="str">
        <f t="shared" si="268"/>
        <v>none</v>
      </c>
      <c r="O266" s="63" t="e">
        <f t="shared" si="255"/>
        <v>#VALUE!</v>
      </c>
      <c r="P266" s="63">
        <f t="shared" si="256"/>
        <v>4</v>
      </c>
      <c r="Q266" s="63" t="e">
        <f t="shared" si="257"/>
        <v>#VALUE!</v>
      </c>
      <c r="R266" s="63" t="e">
        <f t="shared" si="258"/>
        <v>#VALUE!</v>
      </c>
      <c r="S266" s="63" t="str">
        <f>IFERROR(VLOOKUP(MID(N266,Q266,R266-Q266),[6]skilldef!$C:$D,2,FALSE),"-") &amp; " / " &amp; IFERROR(VLOOKUP(MID(N266,O266,P266-O266),[6]skilldef!$A:$B,2,FALSE),"-")</f>
        <v>- / -</v>
      </c>
      <c r="T266" s="48" t="str">
        <f t="shared" si="259"/>
        <v>none</v>
      </c>
      <c r="U266" s="63" t="e">
        <f t="shared" si="260"/>
        <v>#VALUE!</v>
      </c>
      <c r="V266" s="63">
        <f t="shared" si="261"/>
        <v>4</v>
      </c>
      <c r="W266" s="63" t="e">
        <f t="shared" si="262"/>
        <v>#VALUE!</v>
      </c>
      <c r="X266" s="63" t="e">
        <f t="shared" si="263"/>
        <v>#VALUE!</v>
      </c>
      <c r="Y266" s="63" t="str">
        <f>IFERROR(VLOOKUP(MID(T266,W266,X266-W266),[6]skilldef!$C:$D,2,FALSE),"-") &amp; " / " &amp; IFERROR(VLOOKUP(MID(T266,U266,V266-U266),[6]skilldef!$A:$B,2,FALSE),"-")</f>
        <v>- / -</v>
      </c>
      <c r="Z266" s="50"/>
      <c r="AA266" s="51"/>
      <c r="AB266" s="50"/>
    </row>
    <row r="267" spans="1:28" ht="21" customHeight="1" x14ac:dyDescent="0.15">
      <c r="A267" s="126">
        <v>49015266</v>
      </c>
      <c r="B267" s="106" t="s">
        <v>352</v>
      </c>
      <c r="C267" s="50">
        <v>3</v>
      </c>
      <c r="D267" s="50" t="s">
        <v>127</v>
      </c>
      <c r="E267" s="105" t="s">
        <v>329</v>
      </c>
      <c r="F267" s="105" t="s">
        <v>330</v>
      </c>
      <c r="G267" s="63" t="str">
        <f t="shared" si="249"/>
        <v>[effect:enemy_message, val1:1.2, val2:1.2, dead_type:escape]</v>
      </c>
      <c r="H267" s="63">
        <f t="shared" si="250"/>
        <v>9</v>
      </c>
      <c r="I267" s="63">
        <f t="shared" si="251"/>
        <v>22</v>
      </c>
      <c r="J267" s="63" t="e">
        <f t="shared" si="252"/>
        <v>#VALUE!</v>
      </c>
      <c r="K267" s="63">
        <f t="shared" si="253"/>
        <v>32</v>
      </c>
      <c r="L267" s="63" t="str">
        <f>IFERROR(VLOOKUP(MID(G267,J267,K267-J267),[6]skilldef!$C:$D,2,FALSE),"-") &amp; " / " &amp; IFERROR(VLOOKUP(MID(G267,H267,I267-H267),[6]skilldef!$A:$B,2,FALSE),"-")</f>
        <v>- / -</v>
      </c>
      <c r="M267" s="63" t="str">
        <f t="shared" si="254"/>
        <v>none</v>
      </c>
      <c r="N267" s="48" t="str">
        <f t="shared" si="268"/>
        <v>none</v>
      </c>
      <c r="O267" s="63" t="e">
        <f t="shared" si="255"/>
        <v>#VALUE!</v>
      </c>
      <c r="P267" s="63">
        <f t="shared" si="256"/>
        <v>4</v>
      </c>
      <c r="Q267" s="63" t="e">
        <f t="shared" si="257"/>
        <v>#VALUE!</v>
      </c>
      <c r="R267" s="63" t="e">
        <f t="shared" si="258"/>
        <v>#VALUE!</v>
      </c>
      <c r="S267" s="63" t="str">
        <f>IFERROR(VLOOKUP(MID(N267,Q267,R267-Q267),[6]skilldef!$C:$D,2,FALSE),"-") &amp; " / " &amp; IFERROR(VLOOKUP(MID(N267,O267,P267-O267),[6]skilldef!$A:$B,2,FALSE),"-")</f>
        <v>- / -</v>
      </c>
      <c r="T267" s="48" t="str">
        <f t="shared" si="259"/>
        <v>none</v>
      </c>
      <c r="U267" s="63" t="e">
        <f t="shared" si="260"/>
        <v>#VALUE!</v>
      </c>
      <c r="V267" s="63">
        <f t="shared" si="261"/>
        <v>4</v>
      </c>
      <c r="W267" s="63" t="e">
        <f t="shared" si="262"/>
        <v>#VALUE!</v>
      </c>
      <c r="X267" s="63" t="e">
        <f t="shared" si="263"/>
        <v>#VALUE!</v>
      </c>
      <c r="Y267" s="63" t="str">
        <f>IFERROR(VLOOKUP(MID(T267,W267,X267-W267),[6]skilldef!$C:$D,2,FALSE),"-") &amp; " / " &amp; IFERROR(VLOOKUP(MID(T267,U267,V267-U267),[6]skilldef!$A:$B,2,FALSE),"-")</f>
        <v>- / -</v>
      </c>
      <c r="Z267" s="50"/>
      <c r="AA267" s="51"/>
      <c r="AB267" s="50"/>
    </row>
    <row r="268" spans="1:28" ht="21" customHeight="1" x14ac:dyDescent="0.15">
      <c r="A268" s="126">
        <v>49015267</v>
      </c>
      <c r="B268" s="106" t="s">
        <v>386</v>
      </c>
      <c r="C268" s="50">
        <v>3</v>
      </c>
      <c r="D268" s="50" t="s">
        <v>127</v>
      </c>
      <c r="E268" s="105" t="s">
        <v>384</v>
      </c>
      <c r="F268" s="105" t="s">
        <v>385</v>
      </c>
      <c r="G268" s="63" t="str">
        <f t="shared" si="249"/>
        <v>[effect:enemy_message, val1:1.3, val2:1.5, dead_type:escape]</v>
      </c>
      <c r="H268" s="63">
        <f t="shared" si="250"/>
        <v>9</v>
      </c>
      <c r="I268" s="63">
        <f t="shared" si="251"/>
        <v>22</v>
      </c>
      <c r="J268" s="63" t="e">
        <f t="shared" si="252"/>
        <v>#VALUE!</v>
      </c>
      <c r="K268" s="63">
        <f t="shared" si="253"/>
        <v>32</v>
      </c>
      <c r="L268" s="63" t="str">
        <f>IFERROR(VLOOKUP(MID(G268,J268,K268-J268),[6]skilldef!$C:$D,2,FALSE),"-") &amp; " / " &amp; IFERROR(VLOOKUP(MID(G268,H268,I268-H268),[6]skilldef!$A:$B,2,FALSE),"-")</f>
        <v>- / -</v>
      </c>
      <c r="M268" s="63" t="str">
        <f t="shared" si="254"/>
        <v>none</v>
      </c>
      <c r="N268" s="48" t="str">
        <f t="shared" si="268"/>
        <v>none</v>
      </c>
      <c r="O268" s="63" t="e">
        <f t="shared" si="255"/>
        <v>#VALUE!</v>
      </c>
      <c r="P268" s="63">
        <f t="shared" si="256"/>
        <v>4</v>
      </c>
      <c r="Q268" s="63" t="e">
        <f t="shared" si="257"/>
        <v>#VALUE!</v>
      </c>
      <c r="R268" s="63" t="e">
        <f t="shared" si="258"/>
        <v>#VALUE!</v>
      </c>
      <c r="S268" s="63" t="str">
        <f>IFERROR(VLOOKUP(MID(N268,Q268,R268-Q268),[6]skilldef!$C:$D,2,FALSE),"-") &amp; " / " &amp; IFERROR(VLOOKUP(MID(N268,O268,P268-O268),[6]skilldef!$A:$B,2,FALSE),"-")</f>
        <v>- / -</v>
      </c>
      <c r="T268" s="48" t="str">
        <f t="shared" si="259"/>
        <v>none</v>
      </c>
      <c r="U268" s="63" t="e">
        <f t="shared" si="260"/>
        <v>#VALUE!</v>
      </c>
      <c r="V268" s="63">
        <f t="shared" si="261"/>
        <v>4</v>
      </c>
      <c r="W268" s="63" t="e">
        <f t="shared" si="262"/>
        <v>#VALUE!</v>
      </c>
      <c r="X268" s="63" t="e">
        <f t="shared" si="263"/>
        <v>#VALUE!</v>
      </c>
      <c r="Y268" s="63" t="str">
        <f>IFERROR(VLOOKUP(MID(T268,W268,X268-W268),[6]skilldef!$C:$D,2,FALSE),"-") &amp; " / " &amp; IFERROR(VLOOKUP(MID(T268,U268,V268-U268),[6]skilldef!$A:$B,2,FALSE),"-")</f>
        <v>- / -</v>
      </c>
      <c r="Z268" s="50"/>
      <c r="AA268" s="51"/>
      <c r="AB268" s="50"/>
    </row>
    <row r="269" spans="1:28" ht="21" customHeight="1" x14ac:dyDescent="0.15">
      <c r="A269" s="126">
        <v>49015268</v>
      </c>
      <c r="B269" s="106" t="s">
        <v>352</v>
      </c>
      <c r="C269" s="50">
        <v>3</v>
      </c>
      <c r="D269" s="50" t="s">
        <v>127</v>
      </c>
      <c r="E269" s="105" t="s">
        <v>387</v>
      </c>
      <c r="F269" s="118" t="s">
        <v>331</v>
      </c>
      <c r="G269" s="63" t="str">
        <f t="shared" si="249"/>
        <v>[effect:enemy_message, val1:1.2, val2:1.2, dead_type:escape]</v>
      </c>
      <c r="H269" s="63">
        <f t="shared" si="250"/>
        <v>9</v>
      </c>
      <c r="I269" s="63">
        <f t="shared" si="251"/>
        <v>22</v>
      </c>
      <c r="J269" s="63" t="e">
        <f t="shared" si="252"/>
        <v>#VALUE!</v>
      </c>
      <c r="K269" s="63">
        <f t="shared" si="253"/>
        <v>32</v>
      </c>
      <c r="L269" s="63" t="str">
        <f>IFERROR(VLOOKUP(MID(G269,J269,K269-J269),[6]skilldef!$C:$D,2,FALSE),"-") &amp; " / " &amp; IFERROR(VLOOKUP(MID(G269,H269,I269-H269),[6]skilldef!$A:$B,2,FALSE),"-")</f>
        <v>- / -</v>
      </c>
      <c r="M269" s="63" t="str">
        <f t="shared" si="254"/>
        <v>none</v>
      </c>
      <c r="N269" s="48" t="str">
        <f t="shared" si="268"/>
        <v>none</v>
      </c>
      <c r="O269" s="63" t="e">
        <f t="shared" si="255"/>
        <v>#VALUE!</v>
      </c>
      <c r="P269" s="63">
        <f t="shared" si="256"/>
        <v>4</v>
      </c>
      <c r="Q269" s="63" t="e">
        <f t="shared" si="257"/>
        <v>#VALUE!</v>
      </c>
      <c r="R269" s="63" t="e">
        <f t="shared" si="258"/>
        <v>#VALUE!</v>
      </c>
      <c r="S269" s="63" t="str">
        <f>IFERROR(VLOOKUP(MID(N269,Q269,R269-Q269),[6]skilldef!$C:$D,2,FALSE),"-") &amp; " / " &amp; IFERROR(VLOOKUP(MID(N269,O269,P269-O269),[6]skilldef!$A:$B,2,FALSE),"-")</f>
        <v>- / -</v>
      </c>
      <c r="T269" s="48" t="str">
        <f t="shared" si="259"/>
        <v>none</v>
      </c>
      <c r="U269" s="63" t="e">
        <f t="shared" si="260"/>
        <v>#VALUE!</v>
      </c>
      <c r="V269" s="63">
        <f t="shared" si="261"/>
        <v>4</v>
      </c>
      <c r="W269" s="63" t="e">
        <f t="shared" si="262"/>
        <v>#VALUE!</v>
      </c>
      <c r="X269" s="63" t="e">
        <f t="shared" si="263"/>
        <v>#VALUE!</v>
      </c>
      <c r="Y269" s="63" t="str">
        <f>IFERROR(VLOOKUP(MID(T269,W269,X269-W269),[6]skilldef!$C:$D,2,FALSE),"-") &amp; " / " &amp; IFERROR(VLOOKUP(MID(T269,U269,V269-U269),[6]skilldef!$A:$B,2,FALSE),"-")</f>
        <v>- / -</v>
      </c>
      <c r="Z269" s="50"/>
      <c r="AA269" s="51"/>
      <c r="AB269" s="50"/>
    </row>
    <row r="270" spans="1:28" ht="21" customHeight="1" thickBot="1" x14ac:dyDescent="0.2">
      <c r="A270" s="127">
        <v>49015269</v>
      </c>
      <c r="B270" s="111" t="s">
        <v>389</v>
      </c>
      <c r="C270" s="50">
        <v>3</v>
      </c>
      <c r="D270" s="112" t="s">
        <v>127</v>
      </c>
      <c r="E270" s="117" t="s">
        <v>332</v>
      </c>
      <c r="F270" s="117" t="s">
        <v>388</v>
      </c>
      <c r="G270" s="113" t="str">
        <f t="shared" si="249"/>
        <v>[effect:enemy_message, val1:1.2, val2:1.7, dead_type:escape]</v>
      </c>
      <c r="H270" s="113">
        <f t="shared" si="250"/>
        <v>9</v>
      </c>
      <c r="I270" s="113">
        <f t="shared" si="251"/>
        <v>22</v>
      </c>
      <c r="J270" s="113" t="e">
        <f t="shared" si="252"/>
        <v>#VALUE!</v>
      </c>
      <c r="K270" s="113">
        <f t="shared" si="253"/>
        <v>32</v>
      </c>
      <c r="L270" s="113" t="str">
        <f>IFERROR(VLOOKUP(MID(G270,J270,K270-J270),[6]skilldef!$C:$D,2,FALSE),"-") &amp; " / " &amp; IFERROR(VLOOKUP(MID(G270,H270,I270-H270),[6]skilldef!$A:$B,2,FALSE),"-")</f>
        <v>- / -</v>
      </c>
      <c r="M270" s="113" t="str">
        <f t="shared" si="254"/>
        <v>none</v>
      </c>
      <c r="N270" s="114" t="str">
        <f t="shared" si="268"/>
        <v>none</v>
      </c>
      <c r="O270" s="113" t="e">
        <f t="shared" si="255"/>
        <v>#VALUE!</v>
      </c>
      <c r="P270" s="113">
        <f t="shared" si="256"/>
        <v>4</v>
      </c>
      <c r="Q270" s="113" t="e">
        <f t="shared" si="257"/>
        <v>#VALUE!</v>
      </c>
      <c r="R270" s="113" t="e">
        <f t="shared" si="258"/>
        <v>#VALUE!</v>
      </c>
      <c r="S270" s="113" t="str">
        <f>IFERROR(VLOOKUP(MID(N270,Q270,R270-Q270),[6]skilldef!$C:$D,2,FALSE),"-") &amp; " / " &amp; IFERROR(VLOOKUP(MID(N270,O270,P270-O270),[6]skilldef!$A:$B,2,FALSE),"-")</f>
        <v>- / -</v>
      </c>
      <c r="T270" s="114" t="str">
        <f t="shared" si="259"/>
        <v>none</v>
      </c>
      <c r="U270" s="113" t="e">
        <f t="shared" si="260"/>
        <v>#VALUE!</v>
      </c>
      <c r="V270" s="113">
        <f t="shared" si="261"/>
        <v>4</v>
      </c>
      <c r="W270" s="113" t="e">
        <f t="shared" si="262"/>
        <v>#VALUE!</v>
      </c>
      <c r="X270" s="113" t="e">
        <f t="shared" si="263"/>
        <v>#VALUE!</v>
      </c>
      <c r="Y270" s="113" t="str">
        <f>IFERROR(VLOOKUP(MID(T270,W270,X270-W270),[6]skilldef!$C:$D,2,FALSE),"-") &amp; " / " &amp; IFERROR(VLOOKUP(MID(T270,U270,V270-U270),[6]skilldef!$A:$B,2,FALSE),"-")</f>
        <v>- / -</v>
      </c>
      <c r="Z270" s="112"/>
      <c r="AA270" s="115"/>
      <c r="AB270" s="112"/>
    </row>
    <row r="271" spans="1:28" ht="21" customHeight="1" x14ac:dyDescent="0.15">
      <c r="A271" s="138">
        <v>49015270</v>
      </c>
      <c r="B271" s="129" t="s">
        <v>520</v>
      </c>
      <c r="C271" s="50">
        <v>3</v>
      </c>
      <c r="D271" s="130" t="s">
        <v>127</v>
      </c>
      <c r="E271" s="189" t="s">
        <v>416</v>
      </c>
      <c r="F271" s="189" t="s">
        <v>333</v>
      </c>
      <c r="G271" s="131" t="str">
        <f t="shared" si="249"/>
        <v>[effect:enemy_message, val1:1.2, val2:1.2]</v>
      </c>
      <c r="H271" s="131">
        <f t="shared" si="250"/>
        <v>9</v>
      </c>
      <c r="I271" s="131">
        <f t="shared" si="251"/>
        <v>22</v>
      </c>
      <c r="J271" s="131" t="e">
        <f t="shared" si="252"/>
        <v>#VALUE!</v>
      </c>
      <c r="K271" s="131">
        <f t="shared" si="253"/>
        <v>32</v>
      </c>
      <c r="L271" s="131" t="str">
        <f>IFERROR(VLOOKUP(MID(G271,J271,K271-J271),[6]skilldef!$C:$D,2,FALSE),"-") &amp; " / " &amp; IFERROR(VLOOKUP(MID(G271,H271,I271-H271),[6]skilldef!$A:$B,2,FALSE),"-")</f>
        <v>- / -</v>
      </c>
      <c r="M271" s="131" t="str">
        <f t="shared" si="254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271" s="132" t="str">
        <f>IFERROR(LEFT(M271,FIND("],",M271)+#REF!),M271)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271" s="131">
        <f t="shared" si="255"/>
        <v>9</v>
      </c>
      <c r="P271" s="131">
        <f t="shared" si="256"/>
        <v>18</v>
      </c>
      <c r="Q271" s="131">
        <f t="shared" si="257"/>
        <v>27</v>
      </c>
      <c r="R271" s="131">
        <f t="shared" si="258"/>
        <v>33</v>
      </c>
      <c r="S271" s="131" t="str">
        <f>IFERROR(VLOOKUP(MID(N271,Q271,R271-Q271),[6]skilldef!$C:$D,2,FALSE),"-") &amp; " / " &amp; IFERROR(VLOOKUP(MID(N271,O271,P271-O271),[6]skilldef!$A:$B,2,FALSE),"-")</f>
        <v>自分自身に / 行動値設定</v>
      </c>
      <c r="T271" s="132" t="str">
        <f t="shared" si="259"/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271" s="131">
        <f t="shared" si="260"/>
        <v>9</v>
      </c>
      <c r="V271" s="131">
        <f t="shared" si="261"/>
        <v>23</v>
      </c>
      <c r="W271" s="131">
        <f t="shared" si="262"/>
        <v>116</v>
      </c>
      <c r="X271" s="131">
        <f t="shared" si="263"/>
        <v>32</v>
      </c>
      <c r="Y271" s="131" t="str">
        <f>IFERROR(VLOOKUP(MID(T271,W271,X271-W271),[6]skilldef!$C:$D,2,FALSE),"-") &amp; " / " &amp; IFERROR(VLOOKUP(MID(T271,U271,V271-U271),[6]skilldef!$A:$B,2,FALSE),"-")</f>
        <v>- / -</v>
      </c>
      <c r="Z271" s="130"/>
      <c r="AA271" s="133"/>
      <c r="AB271" s="130"/>
    </row>
    <row r="272" spans="1:28" ht="21" customHeight="1" x14ac:dyDescent="0.15">
      <c r="A272" s="138">
        <v>49015271</v>
      </c>
      <c r="B272" s="129" t="s">
        <v>521</v>
      </c>
      <c r="C272" s="50">
        <v>3</v>
      </c>
      <c r="D272" s="50" t="s">
        <v>127</v>
      </c>
      <c r="E272" s="190" t="s">
        <v>465</v>
      </c>
      <c r="F272" s="190" t="s">
        <v>466</v>
      </c>
      <c r="G272" s="63" t="str">
        <f t="shared" si="249"/>
        <v>[effect:enemy_message, val1:2.2, val2:1.7]</v>
      </c>
      <c r="H272" s="63">
        <f t="shared" si="250"/>
        <v>9</v>
      </c>
      <c r="I272" s="63">
        <f t="shared" si="251"/>
        <v>22</v>
      </c>
      <c r="J272" s="63" t="e">
        <f t="shared" si="252"/>
        <v>#VALUE!</v>
      </c>
      <c r="K272" s="63">
        <f t="shared" si="253"/>
        <v>32</v>
      </c>
      <c r="L272" s="63" t="str">
        <f>IFERROR(VLOOKUP(MID(G272,J272,K272-J272),[6]skilldef!$C:$D,2,FALSE),"-") &amp; " / " &amp; IFERROR(VLOOKUP(MID(G272,H272,I272-H272),[6]skilldef!$A:$B,2,FALSE),"-")</f>
        <v>- / -</v>
      </c>
      <c r="M272" s="63" t="str">
        <f t="shared" si="254"/>
        <v>[effect:fix_speed, target:myself, turn:2],[effect:set_background, turn:-1, background_id:994, switching_mode:go_front, duration:2],[effect:tolerance, target:myself, turn:-1, count:-1, tolerance_effect:all, animation:enemy_tolerance],[effect:change_panel_ratio, turn:-1, block_type:yellow, val:0.6, animation:block_incidence04],[effect:remove_enhancement,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272" s="48" t="str">
        <f>IFERROR(LEFT(M272,FIND("],",M272)+#REF!),M272)</f>
        <v>[effect:fix_speed, target:myself, turn:2],[effect:set_background, turn:-1, background_id:994, switching_mode:go_front, duration:2],[effect:tolerance, target:myself, turn:-1, count:-1, tolerance_effect:all, animation:enemy_tolerance],[effect:change_panel_ratio, turn:-1, block_type:yellow, val:0.6, animation:block_incidence04],[effect:remove_enhancement,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272" s="63">
        <f t="shared" si="255"/>
        <v>9</v>
      </c>
      <c r="P272" s="63">
        <f t="shared" si="256"/>
        <v>18</v>
      </c>
      <c r="Q272" s="63">
        <f t="shared" si="257"/>
        <v>27</v>
      </c>
      <c r="R272" s="63">
        <f t="shared" si="258"/>
        <v>33</v>
      </c>
      <c r="S272" s="63" t="str">
        <f>IFERROR(VLOOKUP(MID(N272,Q272,R272-Q272),[6]skilldef!$C:$D,2,FALSE),"-") &amp; " / " &amp; IFERROR(VLOOKUP(MID(N272,O272,P272-O272),[6]skilldef!$A:$B,2,FALSE),"-")</f>
        <v>自分自身に / 行動値設定</v>
      </c>
      <c r="T272" s="48" t="str">
        <f t="shared" si="259"/>
        <v>[effect:set_background, turn:-1, background_id:994, switching_mode:go_front, duration:2],[effect:tolerance, target:myself, turn:-1, count:-1, tolerance_effect:all, animation:enemy_tolerance],[effect:change_panel_ratio, turn:-1, block_type:yellow, val:0.6, animation:block_incidence04],[effect:remove_enhancement,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272" s="63">
        <f t="shared" si="260"/>
        <v>9</v>
      </c>
      <c r="V272" s="63">
        <f t="shared" si="261"/>
        <v>23</v>
      </c>
      <c r="W272" s="63">
        <f t="shared" si="262"/>
        <v>116</v>
      </c>
      <c r="X272" s="63">
        <f t="shared" si="263"/>
        <v>32</v>
      </c>
      <c r="Y272" s="63" t="str">
        <f>IFERROR(VLOOKUP(MID(T272,W272,X272-W272),[6]skilldef!$C:$D,2,FALSE),"-") &amp; " / " &amp; IFERROR(VLOOKUP(MID(T272,U272,V272-U272),[6]skilldef!$A:$B,2,FALSE),"-")</f>
        <v>- / -</v>
      </c>
      <c r="Z272" s="50"/>
      <c r="AA272" s="51"/>
      <c r="AB272" s="50"/>
    </row>
    <row r="273" spans="1:28" ht="21" customHeight="1" x14ac:dyDescent="0.15">
      <c r="A273" s="138">
        <v>49015272</v>
      </c>
      <c r="B273" s="129" t="s">
        <v>548</v>
      </c>
      <c r="C273" s="50">
        <v>3</v>
      </c>
      <c r="D273" s="50" t="s">
        <v>127</v>
      </c>
      <c r="E273" s="190" t="s">
        <v>417</v>
      </c>
      <c r="F273" s="191" t="s">
        <v>418</v>
      </c>
      <c r="G273" s="63" t="str">
        <f t="shared" si="249"/>
        <v>[effect:enemy_message, val1:1.2, val2:1.2]</v>
      </c>
      <c r="H273" s="63">
        <f t="shared" si="250"/>
        <v>9</v>
      </c>
      <c r="I273" s="63">
        <f t="shared" si="251"/>
        <v>22</v>
      </c>
      <c r="J273" s="63" t="e">
        <f t="shared" si="252"/>
        <v>#VALUE!</v>
      </c>
      <c r="K273" s="63">
        <f t="shared" si="253"/>
        <v>32</v>
      </c>
      <c r="L273" s="63" t="str">
        <f>IFERROR(VLOOKUP(MID(G273,J273,K273-J273),[6]skilldef!$C:$D,2,FALSE),"-") &amp; " / " &amp; IFERROR(VLOOKUP(MID(G273,H273,I273-H273),[6]skilldef!$A:$B,2,FALSE),"-")</f>
        <v>- / -</v>
      </c>
      <c r="M273" s="63" t="str">
        <f t="shared" si="254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273" s="48" t="str">
        <f>IFERROR(LEFT(M273,FIND("],",M273)+S281),M273)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273" s="63">
        <f t="shared" si="255"/>
        <v>9</v>
      </c>
      <c r="P273" s="63">
        <f t="shared" si="256"/>
        <v>18</v>
      </c>
      <c r="Q273" s="63">
        <f t="shared" si="257"/>
        <v>27</v>
      </c>
      <c r="R273" s="63">
        <f t="shared" si="258"/>
        <v>33</v>
      </c>
      <c r="S273" s="63" t="str">
        <f>IFERROR(VLOOKUP(MID(N273,Q273,R273-Q273),[6]skilldef!$C:$D,2,FALSE),"-") &amp; " / " &amp; IFERROR(VLOOKUP(MID(N273,O273,P273-O273),[6]skilldef!$A:$B,2,FALSE),"-")</f>
        <v>自分自身に / 行動値設定</v>
      </c>
      <c r="T273" s="48" t="str">
        <f t="shared" si="259"/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273" s="63">
        <f t="shared" si="260"/>
        <v>9</v>
      </c>
      <c r="V273" s="63">
        <f t="shared" si="261"/>
        <v>23</v>
      </c>
      <c r="W273" s="63">
        <f t="shared" si="262"/>
        <v>116</v>
      </c>
      <c r="X273" s="63">
        <f t="shared" si="263"/>
        <v>32</v>
      </c>
      <c r="Y273" s="63" t="str">
        <f>IFERROR(VLOOKUP(MID(T273,W273,X273-W273),[6]skilldef!$C:$D,2,FALSE),"-") &amp; " / " &amp; IFERROR(VLOOKUP(MID(T273,U273,V273-U273),[6]skilldef!$A:$B,2,FALSE),"-")</f>
        <v>- / -</v>
      </c>
      <c r="Z273" s="50"/>
      <c r="AA273" s="51"/>
      <c r="AB273" s="50"/>
    </row>
    <row r="274" spans="1:28" ht="21" customHeight="1" x14ac:dyDescent="0.15">
      <c r="A274" s="138">
        <v>49015273</v>
      </c>
      <c r="B274" s="129" t="s">
        <v>522</v>
      </c>
      <c r="C274" s="50">
        <v>3</v>
      </c>
      <c r="D274" s="50" t="s">
        <v>127</v>
      </c>
      <c r="E274" s="190" t="s">
        <v>419</v>
      </c>
      <c r="F274" s="190" t="s">
        <v>420</v>
      </c>
      <c r="G274" s="63" t="str">
        <f t="shared" si="249"/>
        <v>[effect:enemy_message, val1:1.6, val2:1.2]</v>
      </c>
      <c r="H274" s="63">
        <f t="shared" si="250"/>
        <v>9</v>
      </c>
      <c r="I274" s="63">
        <f t="shared" si="251"/>
        <v>22</v>
      </c>
      <c r="J274" s="63" t="e">
        <f t="shared" si="252"/>
        <v>#VALUE!</v>
      </c>
      <c r="K274" s="63">
        <f t="shared" si="253"/>
        <v>32</v>
      </c>
      <c r="L274" s="63" t="str">
        <f>IFERROR(VLOOKUP(MID(G274,J274,K274-J274),[6]skilldef!$C:$D,2,FALSE),"-") &amp; " / " &amp; IFERROR(VLOOKUP(MID(G274,H274,I274-H274),[6]skilldef!$A:$B,2,FALSE),"-")</f>
        <v>- / -</v>
      </c>
      <c r="M274" s="63" t="str">
        <f t="shared" si="254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274" s="48" t="str">
        <f>IFERROR(LEFT(M274,FIND("],",M274)+S282),M274)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274" s="63">
        <f t="shared" si="255"/>
        <v>9</v>
      </c>
      <c r="P274" s="63">
        <f t="shared" si="256"/>
        <v>18</v>
      </c>
      <c r="Q274" s="63">
        <f t="shared" si="257"/>
        <v>27</v>
      </c>
      <c r="R274" s="63">
        <f t="shared" si="258"/>
        <v>33</v>
      </c>
      <c r="S274" s="63" t="str">
        <f>IFERROR(VLOOKUP(MID(N274,Q274,R274-Q274),[6]skilldef!$C:$D,2,FALSE),"-") &amp; " / " &amp; IFERROR(VLOOKUP(MID(N274,O274,P274-O274),[6]skilldef!$A:$B,2,FALSE),"-")</f>
        <v>自分自身に / 行動値設定</v>
      </c>
      <c r="T274" s="48" t="str">
        <f t="shared" si="259"/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274" s="63">
        <f t="shared" si="260"/>
        <v>9</v>
      </c>
      <c r="V274" s="63">
        <f t="shared" si="261"/>
        <v>23</v>
      </c>
      <c r="W274" s="63">
        <f t="shared" si="262"/>
        <v>116</v>
      </c>
      <c r="X274" s="63">
        <f t="shared" si="263"/>
        <v>32</v>
      </c>
      <c r="Y274" s="63" t="str">
        <f>IFERROR(VLOOKUP(MID(T274,W274,X274-W274),[6]skilldef!$C:$D,2,FALSE),"-") &amp; " / " &amp; IFERROR(VLOOKUP(MID(T274,U274,V274-U274),[6]skilldef!$A:$B,2,FALSE),"-")</f>
        <v>- / -</v>
      </c>
      <c r="Z274" s="50"/>
      <c r="AA274" s="51"/>
      <c r="AB274" s="50"/>
    </row>
    <row r="275" spans="1:28" ht="21" customHeight="1" x14ac:dyDescent="0.15">
      <c r="A275" s="138">
        <v>49015274</v>
      </c>
      <c r="B275" s="129" t="s">
        <v>523</v>
      </c>
      <c r="C275" s="50">
        <v>3</v>
      </c>
      <c r="D275" s="50" t="s">
        <v>127</v>
      </c>
      <c r="E275" s="191" t="s">
        <v>421</v>
      </c>
      <c r="F275" s="190" t="s">
        <v>422</v>
      </c>
      <c r="G275" s="63" t="str">
        <f t="shared" si="249"/>
        <v>[effect:enemy_message, val1:1.2, val2:1.7]</v>
      </c>
      <c r="H275" s="63">
        <f t="shared" si="250"/>
        <v>9</v>
      </c>
      <c r="I275" s="63">
        <f t="shared" si="251"/>
        <v>22</v>
      </c>
      <c r="J275" s="63" t="e">
        <f t="shared" si="252"/>
        <v>#VALUE!</v>
      </c>
      <c r="K275" s="63">
        <f t="shared" si="253"/>
        <v>32</v>
      </c>
      <c r="L275" s="63" t="str">
        <f>IFERROR(VLOOKUP(MID(G275,J275,K275-J275),[6]skilldef!$C:$D,2,FALSE),"-") &amp; " / " &amp; IFERROR(VLOOKUP(MID(G275,H275,I275-H275),[6]skilldef!$A:$B,2,FALSE),"-")</f>
        <v>- / -</v>
      </c>
      <c r="M275" s="63" t="str">
        <f t="shared" si="254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275" s="48" t="str">
        <f>IFERROR(LEFT(M275,FIND("],",M275)+S283),M275)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275" s="63">
        <f t="shared" si="255"/>
        <v>9</v>
      </c>
      <c r="P275" s="63">
        <f t="shared" si="256"/>
        <v>18</v>
      </c>
      <c r="Q275" s="63">
        <f t="shared" si="257"/>
        <v>27</v>
      </c>
      <c r="R275" s="63">
        <f t="shared" si="258"/>
        <v>33</v>
      </c>
      <c r="S275" s="63" t="str">
        <f>IFERROR(VLOOKUP(MID(N275,Q275,R275-Q275),[6]skilldef!$C:$D,2,FALSE),"-") &amp; " / " &amp; IFERROR(VLOOKUP(MID(N275,O275,P275-O275),[6]skilldef!$A:$B,2,FALSE),"-")</f>
        <v>自分自身に / 行動値設定</v>
      </c>
      <c r="T275" s="48" t="str">
        <f t="shared" si="259"/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275" s="63">
        <f t="shared" si="260"/>
        <v>9</v>
      </c>
      <c r="V275" s="63">
        <f t="shared" si="261"/>
        <v>23</v>
      </c>
      <c r="W275" s="63">
        <f t="shared" si="262"/>
        <v>116</v>
      </c>
      <c r="X275" s="63">
        <f t="shared" si="263"/>
        <v>32</v>
      </c>
      <c r="Y275" s="63" t="str">
        <f>IFERROR(VLOOKUP(MID(T275,W275,X275-W275),[6]skilldef!$C:$D,2,FALSE),"-") &amp; " / " &amp; IFERROR(VLOOKUP(MID(T275,U275,V275-U275),[6]skilldef!$A:$B,2,FALSE),"-")</f>
        <v>- / -</v>
      </c>
      <c r="Z275" s="50"/>
      <c r="AA275" s="51"/>
      <c r="AB275" s="50"/>
    </row>
    <row r="276" spans="1:28" ht="364" x14ac:dyDescent="0.15">
      <c r="A276" s="138">
        <v>49015275</v>
      </c>
      <c r="B276" s="129" t="s">
        <v>524</v>
      </c>
      <c r="C276" s="50">
        <v>3</v>
      </c>
      <c r="D276" s="50" t="s">
        <v>127</v>
      </c>
      <c r="E276" s="119" t="s">
        <v>334</v>
      </c>
      <c r="F276" s="105" t="s">
        <v>592</v>
      </c>
      <c r="G276" s="63" t="str">
        <f t="shared" si="249"/>
        <v>[effect:enemy_message, val1:3.1, val2:1.2]</v>
      </c>
      <c r="H276" s="63">
        <f t="shared" si="250"/>
        <v>9</v>
      </c>
      <c r="I276" s="63">
        <f t="shared" si="251"/>
        <v>22</v>
      </c>
      <c r="J276" s="63" t="e">
        <f t="shared" si="252"/>
        <v>#VALUE!</v>
      </c>
      <c r="K276" s="63">
        <f t="shared" si="253"/>
        <v>32</v>
      </c>
      <c r="L276" s="63" t="str">
        <f>IFERROR(VLOOKUP(MID(G276,J276,K276-J276),[6]skilldef!$C:$D,2,FALSE),"-") &amp; " / " &amp; IFERROR(VLOOKUP(MID(G276,H276,I276-H276),[6]skilldef!$A:$B,2,FALSE),"-")</f>
        <v>- / -</v>
      </c>
      <c r="M276" s="63" t="str">
        <f t="shared" si="254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276" s="48" t="str">
        <f>IFERROR(LEFT(M276,FIND("],",M276)+#REF!),M276)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276" s="63">
        <f t="shared" si="255"/>
        <v>9</v>
      </c>
      <c r="P276" s="63">
        <f t="shared" si="256"/>
        <v>18</v>
      </c>
      <c r="Q276" s="63">
        <f t="shared" si="257"/>
        <v>27</v>
      </c>
      <c r="R276" s="63">
        <f t="shared" si="258"/>
        <v>33</v>
      </c>
      <c r="S276" s="63" t="str">
        <f>IFERROR(VLOOKUP(MID(N276,Q276,R276-Q276),[6]skilldef!$C:$D,2,FALSE),"-") &amp; " / " &amp; IFERROR(VLOOKUP(MID(N276,O276,P276-O276),[6]skilldef!$A:$B,2,FALSE),"-")</f>
        <v>自分自身に / 行動値設定</v>
      </c>
      <c r="T276" s="48" t="str">
        <f t="shared" si="259"/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276" s="63">
        <f t="shared" si="260"/>
        <v>9</v>
      </c>
      <c r="V276" s="63">
        <f t="shared" si="261"/>
        <v>23</v>
      </c>
      <c r="W276" s="63">
        <f t="shared" si="262"/>
        <v>116</v>
      </c>
      <c r="X276" s="63">
        <f t="shared" si="263"/>
        <v>32</v>
      </c>
      <c r="Y276" s="63" t="str">
        <f>IFERROR(VLOOKUP(MID(T276,W276,X276-W276),[6]skilldef!$C:$D,2,FALSE),"-") &amp; " / " &amp; IFERROR(VLOOKUP(MID(T276,U276,V276-U276),[6]skilldef!$A:$B,2,FALSE),"-")</f>
        <v>- / -</v>
      </c>
      <c r="Z276" s="50"/>
      <c r="AA276" s="51"/>
      <c r="AB276" s="50"/>
    </row>
    <row r="277" spans="1:28" ht="21" customHeight="1" x14ac:dyDescent="0.15">
      <c r="A277" s="138">
        <v>49015276</v>
      </c>
      <c r="B277" s="129" t="s">
        <v>523</v>
      </c>
      <c r="C277" s="50">
        <v>3</v>
      </c>
      <c r="D277" s="50" t="s">
        <v>127</v>
      </c>
      <c r="E277" s="190" t="s">
        <v>423</v>
      </c>
      <c r="F277" s="190" t="s">
        <v>424</v>
      </c>
      <c r="G277" s="63" t="str">
        <f t="shared" si="249"/>
        <v>[effect:enemy_message, val1:1.2, val2:1.7]</v>
      </c>
      <c r="H277" s="63">
        <f t="shared" si="250"/>
        <v>9</v>
      </c>
      <c r="I277" s="63">
        <f t="shared" si="251"/>
        <v>22</v>
      </c>
      <c r="J277" s="63" t="e">
        <f t="shared" si="252"/>
        <v>#VALUE!</v>
      </c>
      <c r="K277" s="63">
        <f t="shared" si="253"/>
        <v>32</v>
      </c>
      <c r="L277" s="63" t="str">
        <f>IFERROR(VLOOKUP(MID(G277,J277,K277-J277),[6]skilldef!$C:$D,2,FALSE),"-") &amp; " / " &amp; IFERROR(VLOOKUP(MID(G277,H277,I277-H277),[6]skilldef!$A:$B,2,FALSE),"-")</f>
        <v>- / -</v>
      </c>
      <c r="M277" s="63" t="str">
        <f t="shared" si="254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277" s="48" t="str">
        <f>IFERROR(LEFT(M277,FIND("],",M277)+S284),M277)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277" s="63">
        <f t="shared" si="255"/>
        <v>9</v>
      </c>
      <c r="P277" s="63">
        <f t="shared" si="256"/>
        <v>18</v>
      </c>
      <c r="Q277" s="63">
        <f t="shared" si="257"/>
        <v>27</v>
      </c>
      <c r="R277" s="63">
        <f t="shared" si="258"/>
        <v>33</v>
      </c>
      <c r="S277" s="63" t="str">
        <f>IFERROR(VLOOKUP(MID(N277,Q277,R277-Q277),[6]skilldef!$C:$D,2,FALSE),"-") &amp; " / " &amp; IFERROR(VLOOKUP(MID(N277,O277,P277-O277),[6]skilldef!$A:$B,2,FALSE),"-")</f>
        <v>自分自身に / 行動値設定</v>
      </c>
      <c r="T277" s="48" t="str">
        <f t="shared" si="259"/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277" s="63">
        <f t="shared" si="260"/>
        <v>9</v>
      </c>
      <c r="V277" s="63">
        <f t="shared" si="261"/>
        <v>23</v>
      </c>
      <c r="W277" s="63">
        <f t="shared" si="262"/>
        <v>116</v>
      </c>
      <c r="X277" s="63">
        <f t="shared" si="263"/>
        <v>32</v>
      </c>
      <c r="Y277" s="63" t="str">
        <f>IFERROR(VLOOKUP(MID(T277,W277,X277-W277),[6]skilldef!$C:$D,2,FALSE),"-") &amp; " / " &amp; IFERROR(VLOOKUP(MID(T277,U277,V277-U277),[6]skilldef!$A:$B,2,FALSE),"-")</f>
        <v>- / -</v>
      </c>
      <c r="Z277" s="50"/>
      <c r="AA277" s="51"/>
      <c r="AB277" s="50"/>
    </row>
    <row r="278" spans="1:28" ht="21" customHeight="1" x14ac:dyDescent="0.15">
      <c r="A278" s="138">
        <v>49015277</v>
      </c>
      <c r="B278" s="129" t="s">
        <v>505</v>
      </c>
      <c r="C278" s="50">
        <v>3</v>
      </c>
      <c r="D278" s="50" t="s">
        <v>127</v>
      </c>
      <c r="E278" s="191" t="s">
        <v>425</v>
      </c>
      <c r="F278" s="191" t="s">
        <v>426</v>
      </c>
      <c r="G278" s="63" t="str">
        <f t="shared" si="249"/>
        <v>[effect:enemy_message, val1:1.2, val2:1.2]</v>
      </c>
      <c r="H278" s="63">
        <f t="shared" si="250"/>
        <v>9</v>
      </c>
      <c r="I278" s="63">
        <f t="shared" si="251"/>
        <v>22</v>
      </c>
      <c r="J278" s="63" t="e">
        <f t="shared" si="252"/>
        <v>#VALUE!</v>
      </c>
      <c r="K278" s="63">
        <f t="shared" si="253"/>
        <v>32</v>
      </c>
      <c r="L278" s="63" t="str">
        <f>IFERROR(VLOOKUP(MID(G278,J278,K278-J278),[6]skilldef!$C:$D,2,FALSE),"-") &amp; " / " &amp; IFERROR(VLOOKUP(MID(G278,H278,I278-H278),[6]skilldef!$A:$B,2,FALSE),"-")</f>
        <v>- / -</v>
      </c>
      <c r="M278" s="63" t="str">
        <f t="shared" si="254"/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N278" s="48" t="str">
        <f>IFERROR(LEFT(M278,FIND("],",M278)+#REF!),M278)</f>
        <v>[effect:fix_speed, target:myself, turn:2],[effect:set_background,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O278" s="63">
        <f t="shared" si="255"/>
        <v>9</v>
      </c>
      <c r="P278" s="63">
        <f t="shared" si="256"/>
        <v>18</v>
      </c>
      <c r="Q278" s="63">
        <f t="shared" si="257"/>
        <v>27</v>
      </c>
      <c r="R278" s="63">
        <f t="shared" si="258"/>
        <v>33</v>
      </c>
      <c r="S278" s="63" t="str">
        <f>IFERROR(VLOOKUP(MID(N278,Q278,R278-Q278),[6]skilldef!$C:$D,2,FALSE),"-") &amp; " / " &amp; IFERROR(VLOOKUP(MID(N278,O278,P278-O278),[6]skilldef!$A:$B,2,FALSE),"-")</f>
        <v>自分自身に / 行動値設定</v>
      </c>
      <c r="T278" s="48" t="str">
        <f t="shared" si="259"/>
        <v>[effect:set_background, turn:-1, background_id:994, switching_mode:go_front, duration:2],[effect:tolerance, target:myself, turn:-1, count:-1, tolerance_effect:all, animation:enemy_tolerance],[effect:remove_enhancement, target:unit_all, target_effect:dark, animation:frozen_wave],[effect:change_range_block, block_change:1, base_type:0, square_count:3, position01:0, position02:2, position03:4, position04:6, position05:8, value_h01:1.0, value_h02:1.0, value_h03:1.0, value_h04:1.0, value_h05:1.0, value_w01:1.0, value_w02:1.0, value_w03:1.0, value_w04:1.0, value_w05:1.0, new_block:jammer, target:block_all, ignore01:block_positive, ignore02:jammer, count:0, val:0, animation:change_range_block]</v>
      </c>
      <c r="U278" s="63">
        <f t="shared" si="260"/>
        <v>9</v>
      </c>
      <c r="V278" s="63">
        <f t="shared" si="261"/>
        <v>23</v>
      </c>
      <c r="W278" s="63">
        <f t="shared" si="262"/>
        <v>116</v>
      </c>
      <c r="X278" s="63">
        <f t="shared" si="263"/>
        <v>32</v>
      </c>
      <c r="Y278" s="63" t="str">
        <f>IFERROR(VLOOKUP(MID(T278,W278,X278-W278),[6]skilldef!$C:$D,2,FALSE),"-") &amp; " / " &amp; IFERROR(VLOOKUP(MID(T278,U278,V278-U278),[6]skilldef!$A:$B,2,FALSE),"-")</f>
        <v>- / -</v>
      </c>
      <c r="Z278" s="50"/>
      <c r="AA278" s="51"/>
      <c r="AB278" s="50"/>
    </row>
    <row r="279" spans="1:28" ht="21" customHeight="1" x14ac:dyDescent="0.15">
      <c r="A279" s="138">
        <v>49015278</v>
      </c>
      <c r="B279" s="47" t="s">
        <v>504</v>
      </c>
      <c r="C279" s="50">
        <v>3</v>
      </c>
      <c r="D279" s="50" t="s">
        <v>127</v>
      </c>
      <c r="E279" s="105" t="s">
        <v>335</v>
      </c>
      <c r="F279" s="105" t="s">
        <v>497</v>
      </c>
      <c r="G279" s="63" t="str">
        <f t="shared" si="249"/>
        <v>[effect:enemy_message, val1:1.2, val2:1.5]</v>
      </c>
      <c r="H279" s="63">
        <f t="shared" si="250"/>
        <v>9</v>
      </c>
      <c r="I279" s="63">
        <f t="shared" si="251"/>
        <v>22</v>
      </c>
      <c r="J279" s="63" t="e">
        <f t="shared" si="252"/>
        <v>#VALUE!</v>
      </c>
      <c r="K279" s="63">
        <f t="shared" si="253"/>
        <v>32</v>
      </c>
      <c r="L279" s="63" t="str">
        <f>IFERROR(VLOOKUP(MID(G279,J279,K279-J279),[6]skilldef!$C:$D,2,FALSE),"-") &amp; " / " &amp; IFERROR(VLOOKUP(MID(G279,H279,I279-H279),[6]skilldef!$A:$B,2,FALSE),"-")</f>
        <v>- / -</v>
      </c>
      <c r="M279" s="63" t="str">
        <f t="shared" si="254"/>
        <v>[effect:break_attack, target:unit_all, val:0.01, lowest_val:800, count:-1, color:blue, block01:jammer]</v>
      </c>
      <c r="N279" s="48" t="str">
        <f>IFERROR(LEFT(M279,FIND("],",M279)+S285),M279)</f>
        <v>[effect:break_attack, target:unit_all, val:0.01, lowest_val:800, count:-1, color:blue, block01:jammer]</v>
      </c>
      <c r="O279" s="63">
        <f t="shared" si="255"/>
        <v>9</v>
      </c>
      <c r="P279" s="63">
        <f t="shared" si="256"/>
        <v>21</v>
      </c>
      <c r="Q279" s="63">
        <f t="shared" si="257"/>
        <v>30</v>
      </c>
      <c r="R279" s="63">
        <f t="shared" si="258"/>
        <v>38</v>
      </c>
      <c r="S279" s="63" t="str">
        <f>IFERROR(VLOOKUP(MID(N279,Q279,R279-Q279),[6]skilldef!$C:$D,2,FALSE),"-") &amp; " / " &amp; IFERROR(VLOOKUP(MID(N279,O279,P279-O279),[6]skilldef!$A:$B,2,FALSE),"-")</f>
        <v>味方全体に / -</v>
      </c>
      <c r="T279" s="48" t="str">
        <f t="shared" si="259"/>
        <v>none</v>
      </c>
      <c r="U279" s="63" t="e">
        <f t="shared" si="260"/>
        <v>#VALUE!</v>
      </c>
      <c r="V279" s="63">
        <f t="shared" si="261"/>
        <v>4</v>
      </c>
      <c r="W279" s="63" t="e">
        <f t="shared" si="262"/>
        <v>#VALUE!</v>
      </c>
      <c r="X279" s="63" t="e">
        <f t="shared" si="263"/>
        <v>#VALUE!</v>
      </c>
      <c r="Y279" s="63" t="str">
        <f>IFERROR(VLOOKUP(MID(T279,W279,X279-W279),[6]skilldef!$C:$D,2,FALSE),"-") &amp; " / " &amp; IFERROR(VLOOKUP(MID(T279,U279,V279-U279),[6]skilldef!$A:$B,2,FALSE),"-")</f>
        <v>- / -</v>
      </c>
      <c r="Z279" s="50"/>
      <c r="AA279" s="51"/>
      <c r="AB279" s="50"/>
    </row>
    <row r="280" spans="1:28" ht="99" thickBot="1" x14ac:dyDescent="0.2">
      <c r="A280" s="137">
        <v>49015279</v>
      </c>
      <c r="B280" s="111" t="s">
        <v>546</v>
      </c>
      <c r="C280" s="50">
        <v>3</v>
      </c>
      <c r="D280" s="112" t="s">
        <v>127</v>
      </c>
      <c r="E280" s="128" t="s">
        <v>336</v>
      </c>
      <c r="F280" s="128" t="s">
        <v>433</v>
      </c>
      <c r="G280" s="113" t="str">
        <f t="shared" si="249"/>
        <v>[effect:enemy_message, val1:1.2, val2:2.3]</v>
      </c>
      <c r="H280" s="113">
        <f t="shared" si="250"/>
        <v>9</v>
      </c>
      <c r="I280" s="113">
        <f t="shared" si="251"/>
        <v>22</v>
      </c>
      <c r="J280" s="113" t="e">
        <f t="shared" si="252"/>
        <v>#VALUE!</v>
      </c>
      <c r="K280" s="113">
        <f t="shared" si="253"/>
        <v>32</v>
      </c>
      <c r="L280" s="113" t="str">
        <f>IFERROR(VLOOKUP(MID(G280,J280,K280-J280),[6]skilldef!$C:$D,2,FALSE),"-") &amp; " / " &amp; IFERROR(VLOOKUP(MID(G280,H280,I280-H280),[6]skilldef!$A:$B,2,FALSE),"-")</f>
        <v>- / -</v>
      </c>
      <c r="M280" s="113" t="str">
        <f t="shared" si="254"/>
        <v>[effect:rush, count:1, val:0.8],[effect:force_change_block, new_block:jammer, target:block_all, ignore01:block_positive, ignore02:jammer, count:2, val:0, animation:change_block]</v>
      </c>
      <c r="N280" s="114" t="str">
        <f>IFERROR(LEFT(M280,FIND("],",M280)+#REF!),M280)</f>
        <v>[effect:rush, count:1, val:0.8],[effect:force_change_block, new_block:jammer, target:block_all, ignore01:block_positive, ignore02:jammer, count:2, val:0, animation:change_block]</v>
      </c>
      <c r="O280" s="113">
        <f t="shared" si="255"/>
        <v>9</v>
      </c>
      <c r="P280" s="113">
        <f t="shared" si="256"/>
        <v>13</v>
      </c>
      <c r="Q280" s="113">
        <f t="shared" si="257"/>
        <v>86</v>
      </c>
      <c r="R280" s="113">
        <f t="shared" si="258"/>
        <v>22</v>
      </c>
      <c r="S280" s="113" t="str">
        <f>IFERROR(VLOOKUP(MID(N280,Q280,R280-Q280),[6]skilldef!$C:$D,2,FALSE),"-") &amp; " / " &amp; IFERROR(VLOOKUP(MID(N280,O280,P280-O280),[6]skilldef!$A:$B,2,FALSE),"-")</f>
        <v>- / 連続攻撃</v>
      </c>
      <c r="T280" s="114" t="str">
        <f t="shared" si="259"/>
        <v>[effect:force_change_block, new_block:jammer, target:block_all, ignore01:block_positive, ignore02:jammer, count:2, val:0, animation:change_block]</v>
      </c>
      <c r="U280" s="113">
        <f t="shared" si="260"/>
        <v>9</v>
      </c>
      <c r="V280" s="113">
        <f t="shared" si="261"/>
        <v>27</v>
      </c>
      <c r="W280" s="113">
        <f t="shared" si="262"/>
        <v>54</v>
      </c>
      <c r="X280" s="113">
        <f t="shared" si="263"/>
        <v>45</v>
      </c>
      <c r="Y280" s="113" t="str">
        <f>IFERROR(VLOOKUP(MID(T280,W280,X280-W280),[6]skilldef!$C:$D,2,FALSE),"-") &amp; " / " &amp; IFERROR(VLOOKUP(MID(T280,U280,V280-U280),[6]skilldef!$A:$B,2,FALSE),"-")</f>
        <v>- / -</v>
      </c>
      <c r="Z280" s="112"/>
      <c r="AA280" s="115"/>
      <c r="AB280" s="112"/>
    </row>
    <row r="281" spans="1:28" ht="21" customHeight="1" x14ac:dyDescent="0.15">
      <c r="A281" s="138">
        <v>49015280</v>
      </c>
      <c r="B281" s="106" t="s">
        <v>390</v>
      </c>
      <c r="C281" s="50">
        <v>3</v>
      </c>
      <c r="D281" s="107" t="s">
        <v>127</v>
      </c>
      <c r="E281" s="120" t="s">
        <v>338</v>
      </c>
      <c r="F281" s="120" t="s">
        <v>340</v>
      </c>
      <c r="G281" s="108" t="str">
        <f t="shared" ref="G281:G295" si="269">IFERROR(LEFT(B281,FIND("],",B281)),B281)</f>
        <v>[effect:enemy_message, val1:1.2, val2:1.2]</v>
      </c>
      <c r="H281" s="108">
        <f t="shared" ref="H281:H295" si="270">FIND("effect:",G281)+7</f>
        <v>9</v>
      </c>
      <c r="I281" s="108">
        <f t="shared" ref="I281:I295" si="271">IFERROR(FIND(",",G281),LEN(G281))</f>
        <v>22</v>
      </c>
      <c r="J281" s="108" t="e">
        <f t="shared" ref="J281:J295" si="272">FIND("target:",G281)+7</f>
        <v>#VALUE!</v>
      </c>
      <c r="K281" s="108">
        <f t="shared" ref="K281:K295" si="273">FIND(",",G281,I281+1)</f>
        <v>32</v>
      </c>
      <c r="L281" s="108" t="str">
        <f>IFERROR(VLOOKUP(MID(G281,J281,K281-J281),[6]skilldef!$C:$D,2,FALSE),"-") &amp; " / " &amp; IFERROR(VLOOKUP(MID(G281,H281,I281-H281),[6]skilldef!$A:$B,2,FALSE),"-")</f>
        <v>- / -</v>
      </c>
      <c r="M281" s="108" t="str">
        <f t="shared" ref="M281:M295" si="274">IFERROR(RIGHT(B281,LEN(B281)-FIND("],",B281)-1),"none")</f>
        <v>[effect:fix_speed, target:myself, turn:2],[effect:tolerance, target:myself, turn:-1, count:-1, tolerance_effect:all, animation:enemy_tolerance]</v>
      </c>
      <c r="N281" s="109" t="str">
        <f>IFERROR(LEFT(M281,FIND("],",M281)+#REF!),M281)</f>
        <v>[effect:fix_speed, target:myself, turn:2],[effect:tolerance, target:myself, turn:-1, count:-1, tolerance_effect:all, animation:enemy_tolerance]</v>
      </c>
      <c r="O281" s="108">
        <f t="shared" ref="O281:O295" si="275">FIND("effect:",N281)+7</f>
        <v>9</v>
      </c>
      <c r="P281" s="108">
        <f t="shared" ref="P281:P295" si="276">IFERROR(FIND(",",N281),LEN(N281))</f>
        <v>18</v>
      </c>
      <c r="Q281" s="108">
        <f t="shared" ref="Q281:Q295" si="277">FIND("target:",N281)+7</f>
        <v>27</v>
      </c>
      <c r="R281" s="108">
        <f t="shared" ref="R281:R295" si="278">FIND(",",N281,P281+1)</f>
        <v>33</v>
      </c>
      <c r="S281" s="108" t="str">
        <f>IFERROR(VLOOKUP(MID(N281,Q281,R281-Q281),[6]skilldef!$C:$D,2,FALSE),"-") &amp; " / " &amp; IFERROR(VLOOKUP(MID(N281,O281,P281-O281),[6]skilldef!$A:$B,2,FALSE),"-")</f>
        <v>自分自身に / 行動値設定</v>
      </c>
      <c r="T281" s="109" t="str">
        <f t="shared" ref="T281:T295" si="279">IFERROR(RIGHT(M281,LEN(M281)-FIND("],",M281)-1),"none")</f>
        <v>[effect:tolerance, target:myself, turn:-1, count:-1, tolerance_effect:all, animation:enemy_tolerance]</v>
      </c>
      <c r="U281" s="108">
        <f t="shared" ref="U281:U295" si="280">FIND("effect:",T281)+7</f>
        <v>9</v>
      </c>
      <c r="V281" s="108">
        <f t="shared" ref="V281:V295" si="281">IFERROR(FIND(",",T281),LEN(T281))</f>
        <v>18</v>
      </c>
      <c r="W281" s="108">
        <f t="shared" ref="W281:W295" si="282">FIND("target:",T281)+7</f>
        <v>27</v>
      </c>
      <c r="X281" s="108">
        <f t="shared" ref="X281:X295" si="283">FIND(",",T281,V281+1)</f>
        <v>33</v>
      </c>
      <c r="Y281" s="108" t="str">
        <f>IFERROR(VLOOKUP(MID(T281,W281,X281-W281),[6]skilldef!$C:$D,2,FALSE),"-") &amp; " / " &amp; IFERROR(VLOOKUP(MID(T281,U281,V281-U281),[6]skilldef!$A:$B,2,FALSE),"-")</f>
        <v>自分自身に / 状態異常耐性</v>
      </c>
      <c r="Z281" s="107"/>
      <c r="AA281" s="110"/>
      <c r="AB281" s="107"/>
    </row>
    <row r="282" spans="1:28" ht="21" customHeight="1" x14ac:dyDescent="0.15">
      <c r="A282" s="138">
        <v>49015281</v>
      </c>
      <c r="B282" s="47" t="s">
        <v>459</v>
      </c>
      <c r="C282" s="50">
        <v>3</v>
      </c>
      <c r="D282" s="50" t="s">
        <v>127</v>
      </c>
      <c r="E282" s="105" t="s">
        <v>339</v>
      </c>
      <c r="F282" s="105" t="s">
        <v>269</v>
      </c>
      <c r="G282" s="63" t="str">
        <f t="shared" si="269"/>
        <v>[effect:enemy_message, val1:1.2, val2:1.2]</v>
      </c>
      <c r="H282" s="63">
        <f t="shared" si="270"/>
        <v>9</v>
      </c>
      <c r="I282" s="63">
        <f t="shared" si="271"/>
        <v>22</v>
      </c>
      <c r="J282" s="63" t="e">
        <f t="shared" si="272"/>
        <v>#VALUE!</v>
      </c>
      <c r="K282" s="63">
        <f t="shared" si="273"/>
        <v>32</v>
      </c>
      <c r="L282" s="63" t="str">
        <f>IFERROR(VLOOKUP(MID(G282,J282,K282-J282),[6]skilldef!$C:$D,2,FALSE),"-") &amp; " / " &amp; IFERROR(VLOOKUP(MID(G282,H282,I282-H282),[6]skilldef!$A:$B,2,FALSE),"-")</f>
        <v>- / -</v>
      </c>
      <c r="M282" s="63" t="str">
        <f t="shared" si="274"/>
        <v>[effect:spread, val:0.3]</v>
      </c>
      <c r="N282" s="48" t="str">
        <f>IFERROR(LEFT(M282,FIND("],",M282)+S288),M282)</f>
        <v>[effect:spread, val:0.3]</v>
      </c>
      <c r="O282" s="63">
        <f t="shared" si="275"/>
        <v>9</v>
      </c>
      <c r="P282" s="63">
        <f t="shared" si="276"/>
        <v>15</v>
      </c>
      <c r="Q282" s="63" t="e">
        <f t="shared" si="277"/>
        <v>#VALUE!</v>
      </c>
      <c r="R282" s="63" t="e">
        <f t="shared" si="278"/>
        <v>#VALUE!</v>
      </c>
      <c r="S282" s="63" t="str">
        <f>IFERROR(VLOOKUP(MID(N282,Q282,R282-Q282),[6]skilldef!$C:$D,2,FALSE),"-") &amp; " / " &amp; IFERROR(VLOOKUP(MID(N282,O282,P282-O282),[6]skilldef!$A:$B,2,FALSE),"-")</f>
        <v>- / 全体攻撃</v>
      </c>
      <c r="T282" s="48" t="str">
        <f t="shared" si="279"/>
        <v>none</v>
      </c>
      <c r="U282" s="63" t="e">
        <f t="shared" si="280"/>
        <v>#VALUE!</v>
      </c>
      <c r="V282" s="63">
        <f t="shared" si="281"/>
        <v>4</v>
      </c>
      <c r="W282" s="63" t="e">
        <f t="shared" si="282"/>
        <v>#VALUE!</v>
      </c>
      <c r="X282" s="63" t="e">
        <f t="shared" si="283"/>
        <v>#VALUE!</v>
      </c>
      <c r="Y282" s="63" t="str">
        <f>IFERROR(VLOOKUP(MID(T282,W282,X282-W282),[6]skilldef!$C:$D,2,FALSE),"-") &amp; " / " &amp; IFERROR(VLOOKUP(MID(T282,U282,V282-U282),[6]skilldef!$A:$B,2,FALSE),"-")</f>
        <v>- / -</v>
      </c>
      <c r="Z282" s="50"/>
      <c r="AA282" s="51"/>
      <c r="AB282" s="50"/>
    </row>
    <row r="283" spans="1:28" ht="21" customHeight="1" x14ac:dyDescent="0.15">
      <c r="A283" s="138">
        <v>49015282</v>
      </c>
      <c r="B283" s="47" t="s">
        <v>547</v>
      </c>
      <c r="C283" s="50">
        <v>3</v>
      </c>
      <c r="D283" s="50" t="s">
        <v>127</v>
      </c>
      <c r="E283" s="105" t="s">
        <v>336</v>
      </c>
      <c r="F283" s="119" t="s">
        <v>433</v>
      </c>
      <c r="G283" s="63" t="str">
        <f t="shared" si="269"/>
        <v>[effect:enemy_message, val1:1.2, val2:2.3]</v>
      </c>
      <c r="H283" s="63">
        <f t="shared" si="270"/>
        <v>9</v>
      </c>
      <c r="I283" s="63">
        <f t="shared" si="271"/>
        <v>22</v>
      </c>
      <c r="J283" s="63" t="e">
        <f t="shared" si="272"/>
        <v>#VALUE!</v>
      </c>
      <c r="K283" s="63">
        <f t="shared" si="273"/>
        <v>32</v>
      </c>
      <c r="L283" s="63" t="str">
        <f>IFERROR(VLOOKUP(MID(G283,J283,K283-J283),[6]skilldef!$C:$D,2,FALSE),"-") &amp; " / " &amp; IFERROR(VLOOKUP(MID(G283,H283,I283-H283),[6]skilldef!$A:$B,2,FALSE),"-")</f>
        <v>- / -</v>
      </c>
      <c r="M283" s="63" t="str">
        <f t="shared" si="274"/>
        <v>[effect:rush, count:1, val:0.9],[effect:force_change_block, new_block:jammer, target:block_all, ignore01:block_positive, ignore02:jammer, count:2, val:0, animation:change_block]</v>
      </c>
      <c r="N283" s="48" t="str">
        <f>IFERROR(LEFT(M283,FIND("],",M283)+S289),M283)</f>
        <v>[effect:rush, count:1, val:0.9],[effect:force_change_block, new_block:jammer, target:block_all, ignore01:block_positive, ignore02:jammer, count:2, val:0, animation:change_block]</v>
      </c>
      <c r="O283" s="63">
        <f t="shared" si="275"/>
        <v>9</v>
      </c>
      <c r="P283" s="63">
        <f t="shared" si="276"/>
        <v>13</v>
      </c>
      <c r="Q283" s="63">
        <f t="shared" si="277"/>
        <v>86</v>
      </c>
      <c r="R283" s="63">
        <f t="shared" si="278"/>
        <v>22</v>
      </c>
      <c r="S283" s="63" t="str">
        <f>IFERROR(VLOOKUP(MID(N283,Q283,R283-Q283),[6]skilldef!$C:$D,2,FALSE),"-") &amp; " / " &amp; IFERROR(VLOOKUP(MID(N283,O283,P283-O283),[6]skilldef!$A:$B,2,FALSE),"-")</f>
        <v>- / 連続攻撃</v>
      </c>
      <c r="T283" s="48" t="str">
        <f t="shared" si="279"/>
        <v>[effect:force_change_block, new_block:jammer, target:block_all, ignore01:block_positive, ignore02:jammer, count:2, val:0, animation:change_block]</v>
      </c>
      <c r="U283" s="63">
        <f t="shared" si="280"/>
        <v>9</v>
      </c>
      <c r="V283" s="63">
        <f t="shared" si="281"/>
        <v>27</v>
      </c>
      <c r="W283" s="63">
        <f t="shared" si="282"/>
        <v>54</v>
      </c>
      <c r="X283" s="63">
        <f t="shared" si="283"/>
        <v>45</v>
      </c>
      <c r="Y283" s="63" t="str">
        <f>IFERROR(VLOOKUP(MID(T283,W283,X283-W283),[6]skilldef!$C:$D,2,FALSE),"-") &amp; " / " &amp; IFERROR(VLOOKUP(MID(T283,U283,V283-U283),[6]skilldef!$A:$B,2,FALSE),"-")</f>
        <v>- / -</v>
      </c>
      <c r="Z283" s="50"/>
      <c r="AA283" s="51"/>
      <c r="AB283" s="50"/>
    </row>
    <row r="284" spans="1:28" ht="57" thickBot="1" x14ac:dyDescent="0.2">
      <c r="A284" s="137">
        <v>49015283</v>
      </c>
      <c r="B284" s="111" t="s">
        <v>500</v>
      </c>
      <c r="C284" s="50">
        <v>3</v>
      </c>
      <c r="D284" s="112" t="s">
        <v>127</v>
      </c>
      <c r="E284" s="117" t="s">
        <v>335</v>
      </c>
      <c r="F284" s="117" t="s">
        <v>497</v>
      </c>
      <c r="G284" s="113" t="str">
        <f t="shared" si="269"/>
        <v>[effect:enemy_message, val1:1.2, val2:1.5]</v>
      </c>
      <c r="H284" s="113">
        <f t="shared" si="270"/>
        <v>9</v>
      </c>
      <c r="I284" s="113">
        <f t="shared" si="271"/>
        <v>22</v>
      </c>
      <c r="J284" s="113" t="e">
        <f t="shared" si="272"/>
        <v>#VALUE!</v>
      </c>
      <c r="K284" s="113">
        <f t="shared" si="273"/>
        <v>32</v>
      </c>
      <c r="L284" s="113" t="str">
        <f>IFERROR(VLOOKUP(MID(G284,J284,K284-J284),[6]skilldef!$C:$D,2,FALSE),"-") &amp; " / " &amp; IFERROR(VLOOKUP(MID(G284,H284,I284-H284),[6]skilldef!$A:$B,2,FALSE),"-")</f>
        <v>- / -</v>
      </c>
      <c r="M284" s="113" t="str">
        <f t="shared" si="274"/>
        <v>[effect:break_attack, target:unit_all, val:0.01, lowest_val:900, count:-1, color:blue, block01:jammer]</v>
      </c>
      <c r="N284" s="114" t="str">
        <f>IFERROR(LEFT(M284,FIND("],",M284)+S291),M284)</f>
        <v>[effect:break_attack, target:unit_all, val:0.01, lowest_val:900, count:-1, color:blue, block01:jammer]</v>
      </c>
      <c r="O284" s="113">
        <f t="shared" si="275"/>
        <v>9</v>
      </c>
      <c r="P284" s="113">
        <f t="shared" si="276"/>
        <v>21</v>
      </c>
      <c r="Q284" s="113">
        <f t="shared" si="277"/>
        <v>30</v>
      </c>
      <c r="R284" s="113">
        <f t="shared" si="278"/>
        <v>38</v>
      </c>
      <c r="S284" s="113" t="str">
        <f>IFERROR(VLOOKUP(MID(N284,Q284,R284-Q284),[6]skilldef!$C:$D,2,FALSE),"-") &amp; " / " &amp; IFERROR(VLOOKUP(MID(N284,O284,P284-O284),[6]skilldef!$A:$B,2,FALSE),"-")</f>
        <v>味方全体に / -</v>
      </c>
      <c r="T284" s="114" t="str">
        <f t="shared" si="279"/>
        <v>none</v>
      </c>
      <c r="U284" s="113" t="e">
        <f t="shared" si="280"/>
        <v>#VALUE!</v>
      </c>
      <c r="V284" s="113">
        <f t="shared" si="281"/>
        <v>4</v>
      </c>
      <c r="W284" s="113" t="e">
        <f t="shared" si="282"/>
        <v>#VALUE!</v>
      </c>
      <c r="X284" s="113" t="e">
        <f t="shared" si="283"/>
        <v>#VALUE!</v>
      </c>
      <c r="Y284" s="113" t="str">
        <f>IFERROR(VLOOKUP(MID(T284,W284,X284-W284),[6]skilldef!$C:$D,2,FALSE),"-") &amp; " / " &amp; IFERROR(VLOOKUP(MID(T284,U284,V284-U284),[6]skilldef!$A:$B,2,FALSE),"-")</f>
        <v>- / -</v>
      </c>
      <c r="Z284" s="112"/>
      <c r="AA284" s="115"/>
      <c r="AB284" s="112"/>
    </row>
    <row r="285" spans="1:28" ht="21" customHeight="1" x14ac:dyDescent="0.15">
      <c r="A285" s="138">
        <v>49015284</v>
      </c>
      <c r="B285" s="106" t="s">
        <v>537</v>
      </c>
      <c r="C285" s="50">
        <v>3</v>
      </c>
      <c r="D285" s="107" t="s">
        <v>127</v>
      </c>
      <c r="E285" s="192" t="s">
        <v>427</v>
      </c>
      <c r="F285" s="192" t="s">
        <v>358</v>
      </c>
      <c r="G285" s="108" t="str">
        <f t="shared" si="269"/>
        <v>[effect:enemy_message, val1:1.2, val2:1.2]</v>
      </c>
      <c r="H285" s="108">
        <f t="shared" si="270"/>
        <v>9</v>
      </c>
      <c r="I285" s="108">
        <f t="shared" si="271"/>
        <v>22</v>
      </c>
      <c r="J285" s="108" t="e">
        <f t="shared" si="272"/>
        <v>#VALUE!</v>
      </c>
      <c r="K285" s="108">
        <f t="shared" si="273"/>
        <v>32</v>
      </c>
      <c r="L285" s="108" t="str">
        <f>IFERROR(VLOOKUP(MID(G285,J285,K285-J285),[6]skilldef!$C:$D,2,FALSE),"-") &amp; " / " &amp; IFERROR(VLOOKUP(MID(G285,H285,I285-H285),[6]skilldef!$A:$B,2,FALSE),"-")</f>
        <v>- / -</v>
      </c>
      <c r="M285" s="108" t="str">
        <f t="shared" si="274"/>
        <v>[effect:fix_speed, target:myself, turn:1],[effect:tolerance, target:myself, turn:-1, count:-1, tolerance_effect:all, animation:enemy_tolerance],[effect:change_range_block, block_change:1, base_type:0, square_count:7, position01:1, position02:3, position03:5, value_h01:7.0, value_h02:7.0, value_h03:7.0, value_w01:1.0, value_w02:1.0, value_w03:1.0, new_block:jammer, target:block_all, ignore01:block_positive, ignore02:jammer, count:0, val:0, animation:change_range_block]</v>
      </c>
      <c r="N285" s="109" t="str">
        <f>IFERROR(LEFT(M285,FIND("],",M285)+S293),M285)</f>
        <v>[effect:fix_speed, target:myself, turn:1],[effect:tolerance, target:myself, turn:-1, count:-1, tolerance_effect:all, animation:enemy_tolerance],[effect:change_range_block, block_change:1, base_type:0, square_count:7, position01:1, position02:3, position03:5, value_h01:7.0, value_h02:7.0, value_h03:7.0, value_w01:1.0, value_w02:1.0, value_w03:1.0, new_block:jammer, target:block_all, ignore01:block_positive, ignore02:jammer, count:0, val:0, animation:change_range_block]</v>
      </c>
      <c r="O285" s="108">
        <f t="shared" si="275"/>
        <v>9</v>
      </c>
      <c r="P285" s="108">
        <f t="shared" si="276"/>
        <v>18</v>
      </c>
      <c r="Q285" s="108">
        <f t="shared" si="277"/>
        <v>27</v>
      </c>
      <c r="R285" s="108">
        <f t="shared" si="278"/>
        <v>33</v>
      </c>
      <c r="S285" s="108" t="str">
        <f>IFERROR(VLOOKUP(MID(N285,Q285,R285-Q285),[6]skilldef!$C:$D,2,FALSE),"-") &amp; " / " &amp; IFERROR(VLOOKUP(MID(N285,O285,P285-O285),[6]skilldef!$A:$B,2,FALSE),"-")</f>
        <v>自分自身に / 行動値設定</v>
      </c>
      <c r="T285" s="109" t="str">
        <f t="shared" si="279"/>
        <v>[effect:tolerance, target:myself, turn:-1, count:-1, tolerance_effect:all, animation:enemy_tolerance],[effect:change_range_block, block_change:1, base_type:0, square_count:7, position01:1, position02:3, position03:5, value_h01:7.0, value_h02:7.0, value_h03:7.0, value_w01:1.0, value_w02:1.0, value_w03:1.0, new_block:jammer, target:block_all, ignore01:block_positive, ignore02:jammer, count:0, val:0, animation:change_range_block]</v>
      </c>
      <c r="U285" s="108">
        <f t="shared" si="280"/>
        <v>9</v>
      </c>
      <c r="V285" s="108">
        <f t="shared" si="281"/>
        <v>18</v>
      </c>
      <c r="W285" s="108">
        <f t="shared" si="282"/>
        <v>27</v>
      </c>
      <c r="X285" s="108">
        <f t="shared" si="283"/>
        <v>33</v>
      </c>
      <c r="Y285" s="108" t="str">
        <f>IFERROR(VLOOKUP(MID(T285,W285,X285-W285),[6]skilldef!$C:$D,2,FALSE),"-") &amp; " / " &amp; IFERROR(VLOOKUP(MID(T285,U285,V285-U285),[6]skilldef!$A:$B,2,FALSE),"-")</f>
        <v>自分自身に / 状態異常耐性</v>
      </c>
      <c r="Z285" s="107"/>
      <c r="AA285" s="110"/>
      <c r="AB285" s="107"/>
    </row>
    <row r="286" spans="1:28" ht="56" x14ac:dyDescent="0.15">
      <c r="A286" s="138">
        <v>49015285</v>
      </c>
      <c r="B286" s="47" t="s">
        <v>503</v>
      </c>
      <c r="C286" s="50">
        <v>3</v>
      </c>
      <c r="D286" s="50" t="s">
        <v>127</v>
      </c>
      <c r="E286" s="105" t="s">
        <v>335</v>
      </c>
      <c r="F286" s="105" t="s">
        <v>497</v>
      </c>
      <c r="G286" s="63" t="str">
        <f t="shared" si="269"/>
        <v>[effect:enemy_message, val1:1.2, val2:1.5]</v>
      </c>
      <c r="H286" s="63">
        <f t="shared" si="270"/>
        <v>9</v>
      </c>
      <c r="I286" s="63">
        <f t="shared" si="271"/>
        <v>22</v>
      </c>
      <c r="J286" s="63" t="e">
        <f t="shared" si="272"/>
        <v>#VALUE!</v>
      </c>
      <c r="K286" s="63">
        <f t="shared" si="273"/>
        <v>32</v>
      </c>
      <c r="L286" s="63" t="str">
        <f>IFERROR(VLOOKUP(MID(G286,J286,K286-J286),[6]skilldef!$C:$D,2,FALSE),"-") &amp; " / " &amp; IFERROR(VLOOKUP(MID(G286,H286,I286-H286),[6]skilldef!$A:$B,2,FALSE),"-")</f>
        <v>- / -</v>
      </c>
      <c r="M286" s="63" t="str">
        <f t="shared" si="274"/>
        <v>[effect:break_attack, target:unit_all, val:0.01, lowest_val:1000, count:-1, color:blue, block01:jammer]</v>
      </c>
      <c r="N286" s="48" t="str">
        <f>IFERROR(LEFT(M286,FIND("],",M286)+S295),M286)</f>
        <v>[effect:break_attack, target:unit_all, val:0.01, lowest_val:1000, count:-1, color:blue, block01:jammer]</v>
      </c>
      <c r="O286" s="63">
        <f t="shared" si="275"/>
        <v>9</v>
      </c>
      <c r="P286" s="63">
        <f t="shared" si="276"/>
        <v>21</v>
      </c>
      <c r="Q286" s="63">
        <f t="shared" si="277"/>
        <v>30</v>
      </c>
      <c r="R286" s="63">
        <f t="shared" si="278"/>
        <v>38</v>
      </c>
      <c r="S286" s="63" t="str">
        <f>IFERROR(VLOOKUP(MID(N286,Q286,R286-Q286),[6]skilldef!$C:$D,2,FALSE),"-") &amp; " / " &amp; IFERROR(VLOOKUP(MID(N286,O286,P286-O286),[6]skilldef!$A:$B,2,FALSE),"-")</f>
        <v>味方全体に / -</v>
      </c>
      <c r="T286" s="48" t="str">
        <f t="shared" si="279"/>
        <v>none</v>
      </c>
      <c r="U286" s="63" t="e">
        <f t="shared" si="280"/>
        <v>#VALUE!</v>
      </c>
      <c r="V286" s="63">
        <f t="shared" si="281"/>
        <v>4</v>
      </c>
      <c r="W286" s="63" t="e">
        <f t="shared" si="282"/>
        <v>#VALUE!</v>
      </c>
      <c r="X286" s="63" t="e">
        <f t="shared" si="283"/>
        <v>#VALUE!</v>
      </c>
      <c r="Y286" s="63" t="str">
        <f>IFERROR(VLOOKUP(MID(T286,W286,X286-W286),[6]skilldef!$C:$D,2,FALSE),"-") &amp; " / " &amp; IFERROR(VLOOKUP(MID(T286,U286,V286-U286),[6]skilldef!$A:$B,2,FALSE),"-")</f>
        <v>- / -</v>
      </c>
      <c r="Z286" s="50"/>
      <c r="AA286" s="51"/>
      <c r="AB286" s="50"/>
    </row>
    <row r="287" spans="1:28" ht="112" x14ac:dyDescent="0.15">
      <c r="A287" s="138">
        <v>49015286</v>
      </c>
      <c r="B287" s="106" t="s">
        <v>607</v>
      </c>
      <c r="C287" s="50">
        <v>3</v>
      </c>
      <c r="D287" s="50" t="s">
        <v>127</v>
      </c>
      <c r="E287" s="105" t="s">
        <v>341</v>
      </c>
      <c r="F287" s="119" t="s">
        <v>606</v>
      </c>
      <c r="G287" s="63" t="str">
        <f t="shared" si="269"/>
        <v>[effect:enemy_message, val1:1.2, val2:3.2]</v>
      </c>
      <c r="H287" s="63">
        <f t="shared" si="270"/>
        <v>9</v>
      </c>
      <c r="I287" s="63">
        <f t="shared" si="271"/>
        <v>22</v>
      </c>
      <c r="J287" s="63" t="e">
        <f t="shared" si="272"/>
        <v>#VALUE!</v>
      </c>
      <c r="K287" s="63">
        <f t="shared" si="273"/>
        <v>32</v>
      </c>
      <c r="L287" s="63" t="str">
        <f>IFERROR(VLOOKUP(MID(G287,J287,K287-J287),[6]skilldef!$C:$D,2,FALSE),"-") &amp; " / " &amp; IFERROR(VLOOKUP(MID(G287,H287,I287-H287),[6]skilldef!$A:$B,2,FALSE),"-")</f>
        <v>- / -</v>
      </c>
      <c r="M287" s="63" t="str">
        <f t="shared" si="274"/>
        <v>[effect:damage_gravity, val:0.10, animation:fevergauge_down],[effect:force_change_block, new_block:jammer, target:block_all, ignore01:block_positive, ignore02:jammer, count:2, val:0, animation:change_block]</v>
      </c>
      <c r="N287" s="48" t="str">
        <f>IFERROR(LEFT(M287,FIND("],",M287)+S296),M287)</f>
        <v>[effect:damage_gravity, val:0.10, animation:fevergauge_down]</v>
      </c>
      <c r="O287" s="63">
        <f t="shared" si="275"/>
        <v>9</v>
      </c>
      <c r="P287" s="63">
        <f t="shared" si="276"/>
        <v>23</v>
      </c>
      <c r="Q287" s="63" t="e">
        <f t="shared" si="277"/>
        <v>#VALUE!</v>
      </c>
      <c r="R287" s="63">
        <f t="shared" si="278"/>
        <v>33</v>
      </c>
      <c r="S287" s="63" t="str">
        <f>IFERROR(VLOOKUP(MID(N287,Q287,R287-Q287),[6]skilldef!$C:$D,2,FALSE),"-") &amp; " / " &amp; IFERROR(VLOOKUP(MID(N287,O287,P287-O287),[6]skilldef!$A:$B,2,FALSE),"-")</f>
        <v>- / 割合ダメージ</v>
      </c>
      <c r="T287" s="48" t="str">
        <f t="shared" si="279"/>
        <v>[effect:force_change_block, new_block:jammer, target:block_all, ignore01:block_positive, ignore02:jammer, count:2, val:0, animation:change_block]</v>
      </c>
      <c r="U287" s="63">
        <f t="shared" si="280"/>
        <v>9</v>
      </c>
      <c r="V287" s="63">
        <f t="shared" si="281"/>
        <v>27</v>
      </c>
      <c r="W287" s="63">
        <f t="shared" si="282"/>
        <v>54</v>
      </c>
      <c r="X287" s="63">
        <f t="shared" si="283"/>
        <v>45</v>
      </c>
      <c r="Y287" s="63" t="str">
        <f>IFERROR(VLOOKUP(MID(T287,W287,X287-W287),[6]skilldef!$C:$D,2,FALSE),"-") &amp; " / " &amp; IFERROR(VLOOKUP(MID(T287,U287,V287-U287),[6]skilldef!$A:$B,2,FALSE),"-")</f>
        <v>- / -</v>
      </c>
      <c r="Z287" s="50"/>
      <c r="AA287" s="51"/>
      <c r="AB287" s="50"/>
    </row>
    <row r="288" spans="1:28" ht="14" x14ac:dyDescent="0.15">
      <c r="A288" s="138">
        <v>49015287</v>
      </c>
      <c r="B288" s="106" t="s">
        <v>392</v>
      </c>
      <c r="C288" s="50">
        <v>3</v>
      </c>
      <c r="D288" s="50" t="s">
        <v>127</v>
      </c>
      <c r="E288" s="119" t="s">
        <v>342</v>
      </c>
      <c r="F288" s="105" t="s">
        <v>343</v>
      </c>
      <c r="G288" s="63" t="str">
        <f t="shared" si="269"/>
        <v>[effect:enemy_message, val1:1.7, val2:1.7, dead_type:escape]</v>
      </c>
      <c r="H288" s="63">
        <f t="shared" si="270"/>
        <v>9</v>
      </c>
      <c r="I288" s="63">
        <f t="shared" si="271"/>
        <v>22</v>
      </c>
      <c r="J288" s="63" t="e">
        <f t="shared" si="272"/>
        <v>#VALUE!</v>
      </c>
      <c r="K288" s="63">
        <f t="shared" si="273"/>
        <v>32</v>
      </c>
      <c r="L288" s="63" t="str">
        <f>IFERROR(VLOOKUP(MID(G288,J288,K288-J288),[6]skilldef!$C:$D,2,FALSE),"-") &amp; " / " &amp; IFERROR(VLOOKUP(MID(G288,H288,I288-H288),[6]skilldef!$A:$B,2,FALSE),"-")</f>
        <v>- / -</v>
      </c>
      <c r="M288" s="63" t="str">
        <f t="shared" si="274"/>
        <v>none</v>
      </c>
      <c r="N288" s="48" t="str">
        <f t="shared" ref="N288:N295" si="284">IFERROR(LEFT(M288,FIND("],",M288)+S298),M288)</f>
        <v>none</v>
      </c>
      <c r="O288" s="63" t="e">
        <f t="shared" si="275"/>
        <v>#VALUE!</v>
      </c>
      <c r="P288" s="63">
        <f t="shared" si="276"/>
        <v>4</v>
      </c>
      <c r="Q288" s="63" t="e">
        <f t="shared" si="277"/>
        <v>#VALUE!</v>
      </c>
      <c r="R288" s="63" t="e">
        <f t="shared" si="278"/>
        <v>#VALUE!</v>
      </c>
      <c r="S288" s="63" t="str">
        <f>IFERROR(VLOOKUP(MID(N288,Q288,R288-Q288),[6]skilldef!$C:$D,2,FALSE),"-") &amp; " / " &amp; IFERROR(VLOOKUP(MID(N288,O288,P288-O288),[6]skilldef!$A:$B,2,FALSE),"-")</f>
        <v>- / -</v>
      </c>
      <c r="T288" s="48" t="str">
        <f t="shared" si="279"/>
        <v>none</v>
      </c>
      <c r="U288" s="63" t="e">
        <f t="shared" si="280"/>
        <v>#VALUE!</v>
      </c>
      <c r="V288" s="63">
        <f t="shared" si="281"/>
        <v>4</v>
      </c>
      <c r="W288" s="63" t="e">
        <f t="shared" si="282"/>
        <v>#VALUE!</v>
      </c>
      <c r="X288" s="63" t="e">
        <f t="shared" si="283"/>
        <v>#VALUE!</v>
      </c>
      <c r="Y288" s="63" t="str">
        <f>IFERROR(VLOOKUP(MID(T288,W288,X288-W288),[6]skilldef!$C:$D,2,FALSE),"-") &amp; " / " &amp; IFERROR(VLOOKUP(MID(T288,U288,V288-U288),[6]skilldef!$A:$B,2,FALSE),"-")</f>
        <v>- / -</v>
      </c>
      <c r="Z288" s="50"/>
      <c r="AA288" s="51"/>
      <c r="AB288" s="50"/>
    </row>
    <row r="289" spans="1:28" ht="14" x14ac:dyDescent="0.15">
      <c r="A289" s="138">
        <v>49015288</v>
      </c>
      <c r="B289" s="106" t="s">
        <v>392</v>
      </c>
      <c r="C289" s="50">
        <v>3</v>
      </c>
      <c r="D289" s="50" t="s">
        <v>127</v>
      </c>
      <c r="E289" s="119" t="s">
        <v>344</v>
      </c>
      <c r="F289" s="105" t="s">
        <v>345</v>
      </c>
      <c r="G289" s="63" t="str">
        <f t="shared" si="269"/>
        <v>[effect:enemy_message, val1:1.7, val2:1.7, dead_type:escape]</v>
      </c>
      <c r="H289" s="63">
        <f t="shared" si="270"/>
        <v>9</v>
      </c>
      <c r="I289" s="63">
        <f t="shared" si="271"/>
        <v>22</v>
      </c>
      <c r="J289" s="63" t="e">
        <f t="shared" si="272"/>
        <v>#VALUE!</v>
      </c>
      <c r="K289" s="63">
        <f t="shared" si="273"/>
        <v>32</v>
      </c>
      <c r="L289" s="63" t="str">
        <f>IFERROR(VLOOKUP(MID(G289,J289,K289-J289),[6]skilldef!$C:$D,2,FALSE),"-") &amp; " / " &amp; IFERROR(VLOOKUP(MID(G289,H289,I289-H289),[6]skilldef!$A:$B,2,FALSE),"-")</f>
        <v>- / -</v>
      </c>
      <c r="M289" s="63" t="str">
        <f t="shared" si="274"/>
        <v>none</v>
      </c>
      <c r="N289" s="48" t="str">
        <f t="shared" si="284"/>
        <v>none</v>
      </c>
      <c r="O289" s="63" t="e">
        <f t="shared" si="275"/>
        <v>#VALUE!</v>
      </c>
      <c r="P289" s="63">
        <f t="shared" si="276"/>
        <v>4</v>
      </c>
      <c r="Q289" s="63" t="e">
        <f t="shared" si="277"/>
        <v>#VALUE!</v>
      </c>
      <c r="R289" s="63" t="e">
        <f t="shared" si="278"/>
        <v>#VALUE!</v>
      </c>
      <c r="S289" s="63" t="str">
        <f>IFERROR(VLOOKUP(MID(N289,Q289,R289-Q289),[6]skilldef!$C:$D,2,FALSE),"-") &amp; " / " &amp; IFERROR(VLOOKUP(MID(N289,O289,P289-O289),[6]skilldef!$A:$B,2,FALSE),"-")</f>
        <v>- / -</v>
      </c>
      <c r="T289" s="48" t="str">
        <f t="shared" si="279"/>
        <v>none</v>
      </c>
      <c r="U289" s="63" t="e">
        <f t="shared" si="280"/>
        <v>#VALUE!</v>
      </c>
      <c r="V289" s="63">
        <f t="shared" si="281"/>
        <v>4</v>
      </c>
      <c r="W289" s="63" t="e">
        <f t="shared" si="282"/>
        <v>#VALUE!</v>
      </c>
      <c r="X289" s="63" t="e">
        <f t="shared" si="283"/>
        <v>#VALUE!</v>
      </c>
      <c r="Y289" s="63" t="str">
        <f>IFERROR(VLOOKUP(MID(T289,W289,X289-W289),[6]skilldef!$C:$D,2,FALSE),"-") &amp; " / " &amp; IFERROR(VLOOKUP(MID(T289,U289,V289-U289),[6]skilldef!$A:$B,2,FALSE),"-")</f>
        <v>- / -</v>
      </c>
      <c r="Z289" s="50"/>
      <c r="AA289" s="51"/>
      <c r="AB289" s="50"/>
    </row>
    <row r="290" spans="1:28" ht="21" customHeight="1" x14ac:dyDescent="0.15">
      <c r="A290" s="138">
        <v>49015289</v>
      </c>
      <c r="B290" s="106" t="s">
        <v>392</v>
      </c>
      <c r="C290" s="50">
        <v>3</v>
      </c>
      <c r="D290" s="50" t="s">
        <v>127</v>
      </c>
      <c r="E290" s="105" t="s">
        <v>346</v>
      </c>
      <c r="F290" s="118" t="s">
        <v>393</v>
      </c>
      <c r="G290" s="63" t="str">
        <f t="shared" si="269"/>
        <v>[effect:enemy_message, val1:1.7, val2:1.7, dead_type:escape]</v>
      </c>
      <c r="H290" s="63">
        <f t="shared" si="270"/>
        <v>9</v>
      </c>
      <c r="I290" s="63">
        <f t="shared" si="271"/>
        <v>22</v>
      </c>
      <c r="J290" s="63" t="e">
        <f t="shared" si="272"/>
        <v>#VALUE!</v>
      </c>
      <c r="K290" s="63">
        <f t="shared" si="273"/>
        <v>32</v>
      </c>
      <c r="L290" s="63" t="str">
        <f>IFERROR(VLOOKUP(MID(G290,J290,K290-J290),[6]skilldef!$C:$D,2,FALSE),"-") &amp; " / " &amp; IFERROR(VLOOKUP(MID(G290,H290,I290-H290),[6]skilldef!$A:$B,2,FALSE),"-")</f>
        <v>- / -</v>
      </c>
      <c r="M290" s="63" t="str">
        <f t="shared" si="274"/>
        <v>none</v>
      </c>
      <c r="N290" s="48" t="str">
        <f t="shared" si="284"/>
        <v>none</v>
      </c>
      <c r="O290" s="63" t="e">
        <f t="shared" si="275"/>
        <v>#VALUE!</v>
      </c>
      <c r="P290" s="63">
        <f t="shared" si="276"/>
        <v>4</v>
      </c>
      <c r="Q290" s="63" t="e">
        <f t="shared" si="277"/>
        <v>#VALUE!</v>
      </c>
      <c r="R290" s="63" t="e">
        <f t="shared" si="278"/>
        <v>#VALUE!</v>
      </c>
      <c r="S290" s="63" t="str">
        <f>IFERROR(VLOOKUP(MID(N290,Q290,R290-Q290),[6]skilldef!$C:$D,2,FALSE),"-") &amp; " / " &amp; IFERROR(VLOOKUP(MID(N290,O290,P290-O290),[6]skilldef!$A:$B,2,FALSE),"-")</f>
        <v>- / -</v>
      </c>
      <c r="T290" s="48" t="str">
        <f t="shared" si="279"/>
        <v>none</v>
      </c>
      <c r="U290" s="63" t="e">
        <f t="shared" si="280"/>
        <v>#VALUE!</v>
      </c>
      <c r="V290" s="63">
        <f t="shared" si="281"/>
        <v>4</v>
      </c>
      <c r="W290" s="63" t="e">
        <f t="shared" si="282"/>
        <v>#VALUE!</v>
      </c>
      <c r="X290" s="63" t="e">
        <f t="shared" si="283"/>
        <v>#VALUE!</v>
      </c>
      <c r="Y290" s="63" t="str">
        <f>IFERROR(VLOOKUP(MID(T290,W290,X290-W290),[6]skilldef!$C:$D,2,FALSE),"-") &amp; " / " &amp; IFERROR(VLOOKUP(MID(T290,U290,V290-U290),[6]skilldef!$A:$B,2,FALSE),"-")</f>
        <v>- / -</v>
      </c>
      <c r="Z290" s="50"/>
      <c r="AA290" s="51"/>
      <c r="AB290" s="50"/>
    </row>
    <row r="291" spans="1:28" ht="14" x14ac:dyDescent="0.15">
      <c r="A291" s="138">
        <v>49015290</v>
      </c>
      <c r="B291" s="106" t="s">
        <v>392</v>
      </c>
      <c r="C291" s="50">
        <v>3</v>
      </c>
      <c r="D291" s="50" t="s">
        <v>127</v>
      </c>
      <c r="E291" s="119" t="s">
        <v>575</v>
      </c>
      <c r="F291" s="105" t="s">
        <v>576</v>
      </c>
      <c r="G291" s="63" t="str">
        <f t="shared" si="269"/>
        <v>[effect:enemy_message, val1:1.7, val2:1.7, dead_type:escape]</v>
      </c>
      <c r="H291" s="63">
        <f t="shared" si="270"/>
        <v>9</v>
      </c>
      <c r="I291" s="63">
        <f t="shared" si="271"/>
        <v>22</v>
      </c>
      <c r="J291" s="63" t="e">
        <f t="shared" si="272"/>
        <v>#VALUE!</v>
      </c>
      <c r="K291" s="63">
        <f t="shared" si="273"/>
        <v>32</v>
      </c>
      <c r="L291" s="63" t="str">
        <f>IFERROR(VLOOKUP(MID(G291,J291,K291-J291),[6]skilldef!$C:$D,2,FALSE),"-") &amp; " / " &amp; IFERROR(VLOOKUP(MID(G291,H291,I291-H291),[6]skilldef!$A:$B,2,FALSE),"-")</f>
        <v>- / -</v>
      </c>
      <c r="M291" s="63" t="str">
        <f t="shared" si="274"/>
        <v>none</v>
      </c>
      <c r="N291" s="48" t="str">
        <f t="shared" si="284"/>
        <v>none</v>
      </c>
      <c r="O291" s="63" t="e">
        <f t="shared" si="275"/>
        <v>#VALUE!</v>
      </c>
      <c r="P291" s="63">
        <f t="shared" si="276"/>
        <v>4</v>
      </c>
      <c r="Q291" s="63" t="e">
        <f t="shared" si="277"/>
        <v>#VALUE!</v>
      </c>
      <c r="R291" s="63" t="e">
        <f t="shared" si="278"/>
        <v>#VALUE!</v>
      </c>
      <c r="S291" s="63" t="str">
        <f>IFERROR(VLOOKUP(MID(N291,Q291,R291-Q291),[6]skilldef!$C:$D,2,FALSE),"-") &amp; " / " &amp; IFERROR(VLOOKUP(MID(N291,O291,P291-O291),[6]skilldef!$A:$B,2,FALSE),"-")</f>
        <v>- / -</v>
      </c>
      <c r="T291" s="48" t="str">
        <f t="shared" si="279"/>
        <v>none</v>
      </c>
      <c r="U291" s="63" t="e">
        <f t="shared" si="280"/>
        <v>#VALUE!</v>
      </c>
      <c r="V291" s="63">
        <f t="shared" si="281"/>
        <v>4</v>
      </c>
      <c r="W291" s="63" t="e">
        <f t="shared" si="282"/>
        <v>#VALUE!</v>
      </c>
      <c r="X291" s="63" t="e">
        <f t="shared" si="283"/>
        <v>#VALUE!</v>
      </c>
      <c r="Y291" s="63" t="str">
        <f>IFERROR(VLOOKUP(MID(T291,W291,X291-W291),[6]skilldef!$C:$D,2,FALSE),"-") &amp; " / " &amp; IFERROR(VLOOKUP(MID(T291,U291,V291-U291),[6]skilldef!$A:$B,2,FALSE),"-")</f>
        <v>- / -</v>
      </c>
      <c r="Z291" s="50"/>
      <c r="AA291" s="51"/>
      <c r="AB291" s="50"/>
    </row>
    <row r="292" spans="1:28" ht="21" customHeight="1" x14ac:dyDescent="0.15">
      <c r="A292" s="138">
        <v>49015291</v>
      </c>
      <c r="B292" s="106" t="s">
        <v>395</v>
      </c>
      <c r="C292" s="50">
        <v>3</v>
      </c>
      <c r="D292" s="50" t="s">
        <v>127</v>
      </c>
      <c r="E292" s="105" t="s">
        <v>394</v>
      </c>
      <c r="F292" s="105" t="s">
        <v>347</v>
      </c>
      <c r="G292" s="63" t="str">
        <f t="shared" si="269"/>
        <v>[effect:enemy_message, val1:1.7, val2:2.1, dead_type:escape]</v>
      </c>
      <c r="H292" s="63">
        <f t="shared" si="270"/>
        <v>9</v>
      </c>
      <c r="I292" s="63">
        <f t="shared" si="271"/>
        <v>22</v>
      </c>
      <c r="J292" s="63" t="e">
        <f t="shared" si="272"/>
        <v>#VALUE!</v>
      </c>
      <c r="K292" s="63">
        <f t="shared" si="273"/>
        <v>32</v>
      </c>
      <c r="L292" s="63" t="str">
        <f>IFERROR(VLOOKUP(MID(G292,J292,K292-J292),[6]skilldef!$C:$D,2,FALSE),"-") &amp; " / " &amp; IFERROR(VLOOKUP(MID(G292,H292,I292-H292),[6]skilldef!$A:$B,2,FALSE),"-")</f>
        <v>- / -</v>
      </c>
      <c r="M292" s="63" t="str">
        <f t="shared" si="274"/>
        <v>none</v>
      </c>
      <c r="N292" s="48" t="str">
        <f t="shared" si="284"/>
        <v>none</v>
      </c>
      <c r="O292" s="63" t="e">
        <f t="shared" si="275"/>
        <v>#VALUE!</v>
      </c>
      <c r="P292" s="63">
        <f t="shared" si="276"/>
        <v>4</v>
      </c>
      <c r="Q292" s="63" t="e">
        <f t="shared" si="277"/>
        <v>#VALUE!</v>
      </c>
      <c r="R292" s="63" t="e">
        <f t="shared" si="278"/>
        <v>#VALUE!</v>
      </c>
      <c r="S292" s="63" t="str">
        <f>IFERROR(VLOOKUP(MID(N292,Q292,R292-Q292),[6]skilldef!$C:$D,2,FALSE),"-") &amp; " / " &amp; IFERROR(VLOOKUP(MID(N292,O292,P292-O292),[6]skilldef!$A:$B,2,FALSE),"-")</f>
        <v>- / -</v>
      </c>
      <c r="T292" s="48" t="str">
        <f t="shared" si="279"/>
        <v>none</v>
      </c>
      <c r="U292" s="63" t="e">
        <f t="shared" si="280"/>
        <v>#VALUE!</v>
      </c>
      <c r="V292" s="63">
        <f t="shared" si="281"/>
        <v>4</v>
      </c>
      <c r="W292" s="63" t="e">
        <f t="shared" si="282"/>
        <v>#VALUE!</v>
      </c>
      <c r="X292" s="63" t="e">
        <f t="shared" si="283"/>
        <v>#VALUE!</v>
      </c>
      <c r="Y292" s="63" t="str">
        <f>IFERROR(VLOOKUP(MID(T292,W292,X292-W292),[6]skilldef!$C:$D,2,FALSE),"-") &amp; " / " &amp; IFERROR(VLOOKUP(MID(T292,U292,V292-U292),[6]skilldef!$A:$B,2,FALSE),"-")</f>
        <v>- / -</v>
      </c>
      <c r="Z292" s="50"/>
      <c r="AA292" s="51"/>
      <c r="AB292" s="50"/>
    </row>
    <row r="293" spans="1:28" ht="21" customHeight="1" x14ac:dyDescent="0.15">
      <c r="A293" s="138">
        <v>49015292</v>
      </c>
      <c r="B293" s="106" t="s">
        <v>406</v>
      </c>
      <c r="C293" s="50">
        <v>3</v>
      </c>
      <c r="D293" s="50" t="s">
        <v>127</v>
      </c>
      <c r="E293" s="105" t="s">
        <v>396</v>
      </c>
      <c r="F293" s="105" t="s">
        <v>348</v>
      </c>
      <c r="G293" s="63" t="str">
        <f t="shared" si="269"/>
        <v>[effect:enemy_message, val1:2.1, val2:1.7, dead_type:escape]</v>
      </c>
      <c r="H293" s="63">
        <f t="shared" si="270"/>
        <v>9</v>
      </c>
      <c r="I293" s="63">
        <f t="shared" si="271"/>
        <v>22</v>
      </c>
      <c r="J293" s="63" t="e">
        <f t="shared" si="272"/>
        <v>#VALUE!</v>
      </c>
      <c r="K293" s="63">
        <f t="shared" si="273"/>
        <v>32</v>
      </c>
      <c r="L293" s="63" t="str">
        <f>IFERROR(VLOOKUP(MID(G293,J293,K293-J293),[6]skilldef!$C:$D,2,FALSE),"-") &amp; " / " &amp; IFERROR(VLOOKUP(MID(G293,H293,I293-H293),[6]skilldef!$A:$B,2,FALSE),"-")</f>
        <v>- / -</v>
      </c>
      <c r="M293" s="63" t="str">
        <f t="shared" si="274"/>
        <v>none</v>
      </c>
      <c r="N293" s="48" t="str">
        <f t="shared" si="284"/>
        <v>none</v>
      </c>
      <c r="O293" s="63" t="e">
        <f t="shared" si="275"/>
        <v>#VALUE!</v>
      </c>
      <c r="P293" s="63">
        <f t="shared" si="276"/>
        <v>4</v>
      </c>
      <c r="Q293" s="63" t="e">
        <f t="shared" si="277"/>
        <v>#VALUE!</v>
      </c>
      <c r="R293" s="63" t="e">
        <f t="shared" si="278"/>
        <v>#VALUE!</v>
      </c>
      <c r="S293" s="63" t="str">
        <f>IFERROR(VLOOKUP(MID(N293,Q293,R293-Q293),[6]skilldef!$C:$D,2,FALSE),"-") &amp; " / " &amp; IFERROR(VLOOKUP(MID(N293,O293,P293-O293),[6]skilldef!$A:$B,2,FALSE),"-")</f>
        <v>- / -</v>
      </c>
      <c r="T293" s="48" t="str">
        <f t="shared" si="279"/>
        <v>none</v>
      </c>
      <c r="U293" s="63" t="e">
        <f t="shared" si="280"/>
        <v>#VALUE!</v>
      </c>
      <c r="V293" s="63">
        <f t="shared" si="281"/>
        <v>4</v>
      </c>
      <c r="W293" s="63" t="e">
        <f t="shared" si="282"/>
        <v>#VALUE!</v>
      </c>
      <c r="X293" s="63" t="e">
        <f t="shared" si="283"/>
        <v>#VALUE!</v>
      </c>
      <c r="Y293" s="63" t="str">
        <f>IFERROR(VLOOKUP(MID(T293,W293,X293-W293),[6]skilldef!$C:$D,2,FALSE),"-") &amp; " / " &amp; IFERROR(VLOOKUP(MID(T293,U293,V293-U293),[6]skilldef!$A:$B,2,FALSE),"-")</f>
        <v>- / -</v>
      </c>
      <c r="Z293" s="50"/>
      <c r="AA293" s="51"/>
      <c r="AB293" s="50"/>
    </row>
    <row r="294" spans="1:28" ht="21" customHeight="1" x14ac:dyDescent="0.15">
      <c r="A294" s="138">
        <v>49015293</v>
      </c>
      <c r="B294" s="106" t="s">
        <v>408</v>
      </c>
      <c r="C294" s="50">
        <v>3</v>
      </c>
      <c r="D294" s="50" t="s">
        <v>127</v>
      </c>
      <c r="E294" s="105" t="s">
        <v>407</v>
      </c>
      <c r="F294" s="118" t="s">
        <v>349</v>
      </c>
      <c r="G294" s="63" t="str">
        <f t="shared" si="269"/>
        <v>[effect:enemy_message, val1:1.9, val2:1.7, dead_type:escape]</v>
      </c>
      <c r="H294" s="63">
        <f t="shared" si="270"/>
        <v>9</v>
      </c>
      <c r="I294" s="63">
        <f t="shared" si="271"/>
        <v>22</v>
      </c>
      <c r="J294" s="63" t="e">
        <f t="shared" si="272"/>
        <v>#VALUE!</v>
      </c>
      <c r="K294" s="63">
        <f t="shared" si="273"/>
        <v>32</v>
      </c>
      <c r="L294" s="63" t="str">
        <f>IFERROR(VLOOKUP(MID(G294,J294,K294-J294),[6]skilldef!$C:$D,2,FALSE),"-") &amp; " / " &amp; IFERROR(VLOOKUP(MID(G294,H294,I294-H294),[6]skilldef!$A:$B,2,FALSE),"-")</f>
        <v>- / -</v>
      </c>
      <c r="M294" s="63" t="str">
        <f t="shared" si="274"/>
        <v>none</v>
      </c>
      <c r="N294" s="48" t="str">
        <f t="shared" si="284"/>
        <v>none</v>
      </c>
      <c r="O294" s="63" t="e">
        <f t="shared" si="275"/>
        <v>#VALUE!</v>
      </c>
      <c r="P294" s="63">
        <f t="shared" si="276"/>
        <v>4</v>
      </c>
      <c r="Q294" s="63" t="e">
        <f t="shared" si="277"/>
        <v>#VALUE!</v>
      </c>
      <c r="R294" s="63" t="e">
        <f t="shared" si="278"/>
        <v>#VALUE!</v>
      </c>
      <c r="S294" s="63" t="str">
        <f>IFERROR(VLOOKUP(MID(N294,Q294,R294-Q294),[6]skilldef!$C:$D,2,FALSE),"-") &amp; " / " &amp; IFERROR(VLOOKUP(MID(N294,O294,P294-O294),[6]skilldef!$A:$B,2,FALSE),"-")</f>
        <v>- / -</v>
      </c>
      <c r="T294" s="48" t="str">
        <f t="shared" si="279"/>
        <v>none</v>
      </c>
      <c r="U294" s="63" t="e">
        <f t="shared" si="280"/>
        <v>#VALUE!</v>
      </c>
      <c r="V294" s="63">
        <f t="shared" si="281"/>
        <v>4</v>
      </c>
      <c r="W294" s="63" t="e">
        <f t="shared" si="282"/>
        <v>#VALUE!</v>
      </c>
      <c r="X294" s="63" t="e">
        <f t="shared" si="283"/>
        <v>#VALUE!</v>
      </c>
      <c r="Y294" s="63" t="str">
        <f>IFERROR(VLOOKUP(MID(T294,W294,X294-W294),[6]skilldef!$C:$D,2,FALSE),"-") &amp; " / " &amp; IFERROR(VLOOKUP(MID(T294,U294,V294-U294),[6]skilldef!$A:$B,2,FALSE),"-")</f>
        <v>- / -</v>
      </c>
      <c r="Z294" s="50"/>
      <c r="AA294" s="51"/>
      <c r="AB294" s="50"/>
    </row>
    <row r="295" spans="1:28" ht="21" customHeight="1" thickBot="1" x14ac:dyDescent="0.2">
      <c r="A295" s="137">
        <v>49015294</v>
      </c>
      <c r="B295" s="111" t="s">
        <v>397</v>
      </c>
      <c r="C295" s="50">
        <v>3</v>
      </c>
      <c r="D295" s="112" t="s">
        <v>127</v>
      </c>
      <c r="E295" s="117" t="s">
        <v>350</v>
      </c>
      <c r="F295" s="117" t="s">
        <v>351</v>
      </c>
      <c r="G295" s="113" t="str">
        <f t="shared" si="269"/>
        <v>[effect:enemy_message, val1:1.7, val2:2.2, dead_type:escape]</v>
      </c>
      <c r="H295" s="113">
        <f t="shared" si="270"/>
        <v>9</v>
      </c>
      <c r="I295" s="113">
        <f t="shared" si="271"/>
        <v>22</v>
      </c>
      <c r="J295" s="113" t="e">
        <f t="shared" si="272"/>
        <v>#VALUE!</v>
      </c>
      <c r="K295" s="113">
        <f t="shared" si="273"/>
        <v>32</v>
      </c>
      <c r="L295" s="113" t="str">
        <f>IFERROR(VLOOKUP(MID(G295,J295,K295-J295),[6]skilldef!$C:$D,2,FALSE),"-") &amp; " / " &amp; IFERROR(VLOOKUP(MID(G295,H295,I295-H295),[6]skilldef!$A:$B,2,FALSE),"-")</f>
        <v>- / -</v>
      </c>
      <c r="M295" s="113" t="str">
        <f t="shared" si="274"/>
        <v>none</v>
      </c>
      <c r="N295" s="114" t="str">
        <f t="shared" si="284"/>
        <v>none</v>
      </c>
      <c r="O295" s="113" t="e">
        <f t="shared" si="275"/>
        <v>#VALUE!</v>
      </c>
      <c r="P295" s="113">
        <f t="shared" si="276"/>
        <v>4</v>
      </c>
      <c r="Q295" s="113" t="e">
        <f t="shared" si="277"/>
        <v>#VALUE!</v>
      </c>
      <c r="R295" s="113" t="e">
        <f t="shared" si="278"/>
        <v>#VALUE!</v>
      </c>
      <c r="S295" s="113" t="str">
        <f>IFERROR(VLOOKUP(MID(N295,Q295,R295-Q295),[6]skilldef!$C:$D,2,FALSE),"-") &amp; " / " &amp; IFERROR(VLOOKUP(MID(N295,O295,P295-O295),[6]skilldef!$A:$B,2,FALSE),"-")</f>
        <v>- / -</v>
      </c>
      <c r="T295" s="114" t="str">
        <f t="shared" si="279"/>
        <v>none</v>
      </c>
      <c r="U295" s="113" t="e">
        <f t="shared" si="280"/>
        <v>#VALUE!</v>
      </c>
      <c r="V295" s="113">
        <f t="shared" si="281"/>
        <v>4</v>
      </c>
      <c r="W295" s="113" t="e">
        <f t="shared" si="282"/>
        <v>#VALUE!</v>
      </c>
      <c r="X295" s="113" t="e">
        <f t="shared" si="283"/>
        <v>#VALUE!</v>
      </c>
      <c r="Y295" s="113" t="str">
        <f>IFERROR(VLOOKUP(MID(T295,W295,X295-W295),[6]skilldef!$C:$D,2,FALSE),"-") &amp; " / " &amp; IFERROR(VLOOKUP(MID(T295,U295,V295-U295),[6]skilldef!$A:$B,2,FALSE),"-")</f>
        <v>- / -</v>
      </c>
      <c r="Z295" s="112"/>
      <c r="AA295" s="115"/>
      <c r="AB295" s="112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94"/>
  <sheetViews>
    <sheetView showGridLines="0" workbookViewId="0">
      <pane ySplit="1" topLeftCell="A263" activePane="bottomLeft" state="frozenSplit"/>
      <selection pane="bottomLeft" activeCell="E395" sqref="E395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2" t="s">
        <v>70</v>
      </c>
      <c r="G1" s="52" t="s">
        <v>71</v>
      </c>
      <c r="H1" s="42" t="s">
        <v>72</v>
      </c>
      <c r="I1" s="42" t="s">
        <v>73</v>
      </c>
      <c r="J1" s="42" t="s">
        <v>74</v>
      </c>
      <c r="K1" s="53" t="s">
        <v>87</v>
      </c>
    </row>
    <row r="2" spans="1:11" ht="21" customHeight="1" x14ac:dyDescent="0.15">
      <c r="A2" s="121">
        <v>49015001</v>
      </c>
      <c r="B2" s="47">
        <v>1</v>
      </c>
      <c r="C2" s="47">
        <v>30</v>
      </c>
      <c r="D2" s="47">
        <v>100</v>
      </c>
      <c r="E2" s="47" t="s">
        <v>253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" si="0">D2</f>
        <v>100</v>
      </c>
    </row>
    <row r="3" spans="1:11" ht="21" customHeight="1" x14ac:dyDescent="0.15">
      <c r="A3" s="121">
        <v>49015002</v>
      </c>
      <c r="B3" s="47">
        <v>1</v>
      </c>
      <c r="C3" s="47">
        <v>70</v>
      </c>
      <c r="D3" s="47">
        <v>100</v>
      </c>
      <c r="E3" s="47" t="s">
        <v>88</v>
      </c>
      <c r="F3" s="47" t="s">
        <v>88</v>
      </c>
      <c r="G3" s="47">
        <v>1</v>
      </c>
      <c r="H3" s="47" t="s">
        <v>88</v>
      </c>
      <c r="I3" s="47">
        <v>1462</v>
      </c>
      <c r="J3" s="48">
        <f t="shared" ref="J3:J5" si="1">D3</f>
        <v>100</v>
      </c>
    </row>
    <row r="4" spans="1:11" ht="21" customHeight="1" x14ac:dyDescent="0.15">
      <c r="A4" s="121">
        <v>49015003</v>
      </c>
      <c r="B4" s="47">
        <v>1</v>
      </c>
      <c r="C4" s="47">
        <v>71</v>
      </c>
      <c r="D4" s="47">
        <v>100</v>
      </c>
      <c r="E4" s="47" t="s">
        <v>88</v>
      </c>
      <c r="F4" s="47" t="s">
        <v>88</v>
      </c>
      <c r="G4" s="47">
        <v>1</v>
      </c>
      <c r="H4" s="47" t="s">
        <v>88</v>
      </c>
      <c r="I4" s="47">
        <v>1463</v>
      </c>
      <c r="J4" s="48">
        <f t="shared" ref="J4" si="2">D4</f>
        <v>100</v>
      </c>
    </row>
    <row r="5" spans="1:11" ht="21" customHeight="1" x14ac:dyDescent="0.15">
      <c r="A5" s="121">
        <v>49015004</v>
      </c>
      <c r="B5" s="47">
        <v>1</v>
      </c>
      <c r="C5" s="47">
        <v>100</v>
      </c>
      <c r="D5" s="47">
        <v>100</v>
      </c>
      <c r="E5" s="47" t="s">
        <v>88</v>
      </c>
      <c r="F5" s="47" t="s">
        <v>88</v>
      </c>
      <c r="G5" s="47">
        <v>1</v>
      </c>
      <c r="H5" s="47" t="s">
        <v>88</v>
      </c>
      <c r="I5" s="47">
        <v>1464</v>
      </c>
      <c r="J5" s="48">
        <f t="shared" si="1"/>
        <v>100</v>
      </c>
    </row>
    <row r="6" spans="1:11" ht="21" customHeight="1" x14ac:dyDescent="0.15">
      <c r="A6" s="121">
        <v>49015005</v>
      </c>
      <c r="B6" s="47">
        <v>1</v>
      </c>
      <c r="C6" s="47">
        <v>101</v>
      </c>
      <c r="D6" s="47">
        <v>100</v>
      </c>
      <c r="E6" s="47" t="s">
        <v>88</v>
      </c>
      <c r="F6" s="47" t="s">
        <v>88</v>
      </c>
      <c r="G6" s="47">
        <v>1</v>
      </c>
      <c r="H6" s="47" t="s">
        <v>88</v>
      </c>
      <c r="I6" s="47">
        <v>1465</v>
      </c>
      <c r="J6" s="48">
        <f t="shared" ref="J6" si="3">D6</f>
        <v>100</v>
      </c>
    </row>
    <row r="7" spans="1:11" ht="21" customHeight="1" x14ac:dyDescent="0.15">
      <c r="A7" s="121">
        <v>49015006</v>
      </c>
      <c r="B7" s="47">
        <v>1</v>
      </c>
      <c r="C7" s="47">
        <v>90</v>
      </c>
      <c r="D7" s="47">
        <v>100</v>
      </c>
      <c r="E7" s="47" t="s">
        <v>88</v>
      </c>
      <c r="F7" s="47" t="s">
        <v>88</v>
      </c>
      <c r="G7" s="47">
        <v>1</v>
      </c>
      <c r="H7" s="47" t="s">
        <v>88</v>
      </c>
      <c r="I7" s="47">
        <v>1458</v>
      </c>
      <c r="J7" s="48">
        <f t="shared" ref="J7:J12" si="4">D7</f>
        <v>100</v>
      </c>
    </row>
    <row r="8" spans="1:11" ht="21" customHeight="1" x14ac:dyDescent="0.15">
      <c r="A8" s="121">
        <v>49015007</v>
      </c>
      <c r="B8" s="47">
        <v>1</v>
      </c>
      <c r="C8" s="47">
        <v>91</v>
      </c>
      <c r="D8" s="47">
        <v>100</v>
      </c>
      <c r="E8" s="47" t="s">
        <v>88</v>
      </c>
      <c r="F8" s="47" t="s">
        <v>88</v>
      </c>
      <c r="G8" s="47">
        <v>1</v>
      </c>
      <c r="H8" s="47" t="s">
        <v>88</v>
      </c>
      <c r="I8" s="47">
        <v>1459</v>
      </c>
      <c r="J8" s="48">
        <f t="shared" ref="J8" si="5">D8</f>
        <v>100</v>
      </c>
    </row>
    <row r="9" spans="1:11" ht="21" customHeight="1" x14ac:dyDescent="0.15">
      <c r="A9" s="121">
        <v>49015008</v>
      </c>
      <c r="B9" s="47">
        <v>1</v>
      </c>
      <c r="C9" s="47">
        <v>80</v>
      </c>
      <c r="D9" s="47">
        <v>100</v>
      </c>
      <c r="E9" s="47" t="s">
        <v>88</v>
      </c>
      <c r="F9" s="47" t="s">
        <v>88</v>
      </c>
      <c r="G9" s="47">
        <v>1</v>
      </c>
      <c r="H9" s="47" t="s">
        <v>88</v>
      </c>
      <c r="I9" s="47">
        <v>1460</v>
      </c>
      <c r="J9" s="48">
        <f t="shared" si="4"/>
        <v>100</v>
      </c>
    </row>
    <row r="10" spans="1:11" ht="21" customHeight="1" x14ac:dyDescent="0.15">
      <c r="A10" s="121">
        <v>49015009</v>
      </c>
      <c r="B10" s="47">
        <v>1</v>
      </c>
      <c r="C10" s="47">
        <v>81</v>
      </c>
      <c r="D10" s="47">
        <v>100</v>
      </c>
      <c r="E10" s="47" t="s">
        <v>88</v>
      </c>
      <c r="F10" s="47" t="s">
        <v>88</v>
      </c>
      <c r="G10" s="47">
        <v>1</v>
      </c>
      <c r="H10" s="47" t="s">
        <v>88</v>
      </c>
      <c r="I10" s="47">
        <v>1461</v>
      </c>
      <c r="J10" s="48">
        <f t="shared" ref="J10" si="6">D10</f>
        <v>100</v>
      </c>
    </row>
    <row r="11" spans="1:11" ht="21" customHeight="1" x14ac:dyDescent="0.15">
      <c r="A11" s="121">
        <v>49015010</v>
      </c>
      <c r="B11" s="47">
        <v>1</v>
      </c>
      <c r="C11" s="47">
        <v>40</v>
      </c>
      <c r="D11" s="47">
        <v>100</v>
      </c>
      <c r="E11" s="47" t="s">
        <v>88</v>
      </c>
      <c r="F11" s="47" t="s">
        <v>88</v>
      </c>
      <c r="G11" s="47">
        <v>1</v>
      </c>
      <c r="H11" s="47" t="s">
        <v>88</v>
      </c>
      <c r="I11" s="47">
        <v>1468</v>
      </c>
      <c r="J11" s="48">
        <f t="shared" si="4"/>
        <v>100</v>
      </c>
    </row>
    <row r="12" spans="1:11" ht="21" customHeight="1" x14ac:dyDescent="0.15">
      <c r="A12" s="121">
        <v>49015011</v>
      </c>
      <c r="B12" s="47">
        <v>1</v>
      </c>
      <c r="C12" s="47">
        <v>50</v>
      </c>
      <c r="D12" s="47">
        <v>100</v>
      </c>
      <c r="E12" s="47" t="s">
        <v>88</v>
      </c>
      <c r="F12" s="47" t="s">
        <v>88</v>
      </c>
      <c r="G12" s="47">
        <v>1</v>
      </c>
      <c r="H12" s="47" t="s">
        <v>88</v>
      </c>
      <c r="I12" s="47">
        <v>1470</v>
      </c>
      <c r="J12" s="48">
        <f t="shared" si="4"/>
        <v>100</v>
      </c>
    </row>
    <row r="13" spans="1:11" ht="21" customHeight="1" x14ac:dyDescent="0.15">
      <c r="A13" s="121">
        <v>49015012</v>
      </c>
      <c r="B13" s="47">
        <v>1</v>
      </c>
      <c r="C13" s="47">
        <v>60</v>
      </c>
      <c r="D13" s="47">
        <v>100</v>
      </c>
      <c r="E13" s="47" t="s">
        <v>88</v>
      </c>
      <c r="F13" s="47" t="s">
        <v>88</v>
      </c>
      <c r="G13" s="47">
        <v>1</v>
      </c>
      <c r="H13" s="47" t="s">
        <v>88</v>
      </c>
      <c r="I13" s="47">
        <v>1466</v>
      </c>
      <c r="J13" s="48">
        <f t="shared" ref="J13:J42" si="7">D13</f>
        <v>100</v>
      </c>
    </row>
    <row r="14" spans="1:11" ht="21" customHeight="1" x14ac:dyDescent="0.15">
      <c r="A14" s="121">
        <v>49015013</v>
      </c>
      <c r="B14" s="47">
        <v>1</v>
      </c>
      <c r="C14" s="47">
        <v>61</v>
      </c>
      <c r="D14" s="47">
        <v>100</v>
      </c>
      <c r="E14" s="47" t="s">
        <v>88</v>
      </c>
      <c r="F14" s="47" t="s">
        <v>88</v>
      </c>
      <c r="G14" s="47">
        <v>1</v>
      </c>
      <c r="H14" s="47" t="s">
        <v>88</v>
      </c>
      <c r="I14" s="47">
        <v>1467</v>
      </c>
      <c r="J14" s="48">
        <f t="shared" ref="J14" si="8">D14</f>
        <v>100</v>
      </c>
    </row>
    <row r="15" spans="1:11" ht="21" customHeight="1" x14ac:dyDescent="0.15">
      <c r="A15" s="121">
        <v>49015014</v>
      </c>
      <c r="B15" s="47">
        <v>0</v>
      </c>
      <c r="C15" s="47" t="s">
        <v>88</v>
      </c>
      <c r="D15" s="47">
        <v>50</v>
      </c>
      <c r="E15" s="47" t="s">
        <v>88</v>
      </c>
      <c r="F15" s="47" t="s">
        <v>88</v>
      </c>
      <c r="G15" s="47" t="s">
        <v>88</v>
      </c>
      <c r="H15" s="47" t="s">
        <v>88</v>
      </c>
      <c r="I15" s="47" t="s">
        <v>88</v>
      </c>
      <c r="J15" s="48">
        <f t="shared" si="7"/>
        <v>50</v>
      </c>
    </row>
    <row r="16" spans="1:11" ht="21" customHeight="1" x14ac:dyDescent="0.15">
      <c r="A16" s="121">
        <v>49015015</v>
      </c>
      <c r="B16" s="47">
        <v>0</v>
      </c>
      <c r="C16" s="47" t="s">
        <v>88</v>
      </c>
      <c r="D16" s="47">
        <v>100</v>
      </c>
      <c r="E16" s="47" t="s">
        <v>88</v>
      </c>
      <c r="F16" s="47" t="s">
        <v>88</v>
      </c>
      <c r="G16" s="47" t="s">
        <v>88</v>
      </c>
      <c r="H16" s="47" t="s">
        <v>88</v>
      </c>
      <c r="I16" s="47" t="s">
        <v>88</v>
      </c>
      <c r="J16" s="48">
        <f t="shared" si="7"/>
        <v>100</v>
      </c>
    </row>
    <row r="17" spans="1:10" ht="21" customHeight="1" thickBot="1" x14ac:dyDescent="0.2">
      <c r="A17" s="122">
        <v>49015016</v>
      </c>
      <c r="B17" s="111">
        <v>0</v>
      </c>
      <c r="C17" s="111" t="s">
        <v>88</v>
      </c>
      <c r="D17" s="111">
        <v>100</v>
      </c>
      <c r="E17" s="111" t="s">
        <v>88</v>
      </c>
      <c r="F17" s="111" t="s">
        <v>88</v>
      </c>
      <c r="G17" s="111" t="s">
        <v>88</v>
      </c>
      <c r="H17" s="111">
        <v>4</v>
      </c>
      <c r="I17" s="111" t="s">
        <v>88</v>
      </c>
      <c r="J17" s="114">
        <f t="shared" si="7"/>
        <v>100</v>
      </c>
    </row>
    <row r="18" spans="1:10" ht="21" customHeight="1" x14ac:dyDescent="0.15">
      <c r="A18" s="123">
        <v>49015017</v>
      </c>
      <c r="B18" s="106">
        <v>1</v>
      </c>
      <c r="C18" s="106">
        <v>100</v>
      </c>
      <c r="D18" s="106">
        <v>100</v>
      </c>
      <c r="E18" s="106" t="s">
        <v>88</v>
      </c>
      <c r="F18" s="106" t="s">
        <v>88</v>
      </c>
      <c r="G18" s="106">
        <v>1</v>
      </c>
      <c r="H18" s="106" t="s">
        <v>88</v>
      </c>
      <c r="I18" s="106" t="s">
        <v>88</v>
      </c>
      <c r="J18" s="109">
        <f t="shared" si="7"/>
        <v>100</v>
      </c>
    </row>
    <row r="19" spans="1:10" ht="21" customHeight="1" x14ac:dyDescent="0.15">
      <c r="A19" s="121">
        <v>49015018</v>
      </c>
      <c r="B19" s="47">
        <v>0</v>
      </c>
      <c r="C19" s="47">
        <v>90</v>
      </c>
      <c r="D19" s="47">
        <v>50</v>
      </c>
      <c r="E19" s="47" t="s">
        <v>88</v>
      </c>
      <c r="F19" s="47" t="s">
        <v>88</v>
      </c>
      <c r="G19" s="47" t="s">
        <v>88</v>
      </c>
      <c r="H19" s="47" t="s">
        <v>88</v>
      </c>
      <c r="I19" s="47" t="s">
        <v>88</v>
      </c>
      <c r="J19" s="48">
        <f t="shared" si="7"/>
        <v>50</v>
      </c>
    </row>
    <row r="20" spans="1:10" ht="21" customHeight="1" x14ac:dyDescent="0.15">
      <c r="A20" s="121">
        <v>49015019</v>
      </c>
      <c r="B20" s="47">
        <v>0</v>
      </c>
      <c r="C20" s="47">
        <v>80</v>
      </c>
      <c r="D20" s="47">
        <v>100</v>
      </c>
      <c r="E20" s="47" t="s">
        <v>88</v>
      </c>
      <c r="F20" s="47" t="s">
        <v>88</v>
      </c>
      <c r="G20" s="47" t="s">
        <v>88</v>
      </c>
      <c r="H20" s="47" t="s">
        <v>88</v>
      </c>
      <c r="I20" s="47" t="s">
        <v>88</v>
      </c>
      <c r="J20" s="48">
        <f t="shared" si="7"/>
        <v>100</v>
      </c>
    </row>
    <row r="21" spans="1:10" ht="21" customHeight="1" x14ac:dyDescent="0.15">
      <c r="A21" s="121">
        <v>49015020</v>
      </c>
      <c r="B21" s="47">
        <v>0</v>
      </c>
      <c r="C21" s="47">
        <v>70</v>
      </c>
      <c r="D21" s="47">
        <v>100</v>
      </c>
      <c r="E21" s="47" t="s">
        <v>88</v>
      </c>
      <c r="F21" s="47" t="s">
        <v>88</v>
      </c>
      <c r="G21" s="47" t="s">
        <v>88</v>
      </c>
      <c r="H21" s="47">
        <v>3</v>
      </c>
      <c r="I21" s="47" t="s">
        <v>88</v>
      </c>
      <c r="J21" s="48">
        <f t="shared" si="7"/>
        <v>100</v>
      </c>
    </row>
    <row r="22" spans="1:10" ht="21" customHeight="1" thickBot="1" x14ac:dyDescent="0.2">
      <c r="A22" s="122">
        <v>49015021</v>
      </c>
      <c r="B22" s="111">
        <v>0</v>
      </c>
      <c r="C22" s="111">
        <v>200</v>
      </c>
      <c r="D22" s="111">
        <v>100</v>
      </c>
      <c r="E22" s="111">
        <v>75</v>
      </c>
      <c r="F22" s="111" t="s">
        <v>88</v>
      </c>
      <c r="G22" s="111">
        <v>1</v>
      </c>
      <c r="H22" s="111">
        <v>1</v>
      </c>
      <c r="I22" s="111" t="s">
        <v>88</v>
      </c>
      <c r="J22" s="114">
        <f t="shared" si="7"/>
        <v>100</v>
      </c>
    </row>
    <row r="23" spans="1:10" ht="21" customHeight="1" x14ac:dyDescent="0.15">
      <c r="A23" s="124">
        <v>49015022</v>
      </c>
      <c r="B23" s="106">
        <v>1</v>
      </c>
      <c r="C23" s="47">
        <v>35</v>
      </c>
      <c r="D23" s="106">
        <v>100</v>
      </c>
      <c r="E23" s="106" t="s">
        <v>88</v>
      </c>
      <c r="F23" s="106" t="s">
        <v>88</v>
      </c>
      <c r="G23" s="106">
        <v>1</v>
      </c>
      <c r="H23" s="106" t="s">
        <v>88</v>
      </c>
      <c r="I23" s="106" t="s">
        <v>88</v>
      </c>
      <c r="J23" s="109">
        <f t="shared" si="7"/>
        <v>100</v>
      </c>
    </row>
    <row r="24" spans="1:10" ht="21" customHeight="1" x14ac:dyDescent="0.15">
      <c r="A24" s="124">
        <v>49015023</v>
      </c>
      <c r="B24" s="47">
        <v>1</v>
      </c>
      <c r="C24" s="47">
        <v>90</v>
      </c>
      <c r="D24" s="47">
        <v>100</v>
      </c>
      <c r="E24" s="47" t="s">
        <v>88</v>
      </c>
      <c r="F24" s="47" t="s">
        <v>88</v>
      </c>
      <c r="G24" s="47">
        <v>1</v>
      </c>
      <c r="H24" s="47" t="s">
        <v>88</v>
      </c>
      <c r="I24" s="47">
        <v>1462</v>
      </c>
      <c r="J24" s="48">
        <f t="shared" si="7"/>
        <v>100</v>
      </c>
    </row>
    <row r="25" spans="1:10" ht="21" customHeight="1" x14ac:dyDescent="0.15">
      <c r="A25" s="124">
        <v>49015024</v>
      </c>
      <c r="B25" s="47">
        <v>1</v>
      </c>
      <c r="C25" s="47">
        <v>91</v>
      </c>
      <c r="D25" s="47">
        <v>100</v>
      </c>
      <c r="E25" s="47" t="s">
        <v>88</v>
      </c>
      <c r="F25" s="47" t="s">
        <v>88</v>
      </c>
      <c r="G25" s="47">
        <v>1</v>
      </c>
      <c r="H25" s="47" t="s">
        <v>88</v>
      </c>
      <c r="I25" s="47">
        <v>1463</v>
      </c>
      <c r="J25" s="48">
        <f t="shared" ref="J25" si="9">D25</f>
        <v>100</v>
      </c>
    </row>
    <row r="26" spans="1:10" ht="21" customHeight="1" x14ac:dyDescent="0.15">
      <c r="A26" s="124">
        <v>49015025</v>
      </c>
      <c r="B26" s="47">
        <v>1</v>
      </c>
      <c r="C26" s="47">
        <v>80</v>
      </c>
      <c r="D26" s="47">
        <v>100</v>
      </c>
      <c r="E26" s="47" t="s">
        <v>88</v>
      </c>
      <c r="F26" s="47" t="s">
        <v>88</v>
      </c>
      <c r="G26" s="47">
        <v>1</v>
      </c>
      <c r="H26" s="47" t="s">
        <v>88</v>
      </c>
      <c r="I26" s="47">
        <v>1464</v>
      </c>
      <c r="J26" s="48">
        <f t="shared" si="7"/>
        <v>100</v>
      </c>
    </row>
    <row r="27" spans="1:10" ht="21" customHeight="1" x14ac:dyDescent="0.15">
      <c r="A27" s="124">
        <v>49015026</v>
      </c>
      <c r="B27" s="47">
        <v>1</v>
      </c>
      <c r="C27" s="47">
        <v>81</v>
      </c>
      <c r="D27" s="47">
        <v>100</v>
      </c>
      <c r="E27" s="47" t="s">
        <v>88</v>
      </c>
      <c r="F27" s="47" t="s">
        <v>88</v>
      </c>
      <c r="G27" s="47">
        <v>1</v>
      </c>
      <c r="H27" s="47" t="s">
        <v>88</v>
      </c>
      <c r="I27" s="47">
        <v>1465</v>
      </c>
      <c r="J27" s="48">
        <f t="shared" ref="J27" si="10">D27</f>
        <v>100</v>
      </c>
    </row>
    <row r="28" spans="1:10" ht="21" customHeight="1" x14ac:dyDescent="0.15">
      <c r="A28" s="124">
        <v>49015027</v>
      </c>
      <c r="B28" s="47">
        <v>1</v>
      </c>
      <c r="C28" s="47">
        <v>100</v>
      </c>
      <c r="D28" s="47">
        <v>100</v>
      </c>
      <c r="E28" s="47" t="s">
        <v>88</v>
      </c>
      <c r="F28" s="47" t="s">
        <v>88</v>
      </c>
      <c r="G28" s="47">
        <v>1</v>
      </c>
      <c r="H28" s="47" t="s">
        <v>88</v>
      </c>
      <c r="I28" s="47">
        <v>1458</v>
      </c>
      <c r="J28" s="48">
        <f t="shared" si="7"/>
        <v>100</v>
      </c>
    </row>
    <row r="29" spans="1:10" ht="21" customHeight="1" x14ac:dyDescent="0.15">
      <c r="A29" s="124">
        <v>49015028</v>
      </c>
      <c r="B29" s="47">
        <v>1</v>
      </c>
      <c r="C29" s="47">
        <v>101</v>
      </c>
      <c r="D29" s="47">
        <v>100</v>
      </c>
      <c r="E29" s="47" t="s">
        <v>88</v>
      </c>
      <c r="F29" s="47" t="s">
        <v>88</v>
      </c>
      <c r="G29" s="47">
        <v>1</v>
      </c>
      <c r="H29" s="47" t="s">
        <v>88</v>
      </c>
      <c r="I29" s="47">
        <v>1459</v>
      </c>
      <c r="J29" s="48">
        <f t="shared" ref="J29" si="11">D29</f>
        <v>100</v>
      </c>
    </row>
    <row r="30" spans="1:10" ht="21" customHeight="1" x14ac:dyDescent="0.15">
      <c r="A30" s="124">
        <v>49015029</v>
      </c>
      <c r="B30" s="47">
        <v>1</v>
      </c>
      <c r="C30" s="47">
        <v>60</v>
      </c>
      <c r="D30" s="47">
        <v>100</v>
      </c>
      <c r="E30" s="47" t="s">
        <v>88</v>
      </c>
      <c r="F30" s="47" t="s">
        <v>88</v>
      </c>
      <c r="G30" s="47">
        <v>1</v>
      </c>
      <c r="H30" s="47" t="s">
        <v>88</v>
      </c>
      <c r="I30" s="47">
        <v>1460</v>
      </c>
      <c r="J30" s="48">
        <f t="shared" si="7"/>
        <v>100</v>
      </c>
    </row>
    <row r="31" spans="1:10" ht="21" customHeight="1" x14ac:dyDescent="0.15">
      <c r="A31" s="124">
        <v>49015030</v>
      </c>
      <c r="B31" s="47">
        <v>1</v>
      </c>
      <c r="C31" s="47">
        <v>61</v>
      </c>
      <c r="D31" s="47">
        <v>100</v>
      </c>
      <c r="E31" s="47" t="s">
        <v>88</v>
      </c>
      <c r="F31" s="47" t="s">
        <v>88</v>
      </c>
      <c r="G31" s="47">
        <v>1</v>
      </c>
      <c r="H31" s="47" t="s">
        <v>88</v>
      </c>
      <c r="I31" s="47">
        <v>1461</v>
      </c>
      <c r="J31" s="48">
        <f t="shared" ref="J31" si="12">D31</f>
        <v>100</v>
      </c>
    </row>
    <row r="32" spans="1:10" ht="21" customHeight="1" x14ac:dyDescent="0.15">
      <c r="A32" s="124">
        <v>49015031</v>
      </c>
      <c r="B32" s="47">
        <v>1</v>
      </c>
      <c r="C32" s="47">
        <v>40</v>
      </c>
      <c r="D32" s="47">
        <v>100</v>
      </c>
      <c r="E32" s="47" t="s">
        <v>88</v>
      </c>
      <c r="F32" s="47" t="s">
        <v>88</v>
      </c>
      <c r="G32" s="47">
        <v>1</v>
      </c>
      <c r="H32" s="47" t="s">
        <v>88</v>
      </c>
      <c r="I32" s="47">
        <v>1469</v>
      </c>
      <c r="J32" s="48">
        <f t="shared" si="7"/>
        <v>100</v>
      </c>
    </row>
    <row r="33" spans="1:10" ht="21" customHeight="1" x14ac:dyDescent="0.15">
      <c r="A33" s="124">
        <v>49015032</v>
      </c>
      <c r="B33" s="47">
        <v>1</v>
      </c>
      <c r="C33" s="47">
        <v>50</v>
      </c>
      <c r="D33" s="47">
        <v>100</v>
      </c>
      <c r="E33" s="47" t="s">
        <v>88</v>
      </c>
      <c r="F33" s="47" t="s">
        <v>88</v>
      </c>
      <c r="G33" s="47">
        <v>1</v>
      </c>
      <c r="H33" s="47" t="s">
        <v>88</v>
      </c>
      <c r="I33" s="47">
        <v>1470</v>
      </c>
      <c r="J33" s="48">
        <f t="shared" si="7"/>
        <v>100</v>
      </c>
    </row>
    <row r="34" spans="1:10" ht="21" customHeight="1" x14ac:dyDescent="0.15">
      <c r="A34" s="124">
        <v>49015033</v>
      </c>
      <c r="B34" s="47">
        <v>1</v>
      </c>
      <c r="C34" s="47">
        <v>70</v>
      </c>
      <c r="D34" s="47">
        <v>100</v>
      </c>
      <c r="E34" s="47" t="s">
        <v>88</v>
      </c>
      <c r="F34" s="47" t="s">
        <v>88</v>
      </c>
      <c r="G34" s="47">
        <v>1</v>
      </c>
      <c r="H34" s="47" t="s">
        <v>88</v>
      </c>
      <c r="I34" s="47">
        <v>1466</v>
      </c>
      <c r="J34" s="48">
        <f t="shared" si="7"/>
        <v>100</v>
      </c>
    </row>
    <row r="35" spans="1:10" ht="21" customHeight="1" x14ac:dyDescent="0.15">
      <c r="A35" s="124">
        <v>49015034</v>
      </c>
      <c r="B35" s="47">
        <v>1</v>
      </c>
      <c r="C35" s="47">
        <v>71</v>
      </c>
      <c r="D35" s="47">
        <v>100</v>
      </c>
      <c r="E35" s="47" t="s">
        <v>88</v>
      </c>
      <c r="F35" s="47" t="s">
        <v>88</v>
      </c>
      <c r="G35" s="47">
        <v>1</v>
      </c>
      <c r="H35" s="47" t="s">
        <v>88</v>
      </c>
      <c r="I35" s="47">
        <v>1467</v>
      </c>
      <c r="J35" s="48">
        <f t="shared" ref="J35" si="13">D35</f>
        <v>100</v>
      </c>
    </row>
    <row r="36" spans="1:10" ht="21" customHeight="1" x14ac:dyDescent="0.15">
      <c r="A36" s="124">
        <v>49015035</v>
      </c>
      <c r="B36" s="47">
        <v>0</v>
      </c>
      <c r="C36" s="47">
        <v>20</v>
      </c>
      <c r="D36" s="47">
        <v>50</v>
      </c>
      <c r="E36" s="47" t="s">
        <v>88</v>
      </c>
      <c r="F36" s="47" t="s">
        <v>88</v>
      </c>
      <c r="G36" s="47" t="s">
        <v>88</v>
      </c>
      <c r="H36" s="47" t="s">
        <v>88</v>
      </c>
      <c r="I36" s="47" t="s">
        <v>88</v>
      </c>
      <c r="J36" s="48">
        <f t="shared" si="7"/>
        <v>50</v>
      </c>
    </row>
    <row r="37" spans="1:10" ht="21" customHeight="1" x14ac:dyDescent="0.15">
      <c r="A37" s="124">
        <v>49015036</v>
      </c>
      <c r="B37" s="47">
        <v>0</v>
      </c>
      <c r="C37" s="47">
        <v>10</v>
      </c>
      <c r="D37" s="47">
        <v>100</v>
      </c>
      <c r="E37" s="47" t="s">
        <v>88</v>
      </c>
      <c r="F37" s="47" t="s">
        <v>88</v>
      </c>
      <c r="G37" s="47" t="s">
        <v>88</v>
      </c>
      <c r="H37" s="47" t="s">
        <v>88</v>
      </c>
      <c r="I37" s="47" t="s">
        <v>88</v>
      </c>
      <c r="J37" s="48">
        <f t="shared" si="7"/>
        <v>100</v>
      </c>
    </row>
    <row r="38" spans="1:10" ht="21" customHeight="1" x14ac:dyDescent="0.15">
      <c r="A38" s="124">
        <v>49015037</v>
      </c>
      <c r="B38" s="47">
        <v>0</v>
      </c>
      <c r="C38" s="47">
        <v>25</v>
      </c>
      <c r="D38" s="47">
        <v>100</v>
      </c>
      <c r="E38" s="47" t="s">
        <v>88</v>
      </c>
      <c r="F38" s="47" t="s">
        <v>88</v>
      </c>
      <c r="G38" s="47" t="s">
        <v>88</v>
      </c>
      <c r="H38" s="47">
        <v>3</v>
      </c>
      <c r="I38" s="47" t="s">
        <v>88</v>
      </c>
      <c r="J38" s="48">
        <f t="shared" si="7"/>
        <v>100</v>
      </c>
    </row>
    <row r="39" spans="1:10" ht="21" customHeight="1" thickBot="1" x14ac:dyDescent="0.2">
      <c r="A39" s="125">
        <v>49015038</v>
      </c>
      <c r="B39" s="111">
        <v>0</v>
      </c>
      <c r="C39" s="111">
        <v>30</v>
      </c>
      <c r="D39" s="111">
        <v>100</v>
      </c>
      <c r="E39" s="111" t="s">
        <v>88</v>
      </c>
      <c r="F39" s="111" t="s">
        <v>88</v>
      </c>
      <c r="G39" s="111" t="s">
        <v>88</v>
      </c>
      <c r="H39" s="111">
        <v>4</v>
      </c>
      <c r="I39" s="111" t="s">
        <v>88</v>
      </c>
      <c r="J39" s="114">
        <f t="shared" si="7"/>
        <v>100</v>
      </c>
    </row>
    <row r="40" spans="1:10" ht="21" customHeight="1" x14ac:dyDescent="0.15">
      <c r="A40" s="124">
        <v>49015039</v>
      </c>
      <c r="B40" s="106">
        <v>1</v>
      </c>
      <c r="C40" s="106">
        <v>90</v>
      </c>
      <c r="D40" s="106">
        <v>100</v>
      </c>
      <c r="E40" s="106" t="s">
        <v>88</v>
      </c>
      <c r="F40" s="106" t="s">
        <v>88</v>
      </c>
      <c r="G40" s="106">
        <v>1</v>
      </c>
      <c r="H40" s="106" t="s">
        <v>88</v>
      </c>
      <c r="I40" s="106" t="s">
        <v>88</v>
      </c>
      <c r="J40" s="109">
        <f t="shared" si="7"/>
        <v>100</v>
      </c>
    </row>
    <row r="41" spans="1:10" ht="21" customHeight="1" x14ac:dyDescent="0.15">
      <c r="A41" s="124">
        <v>49015040</v>
      </c>
      <c r="B41" s="47">
        <v>0</v>
      </c>
      <c r="C41" s="47">
        <v>70</v>
      </c>
      <c r="D41" s="47">
        <v>50</v>
      </c>
      <c r="E41" s="47" t="s">
        <v>88</v>
      </c>
      <c r="F41" s="47" t="s">
        <v>88</v>
      </c>
      <c r="G41" s="47" t="s">
        <v>88</v>
      </c>
      <c r="H41" s="47" t="s">
        <v>88</v>
      </c>
      <c r="I41" s="47" t="s">
        <v>88</v>
      </c>
      <c r="J41" s="48">
        <f t="shared" si="7"/>
        <v>50</v>
      </c>
    </row>
    <row r="42" spans="1:10" ht="21" customHeight="1" x14ac:dyDescent="0.15">
      <c r="A42" s="124">
        <v>49015041</v>
      </c>
      <c r="B42" s="47">
        <v>0</v>
      </c>
      <c r="C42" s="47">
        <v>60</v>
      </c>
      <c r="D42" s="47">
        <v>100</v>
      </c>
      <c r="E42" s="47" t="s">
        <v>88</v>
      </c>
      <c r="F42" s="47" t="s">
        <v>88</v>
      </c>
      <c r="G42" s="47" t="s">
        <v>88</v>
      </c>
      <c r="H42" s="47" t="s">
        <v>88</v>
      </c>
      <c r="I42" s="47" t="s">
        <v>88</v>
      </c>
      <c r="J42" s="48">
        <f t="shared" si="7"/>
        <v>100</v>
      </c>
    </row>
    <row r="43" spans="1:10" ht="21" customHeight="1" x14ac:dyDescent="0.15">
      <c r="A43" s="124">
        <v>49015042</v>
      </c>
      <c r="B43" s="47">
        <v>0</v>
      </c>
      <c r="C43" s="47">
        <v>80</v>
      </c>
      <c r="D43" s="47">
        <v>100</v>
      </c>
      <c r="E43" s="47" t="s">
        <v>88</v>
      </c>
      <c r="F43" s="47" t="s">
        <v>88</v>
      </c>
      <c r="G43" s="47" t="s">
        <v>88</v>
      </c>
      <c r="H43" s="47">
        <v>2</v>
      </c>
      <c r="I43" s="47" t="s">
        <v>88</v>
      </c>
      <c r="J43" s="48">
        <f t="shared" ref="J43:J122" si="14">D43</f>
        <v>100</v>
      </c>
    </row>
    <row r="44" spans="1:10" ht="21" customHeight="1" thickBot="1" x14ac:dyDescent="0.2">
      <c r="A44" s="125">
        <v>49015043</v>
      </c>
      <c r="B44" s="111">
        <v>0</v>
      </c>
      <c r="C44" s="111">
        <v>100</v>
      </c>
      <c r="D44" s="111">
        <v>100</v>
      </c>
      <c r="E44" s="111">
        <v>60</v>
      </c>
      <c r="F44" s="111" t="s">
        <v>88</v>
      </c>
      <c r="G44" s="111">
        <v>1</v>
      </c>
      <c r="H44" s="111">
        <v>1</v>
      </c>
      <c r="I44" s="111" t="s">
        <v>88</v>
      </c>
      <c r="J44" s="114">
        <f t="shared" si="14"/>
        <v>100</v>
      </c>
    </row>
    <row r="45" spans="1:10" ht="21" customHeight="1" x14ac:dyDescent="0.15">
      <c r="A45" s="124">
        <v>49015044</v>
      </c>
      <c r="B45" s="106">
        <v>1</v>
      </c>
      <c r="C45" s="106" t="s">
        <v>88</v>
      </c>
      <c r="D45" s="106">
        <v>100</v>
      </c>
      <c r="E45" s="106" t="s">
        <v>88</v>
      </c>
      <c r="F45" s="106" t="s">
        <v>88</v>
      </c>
      <c r="G45" s="106">
        <v>1</v>
      </c>
      <c r="H45" s="106" t="s">
        <v>88</v>
      </c>
      <c r="I45" s="106" t="s">
        <v>88</v>
      </c>
      <c r="J45" s="109">
        <f t="shared" si="14"/>
        <v>100</v>
      </c>
    </row>
    <row r="46" spans="1:10" ht="21" customHeight="1" x14ac:dyDescent="0.15">
      <c r="A46" s="124">
        <v>49015045</v>
      </c>
      <c r="B46" s="47">
        <v>0</v>
      </c>
      <c r="C46" s="47">
        <v>20</v>
      </c>
      <c r="D46" s="47">
        <v>30</v>
      </c>
      <c r="E46" s="47" t="s">
        <v>88</v>
      </c>
      <c r="F46" s="47" t="s">
        <v>88</v>
      </c>
      <c r="G46" s="47" t="s">
        <v>88</v>
      </c>
      <c r="H46" s="47" t="s">
        <v>88</v>
      </c>
      <c r="I46" s="47" t="s">
        <v>88</v>
      </c>
      <c r="J46" s="48">
        <f t="shared" si="14"/>
        <v>30</v>
      </c>
    </row>
    <row r="47" spans="1:10" ht="21" customHeight="1" x14ac:dyDescent="0.15">
      <c r="A47" s="124">
        <v>49015046</v>
      </c>
      <c r="B47" s="47">
        <v>0</v>
      </c>
      <c r="C47" s="47">
        <v>15</v>
      </c>
      <c r="D47" s="47">
        <v>50</v>
      </c>
      <c r="E47" s="47" t="s">
        <v>88</v>
      </c>
      <c r="F47" s="47" t="s">
        <v>88</v>
      </c>
      <c r="G47" s="47" t="s">
        <v>88</v>
      </c>
      <c r="H47" s="47" t="s">
        <v>88</v>
      </c>
      <c r="I47" s="47" t="s">
        <v>88</v>
      </c>
      <c r="J47" s="48">
        <f t="shared" si="14"/>
        <v>50</v>
      </c>
    </row>
    <row r="48" spans="1:10" ht="21" customHeight="1" x14ac:dyDescent="0.15">
      <c r="A48" s="124">
        <v>49015047</v>
      </c>
      <c r="B48" s="47">
        <v>0</v>
      </c>
      <c r="C48" s="47">
        <v>10</v>
      </c>
      <c r="D48" s="47">
        <v>100</v>
      </c>
      <c r="E48" s="47" t="s">
        <v>88</v>
      </c>
      <c r="F48" s="47" t="s">
        <v>88</v>
      </c>
      <c r="G48" s="47" t="s">
        <v>88</v>
      </c>
      <c r="H48" s="47" t="s">
        <v>88</v>
      </c>
      <c r="I48" s="47" t="s">
        <v>88</v>
      </c>
      <c r="J48" s="48">
        <f t="shared" si="14"/>
        <v>100</v>
      </c>
    </row>
    <row r="49" spans="1:11" ht="21" customHeight="1" x14ac:dyDescent="0.15">
      <c r="A49" s="124">
        <v>49015048</v>
      </c>
      <c r="B49" s="47">
        <v>0</v>
      </c>
      <c r="C49" s="47">
        <v>30</v>
      </c>
      <c r="D49" s="47">
        <v>100</v>
      </c>
      <c r="E49" s="47" t="s">
        <v>88</v>
      </c>
      <c r="F49" s="47" t="s">
        <v>88</v>
      </c>
      <c r="G49" s="47" t="s">
        <v>88</v>
      </c>
      <c r="H49" s="47">
        <v>3</v>
      </c>
      <c r="I49" s="47" t="s">
        <v>88</v>
      </c>
      <c r="J49" s="48">
        <f t="shared" si="14"/>
        <v>100</v>
      </c>
    </row>
    <row r="50" spans="1:11" ht="21" customHeight="1" x14ac:dyDescent="0.15">
      <c r="A50" s="124">
        <v>49015049</v>
      </c>
      <c r="B50" s="47">
        <v>0</v>
      </c>
      <c r="C50" s="47">
        <v>35</v>
      </c>
      <c r="D50" s="47">
        <v>100</v>
      </c>
      <c r="E50" s="47" t="s">
        <v>88</v>
      </c>
      <c r="F50" s="47" t="s">
        <v>88</v>
      </c>
      <c r="G50" s="47">
        <v>0</v>
      </c>
      <c r="H50" s="47" t="s">
        <v>88</v>
      </c>
      <c r="I50" s="47">
        <v>0</v>
      </c>
      <c r="J50" s="48">
        <f t="shared" si="14"/>
        <v>100</v>
      </c>
    </row>
    <row r="51" spans="1:11" ht="21" customHeight="1" x14ac:dyDescent="0.15">
      <c r="A51" s="124">
        <v>49015050</v>
      </c>
      <c r="B51" s="47">
        <v>0</v>
      </c>
      <c r="C51" s="47">
        <v>90</v>
      </c>
      <c r="D51" s="47">
        <v>100</v>
      </c>
      <c r="E51" s="47" t="s">
        <v>88</v>
      </c>
      <c r="F51" s="47" t="s">
        <v>88</v>
      </c>
      <c r="G51" s="47">
        <v>0</v>
      </c>
      <c r="H51" s="47" t="s">
        <v>88</v>
      </c>
      <c r="I51" s="47">
        <v>1462</v>
      </c>
      <c r="J51" s="48">
        <f t="shared" si="14"/>
        <v>100</v>
      </c>
    </row>
    <row r="52" spans="1:11" ht="21" customHeight="1" x14ac:dyDescent="0.15">
      <c r="A52" s="124">
        <v>49015051</v>
      </c>
      <c r="B52" s="47">
        <v>0</v>
      </c>
      <c r="C52" s="47">
        <v>91</v>
      </c>
      <c r="D52" s="47">
        <v>100</v>
      </c>
      <c r="E52" s="47" t="s">
        <v>88</v>
      </c>
      <c r="F52" s="47" t="s">
        <v>88</v>
      </c>
      <c r="G52" s="47">
        <v>0</v>
      </c>
      <c r="H52" s="47" t="s">
        <v>88</v>
      </c>
      <c r="I52" s="47">
        <v>1463</v>
      </c>
      <c r="J52" s="48">
        <f t="shared" ref="J52" si="15">D52</f>
        <v>100</v>
      </c>
    </row>
    <row r="53" spans="1:11" ht="21" customHeight="1" x14ac:dyDescent="0.15">
      <c r="A53" s="124">
        <v>49015052</v>
      </c>
      <c r="B53" s="47">
        <v>0</v>
      </c>
      <c r="C53" s="47">
        <v>80</v>
      </c>
      <c r="D53" s="47">
        <v>100</v>
      </c>
      <c r="E53" s="47" t="s">
        <v>88</v>
      </c>
      <c r="F53" s="47" t="s">
        <v>88</v>
      </c>
      <c r="G53" s="47">
        <v>0</v>
      </c>
      <c r="H53" s="47" t="s">
        <v>88</v>
      </c>
      <c r="I53" s="47">
        <v>1464</v>
      </c>
      <c r="J53" s="48">
        <f t="shared" si="14"/>
        <v>100</v>
      </c>
    </row>
    <row r="54" spans="1:11" ht="21" customHeight="1" x14ac:dyDescent="0.15">
      <c r="A54" s="124">
        <v>49015053</v>
      </c>
      <c r="B54" s="47">
        <v>0</v>
      </c>
      <c r="C54" s="47">
        <v>81</v>
      </c>
      <c r="D54" s="47">
        <v>100</v>
      </c>
      <c r="E54" s="47" t="s">
        <v>88</v>
      </c>
      <c r="F54" s="47" t="s">
        <v>88</v>
      </c>
      <c r="G54" s="47">
        <v>0</v>
      </c>
      <c r="H54" s="47" t="s">
        <v>88</v>
      </c>
      <c r="I54" s="47">
        <v>1465</v>
      </c>
      <c r="J54" s="48">
        <f t="shared" ref="J54" si="16">D54</f>
        <v>100</v>
      </c>
    </row>
    <row r="55" spans="1:11" ht="21" customHeight="1" x14ac:dyDescent="0.15">
      <c r="A55" s="124">
        <v>49015054</v>
      </c>
      <c r="B55" s="47">
        <v>0</v>
      </c>
      <c r="C55" s="47">
        <v>100</v>
      </c>
      <c r="D55" s="47">
        <v>100</v>
      </c>
      <c r="E55" s="47" t="s">
        <v>88</v>
      </c>
      <c r="F55" s="47" t="s">
        <v>88</v>
      </c>
      <c r="G55" s="47">
        <v>0</v>
      </c>
      <c r="H55" s="47" t="s">
        <v>88</v>
      </c>
      <c r="I55" s="47">
        <v>1458</v>
      </c>
      <c r="J55" s="48">
        <f t="shared" si="14"/>
        <v>100</v>
      </c>
    </row>
    <row r="56" spans="1:11" ht="21" customHeight="1" x14ac:dyDescent="0.15">
      <c r="A56" s="124">
        <v>49015055</v>
      </c>
      <c r="B56" s="47">
        <v>0</v>
      </c>
      <c r="C56" s="47">
        <v>101</v>
      </c>
      <c r="D56" s="47">
        <v>100</v>
      </c>
      <c r="E56" s="47" t="s">
        <v>88</v>
      </c>
      <c r="F56" s="47" t="s">
        <v>88</v>
      </c>
      <c r="G56" s="47">
        <v>0</v>
      </c>
      <c r="H56" s="47" t="s">
        <v>88</v>
      </c>
      <c r="I56" s="47">
        <v>1459</v>
      </c>
      <c r="J56" s="48">
        <f t="shared" ref="J56" si="17">D56</f>
        <v>100</v>
      </c>
    </row>
    <row r="57" spans="1:11" ht="21" customHeight="1" x14ac:dyDescent="0.15">
      <c r="A57" s="124">
        <v>49015056</v>
      </c>
      <c r="B57" s="47">
        <v>0</v>
      </c>
      <c r="C57" s="47">
        <v>60</v>
      </c>
      <c r="D57" s="47">
        <v>100</v>
      </c>
      <c r="E57" s="47" t="s">
        <v>88</v>
      </c>
      <c r="F57" s="47" t="s">
        <v>88</v>
      </c>
      <c r="G57" s="47">
        <v>0</v>
      </c>
      <c r="H57" s="47" t="s">
        <v>88</v>
      </c>
      <c r="I57" s="47">
        <v>1460</v>
      </c>
      <c r="J57" s="48">
        <f t="shared" si="14"/>
        <v>100</v>
      </c>
    </row>
    <row r="58" spans="1:11" ht="21" customHeight="1" x14ac:dyDescent="0.15">
      <c r="A58" s="124">
        <v>49015057</v>
      </c>
      <c r="B58" s="47">
        <v>0</v>
      </c>
      <c r="C58" s="47">
        <v>61</v>
      </c>
      <c r="D58" s="47">
        <v>100</v>
      </c>
      <c r="E58" s="47" t="s">
        <v>88</v>
      </c>
      <c r="F58" s="47" t="s">
        <v>88</v>
      </c>
      <c r="G58" s="47">
        <v>0</v>
      </c>
      <c r="H58" s="47" t="s">
        <v>88</v>
      </c>
      <c r="I58" s="47">
        <v>1461</v>
      </c>
      <c r="J58" s="48">
        <f t="shared" ref="J58" si="18">D58</f>
        <v>100</v>
      </c>
    </row>
    <row r="59" spans="1:11" ht="21" customHeight="1" x14ac:dyDescent="0.15">
      <c r="A59" s="124">
        <v>49015058</v>
      </c>
      <c r="B59" s="47">
        <v>0</v>
      </c>
      <c r="C59" s="47">
        <v>40</v>
      </c>
      <c r="D59" s="47">
        <v>100</v>
      </c>
      <c r="E59" s="47" t="s">
        <v>88</v>
      </c>
      <c r="F59" s="47" t="s">
        <v>88</v>
      </c>
      <c r="G59" s="47">
        <v>0</v>
      </c>
      <c r="H59" s="47" t="s">
        <v>88</v>
      </c>
      <c r="I59" s="47">
        <v>1469</v>
      </c>
      <c r="J59" s="48">
        <f t="shared" si="14"/>
        <v>100</v>
      </c>
    </row>
    <row r="60" spans="1:11" ht="21" customHeight="1" x14ac:dyDescent="0.15">
      <c r="A60" s="124">
        <v>49015059</v>
      </c>
      <c r="B60" s="47">
        <v>0</v>
      </c>
      <c r="C60" s="47">
        <v>50</v>
      </c>
      <c r="D60" s="47">
        <v>100</v>
      </c>
      <c r="E60" s="47" t="s">
        <v>88</v>
      </c>
      <c r="F60" s="47" t="s">
        <v>88</v>
      </c>
      <c r="G60" s="47">
        <v>0</v>
      </c>
      <c r="H60" s="47" t="s">
        <v>88</v>
      </c>
      <c r="I60" s="47">
        <v>1470</v>
      </c>
      <c r="J60" s="48">
        <f t="shared" si="14"/>
        <v>100</v>
      </c>
    </row>
    <row r="61" spans="1:11" ht="21" customHeight="1" x14ac:dyDescent="0.15">
      <c r="A61" s="124">
        <v>49015060</v>
      </c>
      <c r="B61" s="129">
        <v>0</v>
      </c>
      <c r="C61" s="47">
        <v>70</v>
      </c>
      <c r="D61" s="129">
        <v>100</v>
      </c>
      <c r="E61" s="129" t="s">
        <v>88</v>
      </c>
      <c r="F61" s="129" t="s">
        <v>88</v>
      </c>
      <c r="G61" s="129">
        <v>0</v>
      </c>
      <c r="H61" s="129" t="s">
        <v>88</v>
      </c>
      <c r="I61" s="129">
        <v>1466</v>
      </c>
      <c r="J61" s="132">
        <f t="shared" si="14"/>
        <v>100</v>
      </c>
    </row>
    <row r="62" spans="1:11" ht="21" customHeight="1" thickBot="1" x14ac:dyDescent="0.2">
      <c r="A62" s="125">
        <v>49015061</v>
      </c>
      <c r="B62" s="111">
        <v>0</v>
      </c>
      <c r="C62" s="111">
        <v>71</v>
      </c>
      <c r="D62" s="111">
        <v>100</v>
      </c>
      <c r="E62" s="111" t="s">
        <v>88</v>
      </c>
      <c r="F62" s="111" t="s">
        <v>88</v>
      </c>
      <c r="G62" s="111">
        <v>0</v>
      </c>
      <c r="H62" s="111" t="s">
        <v>88</v>
      </c>
      <c r="I62" s="111">
        <v>1467</v>
      </c>
      <c r="J62" s="114">
        <f t="shared" ref="J62" si="19">D62</f>
        <v>100</v>
      </c>
      <c r="K62" s="148"/>
    </row>
    <row r="63" spans="1:11" ht="21" customHeight="1" x14ac:dyDescent="0.15">
      <c r="A63" s="126">
        <v>49015062</v>
      </c>
      <c r="B63" s="106">
        <v>1</v>
      </c>
      <c r="C63" s="106">
        <v>35</v>
      </c>
      <c r="D63" s="106">
        <v>100</v>
      </c>
      <c r="E63" s="106" t="s">
        <v>88</v>
      </c>
      <c r="F63" s="106" t="s">
        <v>88</v>
      </c>
      <c r="G63" s="106">
        <v>1</v>
      </c>
      <c r="H63" s="106" t="s">
        <v>88</v>
      </c>
      <c r="I63" s="106" t="s">
        <v>88</v>
      </c>
      <c r="J63" s="109">
        <f t="shared" si="14"/>
        <v>100</v>
      </c>
    </row>
    <row r="64" spans="1:11" ht="21" customHeight="1" x14ac:dyDescent="0.15">
      <c r="A64" s="126">
        <v>49015063</v>
      </c>
      <c r="B64" s="47">
        <v>1</v>
      </c>
      <c r="C64" s="212">
        <v>90</v>
      </c>
      <c r="D64" s="47">
        <v>100</v>
      </c>
      <c r="E64" s="47" t="s">
        <v>88</v>
      </c>
      <c r="F64" s="47" t="s">
        <v>88</v>
      </c>
      <c r="G64" s="47">
        <v>1</v>
      </c>
      <c r="H64" s="47" t="s">
        <v>88</v>
      </c>
      <c r="I64" s="47">
        <v>1462</v>
      </c>
      <c r="J64" s="48">
        <f t="shared" si="14"/>
        <v>100</v>
      </c>
    </row>
    <row r="65" spans="1:10" ht="21" customHeight="1" x14ac:dyDescent="0.15">
      <c r="A65" s="126">
        <v>49015064</v>
      </c>
      <c r="B65" s="47">
        <v>1</v>
      </c>
      <c r="C65" s="212">
        <v>91</v>
      </c>
      <c r="D65" s="47">
        <v>100</v>
      </c>
      <c r="E65" s="47" t="s">
        <v>88</v>
      </c>
      <c r="F65" s="47" t="s">
        <v>88</v>
      </c>
      <c r="G65" s="47">
        <v>1</v>
      </c>
      <c r="H65" s="47" t="s">
        <v>88</v>
      </c>
      <c r="I65" s="47">
        <v>1463</v>
      </c>
      <c r="J65" s="48">
        <f t="shared" ref="J65" si="20">D65</f>
        <v>100</v>
      </c>
    </row>
    <row r="66" spans="1:10" ht="21" customHeight="1" x14ac:dyDescent="0.15">
      <c r="A66" s="126">
        <v>49015065</v>
      </c>
      <c r="B66" s="47">
        <v>1</v>
      </c>
      <c r="C66" s="212">
        <v>70</v>
      </c>
      <c r="D66" s="47">
        <v>100</v>
      </c>
      <c r="E66" s="47" t="s">
        <v>88</v>
      </c>
      <c r="F66" s="47" t="s">
        <v>88</v>
      </c>
      <c r="G66" s="47">
        <v>1</v>
      </c>
      <c r="H66" s="47" t="s">
        <v>88</v>
      </c>
      <c r="I66" s="47">
        <v>1464</v>
      </c>
      <c r="J66" s="48">
        <f t="shared" si="14"/>
        <v>100</v>
      </c>
    </row>
    <row r="67" spans="1:10" ht="21" customHeight="1" x14ac:dyDescent="0.15">
      <c r="A67" s="126">
        <v>49015066</v>
      </c>
      <c r="B67" s="47">
        <v>1</v>
      </c>
      <c r="C67" s="212">
        <v>71</v>
      </c>
      <c r="D67" s="47">
        <v>100</v>
      </c>
      <c r="E67" s="47" t="s">
        <v>88</v>
      </c>
      <c r="F67" s="47" t="s">
        <v>88</v>
      </c>
      <c r="G67" s="47">
        <v>1</v>
      </c>
      <c r="H67" s="47" t="s">
        <v>88</v>
      </c>
      <c r="I67" s="47">
        <v>1465</v>
      </c>
      <c r="J67" s="48">
        <f t="shared" ref="J67" si="21">D67</f>
        <v>100</v>
      </c>
    </row>
    <row r="68" spans="1:10" ht="21" customHeight="1" x14ac:dyDescent="0.15">
      <c r="A68" s="126">
        <v>49015067</v>
      </c>
      <c r="B68" s="47">
        <v>1</v>
      </c>
      <c r="C68" s="212">
        <v>60</v>
      </c>
      <c r="D68" s="47">
        <v>100</v>
      </c>
      <c r="E68" s="47" t="s">
        <v>88</v>
      </c>
      <c r="F68" s="47" t="s">
        <v>88</v>
      </c>
      <c r="G68" s="47">
        <v>1</v>
      </c>
      <c r="H68" s="47" t="s">
        <v>88</v>
      </c>
      <c r="I68" s="47">
        <v>1458</v>
      </c>
      <c r="J68" s="48">
        <f t="shared" si="14"/>
        <v>100</v>
      </c>
    </row>
    <row r="69" spans="1:10" ht="21" customHeight="1" x14ac:dyDescent="0.15">
      <c r="A69" s="126">
        <v>49015068</v>
      </c>
      <c r="B69" s="47">
        <v>1</v>
      </c>
      <c r="C69" s="212">
        <v>61</v>
      </c>
      <c r="D69" s="47">
        <v>100</v>
      </c>
      <c r="E69" s="47" t="s">
        <v>88</v>
      </c>
      <c r="F69" s="47" t="s">
        <v>88</v>
      </c>
      <c r="G69" s="47">
        <v>1</v>
      </c>
      <c r="H69" s="47" t="s">
        <v>88</v>
      </c>
      <c r="I69" s="47">
        <v>1459</v>
      </c>
      <c r="J69" s="48">
        <f t="shared" ref="J69" si="22">D69</f>
        <v>100</v>
      </c>
    </row>
    <row r="70" spans="1:10" ht="21" customHeight="1" x14ac:dyDescent="0.15">
      <c r="A70" s="126">
        <v>49015069</v>
      </c>
      <c r="B70" s="47">
        <v>1</v>
      </c>
      <c r="C70" s="212">
        <v>100</v>
      </c>
      <c r="D70" s="47">
        <v>100</v>
      </c>
      <c r="E70" s="47" t="s">
        <v>88</v>
      </c>
      <c r="F70" s="47" t="s">
        <v>88</v>
      </c>
      <c r="G70" s="47">
        <v>1</v>
      </c>
      <c r="H70" s="47" t="s">
        <v>88</v>
      </c>
      <c r="I70" s="47">
        <v>1460</v>
      </c>
      <c r="J70" s="48">
        <f t="shared" si="14"/>
        <v>100</v>
      </c>
    </row>
    <row r="71" spans="1:10" ht="21" customHeight="1" x14ac:dyDescent="0.15">
      <c r="A71" s="126">
        <v>49015070</v>
      </c>
      <c r="B71" s="47">
        <v>1</v>
      </c>
      <c r="C71" s="212">
        <v>101</v>
      </c>
      <c r="D71" s="47">
        <v>100</v>
      </c>
      <c r="E71" s="47" t="s">
        <v>88</v>
      </c>
      <c r="F71" s="47" t="s">
        <v>88</v>
      </c>
      <c r="G71" s="47">
        <v>1</v>
      </c>
      <c r="H71" s="47" t="s">
        <v>88</v>
      </c>
      <c r="I71" s="47">
        <v>1461</v>
      </c>
      <c r="J71" s="48">
        <f t="shared" ref="J71" si="23">D71</f>
        <v>100</v>
      </c>
    </row>
    <row r="72" spans="1:10" ht="21" customHeight="1" x14ac:dyDescent="0.15">
      <c r="A72" s="126">
        <v>49015071</v>
      </c>
      <c r="B72" s="47">
        <v>1</v>
      </c>
      <c r="C72" s="212">
        <v>80</v>
      </c>
      <c r="D72" s="47">
        <v>100</v>
      </c>
      <c r="E72" s="47" t="s">
        <v>88</v>
      </c>
      <c r="F72" s="47" t="s">
        <v>88</v>
      </c>
      <c r="G72" s="47">
        <v>1</v>
      </c>
      <c r="H72" s="47" t="s">
        <v>88</v>
      </c>
      <c r="I72" s="47">
        <v>1469</v>
      </c>
      <c r="J72" s="48">
        <f t="shared" si="14"/>
        <v>100</v>
      </c>
    </row>
    <row r="73" spans="1:10" ht="21" customHeight="1" x14ac:dyDescent="0.15">
      <c r="A73" s="126">
        <v>49015072</v>
      </c>
      <c r="B73" s="47">
        <v>1</v>
      </c>
      <c r="C73" s="47">
        <v>50</v>
      </c>
      <c r="D73" s="47">
        <v>100</v>
      </c>
      <c r="E73" s="47" t="s">
        <v>88</v>
      </c>
      <c r="F73" s="47" t="s">
        <v>88</v>
      </c>
      <c r="G73" s="47">
        <v>1</v>
      </c>
      <c r="H73" s="47" t="s">
        <v>88</v>
      </c>
      <c r="I73" s="47">
        <v>1468</v>
      </c>
      <c r="J73" s="48">
        <f t="shared" si="14"/>
        <v>100</v>
      </c>
    </row>
    <row r="74" spans="1:10" ht="21" customHeight="1" x14ac:dyDescent="0.15">
      <c r="A74" s="126">
        <v>49015073</v>
      </c>
      <c r="B74" s="47">
        <v>1</v>
      </c>
      <c r="C74" s="47">
        <v>40</v>
      </c>
      <c r="D74" s="47">
        <v>100</v>
      </c>
      <c r="E74" s="47" t="s">
        <v>88</v>
      </c>
      <c r="F74" s="47" t="s">
        <v>88</v>
      </c>
      <c r="G74" s="47">
        <v>1</v>
      </c>
      <c r="H74" s="47" t="s">
        <v>88</v>
      </c>
      <c r="I74" s="47">
        <v>1466</v>
      </c>
      <c r="J74" s="48">
        <f t="shared" si="14"/>
        <v>100</v>
      </c>
    </row>
    <row r="75" spans="1:10" ht="21" customHeight="1" x14ac:dyDescent="0.15">
      <c r="A75" s="126">
        <v>49015074</v>
      </c>
      <c r="B75" s="47">
        <v>1</v>
      </c>
      <c r="C75" s="47">
        <v>41</v>
      </c>
      <c r="D75" s="47">
        <v>100</v>
      </c>
      <c r="E75" s="47" t="s">
        <v>88</v>
      </c>
      <c r="F75" s="47" t="s">
        <v>88</v>
      </c>
      <c r="G75" s="47">
        <v>1</v>
      </c>
      <c r="H75" s="47" t="s">
        <v>88</v>
      </c>
      <c r="I75" s="47">
        <v>1467</v>
      </c>
      <c r="J75" s="48">
        <f t="shared" ref="J75" si="24">D75</f>
        <v>100</v>
      </c>
    </row>
    <row r="76" spans="1:10" ht="21" customHeight="1" x14ac:dyDescent="0.15">
      <c r="A76" s="126">
        <v>49015075</v>
      </c>
      <c r="B76" s="47">
        <v>0</v>
      </c>
      <c r="C76" s="47">
        <v>25</v>
      </c>
      <c r="D76" s="47">
        <v>50</v>
      </c>
      <c r="E76" s="47" t="s">
        <v>88</v>
      </c>
      <c r="F76" s="47" t="s">
        <v>88</v>
      </c>
      <c r="G76" s="47" t="s">
        <v>88</v>
      </c>
      <c r="H76" s="47" t="s">
        <v>88</v>
      </c>
      <c r="I76" s="47" t="s">
        <v>88</v>
      </c>
      <c r="J76" s="48">
        <f t="shared" si="14"/>
        <v>50</v>
      </c>
    </row>
    <row r="77" spans="1:10" ht="21" customHeight="1" x14ac:dyDescent="0.15">
      <c r="A77" s="126">
        <v>49015076</v>
      </c>
      <c r="B77" s="47">
        <v>0</v>
      </c>
      <c r="C77" s="47">
        <v>20</v>
      </c>
      <c r="D77" s="47">
        <v>100</v>
      </c>
      <c r="E77" s="47" t="s">
        <v>88</v>
      </c>
      <c r="F77" s="47" t="s">
        <v>88</v>
      </c>
      <c r="G77" s="47" t="s">
        <v>88</v>
      </c>
      <c r="H77" s="47" t="s">
        <v>88</v>
      </c>
      <c r="I77" s="47" t="s">
        <v>88</v>
      </c>
      <c r="J77" s="48">
        <f t="shared" si="14"/>
        <v>100</v>
      </c>
    </row>
    <row r="78" spans="1:10" ht="21" customHeight="1" thickBot="1" x14ac:dyDescent="0.2">
      <c r="A78" s="127">
        <v>49015077</v>
      </c>
      <c r="B78" s="111">
        <v>0</v>
      </c>
      <c r="C78" s="111">
        <v>30</v>
      </c>
      <c r="D78" s="111">
        <v>100</v>
      </c>
      <c r="E78" s="111" t="s">
        <v>88</v>
      </c>
      <c r="F78" s="111" t="s">
        <v>88</v>
      </c>
      <c r="G78" s="111">
        <v>1</v>
      </c>
      <c r="H78" s="111">
        <v>2</v>
      </c>
      <c r="I78" s="111" t="s">
        <v>88</v>
      </c>
      <c r="J78" s="114">
        <f t="shared" si="14"/>
        <v>100</v>
      </c>
    </row>
    <row r="79" spans="1:10" ht="21" customHeight="1" x14ac:dyDescent="0.15">
      <c r="A79" s="126">
        <v>49015078</v>
      </c>
      <c r="B79" s="142">
        <v>1</v>
      </c>
      <c r="C79" s="142" t="s">
        <v>88</v>
      </c>
      <c r="D79" s="142">
        <v>100</v>
      </c>
      <c r="E79" s="142" t="s">
        <v>88</v>
      </c>
      <c r="F79" s="142" t="s">
        <v>88</v>
      </c>
      <c r="G79" s="142">
        <v>1</v>
      </c>
      <c r="H79" s="47" t="s">
        <v>88</v>
      </c>
      <c r="I79" s="142" t="s">
        <v>88</v>
      </c>
      <c r="J79" s="143">
        <f t="shared" si="14"/>
        <v>100</v>
      </c>
    </row>
    <row r="80" spans="1:10" ht="21" customHeight="1" x14ac:dyDescent="0.15">
      <c r="A80" s="126">
        <v>49015079</v>
      </c>
      <c r="B80" s="47">
        <v>0</v>
      </c>
      <c r="C80" s="47">
        <v>20</v>
      </c>
      <c r="D80" s="47">
        <v>20</v>
      </c>
      <c r="E80" s="47" t="s">
        <v>88</v>
      </c>
      <c r="F80" s="47" t="s">
        <v>88</v>
      </c>
      <c r="G80" s="47" t="s">
        <v>88</v>
      </c>
      <c r="H80" s="47" t="s">
        <v>88</v>
      </c>
      <c r="I80" s="47" t="s">
        <v>88</v>
      </c>
      <c r="J80" s="48">
        <f t="shared" si="14"/>
        <v>20</v>
      </c>
    </row>
    <row r="81" spans="1:10" ht="21" customHeight="1" x14ac:dyDescent="0.15">
      <c r="A81" s="126">
        <v>49015080</v>
      </c>
      <c r="B81" s="47">
        <v>0</v>
      </c>
      <c r="C81" s="47">
        <v>15</v>
      </c>
      <c r="D81" s="47">
        <v>50</v>
      </c>
      <c r="E81" s="47" t="s">
        <v>88</v>
      </c>
      <c r="F81" s="47" t="s">
        <v>88</v>
      </c>
      <c r="G81" s="47" t="s">
        <v>88</v>
      </c>
      <c r="H81" s="47" t="s">
        <v>88</v>
      </c>
      <c r="I81" s="47" t="s">
        <v>88</v>
      </c>
      <c r="J81" s="48">
        <f t="shared" si="14"/>
        <v>50</v>
      </c>
    </row>
    <row r="82" spans="1:10" ht="21" customHeight="1" x14ac:dyDescent="0.15">
      <c r="A82" s="126">
        <v>49015081</v>
      </c>
      <c r="B82" s="47">
        <v>0</v>
      </c>
      <c r="C82" s="47">
        <v>10</v>
      </c>
      <c r="D82" s="47">
        <v>100</v>
      </c>
      <c r="E82" s="47" t="s">
        <v>88</v>
      </c>
      <c r="F82" s="47" t="s">
        <v>88</v>
      </c>
      <c r="G82" s="47" t="s">
        <v>88</v>
      </c>
      <c r="H82" s="47" t="s">
        <v>88</v>
      </c>
      <c r="I82" s="47" t="s">
        <v>88</v>
      </c>
      <c r="J82" s="48">
        <f t="shared" si="14"/>
        <v>100</v>
      </c>
    </row>
    <row r="83" spans="1:10" ht="21" customHeight="1" x14ac:dyDescent="0.15">
      <c r="A83" s="126">
        <v>49015082</v>
      </c>
      <c r="B83" s="47">
        <v>0</v>
      </c>
      <c r="C83" s="47">
        <v>25</v>
      </c>
      <c r="D83" s="47">
        <v>100</v>
      </c>
      <c r="E83" s="47" t="s">
        <v>88</v>
      </c>
      <c r="F83" s="47" t="s">
        <v>88</v>
      </c>
      <c r="G83" s="47">
        <v>2</v>
      </c>
      <c r="H83" s="47">
        <v>2</v>
      </c>
      <c r="I83" s="47" t="s">
        <v>88</v>
      </c>
      <c r="J83" s="48">
        <f t="shared" si="14"/>
        <v>100</v>
      </c>
    </row>
    <row r="84" spans="1:10" ht="21" customHeight="1" x14ac:dyDescent="0.15">
      <c r="A84" s="126">
        <v>49015083</v>
      </c>
      <c r="B84" s="47">
        <v>0</v>
      </c>
      <c r="C84" s="47">
        <v>30</v>
      </c>
      <c r="D84" s="47">
        <v>100</v>
      </c>
      <c r="E84" s="47" t="s">
        <v>88</v>
      </c>
      <c r="F84" s="47" t="s">
        <v>88</v>
      </c>
      <c r="G84" s="47" t="s">
        <v>88</v>
      </c>
      <c r="H84" s="47">
        <v>5</v>
      </c>
      <c r="I84" s="47" t="s">
        <v>88</v>
      </c>
      <c r="J84" s="48">
        <f t="shared" si="14"/>
        <v>100</v>
      </c>
    </row>
    <row r="85" spans="1:10" ht="21" customHeight="1" x14ac:dyDescent="0.15">
      <c r="A85" s="126">
        <v>49015084</v>
      </c>
      <c r="B85" s="47">
        <v>0</v>
      </c>
      <c r="C85" s="106">
        <v>35</v>
      </c>
      <c r="D85" s="47">
        <v>100</v>
      </c>
      <c r="E85" s="47" t="s">
        <v>88</v>
      </c>
      <c r="F85" s="47" t="s">
        <v>88</v>
      </c>
      <c r="G85" s="47">
        <v>0</v>
      </c>
      <c r="H85" s="47" t="s">
        <v>88</v>
      </c>
      <c r="I85" s="47">
        <v>0</v>
      </c>
      <c r="J85" s="48">
        <f t="shared" si="14"/>
        <v>100</v>
      </c>
    </row>
    <row r="86" spans="1:10" ht="21" customHeight="1" x14ac:dyDescent="0.15">
      <c r="A86" s="126">
        <v>49015085</v>
      </c>
      <c r="B86" s="47">
        <v>0</v>
      </c>
      <c r="C86" s="212">
        <v>90</v>
      </c>
      <c r="D86" s="47">
        <v>100</v>
      </c>
      <c r="E86" s="47" t="s">
        <v>88</v>
      </c>
      <c r="F86" s="47" t="s">
        <v>88</v>
      </c>
      <c r="G86" s="47">
        <v>0</v>
      </c>
      <c r="H86" s="47" t="s">
        <v>88</v>
      </c>
      <c r="I86" s="47">
        <v>1462</v>
      </c>
      <c r="J86" s="48">
        <f t="shared" si="14"/>
        <v>100</v>
      </c>
    </row>
    <row r="87" spans="1:10" ht="21" customHeight="1" x14ac:dyDescent="0.15">
      <c r="A87" s="126">
        <v>49015086</v>
      </c>
      <c r="B87" s="47">
        <v>0</v>
      </c>
      <c r="C87" s="212">
        <v>91</v>
      </c>
      <c r="D87" s="47">
        <v>100</v>
      </c>
      <c r="E87" s="47" t="s">
        <v>88</v>
      </c>
      <c r="F87" s="47" t="s">
        <v>88</v>
      </c>
      <c r="G87" s="47">
        <v>0</v>
      </c>
      <c r="H87" s="47" t="s">
        <v>88</v>
      </c>
      <c r="I87" s="47">
        <v>1463</v>
      </c>
      <c r="J87" s="48">
        <f t="shared" ref="J87" si="25">D87</f>
        <v>100</v>
      </c>
    </row>
    <row r="88" spans="1:10" ht="21" customHeight="1" x14ac:dyDescent="0.15">
      <c r="A88" s="126">
        <v>49015087</v>
      </c>
      <c r="B88" s="47">
        <v>0</v>
      </c>
      <c r="C88" s="212">
        <v>70</v>
      </c>
      <c r="D88" s="47">
        <v>100</v>
      </c>
      <c r="E88" s="47" t="s">
        <v>88</v>
      </c>
      <c r="F88" s="47" t="s">
        <v>88</v>
      </c>
      <c r="G88" s="47">
        <v>0</v>
      </c>
      <c r="H88" s="47" t="s">
        <v>88</v>
      </c>
      <c r="I88" s="47">
        <v>1464</v>
      </c>
      <c r="J88" s="48">
        <f t="shared" si="14"/>
        <v>100</v>
      </c>
    </row>
    <row r="89" spans="1:10" ht="21" customHeight="1" x14ac:dyDescent="0.15">
      <c r="A89" s="126">
        <v>49015088</v>
      </c>
      <c r="B89" s="47">
        <v>0</v>
      </c>
      <c r="C89" s="212">
        <v>71</v>
      </c>
      <c r="D89" s="47">
        <v>100</v>
      </c>
      <c r="E89" s="47" t="s">
        <v>88</v>
      </c>
      <c r="F89" s="47" t="s">
        <v>88</v>
      </c>
      <c r="G89" s="47">
        <v>0</v>
      </c>
      <c r="H89" s="47" t="s">
        <v>88</v>
      </c>
      <c r="I89" s="47">
        <v>1465</v>
      </c>
      <c r="J89" s="48">
        <f t="shared" ref="J89" si="26">D89</f>
        <v>100</v>
      </c>
    </row>
    <row r="90" spans="1:10" ht="21" customHeight="1" x14ac:dyDescent="0.15">
      <c r="A90" s="126">
        <v>49015089</v>
      </c>
      <c r="B90" s="47">
        <v>0</v>
      </c>
      <c r="C90" s="212">
        <v>60</v>
      </c>
      <c r="D90" s="47">
        <v>100</v>
      </c>
      <c r="E90" s="47" t="s">
        <v>88</v>
      </c>
      <c r="F90" s="47" t="s">
        <v>88</v>
      </c>
      <c r="G90" s="47">
        <v>0</v>
      </c>
      <c r="H90" s="47" t="s">
        <v>88</v>
      </c>
      <c r="I90" s="47">
        <v>1458</v>
      </c>
      <c r="J90" s="48">
        <f t="shared" si="14"/>
        <v>100</v>
      </c>
    </row>
    <row r="91" spans="1:10" ht="21" customHeight="1" x14ac:dyDescent="0.15">
      <c r="A91" s="126">
        <v>49015090</v>
      </c>
      <c r="B91" s="47">
        <v>0</v>
      </c>
      <c r="C91" s="212">
        <v>61</v>
      </c>
      <c r="D91" s="47">
        <v>100</v>
      </c>
      <c r="E91" s="47" t="s">
        <v>88</v>
      </c>
      <c r="F91" s="47" t="s">
        <v>88</v>
      </c>
      <c r="G91" s="47">
        <v>0</v>
      </c>
      <c r="H91" s="47" t="s">
        <v>88</v>
      </c>
      <c r="I91" s="47">
        <v>1459</v>
      </c>
      <c r="J91" s="48">
        <f t="shared" ref="J91" si="27">D91</f>
        <v>100</v>
      </c>
    </row>
    <row r="92" spans="1:10" ht="21" customHeight="1" x14ac:dyDescent="0.15">
      <c r="A92" s="126">
        <v>49015091</v>
      </c>
      <c r="B92" s="47">
        <v>0</v>
      </c>
      <c r="C92" s="212">
        <v>100</v>
      </c>
      <c r="D92" s="47">
        <v>100</v>
      </c>
      <c r="E92" s="47" t="s">
        <v>88</v>
      </c>
      <c r="F92" s="47" t="s">
        <v>88</v>
      </c>
      <c r="G92" s="47">
        <v>0</v>
      </c>
      <c r="H92" s="47" t="s">
        <v>88</v>
      </c>
      <c r="I92" s="47">
        <v>1460</v>
      </c>
      <c r="J92" s="48">
        <f t="shared" si="14"/>
        <v>100</v>
      </c>
    </row>
    <row r="93" spans="1:10" ht="21" customHeight="1" x14ac:dyDescent="0.15">
      <c r="A93" s="126">
        <v>49015092</v>
      </c>
      <c r="B93" s="47">
        <v>0</v>
      </c>
      <c r="C93" s="212">
        <v>101</v>
      </c>
      <c r="D93" s="47">
        <v>100</v>
      </c>
      <c r="E93" s="47" t="s">
        <v>88</v>
      </c>
      <c r="F93" s="47" t="s">
        <v>88</v>
      </c>
      <c r="G93" s="47">
        <v>0</v>
      </c>
      <c r="H93" s="47" t="s">
        <v>88</v>
      </c>
      <c r="I93" s="47">
        <v>1461</v>
      </c>
      <c r="J93" s="48">
        <f t="shared" ref="J93" si="28">D93</f>
        <v>100</v>
      </c>
    </row>
    <row r="94" spans="1:10" ht="21" customHeight="1" x14ac:dyDescent="0.15">
      <c r="A94" s="126">
        <v>49015093</v>
      </c>
      <c r="B94" s="47">
        <v>0</v>
      </c>
      <c r="C94" s="212">
        <v>80</v>
      </c>
      <c r="D94" s="47">
        <v>100</v>
      </c>
      <c r="E94" s="47" t="s">
        <v>88</v>
      </c>
      <c r="F94" s="47" t="s">
        <v>88</v>
      </c>
      <c r="G94" s="47">
        <v>0</v>
      </c>
      <c r="H94" s="47" t="s">
        <v>88</v>
      </c>
      <c r="I94" s="47">
        <v>1469</v>
      </c>
      <c r="J94" s="48">
        <f t="shared" si="14"/>
        <v>100</v>
      </c>
    </row>
    <row r="95" spans="1:10" ht="21" customHeight="1" x14ac:dyDescent="0.15">
      <c r="A95" s="126">
        <v>49015094</v>
      </c>
      <c r="B95" s="47">
        <v>0</v>
      </c>
      <c r="C95" s="47">
        <v>50</v>
      </c>
      <c r="D95" s="47">
        <v>100</v>
      </c>
      <c r="E95" s="47" t="s">
        <v>88</v>
      </c>
      <c r="F95" s="47" t="s">
        <v>88</v>
      </c>
      <c r="G95" s="47">
        <v>0</v>
      </c>
      <c r="H95" s="47" t="s">
        <v>88</v>
      </c>
      <c r="I95" s="47">
        <v>1468</v>
      </c>
      <c r="J95" s="48">
        <f t="shared" si="14"/>
        <v>100</v>
      </c>
    </row>
    <row r="96" spans="1:10" ht="21" customHeight="1" x14ac:dyDescent="0.15">
      <c r="A96" s="126">
        <v>49015095</v>
      </c>
      <c r="B96" s="129">
        <v>0</v>
      </c>
      <c r="C96" s="129">
        <v>40</v>
      </c>
      <c r="D96" s="129">
        <v>100</v>
      </c>
      <c r="E96" s="129" t="s">
        <v>88</v>
      </c>
      <c r="F96" s="129" t="s">
        <v>88</v>
      </c>
      <c r="G96" s="129">
        <v>0</v>
      </c>
      <c r="H96" s="129" t="s">
        <v>88</v>
      </c>
      <c r="I96" s="129">
        <v>1466</v>
      </c>
      <c r="J96" s="132">
        <f t="shared" si="14"/>
        <v>100</v>
      </c>
    </row>
    <row r="97" spans="1:11" ht="21" customHeight="1" thickBot="1" x14ac:dyDescent="0.2">
      <c r="A97" s="127">
        <v>49015096</v>
      </c>
      <c r="B97" s="111">
        <v>0</v>
      </c>
      <c r="C97" s="111">
        <v>41</v>
      </c>
      <c r="D97" s="111">
        <v>100</v>
      </c>
      <c r="E97" s="111" t="s">
        <v>88</v>
      </c>
      <c r="F97" s="111" t="s">
        <v>88</v>
      </c>
      <c r="G97" s="111">
        <v>0</v>
      </c>
      <c r="H97" s="111" t="s">
        <v>88</v>
      </c>
      <c r="I97" s="111">
        <v>1467</v>
      </c>
      <c r="J97" s="114">
        <f t="shared" ref="J97" si="29">D97</f>
        <v>100</v>
      </c>
      <c r="K97" s="148"/>
    </row>
    <row r="98" spans="1:11" ht="21" customHeight="1" x14ac:dyDescent="0.15">
      <c r="A98" s="138">
        <v>49015097</v>
      </c>
      <c r="B98" s="106">
        <v>1</v>
      </c>
      <c r="C98" s="106">
        <v>35</v>
      </c>
      <c r="D98" s="106">
        <v>100</v>
      </c>
      <c r="E98" s="106" t="s">
        <v>88</v>
      </c>
      <c r="F98" s="106" t="s">
        <v>88</v>
      </c>
      <c r="G98" s="106">
        <v>1</v>
      </c>
      <c r="H98" s="106" t="s">
        <v>88</v>
      </c>
      <c r="I98" s="106" t="s">
        <v>88</v>
      </c>
      <c r="J98" s="109">
        <f t="shared" si="14"/>
        <v>100</v>
      </c>
    </row>
    <row r="99" spans="1:11" ht="21" customHeight="1" x14ac:dyDescent="0.15">
      <c r="A99" s="138">
        <v>49015098</v>
      </c>
      <c r="B99" s="106">
        <v>1</v>
      </c>
      <c r="C99" s="106">
        <v>100</v>
      </c>
      <c r="D99" s="106">
        <v>100</v>
      </c>
      <c r="E99" s="106" t="s">
        <v>88</v>
      </c>
      <c r="F99" s="106" t="s">
        <v>88</v>
      </c>
      <c r="G99" s="106">
        <v>1</v>
      </c>
      <c r="H99" s="106" t="s">
        <v>88</v>
      </c>
      <c r="I99" s="47">
        <v>1462</v>
      </c>
      <c r="J99" s="109">
        <f t="shared" si="14"/>
        <v>100</v>
      </c>
    </row>
    <row r="100" spans="1:11" ht="21" customHeight="1" x14ac:dyDescent="0.15">
      <c r="A100" s="138">
        <v>49015099</v>
      </c>
      <c r="B100" s="106">
        <v>1</v>
      </c>
      <c r="C100" s="106">
        <v>101</v>
      </c>
      <c r="D100" s="106">
        <v>100</v>
      </c>
      <c r="E100" s="106" t="s">
        <v>88</v>
      </c>
      <c r="F100" s="106" t="s">
        <v>88</v>
      </c>
      <c r="G100" s="106">
        <v>1</v>
      </c>
      <c r="H100" s="106" t="s">
        <v>88</v>
      </c>
      <c r="I100" s="47">
        <v>1463</v>
      </c>
      <c r="J100" s="109">
        <f t="shared" ref="J100" si="30">D100</f>
        <v>100</v>
      </c>
    </row>
    <row r="101" spans="1:11" ht="21" customHeight="1" x14ac:dyDescent="0.15">
      <c r="A101" s="138">
        <v>49015100</v>
      </c>
      <c r="B101" s="47">
        <v>1</v>
      </c>
      <c r="C101" s="106">
        <v>90</v>
      </c>
      <c r="D101" s="47">
        <v>100</v>
      </c>
      <c r="E101" s="47" t="s">
        <v>88</v>
      </c>
      <c r="F101" s="47" t="s">
        <v>88</v>
      </c>
      <c r="G101" s="47">
        <v>1</v>
      </c>
      <c r="H101" s="47" t="s">
        <v>88</v>
      </c>
      <c r="I101" s="47">
        <v>1464</v>
      </c>
      <c r="J101" s="48">
        <f t="shared" si="14"/>
        <v>100</v>
      </c>
    </row>
    <row r="102" spans="1:11" ht="21" customHeight="1" x14ac:dyDescent="0.15">
      <c r="A102" s="138">
        <v>49015101</v>
      </c>
      <c r="B102" s="47">
        <v>1</v>
      </c>
      <c r="C102" s="106">
        <v>91</v>
      </c>
      <c r="D102" s="47">
        <v>100</v>
      </c>
      <c r="E102" s="47" t="s">
        <v>88</v>
      </c>
      <c r="F102" s="47" t="s">
        <v>88</v>
      </c>
      <c r="G102" s="47">
        <v>1</v>
      </c>
      <c r="H102" s="47" t="s">
        <v>88</v>
      </c>
      <c r="I102" s="47">
        <v>1465</v>
      </c>
      <c r="J102" s="48">
        <f t="shared" ref="J102" si="31">D102</f>
        <v>100</v>
      </c>
    </row>
    <row r="103" spans="1:11" ht="21" customHeight="1" x14ac:dyDescent="0.15">
      <c r="A103" s="138">
        <v>49015102</v>
      </c>
      <c r="B103" s="47">
        <v>1</v>
      </c>
      <c r="C103" s="47">
        <v>70</v>
      </c>
      <c r="D103" s="47">
        <v>100</v>
      </c>
      <c r="E103" s="47" t="s">
        <v>88</v>
      </c>
      <c r="F103" s="47" t="s">
        <v>88</v>
      </c>
      <c r="G103" s="47">
        <v>1</v>
      </c>
      <c r="H103" s="47" t="s">
        <v>88</v>
      </c>
      <c r="I103" s="47">
        <v>1458</v>
      </c>
      <c r="J103" s="48">
        <f t="shared" si="14"/>
        <v>100</v>
      </c>
    </row>
    <row r="104" spans="1:11" ht="21" customHeight="1" x14ac:dyDescent="0.15">
      <c r="A104" s="138">
        <v>49015103</v>
      </c>
      <c r="B104" s="47">
        <v>1</v>
      </c>
      <c r="C104" s="47">
        <v>71</v>
      </c>
      <c r="D104" s="47">
        <v>100</v>
      </c>
      <c r="E104" s="47" t="s">
        <v>88</v>
      </c>
      <c r="F104" s="47" t="s">
        <v>88</v>
      </c>
      <c r="G104" s="47">
        <v>1</v>
      </c>
      <c r="H104" s="47" t="s">
        <v>88</v>
      </c>
      <c r="I104" s="47">
        <v>1459</v>
      </c>
      <c r="J104" s="48">
        <f t="shared" ref="J104" si="32">D104</f>
        <v>100</v>
      </c>
    </row>
    <row r="105" spans="1:11" ht="21" customHeight="1" x14ac:dyDescent="0.15">
      <c r="A105" s="138">
        <v>49015104</v>
      </c>
      <c r="B105" s="47">
        <v>1</v>
      </c>
      <c r="C105" s="47">
        <v>60</v>
      </c>
      <c r="D105" s="47">
        <v>100</v>
      </c>
      <c r="E105" s="47" t="s">
        <v>88</v>
      </c>
      <c r="F105" s="47" t="s">
        <v>88</v>
      </c>
      <c r="G105" s="47">
        <v>1</v>
      </c>
      <c r="H105" s="47" t="s">
        <v>88</v>
      </c>
      <c r="I105" s="47">
        <v>1460</v>
      </c>
      <c r="J105" s="48">
        <f t="shared" si="14"/>
        <v>100</v>
      </c>
    </row>
    <row r="106" spans="1:11" ht="21" customHeight="1" x14ac:dyDescent="0.15">
      <c r="A106" s="138">
        <v>49015105</v>
      </c>
      <c r="B106" s="47">
        <v>1</v>
      </c>
      <c r="C106" s="47">
        <v>61</v>
      </c>
      <c r="D106" s="47">
        <v>100</v>
      </c>
      <c r="E106" s="47" t="s">
        <v>88</v>
      </c>
      <c r="F106" s="47" t="s">
        <v>88</v>
      </c>
      <c r="G106" s="47">
        <v>1</v>
      </c>
      <c r="H106" s="47" t="s">
        <v>88</v>
      </c>
      <c r="I106" s="47">
        <v>1461</v>
      </c>
      <c r="J106" s="48">
        <f t="shared" ref="J106" si="33">D106</f>
        <v>100</v>
      </c>
    </row>
    <row r="107" spans="1:11" ht="21" customHeight="1" x14ac:dyDescent="0.15">
      <c r="A107" s="138">
        <v>49015106</v>
      </c>
      <c r="B107" s="47">
        <v>1</v>
      </c>
      <c r="C107" s="47">
        <v>80</v>
      </c>
      <c r="D107" s="47">
        <v>100</v>
      </c>
      <c r="E107" s="47" t="s">
        <v>88</v>
      </c>
      <c r="F107" s="47" t="s">
        <v>88</v>
      </c>
      <c r="G107" s="47">
        <v>1</v>
      </c>
      <c r="H107" s="47" t="s">
        <v>88</v>
      </c>
      <c r="I107" s="47">
        <v>1469</v>
      </c>
      <c r="J107" s="48">
        <f t="shared" si="14"/>
        <v>100</v>
      </c>
    </row>
    <row r="108" spans="1:11" ht="21" customHeight="1" x14ac:dyDescent="0.15">
      <c r="A108" s="138">
        <v>49015107</v>
      </c>
      <c r="B108" s="47">
        <v>1</v>
      </c>
      <c r="C108" s="47">
        <v>50</v>
      </c>
      <c r="D108" s="47">
        <v>100</v>
      </c>
      <c r="E108" s="47" t="s">
        <v>88</v>
      </c>
      <c r="F108" s="47" t="s">
        <v>88</v>
      </c>
      <c r="G108" s="47">
        <v>1</v>
      </c>
      <c r="H108" s="47" t="s">
        <v>88</v>
      </c>
      <c r="I108" s="47">
        <v>1468</v>
      </c>
      <c r="J108" s="48">
        <f t="shared" si="14"/>
        <v>100</v>
      </c>
    </row>
    <row r="109" spans="1:11" ht="21" customHeight="1" x14ac:dyDescent="0.15">
      <c r="A109" s="138">
        <v>49015108</v>
      </c>
      <c r="B109" s="47">
        <v>1</v>
      </c>
      <c r="C109" s="47">
        <v>40</v>
      </c>
      <c r="D109" s="47">
        <v>100</v>
      </c>
      <c r="E109" s="47" t="s">
        <v>88</v>
      </c>
      <c r="F109" s="47" t="s">
        <v>88</v>
      </c>
      <c r="G109" s="47">
        <v>1</v>
      </c>
      <c r="H109" s="47" t="s">
        <v>88</v>
      </c>
      <c r="I109" s="47">
        <v>1470</v>
      </c>
      <c r="J109" s="48">
        <f t="shared" si="14"/>
        <v>100</v>
      </c>
    </row>
    <row r="110" spans="1:11" ht="21" customHeight="1" x14ac:dyDescent="0.15">
      <c r="A110" s="138">
        <v>49015109</v>
      </c>
      <c r="B110" s="47">
        <v>0</v>
      </c>
      <c r="C110" s="47">
        <v>25</v>
      </c>
      <c r="D110" s="47">
        <v>30</v>
      </c>
      <c r="E110" s="47" t="s">
        <v>88</v>
      </c>
      <c r="F110" s="47" t="s">
        <v>88</v>
      </c>
      <c r="G110" s="47" t="s">
        <v>88</v>
      </c>
      <c r="H110" s="47" t="s">
        <v>88</v>
      </c>
      <c r="I110" s="47" t="s">
        <v>88</v>
      </c>
      <c r="J110" s="48">
        <f t="shared" si="14"/>
        <v>30</v>
      </c>
    </row>
    <row r="111" spans="1:11" ht="21" customHeight="1" x14ac:dyDescent="0.15">
      <c r="A111" s="138">
        <v>49015110</v>
      </c>
      <c r="B111" s="47">
        <v>0</v>
      </c>
      <c r="C111" s="47">
        <v>20</v>
      </c>
      <c r="D111" s="47">
        <v>50</v>
      </c>
      <c r="E111" s="47" t="s">
        <v>88</v>
      </c>
      <c r="F111" s="47" t="s">
        <v>88</v>
      </c>
      <c r="G111" s="47" t="s">
        <v>88</v>
      </c>
      <c r="H111" s="47" t="s">
        <v>88</v>
      </c>
      <c r="I111" s="47" t="s">
        <v>88</v>
      </c>
      <c r="J111" s="48">
        <f t="shared" si="14"/>
        <v>50</v>
      </c>
    </row>
    <row r="112" spans="1:11" ht="21" customHeight="1" thickBot="1" x14ac:dyDescent="0.2">
      <c r="A112" s="137">
        <v>49015111</v>
      </c>
      <c r="B112" s="111">
        <v>0</v>
      </c>
      <c r="C112" s="111">
        <v>15</v>
      </c>
      <c r="D112" s="111">
        <v>100</v>
      </c>
      <c r="E112" s="111" t="s">
        <v>88</v>
      </c>
      <c r="F112" s="111" t="s">
        <v>88</v>
      </c>
      <c r="G112" s="111" t="s">
        <v>88</v>
      </c>
      <c r="H112" s="111" t="s">
        <v>88</v>
      </c>
      <c r="I112" s="111" t="s">
        <v>88</v>
      </c>
      <c r="J112" s="114">
        <f t="shared" si="14"/>
        <v>100</v>
      </c>
      <c r="K112" s="141"/>
    </row>
    <row r="113" spans="1:11" ht="21" customHeight="1" x14ac:dyDescent="0.15">
      <c r="A113" s="138">
        <v>49015112</v>
      </c>
      <c r="B113" s="106">
        <v>1</v>
      </c>
      <c r="C113" s="106" t="s">
        <v>88</v>
      </c>
      <c r="D113" s="106">
        <v>100</v>
      </c>
      <c r="E113" s="106" t="s">
        <v>88</v>
      </c>
      <c r="F113" s="106" t="s">
        <v>88</v>
      </c>
      <c r="G113" s="106">
        <v>1</v>
      </c>
      <c r="H113" s="106" t="s">
        <v>88</v>
      </c>
      <c r="I113" s="106" t="s">
        <v>88</v>
      </c>
      <c r="J113" s="109">
        <f t="shared" si="14"/>
        <v>100</v>
      </c>
      <c r="K113" s="140"/>
    </row>
    <row r="114" spans="1:11" ht="21" customHeight="1" x14ac:dyDescent="0.15">
      <c r="A114" s="138">
        <v>49015113</v>
      </c>
      <c r="B114" s="47">
        <v>0</v>
      </c>
      <c r="C114" s="47">
        <v>80</v>
      </c>
      <c r="D114" s="47">
        <v>30</v>
      </c>
      <c r="E114" s="47" t="s">
        <v>88</v>
      </c>
      <c r="F114" s="47" t="s">
        <v>88</v>
      </c>
      <c r="G114" s="47" t="s">
        <v>88</v>
      </c>
      <c r="H114" s="47" t="s">
        <v>88</v>
      </c>
      <c r="I114" s="47" t="s">
        <v>88</v>
      </c>
      <c r="J114" s="48">
        <f t="shared" si="14"/>
        <v>30</v>
      </c>
      <c r="K114" s="139"/>
    </row>
    <row r="115" spans="1:11" ht="21" customHeight="1" x14ac:dyDescent="0.15">
      <c r="A115" s="138">
        <v>49015114</v>
      </c>
      <c r="B115" s="47">
        <v>0</v>
      </c>
      <c r="C115" s="47">
        <v>70</v>
      </c>
      <c r="D115" s="47">
        <v>50</v>
      </c>
      <c r="E115" s="47" t="s">
        <v>88</v>
      </c>
      <c r="F115" s="47" t="s">
        <v>88</v>
      </c>
      <c r="G115" s="47" t="s">
        <v>88</v>
      </c>
      <c r="H115" s="47" t="s">
        <v>88</v>
      </c>
      <c r="I115" s="47" t="s">
        <v>88</v>
      </c>
      <c r="J115" s="48">
        <f t="shared" si="14"/>
        <v>50</v>
      </c>
      <c r="K115" s="139"/>
    </row>
    <row r="116" spans="1:11" ht="21" customHeight="1" x14ac:dyDescent="0.15">
      <c r="A116" s="138">
        <v>49015115</v>
      </c>
      <c r="B116" s="47">
        <v>0</v>
      </c>
      <c r="C116" s="47">
        <v>60</v>
      </c>
      <c r="D116" s="47">
        <v>100</v>
      </c>
      <c r="E116" s="47" t="s">
        <v>88</v>
      </c>
      <c r="F116" s="47" t="s">
        <v>88</v>
      </c>
      <c r="G116" s="47" t="s">
        <v>88</v>
      </c>
      <c r="H116" s="47" t="s">
        <v>88</v>
      </c>
      <c r="I116" s="47" t="s">
        <v>88</v>
      </c>
      <c r="J116" s="48">
        <f t="shared" si="14"/>
        <v>100</v>
      </c>
      <c r="K116" s="139"/>
    </row>
    <row r="117" spans="1:11" ht="21" customHeight="1" thickBot="1" x14ac:dyDescent="0.2">
      <c r="A117" s="137">
        <v>49015116</v>
      </c>
      <c r="B117" s="111">
        <v>0</v>
      </c>
      <c r="C117" s="111">
        <v>90</v>
      </c>
      <c r="D117" s="111">
        <v>100</v>
      </c>
      <c r="E117" s="111" t="s">
        <v>88</v>
      </c>
      <c r="F117" s="111" t="s">
        <v>88</v>
      </c>
      <c r="G117" s="111" t="s">
        <v>88</v>
      </c>
      <c r="H117" s="111">
        <v>3</v>
      </c>
      <c r="I117" s="111" t="s">
        <v>88</v>
      </c>
      <c r="J117" s="114">
        <f t="shared" si="14"/>
        <v>100</v>
      </c>
      <c r="K117" s="153"/>
    </row>
    <row r="118" spans="1:11" ht="21" customHeight="1" x14ac:dyDescent="0.15">
      <c r="A118" s="138">
        <v>49015117</v>
      </c>
      <c r="B118" s="106">
        <v>1</v>
      </c>
      <c r="C118" s="106" t="s">
        <v>88</v>
      </c>
      <c r="D118" s="106">
        <v>100</v>
      </c>
      <c r="E118" s="106" t="s">
        <v>88</v>
      </c>
      <c r="F118" s="106" t="s">
        <v>88</v>
      </c>
      <c r="G118" s="106">
        <v>1</v>
      </c>
      <c r="H118" s="106" t="s">
        <v>88</v>
      </c>
      <c r="I118" s="106" t="s">
        <v>88</v>
      </c>
      <c r="J118" s="109">
        <f t="shared" si="14"/>
        <v>100</v>
      </c>
      <c r="K118" s="140"/>
    </row>
    <row r="119" spans="1:11" ht="21" customHeight="1" x14ac:dyDescent="0.15">
      <c r="A119" s="138">
        <v>49015118</v>
      </c>
      <c r="B119" s="47">
        <v>0</v>
      </c>
      <c r="C119" s="47">
        <v>25</v>
      </c>
      <c r="D119" s="47">
        <v>30</v>
      </c>
      <c r="E119" s="47" t="s">
        <v>88</v>
      </c>
      <c r="F119" s="47" t="s">
        <v>88</v>
      </c>
      <c r="G119" s="47" t="s">
        <v>88</v>
      </c>
      <c r="H119" s="47" t="s">
        <v>88</v>
      </c>
      <c r="I119" s="47" t="s">
        <v>88</v>
      </c>
      <c r="J119" s="48">
        <f t="shared" si="14"/>
        <v>30</v>
      </c>
      <c r="K119" s="139"/>
    </row>
    <row r="120" spans="1:11" ht="21" customHeight="1" x14ac:dyDescent="0.15">
      <c r="A120" s="138">
        <v>49015119</v>
      </c>
      <c r="B120" s="47">
        <v>0</v>
      </c>
      <c r="C120" s="47">
        <v>20</v>
      </c>
      <c r="D120" s="47">
        <v>50</v>
      </c>
      <c r="E120" s="47" t="s">
        <v>88</v>
      </c>
      <c r="F120" s="47" t="s">
        <v>88</v>
      </c>
      <c r="G120" s="47" t="s">
        <v>88</v>
      </c>
      <c r="H120" s="47" t="s">
        <v>88</v>
      </c>
      <c r="I120" s="47" t="s">
        <v>88</v>
      </c>
      <c r="J120" s="48">
        <f t="shared" si="14"/>
        <v>50</v>
      </c>
      <c r="K120" s="139"/>
    </row>
    <row r="121" spans="1:11" ht="21" customHeight="1" x14ac:dyDescent="0.15">
      <c r="A121" s="138">
        <v>49015120</v>
      </c>
      <c r="B121" s="47">
        <v>0</v>
      </c>
      <c r="C121" s="47">
        <v>15</v>
      </c>
      <c r="D121" s="47">
        <v>100</v>
      </c>
      <c r="E121" s="47" t="s">
        <v>88</v>
      </c>
      <c r="F121" s="47" t="s">
        <v>88</v>
      </c>
      <c r="G121" s="47" t="s">
        <v>88</v>
      </c>
      <c r="H121" s="47" t="s">
        <v>88</v>
      </c>
      <c r="I121" s="47" t="s">
        <v>88</v>
      </c>
      <c r="J121" s="48">
        <f t="shared" si="14"/>
        <v>100</v>
      </c>
      <c r="K121" s="139"/>
    </row>
    <row r="122" spans="1:11" ht="21" customHeight="1" x14ac:dyDescent="0.15">
      <c r="A122" s="138">
        <v>49015121</v>
      </c>
      <c r="B122" s="47">
        <v>0</v>
      </c>
      <c r="C122" s="47">
        <v>35</v>
      </c>
      <c r="D122" s="47">
        <v>100</v>
      </c>
      <c r="E122" s="47" t="s">
        <v>88</v>
      </c>
      <c r="F122" s="47" t="s">
        <v>88</v>
      </c>
      <c r="G122" s="47">
        <v>0</v>
      </c>
      <c r="H122" s="47" t="s">
        <v>88</v>
      </c>
      <c r="I122" s="47">
        <v>0</v>
      </c>
      <c r="J122" s="48">
        <f t="shared" si="14"/>
        <v>100</v>
      </c>
      <c r="K122" s="139"/>
    </row>
    <row r="123" spans="1:11" ht="21" customHeight="1" x14ac:dyDescent="0.15">
      <c r="A123" s="138">
        <v>49015122</v>
      </c>
      <c r="B123" s="106">
        <v>0</v>
      </c>
      <c r="C123" s="106">
        <v>100</v>
      </c>
      <c r="D123" s="106">
        <v>100</v>
      </c>
      <c r="E123" s="106" t="s">
        <v>88</v>
      </c>
      <c r="F123" s="106" t="s">
        <v>88</v>
      </c>
      <c r="G123" s="106">
        <v>0</v>
      </c>
      <c r="H123" s="106" t="s">
        <v>88</v>
      </c>
      <c r="I123" s="47">
        <v>1462</v>
      </c>
      <c r="J123" s="109">
        <f t="shared" ref="J123:J186" si="34">D123</f>
        <v>100</v>
      </c>
    </row>
    <row r="124" spans="1:11" ht="21" customHeight="1" x14ac:dyDescent="0.15">
      <c r="A124" s="138">
        <v>49015123</v>
      </c>
      <c r="B124" s="106">
        <v>0</v>
      </c>
      <c r="C124" s="106">
        <v>101</v>
      </c>
      <c r="D124" s="106">
        <v>100</v>
      </c>
      <c r="E124" s="106" t="s">
        <v>88</v>
      </c>
      <c r="F124" s="106" t="s">
        <v>88</v>
      </c>
      <c r="G124" s="106">
        <v>0</v>
      </c>
      <c r="H124" s="106" t="s">
        <v>88</v>
      </c>
      <c r="I124" s="47">
        <v>1463</v>
      </c>
      <c r="J124" s="109">
        <f t="shared" ref="J124" si="35">D124</f>
        <v>100</v>
      </c>
    </row>
    <row r="125" spans="1:11" ht="21" customHeight="1" x14ac:dyDescent="0.15">
      <c r="A125" s="138">
        <v>49015124</v>
      </c>
      <c r="B125" s="47">
        <v>0</v>
      </c>
      <c r="C125" s="106">
        <v>90</v>
      </c>
      <c r="D125" s="47">
        <v>100</v>
      </c>
      <c r="E125" s="47" t="s">
        <v>88</v>
      </c>
      <c r="F125" s="47" t="s">
        <v>88</v>
      </c>
      <c r="G125" s="47">
        <v>0</v>
      </c>
      <c r="H125" s="47" t="s">
        <v>88</v>
      </c>
      <c r="I125" s="47">
        <v>1464</v>
      </c>
      <c r="J125" s="48">
        <f t="shared" si="34"/>
        <v>100</v>
      </c>
    </row>
    <row r="126" spans="1:11" ht="21" customHeight="1" x14ac:dyDescent="0.15">
      <c r="A126" s="138">
        <v>49015125</v>
      </c>
      <c r="B126" s="47">
        <v>0</v>
      </c>
      <c r="C126" s="106">
        <v>91</v>
      </c>
      <c r="D126" s="47">
        <v>100</v>
      </c>
      <c r="E126" s="47" t="s">
        <v>88</v>
      </c>
      <c r="F126" s="47" t="s">
        <v>88</v>
      </c>
      <c r="G126" s="47">
        <v>0</v>
      </c>
      <c r="H126" s="47" t="s">
        <v>88</v>
      </c>
      <c r="I126" s="47">
        <v>1465</v>
      </c>
      <c r="J126" s="48">
        <f t="shared" ref="J126" si="36">D126</f>
        <v>100</v>
      </c>
    </row>
    <row r="127" spans="1:11" ht="21" customHeight="1" x14ac:dyDescent="0.15">
      <c r="A127" s="138">
        <v>49015126</v>
      </c>
      <c r="B127" s="47">
        <v>0</v>
      </c>
      <c r="C127" s="47">
        <v>70</v>
      </c>
      <c r="D127" s="47">
        <v>100</v>
      </c>
      <c r="E127" s="47" t="s">
        <v>88</v>
      </c>
      <c r="F127" s="47" t="s">
        <v>88</v>
      </c>
      <c r="G127" s="47">
        <v>0</v>
      </c>
      <c r="H127" s="47" t="s">
        <v>88</v>
      </c>
      <c r="I127" s="47">
        <v>1458</v>
      </c>
      <c r="J127" s="48">
        <f t="shared" si="34"/>
        <v>100</v>
      </c>
    </row>
    <row r="128" spans="1:11" ht="21" customHeight="1" x14ac:dyDescent="0.15">
      <c r="A128" s="138">
        <v>49015127</v>
      </c>
      <c r="B128" s="47">
        <v>0</v>
      </c>
      <c r="C128" s="47">
        <v>71</v>
      </c>
      <c r="D128" s="47">
        <v>100</v>
      </c>
      <c r="E128" s="47" t="s">
        <v>88</v>
      </c>
      <c r="F128" s="47" t="s">
        <v>88</v>
      </c>
      <c r="G128" s="47">
        <v>0</v>
      </c>
      <c r="H128" s="47" t="s">
        <v>88</v>
      </c>
      <c r="I128" s="47">
        <v>1459</v>
      </c>
      <c r="J128" s="48">
        <f t="shared" ref="J128" si="37">D128</f>
        <v>100</v>
      </c>
    </row>
    <row r="129" spans="1:11" ht="21" customHeight="1" x14ac:dyDescent="0.15">
      <c r="A129" s="138">
        <v>49015128</v>
      </c>
      <c r="B129" s="47">
        <v>0</v>
      </c>
      <c r="C129" s="47">
        <v>60</v>
      </c>
      <c r="D129" s="47">
        <v>100</v>
      </c>
      <c r="E129" s="47" t="s">
        <v>88</v>
      </c>
      <c r="F129" s="47" t="s">
        <v>88</v>
      </c>
      <c r="G129" s="47">
        <v>0</v>
      </c>
      <c r="H129" s="47" t="s">
        <v>88</v>
      </c>
      <c r="I129" s="47">
        <v>1460</v>
      </c>
      <c r="J129" s="48">
        <f t="shared" si="34"/>
        <v>100</v>
      </c>
    </row>
    <row r="130" spans="1:11" ht="21" customHeight="1" x14ac:dyDescent="0.15">
      <c r="A130" s="138">
        <v>49015129</v>
      </c>
      <c r="B130" s="47">
        <v>0</v>
      </c>
      <c r="C130" s="47">
        <v>61</v>
      </c>
      <c r="D130" s="47">
        <v>100</v>
      </c>
      <c r="E130" s="47" t="s">
        <v>88</v>
      </c>
      <c r="F130" s="47" t="s">
        <v>88</v>
      </c>
      <c r="G130" s="47">
        <v>0</v>
      </c>
      <c r="H130" s="47" t="s">
        <v>88</v>
      </c>
      <c r="I130" s="47">
        <v>1461</v>
      </c>
      <c r="J130" s="48">
        <f t="shared" ref="J130" si="38">D130</f>
        <v>100</v>
      </c>
    </row>
    <row r="131" spans="1:11" ht="21" customHeight="1" x14ac:dyDescent="0.15">
      <c r="A131" s="138">
        <v>49015130</v>
      </c>
      <c r="B131" s="47">
        <v>0</v>
      </c>
      <c r="C131" s="47">
        <v>80</v>
      </c>
      <c r="D131" s="47">
        <v>100</v>
      </c>
      <c r="E131" s="47" t="s">
        <v>88</v>
      </c>
      <c r="F131" s="47" t="s">
        <v>88</v>
      </c>
      <c r="G131" s="47">
        <v>0</v>
      </c>
      <c r="H131" s="47" t="s">
        <v>88</v>
      </c>
      <c r="I131" s="47">
        <v>1469</v>
      </c>
      <c r="J131" s="48">
        <f t="shared" si="34"/>
        <v>100</v>
      </c>
    </row>
    <row r="132" spans="1:11" ht="21" customHeight="1" x14ac:dyDescent="0.15">
      <c r="A132" s="138">
        <v>49015131</v>
      </c>
      <c r="B132" s="129">
        <v>0</v>
      </c>
      <c r="C132" s="47">
        <v>50</v>
      </c>
      <c r="D132" s="129">
        <v>100</v>
      </c>
      <c r="E132" s="129" t="s">
        <v>88</v>
      </c>
      <c r="F132" s="129" t="s">
        <v>88</v>
      </c>
      <c r="G132" s="129">
        <v>0</v>
      </c>
      <c r="H132" s="129" t="s">
        <v>88</v>
      </c>
      <c r="I132" s="47">
        <v>1468</v>
      </c>
      <c r="J132" s="132">
        <f t="shared" si="34"/>
        <v>100</v>
      </c>
    </row>
    <row r="133" spans="1:11" ht="21" customHeight="1" thickBot="1" x14ac:dyDescent="0.2">
      <c r="A133" s="137">
        <v>49015132</v>
      </c>
      <c r="B133" s="111">
        <v>0</v>
      </c>
      <c r="C133" s="111">
        <v>40</v>
      </c>
      <c r="D133" s="111">
        <v>100</v>
      </c>
      <c r="E133" s="111" t="s">
        <v>88</v>
      </c>
      <c r="F133" s="111" t="s">
        <v>88</v>
      </c>
      <c r="G133" s="111">
        <v>0</v>
      </c>
      <c r="H133" s="111" t="s">
        <v>88</v>
      </c>
      <c r="I133" s="111">
        <v>1470</v>
      </c>
      <c r="J133" s="114">
        <f t="shared" si="34"/>
        <v>100</v>
      </c>
      <c r="K133" s="148"/>
    </row>
    <row r="134" spans="1:11" ht="21" customHeight="1" x14ac:dyDescent="0.15">
      <c r="A134" s="121">
        <v>49015133</v>
      </c>
      <c r="B134" s="47">
        <v>1</v>
      </c>
      <c r="C134" s="47">
        <v>30</v>
      </c>
      <c r="D134" s="47">
        <v>100</v>
      </c>
      <c r="E134" s="47" t="s">
        <v>88</v>
      </c>
      <c r="F134" s="47" t="s">
        <v>88</v>
      </c>
      <c r="G134" s="47">
        <v>1</v>
      </c>
      <c r="H134" s="47" t="s">
        <v>88</v>
      </c>
      <c r="I134" s="47" t="s">
        <v>88</v>
      </c>
      <c r="J134" s="48">
        <f t="shared" si="34"/>
        <v>100</v>
      </c>
    </row>
    <row r="135" spans="1:11" ht="21" customHeight="1" x14ac:dyDescent="0.15">
      <c r="A135" s="121">
        <v>49015134</v>
      </c>
      <c r="B135" s="47">
        <v>1</v>
      </c>
      <c r="C135" s="47">
        <v>70</v>
      </c>
      <c r="D135" s="47">
        <v>100</v>
      </c>
      <c r="E135" s="47" t="s">
        <v>88</v>
      </c>
      <c r="F135" s="47" t="s">
        <v>88</v>
      </c>
      <c r="G135" s="47">
        <v>1</v>
      </c>
      <c r="H135" s="47" t="s">
        <v>88</v>
      </c>
      <c r="I135" s="47">
        <v>1462</v>
      </c>
      <c r="J135" s="48">
        <f t="shared" si="34"/>
        <v>100</v>
      </c>
    </row>
    <row r="136" spans="1:11" ht="21" customHeight="1" x14ac:dyDescent="0.15">
      <c r="A136" s="121">
        <v>49015135</v>
      </c>
      <c r="B136" s="47">
        <v>1</v>
      </c>
      <c r="C136" s="47">
        <v>71</v>
      </c>
      <c r="D136" s="47">
        <v>100</v>
      </c>
      <c r="E136" s="47" t="s">
        <v>88</v>
      </c>
      <c r="F136" s="47" t="s">
        <v>88</v>
      </c>
      <c r="G136" s="47">
        <v>1</v>
      </c>
      <c r="H136" s="47" t="s">
        <v>88</v>
      </c>
      <c r="I136" s="47">
        <v>1463</v>
      </c>
      <c r="J136" s="48">
        <f t="shared" si="34"/>
        <v>100</v>
      </c>
    </row>
    <row r="137" spans="1:11" ht="21" customHeight="1" x14ac:dyDescent="0.15">
      <c r="A137" s="121">
        <v>49015136</v>
      </c>
      <c r="B137" s="47">
        <v>1</v>
      </c>
      <c r="C137" s="47">
        <v>100</v>
      </c>
      <c r="D137" s="47">
        <v>100</v>
      </c>
      <c r="E137" s="47" t="s">
        <v>88</v>
      </c>
      <c r="F137" s="47" t="s">
        <v>88</v>
      </c>
      <c r="G137" s="47">
        <v>1</v>
      </c>
      <c r="H137" s="47" t="s">
        <v>88</v>
      </c>
      <c r="I137" s="47">
        <v>1464</v>
      </c>
      <c r="J137" s="48">
        <f t="shared" si="34"/>
        <v>100</v>
      </c>
    </row>
    <row r="138" spans="1:11" ht="21" customHeight="1" x14ac:dyDescent="0.15">
      <c r="A138" s="121">
        <v>49015137</v>
      </c>
      <c r="B138" s="47">
        <v>1</v>
      </c>
      <c r="C138" s="47">
        <v>101</v>
      </c>
      <c r="D138" s="47">
        <v>100</v>
      </c>
      <c r="E138" s="47" t="s">
        <v>88</v>
      </c>
      <c r="F138" s="47" t="s">
        <v>88</v>
      </c>
      <c r="G138" s="47">
        <v>1</v>
      </c>
      <c r="H138" s="47" t="s">
        <v>88</v>
      </c>
      <c r="I138" s="47">
        <v>1465</v>
      </c>
      <c r="J138" s="48">
        <f t="shared" si="34"/>
        <v>100</v>
      </c>
    </row>
    <row r="139" spans="1:11" ht="21" customHeight="1" x14ac:dyDescent="0.15">
      <c r="A139" s="121">
        <v>49015138</v>
      </c>
      <c r="B139" s="47">
        <v>1</v>
      </c>
      <c r="C139" s="47">
        <v>90</v>
      </c>
      <c r="D139" s="47">
        <v>100</v>
      </c>
      <c r="E139" s="47" t="s">
        <v>88</v>
      </c>
      <c r="F139" s="47" t="s">
        <v>88</v>
      </c>
      <c r="G139" s="47">
        <v>1</v>
      </c>
      <c r="H139" s="47" t="s">
        <v>88</v>
      </c>
      <c r="I139" s="47">
        <v>1458</v>
      </c>
      <c r="J139" s="48">
        <f t="shared" si="34"/>
        <v>100</v>
      </c>
    </row>
    <row r="140" spans="1:11" ht="21" customHeight="1" x14ac:dyDescent="0.15">
      <c r="A140" s="121">
        <v>49015139</v>
      </c>
      <c r="B140" s="47">
        <v>1</v>
      </c>
      <c r="C140" s="47">
        <v>91</v>
      </c>
      <c r="D140" s="47">
        <v>100</v>
      </c>
      <c r="E140" s="47" t="s">
        <v>88</v>
      </c>
      <c r="F140" s="47" t="s">
        <v>88</v>
      </c>
      <c r="G140" s="47">
        <v>1</v>
      </c>
      <c r="H140" s="47" t="s">
        <v>88</v>
      </c>
      <c r="I140" s="47">
        <v>1459</v>
      </c>
      <c r="J140" s="48">
        <f t="shared" si="34"/>
        <v>100</v>
      </c>
    </row>
    <row r="141" spans="1:11" ht="21" customHeight="1" x14ac:dyDescent="0.15">
      <c r="A141" s="121">
        <v>49015140</v>
      </c>
      <c r="B141" s="47">
        <v>1</v>
      </c>
      <c r="C141" s="47">
        <v>80</v>
      </c>
      <c r="D141" s="47">
        <v>100</v>
      </c>
      <c r="E141" s="47" t="s">
        <v>88</v>
      </c>
      <c r="F141" s="47" t="s">
        <v>88</v>
      </c>
      <c r="G141" s="47">
        <v>1</v>
      </c>
      <c r="H141" s="47" t="s">
        <v>88</v>
      </c>
      <c r="I141" s="47">
        <v>1460</v>
      </c>
      <c r="J141" s="48">
        <f t="shared" si="34"/>
        <v>100</v>
      </c>
    </row>
    <row r="142" spans="1:11" ht="21" customHeight="1" x14ac:dyDescent="0.15">
      <c r="A142" s="121">
        <v>49015141</v>
      </c>
      <c r="B142" s="47">
        <v>1</v>
      </c>
      <c r="C142" s="47">
        <v>81</v>
      </c>
      <c r="D142" s="47">
        <v>100</v>
      </c>
      <c r="E142" s="47" t="s">
        <v>88</v>
      </c>
      <c r="F142" s="47" t="s">
        <v>88</v>
      </c>
      <c r="G142" s="47">
        <v>1</v>
      </c>
      <c r="H142" s="47" t="s">
        <v>88</v>
      </c>
      <c r="I142" s="47">
        <v>1461</v>
      </c>
      <c r="J142" s="48">
        <f t="shared" si="34"/>
        <v>100</v>
      </c>
    </row>
    <row r="143" spans="1:11" ht="21" customHeight="1" x14ac:dyDescent="0.15">
      <c r="A143" s="121">
        <v>49015142</v>
      </c>
      <c r="B143" s="47">
        <v>1</v>
      </c>
      <c r="C143" s="47">
        <v>40</v>
      </c>
      <c r="D143" s="47">
        <v>100</v>
      </c>
      <c r="E143" s="47" t="s">
        <v>88</v>
      </c>
      <c r="F143" s="47" t="s">
        <v>88</v>
      </c>
      <c r="G143" s="47">
        <v>1</v>
      </c>
      <c r="H143" s="47" t="s">
        <v>88</v>
      </c>
      <c r="I143" s="47">
        <v>1468</v>
      </c>
      <c r="J143" s="48">
        <f t="shared" si="34"/>
        <v>100</v>
      </c>
    </row>
    <row r="144" spans="1:11" ht="21" customHeight="1" x14ac:dyDescent="0.15">
      <c r="A144" s="121">
        <v>49015143</v>
      </c>
      <c r="B144" s="47">
        <v>1</v>
      </c>
      <c r="C144" s="47">
        <v>50</v>
      </c>
      <c r="D144" s="47">
        <v>100</v>
      </c>
      <c r="E144" s="47" t="s">
        <v>88</v>
      </c>
      <c r="F144" s="47" t="s">
        <v>88</v>
      </c>
      <c r="G144" s="47">
        <v>1</v>
      </c>
      <c r="H144" s="47" t="s">
        <v>88</v>
      </c>
      <c r="I144" s="47">
        <v>1470</v>
      </c>
      <c r="J144" s="48">
        <f t="shared" si="34"/>
        <v>100</v>
      </c>
    </row>
    <row r="145" spans="1:10" ht="21" customHeight="1" x14ac:dyDescent="0.15">
      <c r="A145" s="121">
        <v>49015144</v>
      </c>
      <c r="B145" s="47">
        <v>1</v>
      </c>
      <c r="C145" s="47">
        <v>60</v>
      </c>
      <c r="D145" s="47">
        <v>100</v>
      </c>
      <c r="E145" s="47" t="s">
        <v>88</v>
      </c>
      <c r="F145" s="47" t="s">
        <v>88</v>
      </c>
      <c r="G145" s="47">
        <v>1</v>
      </c>
      <c r="H145" s="47" t="s">
        <v>88</v>
      </c>
      <c r="I145" s="47">
        <v>1466</v>
      </c>
      <c r="J145" s="48">
        <f t="shared" si="34"/>
        <v>100</v>
      </c>
    </row>
    <row r="146" spans="1:10" ht="21" customHeight="1" x14ac:dyDescent="0.15">
      <c r="A146" s="121">
        <v>49015145</v>
      </c>
      <c r="B146" s="47">
        <v>1</v>
      </c>
      <c r="C146" s="47">
        <v>61</v>
      </c>
      <c r="D146" s="47">
        <v>100</v>
      </c>
      <c r="E146" s="47" t="s">
        <v>88</v>
      </c>
      <c r="F146" s="47" t="s">
        <v>88</v>
      </c>
      <c r="G146" s="47">
        <v>1</v>
      </c>
      <c r="H146" s="47" t="s">
        <v>88</v>
      </c>
      <c r="I146" s="47">
        <v>1467</v>
      </c>
      <c r="J146" s="48">
        <f t="shared" si="34"/>
        <v>100</v>
      </c>
    </row>
    <row r="147" spans="1:10" ht="21" customHeight="1" x14ac:dyDescent="0.15">
      <c r="A147" s="121">
        <v>49015146</v>
      </c>
      <c r="B147" s="47">
        <v>0</v>
      </c>
      <c r="C147" s="47" t="s">
        <v>88</v>
      </c>
      <c r="D147" s="47">
        <v>50</v>
      </c>
      <c r="E147" s="47" t="s">
        <v>88</v>
      </c>
      <c r="F147" s="47" t="s">
        <v>88</v>
      </c>
      <c r="G147" s="47" t="s">
        <v>88</v>
      </c>
      <c r="H147" s="47" t="s">
        <v>88</v>
      </c>
      <c r="I147" s="47" t="s">
        <v>88</v>
      </c>
      <c r="J147" s="48">
        <f t="shared" si="34"/>
        <v>50</v>
      </c>
    </row>
    <row r="148" spans="1:10" ht="21" customHeight="1" x14ac:dyDescent="0.15">
      <c r="A148" s="121">
        <v>49015147</v>
      </c>
      <c r="B148" s="47">
        <v>0</v>
      </c>
      <c r="C148" s="47" t="s">
        <v>88</v>
      </c>
      <c r="D148" s="47">
        <v>100</v>
      </c>
      <c r="E148" s="47" t="s">
        <v>88</v>
      </c>
      <c r="F148" s="47" t="s">
        <v>88</v>
      </c>
      <c r="G148" s="47" t="s">
        <v>88</v>
      </c>
      <c r="H148" s="47" t="s">
        <v>88</v>
      </c>
      <c r="I148" s="47" t="s">
        <v>88</v>
      </c>
      <c r="J148" s="48">
        <f t="shared" si="34"/>
        <v>100</v>
      </c>
    </row>
    <row r="149" spans="1:10" ht="21" customHeight="1" thickBot="1" x14ac:dyDescent="0.2">
      <c r="A149" s="122">
        <v>49015148</v>
      </c>
      <c r="B149" s="111">
        <v>0</v>
      </c>
      <c r="C149" s="111" t="s">
        <v>88</v>
      </c>
      <c r="D149" s="111">
        <v>100</v>
      </c>
      <c r="E149" s="111" t="s">
        <v>88</v>
      </c>
      <c r="F149" s="111" t="s">
        <v>88</v>
      </c>
      <c r="G149" s="111" t="s">
        <v>88</v>
      </c>
      <c r="H149" s="111">
        <v>4</v>
      </c>
      <c r="I149" s="111" t="s">
        <v>88</v>
      </c>
      <c r="J149" s="114">
        <f t="shared" si="34"/>
        <v>100</v>
      </c>
    </row>
    <row r="150" spans="1:10" ht="21" customHeight="1" x14ac:dyDescent="0.15">
      <c r="A150" s="123">
        <v>49015149</v>
      </c>
      <c r="B150" s="106">
        <v>1</v>
      </c>
      <c r="C150" s="106">
        <v>100</v>
      </c>
      <c r="D150" s="106">
        <v>100</v>
      </c>
      <c r="E150" s="106" t="s">
        <v>88</v>
      </c>
      <c r="F150" s="106" t="s">
        <v>88</v>
      </c>
      <c r="G150" s="106">
        <v>1</v>
      </c>
      <c r="H150" s="106" t="s">
        <v>88</v>
      </c>
      <c r="I150" s="106" t="s">
        <v>88</v>
      </c>
      <c r="J150" s="109">
        <f t="shared" si="34"/>
        <v>100</v>
      </c>
    </row>
    <row r="151" spans="1:10" ht="21" customHeight="1" x14ac:dyDescent="0.15">
      <c r="A151" s="121">
        <v>49015150</v>
      </c>
      <c r="B151" s="47">
        <v>0</v>
      </c>
      <c r="C151" s="47">
        <v>90</v>
      </c>
      <c r="D151" s="47">
        <v>50</v>
      </c>
      <c r="E151" s="47" t="s">
        <v>88</v>
      </c>
      <c r="F151" s="47" t="s">
        <v>88</v>
      </c>
      <c r="G151" s="47" t="s">
        <v>88</v>
      </c>
      <c r="H151" s="47" t="s">
        <v>88</v>
      </c>
      <c r="I151" s="47" t="s">
        <v>88</v>
      </c>
      <c r="J151" s="48">
        <f t="shared" si="34"/>
        <v>50</v>
      </c>
    </row>
    <row r="152" spans="1:10" ht="21" customHeight="1" x14ac:dyDescent="0.15">
      <c r="A152" s="121">
        <v>49015151</v>
      </c>
      <c r="B152" s="47">
        <v>0</v>
      </c>
      <c r="C152" s="47">
        <v>80</v>
      </c>
      <c r="D152" s="47">
        <v>100</v>
      </c>
      <c r="E152" s="47" t="s">
        <v>88</v>
      </c>
      <c r="F152" s="47" t="s">
        <v>88</v>
      </c>
      <c r="G152" s="47" t="s">
        <v>88</v>
      </c>
      <c r="H152" s="47" t="s">
        <v>88</v>
      </c>
      <c r="I152" s="47" t="s">
        <v>88</v>
      </c>
      <c r="J152" s="48">
        <f t="shared" si="34"/>
        <v>100</v>
      </c>
    </row>
    <row r="153" spans="1:10" ht="21" customHeight="1" x14ac:dyDescent="0.15">
      <c r="A153" s="121">
        <v>49015152</v>
      </c>
      <c r="B153" s="47">
        <v>0</v>
      </c>
      <c r="C153" s="47">
        <v>70</v>
      </c>
      <c r="D153" s="47">
        <v>100</v>
      </c>
      <c r="E153" s="47" t="s">
        <v>88</v>
      </c>
      <c r="F153" s="47" t="s">
        <v>88</v>
      </c>
      <c r="G153" s="47" t="s">
        <v>88</v>
      </c>
      <c r="H153" s="47">
        <v>3</v>
      </c>
      <c r="I153" s="47" t="s">
        <v>88</v>
      </c>
      <c r="J153" s="48">
        <f t="shared" si="34"/>
        <v>100</v>
      </c>
    </row>
    <row r="154" spans="1:10" ht="21" customHeight="1" thickBot="1" x14ac:dyDescent="0.2">
      <c r="A154" s="122">
        <v>49015153</v>
      </c>
      <c r="B154" s="111">
        <v>0</v>
      </c>
      <c r="C154" s="111">
        <v>200</v>
      </c>
      <c r="D154" s="111">
        <v>100</v>
      </c>
      <c r="E154" s="111">
        <v>90</v>
      </c>
      <c r="F154" s="111" t="s">
        <v>88</v>
      </c>
      <c r="G154" s="111">
        <v>1</v>
      </c>
      <c r="H154" s="111">
        <v>1</v>
      </c>
      <c r="I154" s="111" t="s">
        <v>88</v>
      </c>
      <c r="J154" s="114">
        <f t="shared" si="34"/>
        <v>100</v>
      </c>
    </row>
    <row r="155" spans="1:10" ht="21" customHeight="1" x14ac:dyDescent="0.15">
      <c r="A155" s="124">
        <v>49015154</v>
      </c>
      <c r="B155" s="106">
        <v>1</v>
      </c>
      <c r="C155" s="47">
        <v>35</v>
      </c>
      <c r="D155" s="106">
        <v>100</v>
      </c>
      <c r="E155" s="106" t="s">
        <v>88</v>
      </c>
      <c r="F155" s="106" t="s">
        <v>88</v>
      </c>
      <c r="G155" s="106">
        <v>1</v>
      </c>
      <c r="H155" s="106" t="s">
        <v>88</v>
      </c>
      <c r="I155" s="106" t="s">
        <v>88</v>
      </c>
      <c r="J155" s="109">
        <f t="shared" si="34"/>
        <v>100</v>
      </c>
    </row>
    <row r="156" spans="1:10" ht="21" customHeight="1" x14ac:dyDescent="0.15">
      <c r="A156" s="124">
        <v>49015155</v>
      </c>
      <c r="B156" s="47">
        <v>1</v>
      </c>
      <c r="C156" s="47">
        <v>90</v>
      </c>
      <c r="D156" s="47">
        <v>100</v>
      </c>
      <c r="E156" s="47" t="s">
        <v>88</v>
      </c>
      <c r="F156" s="47" t="s">
        <v>88</v>
      </c>
      <c r="G156" s="47">
        <v>1</v>
      </c>
      <c r="H156" s="47" t="s">
        <v>88</v>
      </c>
      <c r="I156" s="47">
        <v>1462</v>
      </c>
      <c r="J156" s="48">
        <f t="shared" si="34"/>
        <v>100</v>
      </c>
    </row>
    <row r="157" spans="1:10" ht="21" customHeight="1" x14ac:dyDescent="0.15">
      <c r="A157" s="124">
        <v>49015156</v>
      </c>
      <c r="B157" s="47">
        <v>1</v>
      </c>
      <c r="C157" s="47">
        <v>91</v>
      </c>
      <c r="D157" s="47">
        <v>100</v>
      </c>
      <c r="E157" s="47" t="s">
        <v>88</v>
      </c>
      <c r="F157" s="47" t="s">
        <v>88</v>
      </c>
      <c r="G157" s="47">
        <v>1</v>
      </c>
      <c r="H157" s="47" t="s">
        <v>88</v>
      </c>
      <c r="I157" s="47">
        <v>1463</v>
      </c>
      <c r="J157" s="48">
        <f t="shared" si="34"/>
        <v>100</v>
      </c>
    </row>
    <row r="158" spans="1:10" ht="21" customHeight="1" x14ac:dyDescent="0.15">
      <c r="A158" s="124">
        <v>49015157</v>
      </c>
      <c r="B158" s="47">
        <v>1</v>
      </c>
      <c r="C158" s="47">
        <v>80</v>
      </c>
      <c r="D158" s="47">
        <v>100</v>
      </c>
      <c r="E158" s="47" t="s">
        <v>88</v>
      </c>
      <c r="F158" s="47" t="s">
        <v>88</v>
      </c>
      <c r="G158" s="47">
        <v>1</v>
      </c>
      <c r="H158" s="47" t="s">
        <v>88</v>
      </c>
      <c r="I158" s="47">
        <v>1464</v>
      </c>
      <c r="J158" s="48">
        <f t="shared" si="34"/>
        <v>100</v>
      </c>
    </row>
    <row r="159" spans="1:10" ht="21" customHeight="1" x14ac:dyDescent="0.15">
      <c r="A159" s="124">
        <v>49015158</v>
      </c>
      <c r="B159" s="47">
        <v>1</v>
      </c>
      <c r="C159" s="47">
        <v>81</v>
      </c>
      <c r="D159" s="47">
        <v>100</v>
      </c>
      <c r="E159" s="47" t="s">
        <v>88</v>
      </c>
      <c r="F159" s="47" t="s">
        <v>88</v>
      </c>
      <c r="G159" s="47">
        <v>1</v>
      </c>
      <c r="H159" s="47" t="s">
        <v>88</v>
      </c>
      <c r="I159" s="47">
        <v>1465</v>
      </c>
      <c r="J159" s="48">
        <f t="shared" si="34"/>
        <v>100</v>
      </c>
    </row>
    <row r="160" spans="1:10" ht="21" customHeight="1" x14ac:dyDescent="0.15">
      <c r="A160" s="124">
        <v>49015159</v>
      </c>
      <c r="B160" s="47">
        <v>1</v>
      </c>
      <c r="C160" s="47">
        <v>100</v>
      </c>
      <c r="D160" s="47">
        <v>100</v>
      </c>
      <c r="E160" s="47" t="s">
        <v>88</v>
      </c>
      <c r="F160" s="47" t="s">
        <v>88</v>
      </c>
      <c r="G160" s="47">
        <v>1</v>
      </c>
      <c r="H160" s="47" t="s">
        <v>88</v>
      </c>
      <c r="I160" s="47">
        <v>1458</v>
      </c>
      <c r="J160" s="48">
        <f t="shared" si="34"/>
        <v>100</v>
      </c>
    </row>
    <row r="161" spans="1:10" ht="21" customHeight="1" x14ac:dyDescent="0.15">
      <c r="A161" s="124">
        <v>49015160</v>
      </c>
      <c r="B161" s="47">
        <v>1</v>
      </c>
      <c r="C161" s="47">
        <v>101</v>
      </c>
      <c r="D161" s="47">
        <v>100</v>
      </c>
      <c r="E161" s="47" t="s">
        <v>88</v>
      </c>
      <c r="F161" s="47" t="s">
        <v>88</v>
      </c>
      <c r="G161" s="47">
        <v>1</v>
      </c>
      <c r="H161" s="47" t="s">
        <v>88</v>
      </c>
      <c r="I161" s="47">
        <v>1459</v>
      </c>
      <c r="J161" s="48">
        <f t="shared" si="34"/>
        <v>100</v>
      </c>
    </row>
    <row r="162" spans="1:10" ht="21" customHeight="1" x14ac:dyDescent="0.15">
      <c r="A162" s="124">
        <v>49015161</v>
      </c>
      <c r="B162" s="47">
        <v>1</v>
      </c>
      <c r="C162" s="47">
        <v>60</v>
      </c>
      <c r="D162" s="47">
        <v>100</v>
      </c>
      <c r="E162" s="47" t="s">
        <v>88</v>
      </c>
      <c r="F162" s="47" t="s">
        <v>88</v>
      </c>
      <c r="G162" s="47">
        <v>1</v>
      </c>
      <c r="H162" s="47" t="s">
        <v>88</v>
      </c>
      <c r="I162" s="47">
        <v>1460</v>
      </c>
      <c r="J162" s="48">
        <f t="shared" si="34"/>
        <v>100</v>
      </c>
    </row>
    <row r="163" spans="1:10" ht="21" customHeight="1" x14ac:dyDescent="0.15">
      <c r="A163" s="124">
        <v>49015162</v>
      </c>
      <c r="B163" s="47">
        <v>1</v>
      </c>
      <c r="C163" s="47">
        <v>61</v>
      </c>
      <c r="D163" s="47">
        <v>100</v>
      </c>
      <c r="E163" s="47" t="s">
        <v>88</v>
      </c>
      <c r="F163" s="47" t="s">
        <v>88</v>
      </c>
      <c r="G163" s="47">
        <v>1</v>
      </c>
      <c r="H163" s="47" t="s">
        <v>88</v>
      </c>
      <c r="I163" s="47">
        <v>1461</v>
      </c>
      <c r="J163" s="48">
        <f t="shared" si="34"/>
        <v>100</v>
      </c>
    </row>
    <row r="164" spans="1:10" ht="21" customHeight="1" x14ac:dyDescent="0.15">
      <c r="A164" s="124">
        <v>49015163</v>
      </c>
      <c r="B164" s="47">
        <v>1</v>
      </c>
      <c r="C164" s="47">
        <v>40</v>
      </c>
      <c r="D164" s="47">
        <v>100</v>
      </c>
      <c r="E164" s="47" t="s">
        <v>88</v>
      </c>
      <c r="F164" s="47" t="s">
        <v>88</v>
      </c>
      <c r="G164" s="47">
        <v>1</v>
      </c>
      <c r="H164" s="47" t="s">
        <v>88</v>
      </c>
      <c r="I164" s="47">
        <v>1469</v>
      </c>
      <c r="J164" s="48">
        <f t="shared" si="34"/>
        <v>100</v>
      </c>
    </row>
    <row r="165" spans="1:10" ht="21" customHeight="1" x14ac:dyDescent="0.15">
      <c r="A165" s="124">
        <v>49015164</v>
      </c>
      <c r="B165" s="47">
        <v>1</v>
      </c>
      <c r="C165" s="47">
        <v>50</v>
      </c>
      <c r="D165" s="47">
        <v>100</v>
      </c>
      <c r="E165" s="47" t="s">
        <v>88</v>
      </c>
      <c r="F165" s="47" t="s">
        <v>88</v>
      </c>
      <c r="G165" s="47">
        <v>1</v>
      </c>
      <c r="H165" s="47" t="s">
        <v>88</v>
      </c>
      <c r="I165" s="47">
        <v>1470</v>
      </c>
      <c r="J165" s="48">
        <f t="shared" si="34"/>
        <v>100</v>
      </c>
    </row>
    <row r="166" spans="1:10" ht="21" customHeight="1" x14ac:dyDescent="0.15">
      <c r="A166" s="124">
        <v>49015165</v>
      </c>
      <c r="B166" s="47">
        <v>1</v>
      </c>
      <c r="C166" s="47">
        <v>70</v>
      </c>
      <c r="D166" s="47">
        <v>100</v>
      </c>
      <c r="E166" s="47" t="s">
        <v>88</v>
      </c>
      <c r="F166" s="47" t="s">
        <v>88</v>
      </c>
      <c r="G166" s="47">
        <v>1</v>
      </c>
      <c r="H166" s="47" t="s">
        <v>88</v>
      </c>
      <c r="I166" s="47">
        <v>1466</v>
      </c>
      <c r="J166" s="48">
        <f t="shared" si="34"/>
        <v>100</v>
      </c>
    </row>
    <row r="167" spans="1:10" ht="21" customHeight="1" x14ac:dyDescent="0.15">
      <c r="A167" s="124">
        <v>49015166</v>
      </c>
      <c r="B167" s="47">
        <v>1</v>
      </c>
      <c r="C167" s="47">
        <v>71</v>
      </c>
      <c r="D167" s="47">
        <v>100</v>
      </c>
      <c r="E167" s="47" t="s">
        <v>88</v>
      </c>
      <c r="F167" s="47" t="s">
        <v>88</v>
      </c>
      <c r="G167" s="47">
        <v>1</v>
      </c>
      <c r="H167" s="47" t="s">
        <v>88</v>
      </c>
      <c r="I167" s="47">
        <v>1467</v>
      </c>
      <c r="J167" s="48">
        <f t="shared" si="34"/>
        <v>100</v>
      </c>
    </row>
    <row r="168" spans="1:10" ht="21" customHeight="1" x14ac:dyDescent="0.15">
      <c r="A168" s="124">
        <v>49015167</v>
      </c>
      <c r="B168" s="47">
        <v>0</v>
      </c>
      <c r="C168" s="47">
        <v>20</v>
      </c>
      <c r="D168" s="47">
        <v>50</v>
      </c>
      <c r="E168" s="47" t="s">
        <v>88</v>
      </c>
      <c r="F168" s="47" t="s">
        <v>88</v>
      </c>
      <c r="G168" s="47" t="s">
        <v>88</v>
      </c>
      <c r="H168" s="47" t="s">
        <v>88</v>
      </c>
      <c r="I168" s="47" t="s">
        <v>88</v>
      </c>
      <c r="J168" s="48">
        <f t="shared" si="34"/>
        <v>50</v>
      </c>
    </row>
    <row r="169" spans="1:10" ht="21" customHeight="1" x14ac:dyDescent="0.15">
      <c r="A169" s="124">
        <v>49015168</v>
      </c>
      <c r="B169" s="47">
        <v>0</v>
      </c>
      <c r="C169" s="47">
        <v>10</v>
      </c>
      <c r="D169" s="47">
        <v>100</v>
      </c>
      <c r="E169" s="47" t="s">
        <v>88</v>
      </c>
      <c r="F169" s="47" t="s">
        <v>88</v>
      </c>
      <c r="G169" s="47" t="s">
        <v>88</v>
      </c>
      <c r="H169" s="47" t="s">
        <v>88</v>
      </c>
      <c r="I169" s="47" t="s">
        <v>88</v>
      </c>
      <c r="J169" s="48">
        <f t="shared" si="34"/>
        <v>100</v>
      </c>
    </row>
    <row r="170" spans="1:10" ht="21" customHeight="1" x14ac:dyDescent="0.15">
      <c r="A170" s="124">
        <v>49015169</v>
      </c>
      <c r="B170" s="47">
        <v>0</v>
      </c>
      <c r="C170" s="47">
        <v>25</v>
      </c>
      <c r="D170" s="47">
        <v>100</v>
      </c>
      <c r="E170" s="47" t="s">
        <v>88</v>
      </c>
      <c r="F170" s="47" t="s">
        <v>88</v>
      </c>
      <c r="G170" s="47" t="s">
        <v>88</v>
      </c>
      <c r="H170" s="47">
        <v>3</v>
      </c>
      <c r="I170" s="47" t="s">
        <v>88</v>
      </c>
      <c r="J170" s="48">
        <f t="shared" si="34"/>
        <v>100</v>
      </c>
    </row>
    <row r="171" spans="1:10" ht="21" customHeight="1" thickBot="1" x14ac:dyDescent="0.2">
      <c r="A171" s="125">
        <v>49015170</v>
      </c>
      <c r="B171" s="111">
        <v>0</v>
      </c>
      <c r="C171" s="111">
        <v>30</v>
      </c>
      <c r="D171" s="111">
        <v>100</v>
      </c>
      <c r="E171" s="111" t="s">
        <v>88</v>
      </c>
      <c r="F171" s="111" t="s">
        <v>88</v>
      </c>
      <c r="G171" s="111" t="s">
        <v>88</v>
      </c>
      <c r="H171" s="111">
        <v>4</v>
      </c>
      <c r="I171" s="111" t="s">
        <v>88</v>
      </c>
      <c r="J171" s="114">
        <f t="shared" si="34"/>
        <v>100</v>
      </c>
    </row>
    <row r="172" spans="1:10" ht="21" customHeight="1" x14ac:dyDescent="0.15">
      <c r="A172" s="124">
        <v>49015171</v>
      </c>
      <c r="B172" s="106">
        <v>1</v>
      </c>
      <c r="C172" s="106">
        <v>90</v>
      </c>
      <c r="D172" s="106">
        <v>100</v>
      </c>
      <c r="E172" s="106" t="s">
        <v>88</v>
      </c>
      <c r="F172" s="106" t="s">
        <v>88</v>
      </c>
      <c r="G172" s="106">
        <v>1</v>
      </c>
      <c r="H172" s="106" t="s">
        <v>88</v>
      </c>
      <c r="I172" s="106" t="s">
        <v>88</v>
      </c>
      <c r="J172" s="109">
        <f t="shared" si="34"/>
        <v>100</v>
      </c>
    </row>
    <row r="173" spans="1:10" ht="21" customHeight="1" x14ac:dyDescent="0.15">
      <c r="A173" s="124">
        <v>49015172</v>
      </c>
      <c r="B173" s="47">
        <v>0</v>
      </c>
      <c r="C173" s="47">
        <v>70</v>
      </c>
      <c r="D173" s="47">
        <v>50</v>
      </c>
      <c r="E173" s="47" t="s">
        <v>88</v>
      </c>
      <c r="F173" s="47" t="s">
        <v>88</v>
      </c>
      <c r="G173" s="47" t="s">
        <v>88</v>
      </c>
      <c r="H173" s="47" t="s">
        <v>88</v>
      </c>
      <c r="I173" s="47" t="s">
        <v>88</v>
      </c>
      <c r="J173" s="48">
        <f t="shared" si="34"/>
        <v>50</v>
      </c>
    </row>
    <row r="174" spans="1:10" ht="21" customHeight="1" x14ac:dyDescent="0.15">
      <c r="A174" s="124">
        <v>49015173</v>
      </c>
      <c r="B174" s="47">
        <v>0</v>
      </c>
      <c r="C174" s="47">
        <v>60</v>
      </c>
      <c r="D174" s="47">
        <v>100</v>
      </c>
      <c r="E174" s="47" t="s">
        <v>88</v>
      </c>
      <c r="F174" s="47" t="s">
        <v>88</v>
      </c>
      <c r="G174" s="47" t="s">
        <v>88</v>
      </c>
      <c r="H174" s="47" t="s">
        <v>88</v>
      </c>
      <c r="I174" s="47" t="s">
        <v>88</v>
      </c>
      <c r="J174" s="48">
        <f t="shared" si="34"/>
        <v>100</v>
      </c>
    </row>
    <row r="175" spans="1:10" ht="21" customHeight="1" x14ac:dyDescent="0.15">
      <c r="A175" s="124">
        <v>49015174</v>
      </c>
      <c r="B175" s="47">
        <v>0</v>
      </c>
      <c r="C175" s="47">
        <v>80</v>
      </c>
      <c r="D175" s="47">
        <v>100</v>
      </c>
      <c r="E175" s="47" t="s">
        <v>88</v>
      </c>
      <c r="F175" s="47" t="s">
        <v>88</v>
      </c>
      <c r="G175" s="47" t="s">
        <v>88</v>
      </c>
      <c r="H175" s="47">
        <v>2</v>
      </c>
      <c r="I175" s="47" t="s">
        <v>88</v>
      </c>
      <c r="J175" s="48">
        <f t="shared" si="34"/>
        <v>100</v>
      </c>
    </row>
    <row r="176" spans="1:10" ht="21" customHeight="1" thickBot="1" x14ac:dyDescent="0.2">
      <c r="A176" s="125">
        <v>49015175</v>
      </c>
      <c r="B176" s="111">
        <v>0</v>
      </c>
      <c r="C176" s="111">
        <v>100</v>
      </c>
      <c r="D176" s="111">
        <v>100</v>
      </c>
      <c r="E176" s="111">
        <v>60</v>
      </c>
      <c r="F176" s="111" t="s">
        <v>88</v>
      </c>
      <c r="G176" s="111">
        <v>1</v>
      </c>
      <c r="H176" s="111">
        <v>1</v>
      </c>
      <c r="I176" s="111" t="s">
        <v>88</v>
      </c>
      <c r="J176" s="114">
        <f t="shared" si="34"/>
        <v>100</v>
      </c>
    </row>
    <row r="177" spans="1:10" ht="21" customHeight="1" x14ac:dyDescent="0.15">
      <c r="A177" s="124">
        <v>49015176</v>
      </c>
      <c r="B177" s="106">
        <v>1</v>
      </c>
      <c r="C177" s="106" t="s">
        <v>88</v>
      </c>
      <c r="D177" s="106">
        <v>100</v>
      </c>
      <c r="E177" s="106" t="s">
        <v>88</v>
      </c>
      <c r="F177" s="106" t="s">
        <v>88</v>
      </c>
      <c r="G177" s="106">
        <v>1</v>
      </c>
      <c r="H177" s="106" t="s">
        <v>88</v>
      </c>
      <c r="I177" s="106" t="s">
        <v>88</v>
      </c>
      <c r="J177" s="109">
        <f t="shared" si="34"/>
        <v>100</v>
      </c>
    </row>
    <row r="178" spans="1:10" ht="21" customHeight="1" x14ac:dyDescent="0.15">
      <c r="A178" s="124">
        <v>49015177</v>
      </c>
      <c r="B178" s="47">
        <v>0</v>
      </c>
      <c r="C178" s="47">
        <v>20</v>
      </c>
      <c r="D178" s="47">
        <v>30</v>
      </c>
      <c r="E178" s="47" t="s">
        <v>88</v>
      </c>
      <c r="F178" s="47" t="s">
        <v>88</v>
      </c>
      <c r="G178" s="47" t="s">
        <v>88</v>
      </c>
      <c r="H178" s="47" t="s">
        <v>88</v>
      </c>
      <c r="I178" s="47" t="s">
        <v>88</v>
      </c>
      <c r="J178" s="48">
        <f t="shared" si="34"/>
        <v>30</v>
      </c>
    </row>
    <row r="179" spans="1:10" ht="21" customHeight="1" x14ac:dyDescent="0.15">
      <c r="A179" s="124">
        <v>49015178</v>
      </c>
      <c r="B179" s="47">
        <v>0</v>
      </c>
      <c r="C179" s="47">
        <v>15</v>
      </c>
      <c r="D179" s="47">
        <v>50</v>
      </c>
      <c r="E179" s="47" t="s">
        <v>88</v>
      </c>
      <c r="F179" s="47" t="s">
        <v>88</v>
      </c>
      <c r="G179" s="47" t="s">
        <v>88</v>
      </c>
      <c r="H179" s="47" t="s">
        <v>88</v>
      </c>
      <c r="I179" s="47" t="s">
        <v>88</v>
      </c>
      <c r="J179" s="48">
        <f t="shared" si="34"/>
        <v>50</v>
      </c>
    </row>
    <row r="180" spans="1:10" ht="21" customHeight="1" x14ac:dyDescent="0.15">
      <c r="A180" s="124">
        <v>49015179</v>
      </c>
      <c r="B180" s="47">
        <v>0</v>
      </c>
      <c r="C180" s="47">
        <v>10</v>
      </c>
      <c r="D180" s="47">
        <v>100</v>
      </c>
      <c r="E180" s="47" t="s">
        <v>88</v>
      </c>
      <c r="F180" s="47" t="s">
        <v>88</v>
      </c>
      <c r="G180" s="47" t="s">
        <v>88</v>
      </c>
      <c r="H180" s="47" t="s">
        <v>88</v>
      </c>
      <c r="I180" s="47" t="s">
        <v>88</v>
      </c>
      <c r="J180" s="48">
        <f t="shared" si="34"/>
        <v>100</v>
      </c>
    </row>
    <row r="181" spans="1:10" ht="21" customHeight="1" x14ac:dyDescent="0.15">
      <c r="A181" s="124">
        <v>49015180</v>
      </c>
      <c r="B181" s="47">
        <v>0</v>
      </c>
      <c r="C181" s="47">
        <v>30</v>
      </c>
      <c r="D181" s="47">
        <v>100</v>
      </c>
      <c r="E181" s="47" t="s">
        <v>88</v>
      </c>
      <c r="F181" s="47" t="s">
        <v>88</v>
      </c>
      <c r="G181" s="47" t="s">
        <v>88</v>
      </c>
      <c r="H181" s="47">
        <v>3</v>
      </c>
      <c r="I181" s="47" t="s">
        <v>88</v>
      </c>
      <c r="J181" s="48">
        <f t="shared" si="34"/>
        <v>100</v>
      </c>
    </row>
    <row r="182" spans="1:10" ht="21" customHeight="1" x14ac:dyDescent="0.15">
      <c r="A182" s="124">
        <v>49015181</v>
      </c>
      <c r="B182" s="47">
        <v>0</v>
      </c>
      <c r="C182" s="47">
        <v>35</v>
      </c>
      <c r="D182" s="47">
        <v>100</v>
      </c>
      <c r="E182" s="47" t="s">
        <v>88</v>
      </c>
      <c r="F182" s="47" t="s">
        <v>88</v>
      </c>
      <c r="G182" s="47">
        <v>0</v>
      </c>
      <c r="H182" s="47" t="s">
        <v>88</v>
      </c>
      <c r="I182" s="47">
        <v>0</v>
      </c>
      <c r="J182" s="48">
        <f t="shared" si="34"/>
        <v>100</v>
      </c>
    </row>
    <row r="183" spans="1:10" ht="21" customHeight="1" x14ac:dyDescent="0.15">
      <c r="A183" s="124">
        <v>49015182</v>
      </c>
      <c r="B183" s="47">
        <v>0</v>
      </c>
      <c r="C183" s="47">
        <v>90</v>
      </c>
      <c r="D183" s="47">
        <v>100</v>
      </c>
      <c r="E183" s="47" t="s">
        <v>88</v>
      </c>
      <c r="F183" s="47" t="s">
        <v>88</v>
      </c>
      <c r="G183" s="47">
        <v>0</v>
      </c>
      <c r="H183" s="47" t="s">
        <v>88</v>
      </c>
      <c r="I183" s="47">
        <v>1462</v>
      </c>
      <c r="J183" s="48">
        <f t="shared" si="34"/>
        <v>100</v>
      </c>
    </row>
    <row r="184" spans="1:10" ht="21" customHeight="1" x14ac:dyDescent="0.15">
      <c r="A184" s="124">
        <v>49015183</v>
      </c>
      <c r="B184" s="47">
        <v>0</v>
      </c>
      <c r="C184" s="47">
        <v>91</v>
      </c>
      <c r="D184" s="47">
        <v>100</v>
      </c>
      <c r="E184" s="47" t="s">
        <v>88</v>
      </c>
      <c r="F184" s="47" t="s">
        <v>88</v>
      </c>
      <c r="G184" s="47">
        <v>0</v>
      </c>
      <c r="H184" s="47" t="s">
        <v>88</v>
      </c>
      <c r="I184" s="47">
        <v>1463</v>
      </c>
      <c r="J184" s="48">
        <f t="shared" si="34"/>
        <v>100</v>
      </c>
    </row>
    <row r="185" spans="1:10" ht="21" customHeight="1" x14ac:dyDescent="0.15">
      <c r="A185" s="124">
        <v>49015184</v>
      </c>
      <c r="B185" s="47">
        <v>0</v>
      </c>
      <c r="C185" s="47">
        <v>80</v>
      </c>
      <c r="D185" s="47">
        <v>100</v>
      </c>
      <c r="E185" s="47" t="s">
        <v>88</v>
      </c>
      <c r="F185" s="47" t="s">
        <v>88</v>
      </c>
      <c r="G185" s="47">
        <v>0</v>
      </c>
      <c r="H185" s="47" t="s">
        <v>88</v>
      </c>
      <c r="I185" s="47">
        <v>1464</v>
      </c>
      <c r="J185" s="48">
        <f t="shared" si="34"/>
        <v>100</v>
      </c>
    </row>
    <row r="186" spans="1:10" ht="21" customHeight="1" x14ac:dyDescent="0.15">
      <c r="A186" s="124">
        <v>49015185</v>
      </c>
      <c r="B186" s="47">
        <v>0</v>
      </c>
      <c r="C186" s="47">
        <v>81</v>
      </c>
      <c r="D186" s="47">
        <v>100</v>
      </c>
      <c r="E186" s="47" t="s">
        <v>88</v>
      </c>
      <c r="F186" s="47" t="s">
        <v>88</v>
      </c>
      <c r="G186" s="47">
        <v>0</v>
      </c>
      <c r="H186" s="47" t="s">
        <v>88</v>
      </c>
      <c r="I186" s="47">
        <v>1465</v>
      </c>
      <c r="J186" s="48">
        <f t="shared" si="34"/>
        <v>100</v>
      </c>
    </row>
    <row r="187" spans="1:10" ht="21" customHeight="1" x14ac:dyDescent="0.15">
      <c r="A187" s="124">
        <v>49015186</v>
      </c>
      <c r="B187" s="47">
        <v>0</v>
      </c>
      <c r="C187" s="47">
        <v>100</v>
      </c>
      <c r="D187" s="47">
        <v>100</v>
      </c>
      <c r="E187" s="47" t="s">
        <v>88</v>
      </c>
      <c r="F187" s="47" t="s">
        <v>88</v>
      </c>
      <c r="G187" s="47">
        <v>0</v>
      </c>
      <c r="H187" s="47" t="s">
        <v>88</v>
      </c>
      <c r="I187" s="47">
        <v>1458</v>
      </c>
      <c r="J187" s="48">
        <f t="shared" ref="J187:J265" si="39">D187</f>
        <v>100</v>
      </c>
    </row>
    <row r="188" spans="1:10" ht="21" customHeight="1" x14ac:dyDescent="0.15">
      <c r="A188" s="124">
        <v>49015187</v>
      </c>
      <c r="B188" s="47">
        <v>0</v>
      </c>
      <c r="C188" s="47">
        <v>101</v>
      </c>
      <c r="D188" s="47">
        <v>100</v>
      </c>
      <c r="E188" s="47" t="s">
        <v>88</v>
      </c>
      <c r="F188" s="47" t="s">
        <v>88</v>
      </c>
      <c r="G188" s="47">
        <v>0</v>
      </c>
      <c r="H188" s="47" t="s">
        <v>88</v>
      </c>
      <c r="I188" s="47">
        <v>1459</v>
      </c>
      <c r="J188" s="48">
        <f t="shared" si="39"/>
        <v>100</v>
      </c>
    </row>
    <row r="189" spans="1:10" ht="21" customHeight="1" x14ac:dyDescent="0.15">
      <c r="A189" s="124">
        <v>49015188</v>
      </c>
      <c r="B189" s="47">
        <v>0</v>
      </c>
      <c r="C189" s="47">
        <v>60</v>
      </c>
      <c r="D189" s="47">
        <v>100</v>
      </c>
      <c r="E189" s="47" t="s">
        <v>88</v>
      </c>
      <c r="F189" s="47" t="s">
        <v>88</v>
      </c>
      <c r="G189" s="47">
        <v>0</v>
      </c>
      <c r="H189" s="47" t="s">
        <v>88</v>
      </c>
      <c r="I189" s="47">
        <v>1460</v>
      </c>
      <c r="J189" s="48">
        <f t="shared" si="39"/>
        <v>100</v>
      </c>
    </row>
    <row r="190" spans="1:10" ht="21" customHeight="1" x14ac:dyDescent="0.15">
      <c r="A190" s="124">
        <v>49015189</v>
      </c>
      <c r="B190" s="47">
        <v>0</v>
      </c>
      <c r="C190" s="47">
        <v>61</v>
      </c>
      <c r="D190" s="47">
        <v>100</v>
      </c>
      <c r="E190" s="47" t="s">
        <v>88</v>
      </c>
      <c r="F190" s="47" t="s">
        <v>88</v>
      </c>
      <c r="G190" s="47">
        <v>0</v>
      </c>
      <c r="H190" s="47" t="s">
        <v>88</v>
      </c>
      <c r="I190" s="47">
        <v>1461</v>
      </c>
      <c r="J190" s="48">
        <f t="shared" si="39"/>
        <v>100</v>
      </c>
    </row>
    <row r="191" spans="1:10" ht="21" customHeight="1" x14ac:dyDescent="0.15">
      <c r="A191" s="124">
        <v>49015190</v>
      </c>
      <c r="B191" s="47">
        <v>0</v>
      </c>
      <c r="C191" s="47">
        <v>40</v>
      </c>
      <c r="D191" s="47">
        <v>100</v>
      </c>
      <c r="E191" s="47" t="s">
        <v>88</v>
      </c>
      <c r="F191" s="47" t="s">
        <v>88</v>
      </c>
      <c r="G191" s="47">
        <v>0</v>
      </c>
      <c r="H191" s="47" t="s">
        <v>88</v>
      </c>
      <c r="I191" s="47">
        <v>1469</v>
      </c>
      <c r="J191" s="48">
        <f t="shared" si="39"/>
        <v>100</v>
      </c>
    </row>
    <row r="192" spans="1:10" ht="21" customHeight="1" x14ac:dyDescent="0.15">
      <c r="A192" s="124">
        <v>49015191</v>
      </c>
      <c r="B192" s="47">
        <v>0</v>
      </c>
      <c r="C192" s="47">
        <v>50</v>
      </c>
      <c r="D192" s="47">
        <v>100</v>
      </c>
      <c r="E192" s="47" t="s">
        <v>88</v>
      </c>
      <c r="F192" s="47" t="s">
        <v>88</v>
      </c>
      <c r="G192" s="47">
        <v>0</v>
      </c>
      <c r="H192" s="47" t="s">
        <v>88</v>
      </c>
      <c r="I192" s="47">
        <v>1470</v>
      </c>
      <c r="J192" s="48">
        <f t="shared" si="39"/>
        <v>100</v>
      </c>
    </row>
    <row r="193" spans="1:11" ht="21" customHeight="1" x14ac:dyDescent="0.15">
      <c r="A193" s="124">
        <v>49015192</v>
      </c>
      <c r="B193" s="129">
        <v>0</v>
      </c>
      <c r="C193" s="47">
        <v>70</v>
      </c>
      <c r="D193" s="129">
        <v>100</v>
      </c>
      <c r="E193" s="129" t="s">
        <v>88</v>
      </c>
      <c r="F193" s="129" t="s">
        <v>88</v>
      </c>
      <c r="G193" s="129">
        <v>0</v>
      </c>
      <c r="H193" s="129" t="s">
        <v>88</v>
      </c>
      <c r="I193" s="129">
        <v>1466</v>
      </c>
      <c r="J193" s="132">
        <f t="shared" si="39"/>
        <v>100</v>
      </c>
    </row>
    <row r="194" spans="1:11" ht="21" customHeight="1" thickBot="1" x14ac:dyDescent="0.2">
      <c r="A194" s="125">
        <v>49015193</v>
      </c>
      <c r="B194" s="111">
        <v>0</v>
      </c>
      <c r="C194" s="111">
        <v>71</v>
      </c>
      <c r="D194" s="111">
        <v>100</v>
      </c>
      <c r="E194" s="111" t="s">
        <v>88</v>
      </c>
      <c r="F194" s="111" t="s">
        <v>88</v>
      </c>
      <c r="G194" s="111">
        <v>0</v>
      </c>
      <c r="H194" s="111" t="s">
        <v>88</v>
      </c>
      <c r="I194" s="111">
        <v>1467</v>
      </c>
      <c r="J194" s="114">
        <f t="shared" si="39"/>
        <v>100</v>
      </c>
      <c r="K194" s="148"/>
    </row>
    <row r="195" spans="1:11" ht="21" customHeight="1" x14ac:dyDescent="0.15">
      <c r="A195" s="126">
        <v>49015194</v>
      </c>
      <c r="B195" s="106">
        <v>1</v>
      </c>
      <c r="C195" s="106">
        <v>35</v>
      </c>
      <c r="D195" s="106">
        <v>100</v>
      </c>
      <c r="E195" s="106" t="s">
        <v>88</v>
      </c>
      <c r="F195" s="106" t="s">
        <v>88</v>
      </c>
      <c r="G195" s="106">
        <v>1</v>
      </c>
      <c r="H195" s="106" t="s">
        <v>88</v>
      </c>
      <c r="I195" s="106" t="s">
        <v>88</v>
      </c>
      <c r="J195" s="109">
        <f t="shared" si="39"/>
        <v>100</v>
      </c>
    </row>
    <row r="196" spans="1:11" ht="21" customHeight="1" x14ac:dyDescent="0.15">
      <c r="A196" s="126">
        <v>49015195</v>
      </c>
      <c r="B196" s="47">
        <v>1</v>
      </c>
      <c r="C196" s="212">
        <v>90</v>
      </c>
      <c r="D196" s="47">
        <v>100</v>
      </c>
      <c r="E196" s="47" t="s">
        <v>88</v>
      </c>
      <c r="F196" s="47" t="s">
        <v>88</v>
      </c>
      <c r="G196" s="47">
        <v>1</v>
      </c>
      <c r="H196" s="47" t="s">
        <v>88</v>
      </c>
      <c r="I196" s="47">
        <v>1462</v>
      </c>
      <c r="J196" s="48">
        <f t="shared" si="39"/>
        <v>100</v>
      </c>
    </row>
    <row r="197" spans="1:11" ht="21" customHeight="1" x14ac:dyDescent="0.15">
      <c r="A197" s="126">
        <v>49015196</v>
      </c>
      <c r="B197" s="47">
        <v>1</v>
      </c>
      <c r="C197" s="212">
        <v>91</v>
      </c>
      <c r="D197" s="47">
        <v>100</v>
      </c>
      <c r="E197" s="47" t="s">
        <v>88</v>
      </c>
      <c r="F197" s="47" t="s">
        <v>88</v>
      </c>
      <c r="G197" s="47">
        <v>1</v>
      </c>
      <c r="H197" s="47" t="s">
        <v>88</v>
      </c>
      <c r="I197" s="47">
        <v>1463</v>
      </c>
      <c r="J197" s="48">
        <f t="shared" si="39"/>
        <v>100</v>
      </c>
    </row>
    <row r="198" spans="1:11" ht="21" customHeight="1" x14ac:dyDescent="0.15">
      <c r="A198" s="126">
        <v>49015197</v>
      </c>
      <c r="B198" s="47">
        <v>1</v>
      </c>
      <c r="C198" s="212">
        <v>70</v>
      </c>
      <c r="D198" s="47">
        <v>100</v>
      </c>
      <c r="E198" s="47" t="s">
        <v>88</v>
      </c>
      <c r="F198" s="47" t="s">
        <v>88</v>
      </c>
      <c r="G198" s="47">
        <v>1</v>
      </c>
      <c r="H198" s="47" t="s">
        <v>88</v>
      </c>
      <c r="I198" s="47">
        <v>1464</v>
      </c>
      <c r="J198" s="48">
        <f t="shared" si="39"/>
        <v>100</v>
      </c>
    </row>
    <row r="199" spans="1:11" ht="21" customHeight="1" x14ac:dyDescent="0.15">
      <c r="A199" s="126">
        <v>49015198</v>
      </c>
      <c r="B199" s="47">
        <v>1</v>
      </c>
      <c r="C199" s="212">
        <v>71</v>
      </c>
      <c r="D199" s="47">
        <v>100</v>
      </c>
      <c r="E199" s="47" t="s">
        <v>88</v>
      </c>
      <c r="F199" s="47" t="s">
        <v>88</v>
      </c>
      <c r="G199" s="47">
        <v>1</v>
      </c>
      <c r="H199" s="47" t="s">
        <v>88</v>
      </c>
      <c r="I199" s="47">
        <v>1465</v>
      </c>
      <c r="J199" s="48">
        <f t="shared" si="39"/>
        <v>100</v>
      </c>
    </row>
    <row r="200" spans="1:11" ht="21" customHeight="1" x14ac:dyDescent="0.15">
      <c r="A200" s="126">
        <v>49015199</v>
      </c>
      <c r="B200" s="47">
        <v>1</v>
      </c>
      <c r="C200" s="212">
        <v>60</v>
      </c>
      <c r="D200" s="47">
        <v>100</v>
      </c>
      <c r="E200" s="47" t="s">
        <v>88</v>
      </c>
      <c r="F200" s="47" t="s">
        <v>88</v>
      </c>
      <c r="G200" s="47">
        <v>1</v>
      </c>
      <c r="H200" s="47" t="s">
        <v>88</v>
      </c>
      <c r="I200" s="47">
        <v>1458</v>
      </c>
      <c r="J200" s="48">
        <f t="shared" si="39"/>
        <v>100</v>
      </c>
    </row>
    <row r="201" spans="1:11" ht="21" customHeight="1" x14ac:dyDescent="0.15">
      <c r="A201" s="126">
        <v>49015200</v>
      </c>
      <c r="B201" s="47">
        <v>1</v>
      </c>
      <c r="C201" s="212">
        <v>61</v>
      </c>
      <c r="D201" s="47">
        <v>100</v>
      </c>
      <c r="E201" s="47" t="s">
        <v>88</v>
      </c>
      <c r="F201" s="47" t="s">
        <v>88</v>
      </c>
      <c r="G201" s="47">
        <v>1</v>
      </c>
      <c r="H201" s="47" t="s">
        <v>88</v>
      </c>
      <c r="I201" s="47">
        <v>1459</v>
      </c>
      <c r="J201" s="48">
        <f t="shared" si="39"/>
        <v>100</v>
      </c>
    </row>
    <row r="202" spans="1:11" ht="21" customHeight="1" x14ac:dyDescent="0.15">
      <c r="A202" s="126">
        <v>49015201</v>
      </c>
      <c r="B202" s="47">
        <v>1</v>
      </c>
      <c r="C202" s="212">
        <v>100</v>
      </c>
      <c r="D202" s="47">
        <v>100</v>
      </c>
      <c r="E202" s="47" t="s">
        <v>88</v>
      </c>
      <c r="F202" s="47" t="s">
        <v>88</v>
      </c>
      <c r="G202" s="47">
        <v>1</v>
      </c>
      <c r="H202" s="47" t="s">
        <v>88</v>
      </c>
      <c r="I202" s="47">
        <v>1460</v>
      </c>
      <c r="J202" s="48">
        <f t="shared" si="39"/>
        <v>100</v>
      </c>
    </row>
    <row r="203" spans="1:11" ht="21" customHeight="1" x14ac:dyDescent="0.15">
      <c r="A203" s="126">
        <v>49015202</v>
      </c>
      <c r="B203" s="47">
        <v>1</v>
      </c>
      <c r="C203" s="212">
        <v>101</v>
      </c>
      <c r="D203" s="47">
        <v>100</v>
      </c>
      <c r="E203" s="47" t="s">
        <v>88</v>
      </c>
      <c r="F203" s="47" t="s">
        <v>88</v>
      </c>
      <c r="G203" s="47">
        <v>1</v>
      </c>
      <c r="H203" s="47" t="s">
        <v>88</v>
      </c>
      <c r="I203" s="47">
        <v>1461</v>
      </c>
      <c r="J203" s="48">
        <f t="shared" si="39"/>
        <v>100</v>
      </c>
    </row>
    <row r="204" spans="1:11" ht="21" customHeight="1" x14ac:dyDescent="0.15">
      <c r="A204" s="126">
        <v>49015203</v>
      </c>
      <c r="B204" s="47">
        <v>1</v>
      </c>
      <c r="C204" s="212">
        <v>80</v>
      </c>
      <c r="D204" s="47">
        <v>100</v>
      </c>
      <c r="E204" s="47" t="s">
        <v>88</v>
      </c>
      <c r="F204" s="47" t="s">
        <v>88</v>
      </c>
      <c r="G204" s="47">
        <v>1</v>
      </c>
      <c r="H204" s="47" t="s">
        <v>88</v>
      </c>
      <c r="I204" s="47">
        <v>1469</v>
      </c>
      <c r="J204" s="48">
        <f t="shared" si="39"/>
        <v>100</v>
      </c>
    </row>
    <row r="205" spans="1:11" ht="21" customHeight="1" x14ac:dyDescent="0.15">
      <c r="A205" s="126">
        <v>49015204</v>
      </c>
      <c r="B205" s="47">
        <v>1</v>
      </c>
      <c r="C205" s="47">
        <v>50</v>
      </c>
      <c r="D205" s="47">
        <v>100</v>
      </c>
      <c r="E205" s="47" t="s">
        <v>88</v>
      </c>
      <c r="F205" s="47" t="s">
        <v>88</v>
      </c>
      <c r="G205" s="47">
        <v>1</v>
      </c>
      <c r="H205" s="47" t="s">
        <v>88</v>
      </c>
      <c r="I205" s="47">
        <v>1468</v>
      </c>
      <c r="J205" s="48">
        <f t="shared" si="39"/>
        <v>100</v>
      </c>
    </row>
    <row r="206" spans="1:11" ht="21" customHeight="1" x14ac:dyDescent="0.15">
      <c r="A206" s="126">
        <v>49015205</v>
      </c>
      <c r="B206" s="47">
        <v>1</v>
      </c>
      <c r="C206" s="47">
        <v>40</v>
      </c>
      <c r="D206" s="47">
        <v>100</v>
      </c>
      <c r="E206" s="47" t="s">
        <v>88</v>
      </c>
      <c r="F206" s="47" t="s">
        <v>88</v>
      </c>
      <c r="G206" s="47">
        <v>1</v>
      </c>
      <c r="H206" s="47" t="s">
        <v>88</v>
      </c>
      <c r="I206" s="47">
        <v>1466</v>
      </c>
      <c r="J206" s="48">
        <f t="shared" si="39"/>
        <v>100</v>
      </c>
    </row>
    <row r="207" spans="1:11" ht="21" customHeight="1" x14ac:dyDescent="0.15">
      <c r="A207" s="126">
        <v>49015206</v>
      </c>
      <c r="B207" s="47">
        <v>1</v>
      </c>
      <c r="C207" s="47">
        <v>41</v>
      </c>
      <c r="D207" s="47">
        <v>100</v>
      </c>
      <c r="E207" s="47" t="s">
        <v>88</v>
      </c>
      <c r="F207" s="47" t="s">
        <v>88</v>
      </c>
      <c r="G207" s="47">
        <v>1</v>
      </c>
      <c r="H207" s="47" t="s">
        <v>88</v>
      </c>
      <c r="I207" s="47">
        <v>1467</v>
      </c>
      <c r="J207" s="48">
        <f t="shared" si="39"/>
        <v>100</v>
      </c>
    </row>
    <row r="208" spans="1:11" ht="21" customHeight="1" x14ac:dyDescent="0.15">
      <c r="A208" s="126">
        <v>49015207</v>
      </c>
      <c r="B208" s="47">
        <v>0</v>
      </c>
      <c r="C208" s="47">
        <v>25</v>
      </c>
      <c r="D208" s="47">
        <v>50</v>
      </c>
      <c r="E208" s="47" t="s">
        <v>88</v>
      </c>
      <c r="F208" s="47" t="s">
        <v>88</v>
      </c>
      <c r="G208" s="47" t="s">
        <v>88</v>
      </c>
      <c r="H208" s="47" t="s">
        <v>88</v>
      </c>
      <c r="I208" s="47" t="s">
        <v>88</v>
      </c>
      <c r="J208" s="48">
        <f t="shared" si="39"/>
        <v>50</v>
      </c>
    </row>
    <row r="209" spans="1:10" ht="21" customHeight="1" x14ac:dyDescent="0.15">
      <c r="A209" s="126">
        <v>49015208</v>
      </c>
      <c r="B209" s="47">
        <v>0</v>
      </c>
      <c r="C209" s="47">
        <v>20</v>
      </c>
      <c r="D209" s="47">
        <v>100</v>
      </c>
      <c r="E209" s="47" t="s">
        <v>88</v>
      </c>
      <c r="F209" s="47" t="s">
        <v>88</v>
      </c>
      <c r="G209" s="47" t="s">
        <v>88</v>
      </c>
      <c r="H209" s="47" t="s">
        <v>88</v>
      </c>
      <c r="I209" s="47" t="s">
        <v>88</v>
      </c>
      <c r="J209" s="48">
        <f t="shared" si="39"/>
        <v>100</v>
      </c>
    </row>
    <row r="210" spans="1:10" ht="21" customHeight="1" thickBot="1" x14ac:dyDescent="0.2">
      <c r="A210" s="127">
        <v>49015209</v>
      </c>
      <c r="B210" s="111">
        <v>0</v>
      </c>
      <c r="C210" s="111">
        <v>30</v>
      </c>
      <c r="D210" s="111">
        <v>100</v>
      </c>
      <c r="E210" s="111" t="s">
        <v>88</v>
      </c>
      <c r="F210" s="111" t="s">
        <v>88</v>
      </c>
      <c r="G210" s="111">
        <v>1</v>
      </c>
      <c r="H210" s="111">
        <v>2</v>
      </c>
      <c r="I210" s="111" t="s">
        <v>88</v>
      </c>
      <c r="J210" s="114">
        <f t="shared" si="39"/>
        <v>100</v>
      </c>
    </row>
    <row r="211" spans="1:10" ht="21" customHeight="1" x14ac:dyDescent="0.15">
      <c r="A211" s="126">
        <v>49015210</v>
      </c>
      <c r="B211" s="142">
        <v>1</v>
      </c>
      <c r="C211" s="142" t="s">
        <v>88</v>
      </c>
      <c r="D211" s="142">
        <v>100</v>
      </c>
      <c r="E211" s="142" t="s">
        <v>88</v>
      </c>
      <c r="F211" s="142" t="s">
        <v>88</v>
      </c>
      <c r="G211" s="142">
        <v>1</v>
      </c>
      <c r="H211" s="47" t="s">
        <v>88</v>
      </c>
      <c r="I211" s="142" t="s">
        <v>88</v>
      </c>
      <c r="J211" s="143">
        <f t="shared" si="39"/>
        <v>100</v>
      </c>
    </row>
    <row r="212" spans="1:10" ht="21" customHeight="1" x14ac:dyDescent="0.15">
      <c r="A212" s="126">
        <v>49015211</v>
      </c>
      <c r="B212" s="47">
        <v>0</v>
      </c>
      <c r="C212" s="47">
        <v>20</v>
      </c>
      <c r="D212" s="47">
        <v>20</v>
      </c>
      <c r="E212" s="47" t="s">
        <v>88</v>
      </c>
      <c r="F212" s="47" t="s">
        <v>88</v>
      </c>
      <c r="G212" s="47" t="s">
        <v>88</v>
      </c>
      <c r="H212" s="47" t="s">
        <v>88</v>
      </c>
      <c r="I212" s="47" t="s">
        <v>88</v>
      </c>
      <c r="J212" s="48">
        <f t="shared" si="39"/>
        <v>20</v>
      </c>
    </row>
    <row r="213" spans="1:10" ht="21" customHeight="1" x14ac:dyDescent="0.15">
      <c r="A213" s="126">
        <v>49015212</v>
      </c>
      <c r="B213" s="47">
        <v>0</v>
      </c>
      <c r="C213" s="47">
        <v>15</v>
      </c>
      <c r="D213" s="47">
        <v>50</v>
      </c>
      <c r="E213" s="47" t="s">
        <v>88</v>
      </c>
      <c r="F213" s="47" t="s">
        <v>88</v>
      </c>
      <c r="G213" s="47" t="s">
        <v>88</v>
      </c>
      <c r="H213" s="47" t="s">
        <v>88</v>
      </c>
      <c r="I213" s="47" t="s">
        <v>88</v>
      </c>
      <c r="J213" s="48">
        <f t="shared" si="39"/>
        <v>50</v>
      </c>
    </row>
    <row r="214" spans="1:10" ht="21" customHeight="1" x14ac:dyDescent="0.15">
      <c r="A214" s="126">
        <v>49015213</v>
      </c>
      <c r="B214" s="47">
        <v>0</v>
      </c>
      <c r="C214" s="47">
        <v>10</v>
      </c>
      <c r="D214" s="47">
        <v>100</v>
      </c>
      <c r="E214" s="47" t="s">
        <v>88</v>
      </c>
      <c r="F214" s="47" t="s">
        <v>88</v>
      </c>
      <c r="G214" s="47" t="s">
        <v>88</v>
      </c>
      <c r="H214" s="47" t="s">
        <v>88</v>
      </c>
      <c r="I214" s="47" t="s">
        <v>88</v>
      </c>
      <c r="J214" s="48">
        <f t="shared" si="39"/>
        <v>100</v>
      </c>
    </row>
    <row r="215" spans="1:10" ht="21" customHeight="1" x14ac:dyDescent="0.15">
      <c r="A215" s="126">
        <v>49015214</v>
      </c>
      <c r="B215" s="47">
        <v>0</v>
      </c>
      <c r="C215" s="47">
        <v>25</v>
      </c>
      <c r="D215" s="47">
        <v>100</v>
      </c>
      <c r="E215" s="47" t="s">
        <v>88</v>
      </c>
      <c r="F215" s="47" t="s">
        <v>88</v>
      </c>
      <c r="G215" s="47">
        <v>2</v>
      </c>
      <c r="H215" s="47">
        <v>2</v>
      </c>
      <c r="I215" s="47" t="s">
        <v>88</v>
      </c>
      <c r="J215" s="48">
        <f t="shared" si="39"/>
        <v>100</v>
      </c>
    </row>
    <row r="216" spans="1:10" ht="21" customHeight="1" x14ac:dyDescent="0.15">
      <c r="A216" s="126">
        <v>49015215</v>
      </c>
      <c r="B216" s="47">
        <v>0</v>
      </c>
      <c r="C216" s="47">
        <v>30</v>
      </c>
      <c r="D216" s="47">
        <v>100</v>
      </c>
      <c r="E216" s="47" t="s">
        <v>88</v>
      </c>
      <c r="F216" s="47" t="s">
        <v>88</v>
      </c>
      <c r="G216" s="47" t="s">
        <v>88</v>
      </c>
      <c r="H216" s="47">
        <v>5</v>
      </c>
      <c r="I216" s="47" t="s">
        <v>88</v>
      </c>
      <c r="J216" s="48">
        <f t="shared" si="39"/>
        <v>100</v>
      </c>
    </row>
    <row r="217" spans="1:10" ht="21" customHeight="1" x14ac:dyDescent="0.15">
      <c r="A217" s="126">
        <v>49015216</v>
      </c>
      <c r="B217" s="47">
        <v>0</v>
      </c>
      <c r="C217" s="106">
        <v>35</v>
      </c>
      <c r="D217" s="47">
        <v>100</v>
      </c>
      <c r="E217" s="47" t="s">
        <v>88</v>
      </c>
      <c r="F217" s="47" t="s">
        <v>88</v>
      </c>
      <c r="G217" s="47">
        <v>0</v>
      </c>
      <c r="H217" s="47" t="s">
        <v>88</v>
      </c>
      <c r="I217" s="47">
        <v>0</v>
      </c>
      <c r="J217" s="48">
        <f t="shared" si="39"/>
        <v>100</v>
      </c>
    </row>
    <row r="218" spans="1:10" ht="21" customHeight="1" x14ac:dyDescent="0.15">
      <c r="A218" s="126">
        <v>49015217</v>
      </c>
      <c r="B218" s="47">
        <v>0</v>
      </c>
      <c r="C218" s="212">
        <v>90</v>
      </c>
      <c r="D218" s="47">
        <v>100</v>
      </c>
      <c r="E218" s="47" t="s">
        <v>88</v>
      </c>
      <c r="F218" s="47" t="s">
        <v>88</v>
      </c>
      <c r="G218" s="47">
        <v>0</v>
      </c>
      <c r="H218" s="47" t="s">
        <v>88</v>
      </c>
      <c r="I218" s="47">
        <v>1462</v>
      </c>
      <c r="J218" s="48">
        <f t="shared" si="39"/>
        <v>100</v>
      </c>
    </row>
    <row r="219" spans="1:10" ht="21" customHeight="1" x14ac:dyDescent="0.15">
      <c r="A219" s="126">
        <v>49015218</v>
      </c>
      <c r="B219" s="47">
        <v>0</v>
      </c>
      <c r="C219" s="212">
        <v>91</v>
      </c>
      <c r="D219" s="47">
        <v>100</v>
      </c>
      <c r="E219" s="47" t="s">
        <v>88</v>
      </c>
      <c r="F219" s="47" t="s">
        <v>88</v>
      </c>
      <c r="G219" s="47">
        <v>0</v>
      </c>
      <c r="H219" s="47" t="s">
        <v>88</v>
      </c>
      <c r="I219" s="47">
        <v>1463</v>
      </c>
      <c r="J219" s="48">
        <f t="shared" si="39"/>
        <v>100</v>
      </c>
    </row>
    <row r="220" spans="1:10" ht="21" customHeight="1" x14ac:dyDescent="0.15">
      <c r="A220" s="126">
        <v>49015219</v>
      </c>
      <c r="B220" s="47">
        <v>0</v>
      </c>
      <c r="C220" s="212">
        <v>70</v>
      </c>
      <c r="D220" s="47">
        <v>100</v>
      </c>
      <c r="E220" s="47" t="s">
        <v>88</v>
      </c>
      <c r="F220" s="47" t="s">
        <v>88</v>
      </c>
      <c r="G220" s="47">
        <v>0</v>
      </c>
      <c r="H220" s="47" t="s">
        <v>88</v>
      </c>
      <c r="I220" s="47">
        <v>1464</v>
      </c>
      <c r="J220" s="48">
        <f t="shared" si="39"/>
        <v>100</v>
      </c>
    </row>
    <row r="221" spans="1:10" ht="21" customHeight="1" x14ac:dyDescent="0.15">
      <c r="A221" s="126">
        <v>49015220</v>
      </c>
      <c r="B221" s="47">
        <v>0</v>
      </c>
      <c r="C221" s="212">
        <v>71</v>
      </c>
      <c r="D221" s="47">
        <v>100</v>
      </c>
      <c r="E221" s="47" t="s">
        <v>88</v>
      </c>
      <c r="F221" s="47" t="s">
        <v>88</v>
      </c>
      <c r="G221" s="47">
        <v>0</v>
      </c>
      <c r="H221" s="47" t="s">
        <v>88</v>
      </c>
      <c r="I221" s="47">
        <v>1465</v>
      </c>
      <c r="J221" s="48">
        <f t="shared" si="39"/>
        <v>100</v>
      </c>
    </row>
    <row r="222" spans="1:10" ht="21" customHeight="1" x14ac:dyDescent="0.15">
      <c r="A222" s="126">
        <v>49015221</v>
      </c>
      <c r="B222" s="47">
        <v>0</v>
      </c>
      <c r="C222" s="212">
        <v>60</v>
      </c>
      <c r="D222" s="47">
        <v>100</v>
      </c>
      <c r="E222" s="47" t="s">
        <v>88</v>
      </c>
      <c r="F222" s="47" t="s">
        <v>88</v>
      </c>
      <c r="G222" s="47">
        <v>0</v>
      </c>
      <c r="H222" s="47" t="s">
        <v>88</v>
      </c>
      <c r="I222" s="47">
        <v>1458</v>
      </c>
      <c r="J222" s="48">
        <f t="shared" si="39"/>
        <v>100</v>
      </c>
    </row>
    <row r="223" spans="1:10" ht="21" customHeight="1" x14ac:dyDescent="0.15">
      <c r="A223" s="126">
        <v>49015222</v>
      </c>
      <c r="B223" s="47">
        <v>0</v>
      </c>
      <c r="C223" s="212">
        <v>61</v>
      </c>
      <c r="D223" s="47">
        <v>100</v>
      </c>
      <c r="E223" s="47" t="s">
        <v>88</v>
      </c>
      <c r="F223" s="47" t="s">
        <v>88</v>
      </c>
      <c r="G223" s="47">
        <v>0</v>
      </c>
      <c r="H223" s="47" t="s">
        <v>88</v>
      </c>
      <c r="I223" s="47">
        <v>1459</v>
      </c>
      <c r="J223" s="48">
        <f t="shared" si="39"/>
        <v>100</v>
      </c>
    </row>
    <row r="224" spans="1:10" ht="21" customHeight="1" x14ac:dyDescent="0.15">
      <c r="A224" s="126">
        <v>49015223</v>
      </c>
      <c r="B224" s="47">
        <v>0</v>
      </c>
      <c r="C224" s="212">
        <v>100</v>
      </c>
      <c r="D224" s="47">
        <v>100</v>
      </c>
      <c r="E224" s="47" t="s">
        <v>88</v>
      </c>
      <c r="F224" s="47" t="s">
        <v>88</v>
      </c>
      <c r="G224" s="47">
        <v>0</v>
      </c>
      <c r="H224" s="47" t="s">
        <v>88</v>
      </c>
      <c r="I224" s="47">
        <v>1460</v>
      </c>
      <c r="J224" s="48">
        <f t="shared" si="39"/>
        <v>100</v>
      </c>
    </row>
    <row r="225" spans="1:11" ht="21" customHeight="1" x14ac:dyDescent="0.15">
      <c r="A225" s="126">
        <v>49015224</v>
      </c>
      <c r="B225" s="47">
        <v>0</v>
      </c>
      <c r="C225" s="212">
        <v>101</v>
      </c>
      <c r="D225" s="47">
        <v>100</v>
      </c>
      <c r="E225" s="47" t="s">
        <v>88</v>
      </c>
      <c r="F225" s="47" t="s">
        <v>88</v>
      </c>
      <c r="G225" s="47">
        <v>0</v>
      </c>
      <c r="H225" s="47" t="s">
        <v>88</v>
      </c>
      <c r="I225" s="47">
        <v>1461</v>
      </c>
      <c r="J225" s="48">
        <f t="shared" si="39"/>
        <v>100</v>
      </c>
    </row>
    <row r="226" spans="1:11" ht="21" customHeight="1" x14ac:dyDescent="0.15">
      <c r="A226" s="126">
        <v>49015225</v>
      </c>
      <c r="B226" s="47">
        <v>0</v>
      </c>
      <c r="C226" s="212">
        <v>80</v>
      </c>
      <c r="D226" s="47">
        <v>100</v>
      </c>
      <c r="E226" s="47" t="s">
        <v>88</v>
      </c>
      <c r="F226" s="47" t="s">
        <v>88</v>
      </c>
      <c r="G226" s="47">
        <v>0</v>
      </c>
      <c r="H226" s="47" t="s">
        <v>88</v>
      </c>
      <c r="I226" s="47">
        <v>1469</v>
      </c>
      <c r="J226" s="48">
        <f t="shared" si="39"/>
        <v>100</v>
      </c>
    </row>
    <row r="227" spans="1:11" ht="21" customHeight="1" x14ac:dyDescent="0.15">
      <c r="A227" s="126">
        <v>49015226</v>
      </c>
      <c r="B227" s="47">
        <v>0</v>
      </c>
      <c r="C227" s="47">
        <v>50</v>
      </c>
      <c r="D227" s="47">
        <v>100</v>
      </c>
      <c r="E227" s="47" t="s">
        <v>88</v>
      </c>
      <c r="F227" s="47" t="s">
        <v>88</v>
      </c>
      <c r="G227" s="47">
        <v>0</v>
      </c>
      <c r="H227" s="47" t="s">
        <v>88</v>
      </c>
      <c r="I227" s="47">
        <v>1468</v>
      </c>
      <c r="J227" s="48">
        <f t="shared" si="39"/>
        <v>100</v>
      </c>
    </row>
    <row r="228" spans="1:11" ht="21" customHeight="1" x14ac:dyDescent="0.15">
      <c r="A228" s="126">
        <v>49015227</v>
      </c>
      <c r="B228" s="129">
        <v>0</v>
      </c>
      <c r="C228" s="129">
        <v>40</v>
      </c>
      <c r="D228" s="129">
        <v>100</v>
      </c>
      <c r="E228" s="129" t="s">
        <v>88</v>
      </c>
      <c r="F228" s="129" t="s">
        <v>88</v>
      </c>
      <c r="G228" s="129">
        <v>0</v>
      </c>
      <c r="H228" s="129" t="s">
        <v>88</v>
      </c>
      <c r="I228" s="129">
        <v>1466</v>
      </c>
      <c r="J228" s="132">
        <f t="shared" si="39"/>
        <v>100</v>
      </c>
    </row>
    <row r="229" spans="1:11" ht="21" customHeight="1" thickBot="1" x14ac:dyDescent="0.2">
      <c r="A229" s="127">
        <v>49015228</v>
      </c>
      <c r="B229" s="111">
        <v>0</v>
      </c>
      <c r="C229" s="111">
        <v>41</v>
      </c>
      <c r="D229" s="111">
        <v>100</v>
      </c>
      <c r="E229" s="111" t="s">
        <v>88</v>
      </c>
      <c r="F229" s="111" t="s">
        <v>88</v>
      </c>
      <c r="G229" s="111">
        <v>0</v>
      </c>
      <c r="H229" s="111" t="s">
        <v>88</v>
      </c>
      <c r="I229" s="111">
        <v>1467</v>
      </c>
      <c r="J229" s="114">
        <f t="shared" si="39"/>
        <v>100</v>
      </c>
      <c r="K229" s="148"/>
    </row>
    <row r="230" spans="1:11" ht="21" customHeight="1" x14ac:dyDescent="0.15">
      <c r="A230" s="138">
        <v>49015229</v>
      </c>
      <c r="B230" s="106">
        <v>1</v>
      </c>
      <c r="C230" s="106">
        <v>35</v>
      </c>
      <c r="D230" s="106">
        <v>100</v>
      </c>
      <c r="E230" s="106" t="s">
        <v>88</v>
      </c>
      <c r="F230" s="106" t="s">
        <v>88</v>
      </c>
      <c r="G230" s="106">
        <v>1</v>
      </c>
      <c r="H230" s="106" t="s">
        <v>88</v>
      </c>
      <c r="I230" s="106" t="s">
        <v>88</v>
      </c>
      <c r="J230" s="109">
        <f t="shared" si="39"/>
        <v>100</v>
      </c>
    </row>
    <row r="231" spans="1:11" ht="21" customHeight="1" x14ac:dyDescent="0.15">
      <c r="A231" s="138">
        <v>49015230</v>
      </c>
      <c r="B231" s="106">
        <v>1</v>
      </c>
      <c r="C231" s="106">
        <v>100</v>
      </c>
      <c r="D231" s="106">
        <v>100</v>
      </c>
      <c r="E231" s="106" t="s">
        <v>88</v>
      </c>
      <c r="F231" s="106" t="s">
        <v>88</v>
      </c>
      <c r="G231" s="106">
        <v>1</v>
      </c>
      <c r="H231" s="106" t="s">
        <v>88</v>
      </c>
      <c r="I231" s="47">
        <v>1462</v>
      </c>
      <c r="J231" s="109">
        <f t="shared" si="39"/>
        <v>100</v>
      </c>
    </row>
    <row r="232" spans="1:11" ht="21" customHeight="1" x14ac:dyDescent="0.15">
      <c r="A232" s="138">
        <v>49015231</v>
      </c>
      <c r="B232" s="106">
        <v>1</v>
      </c>
      <c r="C232" s="106">
        <v>101</v>
      </c>
      <c r="D232" s="106">
        <v>100</v>
      </c>
      <c r="E232" s="106" t="s">
        <v>88</v>
      </c>
      <c r="F232" s="106" t="s">
        <v>88</v>
      </c>
      <c r="G232" s="106">
        <v>1</v>
      </c>
      <c r="H232" s="106" t="s">
        <v>88</v>
      </c>
      <c r="I232" s="47">
        <v>1463</v>
      </c>
      <c r="J232" s="109">
        <f t="shared" si="39"/>
        <v>100</v>
      </c>
    </row>
    <row r="233" spans="1:11" ht="21" customHeight="1" x14ac:dyDescent="0.15">
      <c r="A233" s="138">
        <v>49015232</v>
      </c>
      <c r="B233" s="47">
        <v>1</v>
      </c>
      <c r="C233" s="106">
        <v>90</v>
      </c>
      <c r="D233" s="47">
        <v>100</v>
      </c>
      <c r="E233" s="47" t="s">
        <v>88</v>
      </c>
      <c r="F233" s="47" t="s">
        <v>88</v>
      </c>
      <c r="G233" s="47">
        <v>1</v>
      </c>
      <c r="H233" s="47" t="s">
        <v>88</v>
      </c>
      <c r="I233" s="47">
        <v>1464</v>
      </c>
      <c r="J233" s="48">
        <f t="shared" si="39"/>
        <v>100</v>
      </c>
    </row>
    <row r="234" spans="1:11" ht="21" customHeight="1" x14ac:dyDescent="0.15">
      <c r="A234" s="138">
        <v>49015233</v>
      </c>
      <c r="B234" s="47">
        <v>1</v>
      </c>
      <c r="C234" s="106">
        <v>91</v>
      </c>
      <c r="D234" s="47">
        <v>100</v>
      </c>
      <c r="E234" s="47" t="s">
        <v>88</v>
      </c>
      <c r="F234" s="47" t="s">
        <v>88</v>
      </c>
      <c r="G234" s="47">
        <v>1</v>
      </c>
      <c r="H234" s="47" t="s">
        <v>88</v>
      </c>
      <c r="I234" s="47">
        <v>1465</v>
      </c>
      <c r="J234" s="48">
        <f t="shared" si="39"/>
        <v>100</v>
      </c>
    </row>
    <row r="235" spans="1:11" ht="21" customHeight="1" x14ac:dyDescent="0.15">
      <c r="A235" s="138">
        <v>49015234</v>
      </c>
      <c r="B235" s="47">
        <v>1</v>
      </c>
      <c r="C235" s="47">
        <v>70</v>
      </c>
      <c r="D235" s="47">
        <v>100</v>
      </c>
      <c r="E235" s="47" t="s">
        <v>88</v>
      </c>
      <c r="F235" s="47" t="s">
        <v>88</v>
      </c>
      <c r="G235" s="47">
        <v>1</v>
      </c>
      <c r="H235" s="47" t="s">
        <v>88</v>
      </c>
      <c r="I235" s="47">
        <v>1458</v>
      </c>
      <c r="J235" s="48">
        <f t="shared" si="39"/>
        <v>100</v>
      </c>
    </row>
    <row r="236" spans="1:11" ht="21" customHeight="1" x14ac:dyDescent="0.15">
      <c r="A236" s="138">
        <v>49015235</v>
      </c>
      <c r="B236" s="47">
        <v>1</v>
      </c>
      <c r="C236" s="47">
        <v>71</v>
      </c>
      <c r="D236" s="47">
        <v>100</v>
      </c>
      <c r="E236" s="47" t="s">
        <v>88</v>
      </c>
      <c r="F236" s="47" t="s">
        <v>88</v>
      </c>
      <c r="G236" s="47">
        <v>1</v>
      </c>
      <c r="H236" s="47" t="s">
        <v>88</v>
      </c>
      <c r="I236" s="47">
        <v>1459</v>
      </c>
      <c r="J236" s="48">
        <f t="shared" si="39"/>
        <v>100</v>
      </c>
    </row>
    <row r="237" spans="1:11" ht="21" customHeight="1" x14ac:dyDescent="0.15">
      <c r="A237" s="138">
        <v>49015236</v>
      </c>
      <c r="B237" s="47">
        <v>1</v>
      </c>
      <c r="C237" s="47">
        <v>60</v>
      </c>
      <c r="D237" s="47">
        <v>100</v>
      </c>
      <c r="E237" s="47" t="s">
        <v>88</v>
      </c>
      <c r="F237" s="47" t="s">
        <v>88</v>
      </c>
      <c r="G237" s="47">
        <v>1</v>
      </c>
      <c r="H237" s="47" t="s">
        <v>88</v>
      </c>
      <c r="I237" s="47">
        <v>1460</v>
      </c>
      <c r="J237" s="48">
        <f t="shared" si="39"/>
        <v>100</v>
      </c>
    </row>
    <row r="238" spans="1:11" ht="21" customHeight="1" x14ac:dyDescent="0.15">
      <c r="A238" s="138">
        <v>49015237</v>
      </c>
      <c r="B238" s="47">
        <v>1</v>
      </c>
      <c r="C238" s="47">
        <v>61</v>
      </c>
      <c r="D238" s="47">
        <v>100</v>
      </c>
      <c r="E238" s="47" t="s">
        <v>88</v>
      </c>
      <c r="F238" s="47" t="s">
        <v>88</v>
      </c>
      <c r="G238" s="47">
        <v>1</v>
      </c>
      <c r="H238" s="47" t="s">
        <v>88</v>
      </c>
      <c r="I238" s="47">
        <v>1461</v>
      </c>
      <c r="J238" s="48">
        <f t="shared" si="39"/>
        <v>100</v>
      </c>
    </row>
    <row r="239" spans="1:11" ht="21" customHeight="1" x14ac:dyDescent="0.15">
      <c r="A239" s="138">
        <v>49015238</v>
      </c>
      <c r="B239" s="47">
        <v>1</v>
      </c>
      <c r="C239" s="47">
        <v>80</v>
      </c>
      <c r="D239" s="47">
        <v>100</v>
      </c>
      <c r="E239" s="47" t="s">
        <v>88</v>
      </c>
      <c r="F239" s="47" t="s">
        <v>88</v>
      </c>
      <c r="G239" s="47">
        <v>1</v>
      </c>
      <c r="H239" s="47" t="s">
        <v>88</v>
      </c>
      <c r="I239" s="47">
        <v>1469</v>
      </c>
      <c r="J239" s="48">
        <f t="shared" si="39"/>
        <v>100</v>
      </c>
    </row>
    <row r="240" spans="1:11" ht="21" customHeight="1" x14ac:dyDescent="0.15">
      <c r="A240" s="138">
        <v>49015239</v>
      </c>
      <c r="B240" s="47">
        <v>1</v>
      </c>
      <c r="C240" s="47">
        <v>50</v>
      </c>
      <c r="D240" s="47">
        <v>100</v>
      </c>
      <c r="E240" s="47" t="s">
        <v>88</v>
      </c>
      <c r="F240" s="47" t="s">
        <v>88</v>
      </c>
      <c r="G240" s="47">
        <v>1</v>
      </c>
      <c r="H240" s="47" t="s">
        <v>88</v>
      </c>
      <c r="I240" s="47">
        <v>1468</v>
      </c>
      <c r="J240" s="48">
        <f t="shared" si="39"/>
        <v>100</v>
      </c>
    </row>
    <row r="241" spans="1:11" ht="21" customHeight="1" x14ac:dyDescent="0.15">
      <c r="A241" s="138">
        <v>49015240</v>
      </c>
      <c r="B241" s="47">
        <v>1</v>
      </c>
      <c r="C241" s="47">
        <v>40</v>
      </c>
      <c r="D241" s="47">
        <v>100</v>
      </c>
      <c r="E241" s="47" t="s">
        <v>88</v>
      </c>
      <c r="F241" s="47" t="s">
        <v>88</v>
      </c>
      <c r="G241" s="47">
        <v>1</v>
      </c>
      <c r="H241" s="47" t="s">
        <v>88</v>
      </c>
      <c r="I241" s="47">
        <v>1470</v>
      </c>
      <c r="J241" s="48">
        <f t="shared" si="39"/>
        <v>100</v>
      </c>
    </row>
    <row r="242" spans="1:11" ht="21" customHeight="1" x14ac:dyDescent="0.15">
      <c r="A242" s="138">
        <v>49015241</v>
      </c>
      <c r="B242" s="47">
        <v>0</v>
      </c>
      <c r="C242" s="47">
        <v>25</v>
      </c>
      <c r="D242" s="47">
        <v>30</v>
      </c>
      <c r="E242" s="47" t="s">
        <v>88</v>
      </c>
      <c r="F242" s="47" t="s">
        <v>88</v>
      </c>
      <c r="G242" s="47" t="s">
        <v>88</v>
      </c>
      <c r="H242" s="47" t="s">
        <v>88</v>
      </c>
      <c r="I242" s="47" t="s">
        <v>88</v>
      </c>
      <c r="J242" s="48">
        <f t="shared" si="39"/>
        <v>30</v>
      </c>
    </row>
    <row r="243" spans="1:11" ht="21" customHeight="1" x14ac:dyDescent="0.15">
      <c r="A243" s="138">
        <v>49015242</v>
      </c>
      <c r="B243" s="47">
        <v>0</v>
      </c>
      <c r="C243" s="47">
        <v>20</v>
      </c>
      <c r="D243" s="47">
        <v>50</v>
      </c>
      <c r="E243" s="47" t="s">
        <v>88</v>
      </c>
      <c r="F243" s="47" t="s">
        <v>88</v>
      </c>
      <c r="G243" s="47" t="s">
        <v>88</v>
      </c>
      <c r="H243" s="47" t="s">
        <v>88</v>
      </c>
      <c r="I243" s="47" t="s">
        <v>88</v>
      </c>
      <c r="J243" s="48">
        <f t="shared" si="39"/>
        <v>50</v>
      </c>
    </row>
    <row r="244" spans="1:11" ht="21" customHeight="1" thickBot="1" x14ac:dyDescent="0.2">
      <c r="A244" s="137">
        <v>49015243</v>
      </c>
      <c r="B244" s="111">
        <v>0</v>
      </c>
      <c r="C244" s="111">
        <v>15</v>
      </c>
      <c r="D244" s="111">
        <v>100</v>
      </c>
      <c r="E244" s="111" t="s">
        <v>88</v>
      </c>
      <c r="F244" s="111" t="s">
        <v>88</v>
      </c>
      <c r="G244" s="111" t="s">
        <v>88</v>
      </c>
      <c r="H244" s="111" t="s">
        <v>88</v>
      </c>
      <c r="I244" s="111" t="s">
        <v>88</v>
      </c>
      <c r="J244" s="114">
        <f t="shared" si="39"/>
        <v>100</v>
      </c>
      <c r="K244" s="141"/>
    </row>
    <row r="245" spans="1:11" ht="21" customHeight="1" x14ac:dyDescent="0.15">
      <c r="A245" s="138">
        <v>49015244</v>
      </c>
      <c r="B245" s="106">
        <v>1</v>
      </c>
      <c r="C245" s="106" t="s">
        <v>88</v>
      </c>
      <c r="D245" s="106">
        <v>100</v>
      </c>
      <c r="E245" s="106" t="s">
        <v>88</v>
      </c>
      <c r="F245" s="106" t="s">
        <v>88</v>
      </c>
      <c r="G245" s="106">
        <v>1</v>
      </c>
      <c r="H245" s="106" t="s">
        <v>88</v>
      </c>
      <c r="I245" s="106" t="s">
        <v>88</v>
      </c>
      <c r="J245" s="109">
        <f t="shared" si="39"/>
        <v>100</v>
      </c>
      <c r="K245" s="140"/>
    </row>
    <row r="246" spans="1:11" ht="21" customHeight="1" x14ac:dyDescent="0.15">
      <c r="A246" s="138">
        <v>49015245</v>
      </c>
      <c r="B246" s="47">
        <v>0</v>
      </c>
      <c r="C246" s="47">
        <v>80</v>
      </c>
      <c r="D246" s="47">
        <v>30</v>
      </c>
      <c r="E246" s="47" t="s">
        <v>88</v>
      </c>
      <c r="F246" s="47" t="s">
        <v>88</v>
      </c>
      <c r="G246" s="47" t="s">
        <v>88</v>
      </c>
      <c r="H246" s="47" t="s">
        <v>88</v>
      </c>
      <c r="I246" s="47" t="s">
        <v>88</v>
      </c>
      <c r="J246" s="48">
        <f t="shared" si="39"/>
        <v>30</v>
      </c>
      <c r="K246" s="139"/>
    </row>
    <row r="247" spans="1:11" ht="21" customHeight="1" x14ac:dyDescent="0.15">
      <c r="A247" s="138">
        <v>49015246</v>
      </c>
      <c r="B247" s="47">
        <v>0</v>
      </c>
      <c r="C247" s="47">
        <v>70</v>
      </c>
      <c r="D247" s="47">
        <v>50</v>
      </c>
      <c r="E247" s="47" t="s">
        <v>88</v>
      </c>
      <c r="F247" s="47" t="s">
        <v>88</v>
      </c>
      <c r="G247" s="47" t="s">
        <v>88</v>
      </c>
      <c r="H247" s="47" t="s">
        <v>88</v>
      </c>
      <c r="I247" s="47" t="s">
        <v>88</v>
      </c>
      <c r="J247" s="48">
        <f t="shared" si="39"/>
        <v>50</v>
      </c>
      <c r="K247" s="139"/>
    </row>
    <row r="248" spans="1:11" ht="21" customHeight="1" x14ac:dyDescent="0.15">
      <c r="A248" s="138">
        <v>49015247</v>
      </c>
      <c r="B248" s="47">
        <v>0</v>
      </c>
      <c r="C248" s="47">
        <v>60</v>
      </c>
      <c r="D248" s="47">
        <v>100</v>
      </c>
      <c r="E248" s="47" t="s">
        <v>88</v>
      </c>
      <c r="F248" s="47" t="s">
        <v>88</v>
      </c>
      <c r="G248" s="47" t="s">
        <v>88</v>
      </c>
      <c r="H248" s="47" t="s">
        <v>88</v>
      </c>
      <c r="I248" s="47" t="s">
        <v>88</v>
      </c>
      <c r="J248" s="48">
        <f t="shared" si="39"/>
        <v>100</v>
      </c>
      <c r="K248" s="139"/>
    </row>
    <row r="249" spans="1:11" ht="21" customHeight="1" thickBot="1" x14ac:dyDescent="0.2">
      <c r="A249" s="137">
        <v>49015248</v>
      </c>
      <c r="B249" s="111">
        <v>0</v>
      </c>
      <c r="C249" s="111">
        <v>90</v>
      </c>
      <c r="D249" s="111">
        <v>100</v>
      </c>
      <c r="E249" s="111" t="s">
        <v>88</v>
      </c>
      <c r="F249" s="111" t="s">
        <v>88</v>
      </c>
      <c r="G249" s="111" t="s">
        <v>88</v>
      </c>
      <c r="H249" s="111">
        <v>3</v>
      </c>
      <c r="I249" s="111" t="s">
        <v>88</v>
      </c>
      <c r="J249" s="114">
        <f t="shared" si="39"/>
        <v>100</v>
      </c>
      <c r="K249" s="153"/>
    </row>
    <row r="250" spans="1:11" ht="21" customHeight="1" x14ac:dyDescent="0.15">
      <c r="A250" s="138">
        <v>49015249</v>
      </c>
      <c r="B250" s="106">
        <v>1</v>
      </c>
      <c r="C250" s="106" t="s">
        <v>88</v>
      </c>
      <c r="D250" s="106">
        <v>100</v>
      </c>
      <c r="E250" s="106" t="s">
        <v>88</v>
      </c>
      <c r="F250" s="106" t="s">
        <v>88</v>
      </c>
      <c r="G250" s="106">
        <v>1</v>
      </c>
      <c r="H250" s="106" t="s">
        <v>88</v>
      </c>
      <c r="I250" s="106" t="s">
        <v>88</v>
      </c>
      <c r="J250" s="109">
        <f t="shared" si="39"/>
        <v>100</v>
      </c>
      <c r="K250" s="140"/>
    </row>
    <row r="251" spans="1:11" ht="21" customHeight="1" x14ac:dyDescent="0.15">
      <c r="A251" s="138">
        <v>49015250</v>
      </c>
      <c r="B251" s="47">
        <v>0</v>
      </c>
      <c r="C251" s="47">
        <v>25</v>
      </c>
      <c r="D251" s="47">
        <v>30</v>
      </c>
      <c r="E251" s="47" t="s">
        <v>88</v>
      </c>
      <c r="F251" s="47" t="s">
        <v>88</v>
      </c>
      <c r="G251" s="47" t="s">
        <v>88</v>
      </c>
      <c r="H251" s="47" t="s">
        <v>88</v>
      </c>
      <c r="I251" s="47" t="s">
        <v>88</v>
      </c>
      <c r="J251" s="48">
        <f t="shared" si="39"/>
        <v>30</v>
      </c>
      <c r="K251" s="139"/>
    </row>
    <row r="252" spans="1:11" ht="21" customHeight="1" x14ac:dyDescent="0.15">
      <c r="A252" s="138">
        <v>49015251</v>
      </c>
      <c r="B252" s="47">
        <v>0</v>
      </c>
      <c r="C252" s="47">
        <v>20</v>
      </c>
      <c r="D252" s="47">
        <v>50</v>
      </c>
      <c r="E252" s="47" t="s">
        <v>88</v>
      </c>
      <c r="F252" s="47" t="s">
        <v>88</v>
      </c>
      <c r="G252" s="47" t="s">
        <v>88</v>
      </c>
      <c r="H252" s="47" t="s">
        <v>88</v>
      </c>
      <c r="I252" s="47" t="s">
        <v>88</v>
      </c>
      <c r="J252" s="48">
        <f t="shared" si="39"/>
        <v>50</v>
      </c>
      <c r="K252" s="139"/>
    </row>
    <row r="253" spans="1:11" ht="21" customHeight="1" x14ac:dyDescent="0.15">
      <c r="A253" s="138">
        <v>49015252</v>
      </c>
      <c r="B253" s="47">
        <v>0</v>
      </c>
      <c r="C253" s="47">
        <v>15</v>
      </c>
      <c r="D253" s="47">
        <v>100</v>
      </c>
      <c r="E253" s="47" t="s">
        <v>88</v>
      </c>
      <c r="F253" s="47" t="s">
        <v>88</v>
      </c>
      <c r="G253" s="47" t="s">
        <v>88</v>
      </c>
      <c r="H253" s="47" t="s">
        <v>88</v>
      </c>
      <c r="I253" s="47" t="s">
        <v>88</v>
      </c>
      <c r="J253" s="48">
        <f t="shared" si="39"/>
        <v>100</v>
      </c>
      <c r="K253" s="139"/>
    </row>
    <row r="254" spans="1:11" ht="21" customHeight="1" x14ac:dyDescent="0.15">
      <c r="A254" s="138">
        <v>49015253</v>
      </c>
      <c r="B254" s="47">
        <v>0</v>
      </c>
      <c r="C254" s="47">
        <v>35</v>
      </c>
      <c r="D254" s="47">
        <v>100</v>
      </c>
      <c r="E254" s="47" t="s">
        <v>88</v>
      </c>
      <c r="F254" s="47" t="s">
        <v>88</v>
      </c>
      <c r="G254" s="47">
        <v>0</v>
      </c>
      <c r="H254" s="47" t="s">
        <v>88</v>
      </c>
      <c r="I254" s="47">
        <v>0</v>
      </c>
      <c r="J254" s="48">
        <f t="shared" si="39"/>
        <v>100</v>
      </c>
      <c r="K254" s="139"/>
    </row>
    <row r="255" spans="1:11" ht="21" customHeight="1" x14ac:dyDescent="0.15">
      <c r="A255" s="138">
        <v>49015254</v>
      </c>
      <c r="B255" s="106">
        <v>0</v>
      </c>
      <c r="C255" s="106">
        <v>100</v>
      </c>
      <c r="D255" s="106">
        <v>100</v>
      </c>
      <c r="E255" s="106" t="s">
        <v>88</v>
      </c>
      <c r="F255" s="106" t="s">
        <v>88</v>
      </c>
      <c r="G255" s="106">
        <v>0</v>
      </c>
      <c r="H255" s="106" t="s">
        <v>88</v>
      </c>
      <c r="I255" s="47">
        <v>1462</v>
      </c>
      <c r="J255" s="109">
        <f t="shared" si="39"/>
        <v>100</v>
      </c>
    </row>
    <row r="256" spans="1:11" ht="21" customHeight="1" x14ac:dyDescent="0.15">
      <c r="A256" s="138">
        <v>49015255</v>
      </c>
      <c r="B256" s="106">
        <v>0</v>
      </c>
      <c r="C256" s="106">
        <v>101</v>
      </c>
      <c r="D256" s="106">
        <v>100</v>
      </c>
      <c r="E256" s="106" t="s">
        <v>88</v>
      </c>
      <c r="F256" s="106" t="s">
        <v>88</v>
      </c>
      <c r="G256" s="106">
        <v>0</v>
      </c>
      <c r="H256" s="106" t="s">
        <v>88</v>
      </c>
      <c r="I256" s="47">
        <v>1463</v>
      </c>
      <c r="J256" s="109">
        <f t="shared" si="39"/>
        <v>100</v>
      </c>
    </row>
    <row r="257" spans="1:11" ht="21" customHeight="1" x14ac:dyDescent="0.15">
      <c r="A257" s="138">
        <v>49015256</v>
      </c>
      <c r="B257" s="47">
        <v>0</v>
      </c>
      <c r="C257" s="106">
        <v>90</v>
      </c>
      <c r="D257" s="47">
        <v>100</v>
      </c>
      <c r="E257" s="47" t="s">
        <v>88</v>
      </c>
      <c r="F257" s="47" t="s">
        <v>88</v>
      </c>
      <c r="G257" s="47">
        <v>0</v>
      </c>
      <c r="H257" s="47" t="s">
        <v>88</v>
      </c>
      <c r="I257" s="47">
        <v>1464</v>
      </c>
      <c r="J257" s="48">
        <f t="shared" si="39"/>
        <v>100</v>
      </c>
    </row>
    <row r="258" spans="1:11" ht="21" customHeight="1" x14ac:dyDescent="0.15">
      <c r="A258" s="138">
        <v>49015257</v>
      </c>
      <c r="B258" s="47">
        <v>0</v>
      </c>
      <c r="C258" s="106">
        <v>91</v>
      </c>
      <c r="D258" s="47">
        <v>100</v>
      </c>
      <c r="E258" s="47" t="s">
        <v>88</v>
      </c>
      <c r="F258" s="47" t="s">
        <v>88</v>
      </c>
      <c r="G258" s="47">
        <v>0</v>
      </c>
      <c r="H258" s="47" t="s">
        <v>88</v>
      </c>
      <c r="I258" s="47">
        <v>1465</v>
      </c>
      <c r="J258" s="48">
        <f t="shared" si="39"/>
        <v>100</v>
      </c>
    </row>
    <row r="259" spans="1:11" ht="21" customHeight="1" x14ac:dyDescent="0.15">
      <c r="A259" s="138">
        <v>49015258</v>
      </c>
      <c r="B259" s="47">
        <v>0</v>
      </c>
      <c r="C259" s="47">
        <v>70</v>
      </c>
      <c r="D259" s="47">
        <v>100</v>
      </c>
      <c r="E259" s="47" t="s">
        <v>88</v>
      </c>
      <c r="F259" s="47" t="s">
        <v>88</v>
      </c>
      <c r="G259" s="47">
        <v>0</v>
      </c>
      <c r="H259" s="47" t="s">
        <v>88</v>
      </c>
      <c r="I259" s="47">
        <v>1458</v>
      </c>
      <c r="J259" s="48">
        <f t="shared" si="39"/>
        <v>100</v>
      </c>
    </row>
    <row r="260" spans="1:11" ht="21" customHeight="1" x14ac:dyDescent="0.15">
      <c r="A260" s="138">
        <v>49015259</v>
      </c>
      <c r="B260" s="47">
        <v>0</v>
      </c>
      <c r="C260" s="47">
        <v>71</v>
      </c>
      <c r="D260" s="47">
        <v>100</v>
      </c>
      <c r="E260" s="47" t="s">
        <v>88</v>
      </c>
      <c r="F260" s="47" t="s">
        <v>88</v>
      </c>
      <c r="G260" s="47">
        <v>0</v>
      </c>
      <c r="H260" s="47" t="s">
        <v>88</v>
      </c>
      <c r="I260" s="47">
        <v>1459</v>
      </c>
      <c r="J260" s="48">
        <f t="shared" si="39"/>
        <v>100</v>
      </c>
    </row>
    <row r="261" spans="1:11" ht="21" customHeight="1" x14ac:dyDescent="0.15">
      <c r="A261" s="138">
        <v>49015260</v>
      </c>
      <c r="B261" s="47">
        <v>0</v>
      </c>
      <c r="C261" s="47">
        <v>60</v>
      </c>
      <c r="D261" s="47">
        <v>100</v>
      </c>
      <c r="E261" s="47" t="s">
        <v>88</v>
      </c>
      <c r="F261" s="47" t="s">
        <v>88</v>
      </c>
      <c r="G261" s="47">
        <v>0</v>
      </c>
      <c r="H261" s="47" t="s">
        <v>88</v>
      </c>
      <c r="I261" s="47">
        <v>1460</v>
      </c>
      <c r="J261" s="48">
        <f t="shared" si="39"/>
        <v>100</v>
      </c>
    </row>
    <row r="262" spans="1:11" ht="21" customHeight="1" x14ac:dyDescent="0.15">
      <c r="A262" s="138">
        <v>49015261</v>
      </c>
      <c r="B262" s="47">
        <v>0</v>
      </c>
      <c r="C262" s="47">
        <v>61</v>
      </c>
      <c r="D262" s="47">
        <v>100</v>
      </c>
      <c r="E262" s="47" t="s">
        <v>88</v>
      </c>
      <c r="F262" s="47" t="s">
        <v>88</v>
      </c>
      <c r="G262" s="47">
        <v>0</v>
      </c>
      <c r="H262" s="47" t="s">
        <v>88</v>
      </c>
      <c r="I262" s="47">
        <v>1461</v>
      </c>
      <c r="J262" s="48">
        <f t="shared" si="39"/>
        <v>100</v>
      </c>
    </row>
    <row r="263" spans="1:11" ht="21" customHeight="1" x14ac:dyDescent="0.15">
      <c r="A263" s="138">
        <v>49015262</v>
      </c>
      <c r="B263" s="47">
        <v>0</v>
      </c>
      <c r="C263" s="47">
        <v>80</v>
      </c>
      <c r="D263" s="47">
        <v>100</v>
      </c>
      <c r="E263" s="47" t="s">
        <v>88</v>
      </c>
      <c r="F263" s="47" t="s">
        <v>88</v>
      </c>
      <c r="G263" s="47">
        <v>0</v>
      </c>
      <c r="H263" s="47" t="s">
        <v>88</v>
      </c>
      <c r="I263" s="47">
        <v>1469</v>
      </c>
      <c r="J263" s="48">
        <f t="shared" si="39"/>
        <v>100</v>
      </c>
    </row>
    <row r="264" spans="1:11" ht="21" customHeight="1" x14ac:dyDescent="0.15">
      <c r="A264" s="138">
        <v>49015263</v>
      </c>
      <c r="B264" s="129">
        <v>0</v>
      </c>
      <c r="C264" s="47">
        <v>50</v>
      </c>
      <c r="D264" s="129">
        <v>100</v>
      </c>
      <c r="E264" s="129" t="s">
        <v>88</v>
      </c>
      <c r="F264" s="129" t="s">
        <v>88</v>
      </c>
      <c r="G264" s="129">
        <v>0</v>
      </c>
      <c r="H264" s="129" t="s">
        <v>88</v>
      </c>
      <c r="I264" s="47">
        <v>1468</v>
      </c>
      <c r="J264" s="132">
        <f t="shared" si="39"/>
        <v>100</v>
      </c>
    </row>
    <row r="265" spans="1:11" ht="21" customHeight="1" thickBot="1" x14ac:dyDescent="0.2">
      <c r="A265" s="137">
        <v>49015264</v>
      </c>
      <c r="B265" s="111">
        <v>0</v>
      </c>
      <c r="C265" s="111">
        <v>40</v>
      </c>
      <c r="D265" s="111">
        <v>100</v>
      </c>
      <c r="E265" s="111" t="s">
        <v>88</v>
      </c>
      <c r="F265" s="111" t="s">
        <v>88</v>
      </c>
      <c r="G265" s="111">
        <v>0</v>
      </c>
      <c r="H265" s="111" t="s">
        <v>88</v>
      </c>
      <c r="I265" s="111">
        <v>1470</v>
      </c>
      <c r="J265" s="114">
        <f t="shared" si="39"/>
        <v>100</v>
      </c>
      <c r="K265" s="148"/>
    </row>
    <row r="266" spans="1:11" ht="21" customHeight="1" x14ac:dyDescent="0.15">
      <c r="A266" s="121">
        <v>49015265</v>
      </c>
      <c r="B266" s="47">
        <v>1</v>
      </c>
      <c r="C266" s="47">
        <v>30</v>
      </c>
      <c r="D266" s="47">
        <v>100</v>
      </c>
      <c r="E266" s="47" t="s">
        <v>88</v>
      </c>
      <c r="F266" s="47" t="s">
        <v>88</v>
      </c>
      <c r="G266" s="47">
        <v>1</v>
      </c>
      <c r="H266" s="47" t="s">
        <v>88</v>
      </c>
      <c r="I266" s="47" t="s">
        <v>88</v>
      </c>
      <c r="J266" s="48">
        <f t="shared" ref="J266:J329" si="40">D266</f>
        <v>100</v>
      </c>
    </row>
    <row r="267" spans="1:11" ht="21" customHeight="1" x14ac:dyDescent="0.15">
      <c r="A267" s="121">
        <v>49015266</v>
      </c>
      <c r="B267" s="47">
        <v>1</v>
      </c>
      <c r="C267" s="47">
        <v>70</v>
      </c>
      <c r="D267" s="47">
        <v>100</v>
      </c>
      <c r="E267" s="47" t="s">
        <v>88</v>
      </c>
      <c r="F267" s="47" t="s">
        <v>88</v>
      </c>
      <c r="G267" s="47">
        <v>1</v>
      </c>
      <c r="H267" s="47" t="s">
        <v>88</v>
      </c>
      <c r="I267" s="47">
        <v>1462</v>
      </c>
      <c r="J267" s="48">
        <f t="shared" si="40"/>
        <v>100</v>
      </c>
    </row>
    <row r="268" spans="1:11" ht="21" customHeight="1" x14ac:dyDescent="0.15">
      <c r="A268" s="121">
        <v>49015267</v>
      </c>
      <c r="B268" s="47">
        <v>1</v>
      </c>
      <c r="C268" s="47">
        <v>71</v>
      </c>
      <c r="D268" s="47">
        <v>100</v>
      </c>
      <c r="E268" s="47" t="s">
        <v>88</v>
      </c>
      <c r="F268" s="47" t="s">
        <v>88</v>
      </c>
      <c r="G268" s="47">
        <v>1</v>
      </c>
      <c r="H268" s="47" t="s">
        <v>88</v>
      </c>
      <c r="I268" s="47">
        <v>1463</v>
      </c>
      <c r="J268" s="48">
        <f t="shared" si="40"/>
        <v>100</v>
      </c>
    </row>
    <row r="269" spans="1:11" ht="21" customHeight="1" x14ac:dyDescent="0.15">
      <c r="A269" s="121">
        <v>49015268</v>
      </c>
      <c r="B269" s="47">
        <v>1</v>
      </c>
      <c r="C269" s="47">
        <v>100</v>
      </c>
      <c r="D269" s="47">
        <v>100</v>
      </c>
      <c r="E269" s="47" t="s">
        <v>88</v>
      </c>
      <c r="F269" s="47" t="s">
        <v>88</v>
      </c>
      <c r="G269" s="47">
        <v>1</v>
      </c>
      <c r="H269" s="47" t="s">
        <v>88</v>
      </c>
      <c r="I269" s="47">
        <v>1464</v>
      </c>
      <c r="J269" s="48">
        <f t="shared" si="40"/>
        <v>100</v>
      </c>
    </row>
    <row r="270" spans="1:11" ht="21" customHeight="1" x14ac:dyDescent="0.15">
      <c r="A270" s="121">
        <v>49015269</v>
      </c>
      <c r="B270" s="47">
        <v>1</v>
      </c>
      <c r="C270" s="47">
        <v>101</v>
      </c>
      <c r="D270" s="47">
        <v>100</v>
      </c>
      <c r="E270" s="47" t="s">
        <v>88</v>
      </c>
      <c r="F270" s="47" t="s">
        <v>88</v>
      </c>
      <c r="G270" s="47">
        <v>1</v>
      </c>
      <c r="H270" s="47" t="s">
        <v>88</v>
      </c>
      <c r="I270" s="47">
        <v>1465</v>
      </c>
      <c r="J270" s="48">
        <f t="shared" si="40"/>
        <v>100</v>
      </c>
    </row>
    <row r="271" spans="1:11" ht="21" customHeight="1" x14ac:dyDescent="0.15">
      <c r="A271" s="121">
        <v>49015270</v>
      </c>
      <c r="B271" s="47">
        <v>1</v>
      </c>
      <c r="C271" s="47">
        <v>90</v>
      </c>
      <c r="D271" s="47">
        <v>100</v>
      </c>
      <c r="E271" s="47" t="s">
        <v>88</v>
      </c>
      <c r="F271" s="47" t="s">
        <v>88</v>
      </c>
      <c r="G271" s="47">
        <v>1</v>
      </c>
      <c r="H271" s="47" t="s">
        <v>88</v>
      </c>
      <c r="I271" s="47">
        <v>1458</v>
      </c>
      <c r="J271" s="48">
        <f t="shared" si="40"/>
        <v>100</v>
      </c>
    </row>
    <row r="272" spans="1:11" ht="21" customHeight="1" x14ac:dyDescent="0.15">
      <c r="A272" s="121">
        <v>49015271</v>
      </c>
      <c r="B272" s="47">
        <v>1</v>
      </c>
      <c r="C272" s="47">
        <v>91</v>
      </c>
      <c r="D272" s="47">
        <v>100</v>
      </c>
      <c r="E272" s="47" t="s">
        <v>88</v>
      </c>
      <c r="F272" s="47" t="s">
        <v>88</v>
      </c>
      <c r="G272" s="47">
        <v>1</v>
      </c>
      <c r="H272" s="47" t="s">
        <v>88</v>
      </c>
      <c r="I272" s="47">
        <v>1459</v>
      </c>
      <c r="J272" s="48">
        <f t="shared" si="40"/>
        <v>100</v>
      </c>
    </row>
    <row r="273" spans="1:10" ht="21" customHeight="1" x14ac:dyDescent="0.15">
      <c r="A273" s="121">
        <v>49015272</v>
      </c>
      <c r="B273" s="47">
        <v>1</v>
      </c>
      <c r="C273" s="47">
        <v>80</v>
      </c>
      <c r="D273" s="47">
        <v>100</v>
      </c>
      <c r="E273" s="47" t="s">
        <v>88</v>
      </c>
      <c r="F273" s="47" t="s">
        <v>88</v>
      </c>
      <c r="G273" s="47">
        <v>1</v>
      </c>
      <c r="H273" s="47" t="s">
        <v>88</v>
      </c>
      <c r="I273" s="47">
        <v>1460</v>
      </c>
      <c r="J273" s="48">
        <f t="shared" si="40"/>
        <v>100</v>
      </c>
    </row>
    <row r="274" spans="1:10" ht="21" customHeight="1" x14ac:dyDescent="0.15">
      <c r="A274" s="121">
        <v>49015273</v>
      </c>
      <c r="B274" s="47">
        <v>1</v>
      </c>
      <c r="C274" s="47">
        <v>81</v>
      </c>
      <c r="D274" s="47">
        <v>100</v>
      </c>
      <c r="E274" s="47" t="s">
        <v>88</v>
      </c>
      <c r="F274" s="47" t="s">
        <v>88</v>
      </c>
      <c r="G274" s="47">
        <v>1</v>
      </c>
      <c r="H274" s="47" t="s">
        <v>88</v>
      </c>
      <c r="I274" s="47">
        <v>1461</v>
      </c>
      <c r="J274" s="48">
        <f t="shared" si="40"/>
        <v>100</v>
      </c>
    </row>
    <row r="275" spans="1:10" ht="21" customHeight="1" x14ac:dyDescent="0.15">
      <c r="A275" s="121">
        <v>49015274</v>
      </c>
      <c r="B275" s="47">
        <v>1</v>
      </c>
      <c r="C275" s="47">
        <v>40</v>
      </c>
      <c r="D275" s="47">
        <v>100</v>
      </c>
      <c r="E275" s="47" t="s">
        <v>88</v>
      </c>
      <c r="F275" s="47" t="s">
        <v>88</v>
      </c>
      <c r="G275" s="47">
        <v>1</v>
      </c>
      <c r="H275" s="47" t="s">
        <v>88</v>
      </c>
      <c r="I275" s="47">
        <v>1468</v>
      </c>
      <c r="J275" s="48">
        <f t="shared" si="40"/>
        <v>100</v>
      </c>
    </row>
    <row r="276" spans="1:10" ht="21" customHeight="1" x14ac:dyDescent="0.15">
      <c r="A276" s="121">
        <v>49015275</v>
      </c>
      <c r="B276" s="47">
        <v>1</v>
      </c>
      <c r="C276" s="47">
        <v>50</v>
      </c>
      <c r="D276" s="47">
        <v>100</v>
      </c>
      <c r="E276" s="47" t="s">
        <v>88</v>
      </c>
      <c r="F276" s="47" t="s">
        <v>88</v>
      </c>
      <c r="G276" s="47">
        <v>1</v>
      </c>
      <c r="H276" s="47" t="s">
        <v>88</v>
      </c>
      <c r="I276" s="47">
        <v>1470</v>
      </c>
      <c r="J276" s="48">
        <f t="shared" si="40"/>
        <v>100</v>
      </c>
    </row>
    <row r="277" spans="1:10" ht="21" customHeight="1" x14ac:dyDescent="0.15">
      <c r="A277" s="121">
        <v>49015276</v>
      </c>
      <c r="B277" s="47">
        <v>1</v>
      </c>
      <c r="C277" s="47">
        <v>60</v>
      </c>
      <c r="D277" s="47">
        <v>100</v>
      </c>
      <c r="E277" s="47" t="s">
        <v>88</v>
      </c>
      <c r="F277" s="47" t="s">
        <v>88</v>
      </c>
      <c r="G277" s="47">
        <v>1</v>
      </c>
      <c r="H277" s="47" t="s">
        <v>88</v>
      </c>
      <c r="I277" s="47">
        <v>1466</v>
      </c>
      <c r="J277" s="48">
        <f t="shared" si="40"/>
        <v>100</v>
      </c>
    </row>
    <row r="278" spans="1:10" ht="21" customHeight="1" x14ac:dyDescent="0.15">
      <c r="A278" s="121">
        <v>49015277</v>
      </c>
      <c r="B278" s="47">
        <v>1</v>
      </c>
      <c r="C278" s="47">
        <v>61</v>
      </c>
      <c r="D278" s="47">
        <v>100</v>
      </c>
      <c r="E278" s="47" t="s">
        <v>88</v>
      </c>
      <c r="F278" s="47" t="s">
        <v>88</v>
      </c>
      <c r="G278" s="47">
        <v>1</v>
      </c>
      <c r="H278" s="47" t="s">
        <v>88</v>
      </c>
      <c r="I278" s="47">
        <v>1467</v>
      </c>
      <c r="J278" s="48">
        <f t="shared" si="40"/>
        <v>100</v>
      </c>
    </row>
    <row r="279" spans="1:10" ht="21" customHeight="1" x14ac:dyDescent="0.15">
      <c r="A279" s="121">
        <v>49015278</v>
      </c>
      <c r="B279" s="47">
        <v>0</v>
      </c>
      <c r="C279" s="47" t="s">
        <v>88</v>
      </c>
      <c r="D279" s="47">
        <v>50</v>
      </c>
      <c r="E279" s="47" t="s">
        <v>88</v>
      </c>
      <c r="F279" s="47" t="s">
        <v>88</v>
      </c>
      <c r="G279" s="47" t="s">
        <v>88</v>
      </c>
      <c r="H279" s="47" t="s">
        <v>88</v>
      </c>
      <c r="I279" s="47" t="s">
        <v>88</v>
      </c>
      <c r="J279" s="48">
        <f t="shared" si="40"/>
        <v>50</v>
      </c>
    </row>
    <row r="280" spans="1:10" ht="21" customHeight="1" x14ac:dyDescent="0.15">
      <c r="A280" s="121">
        <v>49015279</v>
      </c>
      <c r="B280" s="47">
        <v>0</v>
      </c>
      <c r="C280" s="47" t="s">
        <v>88</v>
      </c>
      <c r="D280" s="47">
        <v>100</v>
      </c>
      <c r="E280" s="47" t="s">
        <v>88</v>
      </c>
      <c r="F280" s="47" t="s">
        <v>88</v>
      </c>
      <c r="G280" s="47" t="s">
        <v>88</v>
      </c>
      <c r="H280" s="47" t="s">
        <v>88</v>
      </c>
      <c r="I280" s="47" t="s">
        <v>88</v>
      </c>
      <c r="J280" s="48">
        <f t="shared" si="40"/>
        <v>100</v>
      </c>
    </row>
    <row r="281" spans="1:10" ht="21" customHeight="1" thickBot="1" x14ac:dyDescent="0.2">
      <c r="A281" s="122">
        <v>49015280</v>
      </c>
      <c r="B281" s="111">
        <v>0</v>
      </c>
      <c r="C281" s="111" t="s">
        <v>88</v>
      </c>
      <c r="D281" s="111">
        <v>100</v>
      </c>
      <c r="E281" s="111" t="s">
        <v>88</v>
      </c>
      <c r="F281" s="111" t="s">
        <v>88</v>
      </c>
      <c r="G281" s="111" t="s">
        <v>88</v>
      </c>
      <c r="H281" s="111">
        <v>4</v>
      </c>
      <c r="I281" s="111" t="s">
        <v>88</v>
      </c>
      <c r="J281" s="114">
        <f t="shared" si="40"/>
        <v>100</v>
      </c>
    </row>
    <row r="282" spans="1:10" ht="21" customHeight="1" x14ac:dyDescent="0.15">
      <c r="A282" s="123">
        <v>49015281</v>
      </c>
      <c r="B282" s="106">
        <v>1</v>
      </c>
      <c r="C282" s="106">
        <v>100</v>
      </c>
      <c r="D282" s="106">
        <v>100</v>
      </c>
      <c r="E282" s="106" t="s">
        <v>88</v>
      </c>
      <c r="F282" s="106" t="s">
        <v>88</v>
      </c>
      <c r="G282" s="106">
        <v>1</v>
      </c>
      <c r="H282" s="106" t="s">
        <v>88</v>
      </c>
      <c r="I282" s="106" t="s">
        <v>88</v>
      </c>
      <c r="J282" s="109">
        <f t="shared" si="40"/>
        <v>100</v>
      </c>
    </row>
    <row r="283" spans="1:10" ht="21" customHeight="1" x14ac:dyDescent="0.15">
      <c r="A283" s="121">
        <v>49015282</v>
      </c>
      <c r="B283" s="47">
        <v>0</v>
      </c>
      <c r="C283" s="47">
        <v>90</v>
      </c>
      <c r="D283" s="47">
        <v>50</v>
      </c>
      <c r="E283" s="47" t="s">
        <v>88</v>
      </c>
      <c r="F283" s="47" t="s">
        <v>88</v>
      </c>
      <c r="G283" s="47" t="s">
        <v>88</v>
      </c>
      <c r="H283" s="47" t="s">
        <v>88</v>
      </c>
      <c r="I283" s="47" t="s">
        <v>88</v>
      </c>
      <c r="J283" s="48">
        <f t="shared" si="40"/>
        <v>50</v>
      </c>
    </row>
    <row r="284" spans="1:10" ht="21" customHeight="1" x14ac:dyDescent="0.15">
      <c r="A284" s="121">
        <v>49015283</v>
      </c>
      <c r="B284" s="47">
        <v>0</v>
      </c>
      <c r="C284" s="47">
        <v>80</v>
      </c>
      <c r="D284" s="47">
        <v>100</v>
      </c>
      <c r="E284" s="47" t="s">
        <v>88</v>
      </c>
      <c r="F284" s="47" t="s">
        <v>88</v>
      </c>
      <c r="G284" s="47" t="s">
        <v>88</v>
      </c>
      <c r="H284" s="47" t="s">
        <v>88</v>
      </c>
      <c r="I284" s="47" t="s">
        <v>88</v>
      </c>
      <c r="J284" s="48">
        <f t="shared" si="40"/>
        <v>100</v>
      </c>
    </row>
    <row r="285" spans="1:10" ht="21" customHeight="1" x14ac:dyDescent="0.15">
      <c r="A285" s="121">
        <v>49015284</v>
      </c>
      <c r="B285" s="47">
        <v>0</v>
      </c>
      <c r="C285" s="47">
        <v>70</v>
      </c>
      <c r="D285" s="47">
        <v>100</v>
      </c>
      <c r="E285" s="47" t="s">
        <v>88</v>
      </c>
      <c r="F285" s="47" t="s">
        <v>88</v>
      </c>
      <c r="G285" s="47" t="s">
        <v>88</v>
      </c>
      <c r="H285" s="47">
        <v>3</v>
      </c>
      <c r="I285" s="47" t="s">
        <v>88</v>
      </c>
      <c r="J285" s="48">
        <f t="shared" si="40"/>
        <v>100</v>
      </c>
    </row>
    <row r="286" spans="1:10" ht="21" customHeight="1" thickBot="1" x14ac:dyDescent="0.2">
      <c r="A286" s="122">
        <v>49015285</v>
      </c>
      <c r="B286" s="111">
        <v>0</v>
      </c>
      <c r="C286" s="111">
        <v>200</v>
      </c>
      <c r="D286" s="111">
        <v>100</v>
      </c>
      <c r="E286" s="111">
        <v>85</v>
      </c>
      <c r="F286" s="111" t="s">
        <v>88</v>
      </c>
      <c r="G286" s="111">
        <v>1</v>
      </c>
      <c r="H286" s="111">
        <v>1</v>
      </c>
      <c r="I286" s="111" t="s">
        <v>88</v>
      </c>
      <c r="J286" s="114">
        <f t="shared" si="40"/>
        <v>100</v>
      </c>
    </row>
    <row r="287" spans="1:10" ht="21" customHeight="1" x14ac:dyDescent="0.15">
      <c r="A287" s="124">
        <v>49015286</v>
      </c>
      <c r="B287" s="106">
        <v>1</v>
      </c>
      <c r="C287" s="47">
        <v>35</v>
      </c>
      <c r="D287" s="106">
        <v>100</v>
      </c>
      <c r="E287" s="106" t="s">
        <v>88</v>
      </c>
      <c r="F287" s="106" t="s">
        <v>88</v>
      </c>
      <c r="G287" s="106">
        <v>1</v>
      </c>
      <c r="H287" s="106" t="s">
        <v>88</v>
      </c>
      <c r="I287" s="106" t="s">
        <v>88</v>
      </c>
      <c r="J287" s="109">
        <f t="shared" si="40"/>
        <v>100</v>
      </c>
    </row>
    <row r="288" spans="1:10" ht="21" customHeight="1" x14ac:dyDescent="0.15">
      <c r="A288" s="124">
        <v>49015287</v>
      </c>
      <c r="B288" s="47">
        <v>1</v>
      </c>
      <c r="C288" s="47">
        <v>90</v>
      </c>
      <c r="D288" s="47">
        <v>100</v>
      </c>
      <c r="E288" s="47" t="s">
        <v>88</v>
      </c>
      <c r="F288" s="47" t="s">
        <v>88</v>
      </c>
      <c r="G288" s="47">
        <v>1</v>
      </c>
      <c r="H288" s="47" t="s">
        <v>88</v>
      </c>
      <c r="I288" s="47">
        <v>1462</v>
      </c>
      <c r="J288" s="48">
        <f t="shared" si="40"/>
        <v>100</v>
      </c>
    </row>
    <row r="289" spans="1:10" ht="21" customHeight="1" x14ac:dyDescent="0.15">
      <c r="A289" s="124">
        <v>49015288</v>
      </c>
      <c r="B289" s="47">
        <v>1</v>
      </c>
      <c r="C289" s="47">
        <v>91</v>
      </c>
      <c r="D289" s="47">
        <v>100</v>
      </c>
      <c r="E289" s="47" t="s">
        <v>88</v>
      </c>
      <c r="F289" s="47" t="s">
        <v>88</v>
      </c>
      <c r="G289" s="47">
        <v>1</v>
      </c>
      <c r="H289" s="47" t="s">
        <v>88</v>
      </c>
      <c r="I289" s="47">
        <v>1463</v>
      </c>
      <c r="J289" s="48">
        <f t="shared" si="40"/>
        <v>100</v>
      </c>
    </row>
    <row r="290" spans="1:10" ht="21" customHeight="1" x14ac:dyDescent="0.15">
      <c r="A290" s="124">
        <v>49015289</v>
      </c>
      <c r="B290" s="47">
        <v>1</v>
      </c>
      <c r="C290" s="47">
        <v>80</v>
      </c>
      <c r="D290" s="47">
        <v>100</v>
      </c>
      <c r="E290" s="47" t="s">
        <v>88</v>
      </c>
      <c r="F290" s="47" t="s">
        <v>88</v>
      </c>
      <c r="G290" s="47">
        <v>1</v>
      </c>
      <c r="H290" s="47" t="s">
        <v>88</v>
      </c>
      <c r="I290" s="47">
        <v>1464</v>
      </c>
      <c r="J290" s="48">
        <f t="shared" si="40"/>
        <v>100</v>
      </c>
    </row>
    <row r="291" spans="1:10" ht="21" customHeight="1" x14ac:dyDescent="0.15">
      <c r="A291" s="124">
        <v>49015290</v>
      </c>
      <c r="B291" s="47">
        <v>1</v>
      </c>
      <c r="C291" s="47">
        <v>81</v>
      </c>
      <c r="D291" s="47">
        <v>100</v>
      </c>
      <c r="E291" s="47" t="s">
        <v>88</v>
      </c>
      <c r="F291" s="47" t="s">
        <v>88</v>
      </c>
      <c r="G291" s="47">
        <v>1</v>
      </c>
      <c r="H291" s="47" t="s">
        <v>88</v>
      </c>
      <c r="I291" s="47">
        <v>1465</v>
      </c>
      <c r="J291" s="48">
        <f t="shared" si="40"/>
        <v>100</v>
      </c>
    </row>
    <row r="292" spans="1:10" ht="21" customHeight="1" x14ac:dyDescent="0.15">
      <c r="A292" s="124">
        <v>49015291</v>
      </c>
      <c r="B292" s="47">
        <v>1</v>
      </c>
      <c r="C292" s="47">
        <v>100</v>
      </c>
      <c r="D292" s="47">
        <v>100</v>
      </c>
      <c r="E292" s="47" t="s">
        <v>88</v>
      </c>
      <c r="F292" s="47" t="s">
        <v>88</v>
      </c>
      <c r="G292" s="47">
        <v>1</v>
      </c>
      <c r="H292" s="47" t="s">
        <v>88</v>
      </c>
      <c r="I292" s="47">
        <v>1458</v>
      </c>
      <c r="J292" s="48">
        <f t="shared" si="40"/>
        <v>100</v>
      </c>
    </row>
    <row r="293" spans="1:10" ht="21" customHeight="1" x14ac:dyDescent="0.15">
      <c r="A293" s="124">
        <v>49015292</v>
      </c>
      <c r="B293" s="47">
        <v>1</v>
      </c>
      <c r="C293" s="47">
        <v>101</v>
      </c>
      <c r="D293" s="47">
        <v>100</v>
      </c>
      <c r="E293" s="47" t="s">
        <v>88</v>
      </c>
      <c r="F293" s="47" t="s">
        <v>88</v>
      </c>
      <c r="G293" s="47">
        <v>1</v>
      </c>
      <c r="H293" s="47" t="s">
        <v>88</v>
      </c>
      <c r="I293" s="47">
        <v>1459</v>
      </c>
      <c r="J293" s="48">
        <f t="shared" si="40"/>
        <v>100</v>
      </c>
    </row>
    <row r="294" spans="1:10" ht="21" customHeight="1" x14ac:dyDescent="0.15">
      <c r="A294" s="124">
        <v>49015293</v>
      </c>
      <c r="B294" s="47">
        <v>1</v>
      </c>
      <c r="C294" s="47">
        <v>60</v>
      </c>
      <c r="D294" s="47">
        <v>100</v>
      </c>
      <c r="E294" s="47" t="s">
        <v>88</v>
      </c>
      <c r="F294" s="47" t="s">
        <v>88</v>
      </c>
      <c r="G294" s="47">
        <v>1</v>
      </c>
      <c r="H294" s="47" t="s">
        <v>88</v>
      </c>
      <c r="I294" s="47">
        <v>1460</v>
      </c>
      <c r="J294" s="48">
        <f t="shared" si="40"/>
        <v>100</v>
      </c>
    </row>
    <row r="295" spans="1:10" ht="21" customHeight="1" x14ac:dyDescent="0.15">
      <c r="A295" s="124">
        <v>49015294</v>
      </c>
      <c r="B295" s="47">
        <v>1</v>
      </c>
      <c r="C295" s="47">
        <v>61</v>
      </c>
      <c r="D295" s="47">
        <v>100</v>
      </c>
      <c r="E295" s="47" t="s">
        <v>88</v>
      </c>
      <c r="F295" s="47" t="s">
        <v>88</v>
      </c>
      <c r="G295" s="47">
        <v>1</v>
      </c>
      <c r="H295" s="47" t="s">
        <v>88</v>
      </c>
      <c r="I295" s="47">
        <v>1461</v>
      </c>
      <c r="J295" s="48">
        <f t="shared" si="40"/>
        <v>100</v>
      </c>
    </row>
    <row r="296" spans="1:10" ht="21" customHeight="1" x14ac:dyDescent="0.15">
      <c r="A296" s="124">
        <v>49015295</v>
      </c>
      <c r="B296" s="47">
        <v>1</v>
      </c>
      <c r="C296" s="47">
        <v>40</v>
      </c>
      <c r="D296" s="47">
        <v>100</v>
      </c>
      <c r="E296" s="47" t="s">
        <v>88</v>
      </c>
      <c r="F296" s="47" t="s">
        <v>88</v>
      </c>
      <c r="G296" s="47">
        <v>1</v>
      </c>
      <c r="H296" s="47" t="s">
        <v>88</v>
      </c>
      <c r="I296" s="47">
        <v>1469</v>
      </c>
      <c r="J296" s="48">
        <f t="shared" si="40"/>
        <v>100</v>
      </c>
    </row>
    <row r="297" spans="1:10" ht="21" customHeight="1" x14ac:dyDescent="0.15">
      <c r="A297" s="124">
        <v>49015296</v>
      </c>
      <c r="B297" s="47">
        <v>1</v>
      </c>
      <c r="C297" s="47">
        <v>50</v>
      </c>
      <c r="D297" s="47">
        <v>100</v>
      </c>
      <c r="E297" s="47" t="s">
        <v>88</v>
      </c>
      <c r="F297" s="47" t="s">
        <v>88</v>
      </c>
      <c r="G297" s="47">
        <v>1</v>
      </c>
      <c r="H297" s="47" t="s">
        <v>88</v>
      </c>
      <c r="I297" s="47">
        <v>1470</v>
      </c>
      <c r="J297" s="48">
        <f t="shared" si="40"/>
        <v>100</v>
      </c>
    </row>
    <row r="298" spans="1:10" ht="21" customHeight="1" x14ac:dyDescent="0.15">
      <c r="A298" s="124">
        <v>49015297</v>
      </c>
      <c r="B298" s="47">
        <v>1</v>
      </c>
      <c r="C298" s="47">
        <v>70</v>
      </c>
      <c r="D298" s="47">
        <v>100</v>
      </c>
      <c r="E298" s="47" t="s">
        <v>88</v>
      </c>
      <c r="F298" s="47" t="s">
        <v>88</v>
      </c>
      <c r="G298" s="47">
        <v>1</v>
      </c>
      <c r="H298" s="47" t="s">
        <v>88</v>
      </c>
      <c r="I298" s="47">
        <v>1466</v>
      </c>
      <c r="J298" s="48">
        <f t="shared" si="40"/>
        <v>100</v>
      </c>
    </row>
    <row r="299" spans="1:10" ht="21" customHeight="1" x14ac:dyDescent="0.15">
      <c r="A299" s="124">
        <v>49015298</v>
      </c>
      <c r="B299" s="47">
        <v>1</v>
      </c>
      <c r="C299" s="47">
        <v>71</v>
      </c>
      <c r="D299" s="47">
        <v>100</v>
      </c>
      <c r="E299" s="47" t="s">
        <v>88</v>
      </c>
      <c r="F299" s="47" t="s">
        <v>88</v>
      </c>
      <c r="G299" s="47">
        <v>1</v>
      </c>
      <c r="H299" s="47" t="s">
        <v>88</v>
      </c>
      <c r="I299" s="47">
        <v>1467</v>
      </c>
      <c r="J299" s="48">
        <f t="shared" si="40"/>
        <v>100</v>
      </c>
    </row>
    <row r="300" spans="1:10" ht="21" customHeight="1" x14ac:dyDescent="0.15">
      <c r="A300" s="124">
        <v>49015299</v>
      </c>
      <c r="B300" s="47">
        <v>0</v>
      </c>
      <c r="C300" s="47">
        <v>20</v>
      </c>
      <c r="D300" s="47">
        <v>50</v>
      </c>
      <c r="E300" s="47" t="s">
        <v>88</v>
      </c>
      <c r="F300" s="47" t="s">
        <v>88</v>
      </c>
      <c r="G300" s="47" t="s">
        <v>88</v>
      </c>
      <c r="H300" s="47" t="s">
        <v>88</v>
      </c>
      <c r="I300" s="47" t="s">
        <v>88</v>
      </c>
      <c r="J300" s="48">
        <f t="shared" si="40"/>
        <v>50</v>
      </c>
    </row>
    <row r="301" spans="1:10" ht="21" customHeight="1" x14ac:dyDescent="0.15">
      <c r="A301" s="124">
        <v>49015300</v>
      </c>
      <c r="B301" s="47">
        <v>0</v>
      </c>
      <c r="C301" s="47">
        <v>10</v>
      </c>
      <c r="D301" s="47">
        <v>100</v>
      </c>
      <c r="E301" s="47" t="s">
        <v>88</v>
      </c>
      <c r="F301" s="47" t="s">
        <v>88</v>
      </c>
      <c r="G301" s="47" t="s">
        <v>88</v>
      </c>
      <c r="H301" s="47" t="s">
        <v>88</v>
      </c>
      <c r="I301" s="47" t="s">
        <v>88</v>
      </c>
      <c r="J301" s="48">
        <f t="shared" si="40"/>
        <v>100</v>
      </c>
    </row>
    <row r="302" spans="1:10" ht="21" customHeight="1" x14ac:dyDescent="0.15">
      <c r="A302" s="124">
        <v>49015301</v>
      </c>
      <c r="B302" s="47">
        <v>0</v>
      </c>
      <c r="C302" s="47">
        <v>25</v>
      </c>
      <c r="D302" s="47">
        <v>100</v>
      </c>
      <c r="E302" s="47" t="s">
        <v>88</v>
      </c>
      <c r="F302" s="47" t="s">
        <v>88</v>
      </c>
      <c r="G302" s="47" t="s">
        <v>88</v>
      </c>
      <c r="H302" s="47">
        <v>3</v>
      </c>
      <c r="I302" s="47" t="s">
        <v>88</v>
      </c>
      <c r="J302" s="48">
        <f t="shared" si="40"/>
        <v>100</v>
      </c>
    </row>
    <row r="303" spans="1:10" ht="21" customHeight="1" thickBot="1" x14ac:dyDescent="0.2">
      <c r="A303" s="125">
        <v>49015302</v>
      </c>
      <c r="B303" s="111">
        <v>0</v>
      </c>
      <c r="C303" s="111">
        <v>30</v>
      </c>
      <c r="D303" s="111">
        <v>100</v>
      </c>
      <c r="E303" s="111" t="s">
        <v>88</v>
      </c>
      <c r="F303" s="111" t="s">
        <v>88</v>
      </c>
      <c r="G303" s="111" t="s">
        <v>88</v>
      </c>
      <c r="H303" s="111">
        <v>4</v>
      </c>
      <c r="I303" s="111" t="s">
        <v>88</v>
      </c>
      <c r="J303" s="114">
        <f t="shared" si="40"/>
        <v>100</v>
      </c>
    </row>
    <row r="304" spans="1:10" ht="21" customHeight="1" x14ac:dyDescent="0.15">
      <c r="A304" s="124">
        <v>49015303</v>
      </c>
      <c r="B304" s="106">
        <v>1</v>
      </c>
      <c r="C304" s="106">
        <v>90</v>
      </c>
      <c r="D304" s="106">
        <v>100</v>
      </c>
      <c r="E304" s="106" t="s">
        <v>88</v>
      </c>
      <c r="F304" s="106" t="s">
        <v>88</v>
      </c>
      <c r="G304" s="106">
        <v>1</v>
      </c>
      <c r="H304" s="106" t="s">
        <v>88</v>
      </c>
      <c r="I304" s="106" t="s">
        <v>88</v>
      </c>
      <c r="J304" s="109">
        <f t="shared" si="40"/>
        <v>100</v>
      </c>
    </row>
    <row r="305" spans="1:10" ht="21" customHeight="1" x14ac:dyDescent="0.15">
      <c r="A305" s="124">
        <v>49015304</v>
      </c>
      <c r="B305" s="47">
        <v>0</v>
      </c>
      <c r="C305" s="47">
        <v>70</v>
      </c>
      <c r="D305" s="47">
        <v>50</v>
      </c>
      <c r="E305" s="47" t="s">
        <v>88</v>
      </c>
      <c r="F305" s="47" t="s">
        <v>88</v>
      </c>
      <c r="G305" s="47" t="s">
        <v>88</v>
      </c>
      <c r="H305" s="47" t="s">
        <v>88</v>
      </c>
      <c r="I305" s="47" t="s">
        <v>88</v>
      </c>
      <c r="J305" s="48">
        <f t="shared" si="40"/>
        <v>50</v>
      </c>
    </row>
    <row r="306" spans="1:10" ht="21" customHeight="1" x14ac:dyDescent="0.15">
      <c r="A306" s="124">
        <v>49015305</v>
      </c>
      <c r="B306" s="47">
        <v>0</v>
      </c>
      <c r="C306" s="47">
        <v>60</v>
      </c>
      <c r="D306" s="47">
        <v>100</v>
      </c>
      <c r="E306" s="47" t="s">
        <v>88</v>
      </c>
      <c r="F306" s="47" t="s">
        <v>88</v>
      </c>
      <c r="G306" s="47" t="s">
        <v>88</v>
      </c>
      <c r="H306" s="47" t="s">
        <v>88</v>
      </c>
      <c r="I306" s="47" t="s">
        <v>88</v>
      </c>
      <c r="J306" s="48">
        <f t="shared" si="40"/>
        <v>100</v>
      </c>
    </row>
    <row r="307" spans="1:10" ht="21" customHeight="1" x14ac:dyDescent="0.15">
      <c r="A307" s="124">
        <v>49015306</v>
      </c>
      <c r="B307" s="47">
        <v>0</v>
      </c>
      <c r="C307" s="47">
        <v>80</v>
      </c>
      <c r="D307" s="47">
        <v>100</v>
      </c>
      <c r="E307" s="47" t="s">
        <v>88</v>
      </c>
      <c r="F307" s="47" t="s">
        <v>88</v>
      </c>
      <c r="G307" s="47" t="s">
        <v>88</v>
      </c>
      <c r="H307" s="47">
        <v>2</v>
      </c>
      <c r="I307" s="47" t="s">
        <v>88</v>
      </c>
      <c r="J307" s="48">
        <f t="shared" si="40"/>
        <v>100</v>
      </c>
    </row>
    <row r="308" spans="1:10" ht="21" customHeight="1" thickBot="1" x14ac:dyDescent="0.2">
      <c r="A308" s="125">
        <v>49015307</v>
      </c>
      <c r="B308" s="111">
        <v>0</v>
      </c>
      <c r="C308" s="111">
        <v>100</v>
      </c>
      <c r="D308" s="111">
        <v>100</v>
      </c>
      <c r="E308" s="111">
        <v>60</v>
      </c>
      <c r="F308" s="111" t="s">
        <v>88</v>
      </c>
      <c r="G308" s="111">
        <v>1</v>
      </c>
      <c r="H308" s="111">
        <v>1</v>
      </c>
      <c r="I308" s="111" t="s">
        <v>88</v>
      </c>
      <c r="J308" s="114">
        <f t="shared" si="40"/>
        <v>100</v>
      </c>
    </row>
    <row r="309" spans="1:10" ht="21" customHeight="1" x14ac:dyDescent="0.15">
      <c r="A309" s="124">
        <v>49015308</v>
      </c>
      <c r="B309" s="106">
        <v>1</v>
      </c>
      <c r="C309" s="106" t="s">
        <v>88</v>
      </c>
      <c r="D309" s="106">
        <v>100</v>
      </c>
      <c r="E309" s="106" t="s">
        <v>88</v>
      </c>
      <c r="F309" s="106" t="s">
        <v>88</v>
      </c>
      <c r="G309" s="106">
        <v>1</v>
      </c>
      <c r="H309" s="106" t="s">
        <v>88</v>
      </c>
      <c r="I309" s="106" t="s">
        <v>88</v>
      </c>
      <c r="J309" s="109">
        <f t="shared" si="40"/>
        <v>100</v>
      </c>
    </row>
    <row r="310" spans="1:10" ht="21" customHeight="1" x14ac:dyDescent="0.15">
      <c r="A310" s="124">
        <v>49015309</v>
      </c>
      <c r="B310" s="47">
        <v>0</v>
      </c>
      <c r="C310" s="47">
        <v>20</v>
      </c>
      <c r="D310" s="47">
        <v>30</v>
      </c>
      <c r="E310" s="47" t="s">
        <v>88</v>
      </c>
      <c r="F310" s="47" t="s">
        <v>88</v>
      </c>
      <c r="G310" s="47" t="s">
        <v>88</v>
      </c>
      <c r="H310" s="47" t="s">
        <v>88</v>
      </c>
      <c r="I310" s="47" t="s">
        <v>88</v>
      </c>
      <c r="J310" s="48">
        <f t="shared" si="40"/>
        <v>30</v>
      </c>
    </row>
    <row r="311" spans="1:10" ht="21" customHeight="1" x14ac:dyDescent="0.15">
      <c r="A311" s="124">
        <v>49015310</v>
      </c>
      <c r="B311" s="47">
        <v>0</v>
      </c>
      <c r="C311" s="47">
        <v>15</v>
      </c>
      <c r="D311" s="47">
        <v>50</v>
      </c>
      <c r="E311" s="47" t="s">
        <v>88</v>
      </c>
      <c r="F311" s="47" t="s">
        <v>88</v>
      </c>
      <c r="G311" s="47" t="s">
        <v>88</v>
      </c>
      <c r="H311" s="47" t="s">
        <v>88</v>
      </c>
      <c r="I311" s="47" t="s">
        <v>88</v>
      </c>
      <c r="J311" s="48">
        <f t="shared" si="40"/>
        <v>50</v>
      </c>
    </row>
    <row r="312" spans="1:10" ht="21" customHeight="1" x14ac:dyDescent="0.15">
      <c r="A312" s="124">
        <v>49015311</v>
      </c>
      <c r="B312" s="47">
        <v>0</v>
      </c>
      <c r="C312" s="47">
        <v>10</v>
      </c>
      <c r="D312" s="47">
        <v>100</v>
      </c>
      <c r="E312" s="47" t="s">
        <v>88</v>
      </c>
      <c r="F312" s="47" t="s">
        <v>88</v>
      </c>
      <c r="G312" s="47" t="s">
        <v>88</v>
      </c>
      <c r="H312" s="47" t="s">
        <v>88</v>
      </c>
      <c r="I312" s="47" t="s">
        <v>88</v>
      </c>
      <c r="J312" s="48">
        <f t="shared" si="40"/>
        <v>100</v>
      </c>
    </row>
    <row r="313" spans="1:10" ht="21" customHeight="1" x14ac:dyDescent="0.15">
      <c r="A313" s="124">
        <v>49015312</v>
      </c>
      <c r="B313" s="47">
        <v>0</v>
      </c>
      <c r="C313" s="47">
        <v>30</v>
      </c>
      <c r="D313" s="47">
        <v>100</v>
      </c>
      <c r="E313" s="47" t="s">
        <v>88</v>
      </c>
      <c r="F313" s="47" t="s">
        <v>88</v>
      </c>
      <c r="G313" s="47" t="s">
        <v>88</v>
      </c>
      <c r="H313" s="47">
        <v>3</v>
      </c>
      <c r="I313" s="47" t="s">
        <v>88</v>
      </c>
      <c r="J313" s="48">
        <f t="shared" si="40"/>
        <v>100</v>
      </c>
    </row>
    <row r="314" spans="1:10" ht="21" customHeight="1" x14ac:dyDescent="0.15">
      <c r="A314" s="124">
        <v>49015313</v>
      </c>
      <c r="B314" s="47">
        <v>0</v>
      </c>
      <c r="C314" s="47">
        <v>35</v>
      </c>
      <c r="D314" s="47">
        <v>100</v>
      </c>
      <c r="E314" s="47" t="s">
        <v>88</v>
      </c>
      <c r="F314" s="47" t="s">
        <v>88</v>
      </c>
      <c r="G314" s="47">
        <v>0</v>
      </c>
      <c r="H314" s="47" t="s">
        <v>88</v>
      </c>
      <c r="I314" s="47">
        <v>0</v>
      </c>
      <c r="J314" s="48">
        <f t="shared" si="40"/>
        <v>100</v>
      </c>
    </row>
    <row r="315" spans="1:10" ht="21" customHeight="1" x14ac:dyDescent="0.15">
      <c r="A315" s="124">
        <v>49015314</v>
      </c>
      <c r="B315" s="47">
        <v>0</v>
      </c>
      <c r="C315" s="47">
        <v>90</v>
      </c>
      <c r="D315" s="47">
        <v>100</v>
      </c>
      <c r="E315" s="47" t="s">
        <v>88</v>
      </c>
      <c r="F315" s="47" t="s">
        <v>88</v>
      </c>
      <c r="G315" s="47">
        <v>0</v>
      </c>
      <c r="H315" s="47" t="s">
        <v>88</v>
      </c>
      <c r="I315" s="47">
        <v>1462</v>
      </c>
      <c r="J315" s="48">
        <f t="shared" si="40"/>
        <v>100</v>
      </c>
    </row>
    <row r="316" spans="1:10" ht="21" customHeight="1" x14ac:dyDescent="0.15">
      <c r="A316" s="124">
        <v>49015315</v>
      </c>
      <c r="B316" s="47">
        <v>0</v>
      </c>
      <c r="C316" s="47">
        <v>91</v>
      </c>
      <c r="D316" s="47">
        <v>100</v>
      </c>
      <c r="E316" s="47" t="s">
        <v>88</v>
      </c>
      <c r="F316" s="47" t="s">
        <v>88</v>
      </c>
      <c r="G316" s="47">
        <v>0</v>
      </c>
      <c r="H316" s="47" t="s">
        <v>88</v>
      </c>
      <c r="I316" s="47">
        <v>1463</v>
      </c>
      <c r="J316" s="48">
        <f t="shared" si="40"/>
        <v>100</v>
      </c>
    </row>
    <row r="317" spans="1:10" ht="21" customHeight="1" x14ac:dyDescent="0.15">
      <c r="A317" s="124">
        <v>49015316</v>
      </c>
      <c r="B317" s="47">
        <v>0</v>
      </c>
      <c r="C317" s="47">
        <v>80</v>
      </c>
      <c r="D317" s="47">
        <v>100</v>
      </c>
      <c r="E317" s="47" t="s">
        <v>88</v>
      </c>
      <c r="F317" s="47" t="s">
        <v>88</v>
      </c>
      <c r="G317" s="47">
        <v>0</v>
      </c>
      <c r="H317" s="47" t="s">
        <v>88</v>
      </c>
      <c r="I317" s="47">
        <v>1464</v>
      </c>
      <c r="J317" s="48">
        <f t="shared" si="40"/>
        <v>100</v>
      </c>
    </row>
    <row r="318" spans="1:10" ht="21" customHeight="1" x14ac:dyDescent="0.15">
      <c r="A318" s="124">
        <v>49015317</v>
      </c>
      <c r="B318" s="47">
        <v>0</v>
      </c>
      <c r="C318" s="47">
        <v>81</v>
      </c>
      <c r="D318" s="47">
        <v>100</v>
      </c>
      <c r="E318" s="47" t="s">
        <v>88</v>
      </c>
      <c r="F318" s="47" t="s">
        <v>88</v>
      </c>
      <c r="G318" s="47">
        <v>0</v>
      </c>
      <c r="H318" s="47" t="s">
        <v>88</v>
      </c>
      <c r="I318" s="47">
        <v>1465</v>
      </c>
      <c r="J318" s="48">
        <f t="shared" si="40"/>
        <v>100</v>
      </c>
    </row>
    <row r="319" spans="1:10" ht="21" customHeight="1" x14ac:dyDescent="0.15">
      <c r="A319" s="124">
        <v>49015318</v>
      </c>
      <c r="B319" s="47">
        <v>0</v>
      </c>
      <c r="C319" s="47">
        <v>100</v>
      </c>
      <c r="D319" s="47">
        <v>100</v>
      </c>
      <c r="E319" s="47" t="s">
        <v>88</v>
      </c>
      <c r="F319" s="47" t="s">
        <v>88</v>
      </c>
      <c r="G319" s="47">
        <v>0</v>
      </c>
      <c r="H319" s="47" t="s">
        <v>88</v>
      </c>
      <c r="I319" s="47">
        <v>1458</v>
      </c>
      <c r="J319" s="48">
        <f t="shared" si="40"/>
        <v>100</v>
      </c>
    </row>
    <row r="320" spans="1:10" ht="21" customHeight="1" x14ac:dyDescent="0.15">
      <c r="A320" s="124">
        <v>49015319</v>
      </c>
      <c r="B320" s="47">
        <v>0</v>
      </c>
      <c r="C320" s="47">
        <v>101</v>
      </c>
      <c r="D320" s="47">
        <v>100</v>
      </c>
      <c r="E320" s="47" t="s">
        <v>88</v>
      </c>
      <c r="F320" s="47" t="s">
        <v>88</v>
      </c>
      <c r="G320" s="47">
        <v>0</v>
      </c>
      <c r="H320" s="47" t="s">
        <v>88</v>
      </c>
      <c r="I320" s="47">
        <v>1459</v>
      </c>
      <c r="J320" s="48">
        <f t="shared" si="40"/>
        <v>100</v>
      </c>
    </row>
    <row r="321" spans="1:11" ht="21" customHeight="1" x14ac:dyDescent="0.15">
      <c r="A321" s="124">
        <v>49015320</v>
      </c>
      <c r="B321" s="47">
        <v>0</v>
      </c>
      <c r="C321" s="47">
        <v>60</v>
      </c>
      <c r="D321" s="47">
        <v>100</v>
      </c>
      <c r="E321" s="47" t="s">
        <v>88</v>
      </c>
      <c r="F321" s="47" t="s">
        <v>88</v>
      </c>
      <c r="G321" s="47">
        <v>0</v>
      </c>
      <c r="H321" s="47" t="s">
        <v>88</v>
      </c>
      <c r="I321" s="47">
        <v>1460</v>
      </c>
      <c r="J321" s="48">
        <f t="shared" si="40"/>
        <v>100</v>
      </c>
    </row>
    <row r="322" spans="1:11" ht="21" customHeight="1" x14ac:dyDescent="0.15">
      <c r="A322" s="124">
        <v>49015321</v>
      </c>
      <c r="B322" s="47">
        <v>0</v>
      </c>
      <c r="C322" s="47">
        <v>61</v>
      </c>
      <c r="D322" s="47">
        <v>100</v>
      </c>
      <c r="E322" s="47" t="s">
        <v>88</v>
      </c>
      <c r="F322" s="47" t="s">
        <v>88</v>
      </c>
      <c r="G322" s="47">
        <v>0</v>
      </c>
      <c r="H322" s="47" t="s">
        <v>88</v>
      </c>
      <c r="I322" s="47">
        <v>1461</v>
      </c>
      <c r="J322" s="48">
        <f t="shared" si="40"/>
        <v>100</v>
      </c>
    </row>
    <row r="323" spans="1:11" ht="21" customHeight="1" x14ac:dyDescent="0.15">
      <c r="A323" s="124">
        <v>49015322</v>
      </c>
      <c r="B323" s="47">
        <v>0</v>
      </c>
      <c r="C323" s="47">
        <v>40</v>
      </c>
      <c r="D323" s="47">
        <v>100</v>
      </c>
      <c r="E323" s="47" t="s">
        <v>88</v>
      </c>
      <c r="F323" s="47" t="s">
        <v>88</v>
      </c>
      <c r="G323" s="47">
        <v>0</v>
      </c>
      <c r="H323" s="47" t="s">
        <v>88</v>
      </c>
      <c r="I323" s="47">
        <v>1469</v>
      </c>
      <c r="J323" s="48">
        <f t="shared" si="40"/>
        <v>100</v>
      </c>
    </row>
    <row r="324" spans="1:11" ht="21" customHeight="1" x14ac:dyDescent="0.15">
      <c r="A324" s="124">
        <v>49015323</v>
      </c>
      <c r="B324" s="47">
        <v>0</v>
      </c>
      <c r="C324" s="47">
        <v>50</v>
      </c>
      <c r="D324" s="47">
        <v>100</v>
      </c>
      <c r="E324" s="47" t="s">
        <v>88</v>
      </c>
      <c r="F324" s="47" t="s">
        <v>88</v>
      </c>
      <c r="G324" s="47">
        <v>0</v>
      </c>
      <c r="H324" s="47" t="s">
        <v>88</v>
      </c>
      <c r="I324" s="47">
        <v>1470</v>
      </c>
      <c r="J324" s="48">
        <f t="shared" si="40"/>
        <v>100</v>
      </c>
    </row>
    <row r="325" spans="1:11" ht="21" customHeight="1" x14ac:dyDescent="0.15">
      <c r="A325" s="124">
        <v>49015324</v>
      </c>
      <c r="B325" s="129">
        <v>0</v>
      </c>
      <c r="C325" s="47">
        <v>70</v>
      </c>
      <c r="D325" s="129">
        <v>100</v>
      </c>
      <c r="E325" s="129" t="s">
        <v>88</v>
      </c>
      <c r="F325" s="129" t="s">
        <v>88</v>
      </c>
      <c r="G325" s="129">
        <v>0</v>
      </c>
      <c r="H325" s="129" t="s">
        <v>88</v>
      </c>
      <c r="I325" s="129">
        <v>1466</v>
      </c>
      <c r="J325" s="132">
        <f t="shared" si="40"/>
        <v>100</v>
      </c>
    </row>
    <row r="326" spans="1:11" ht="21" customHeight="1" thickBot="1" x14ac:dyDescent="0.2">
      <c r="A326" s="125">
        <v>49015325</v>
      </c>
      <c r="B326" s="111">
        <v>0</v>
      </c>
      <c r="C326" s="111">
        <v>71</v>
      </c>
      <c r="D326" s="111">
        <v>100</v>
      </c>
      <c r="E326" s="111" t="s">
        <v>88</v>
      </c>
      <c r="F326" s="111" t="s">
        <v>88</v>
      </c>
      <c r="G326" s="111">
        <v>0</v>
      </c>
      <c r="H326" s="111" t="s">
        <v>88</v>
      </c>
      <c r="I326" s="111">
        <v>1467</v>
      </c>
      <c r="J326" s="114">
        <f t="shared" si="40"/>
        <v>100</v>
      </c>
      <c r="K326" s="148"/>
    </row>
    <row r="327" spans="1:11" ht="21" customHeight="1" x14ac:dyDescent="0.15">
      <c r="A327" s="126">
        <v>49015326</v>
      </c>
      <c r="B327" s="106">
        <v>1</v>
      </c>
      <c r="C327" s="106">
        <v>35</v>
      </c>
      <c r="D327" s="106">
        <v>100</v>
      </c>
      <c r="E327" s="106" t="s">
        <v>88</v>
      </c>
      <c r="F327" s="106" t="s">
        <v>88</v>
      </c>
      <c r="G327" s="106">
        <v>1</v>
      </c>
      <c r="H327" s="106" t="s">
        <v>88</v>
      </c>
      <c r="I327" s="106" t="s">
        <v>88</v>
      </c>
      <c r="J327" s="109">
        <f t="shared" si="40"/>
        <v>100</v>
      </c>
    </row>
    <row r="328" spans="1:11" ht="21" customHeight="1" x14ac:dyDescent="0.15">
      <c r="A328" s="126">
        <v>49015327</v>
      </c>
      <c r="B328" s="47">
        <v>1</v>
      </c>
      <c r="C328" s="212">
        <v>90</v>
      </c>
      <c r="D328" s="47">
        <v>100</v>
      </c>
      <c r="E328" s="47" t="s">
        <v>88</v>
      </c>
      <c r="F328" s="47" t="s">
        <v>88</v>
      </c>
      <c r="G328" s="47">
        <v>1</v>
      </c>
      <c r="H328" s="47" t="s">
        <v>88</v>
      </c>
      <c r="I328" s="47">
        <v>1462</v>
      </c>
      <c r="J328" s="48">
        <f t="shared" si="40"/>
        <v>100</v>
      </c>
    </row>
    <row r="329" spans="1:11" ht="21" customHeight="1" x14ac:dyDescent="0.15">
      <c r="A329" s="126">
        <v>49015328</v>
      </c>
      <c r="B329" s="47">
        <v>1</v>
      </c>
      <c r="C329" s="212">
        <v>91</v>
      </c>
      <c r="D329" s="47">
        <v>100</v>
      </c>
      <c r="E329" s="47" t="s">
        <v>88</v>
      </c>
      <c r="F329" s="47" t="s">
        <v>88</v>
      </c>
      <c r="G329" s="47">
        <v>1</v>
      </c>
      <c r="H329" s="47" t="s">
        <v>88</v>
      </c>
      <c r="I329" s="47">
        <v>1463</v>
      </c>
      <c r="J329" s="48">
        <f t="shared" si="40"/>
        <v>100</v>
      </c>
    </row>
    <row r="330" spans="1:11" ht="21" customHeight="1" x14ac:dyDescent="0.15">
      <c r="A330" s="126">
        <v>49015329</v>
      </c>
      <c r="B330" s="47">
        <v>1</v>
      </c>
      <c r="C330" s="212">
        <v>70</v>
      </c>
      <c r="D330" s="47">
        <v>100</v>
      </c>
      <c r="E330" s="47" t="s">
        <v>88</v>
      </c>
      <c r="F330" s="47" t="s">
        <v>88</v>
      </c>
      <c r="G330" s="47">
        <v>1</v>
      </c>
      <c r="H330" s="47" t="s">
        <v>88</v>
      </c>
      <c r="I330" s="47">
        <v>1464</v>
      </c>
      <c r="J330" s="48">
        <f t="shared" ref="J330:J394" si="41">D330</f>
        <v>100</v>
      </c>
    </row>
    <row r="331" spans="1:11" ht="21" customHeight="1" x14ac:dyDescent="0.15">
      <c r="A331" s="126">
        <v>49015330</v>
      </c>
      <c r="B331" s="47">
        <v>1</v>
      </c>
      <c r="C331" s="212">
        <v>71</v>
      </c>
      <c r="D331" s="47">
        <v>100</v>
      </c>
      <c r="E331" s="47" t="s">
        <v>88</v>
      </c>
      <c r="F331" s="47" t="s">
        <v>88</v>
      </c>
      <c r="G331" s="47">
        <v>1</v>
      </c>
      <c r="H331" s="47" t="s">
        <v>88</v>
      </c>
      <c r="I331" s="47">
        <v>1465</v>
      </c>
      <c r="J331" s="48">
        <f t="shared" si="41"/>
        <v>100</v>
      </c>
    </row>
    <row r="332" spans="1:11" ht="21" customHeight="1" x14ac:dyDescent="0.15">
      <c r="A332" s="126">
        <v>49015331</v>
      </c>
      <c r="B332" s="47">
        <v>1</v>
      </c>
      <c r="C332" s="212">
        <v>60</v>
      </c>
      <c r="D332" s="47">
        <v>100</v>
      </c>
      <c r="E332" s="47" t="s">
        <v>88</v>
      </c>
      <c r="F332" s="47" t="s">
        <v>88</v>
      </c>
      <c r="G332" s="47">
        <v>1</v>
      </c>
      <c r="H332" s="47" t="s">
        <v>88</v>
      </c>
      <c r="I332" s="47">
        <v>1458</v>
      </c>
      <c r="J332" s="48">
        <f t="shared" si="41"/>
        <v>100</v>
      </c>
    </row>
    <row r="333" spans="1:11" ht="21" customHeight="1" x14ac:dyDescent="0.15">
      <c r="A333" s="126">
        <v>49015332</v>
      </c>
      <c r="B333" s="47">
        <v>1</v>
      </c>
      <c r="C333" s="212">
        <v>61</v>
      </c>
      <c r="D333" s="47">
        <v>100</v>
      </c>
      <c r="E333" s="47" t="s">
        <v>88</v>
      </c>
      <c r="F333" s="47" t="s">
        <v>88</v>
      </c>
      <c r="G333" s="47">
        <v>1</v>
      </c>
      <c r="H333" s="47" t="s">
        <v>88</v>
      </c>
      <c r="I333" s="47">
        <v>1459</v>
      </c>
      <c r="J333" s="48">
        <f t="shared" si="41"/>
        <v>100</v>
      </c>
    </row>
    <row r="334" spans="1:11" ht="21" customHeight="1" x14ac:dyDescent="0.15">
      <c r="A334" s="126">
        <v>49015333</v>
      </c>
      <c r="B334" s="47">
        <v>1</v>
      </c>
      <c r="C334" s="212">
        <v>100</v>
      </c>
      <c r="D334" s="47">
        <v>100</v>
      </c>
      <c r="E334" s="47" t="s">
        <v>88</v>
      </c>
      <c r="F334" s="47" t="s">
        <v>88</v>
      </c>
      <c r="G334" s="47">
        <v>1</v>
      </c>
      <c r="H334" s="47" t="s">
        <v>88</v>
      </c>
      <c r="I334" s="47">
        <v>1460</v>
      </c>
      <c r="J334" s="48">
        <f t="shared" si="41"/>
        <v>100</v>
      </c>
    </row>
    <row r="335" spans="1:11" ht="21" customHeight="1" x14ac:dyDescent="0.15">
      <c r="A335" s="126">
        <v>49015334</v>
      </c>
      <c r="B335" s="47">
        <v>1</v>
      </c>
      <c r="C335" s="212">
        <v>101</v>
      </c>
      <c r="D335" s="47">
        <v>100</v>
      </c>
      <c r="E335" s="47" t="s">
        <v>88</v>
      </c>
      <c r="F335" s="47" t="s">
        <v>88</v>
      </c>
      <c r="G335" s="47">
        <v>1</v>
      </c>
      <c r="H335" s="47" t="s">
        <v>88</v>
      </c>
      <c r="I335" s="47">
        <v>1461</v>
      </c>
      <c r="J335" s="48">
        <f t="shared" si="41"/>
        <v>100</v>
      </c>
    </row>
    <row r="336" spans="1:11" ht="21" customHeight="1" x14ac:dyDescent="0.15">
      <c r="A336" s="126">
        <v>49015335</v>
      </c>
      <c r="B336" s="47">
        <v>1</v>
      </c>
      <c r="C336" s="212">
        <v>80</v>
      </c>
      <c r="D336" s="47">
        <v>100</v>
      </c>
      <c r="E336" s="47" t="s">
        <v>88</v>
      </c>
      <c r="F336" s="47" t="s">
        <v>88</v>
      </c>
      <c r="G336" s="47">
        <v>1</v>
      </c>
      <c r="H336" s="47" t="s">
        <v>88</v>
      </c>
      <c r="I336" s="47">
        <v>1469</v>
      </c>
      <c r="J336" s="48">
        <f t="shared" si="41"/>
        <v>100</v>
      </c>
    </row>
    <row r="337" spans="1:10" ht="21" customHeight="1" x14ac:dyDescent="0.15">
      <c r="A337" s="126">
        <v>49015336</v>
      </c>
      <c r="B337" s="47">
        <v>1</v>
      </c>
      <c r="C337" s="47">
        <v>50</v>
      </c>
      <c r="D337" s="47">
        <v>100</v>
      </c>
      <c r="E337" s="47" t="s">
        <v>88</v>
      </c>
      <c r="F337" s="47" t="s">
        <v>88</v>
      </c>
      <c r="G337" s="47">
        <v>1</v>
      </c>
      <c r="H337" s="47" t="s">
        <v>88</v>
      </c>
      <c r="I337" s="47">
        <v>1468</v>
      </c>
      <c r="J337" s="48">
        <f t="shared" si="41"/>
        <v>100</v>
      </c>
    </row>
    <row r="338" spans="1:10" ht="21" customHeight="1" x14ac:dyDescent="0.15">
      <c r="A338" s="126">
        <v>49015337</v>
      </c>
      <c r="B338" s="47">
        <v>1</v>
      </c>
      <c r="C338" s="47">
        <v>40</v>
      </c>
      <c r="D338" s="47">
        <v>100</v>
      </c>
      <c r="E338" s="47" t="s">
        <v>88</v>
      </c>
      <c r="F338" s="47" t="s">
        <v>88</v>
      </c>
      <c r="G338" s="47">
        <v>1</v>
      </c>
      <c r="H338" s="47" t="s">
        <v>88</v>
      </c>
      <c r="I338" s="47">
        <v>1466</v>
      </c>
      <c r="J338" s="48">
        <f t="shared" si="41"/>
        <v>100</v>
      </c>
    </row>
    <row r="339" spans="1:10" ht="21" customHeight="1" x14ac:dyDescent="0.15">
      <c r="A339" s="126">
        <v>49015338</v>
      </c>
      <c r="B339" s="47">
        <v>1</v>
      </c>
      <c r="C339" s="47">
        <v>41</v>
      </c>
      <c r="D339" s="47">
        <v>100</v>
      </c>
      <c r="E339" s="47" t="s">
        <v>88</v>
      </c>
      <c r="F339" s="47" t="s">
        <v>88</v>
      </c>
      <c r="G339" s="47">
        <v>1</v>
      </c>
      <c r="H339" s="47" t="s">
        <v>88</v>
      </c>
      <c r="I339" s="47">
        <v>1467</v>
      </c>
      <c r="J339" s="48">
        <f t="shared" si="41"/>
        <v>100</v>
      </c>
    </row>
    <row r="340" spans="1:10" ht="21" customHeight="1" x14ac:dyDescent="0.15">
      <c r="A340" s="126">
        <v>49015339</v>
      </c>
      <c r="B340" s="47">
        <v>0</v>
      </c>
      <c r="C340" s="47">
        <v>25</v>
      </c>
      <c r="D340" s="47">
        <v>50</v>
      </c>
      <c r="E340" s="47" t="s">
        <v>88</v>
      </c>
      <c r="F340" s="47" t="s">
        <v>88</v>
      </c>
      <c r="G340" s="47" t="s">
        <v>88</v>
      </c>
      <c r="H340" s="47" t="s">
        <v>88</v>
      </c>
      <c r="I340" s="47" t="s">
        <v>88</v>
      </c>
      <c r="J340" s="48">
        <f t="shared" si="41"/>
        <v>50</v>
      </c>
    </row>
    <row r="341" spans="1:10" ht="21" customHeight="1" x14ac:dyDescent="0.15">
      <c r="A341" s="126">
        <v>49015340</v>
      </c>
      <c r="B341" s="47">
        <v>0</v>
      </c>
      <c r="C341" s="47">
        <v>20</v>
      </c>
      <c r="D341" s="47">
        <v>100</v>
      </c>
      <c r="E341" s="47" t="s">
        <v>88</v>
      </c>
      <c r="F341" s="47" t="s">
        <v>88</v>
      </c>
      <c r="G341" s="47" t="s">
        <v>88</v>
      </c>
      <c r="H341" s="47" t="s">
        <v>88</v>
      </c>
      <c r="I341" s="47" t="s">
        <v>88</v>
      </c>
      <c r="J341" s="48">
        <f t="shared" si="41"/>
        <v>100</v>
      </c>
    </row>
    <row r="342" spans="1:10" ht="21" customHeight="1" thickBot="1" x14ac:dyDescent="0.2">
      <c r="A342" s="127">
        <v>49015341</v>
      </c>
      <c r="B342" s="111">
        <v>0</v>
      </c>
      <c r="C342" s="111">
        <v>30</v>
      </c>
      <c r="D342" s="111">
        <v>100</v>
      </c>
      <c r="E342" s="111" t="s">
        <v>88</v>
      </c>
      <c r="F342" s="111" t="s">
        <v>88</v>
      </c>
      <c r="G342" s="111">
        <v>1</v>
      </c>
      <c r="H342" s="111">
        <v>2</v>
      </c>
      <c r="I342" s="111" t="s">
        <v>88</v>
      </c>
      <c r="J342" s="114">
        <f t="shared" si="41"/>
        <v>100</v>
      </c>
    </row>
    <row r="343" spans="1:10" ht="21" customHeight="1" x14ac:dyDescent="0.15">
      <c r="A343" s="126">
        <v>49015342</v>
      </c>
      <c r="B343" s="142">
        <v>1</v>
      </c>
      <c r="C343" s="142" t="s">
        <v>88</v>
      </c>
      <c r="D343" s="142">
        <v>100</v>
      </c>
      <c r="E343" s="142" t="s">
        <v>88</v>
      </c>
      <c r="F343" s="142" t="s">
        <v>88</v>
      </c>
      <c r="G343" s="142">
        <v>1</v>
      </c>
      <c r="H343" s="47" t="s">
        <v>88</v>
      </c>
      <c r="I343" s="142" t="s">
        <v>88</v>
      </c>
      <c r="J343" s="143">
        <f t="shared" si="41"/>
        <v>100</v>
      </c>
    </row>
    <row r="344" spans="1:10" ht="21" customHeight="1" x14ac:dyDescent="0.15">
      <c r="A344" s="126">
        <v>49015343</v>
      </c>
      <c r="B344" s="47">
        <v>0</v>
      </c>
      <c r="C344" s="47">
        <v>20</v>
      </c>
      <c r="D344" s="47">
        <v>20</v>
      </c>
      <c r="E344" s="47" t="s">
        <v>88</v>
      </c>
      <c r="F344" s="47" t="s">
        <v>88</v>
      </c>
      <c r="G344" s="47" t="s">
        <v>88</v>
      </c>
      <c r="H344" s="47" t="s">
        <v>88</v>
      </c>
      <c r="I344" s="47" t="s">
        <v>88</v>
      </c>
      <c r="J344" s="48">
        <f t="shared" si="41"/>
        <v>20</v>
      </c>
    </row>
    <row r="345" spans="1:10" ht="21" customHeight="1" x14ac:dyDescent="0.15">
      <c r="A345" s="126">
        <v>49015344</v>
      </c>
      <c r="B345" s="47">
        <v>0</v>
      </c>
      <c r="C345" s="47">
        <v>15</v>
      </c>
      <c r="D345" s="47">
        <v>50</v>
      </c>
      <c r="E345" s="47" t="s">
        <v>88</v>
      </c>
      <c r="F345" s="47" t="s">
        <v>88</v>
      </c>
      <c r="G345" s="47" t="s">
        <v>88</v>
      </c>
      <c r="H345" s="47" t="s">
        <v>88</v>
      </c>
      <c r="I345" s="47" t="s">
        <v>88</v>
      </c>
      <c r="J345" s="48">
        <f t="shared" si="41"/>
        <v>50</v>
      </c>
    </row>
    <row r="346" spans="1:10" ht="21" customHeight="1" x14ac:dyDescent="0.15">
      <c r="A346" s="126">
        <v>49015345</v>
      </c>
      <c r="B346" s="47">
        <v>0</v>
      </c>
      <c r="C346" s="47">
        <v>10</v>
      </c>
      <c r="D346" s="47">
        <v>100</v>
      </c>
      <c r="E346" s="47" t="s">
        <v>88</v>
      </c>
      <c r="F346" s="47" t="s">
        <v>88</v>
      </c>
      <c r="G346" s="47" t="s">
        <v>88</v>
      </c>
      <c r="H346" s="47" t="s">
        <v>88</v>
      </c>
      <c r="I346" s="47" t="s">
        <v>88</v>
      </c>
      <c r="J346" s="48">
        <f t="shared" si="41"/>
        <v>100</v>
      </c>
    </row>
    <row r="347" spans="1:10" ht="21" customHeight="1" x14ac:dyDescent="0.15">
      <c r="A347" s="126">
        <v>49015346</v>
      </c>
      <c r="B347" s="47">
        <v>0</v>
      </c>
      <c r="C347" s="47">
        <v>25</v>
      </c>
      <c r="D347" s="47">
        <v>100</v>
      </c>
      <c r="E347" s="47" t="s">
        <v>88</v>
      </c>
      <c r="F347" s="47" t="s">
        <v>88</v>
      </c>
      <c r="G347" s="47">
        <v>2</v>
      </c>
      <c r="H347" s="47">
        <v>2</v>
      </c>
      <c r="I347" s="47" t="s">
        <v>88</v>
      </c>
      <c r="J347" s="48">
        <f t="shared" si="41"/>
        <v>100</v>
      </c>
    </row>
    <row r="348" spans="1:10" ht="21" customHeight="1" x14ac:dyDescent="0.15">
      <c r="A348" s="126">
        <v>49015347</v>
      </c>
      <c r="B348" s="47">
        <v>0</v>
      </c>
      <c r="C348" s="47">
        <v>30</v>
      </c>
      <c r="D348" s="47">
        <v>100</v>
      </c>
      <c r="E348" s="47" t="s">
        <v>88</v>
      </c>
      <c r="F348" s="47" t="s">
        <v>88</v>
      </c>
      <c r="G348" s="47" t="s">
        <v>88</v>
      </c>
      <c r="H348" s="47">
        <v>5</v>
      </c>
      <c r="I348" s="47" t="s">
        <v>88</v>
      </c>
      <c r="J348" s="48">
        <f t="shared" si="41"/>
        <v>100</v>
      </c>
    </row>
    <row r="349" spans="1:10" ht="21" customHeight="1" x14ac:dyDescent="0.15">
      <c r="A349" s="126">
        <v>49015348</v>
      </c>
      <c r="B349" s="47">
        <v>0</v>
      </c>
      <c r="C349" s="106">
        <v>35</v>
      </c>
      <c r="D349" s="47">
        <v>100</v>
      </c>
      <c r="E349" s="47" t="s">
        <v>88</v>
      </c>
      <c r="F349" s="47" t="s">
        <v>88</v>
      </c>
      <c r="G349" s="47">
        <v>0</v>
      </c>
      <c r="H349" s="47" t="s">
        <v>88</v>
      </c>
      <c r="I349" s="47">
        <v>0</v>
      </c>
      <c r="J349" s="48">
        <f t="shared" si="41"/>
        <v>100</v>
      </c>
    </row>
    <row r="350" spans="1:10" ht="21" customHeight="1" x14ac:dyDescent="0.15">
      <c r="A350" s="126">
        <v>49015349</v>
      </c>
      <c r="B350" s="47">
        <v>0</v>
      </c>
      <c r="C350" s="212">
        <v>90</v>
      </c>
      <c r="D350" s="47">
        <v>100</v>
      </c>
      <c r="E350" s="47" t="s">
        <v>88</v>
      </c>
      <c r="F350" s="47" t="s">
        <v>88</v>
      </c>
      <c r="G350" s="47">
        <v>0</v>
      </c>
      <c r="H350" s="47" t="s">
        <v>88</v>
      </c>
      <c r="I350" s="47">
        <v>1462</v>
      </c>
      <c r="J350" s="48">
        <f t="shared" si="41"/>
        <v>100</v>
      </c>
    </row>
    <row r="351" spans="1:10" ht="21" customHeight="1" x14ac:dyDescent="0.15">
      <c r="A351" s="126">
        <v>49015350</v>
      </c>
      <c r="B351" s="47">
        <v>0</v>
      </c>
      <c r="C351" s="212">
        <v>91</v>
      </c>
      <c r="D351" s="47">
        <v>100</v>
      </c>
      <c r="E351" s="47" t="s">
        <v>88</v>
      </c>
      <c r="F351" s="47" t="s">
        <v>88</v>
      </c>
      <c r="G351" s="47">
        <v>0</v>
      </c>
      <c r="H351" s="47" t="s">
        <v>88</v>
      </c>
      <c r="I351" s="47">
        <v>1463</v>
      </c>
      <c r="J351" s="48">
        <f t="shared" si="41"/>
        <v>100</v>
      </c>
    </row>
    <row r="352" spans="1:10" ht="21" customHeight="1" x14ac:dyDescent="0.15">
      <c r="A352" s="126">
        <v>49015351</v>
      </c>
      <c r="B352" s="47">
        <v>0</v>
      </c>
      <c r="C352" s="212">
        <v>70</v>
      </c>
      <c r="D352" s="47">
        <v>100</v>
      </c>
      <c r="E352" s="47" t="s">
        <v>88</v>
      </c>
      <c r="F352" s="47" t="s">
        <v>88</v>
      </c>
      <c r="G352" s="47">
        <v>0</v>
      </c>
      <c r="H352" s="47" t="s">
        <v>88</v>
      </c>
      <c r="I352" s="47">
        <v>1464</v>
      </c>
      <c r="J352" s="48">
        <f t="shared" si="41"/>
        <v>100</v>
      </c>
    </row>
    <row r="353" spans="1:11" ht="21" customHeight="1" x14ac:dyDescent="0.15">
      <c r="A353" s="126">
        <v>49015352</v>
      </c>
      <c r="B353" s="47">
        <v>0</v>
      </c>
      <c r="C353" s="212">
        <v>71</v>
      </c>
      <c r="D353" s="47">
        <v>100</v>
      </c>
      <c r="E353" s="47" t="s">
        <v>88</v>
      </c>
      <c r="F353" s="47" t="s">
        <v>88</v>
      </c>
      <c r="G353" s="47">
        <v>0</v>
      </c>
      <c r="H353" s="47" t="s">
        <v>88</v>
      </c>
      <c r="I353" s="47">
        <v>1465</v>
      </c>
      <c r="J353" s="48">
        <f t="shared" si="41"/>
        <v>100</v>
      </c>
    </row>
    <row r="354" spans="1:11" ht="21" customHeight="1" x14ac:dyDescent="0.15">
      <c r="A354" s="126">
        <v>49015353</v>
      </c>
      <c r="B354" s="47">
        <v>0</v>
      </c>
      <c r="C354" s="212">
        <v>60</v>
      </c>
      <c r="D354" s="47">
        <v>100</v>
      </c>
      <c r="E354" s="47" t="s">
        <v>88</v>
      </c>
      <c r="F354" s="47" t="s">
        <v>88</v>
      </c>
      <c r="G354" s="47">
        <v>0</v>
      </c>
      <c r="H354" s="47" t="s">
        <v>88</v>
      </c>
      <c r="I354" s="47">
        <v>1458</v>
      </c>
      <c r="J354" s="48">
        <f t="shared" si="41"/>
        <v>100</v>
      </c>
    </row>
    <row r="355" spans="1:11" ht="21" customHeight="1" x14ac:dyDescent="0.15">
      <c r="A355" s="126">
        <v>49015354</v>
      </c>
      <c r="B355" s="47">
        <v>0</v>
      </c>
      <c r="C355" s="212">
        <v>61</v>
      </c>
      <c r="D355" s="47">
        <v>100</v>
      </c>
      <c r="E355" s="47" t="s">
        <v>88</v>
      </c>
      <c r="F355" s="47" t="s">
        <v>88</v>
      </c>
      <c r="G355" s="47">
        <v>0</v>
      </c>
      <c r="H355" s="47" t="s">
        <v>88</v>
      </c>
      <c r="I355" s="47">
        <v>1459</v>
      </c>
      <c r="J355" s="48">
        <f t="shared" si="41"/>
        <v>100</v>
      </c>
    </row>
    <row r="356" spans="1:11" ht="21" customHeight="1" x14ac:dyDescent="0.15">
      <c r="A356" s="126">
        <v>49015355</v>
      </c>
      <c r="B356" s="47">
        <v>0</v>
      </c>
      <c r="C356" s="212">
        <v>100</v>
      </c>
      <c r="D356" s="47">
        <v>100</v>
      </c>
      <c r="E356" s="47" t="s">
        <v>88</v>
      </c>
      <c r="F356" s="47" t="s">
        <v>88</v>
      </c>
      <c r="G356" s="47">
        <v>0</v>
      </c>
      <c r="H356" s="47" t="s">
        <v>88</v>
      </c>
      <c r="I356" s="47">
        <v>1460</v>
      </c>
      <c r="J356" s="48">
        <f t="shared" si="41"/>
        <v>100</v>
      </c>
    </row>
    <row r="357" spans="1:11" ht="21" customHeight="1" x14ac:dyDescent="0.15">
      <c r="A357" s="126">
        <v>49015356</v>
      </c>
      <c r="B357" s="47">
        <v>0</v>
      </c>
      <c r="C357" s="212">
        <v>101</v>
      </c>
      <c r="D357" s="47">
        <v>100</v>
      </c>
      <c r="E357" s="47" t="s">
        <v>88</v>
      </c>
      <c r="F357" s="47" t="s">
        <v>88</v>
      </c>
      <c r="G357" s="47">
        <v>0</v>
      </c>
      <c r="H357" s="47" t="s">
        <v>88</v>
      </c>
      <c r="I357" s="47">
        <v>1461</v>
      </c>
      <c r="J357" s="48">
        <f t="shared" si="41"/>
        <v>100</v>
      </c>
    </row>
    <row r="358" spans="1:11" ht="21" customHeight="1" x14ac:dyDescent="0.15">
      <c r="A358" s="126">
        <v>49015357</v>
      </c>
      <c r="B358" s="47">
        <v>0</v>
      </c>
      <c r="C358" s="212">
        <v>80</v>
      </c>
      <c r="D358" s="47">
        <v>100</v>
      </c>
      <c r="E358" s="47" t="s">
        <v>88</v>
      </c>
      <c r="F358" s="47" t="s">
        <v>88</v>
      </c>
      <c r="G358" s="47">
        <v>0</v>
      </c>
      <c r="H358" s="47" t="s">
        <v>88</v>
      </c>
      <c r="I358" s="47">
        <v>1469</v>
      </c>
      <c r="J358" s="48">
        <f t="shared" si="41"/>
        <v>100</v>
      </c>
    </row>
    <row r="359" spans="1:11" ht="21" customHeight="1" x14ac:dyDescent="0.15">
      <c r="A359" s="126">
        <v>49015358</v>
      </c>
      <c r="B359" s="47">
        <v>0</v>
      </c>
      <c r="C359" s="47">
        <v>50</v>
      </c>
      <c r="D359" s="47">
        <v>100</v>
      </c>
      <c r="E359" s="47" t="s">
        <v>88</v>
      </c>
      <c r="F359" s="47" t="s">
        <v>88</v>
      </c>
      <c r="G359" s="47">
        <v>0</v>
      </c>
      <c r="H359" s="47" t="s">
        <v>88</v>
      </c>
      <c r="I359" s="47">
        <v>1468</v>
      </c>
      <c r="J359" s="48">
        <f t="shared" si="41"/>
        <v>100</v>
      </c>
    </row>
    <row r="360" spans="1:11" ht="21" customHeight="1" x14ac:dyDescent="0.15">
      <c r="A360" s="126">
        <v>49015359</v>
      </c>
      <c r="B360" s="129">
        <v>0</v>
      </c>
      <c r="C360" s="129">
        <v>40</v>
      </c>
      <c r="D360" s="129">
        <v>100</v>
      </c>
      <c r="E360" s="129" t="s">
        <v>88</v>
      </c>
      <c r="F360" s="129" t="s">
        <v>88</v>
      </c>
      <c r="G360" s="129">
        <v>0</v>
      </c>
      <c r="H360" s="129" t="s">
        <v>88</v>
      </c>
      <c r="I360" s="129">
        <v>1466</v>
      </c>
      <c r="J360" s="132">
        <f t="shared" si="41"/>
        <v>100</v>
      </c>
    </row>
    <row r="361" spans="1:11" ht="21" customHeight="1" thickBot="1" x14ac:dyDescent="0.2">
      <c r="A361" s="127">
        <v>49015360</v>
      </c>
      <c r="B361" s="111">
        <v>0</v>
      </c>
      <c r="C361" s="111">
        <v>41</v>
      </c>
      <c r="D361" s="111">
        <v>100</v>
      </c>
      <c r="E361" s="111" t="s">
        <v>88</v>
      </c>
      <c r="F361" s="111" t="s">
        <v>88</v>
      </c>
      <c r="G361" s="111">
        <v>0</v>
      </c>
      <c r="H361" s="111" t="s">
        <v>88</v>
      </c>
      <c r="I361" s="111">
        <v>1467</v>
      </c>
      <c r="J361" s="114">
        <f t="shared" si="41"/>
        <v>100</v>
      </c>
      <c r="K361" s="148"/>
    </row>
    <row r="362" spans="1:11" ht="21" customHeight="1" x14ac:dyDescent="0.15">
      <c r="A362" s="138">
        <v>49015361</v>
      </c>
      <c r="B362" s="106">
        <v>1</v>
      </c>
      <c r="C362" s="106">
        <v>35</v>
      </c>
      <c r="D362" s="106">
        <v>100</v>
      </c>
      <c r="E362" s="106" t="s">
        <v>88</v>
      </c>
      <c r="F362" s="106" t="s">
        <v>88</v>
      </c>
      <c r="G362" s="106">
        <v>1</v>
      </c>
      <c r="H362" s="106" t="s">
        <v>88</v>
      </c>
      <c r="I362" s="106" t="s">
        <v>88</v>
      </c>
      <c r="J362" s="109">
        <f t="shared" si="41"/>
        <v>100</v>
      </c>
    </row>
    <row r="363" spans="1:11" ht="21" customHeight="1" x14ac:dyDescent="0.15">
      <c r="A363" s="138">
        <v>49015362</v>
      </c>
      <c r="B363" s="106">
        <v>1</v>
      </c>
      <c r="C363" s="106">
        <v>100</v>
      </c>
      <c r="D363" s="106">
        <v>100</v>
      </c>
      <c r="E363" s="106" t="s">
        <v>88</v>
      </c>
      <c r="F363" s="106" t="s">
        <v>88</v>
      </c>
      <c r="G363" s="106">
        <v>1</v>
      </c>
      <c r="H363" s="106" t="s">
        <v>88</v>
      </c>
      <c r="I363" s="47">
        <v>1462</v>
      </c>
      <c r="J363" s="109">
        <f t="shared" si="41"/>
        <v>100</v>
      </c>
    </row>
    <row r="364" spans="1:11" ht="21" customHeight="1" x14ac:dyDescent="0.15">
      <c r="A364" s="138">
        <v>49015363</v>
      </c>
      <c r="B364" s="106">
        <v>1</v>
      </c>
      <c r="C364" s="106">
        <v>101</v>
      </c>
      <c r="D364" s="106">
        <v>100</v>
      </c>
      <c r="E364" s="106" t="s">
        <v>88</v>
      </c>
      <c r="F364" s="106" t="s">
        <v>88</v>
      </c>
      <c r="G364" s="106">
        <v>1</v>
      </c>
      <c r="H364" s="106" t="s">
        <v>88</v>
      </c>
      <c r="I364" s="47">
        <v>1463</v>
      </c>
      <c r="J364" s="109">
        <f t="shared" si="41"/>
        <v>100</v>
      </c>
    </row>
    <row r="365" spans="1:11" ht="21" customHeight="1" x14ac:dyDescent="0.15">
      <c r="A365" s="138">
        <v>49015364</v>
      </c>
      <c r="B365" s="47">
        <v>1</v>
      </c>
      <c r="C365" s="106">
        <v>90</v>
      </c>
      <c r="D365" s="47">
        <v>100</v>
      </c>
      <c r="E365" s="47" t="s">
        <v>88</v>
      </c>
      <c r="F365" s="47" t="s">
        <v>88</v>
      </c>
      <c r="G365" s="47">
        <v>1</v>
      </c>
      <c r="H365" s="47" t="s">
        <v>88</v>
      </c>
      <c r="I365" s="47">
        <v>1464</v>
      </c>
      <c r="J365" s="48">
        <f t="shared" si="41"/>
        <v>100</v>
      </c>
    </row>
    <row r="366" spans="1:11" ht="21" customHeight="1" x14ac:dyDescent="0.15">
      <c r="A366" s="138">
        <v>49015365</v>
      </c>
      <c r="B366" s="47">
        <v>1</v>
      </c>
      <c r="C366" s="106">
        <v>91</v>
      </c>
      <c r="D366" s="47">
        <v>100</v>
      </c>
      <c r="E366" s="47" t="s">
        <v>88</v>
      </c>
      <c r="F366" s="47" t="s">
        <v>88</v>
      </c>
      <c r="G366" s="47">
        <v>1</v>
      </c>
      <c r="H366" s="47" t="s">
        <v>88</v>
      </c>
      <c r="I366" s="47">
        <v>1465</v>
      </c>
      <c r="J366" s="48">
        <f t="shared" si="41"/>
        <v>100</v>
      </c>
    </row>
    <row r="367" spans="1:11" ht="21" customHeight="1" x14ac:dyDescent="0.15">
      <c r="A367" s="138">
        <v>49015366</v>
      </c>
      <c r="B367" s="47">
        <v>1</v>
      </c>
      <c r="C367" s="47">
        <v>70</v>
      </c>
      <c r="D367" s="47">
        <v>100</v>
      </c>
      <c r="E367" s="47" t="s">
        <v>88</v>
      </c>
      <c r="F367" s="47" t="s">
        <v>88</v>
      </c>
      <c r="G367" s="47">
        <v>1</v>
      </c>
      <c r="H367" s="47" t="s">
        <v>88</v>
      </c>
      <c r="I367" s="47">
        <v>1458</v>
      </c>
      <c r="J367" s="48">
        <f t="shared" si="41"/>
        <v>100</v>
      </c>
    </row>
    <row r="368" spans="1:11" ht="21" customHeight="1" x14ac:dyDescent="0.15">
      <c r="A368" s="138">
        <v>49015367</v>
      </c>
      <c r="B368" s="47">
        <v>1</v>
      </c>
      <c r="C368" s="47">
        <v>71</v>
      </c>
      <c r="D368" s="47">
        <v>100</v>
      </c>
      <c r="E368" s="47" t="s">
        <v>88</v>
      </c>
      <c r="F368" s="47" t="s">
        <v>88</v>
      </c>
      <c r="G368" s="47">
        <v>1</v>
      </c>
      <c r="H368" s="47" t="s">
        <v>88</v>
      </c>
      <c r="I368" s="47">
        <v>1459</v>
      </c>
      <c r="J368" s="48">
        <f t="shared" si="41"/>
        <v>100</v>
      </c>
    </row>
    <row r="369" spans="1:11" ht="21" customHeight="1" x14ac:dyDescent="0.15">
      <c r="A369" s="138">
        <v>49015368</v>
      </c>
      <c r="B369" s="47">
        <v>1</v>
      </c>
      <c r="C369" s="47">
        <v>60</v>
      </c>
      <c r="D369" s="47">
        <v>100</v>
      </c>
      <c r="E369" s="47" t="s">
        <v>88</v>
      </c>
      <c r="F369" s="47" t="s">
        <v>88</v>
      </c>
      <c r="G369" s="47">
        <v>1</v>
      </c>
      <c r="H369" s="47" t="s">
        <v>88</v>
      </c>
      <c r="I369" s="47">
        <v>1460</v>
      </c>
      <c r="J369" s="48">
        <f t="shared" si="41"/>
        <v>100</v>
      </c>
    </row>
    <row r="370" spans="1:11" ht="21" customHeight="1" x14ac:dyDescent="0.15">
      <c r="A370" s="138">
        <v>49015369</v>
      </c>
      <c r="B370" s="47">
        <v>1</v>
      </c>
      <c r="C370" s="47">
        <v>61</v>
      </c>
      <c r="D370" s="47">
        <v>100</v>
      </c>
      <c r="E370" s="47" t="s">
        <v>88</v>
      </c>
      <c r="F370" s="47" t="s">
        <v>88</v>
      </c>
      <c r="G370" s="47">
        <v>1</v>
      </c>
      <c r="H370" s="47" t="s">
        <v>88</v>
      </c>
      <c r="I370" s="47">
        <v>1461</v>
      </c>
      <c r="J370" s="48">
        <f t="shared" si="41"/>
        <v>100</v>
      </c>
    </row>
    <row r="371" spans="1:11" ht="21" customHeight="1" x14ac:dyDescent="0.15">
      <c r="A371" s="138">
        <v>49015370</v>
      </c>
      <c r="B371" s="47">
        <v>1</v>
      </c>
      <c r="C371" s="47">
        <v>80</v>
      </c>
      <c r="D371" s="47">
        <v>100</v>
      </c>
      <c r="E371" s="47" t="s">
        <v>88</v>
      </c>
      <c r="F371" s="47" t="s">
        <v>88</v>
      </c>
      <c r="G371" s="47">
        <v>1</v>
      </c>
      <c r="H371" s="47" t="s">
        <v>88</v>
      </c>
      <c r="I371" s="47">
        <v>1469</v>
      </c>
      <c r="J371" s="48">
        <f t="shared" si="41"/>
        <v>100</v>
      </c>
    </row>
    <row r="372" spans="1:11" ht="21" customHeight="1" x14ac:dyDescent="0.15">
      <c r="A372" s="138">
        <v>49015371</v>
      </c>
      <c r="B372" s="47">
        <v>1</v>
      </c>
      <c r="C372" s="47">
        <v>50</v>
      </c>
      <c r="D372" s="47">
        <v>100</v>
      </c>
      <c r="E372" s="47" t="s">
        <v>88</v>
      </c>
      <c r="F372" s="47" t="s">
        <v>88</v>
      </c>
      <c r="G372" s="47">
        <v>1</v>
      </c>
      <c r="H372" s="47" t="s">
        <v>88</v>
      </c>
      <c r="I372" s="47">
        <v>1468</v>
      </c>
      <c r="J372" s="48">
        <f t="shared" si="41"/>
        <v>100</v>
      </c>
    </row>
    <row r="373" spans="1:11" ht="21" customHeight="1" x14ac:dyDescent="0.15">
      <c r="A373" s="138">
        <v>49015372</v>
      </c>
      <c r="B373" s="47">
        <v>1</v>
      </c>
      <c r="C373" s="47">
        <v>40</v>
      </c>
      <c r="D373" s="47">
        <v>100</v>
      </c>
      <c r="E373" s="47" t="s">
        <v>88</v>
      </c>
      <c r="F373" s="47" t="s">
        <v>88</v>
      </c>
      <c r="G373" s="47">
        <v>1</v>
      </c>
      <c r="H373" s="47" t="s">
        <v>88</v>
      </c>
      <c r="I373" s="47">
        <v>1470</v>
      </c>
      <c r="J373" s="48">
        <f t="shared" si="41"/>
        <v>100</v>
      </c>
    </row>
    <row r="374" spans="1:11" ht="21" customHeight="1" x14ac:dyDescent="0.15">
      <c r="A374" s="138">
        <v>49015373</v>
      </c>
      <c r="B374" s="47">
        <v>0</v>
      </c>
      <c r="C374" s="47">
        <v>25</v>
      </c>
      <c r="D374" s="47">
        <v>50</v>
      </c>
      <c r="E374" s="47" t="s">
        <v>88</v>
      </c>
      <c r="F374" s="47" t="s">
        <v>88</v>
      </c>
      <c r="G374" s="47" t="s">
        <v>88</v>
      </c>
      <c r="H374" s="47" t="s">
        <v>88</v>
      </c>
      <c r="I374" s="47" t="s">
        <v>88</v>
      </c>
      <c r="J374" s="48">
        <f t="shared" si="41"/>
        <v>50</v>
      </c>
    </row>
    <row r="375" spans="1:11" ht="21" customHeight="1" thickBot="1" x14ac:dyDescent="0.2">
      <c r="A375" s="155">
        <v>49015374</v>
      </c>
      <c r="B375" s="111">
        <v>0</v>
      </c>
      <c r="C375" s="111">
        <v>20</v>
      </c>
      <c r="D375" s="111">
        <v>100</v>
      </c>
      <c r="E375" s="111" t="s">
        <v>88</v>
      </c>
      <c r="F375" s="111" t="s">
        <v>88</v>
      </c>
      <c r="G375" s="111" t="s">
        <v>88</v>
      </c>
      <c r="H375" s="111" t="s">
        <v>88</v>
      </c>
      <c r="I375" s="111" t="s">
        <v>88</v>
      </c>
      <c r="J375" s="114">
        <f t="shared" si="41"/>
        <v>100</v>
      </c>
      <c r="K375" s="141"/>
    </row>
    <row r="376" spans="1:11" ht="21" customHeight="1" x14ac:dyDescent="0.15">
      <c r="A376" s="138">
        <v>49015375</v>
      </c>
      <c r="B376" s="106">
        <v>1</v>
      </c>
      <c r="C376" s="106" t="s">
        <v>88</v>
      </c>
      <c r="D376" s="106">
        <v>100</v>
      </c>
      <c r="E376" s="106" t="s">
        <v>88</v>
      </c>
      <c r="F376" s="106" t="s">
        <v>88</v>
      </c>
      <c r="G376" s="106">
        <v>1</v>
      </c>
      <c r="H376" s="106" t="s">
        <v>88</v>
      </c>
      <c r="I376" s="106" t="s">
        <v>88</v>
      </c>
      <c r="J376" s="109">
        <f t="shared" si="41"/>
        <v>100</v>
      </c>
      <c r="K376" s="140"/>
    </row>
    <row r="377" spans="1:11" ht="21" customHeight="1" x14ac:dyDescent="0.15">
      <c r="A377" s="138">
        <v>49015376</v>
      </c>
      <c r="B377" s="47">
        <v>0</v>
      </c>
      <c r="C377" s="47">
        <v>80</v>
      </c>
      <c r="D377" s="47">
        <v>50</v>
      </c>
      <c r="E377" s="47" t="s">
        <v>88</v>
      </c>
      <c r="F377" s="47" t="s">
        <v>88</v>
      </c>
      <c r="G377" s="47" t="s">
        <v>88</v>
      </c>
      <c r="H377" s="47" t="s">
        <v>88</v>
      </c>
      <c r="I377" s="47" t="s">
        <v>88</v>
      </c>
      <c r="J377" s="48">
        <f t="shared" si="41"/>
        <v>50</v>
      </c>
      <c r="K377" s="139"/>
    </row>
    <row r="378" spans="1:11" ht="21" customHeight="1" x14ac:dyDescent="0.15">
      <c r="A378" s="138">
        <v>49015377</v>
      </c>
      <c r="B378" s="47">
        <v>0</v>
      </c>
      <c r="C378" s="47">
        <v>70</v>
      </c>
      <c r="D378" s="47">
        <v>100</v>
      </c>
      <c r="E378" s="47" t="s">
        <v>88</v>
      </c>
      <c r="F378" s="47" t="s">
        <v>88</v>
      </c>
      <c r="G378" s="47" t="s">
        <v>88</v>
      </c>
      <c r="H378" s="47" t="s">
        <v>88</v>
      </c>
      <c r="I378" s="47" t="s">
        <v>88</v>
      </c>
      <c r="J378" s="48">
        <f t="shared" si="41"/>
        <v>100</v>
      </c>
      <c r="K378" s="139"/>
    </row>
    <row r="379" spans="1:11" ht="21" customHeight="1" thickBot="1" x14ac:dyDescent="0.2">
      <c r="A379" s="137">
        <v>49015378</v>
      </c>
      <c r="B379" s="111">
        <v>0</v>
      </c>
      <c r="C379" s="111">
        <v>90</v>
      </c>
      <c r="D379" s="111">
        <v>100</v>
      </c>
      <c r="E379" s="111" t="s">
        <v>88</v>
      </c>
      <c r="F379" s="111" t="s">
        <v>88</v>
      </c>
      <c r="G379" s="111" t="s">
        <v>88</v>
      </c>
      <c r="H379" s="111">
        <v>3</v>
      </c>
      <c r="I379" s="111" t="s">
        <v>88</v>
      </c>
      <c r="J379" s="114">
        <f t="shared" si="41"/>
        <v>100</v>
      </c>
      <c r="K379" s="153"/>
    </row>
    <row r="380" spans="1:11" ht="21" customHeight="1" x14ac:dyDescent="0.15">
      <c r="A380" s="138">
        <v>49015379</v>
      </c>
      <c r="B380" s="106">
        <v>1</v>
      </c>
      <c r="C380" s="106" t="s">
        <v>88</v>
      </c>
      <c r="D380" s="106">
        <v>100</v>
      </c>
      <c r="E380" s="106" t="s">
        <v>88</v>
      </c>
      <c r="F380" s="106" t="s">
        <v>88</v>
      </c>
      <c r="G380" s="106">
        <v>1</v>
      </c>
      <c r="H380" s="106" t="s">
        <v>88</v>
      </c>
      <c r="I380" s="106" t="s">
        <v>88</v>
      </c>
      <c r="J380" s="109">
        <f t="shared" si="41"/>
        <v>100</v>
      </c>
      <c r="K380" s="140"/>
    </row>
    <row r="381" spans="1:11" ht="21" customHeight="1" x14ac:dyDescent="0.15">
      <c r="A381" s="138">
        <v>49015380</v>
      </c>
      <c r="B381" s="47">
        <v>0</v>
      </c>
      <c r="C381" s="47">
        <v>25</v>
      </c>
      <c r="D381" s="47">
        <v>50</v>
      </c>
      <c r="E381" s="47" t="s">
        <v>88</v>
      </c>
      <c r="F381" s="47" t="s">
        <v>88</v>
      </c>
      <c r="G381" s="47" t="s">
        <v>88</v>
      </c>
      <c r="H381" s="47" t="s">
        <v>88</v>
      </c>
      <c r="I381" s="47" t="s">
        <v>88</v>
      </c>
      <c r="J381" s="48">
        <f t="shared" si="41"/>
        <v>50</v>
      </c>
      <c r="K381" s="139"/>
    </row>
    <row r="382" spans="1:11" ht="21" customHeight="1" x14ac:dyDescent="0.15">
      <c r="A382" s="138">
        <v>49015381</v>
      </c>
      <c r="B382" s="47">
        <v>0</v>
      </c>
      <c r="C382" s="47">
        <v>15</v>
      </c>
      <c r="D382" s="47">
        <v>100</v>
      </c>
      <c r="E382" s="47" t="s">
        <v>88</v>
      </c>
      <c r="F382" s="47" t="s">
        <v>88</v>
      </c>
      <c r="G382" s="47" t="s">
        <v>88</v>
      </c>
      <c r="H382" s="47" t="s">
        <v>88</v>
      </c>
      <c r="I382" s="47" t="s">
        <v>88</v>
      </c>
      <c r="J382" s="48">
        <f t="shared" si="41"/>
        <v>100</v>
      </c>
      <c r="K382" s="139"/>
    </row>
    <row r="383" spans="1:11" ht="21" customHeight="1" x14ac:dyDescent="0.15">
      <c r="A383" s="138">
        <v>49015382</v>
      </c>
      <c r="B383" s="47">
        <v>0</v>
      </c>
      <c r="C383" s="47">
        <v>35</v>
      </c>
      <c r="D383" s="47">
        <v>100</v>
      </c>
      <c r="E383" s="47" t="s">
        <v>88</v>
      </c>
      <c r="F383" s="47" t="s">
        <v>88</v>
      </c>
      <c r="G383" s="47">
        <v>0</v>
      </c>
      <c r="H383" s="47" t="s">
        <v>88</v>
      </c>
      <c r="I383" s="47">
        <v>0</v>
      </c>
      <c r="J383" s="48">
        <f t="shared" si="41"/>
        <v>100</v>
      </c>
      <c r="K383" s="139"/>
    </row>
    <row r="384" spans="1:11" ht="21" customHeight="1" x14ac:dyDescent="0.15">
      <c r="A384" s="138">
        <v>49015383</v>
      </c>
      <c r="B384" s="106">
        <v>0</v>
      </c>
      <c r="C384" s="106">
        <v>100</v>
      </c>
      <c r="D384" s="106">
        <v>100</v>
      </c>
      <c r="E384" s="106" t="s">
        <v>88</v>
      </c>
      <c r="F384" s="106" t="s">
        <v>88</v>
      </c>
      <c r="G384" s="106">
        <v>0</v>
      </c>
      <c r="H384" s="106" t="s">
        <v>88</v>
      </c>
      <c r="I384" s="47">
        <v>1462</v>
      </c>
      <c r="J384" s="109">
        <f t="shared" si="41"/>
        <v>100</v>
      </c>
    </row>
    <row r="385" spans="1:11" ht="21" customHeight="1" x14ac:dyDescent="0.15">
      <c r="A385" s="138">
        <v>49015384</v>
      </c>
      <c r="B385" s="106">
        <v>0</v>
      </c>
      <c r="C385" s="106">
        <v>101</v>
      </c>
      <c r="D385" s="106">
        <v>100</v>
      </c>
      <c r="E385" s="106" t="s">
        <v>88</v>
      </c>
      <c r="F385" s="106" t="s">
        <v>88</v>
      </c>
      <c r="G385" s="106">
        <v>0</v>
      </c>
      <c r="H385" s="106" t="s">
        <v>88</v>
      </c>
      <c r="I385" s="47">
        <v>1463</v>
      </c>
      <c r="J385" s="109">
        <f t="shared" si="41"/>
        <v>100</v>
      </c>
    </row>
    <row r="386" spans="1:11" ht="21" customHeight="1" x14ac:dyDescent="0.15">
      <c r="A386" s="138">
        <v>49015385</v>
      </c>
      <c r="B386" s="47">
        <v>0</v>
      </c>
      <c r="C386" s="106">
        <v>90</v>
      </c>
      <c r="D386" s="47">
        <v>100</v>
      </c>
      <c r="E386" s="47" t="s">
        <v>88</v>
      </c>
      <c r="F386" s="47" t="s">
        <v>88</v>
      </c>
      <c r="G386" s="47">
        <v>0</v>
      </c>
      <c r="H386" s="47" t="s">
        <v>88</v>
      </c>
      <c r="I386" s="47">
        <v>1464</v>
      </c>
      <c r="J386" s="48">
        <f t="shared" si="41"/>
        <v>100</v>
      </c>
    </row>
    <row r="387" spans="1:11" ht="21" customHeight="1" x14ac:dyDescent="0.15">
      <c r="A387" s="138">
        <v>49015386</v>
      </c>
      <c r="B387" s="47">
        <v>0</v>
      </c>
      <c r="C387" s="106">
        <v>91</v>
      </c>
      <c r="D387" s="47">
        <v>100</v>
      </c>
      <c r="E387" s="47" t="s">
        <v>88</v>
      </c>
      <c r="F387" s="47" t="s">
        <v>88</v>
      </c>
      <c r="G387" s="47">
        <v>0</v>
      </c>
      <c r="H387" s="47" t="s">
        <v>88</v>
      </c>
      <c r="I387" s="47">
        <v>1465</v>
      </c>
      <c r="J387" s="48">
        <f t="shared" si="41"/>
        <v>100</v>
      </c>
    </row>
    <row r="388" spans="1:11" ht="21" customHeight="1" x14ac:dyDescent="0.15">
      <c r="A388" s="138">
        <v>49015387</v>
      </c>
      <c r="B388" s="47">
        <v>0</v>
      </c>
      <c r="C388" s="47">
        <v>70</v>
      </c>
      <c r="D388" s="47">
        <v>100</v>
      </c>
      <c r="E388" s="47" t="s">
        <v>88</v>
      </c>
      <c r="F388" s="47" t="s">
        <v>88</v>
      </c>
      <c r="G388" s="47">
        <v>0</v>
      </c>
      <c r="H388" s="47" t="s">
        <v>88</v>
      </c>
      <c r="I388" s="47">
        <v>1458</v>
      </c>
      <c r="J388" s="48">
        <f t="shared" si="41"/>
        <v>100</v>
      </c>
    </row>
    <row r="389" spans="1:11" ht="21" customHeight="1" x14ac:dyDescent="0.15">
      <c r="A389" s="138">
        <v>49015388</v>
      </c>
      <c r="B389" s="47">
        <v>0</v>
      </c>
      <c r="C389" s="47">
        <v>71</v>
      </c>
      <c r="D389" s="47">
        <v>100</v>
      </c>
      <c r="E389" s="47" t="s">
        <v>88</v>
      </c>
      <c r="F389" s="47" t="s">
        <v>88</v>
      </c>
      <c r="G389" s="47">
        <v>0</v>
      </c>
      <c r="H389" s="47" t="s">
        <v>88</v>
      </c>
      <c r="I389" s="47">
        <v>1459</v>
      </c>
      <c r="J389" s="48">
        <f t="shared" si="41"/>
        <v>100</v>
      </c>
    </row>
    <row r="390" spans="1:11" ht="21" customHeight="1" x14ac:dyDescent="0.15">
      <c r="A390" s="138">
        <v>49015389</v>
      </c>
      <c r="B390" s="47">
        <v>0</v>
      </c>
      <c r="C390" s="47">
        <v>60</v>
      </c>
      <c r="D390" s="47">
        <v>100</v>
      </c>
      <c r="E390" s="47" t="s">
        <v>88</v>
      </c>
      <c r="F390" s="47" t="s">
        <v>88</v>
      </c>
      <c r="G390" s="47">
        <v>0</v>
      </c>
      <c r="H390" s="47" t="s">
        <v>88</v>
      </c>
      <c r="I390" s="47">
        <v>1460</v>
      </c>
      <c r="J390" s="48">
        <f t="shared" si="41"/>
        <v>100</v>
      </c>
    </row>
    <row r="391" spans="1:11" ht="21" customHeight="1" x14ac:dyDescent="0.15">
      <c r="A391" s="138">
        <v>49015390</v>
      </c>
      <c r="B391" s="47">
        <v>0</v>
      </c>
      <c r="C391" s="47">
        <v>61</v>
      </c>
      <c r="D391" s="47">
        <v>100</v>
      </c>
      <c r="E391" s="47" t="s">
        <v>88</v>
      </c>
      <c r="F391" s="47" t="s">
        <v>88</v>
      </c>
      <c r="G391" s="47">
        <v>0</v>
      </c>
      <c r="H391" s="47" t="s">
        <v>88</v>
      </c>
      <c r="I391" s="47">
        <v>1461</v>
      </c>
      <c r="J391" s="48">
        <f t="shared" si="41"/>
        <v>100</v>
      </c>
    </row>
    <row r="392" spans="1:11" ht="21" customHeight="1" x14ac:dyDescent="0.15">
      <c r="A392" s="138">
        <v>49015391</v>
      </c>
      <c r="B392" s="47">
        <v>0</v>
      </c>
      <c r="C392" s="47">
        <v>80</v>
      </c>
      <c r="D392" s="47">
        <v>100</v>
      </c>
      <c r="E392" s="47" t="s">
        <v>88</v>
      </c>
      <c r="F392" s="47" t="s">
        <v>88</v>
      </c>
      <c r="G392" s="47">
        <v>0</v>
      </c>
      <c r="H392" s="47" t="s">
        <v>88</v>
      </c>
      <c r="I392" s="47">
        <v>1469</v>
      </c>
      <c r="J392" s="48">
        <f t="shared" si="41"/>
        <v>100</v>
      </c>
    </row>
    <row r="393" spans="1:11" ht="21" customHeight="1" x14ac:dyDescent="0.15">
      <c r="A393" s="138">
        <v>49015392</v>
      </c>
      <c r="B393" s="129">
        <v>0</v>
      </c>
      <c r="C393" s="47">
        <v>50</v>
      </c>
      <c r="D393" s="129">
        <v>100</v>
      </c>
      <c r="E393" s="129" t="s">
        <v>88</v>
      </c>
      <c r="F393" s="129" t="s">
        <v>88</v>
      </c>
      <c r="G393" s="129">
        <v>0</v>
      </c>
      <c r="H393" s="129" t="s">
        <v>88</v>
      </c>
      <c r="I393" s="47">
        <v>1468</v>
      </c>
      <c r="J393" s="132">
        <f t="shared" si="41"/>
        <v>100</v>
      </c>
    </row>
    <row r="394" spans="1:11" ht="21" customHeight="1" thickBot="1" x14ac:dyDescent="0.2">
      <c r="A394" s="137">
        <v>49015393</v>
      </c>
      <c r="B394" s="111">
        <v>0</v>
      </c>
      <c r="C394" s="111">
        <v>40</v>
      </c>
      <c r="D394" s="111">
        <v>100</v>
      </c>
      <c r="E394" s="111" t="s">
        <v>88</v>
      </c>
      <c r="F394" s="111" t="s">
        <v>88</v>
      </c>
      <c r="G394" s="111">
        <v>0</v>
      </c>
      <c r="H394" s="111" t="s">
        <v>88</v>
      </c>
      <c r="I394" s="111">
        <v>1470</v>
      </c>
      <c r="J394" s="114">
        <f t="shared" si="41"/>
        <v>100</v>
      </c>
      <c r="K394" s="148"/>
    </row>
  </sheetData>
  <autoFilter ref="A1:G1"/>
  <phoneticPr fontId="5"/>
  <conditionalFormatting sqref="K395:K1048576 K1:K2">
    <cfRule type="duplicateValues" dxfId="392" priority="405"/>
  </conditionalFormatting>
  <conditionalFormatting sqref="K3">
    <cfRule type="duplicateValues" dxfId="391" priority="404"/>
  </conditionalFormatting>
  <conditionalFormatting sqref="K5">
    <cfRule type="duplicateValues" dxfId="390" priority="403"/>
  </conditionalFormatting>
  <conditionalFormatting sqref="K7">
    <cfRule type="duplicateValues" dxfId="389" priority="402"/>
  </conditionalFormatting>
  <conditionalFormatting sqref="K9">
    <cfRule type="duplicateValues" dxfId="388" priority="401"/>
  </conditionalFormatting>
  <conditionalFormatting sqref="K11">
    <cfRule type="duplicateValues" dxfId="387" priority="400"/>
  </conditionalFormatting>
  <conditionalFormatting sqref="K12">
    <cfRule type="duplicateValues" dxfId="386" priority="399"/>
  </conditionalFormatting>
  <conditionalFormatting sqref="K13">
    <cfRule type="duplicateValues" dxfId="385" priority="398"/>
  </conditionalFormatting>
  <conditionalFormatting sqref="K15">
    <cfRule type="duplicateValues" dxfId="384" priority="397"/>
  </conditionalFormatting>
  <conditionalFormatting sqref="K16">
    <cfRule type="duplicateValues" dxfId="383" priority="396"/>
  </conditionalFormatting>
  <conditionalFormatting sqref="K17">
    <cfRule type="duplicateValues" dxfId="382" priority="395"/>
  </conditionalFormatting>
  <conditionalFormatting sqref="K18">
    <cfRule type="duplicateValues" dxfId="381" priority="394"/>
  </conditionalFormatting>
  <conditionalFormatting sqref="K19">
    <cfRule type="duplicateValues" dxfId="380" priority="393"/>
  </conditionalFormatting>
  <conditionalFormatting sqref="K20">
    <cfRule type="duplicateValues" dxfId="379" priority="392"/>
  </conditionalFormatting>
  <conditionalFormatting sqref="K21">
    <cfRule type="duplicateValues" dxfId="378" priority="391"/>
  </conditionalFormatting>
  <conditionalFormatting sqref="K22">
    <cfRule type="duplicateValues" dxfId="377" priority="390"/>
  </conditionalFormatting>
  <conditionalFormatting sqref="K23">
    <cfRule type="duplicateValues" dxfId="376" priority="389"/>
  </conditionalFormatting>
  <conditionalFormatting sqref="K24">
    <cfRule type="duplicateValues" dxfId="375" priority="388"/>
  </conditionalFormatting>
  <conditionalFormatting sqref="K26">
    <cfRule type="duplicateValues" dxfId="374" priority="387"/>
  </conditionalFormatting>
  <conditionalFormatting sqref="K28">
    <cfRule type="duplicateValues" dxfId="373" priority="386"/>
  </conditionalFormatting>
  <conditionalFormatting sqref="K30">
    <cfRule type="duplicateValues" dxfId="372" priority="385"/>
  </conditionalFormatting>
  <conditionalFormatting sqref="K32">
    <cfRule type="duplicateValues" dxfId="371" priority="384"/>
  </conditionalFormatting>
  <conditionalFormatting sqref="K33">
    <cfRule type="duplicateValues" dxfId="370" priority="383"/>
  </conditionalFormatting>
  <conditionalFormatting sqref="K34">
    <cfRule type="duplicateValues" dxfId="369" priority="382"/>
  </conditionalFormatting>
  <conditionalFormatting sqref="K36">
    <cfRule type="duplicateValues" dxfId="368" priority="381"/>
  </conditionalFormatting>
  <conditionalFormatting sqref="K37">
    <cfRule type="duplicateValues" dxfId="367" priority="380"/>
  </conditionalFormatting>
  <conditionalFormatting sqref="K38">
    <cfRule type="duplicateValues" dxfId="366" priority="379"/>
  </conditionalFormatting>
  <conditionalFormatting sqref="K39">
    <cfRule type="duplicateValues" dxfId="365" priority="378"/>
  </conditionalFormatting>
  <conditionalFormatting sqref="K40">
    <cfRule type="duplicateValues" dxfId="364" priority="377"/>
  </conditionalFormatting>
  <conditionalFormatting sqref="K41">
    <cfRule type="duplicateValues" dxfId="363" priority="376"/>
  </conditionalFormatting>
  <conditionalFormatting sqref="K42">
    <cfRule type="duplicateValues" dxfId="362" priority="375"/>
  </conditionalFormatting>
  <conditionalFormatting sqref="K43">
    <cfRule type="duplicateValues" dxfId="361" priority="374"/>
  </conditionalFormatting>
  <conditionalFormatting sqref="K44">
    <cfRule type="duplicateValues" dxfId="360" priority="373"/>
  </conditionalFormatting>
  <conditionalFormatting sqref="K45">
    <cfRule type="duplicateValues" dxfId="359" priority="372"/>
  </conditionalFormatting>
  <conditionalFormatting sqref="K46">
    <cfRule type="duplicateValues" dxfId="358" priority="371"/>
  </conditionalFormatting>
  <conditionalFormatting sqref="K47">
    <cfRule type="duplicateValues" dxfId="357" priority="370"/>
  </conditionalFormatting>
  <conditionalFormatting sqref="K48">
    <cfRule type="duplicateValues" dxfId="356" priority="369"/>
  </conditionalFormatting>
  <conditionalFormatting sqref="K49">
    <cfRule type="duplicateValues" dxfId="355" priority="368"/>
  </conditionalFormatting>
  <conditionalFormatting sqref="K50">
    <cfRule type="duplicateValues" dxfId="354" priority="367"/>
  </conditionalFormatting>
  <conditionalFormatting sqref="K51">
    <cfRule type="duplicateValues" dxfId="353" priority="366"/>
  </conditionalFormatting>
  <conditionalFormatting sqref="K53">
    <cfRule type="duplicateValues" dxfId="352" priority="365"/>
  </conditionalFormatting>
  <conditionalFormatting sqref="K55">
    <cfRule type="duplicateValues" dxfId="351" priority="364"/>
  </conditionalFormatting>
  <conditionalFormatting sqref="K57">
    <cfRule type="duplicateValues" dxfId="350" priority="363"/>
  </conditionalFormatting>
  <conditionalFormatting sqref="K59">
    <cfRule type="duplicateValues" dxfId="349" priority="362"/>
  </conditionalFormatting>
  <conditionalFormatting sqref="K60">
    <cfRule type="duplicateValues" dxfId="348" priority="361"/>
  </conditionalFormatting>
  <conditionalFormatting sqref="K61">
    <cfRule type="duplicateValues" dxfId="347" priority="360"/>
  </conditionalFormatting>
  <conditionalFormatting sqref="K63">
    <cfRule type="duplicateValues" dxfId="346" priority="359"/>
  </conditionalFormatting>
  <conditionalFormatting sqref="K64">
    <cfRule type="duplicateValues" dxfId="345" priority="358"/>
  </conditionalFormatting>
  <conditionalFormatting sqref="K66">
    <cfRule type="duplicateValues" dxfId="344" priority="357"/>
  </conditionalFormatting>
  <conditionalFormatting sqref="K68">
    <cfRule type="duplicateValues" dxfId="343" priority="356"/>
  </conditionalFormatting>
  <conditionalFormatting sqref="K70">
    <cfRule type="duplicateValues" dxfId="342" priority="355"/>
  </conditionalFormatting>
  <conditionalFormatting sqref="K72">
    <cfRule type="duplicateValues" dxfId="341" priority="354"/>
  </conditionalFormatting>
  <conditionalFormatting sqref="K73">
    <cfRule type="duplicateValues" dxfId="340" priority="353"/>
  </conditionalFormatting>
  <conditionalFormatting sqref="K74">
    <cfRule type="duplicateValues" dxfId="339" priority="352"/>
  </conditionalFormatting>
  <conditionalFormatting sqref="K76">
    <cfRule type="duplicateValues" dxfId="338" priority="351"/>
  </conditionalFormatting>
  <conditionalFormatting sqref="K77">
    <cfRule type="duplicateValues" dxfId="337" priority="350"/>
  </conditionalFormatting>
  <conditionalFormatting sqref="K78">
    <cfRule type="duplicateValues" dxfId="336" priority="349"/>
  </conditionalFormatting>
  <conditionalFormatting sqref="K79">
    <cfRule type="duplicateValues" dxfId="335" priority="348"/>
  </conditionalFormatting>
  <conditionalFormatting sqref="K80">
    <cfRule type="duplicateValues" dxfId="334" priority="347"/>
  </conditionalFormatting>
  <conditionalFormatting sqref="K81">
    <cfRule type="duplicateValues" dxfId="333" priority="346"/>
  </conditionalFormatting>
  <conditionalFormatting sqref="K82">
    <cfRule type="duplicateValues" dxfId="332" priority="345"/>
  </conditionalFormatting>
  <conditionalFormatting sqref="K83">
    <cfRule type="duplicateValues" dxfId="331" priority="344"/>
  </conditionalFormatting>
  <conditionalFormatting sqref="K84">
    <cfRule type="duplicateValues" dxfId="330" priority="343"/>
  </conditionalFormatting>
  <conditionalFormatting sqref="K85">
    <cfRule type="duplicateValues" dxfId="329" priority="342"/>
  </conditionalFormatting>
  <conditionalFormatting sqref="K86">
    <cfRule type="duplicateValues" dxfId="328" priority="341"/>
  </conditionalFormatting>
  <conditionalFormatting sqref="K88">
    <cfRule type="duplicateValues" dxfId="327" priority="340"/>
  </conditionalFormatting>
  <conditionalFormatting sqref="K90">
    <cfRule type="duplicateValues" dxfId="326" priority="339"/>
  </conditionalFormatting>
  <conditionalFormatting sqref="K92">
    <cfRule type="duplicateValues" dxfId="325" priority="338"/>
  </conditionalFormatting>
  <conditionalFormatting sqref="K94">
    <cfRule type="duplicateValues" dxfId="324" priority="337"/>
  </conditionalFormatting>
  <conditionalFormatting sqref="K95">
    <cfRule type="duplicateValues" dxfId="323" priority="336"/>
  </conditionalFormatting>
  <conditionalFormatting sqref="K96">
    <cfRule type="duplicateValues" dxfId="322" priority="335"/>
  </conditionalFormatting>
  <conditionalFormatting sqref="K98">
    <cfRule type="duplicateValues" dxfId="321" priority="334"/>
  </conditionalFormatting>
  <conditionalFormatting sqref="K99">
    <cfRule type="duplicateValues" dxfId="320" priority="333"/>
  </conditionalFormatting>
  <conditionalFormatting sqref="K101">
    <cfRule type="duplicateValues" dxfId="319" priority="332"/>
  </conditionalFormatting>
  <conditionalFormatting sqref="K103">
    <cfRule type="duplicateValues" dxfId="318" priority="331"/>
  </conditionalFormatting>
  <conditionalFormatting sqref="K105">
    <cfRule type="duplicateValues" dxfId="317" priority="330"/>
  </conditionalFormatting>
  <conditionalFormatting sqref="K107">
    <cfRule type="duplicateValues" dxfId="316" priority="329"/>
  </conditionalFormatting>
  <conditionalFormatting sqref="K108">
    <cfRule type="duplicateValues" dxfId="315" priority="328"/>
  </conditionalFormatting>
  <conditionalFormatting sqref="K110">
    <cfRule type="duplicateValues" dxfId="314" priority="326"/>
  </conditionalFormatting>
  <conditionalFormatting sqref="K111">
    <cfRule type="duplicateValues" dxfId="313" priority="325"/>
  </conditionalFormatting>
  <conditionalFormatting sqref="K112">
    <cfRule type="duplicateValues" dxfId="312" priority="324"/>
  </conditionalFormatting>
  <conditionalFormatting sqref="K113">
    <cfRule type="duplicateValues" dxfId="311" priority="322"/>
  </conditionalFormatting>
  <conditionalFormatting sqref="K114">
    <cfRule type="duplicateValues" dxfId="310" priority="321"/>
  </conditionalFormatting>
  <conditionalFormatting sqref="K115">
    <cfRule type="duplicateValues" dxfId="309" priority="320"/>
  </conditionalFormatting>
  <conditionalFormatting sqref="K116">
    <cfRule type="duplicateValues" dxfId="308" priority="319"/>
  </conditionalFormatting>
  <conditionalFormatting sqref="K117">
    <cfRule type="duplicateValues" dxfId="307" priority="318"/>
  </conditionalFormatting>
  <conditionalFormatting sqref="K118">
    <cfRule type="duplicateValues" dxfId="306" priority="316"/>
  </conditionalFormatting>
  <conditionalFormatting sqref="K119">
    <cfRule type="duplicateValues" dxfId="305" priority="315"/>
  </conditionalFormatting>
  <conditionalFormatting sqref="K120">
    <cfRule type="duplicateValues" dxfId="304" priority="314"/>
  </conditionalFormatting>
  <conditionalFormatting sqref="K121">
    <cfRule type="duplicateValues" dxfId="303" priority="313"/>
  </conditionalFormatting>
  <conditionalFormatting sqref="K122">
    <cfRule type="duplicateValues" dxfId="302" priority="311"/>
  </conditionalFormatting>
  <conditionalFormatting sqref="K123">
    <cfRule type="duplicateValues" dxfId="301" priority="310"/>
  </conditionalFormatting>
  <conditionalFormatting sqref="K125">
    <cfRule type="duplicateValues" dxfId="300" priority="309"/>
  </conditionalFormatting>
  <conditionalFormatting sqref="K127">
    <cfRule type="duplicateValues" dxfId="299" priority="308"/>
  </conditionalFormatting>
  <conditionalFormatting sqref="K129">
    <cfRule type="duplicateValues" dxfId="298" priority="307"/>
  </conditionalFormatting>
  <conditionalFormatting sqref="K131">
    <cfRule type="duplicateValues" dxfId="297" priority="305"/>
  </conditionalFormatting>
  <conditionalFormatting sqref="K132">
    <cfRule type="duplicateValues" dxfId="296" priority="304"/>
  </conditionalFormatting>
  <conditionalFormatting sqref="K133">
    <cfRule type="duplicateValues" dxfId="295" priority="303"/>
  </conditionalFormatting>
  <conditionalFormatting sqref="K4">
    <cfRule type="duplicateValues" dxfId="294" priority="300"/>
  </conditionalFormatting>
  <conditionalFormatting sqref="K109">
    <cfRule type="duplicateValues" dxfId="293" priority="407"/>
  </conditionalFormatting>
  <conditionalFormatting sqref="K6">
    <cfRule type="duplicateValues" dxfId="292" priority="299"/>
  </conditionalFormatting>
  <conditionalFormatting sqref="K8">
    <cfRule type="duplicateValues" dxfId="291" priority="298"/>
  </conditionalFormatting>
  <conditionalFormatting sqref="K10">
    <cfRule type="duplicateValues" dxfId="290" priority="297"/>
  </conditionalFormatting>
  <conditionalFormatting sqref="K14">
    <cfRule type="duplicateValues" dxfId="289" priority="296"/>
  </conditionalFormatting>
  <conditionalFormatting sqref="K25">
    <cfRule type="duplicateValues" dxfId="288" priority="295"/>
  </conditionalFormatting>
  <conditionalFormatting sqref="K27">
    <cfRule type="duplicateValues" dxfId="287" priority="294"/>
  </conditionalFormatting>
  <conditionalFormatting sqref="K29">
    <cfRule type="duplicateValues" dxfId="286" priority="293"/>
  </conditionalFormatting>
  <conditionalFormatting sqref="K31">
    <cfRule type="duplicateValues" dxfId="285" priority="292"/>
  </conditionalFormatting>
  <conditionalFormatting sqref="K35">
    <cfRule type="duplicateValues" dxfId="284" priority="291"/>
  </conditionalFormatting>
  <conditionalFormatting sqref="K52">
    <cfRule type="duplicateValues" dxfId="283" priority="290"/>
  </conditionalFormatting>
  <conditionalFormatting sqref="K54">
    <cfRule type="duplicateValues" dxfId="282" priority="289"/>
  </conditionalFormatting>
  <conditionalFormatting sqref="K56">
    <cfRule type="duplicateValues" dxfId="281" priority="288"/>
  </conditionalFormatting>
  <conditionalFormatting sqref="K58">
    <cfRule type="duplicateValues" dxfId="280" priority="287"/>
  </conditionalFormatting>
  <conditionalFormatting sqref="K62">
    <cfRule type="duplicateValues" dxfId="279" priority="286"/>
  </conditionalFormatting>
  <conditionalFormatting sqref="K65">
    <cfRule type="duplicateValues" dxfId="278" priority="285"/>
  </conditionalFormatting>
  <conditionalFormatting sqref="K67">
    <cfRule type="duplicateValues" dxfId="277" priority="284"/>
  </conditionalFormatting>
  <conditionalFormatting sqref="K69">
    <cfRule type="duplicateValues" dxfId="276" priority="283"/>
  </conditionalFormatting>
  <conditionalFormatting sqref="K71">
    <cfRule type="duplicateValues" dxfId="275" priority="282"/>
  </conditionalFormatting>
  <conditionalFormatting sqref="K75">
    <cfRule type="duplicateValues" dxfId="274" priority="281"/>
  </conditionalFormatting>
  <conditionalFormatting sqref="K87">
    <cfRule type="duplicateValues" dxfId="273" priority="280"/>
  </conditionalFormatting>
  <conditionalFormatting sqref="K89">
    <cfRule type="duplicateValues" dxfId="272" priority="279"/>
  </conditionalFormatting>
  <conditionalFormatting sqref="K91">
    <cfRule type="duplicateValues" dxfId="271" priority="278"/>
  </conditionalFormatting>
  <conditionalFormatting sqref="K93">
    <cfRule type="duplicateValues" dxfId="270" priority="277"/>
  </conditionalFormatting>
  <conditionalFormatting sqref="K97">
    <cfRule type="duplicateValues" dxfId="269" priority="276"/>
  </conditionalFormatting>
  <conditionalFormatting sqref="K100">
    <cfRule type="duplicateValues" dxfId="268" priority="275"/>
  </conditionalFormatting>
  <conditionalFormatting sqref="K102">
    <cfRule type="duplicateValues" dxfId="267" priority="274"/>
  </conditionalFormatting>
  <conditionalFormatting sqref="K104">
    <cfRule type="duplicateValues" dxfId="266" priority="273"/>
  </conditionalFormatting>
  <conditionalFormatting sqref="K106">
    <cfRule type="duplicateValues" dxfId="265" priority="272"/>
  </conditionalFormatting>
  <conditionalFormatting sqref="K124">
    <cfRule type="duplicateValues" dxfId="264" priority="271"/>
  </conditionalFormatting>
  <conditionalFormatting sqref="K126">
    <cfRule type="duplicateValues" dxfId="263" priority="270"/>
  </conditionalFormatting>
  <conditionalFormatting sqref="K128">
    <cfRule type="duplicateValues" dxfId="262" priority="269"/>
  </conditionalFormatting>
  <conditionalFormatting sqref="K130">
    <cfRule type="duplicateValues" dxfId="261" priority="268"/>
  </conditionalFormatting>
  <conditionalFormatting sqref="K134">
    <cfRule type="duplicateValues" dxfId="260" priority="263"/>
  </conditionalFormatting>
  <conditionalFormatting sqref="K135">
    <cfRule type="duplicateValues" dxfId="259" priority="262"/>
  </conditionalFormatting>
  <conditionalFormatting sqref="K137">
    <cfRule type="duplicateValues" dxfId="258" priority="261"/>
  </conditionalFormatting>
  <conditionalFormatting sqref="K139">
    <cfRule type="duplicateValues" dxfId="257" priority="260"/>
  </conditionalFormatting>
  <conditionalFormatting sqref="K141">
    <cfRule type="duplicateValues" dxfId="256" priority="259"/>
  </conditionalFormatting>
  <conditionalFormatting sqref="K143">
    <cfRule type="duplicateValues" dxfId="255" priority="258"/>
  </conditionalFormatting>
  <conditionalFormatting sqref="K144">
    <cfRule type="duplicateValues" dxfId="254" priority="257"/>
  </conditionalFormatting>
  <conditionalFormatting sqref="K145">
    <cfRule type="duplicateValues" dxfId="253" priority="256"/>
  </conditionalFormatting>
  <conditionalFormatting sqref="K147">
    <cfRule type="duplicateValues" dxfId="252" priority="255"/>
  </conditionalFormatting>
  <conditionalFormatting sqref="K148">
    <cfRule type="duplicateValues" dxfId="251" priority="254"/>
  </conditionalFormatting>
  <conditionalFormatting sqref="K149">
    <cfRule type="duplicateValues" dxfId="250" priority="253"/>
  </conditionalFormatting>
  <conditionalFormatting sqref="K150">
    <cfRule type="duplicateValues" dxfId="249" priority="252"/>
  </conditionalFormatting>
  <conditionalFormatting sqref="K151">
    <cfRule type="duplicateValues" dxfId="248" priority="251"/>
  </conditionalFormatting>
  <conditionalFormatting sqref="K152">
    <cfRule type="duplicateValues" dxfId="247" priority="250"/>
  </conditionalFormatting>
  <conditionalFormatting sqref="K153">
    <cfRule type="duplicateValues" dxfId="246" priority="249"/>
  </conditionalFormatting>
  <conditionalFormatting sqref="K154">
    <cfRule type="duplicateValues" dxfId="245" priority="248"/>
  </conditionalFormatting>
  <conditionalFormatting sqref="K155">
    <cfRule type="duplicateValues" dxfId="244" priority="247"/>
  </conditionalFormatting>
  <conditionalFormatting sqref="K156">
    <cfRule type="duplicateValues" dxfId="243" priority="246"/>
  </conditionalFormatting>
  <conditionalFormatting sqref="K158">
    <cfRule type="duplicateValues" dxfId="242" priority="245"/>
  </conditionalFormatting>
  <conditionalFormatting sqref="K160">
    <cfRule type="duplicateValues" dxfId="241" priority="244"/>
  </conditionalFormatting>
  <conditionalFormatting sqref="K162">
    <cfRule type="duplicateValues" dxfId="240" priority="243"/>
  </conditionalFormatting>
  <conditionalFormatting sqref="K164">
    <cfRule type="duplicateValues" dxfId="239" priority="242"/>
  </conditionalFormatting>
  <conditionalFormatting sqref="K165">
    <cfRule type="duplicateValues" dxfId="238" priority="241"/>
  </conditionalFormatting>
  <conditionalFormatting sqref="K166">
    <cfRule type="duplicateValues" dxfId="237" priority="240"/>
  </conditionalFormatting>
  <conditionalFormatting sqref="K168">
    <cfRule type="duplicateValues" dxfId="236" priority="239"/>
  </conditionalFormatting>
  <conditionalFormatting sqref="K169">
    <cfRule type="duplicateValues" dxfId="235" priority="238"/>
  </conditionalFormatting>
  <conditionalFormatting sqref="K170">
    <cfRule type="duplicateValues" dxfId="234" priority="237"/>
  </conditionalFormatting>
  <conditionalFormatting sqref="K171">
    <cfRule type="duplicateValues" dxfId="233" priority="236"/>
  </conditionalFormatting>
  <conditionalFormatting sqref="K172">
    <cfRule type="duplicateValues" dxfId="232" priority="235"/>
  </conditionalFormatting>
  <conditionalFormatting sqref="K173">
    <cfRule type="duplicateValues" dxfId="231" priority="234"/>
  </conditionalFormatting>
  <conditionalFormatting sqref="K174">
    <cfRule type="duplicateValues" dxfId="230" priority="233"/>
  </conditionalFormatting>
  <conditionalFormatting sqref="K175">
    <cfRule type="duplicateValues" dxfId="229" priority="232"/>
  </conditionalFormatting>
  <conditionalFormatting sqref="K176">
    <cfRule type="duplicateValues" dxfId="228" priority="231"/>
  </conditionalFormatting>
  <conditionalFormatting sqref="K177">
    <cfRule type="duplicateValues" dxfId="227" priority="230"/>
  </conditionalFormatting>
  <conditionalFormatting sqref="K178">
    <cfRule type="duplicateValues" dxfId="226" priority="229"/>
  </conditionalFormatting>
  <conditionalFormatting sqref="K179">
    <cfRule type="duplicateValues" dxfId="225" priority="228"/>
  </conditionalFormatting>
  <conditionalFormatting sqref="K180">
    <cfRule type="duplicateValues" dxfId="224" priority="227"/>
  </conditionalFormatting>
  <conditionalFormatting sqref="K181">
    <cfRule type="duplicateValues" dxfId="223" priority="226"/>
  </conditionalFormatting>
  <conditionalFormatting sqref="K182">
    <cfRule type="duplicateValues" dxfId="222" priority="225"/>
  </conditionalFormatting>
  <conditionalFormatting sqref="K183">
    <cfRule type="duplicateValues" dxfId="221" priority="224"/>
  </conditionalFormatting>
  <conditionalFormatting sqref="K185">
    <cfRule type="duplicateValues" dxfId="220" priority="223"/>
  </conditionalFormatting>
  <conditionalFormatting sqref="K187">
    <cfRule type="duplicateValues" dxfId="219" priority="222"/>
  </conditionalFormatting>
  <conditionalFormatting sqref="K189">
    <cfRule type="duplicateValues" dxfId="218" priority="221"/>
  </conditionalFormatting>
  <conditionalFormatting sqref="K191">
    <cfRule type="duplicateValues" dxfId="217" priority="220"/>
  </conditionalFormatting>
  <conditionalFormatting sqref="K192">
    <cfRule type="duplicateValues" dxfId="216" priority="219"/>
  </conditionalFormatting>
  <conditionalFormatting sqref="K193">
    <cfRule type="duplicateValues" dxfId="215" priority="218"/>
  </conditionalFormatting>
  <conditionalFormatting sqref="K195">
    <cfRule type="duplicateValues" dxfId="214" priority="217"/>
  </conditionalFormatting>
  <conditionalFormatting sqref="K196">
    <cfRule type="duplicateValues" dxfId="213" priority="216"/>
  </conditionalFormatting>
  <conditionalFormatting sqref="K198">
    <cfRule type="duplicateValues" dxfId="212" priority="215"/>
  </conditionalFormatting>
  <conditionalFormatting sqref="K200">
    <cfRule type="duplicateValues" dxfId="211" priority="214"/>
  </conditionalFormatting>
  <conditionalFormatting sqref="K202">
    <cfRule type="duplicateValues" dxfId="210" priority="213"/>
  </conditionalFormatting>
  <conditionalFormatting sqref="K204">
    <cfRule type="duplicateValues" dxfId="209" priority="212"/>
  </conditionalFormatting>
  <conditionalFormatting sqref="K205">
    <cfRule type="duplicateValues" dxfId="208" priority="211"/>
  </conditionalFormatting>
  <conditionalFormatting sqref="K206">
    <cfRule type="duplicateValues" dxfId="207" priority="210"/>
  </conditionalFormatting>
  <conditionalFormatting sqref="K208">
    <cfRule type="duplicateValues" dxfId="206" priority="209"/>
  </conditionalFormatting>
  <conditionalFormatting sqref="K209">
    <cfRule type="duplicateValues" dxfId="205" priority="208"/>
  </conditionalFormatting>
  <conditionalFormatting sqref="K210">
    <cfRule type="duplicateValues" dxfId="204" priority="207"/>
  </conditionalFormatting>
  <conditionalFormatting sqref="K211">
    <cfRule type="duplicateValues" dxfId="203" priority="206"/>
  </conditionalFormatting>
  <conditionalFormatting sqref="K212">
    <cfRule type="duplicateValues" dxfId="202" priority="205"/>
  </conditionalFormatting>
  <conditionalFormatting sqref="K213">
    <cfRule type="duplicateValues" dxfId="201" priority="204"/>
  </conditionalFormatting>
  <conditionalFormatting sqref="K214">
    <cfRule type="duplicateValues" dxfId="200" priority="203"/>
  </conditionalFormatting>
  <conditionalFormatting sqref="K215">
    <cfRule type="duplicateValues" dxfId="199" priority="202"/>
  </conditionalFormatting>
  <conditionalFormatting sqref="K216">
    <cfRule type="duplicateValues" dxfId="198" priority="201"/>
  </conditionalFormatting>
  <conditionalFormatting sqref="K217">
    <cfRule type="duplicateValues" dxfId="197" priority="200"/>
  </conditionalFormatting>
  <conditionalFormatting sqref="K218">
    <cfRule type="duplicateValues" dxfId="196" priority="199"/>
  </conditionalFormatting>
  <conditionalFormatting sqref="K220">
    <cfRule type="duplicateValues" dxfId="195" priority="198"/>
  </conditionalFormatting>
  <conditionalFormatting sqref="K222">
    <cfRule type="duplicateValues" dxfId="194" priority="197"/>
  </conditionalFormatting>
  <conditionalFormatting sqref="K224">
    <cfRule type="duplicateValues" dxfId="193" priority="196"/>
  </conditionalFormatting>
  <conditionalFormatting sqref="K226">
    <cfRule type="duplicateValues" dxfId="192" priority="195"/>
  </conditionalFormatting>
  <conditionalFormatting sqref="K227">
    <cfRule type="duplicateValues" dxfId="191" priority="194"/>
  </conditionalFormatting>
  <conditionalFormatting sqref="K228">
    <cfRule type="duplicateValues" dxfId="190" priority="193"/>
  </conditionalFormatting>
  <conditionalFormatting sqref="K230">
    <cfRule type="duplicateValues" dxfId="189" priority="192"/>
  </conditionalFormatting>
  <conditionalFormatting sqref="K231">
    <cfRule type="duplicateValues" dxfId="188" priority="191"/>
  </conditionalFormatting>
  <conditionalFormatting sqref="K233">
    <cfRule type="duplicateValues" dxfId="187" priority="190"/>
  </conditionalFormatting>
  <conditionalFormatting sqref="K235">
    <cfRule type="duplicateValues" dxfId="186" priority="189"/>
  </conditionalFormatting>
  <conditionalFormatting sqref="K237">
    <cfRule type="duplicateValues" dxfId="185" priority="188"/>
  </conditionalFormatting>
  <conditionalFormatting sqref="K239">
    <cfRule type="duplicateValues" dxfId="184" priority="187"/>
  </conditionalFormatting>
  <conditionalFormatting sqref="K240">
    <cfRule type="duplicateValues" dxfId="183" priority="186"/>
  </conditionalFormatting>
  <conditionalFormatting sqref="K242">
    <cfRule type="duplicateValues" dxfId="182" priority="185"/>
  </conditionalFormatting>
  <conditionalFormatting sqref="K243">
    <cfRule type="duplicateValues" dxfId="181" priority="184"/>
  </conditionalFormatting>
  <conditionalFormatting sqref="K244">
    <cfRule type="duplicateValues" dxfId="180" priority="183"/>
  </conditionalFormatting>
  <conditionalFormatting sqref="K245">
    <cfRule type="duplicateValues" dxfId="179" priority="182"/>
  </conditionalFormatting>
  <conditionalFormatting sqref="K246">
    <cfRule type="duplicateValues" dxfId="178" priority="181"/>
  </conditionalFormatting>
  <conditionalFormatting sqref="K247">
    <cfRule type="duplicateValues" dxfId="177" priority="180"/>
  </conditionalFormatting>
  <conditionalFormatting sqref="K248">
    <cfRule type="duplicateValues" dxfId="176" priority="179"/>
  </conditionalFormatting>
  <conditionalFormatting sqref="K249">
    <cfRule type="duplicateValues" dxfId="175" priority="178"/>
  </conditionalFormatting>
  <conditionalFormatting sqref="K250">
    <cfRule type="duplicateValues" dxfId="174" priority="177"/>
  </conditionalFormatting>
  <conditionalFormatting sqref="K251">
    <cfRule type="duplicateValues" dxfId="173" priority="176"/>
  </conditionalFormatting>
  <conditionalFormatting sqref="K252">
    <cfRule type="duplicateValues" dxfId="172" priority="175"/>
  </conditionalFormatting>
  <conditionalFormatting sqref="K253">
    <cfRule type="duplicateValues" dxfId="171" priority="174"/>
  </conditionalFormatting>
  <conditionalFormatting sqref="K254">
    <cfRule type="duplicateValues" dxfId="170" priority="173"/>
  </conditionalFormatting>
  <conditionalFormatting sqref="K255">
    <cfRule type="duplicateValues" dxfId="169" priority="172"/>
  </conditionalFormatting>
  <conditionalFormatting sqref="K257">
    <cfRule type="duplicateValues" dxfId="168" priority="171"/>
  </conditionalFormatting>
  <conditionalFormatting sqref="K259">
    <cfRule type="duplicateValues" dxfId="167" priority="170"/>
  </conditionalFormatting>
  <conditionalFormatting sqref="K261">
    <cfRule type="duplicateValues" dxfId="166" priority="169"/>
  </conditionalFormatting>
  <conditionalFormatting sqref="K263">
    <cfRule type="duplicateValues" dxfId="165" priority="168"/>
  </conditionalFormatting>
  <conditionalFormatting sqref="K264">
    <cfRule type="duplicateValues" dxfId="164" priority="167"/>
  </conditionalFormatting>
  <conditionalFormatting sqref="K265">
    <cfRule type="duplicateValues" dxfId="163" priority="166"/>
  </conditionalFormatting>
  <conditionalFormatting sqref="K136">
    <cfRule type="duplicateValues" dxfId="162" priority="165"/>
  </conditionalFormatting>
  <conditionalFormatting sqref="K241">
    <cfRule type="duplicateValues" dxfId="161" priority="264"/>
  </conditionalFormatting>
  <conditionalFormatting sqref="K138">
    <cfRule type="duplicateValues" dxfId="160" priority="164"/>
  </conditionalFormatting>
  <conditionalFormatting sqref="K140">
    <cfRule type="duplicateValues" dxfId="159" priority="163"/>
  </conditionalFormatting>
  <conditionalFormatting sqref="K142">
    <cfRule type="duplicateValues" dxfId="158" priority="162"/>
  </conditionalFormatting>
  <conditionalFormatting sqref="K146">
    <cfRule type="duplicateValues" dxfId="157" priority="161"/>
  </conditionalFormatting>
  <conditionalFormatting sqref="K157">
    <cfRule type="duplicateValues" dxfId="156" priority="160"/>
  </conditionalFormatting>
  <conditionalFormatting sqref="K159">
    <cfRule type="duplicateValues" dxfId="155" priority="159"/>
  </conditionalFormatting>
  <conditionalFormatting sqref="K161">
    <cfRule type="duplicateValues" dxfId="154" priority="158"/>
  </conditionalFormatting>
  <conditionalFormatting sqref="K163">
    <cfRule type="duplicateValues" dxfId="153" priority="157"/>
  </conditionalFormatting>
  <conditionalFormatting sqref="K167">
    <cfRule type="duplicateValues" dxfId="152" priority="156"/>
  </conditionalFormatting>
  <conditionalFormatting sqref="K184">
    <cfRule type="duplicateValues" dxfId="151" priority="155"/>
  </conditionalFormatting>
  <conditionalFormatting sqref="K186">
    <cfRule type="duplicateValues" dxfId="150" priority="154"/>
  </conditionalFormatting>
  <conditionalFormatting sqref="K188">
    <cfRule type="duplicateValues" dxfId="149" priority="153"/>
  </conditionalFormatting>
  <conditionalFormatting sqref="K190">
    <cfRule type="duplicateValues" dxfId="148" priority="152"/>
  </conditionalFormatting>
  <conditionalFormatting sqref="K194">
    <cfRule type="duplicateValues" dxfId="147" priority="151"/>
  </conditionalFormatting>
  <conditionalFormatting sqref="K197">
    <cfRule type="duplicateValues" dxfId="146" priority="150"/>
  </conditionalFormatting>
  <conditionalFormatting sqref="K199">
    <cfRule type="duplicateValues" dxfId="145" priority="149"/>
  </conditionalFormatting>
  <conditionalFormatting sqref="K201">
    <cfRule type="duplicateValues" dxfId="144" priority="148"/>
  </conditionalFormatting>
  <conditionalFormatting sqref="K203">
    <cfRule type="duplicateValues" dxfId="143" priority="147"/>
  </conditionalFormatting>
  <conditionalFormatting sqref="K207">
    <cfRule type="duplicateValues" dxfId="142" priority="146"/>
  </conditionalFormatting>
  <conditionalFormatting sqref="K219">
    <cfRule type="duplicateValues" dxfId="141" priority="145"/>
  </conditionalFormatting>
  <conditionalFormatting sqref="K221">
    <cfRule type="duplicateValues" dxfId="140" priority="144"/>
  </conditionalFormatting>
  <conditionalFormatting sqref="K223">
    <cfRule type="duplicateValues" dxfId="139" priority="143"/>
  </conditionalFormatting>
  <conditionalFormatting sqref="K225">
    <cfRule type="duplicateValues" dxfId="138" priority="142"/>
  </conditionalFormatting>
  <conditionalFormatting sqref="K229">
    <cfRule type="duplicateValues" dxfId="137" priority="141"/>
  </conditionalFormatting>
  <conditionalFormatting sqref="K232">
    <cfRule type="duplicateValues" dxfId="136" priority="140"/>
  </conditionalFormatting>
  <conditionalFormatting sqref="K234">
    <cfRule type="duplicateValues" dxfId="135" priority="139"/>
  </conditionalFormatting>
  <conditionalFormatting sqref="K236">
    <cfRule type="duplicateValues" dxfId="134" priority="138"/>
  </conditionalFormatting>
  <conditionalFormatting sqref="K238">
    <cfRule type="duplicateValues" dxfId="133" priority="137"/>
  </conditionalFormatting>
  <conditionalFormatting sqref="K256">
    <cfRule type="duplicateValues" dxfId="132" priority="136"/>
  </conditionalFormatting>
  <conditionalFormatting sqref="K258">
    <cfRule type="duplicateValues" dxfId="131" priority="135"/>
  </conditionalFormatting>
  <conditionalFormatting sqref="K260">
    <cfRule type="duplicateValues" dxfId="130" priority="134"/>
  </conditionalFormatting>
  <conditionalFormatting sqref="K262">
    <cfRule type="duplicateValues" dxfId="129" priority="133"/>
  </conditionalFormatting>
  <conditionalFormatting sqref="K266">
    <cfRule type="duplicateValues" dxfId="128" priority="131"/>
  </conditionalFormatting>
  <conditionalFormatting sqref="K267">
    <cfRule type="duplicateValues" dxfId="127" priority="130"/>
  </conditionalFormatting>
  <conditionalFormatting sqref="K269">
    <cfRule type="duplicateValues" dxfId="126" priority="129"/>
  </conditionalFormatting>
  <conditionalFormatting sqref="K271">
    <cfRule type="duplicateValues" dxfId="125" priority="128"/>
  </conditionalFormatting>
  <conditionalFormatting sqref="K273">
    <cfRule type="duplicateValues" dxfId="124" priority="127"/>
  </conditionalFormatting>
  <conditionalFormatting sqref="K275">
    <cfRule type="duplicateValues" dxfId="123" priority="126"/>
  </conditionalFormatting>
  <conditionalFormatting sqref="K276">
    <cfRule type="duplicateValues" dxfId="122" priority="125"/>
  </conditionalFormatting>
  <conditionalFormatting sqref="K277">
    <cfRule type="duplicateValues" dxfId="121" priority="124"/>
  </conditionalFormatting>
  <conditionalFormatting sqref="K279">
    <cfRule type="duplicateValues" dxfId="120" priority="123"/>
  </conditionalFormatting>
  <conditionalFormatting sqref="K280">
    <cfRule type="duplicateValues" dxfId="119" priority="122"/>
  </conditionalFormatting>
  <conditionalFormatting sqref="K281">
    <cfRule type="duplicateValues" dxfId="118" priority="121"/>
  </conditionalFormatting>
  <conditionalFormatting sqref="K282">
    <cfRule type="duplicateValues" dxfId="117" priority="120"/>
  </conditionalFormatting>
  <conditionalFormatting sqref="K283">
    <cfRule type="duplicateValues" dxfId="116" priority="119"/>
  </conditionalFormatting>
  <conditionalFormatting sqref="K284">
    <cfRule type="duplicateValues" dxfId="115" priority="118"/>
  </conditionalFormatting>
  <conditionalFormatting sqref="K285">
    <cfRule type="duplicateValues" dxfId="114" priority="117"/>
  </conditionalFormatting>
  <conditionalFormatting sqref="K286">
    <cfRule type="duplicateValues" dxfId="113" priority="116"/>
  </conditionalFormatting>
  <conditionalFormatting sqref="K287">
    <cfRule type="duplicateValues" dxfId="112" priority="115"/>
  </conditionalFormatting>
  <conditionalFormatting sqref="K288">
    <cfRule type="duplicateValues" dxfId="111" priority="114"/>
  </conditionalFormatting>
  <conditionalFormatting sqref="K290">
    <cfRule type="duplicateValues" dxfId="110" priority="113"/>
  </conditionalFormatting>
  <conditionalFormatting sqref="K292">
    <cfRule type="duplicateValues" dxfId="109" priority="112"/>
  </conditionalFormatting>
  <conditionalFormatting sqref="K294">
    <cfRule type="duplicateValues" dxfId="108" priority="111"/>
  </conditionalFormatting>
  <conditionalFormatting sqref="K296">
    <cfRule type="duplicateValues" dxfId="107" priority="110"/>
  </conditionalFormatting>
  <conditionalFormatting sqref="K297">
    <cfRule type="duplicateValues" dxfId="106" priority="109"/>
  </conditionalFormatting>
  <conditionalFormatting sqref="K298">
    <cfRule type="duplicateValues" dxfId="105" priority="108"/>
  </conditionalFormatting>
  <conditionalFormatting sqref="K300">
    <cfRule type="duplicateValues" dxfId="104" priority="107"/>
  </conditionalFormatting>
  <conditionalFormatting sqref="K301">
    <cfRule type="duplicateValues" dxfId="103" priority="106"/>
  </conditionalFormatting>
  <conditionalFormatting sqref="K302">
    <cfRule type="duplicateValues" dxfId="102" priority="105"/>
  </conditionalFormatting>
  <conditionalFormatting sqref="K303">
    <cfRule type="duplicateValues" dxfId="101" priority="104"/>
  </conditionalFormatting>
  <conditionalFormatting sqref="K304">
    <cfRule type="duplicateValues" dxfId="100" priority="103"/>
  </conditionalFormatting>
  <conditionalFormatting sqref="K305">
    <cfRule type="duplicateValues" dxfId="99" priority="102"/>
  </conditionalFormatting>
  <conditionalFormatting sqref="K306">
    <cfRule type="duplicateValues" dxfId="98" priority="101"/>
  </conditionalFormatting>
  <conditionalFormatting sqref="K307">
    <cfRule type="duplicateValues" dxfId="97" priority="100"/>
  </conditionalFormatting>
  <conditionalFormatting sqref="K308">
    <cfRule type="duplicateValues" dxfId="96" priority="99"/>
  </conditionalFormatting>
  <conditionalFormatting sqref="K309">
    <cfRule type="duplicateValues" dxfId="95" priority="98"/>
  </conditionalFormatting>
  <conditionalFormatting sqref="K310">
    <cfRule type="duplicateValues" dxfId="94" priority="97"/>
  </conditionalFormatting>
  <conditionalFormatting sqref="K311">
    <cfRule type="duplicateValues" dxfId="93" priority="96"/>
  </conditionalFormatting>
  <conditionalFormatting sqref="K312">
    <cfRule type="duplicateValues" dxfId="92" priority="95"/>
  </conditionalFormatting>
  <conditionalFormatting sqref="K313">
    <cfRule type="duplicateValues" dxfId="91" priority="94"/>
  </conditionalFormatting>
  <conditionalFormatting sqref="K314">
    <cfRule type="duplicateValues" dxfId="90" priority="93"/>
  </conditionalFormatting>
  <conditionalFormatting sqref="K315">
    <cfRule type="duplicateValues" dxfId="89" priority="92"/>
  </conditionalFormatting>
  <conditionalFormatting sqref="K317">
    <cfRule type="duplicateValues" dxfId="88" priority="91"/>
  </conditionalFormatting>
  <conditionalFormatting sqref="K319">
    <cfRule type="duplicateValues" dxfId="87" priority="90"/>
  </conditionalFormatting>
  <conditionalFormatting sqref="K321">
    <cfRule type="duplicateValues" dxfId="86" priority="89"/>
  </conditionalFormatting>
  <conditionalFormatting sqref="K323">
    <cfRule type="duplicateValues" dxfId="85" priority="88"/>
  </conditionalFormatting>
  <conditionalFormatting sqref="K324">
    <cfRule type="duplicateValues" dxfId="84" priority="87"/>
  </conditionalFormatting>
  <conditionalFormatting sqref="K325">
    <cfRule type="duplicateValues" dxfId="83" priority="86"/>
  </conditionalFormatting>
  <conditionalFormatting sqref="K327">
    <cfRule type="duplicateValues" dxfId="82" priority="85"/>
  </conditionalFormatting>
  <conditionalFormatting sqref="K328">
    <cfRule type="duplicateValues" dxfId="81" priority="84"/>
  </conditionalFormatting>
  <conditionalFormatting sqref="K330">
    <cfRule type="duplicateValues" dxfId="80" priority="83"/>
  </conditionalFormatting>
  <conditionalFormatting sqref="K332">
    <cfRule type="duplicateValues" dxfId="79" priority="82"/>
  </conditionalFormatting>
  <conditionalFormatting sqref="K334">
    <cfRule type="duplicateValues" dxfId="78" priority="81"/>
  </conditionalFormatting>
  <conditionalFormatting sqref="K336">
    <cfRule type="duplicateValues" dxfId="77" priority="80"/>
  </conditionalFormatting>
  <conditionalFormatting sqref="K337">
    <cfRule type="duplicateValues" dxfId="76" priority="79"/>
  </conditionalFormatting>
  <conditionalFormatting sqref="K338">
    <cfRule type="duplicateValues" dxfId="75" priority="78"/>
  </conditionalFormatting>
  <conditionalFormatting sqref="K340">
    <cfRule type="duplicateValues" dxfId="74" priority="77"/>
  </conditionalFormatting>
  <conditionalFormatting sqref="K341">
    <cfRule type="duplicateValues" dxfId="73" priority="76"/>
  </conditionalFormatting>
  <conditionalFormatting sqref="K342">
    <cfRule type="duplicateValues" dxfId="72" priority="75"/>
  </conditionalFormatting>
  <conditionalFormatting sqref="K343">
    <cfRule type="duplicateValues" dxfId="71" priority="74"/>
  </conditionalFormatting>
  <conditionalFormatting sqref="K344">
    <cfRule type="duplicateValues" dxfId="70" priority="73"/>
  </conditionalFormatting>
  <conditionalFormatting sqref="K345">
    <cfRule type="duplicateValues" dxfId="69" priority="72"/>
  </conditionalFormatting>
  <conditionalFormatting sqref="K346">
    <cfRule type="duplicateValues" dxfId="68" priority="71"/>
  </conditionalFormatting>
  <conditionalFormatting sqref="K347">
    <cfRule type="duplicateValues" dxfId="67" priority="70"/>
  </conditionalFormatting>
  <conditionalFormatting sqref="K348">
    <cfRule type="duplicateValues" dxfId="66" priority="69"/>
  </conditionalFormatting>
  <conditionalFormatting sqref="K349">
    <cfRule type="duplicateValues" dxfId="65" priority="68"/>
  </conditionalFormatting>
  <conditionalFormatting sqref="K350">
    <cfRule type="duplicateValues" dxfId="64" priority="67"/>
  </conditionalFormatting>
  <conditionalFormatting sqref="K352">
    <cfRule type="duplicateValues" dxfId="63" priority="66"/>
  </conditionalFormatting>
  <conditionalFormatting sqref="K354">
    <cfRule type="duplicateValues" dxfId="62" priority="65"/>
  </conditionalFormatting>
  <conditionalFormatting sqref="K356">
    <cfRule type="duplicateValues" dxfId="61" priority="64"/>
  </conditionalFormatting>
  <conditionalFormatting sqref="K358">
    <cfRule type="duplicateValues" dxfId="60" priority="63"/>
  </conditionalFormatting>
  <conditionalFormatting sqref="K359">
    <cfRule type="duplicateValues" dxfId="59" priority="62"/>
  </conditionalFormatting>
  <conditionalFormatting sqref="K360">
    <cfRule type="duplicateValues" dxfId="58" priority="61"/>
  </conditionalFormatting>
  <conditionalFormatting sqref="K362">
    <cfRule type="duplicateValues" dxfId="57" priority="60"/>
  </conditionalFormatting>
  <conditionalFormatting sqref="K363">
    <cfRule type="duplicateValues" dxfId="56" priority="59"/>
  </conditionalFormatting>
  <conditionalFormatting sqref="K365">
    <cfRule type="duplicateValues" dxfId="55" priority="58"/>
  </conditionalFormatting>
  <conditionalFormatting sqref="K367">
    <cfRule type="duplicateValues" dxfId="54" priority="57"/>
  </conditionalFormatting>
  <conditionalFormatting sqref="K369">
    <cfRule type="duplicateValues" dxfId="53" priority="56"/>
  </conditionalFormatting>
  <conditionalFormatting sqref="K371">
    <cfRule type="duplicateValues" dxfId="52" priority="55"/>
  </conditionalFormatting>
  <conditionalFormatting sqref="K372">
    <cfRule type="duplicateValues" dxfId="51" priority="54"/>
  </conditionalFormatting>
  <conditionalFormatting sqref="K374">
    <cfRule type="duplicateValues" dxfId="50" priority="53"/>
  </conditionalFormatting>
  <conditionalFormatting sqref="K375">
    <cfRule type="duplicateValues" dxfId="49" priority="52"/>
  </conditionalFormatting>
  <conditionalFormatting sqref="K376">
    <cfRule type="duplicateValues" dxfId="48" priority="50"/>
  </conditionalFormatting>
  <conditionalFormatting sqref="K377">
    <cfRule type="duplicateValues" dxfId="47" priority="49"/>
  </conditionalFormatting>
  <conditionalFormatting sqref="K378">
    <cfRule type="duplicateValues" dxfId="46" priority="48"/>
  </conditionalFormatting>
  <conditionalFormatting sqref="K379">
    <cfRule type="duplicateValues" dxfId="45" priority="46"/>
  </conditionalFormatting>
  <conditionalFormatting sqref="K380">
    <cfRule type="duplicateValues" dxfId="44" priority="45"/>
  </conditionalFormatting>
  <conditionalFormatting sqref="K381">
    <cfRule type="duplicateValues" dxfId="43" priority="44"/>
  </conditionalFormatting>
  <conditionalFormatting sqref="K382">
    <cfRule type="duplicateValues" dxfId="42" priority="42"/>
  </conditionalFormatting>
  <conditionalFormatting sqref="K383">
    <cfRule type="duplicateValues" dxfId="41" priority="41"/>
  </conditionalFormatting>
  <conditionalFormatting sqref="K384">
    <cfRule type="duplicateValues" dxfId="40" priority="40"/>
  </conditionalFormatting>
  <conditionalFormatting sqref="K386">
    <cfRule type="duplicateValues" dxfId="39" priority="39"/>
  </conditionalFormatting>
  <conditionalFormatting sqref="K388">
    <cfRule type="duplicateValues" dxfId="38" priority="38"/>
  </conditionalFormatting>
  <conditionalFormatting sqref="K390">
    <cfRule type="duplicateValues" dxfId="37" priority="37"/>
  </conditionalFormatting>
  <conditionalFormatting sqref="K392">
    <cfRule type="duplicateValues" dxfId="36" priority="36"/>
  </conditionalFormatting>
  <conditionalFormatting sqref="K393">
    <cfRule type="duplicateValues" dxfId="35" priority="35"/>
  </conditionalFormatting>
  <conditionalFormatting sqref="K394">
    <cfRule type="duplicateValues" dxfId="34" priority="34"/>
  </conditionalFormatting>
  <conditionalFormatting sqref="K268">
    <cfRule type="duplicateValues" dxfId="33" priority="33"/>
  </conditionalFormatting>
  <conditionalFormatting sqref="K373">
    <cfRule type="duplicateValues" dxfId="32" priority="132"/>
  </conditionalFormatting>
  <conditionalFormatting sqref="K270">
    <cfRule type="duplicateValues" dxfId="31" priority="32"/>
  </conditionalFormatting>
  <conditionalFormatting sqref="K272">
    <cfRule type="duplicateValues" dxfId="30" priority="31"/>
  </conditionalFormatting>
  <conditionalFormatting sqref="K274">
    <cfRule type="duplicateValues" dxfId="29" priority="30"/>
  </conditionalFormatting>
  <conditionalFormatting sqref="K278">
    <cfRule type="duplicateValues" dxfId="28" priority="29"/>
  </conditionalFormatting>
  <conditionalFormatting sqref="K289">
    <cfRule type="duplicateValues" dxfId="27" priority="28"/>
  </conditionalFormatting>
  <conditionalFormatting sqref="K291">
    <cfRule type="duplicateValues" dxfId="26" priority="27"/>
  </conditionalFormatting>
  <conditionalFormatting sqref="K293">
    <cfRule type="duplicateValues" dxfId="25" priority="26"/>
  </conditionalFormatting>
  <conditionalFormatting sqref="K295">
    <cfRule type="duplicateValues" dxfId="24" priority="25"/>
  </conditionalFormatting>
  <conditionalFormatting sqref="K299">
    <cfRule type="duplicateValues" dxfId="23" priority="24"/>
  </conditionalFormatting>
  <conditionalFormatting sqref="K316">
    <cfRule type="duplicateValues" dxfId="22" priority="23"/>
  </conditionalFormatting>
  <conditionalFormatting sqref="K318">
    <cfRule type="duplicateValues" dxfId="21" priority="22"/>
  </conditionalFormatting>
  <conditionalFormatting sqref="K320">
    <cfRule type="duplicateValues" dxfId="20" priority="21"/>
  </conditionalFormatting>
  <conditionalFormatting sqref="K322">
    <cfRule type="duplicateValues" dxfId="19" priority="20"/>
  </conditionalFormatting>
  <conditionalFormatting sqref="K326">
    <cfRule type="duplicateValues" dxfId="18" priority="19"/>
  </conditionalFormatting>
  <conditionalFormatting sqref="K329">
    <cfRule type="duplicateValues" dxfId="17" priority="18"/>
  </conditionalFormatting>
  <conditionalFormatting sqref="K331">
    <cfRule type="duplicateValues" dxfId="16" priority="17"/>
  </conditionalFormatting>
  <conditionalFormatting sqref="K333">
    <cfRule type="duplicateValues" dxfId="15" priority="16"/>
  </conditionalFormatting>
  <conditionalFormatting sqref="K335">
    <cfRule type="duplicateValues" dxfId="14" priority="15"/>
  </conditionalFormatting>
  <conditionalFormatting sqref="K339">
    <cfRule type="duplicateValues" dxfId="13" priority="14"/>
  </conditionalFormatting>
  <conditionalFormatting sqref="K351">
    <cfRule type="duplicateValues" dxfId="12" priority="13"/>
  </conditionalFormatting>
  <conditionalFormatting sqref="K353">
    <cfRule type="duplicateValues" dxfId="11" priority="12"/>
  </conditionalFormatting>
  <conditionalFormatting sqref="K355">
    <cfRule type="duplicateValues" dxfId="10" priority="11"/>
  </conditionalFormatting>
  <conditionalFormatting sqref="K357">
    <cfRule type="duplicateValues" dxfId="9" priority="10"/>
  </conditionalFormatting>
  <conditionalFormatting sqref="K361">
    <cfRule type="duplicateValues" dxfId="8" priority="9"/>
  </conditionalFormatting>
  <conditionalFormatting sqref="K364">
    <cfRule type="duplicateValues" dxfId="7" priority="8"/>
  </conditionalFormatting>
  <conditionalFormatting sqref="K366">
    <cfRule type="duplicateValues" dxfId="6" priority="7"/>
  </conditionalFormatting>
  <conditionalFormatting sqref="K368">
    <cfRule type="duplicateValues" dxfId="5" priority="6"/>
  </conditionalFormatting>
  <conditionalFormatting sqref="K370">
    <cfRule type="duplicateValues" dxfId="4" priority="5"/>
  </conditionalFormatting>
  <conditionalFormatting sqref="K385">
    <cfRule type="duplicateValues" dxfId="3" priority="4"/>
  </conditionalFormatting>
  <conditionalFormatting sqref="K387">
    <cfRule type="duplicateValues" dxfId="2" priority="3"/>
  </conditionalFormatting>
  <conditionalFormatting sqref="K389">
    <cfRule type="duplicateValues" dxfId="1" priority="2"/>
  </conditionalFormatting>
  <conditionalFormatting sqref="K391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94"/>
  <sheetViews>
    <sheetView showGridLines="0" tabSelected="1" workbookViewId="0">
      <pane xSplit="5" ySplit="1" topLeftCell="F2" activePane="bottomRight" state="frozen"/>
      <selection pane="topRight"/>
      <selection pane="bottomLeft"/>
      <selection pane="bottomRight" activeCell="F20" sqref="F20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:A65" si="0">B2&amp;"_"&amp;C2</f>
        <v>49015001_49015001</v>
      </c>
      <c r="B2" s="47">
        <v>49015001</v>
      </c>
      <c r="C2" s="121">
        <v>49015001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君の腕前を試してやろう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2" s="121">
        <v>49015001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si="0"/>
        <v>49015001_49015002</v>
      </c>
      <c r="B3" s="47">
        <v>49015001</v>
      </c>
      <c r="C3" s="121">
        <v>49015002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私を越えていこうというのかね？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面白い！かかって来たまえ鋼の錬金術師！</v>
      </c>
      <c r="F3" s="121">
        <v>49015002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0"/>
        <v>49015001_49015002</v>
      </c>
      <c r="B4" s="47">
        <v>49015001</v>
      </c>
      <c r="C4" s="121">
        <v>49015002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私を越えていこうというのかね？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面白い！かかって来たまえ鋼の錬金術師！</v>
      </c>
      <c r="F4" s="121">
        <v>49015003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0"/>
        <v>49015001_49015003</v>
      </c>
      <c r="B5" s="47">
        <v>49015001</v>
      </c>
      <c r="C5" s="121">
        <v>49015003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君一人で行くのはやめたまえ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それでもというなら押し退けて行きたまえ_x000D_【全ユニットのスキルターンを4ターン短縮】</v>
      </c>
      <c r="F5" s="121">
        <v>49015004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0"/>
        <v>49015001_49015003</v>
      </c>
      <c r="B6" s="47">
        <v>49015001</v>
      </c>
      <c r="C6" s="121">
        <v>49015003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君一人で行くのはやめたまえ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それでもというなら押し退けて行きたまえ_x000D_【全ユニットのスキルターンを4ターン短縮】</v>
      </c>
      <c r="F6" s="121">
        <v>49015005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0"/>
        <v>49015001_49015004</v>
      </c>
      <c r="B7" s="47">
        <v>49015001</v>
      </c>
      <c r="C7" s="121">
        <v>49015004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ロイ・マスタング大佐何をしている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私に反抗するというのか？</v>
      </c>
      <c r="F7" s="121">
        <v>49015006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0"/>
        <v>49015001_49015004</v>
      </c>
      <c r="B8" s="47">
        <v>49015001</v>
      </c>
      <c r="C8" s="121">
        <v>49015004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ロイ・マスタング大佐何をしている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私に反抗するというのか？</v>
      </c>
      <c r="F8" s="121">
        <v>49015007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0"/>
        <v>49015001_49015005</v>
      </c>
      <c r="B9" s="47">
        <v>49015001</v>
      </c>
      <c r="C9" s="121">
        <v>49015005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マスタングの犬が私に挑むというのか？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9" s="121">
        <v>49015008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0"/>
        <v>49015001_49015005</v>
      </c>
      <c r="B10" s="47">
        <v>49015001</v>
      </c>
      <c r="C10" s="121">
        <v>49015005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マスタングの犬が私に挑むというのか？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0" s="121">
        <v>49015009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0"/>
        <v>49015001_49015006</v>
      </c>
      <c r="B11" s="47">
        <v>49015001</v>
      </c>
      <c r="C11" s="121">
        <v>49015006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人間に愛着を持ったか嫉妬よ！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1" s="121">
        <v>49015010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1468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0"/>
        <v>49015001_49015007</v>
      </c>
      <c r="B12" s="47">
        <v>49015001</v>
      </c>
      <c r="C12" s="121">
        <v>49015007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私を倒そうというのかね？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それこそ傲慢というものだ！</v>
      </c>
      <c r="F12" s="121">
        <v>49015011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1470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0"/>
        <v>49015001_49015008</v>
      </c>
      <c r="B13" s="47">
        <v>49015001</v>
      </c>
      <c r="C13" s="121">
        <v>49015008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スカーよ、イシュヴァールの恨みか？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『あの戦、忘れはせんぞ！キング・ブラッドレイ！』</v>
      </c>
      <c r="F13" s="121">
        <v>49015012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1466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0"/>
        <v>49015001_49015008</v>
      </c>
      <c r="B14" s="47">
        <v>49015001</v>
      </c>
      <c r="C14" s="121">
        <v>49015008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スカーよ、イシュヴァールの恨みか？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『あの戦、忘れはせんぞ！キング・ブラッドレイ！』</v>
      </c>
      <c r="F14" s="121">
        <v>49015013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1467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0"/>
        <v>49015001_49015009</v>
      </c>
      <c r="B15" s="47">
        <v>49015001</v>
      </c>
      <c r="C15" s="121">
        <v>49015009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ブラッドレイ式剣術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5" s="121">
        <v>49015014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" s="47"/>
      <c r="Q15" s="47"/>
      <c r="R15" s="47"/>
    </row>
    <row r="16" spans="1:18" ht="21" customHeight="1" x14ac:dyDescent="0.15">
      <c r="A16" s="39" t="str">
        <f t="shared" si="0"/>
        <v>49015001_49015010</v>
      </c>
      <c r="B16" s="47">
        <v>49015001</v>
      </c>
      <c r="C16" s="121">
        <v>49015010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こっちの得物の方がしっくりくるわ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6" s="121">
        <v>49015015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thickBot="1" x14ac:dyDescent="0.2">
      <c r="A17" s="39" t="str">
        <f t="shared" si="0"/>
        <v>49015001_49015011</v>
      </c>
      <c r="B17" s="111">
        <v>49015001</v>
      </c>
      <c r="C17" s="122">
        <v>49015011</v>
      </c>
      <c r="D17" s="1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歳はとりたくないものだ</v>
      </c>
      <c r="E17" s="1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7" s="122">
        <v>49015016</v>
      </c>
      <c r="G17" s="114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114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114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114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114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114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114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7" s="114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114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111"/>
      <c r="Q17" s="111"/>
      <c r="R17" s="111"/>
    </row>
    <row r="18" spans="1:18" ht="21" customHeight="1" x14ac:dyDescent="0.15">
      <c r="A18" s="39" t="str">
        <f t="shared" si="0"/>
        <v>49015002_49015012</v>
      </c>
      <c r="B18" s="106">
        <v>49015002</v>
      </c>
      <c r="C18" s="123">
        <v>49015012</v>
      </c>
      <c r="D18" s="1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最強の目を持って迎えてやろう</v>
      </c>
      <c r="E18" s="1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8" s="123">
        <v>49015017</v>
      </c>
      <c r="G18" s="109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109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109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109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109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109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109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109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109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106"/>
      <c r="Q18" s="106"/>
      <c r="R18" s="106"/>
    </row>
    <row r="19" spans="1:18" ht="21" customHeight="1" x14ac:dyDescent="0.15">
      <c r="A19" s="39" t="str">
        <f t="shared" si="0"/>
        <v>49015002_49015013</v>
      </c>
      <c r="B19" s="106">
        <v>49015002</v>
      </c>
      <c r="C19" s="121">
        <v>49015013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ブラッドレイ式剣術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9" s="121">
        <v>49015018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9" s="47"/>
      <c r="Q19" s="47"/>
      <c r="R19" s="47"/>
    </row>
    <row r="20" spans="1:18" ht="21" customHeight="1" x14ac:dyDescent="0.15">
      <c r="A20" s="39" t="str">
        <f t="shared" si="0"/>
        <v>49015002_49015014</v>
      </c>
      <c r="B20" s="106">
        <v>49015002</v>
      </c>
      <c r="C20" s="121">
        <v>49015014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こっちの得物の方がしっくりくるわ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0" s="121">
        <v>49015019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0"/>
        <v>49015002_49015015</v>
      </c>
      <c r="B21" s="106">
        <v>49015002</v>
      </c>
      <c r="C21" s="121">
        <v>49015015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昔のようにいかんな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1" s="121">
        <v>49015020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thickBot="1" x14ac:dyDescent="0.2">
      <c r="A22" s="39" t="str">
        <f t="shared" si="0"/>
        <v>49015002_49015016</v>
      </c>
      <c r="B22" s="111">
        <v>49015002</v>
      </c>
      <c r="C22" s="122">
        <v>49015016</v>
      </c>
      <c r="D22" s="1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ふむ潮時か</v>
      </c>
      <c r="E22" s="1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私はあちらに戻ろう</v>
      </c>
      <c r="F22" s="122">
        <v>49015021</v>
      </c>
      <c r="G22" s="114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114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2" s="114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114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22" s="114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114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114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114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114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111"/>
      <c r="Q22" s="111"/>
      <c r="R22" s="111"/>
    </row>
    <row r="23" spans="1:18" ht="21" customHeight="1" x14ac:dyDescent="0.15">
      <c r="A23" s="39" t="str">
        <f t="shared" si="0"/>
        <v>49015003_49015017</v>
      </c>
      <c r="B23" s="106">
        <v>49015003</v>
      </c>
      <c r="C23" s="124">
        <v>49015017</v>
      </c>
      <c r="D23" s="1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初めまして、こちらの世界の方</v>
      </c>
      <c r="E23" s="1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特定エリアをお邪魔パネルと緑パネルに変換</v>
      </c>
      <c r="F23" s="124">
        <v>49015022</v>
      </c>
      <c r="G23" s="109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109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23" s="109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109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109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109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109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109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109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106"/>
      <c r="Q23" s="106"/>
      <c r="R23" s="106"/>
    </row>
    <row r="24" spans="1:18" ht="21" customHeight="1" x14ac:dyDescent="0.15">
      <c r="A24" s="39" t="str">
        <f t="shared" si="0"/>
        <v>49015003_49015018</v>
      </c>
      <c r="B24" s="106">
        <v>49015003</v>
      </c>
      <c r="C24" s="124">
        <v>49015018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やあ鋼のおチビさん！_x000D_こっちの世界に来てたのか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『誰が豆粒どチビだあ！』</v>
      </c>
      <c r="F24" s="124">
        <v>49015023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0"/>
        <v>49015003_49015018</v>
      </c>
      <c r="B25" s="106">
        <v>49015003</v>
      </c>
      <c r="C25" s="124">
        <v>49015018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やあ鋼のおチビさん！_x000D_こっちの世界に来てたのか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『誰が豆粒どチビだあ！』</v>
      </c>
      <c r="F25" s="124">
        <v>49015024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0"/>
        <v>49015003_49015019</v>
      </c>
      <c r="B26" s="106">
        <v>49015003</v>
      </c>
      <c r="C26" s="124">
        <v>49015019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鋼のおチビさんとは一緒ではないのか？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『兄さんとは別行動だよ』</v>
      </c>
      <c r="F26" s="124">
        <v>49015025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0"/>
        <v>49015003_49015019</v>
      </c>
      <c r="B27" s="106">
        <v>49015003</v>
      </c>
      <c r="C27" s="124">
        <v>49015019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鋼のおチビさんとは一緒ではないのか？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『兄さんとは別行動だよ』</v>
      </c>
      <c r="F27" s="124">
        <v>49015026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0"/>
        <v>49015003_49015020</v>
      </c>
      <c r="B28" s="106">
        <v>49015003</v>
      </c>
      <c r="C28" s="124">
        <v>49015020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こっちに来てもお得意の炎で_x000D_燃やしまくってるのかい？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『貴様も燃やしてやろう！』_x000D_【特定ユニットの攻撃力大UP】</v>
      </c>
      <c r="F28" s="124">
        <v>49015027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0"/>
        <v>49015003_49015020</v>
      </c>
      <c r="B29" s="106">
        <v>49015003</v>
      </c>
      <c r="C29" s="124">
        <v>49015020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こっちに来てもお得意の炎で_x000D_燃やしまくってるのかい？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『貴様も燃やしてやろう！』_x000D_【特定ユニットの攻撃力大UP】</v>
      </c>
      <c r="F29" s="124">
        <v>49015028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0"/>
        <v>49015003_49015021</v>
      </c>
      <c r="B30" s="106">
        <v>49015003</v>
      </c>
      <c r="C30" s="124">
        <v>49015021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あんたもいるなら大佐もいるな！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『大佐に会わすわけにはいかないわ』</v>
      </c>
      <c r="F30" s="124">
        <v>49015029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0"/>
        <v>49015003_49015021</v>
      </c>
      <c r="B31" s="106">
        <v>49015003</v>
      </c>
      <c r="C31" s="124">
        <v>49015021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あんたもいるなら大佐もいるな！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『大佐に会わすわけにはいかないわ』</v>
      </c>
      <c r="F31" s="124">
        <v>49015030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0"/>
        <v>49015003_49015022</v>
      </c>
      <c r="B32" s="106">
        <v>49015003</v>
      </c>
      <c r="C32" s="124">
        <v>49015022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おい、ラースなんでそっち側にいるんだ？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『貴様には関係ない話だ』</v>
      </c>
      <c r="F32" s="124">
        <v>49015031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1469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0"/>
        <v>49015003_49015023</v>
      </c>
      <c r="B33" s="106">
        <v>49015003</v>
      </c>
      <c r="C33" s="124">
        <v>49015023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お前も巻き込まれていたのか！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『早くあちらの世界に戻りますよ』</v>
      </c>
      <c r="F33" s="124">
        <v>49015032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1470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0"/>
        <v>49015003_49015024</v>
      </c>
      <c r="B34" s="106">
        <v>49015003</v>
      </c>
      <c r="C34" s="124">
        <v>49015024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大事な人柱を殺されるわけにはいかねえ！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『邪魔をするなホムンクルス！』</v>
      </c>
      <c r="F34" s="124">
        <v>49015033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1466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0"/>
        <v>49015003_49015024</v>
      </c>
      <c r="B35" s="106">
        <v>49015003</v>
      </c>
      <c r="C35" s="124">
        <v>49015024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大事な人柱を殺されるわけにはいかねえ！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『邪魔をするなホムンクルス！』</v>
      </c>
      <c r="F35" s="124">
        <v>49015034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1467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0"/>
        <v>49015003_49015025</v>
      </c>
      <c r="B36" s="106">
        <v>49015003</v>
      </c>
      <c r="C36" s="124">
        <v>49015025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戦るか？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ランダムで緑のダメージパネルに最大3個変換</v>
      </c>
      <c r="F36" s="124">
        <v>49015035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6" s="47"/>
      <c r="Q36" s="47"/>
      <c r="R36" s="47"/>
    </row>
    <row r="37" spans="1:18" ht="21" customHeight="1" x14ac:dyDescent="0.15">
      <c r="A37" s="39" t="str">
        <f t="shared" si="0"/>
        <v>49015003_49015026</v>
      </c>
      <c r="B37" s="106">
        <v>49015003</v>
      </c>
      <c r="C37" s="124">
        <v>49015026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踏みつぶすぞ！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単体攻撃</v>
      </c>
      <c r="F37" s="124">
        <v>49015036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0"/>
        <v>49015003_49015027</v>
      </c>
      <c r="B38" s="106">
        <v>49015003</v>
      </c>
      <c r="C38" s="124">
        <v>49015027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クソ人間が！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特定エリアを緑の時限式ダメージパネルに変換</v>
      </c>
      <c r="F38" s="124">
        <v>49015037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thickBot="1" x14ac:dyDescent="0.2">
      <c r="A39" s="39" t="str">
        <f t="shared" si="0"/>
        <v>49015003_49015028</v>
      </c>
      <c r="B39" s="111">
        <v>49015003</v>
      </c>
      <c r="C39" s="125">
        <v>49015028</v>
      </c>
      <c r="D39" s="1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くっそラースの野郎！</v>
      </c>
      <c r="E39" s="1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特定エリアをお邪魔パネルに変換</v>
      </c>
      <c r="F39" s="125">
        <v>49015038</v>
      </c>
      <c r="G39" s="114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114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9" s="114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114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114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114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114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9" s="114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114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111"/>
      <c r="Q39" s="111"/>
      <c r="R39" s="111"/>
    </row>
    <row r="40" spans="1:18" ht="21" customHeight="1" x14ac:dyDescent="0.15">
      <c r="A40" s="39" t="str">
        <f t="shared" si="0"/>
        <v>49015004_49015029</v>
      </c>
      <c r="B40" s="106">
        <v>49015004</v>
      </c>
      <c r="C40" s="124">
        <v>49015029</v>
      </c>
      <c r="D40" s="144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紛れ込んでやってやる！</v>
      </c>
      <c r="E40" s="144" t="str">
        <f ca="1">VLOOKUP($C40,OFFSET(enemy_skills!$A$1,0,0,COUNTA(enemy_skills!$A:$A),MATCH(E$1,enemy_skills!$1:$1,0)-MATCH("enemy_skill_id",enemy_skills!$1:$1,0)+1),MATCH(E$1,enemy_skills!$1:$1,0)-MATCH("enemy_skill_id",enemy_skills!$1:$1,0)+1,FALSE)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40" s="124">
        <v>49015039</v>
      </c>
      <c r="G40" s="109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109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0" s="109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109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109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109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109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109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109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106"/>
      <c r="Q40" s="106"/>
      <c r="R40" s="106"/>
    </row>
    <row r="41" spans="1:18" ht="21" customHeight="1" x14ac:dyDescent="0.15">
      <c r="A41" s="39" t="str">
        <f t="shared" si="0"/>
        <v>49015004_49015030</v>
      </c>
      <c r="B41" s="106">
        <v>49015004</v>
      </c>
      <c r="C41" s="124">
        <v>49015030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ツインターゲット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41" s="124">
        <v>49015040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1" s="47"/>
      <c r="Q41" s="47"/>
      <c r="R41" s="47"/>
    </row>
    <row r="42" spans="1:18" ht="21" customHeight="1" x14ac:dyDescent="0.15">
      <c r="A42" s="39" t="str">
        <f t="shared" si="0"/>
        <v>49015004_49015031</v>
      </c>
      <c r="B42" s="106">
        <v>49015004</v>
      </c>
      <c r="C42" s="124">
        <v>49015031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ゴミカスが調子にのるなよ！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単体攻撃+3ターン攻撃力UP</v>
      </c>
      <c r="F42" s="124">
        <v>49015041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0"/>
        <v>49015004_49015032</v>
      </c>
      <c r="B43" s="106">
        <v>49015004</v>
      </c>
      <c r="C43" s="124">
        <v>49015032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ストライクバック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1ターン行動頻度UP+_x000D_2ターン全ユニットの攻撃をカウンター</v>
      </c>
      <c r="F43" s="124">
        <v>49015042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thickBot="1" x14ac:dyDescent="0.2">
      <c r="A44" s="39" t="str">
        <f t="shared" si="0"/>
        <v>49015004_49015033</v>
      </c>
      <c r="B44" s="111">
        <v>49015004</v>
      </c>
      <c r="C44" s="125">
        <v>49015033</v>
      </c>
      <c r="D44" s="1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糞が…</v>
      </c>
      <c r="E44" s="1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変身が解けていく</v>
      </c>
      <c r="F44" s="125">
        <v>49015043</v>
      </c>
      <c r="G44" s="114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114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4" s="114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114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44" s="114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114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114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114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114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111"/>
      <c r="Q44" s="111"/>
      <c r="R44" s="111"/>
    </row>
    <row r="45" spans="1:18" ht="21" customHeight="1" x14ac:dyDescent="0.15">
      <c r="A45" s="39" t="str">
        <f t="shared" si="0"/>
        <v>49015005_49015034</v>
      </c>
      <c r="B45" s="106">
        <v>49015005</v>
      </c>
      <c r="C45" s="124">
        <v>49015034</v>
      </c>
      <c r="D45" s="144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もうやりあう気なんかねえよ</v>
      </c>
      <c r="E45" s="144" t="str">
        <f ca="1">VLOOKUP($C45,OFFSET(enemy_skills!$A$1,0,0,COUNTA(enemy_skills!$A:$A),MATCH(E$1,enemy_skills!$1:$1,0)-MATCH("enemy_skill_id",enemy_skills!$1:$1,0)+1),MATCH(E$1,enemy_skills!$1:$1,0)-MATCH("enemy_skill_id",enemy_skills!$1:$1,0)+1,FALSE)</f>
        <v>特定エリアをハートパネルに変換</v>
      </c>
      <c r="F45" s="124">
        <v>49015044</v>
      </c>
      <c r="G45" s="109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109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109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109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109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109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109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109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109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106"/>
      <c r="Q45" s="106"/>
      <c r="R45" s="106"/>
    </row>
    <row r="46" spans="1:18" ht="21" customHeight="1" x14ac:dyDescent="0.15">
      <c r="A46" s="39" t="str">
        <f t="shared" si="0"/>
        <v>49015005_49015035</v>
      </c>
      <c r="B46" s="106">
        <v>49015005</v>
      </c>
      <c r="C46" s="124">
        <v>49015035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ったく！しつこい！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6" s="124">
        <v>49015045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6" s="47"/>
      <c r="Q46" s="47"/>
      <c r="R46" s="47"/>
    </row>
    <row r="47" spans="1:18" ht="21" customHeight="1" x14ac:dyDescent="0.15">
      <c r="A47" s="39" t="str">
        <f t="shared" si="0"/>
        <v>49015005_49015036</v>
      </c>
      <c r="B47" s="106">
        <v>49015005</v>
      </c>
      <c r="C47" s="124">
        <v>49015036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嫉妬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単体攻撃+_x000D_ランダムで緑の時限式ダメージパネルに最大3個変換</v>
      </c>
      <c r="F47" s="124">
        <v>49015046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7" s="47"/>
      <c r="Q47" s="47"/>
      <c r="R47" s="47"/>
    </row>
    <row r="48" spans="1:18" ht="21" customHeight="1" x14ac:dyDescent="0.15">
      <c r="A48" s="39" t="str">
        <f t="shared" si="0"/>
        <v>49015005_49015037</v>
      </c>
      <c r="B48" s="106">
        <v>49015005</v>
      </c>
      <c r="C48" s="124">
        <v>49015037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人間風情が！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単体攻撃+_x000D_特定エリアをお邪魔パネルに変換</v>
      </c>
      <c r="F48" s="124">
        <v>49015047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0"/>
        <v>49015005_49015038</v>
      </c>
      <c r="B49" s="106">
        <v>49015005</v>
      </c>
      <c r="C49" s="124">
        <v>49015038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クソが！クソ虫が！！_x000D_調子にのるんじゃねえ！！！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特定エリアをお邪魔パネルと_x000D_緑の時限式ダメージパネルに変換</v>
      </c>
      <c r="F49" s="124">
        <v>49015048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0"/>
        <v>49015005_49015039</v>
      </c>
      <c r="B50" s="106">
        <v>49015005</v>
      </c>
      <c r="C50" s="124">
        <v>49015039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下等生物に…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やられるとは…</v>
      </c>
      <c r="F50" s="124">
        <v>49015049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0"/>
        <v>49015005_49015040</v>
      </c>
      <c r="B51" s="106">
        <v>49015005</v>
      </c>
      <c r="C51" s="124">
        <v>49015040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俺が…やられるとは…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エドワード…エル…リック…</v>
      </c>
      <c r="F51" s="124">
        <v>49015050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0"/>
        <v>49015005_49015040</v>
      </c>
      <c r="B52" s="106">
        <v>49015005</v>
      </c>
      <c r="C52" s="124">
        <v>49015040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俺が…やられるとは…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エドワード…エル…リック…</v>
      </c>
      <c r="F52" s="124">
        <v>49015051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0"/>
        <v>49015005_49015041</v>
      </c>
      <c r="B53" s="106">
        <v>49015005</v>
      </c>
      <c r="C53" s="124">
        <v>49015041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殺さないようにしたのが…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失敗だったか…</v>
      </c>
      <c r="F53" s="124">
        <v>49015052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0"/>
        <v>49015005_49015041</v>
      </c>
      <c r="B54" s="106">
        <v>49015005</v>
      </c>
      <c r="C54" s="124">
        <v>49015041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殺さないようにしたのが…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失敗だったか…</v>
      </c>
      <c r="F54" s="124">
        <v>49015053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0"/>
        <v>49015005_49015042</v>
      </c>
      <c r="B55" s="106">
        <v>49015005</v>
      </c>
      <c r="C55" s="124">
        <v>49015042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これが焔の錬金術師の炎…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散々燃やしやがって…</v>
      </c>
      <c r="F55" s="124">
        <v>49015054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0"/>
        <v>49015005_49015042</v>
      </c>
      <c r="B56" s="106">
        <v>49015005</v>
      </c>
      <c r="C56" s="124">
        <v>49015042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これが焔の錬金術師の炎…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散々燃やしやがって…</v>
      </c>
      <c r="F56" s="124">
        <v>49015055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0"/>
        <v>49015005_49015043</v>
      </c>
      <c r="B57" s="106">
        <v>49015005</v>
      </c>
      <c r="C57" s="124">
        <v>49015043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クソが…ストックが切れちまった…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57" s="124">
        <v>49015056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0"/>
        <v>49015005_49015043</v>
      </c>
      <c r="B58" s="106">
        <v>49015005</v>
      </c>
      <c r="C58" s="124">
        <v>49015043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クソが…ストックが切れちまった…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58" s="124">
        <v>49015057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0"/>
        <v>49015005_49015044</v>
      </c>
      <c r="B59" s="106">
        <v>49015005</v>
      </c>
      <c r="C59" s="124">
        <v>49015044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これだから…人間は…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59" s="124">
        <v>49015058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1469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0"/>
        <v>49015005_49015045</v>
      </c>
      <c r="B60" s="106">
        <v>49015005</v>
      </c>
      <c r="C60" s="124">
        <v>49015045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この…傲慢め…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俺を食らいやがって…</v>
      </c>
      <c r="F60" s="124">
        <v>49015059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1470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0"/>
        <v>49015005_49015046</v>
      </c>
      <c r="B61" s="129">
        <v>49015005</v>
      </c>
      <c r="C61" s="147">
        <v>49015046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くそったれめ…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ばかすか殺しやがって…</v>
      </c>
      <c r="F61" s="124">
        <v>49015060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1466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129"/>
      <c r="Q61" s="129"/>
      <c r="R61" s="129"/>
    </row>
    <row r="62" spans="1:18" ht="21" customHeight="1" thickBot="1" x14ac:dyDescent="0.2">
      <c r="A62" s="39" t="str">
        <f t="shared" si="0"/>
        <v>49015005_49015046</v>
      </c>
      <c r="B62" s="111">
        <v>49015005</v>
      </c>
      <c r="C62" s="125">
        <v>49015046</v>
      </c>
      <c r="D62" s="145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くそったれめ…</v>
      </c>
      <c r="E62" s="145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ばかすか殺しやがって…</v>
      </c>
      <c r="F62" s="125">
        <v>49015061</v>
      </c>
      <c r="G62" s="114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114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62" s="114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114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114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114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114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114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1467</v>
      </c>
      <c r="O62" s="114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111"/>
      <c r="Q62" s="111"/>
      <c r="R62" s="111"/>
    </row>
    <row r="63" spans="1:18" ht="21" customHeight="1" x14ac:dyDescent="0.15">
      <c r="A63" s="39" t="str">
        <f t="shared" si="0"/>
        <v>49015006_49015047</v>
      </c>
      <c r="B63" s="106">
        <v>49015006</v>
      </c>
      <c r="C63" s="126">
        <v>49015047</v>
      </c>
      <c r="D63" s="144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エンヴィーは何をやってるのやら…</v>
      </c>
      <c r="E63" s="144" t="str">
        <f ca="1">VLOOKUP($C63,OFFSET(enemy_skills!$A$1,0,0,COUNTA(enemy_skills!$A:$A),MATCH(E$1,enemy_skills!$1:$1,0)-MATCH("enemy_skill_id",enemy_skills!$1:$1,0)+1),MATCH(E$1,enemy_skills!$1:$1,0)-MATCH("enemy_skill_id",enemy_skills!$1:$1,0)+1,FALSE)</f>
        <v>4ターン暗闇</v>
      </c>
      <c r="F63" s="126">
        <v>49015062</v>
      </c>
      <c r="G63" s="109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109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63" s="109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109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109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109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109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109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109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106"/>
      <c r="Q63" s="106"/>
      <c r="R63" s="106"/>
    </row>
    <row r="64" spans="1:18" ht="21" customHeight="1" x14ac:dyDescent="0.15">
      <c r="A64" s="39" t="str">
        <f t="shared" si="0"/>
        <v>49015006_49015048</v>
      </c>
      <c r="B64" s="106">
        <v>49015006</v>
      </c>
      <c r="C64" s="126">
        <v>49015048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やあ小さい錬金術師さん！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『お前もチビというか！！』_x000D_【4ターン暗闇】</v>
      </c>
      <c r="F64" s="126">
        <v>49015063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0"/>
        <v>49015006_49015048</v>
      </c>
      <c r="B65" s="106">
        <v>49015006</v>
      </c>
      <c r="C65" s="126">
        <v>49015048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やあ小さい錬金術師さん！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『お前もチビというか！！』_x000D_【4ターン暗闇】</v>
      </c>
      <c r="F65" s="126">
        <v>49015064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ref="A66:A126" si="1">B66&amp;"_"&amp;C66</f>
        <v>49015006_49015049</v>
      </c>
      <c r="B66" s="106">
        <v>49015006</v>
      </c>
      <c r="C66" s="126">
        <v>49015049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君たち兄弟は大事な人柱だ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あまりこちらで目立たないように_x000D_【4ターン暗闇】</v>
      </c>
      <c r="F66" s="126">
        <v>49015065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1"/>
        <v>49015006_49015049</v>
      </c>
      <c r="B67" s="106">
        <v>49015006</v>
      </c>
      <c r="C67" s="126">
        <v>49015049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君たち兄弟は大事な人柱だ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あまりこちらで目立たないように_x000D_【4ターン暗闇】</v>
      </c>
      <c r="F67" s="126">
        <v>49015066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1"/>
        <v>49015006_49015050</v>
      </c>
      <c r="B68" s="106">
        <v>49015006</v>
      </c>
      <c r="C68" s="126">
        <v>49015050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貴方も人柱候補ですから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あまり無茶はしないでもらいたい_x000D_【4ターン暗闇】</v>
      </c>
      <c r="F68" s="126">
        <v>49015067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1"/>
        <v>49015006_49015050</v>
      </c>
      <c r="B69" s="106">
        <v>49015006</v>
      </c>
      <c r="C69" s="126">
        <v>49015050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貴方も人柱候補ですから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あまり無茶はしないでもらいたい_x000D_【4ターン暗闇】</v>
      </c>
      <c r="F69" s="126">
        <v>49015068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1"/>
        <v>49015006_49015051</v>
      </c>
      <c r="B70" s="106">
        <v>49015006</v>
      </c>
      <c r="C70" s="126">
        <v>49015051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やあホークアイ中尉貴方もいるのですね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『奇遇ね、こんな所で会いたくなかったわ』_x000D_【4ターン暗闇】</v>
      </c>
      <c r="F70" s="126">
        <v>49015069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1"/>
        <v>49015006_49015051</v>
      </c>
      <c r="B71" s="106">
        <v>49015006</v>
      </c>
      <c r="C71" s="126">
        <v>49015051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やあホークアイ中尉貴方もいるのですね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『奇遇ね、こんな所で会いたくなかったわ』_x000D_【4ターン暗闇】</v>
      </c>
      <c r="F71" s="126">
        <v>49015070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1"/>
        <v>49015006_49015052</v>
      </c>
      <c r="B72" s="106">
        <v>49015006</v>
      </c>
      <c r="C72" s="126">
        <v>49015052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こんな所で何をやっているのですか？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4ターン暗闇</v>
      </c>
      <c r="F72" s="126">
        <v>49015071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1469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1"/>
        <v>49015006_49015053</v>
      </c>
      <c r="B73" s="106">
        <v>49015006</v>
      </c>
      <c r="C73" s="126">
        <v>49015053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自分の役割をちゃんと理解しなさい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4ターン暗闇</v>
      </c>
      <c r="F73" s="126">
        <v>49015072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1468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1"/>
        <v>49015006_49015054</v>
      </c>
      <c r="B74" s="106">
        <v>49015006</v>
      </c>
      <c r="C74" s="126">
        <v>49015054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貴方は邪魔です！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4ターン暗闇</v>
      </c>
      <c r="F74" s="126">
        <v>49015073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1466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1"/>
        <v>49015006_49015054</v>
      </c>
      <c r="B75" s="106">
        <v>49015006</v>
      </c>
      <c r="C75" s="126">
        <v>49015054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貴方は邪魔です！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4ターン暗闇</v>
      </c>
      <c r="F75" s="126">
        <v>49015074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1467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1"/>
        <v>49015006_49015055</v>
      </c>
      <c r="B76" s="106">
        <v>49015006</v>
      </c>
      <c r="C76" s="126">
        <v>49015055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暗闇操作術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単体攻撃+_x000D_1ターンユニット1体にスキルバインド</v>
      </c>
      <c r="F76" s="126">
        <v>49015075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 t="str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6" s="47"/>
      <c r="Q76" s="47"/>
      <c r="R76" s="47"/>
    </row>
    <row r="77" spans="1:18" ht="21" customHeight="1" x14ac:dyDescent="0.15">
      <c r="A77" s="39" t="str">
        <f t="shared" si="1"/>
        <v>49015006_49015056</v>
      </c>
      <c r="B77" s="106">
        <v>49015006</v>
      </c>
      <c r="C77" s="126">
        <v>49015056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油断はしませんよ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単体攻撃+_x000D_ランダムで赤のダメージパネルに最大3個変換</v>
      </c>
      <c r="F77" s="126">
        <v>49015076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 t="str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thickBot="1" x14ac:dyDescent="0.2">
      <c r="A78" s="39" t="str">
        <f t="shared" si="1"/>
        <v>49015006_49015057</v>
      </c>
      <c r="B78" s="111">
        <v>49015006</v>
      </c>
      <c r="C78" s="127">
        <v>49015057</v>
      </c>
      <c r="D78" s="145" t="str">
        <f ca="1">VLOOKUP($C78,OFFSET(enemy_skills!$A$1,0,0,COUNTA(enemy_skills!$A:$A),MATCH(D$1,enemy_skills!$1:$1,0)-MATCH("enemy_skill_id",enemy_skills!$1:$1,0)+1),MATCH(D$1,enemy_skills!$1:$1,0)-MATCH("enemy_skill_id",enemy_skills!$1:$1,0)+1,FALSE)</f>
        <v>傲慢</v>
      </c>
      <c r="E78" s="145" t="str">
        <f ca="1">VLOOKUP($C78,OFFSET(enemy_skills!$A$1,0,0,COUNTA(enemy_skills!$A:$A),MATCH(E$1,enemy_skills!$1:$1,0)-MATCH("enemy_skill_id",enemy_skills!$1:$1,0)+1),MATCH(E$1,enemy_skills!$1:$1,0)-MATCH("enemy_skill_id",enemy_skills!$1:$1,0)+1,FALSE)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</v>
      </c>
      <c r="F78" s="127">
        <v>49015077</v>
      </c>
      <c r="G78" s="114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114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8" s="114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114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114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114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114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8" s="114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114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111"/>
      <c r="Q78" s="111"/>
      <c r="R78" s="111"/>
    </row>
    <row r="79" spans="1:18" ht="21" customHeight="1" x14ac:dyDescent="0.15">
      <c r="A79" s="39" t="str">
        <f t="shared" si="1"/>
        <v>49015007_49015058</v>
      </c>
      <c r="B79" s="106">
        <v>49015007</v>
      </c>
      <c r="C79" s="134">
        <v>49015058</v>
      </c>
      <c r="D79" s="144" t="str">
        <f ca="1">VLOOKUP($C79,OFFSET(enemy_skills!$A$1,0,0,COUNTA(enemy_skills!$A:$A),MATCH(D$1,enemy_skills!$1:$1,0)-MATCH("enemy_skill_id",enemy_skills!$1:$1,0)+1),MATCH(D$1,enemy_skills!$1:$1,0)-MATCH("enemy_skill_id",enemy_skills!$1:$1,0)+1,FALSE)</f>
        <v>無駄なあがきを…</v>
      </c>
      <c r="E79" s="144" t="str">
        <f ca="1">VLOOKUP($C79,OFFSET(enemy_skills!$A$1,0,0,COUNTA(enemy_skills!$A:$A),MATCH(E$1,enemy_skills!$1:$1,0)-MATCH("enemy_skill_id",enemy_skills!$1:$1,0)+1),MATCH(E$1,enemy_skills!$1:$1,0)-MATCH("enemy_skill_id",enemy_skills!$1:$1,0)+1,FALSE)</f>
        <v>4ターン暗闇+_x000D_ランダムで赤のCBPに最大2個変換+_x000D_ランダムで赤のダメージパネルに最大5個変換</v>
      </c>
      <c r="F79" s="126">
        <v>49015078</v>
      </c>
      <c r="G79" s="109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109" t="str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9" s="109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109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109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109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109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109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109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106"/>
      <c r="Q79" s="106"/>
      <c r="R79" s="106"/>
    </row>
    <row r="80" spans="1:18" ht="21" customHeight="1" x14ac:dyDescent="0.15">
      <c r="A80" s="39" t="str">
        <f t="shared" si="1"/>
        <v>49015007_49015059</v>
      </c>
      <c r="B80" s="106">
        <v>49015007</v>
      </c>
      <c r="C80" s="135">
        <v>49015059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面白い人たちだ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全体攻撃+_x000D_１ターン全ユニットにスキルバインド</v>
      </c>
      <c r="F80" s="126">
        <v>49015079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 t="str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80" s="47"/>
      <c r="Q80" s="47"/>
      <c r="R80" s="47"/>
    </row>
    <row r="81" spans="1:18" ht="21" customHeight="1" x14ac:dyDescent="0.15">
      <c r="A81" s="39" t="str">
        <f t="shared" si="1"/>
        <v>49015007_49015060</v>
      </c>
      <c r="B81" s="106">
        <v>49015007</v>
      </c>
      <c r="C81" s="126">
        <v>49015060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逃がしませんよ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単体攻撃+_x000D_フィーバーゲージ20%減少</v>
      </c>
      <c r="F81" s="126">
        <v>49015080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 t="str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1" s="47"/>
      <c r="Q81" s="47"/>
      <c r="R81" s="47"/>
    </row>
    <row r="82" spans="1:18" ht="21" customHeight="1" x14ac:dyDescent="0.15">
      <c r="A82" s="39" t="str">
        <f t="shared" si="1"/>
        <v>49015007_49015061</v>
      </c>
      <c r="B82" s="106">
        <v>49015007</v>
      </c>
      <c r="C82" s="126">
        <v>49015061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油断はしませんよ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単体攻撃+_x000D_ランダムで赤のダメージパネルに最大3個変換</v>
      </c>
      <c r="F82" s="126">
        <v>49015081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 t="str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1"/>
        <v>49015007_49015062</v>
      </c>
      <c r="B83" s="106">
        <v>49015007</v>
      </c>
      <c r="C83" s="126">
        <v>49015062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傲慢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</v>
      </c>
      <c r="F83" s="126">
        <v>49015082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83" s="48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1"/>
        <v>49015007_49015063</v>
      </c>
      <c r="B84" s="106">
        <v>49015007</v>
      </c>
      <c r="C84" s="126">
        <v>49015063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這い寄る暗闇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残りHPの50%ダメージ！</v>
      </c>
      <c r="F84" s="126">
        <v>49015083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 t="str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4" s="48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1"/>
        <v>49015007_49015064</v>
      </c>
      <c r="B85" s="106">
        <v>49015007</v>
      </c>
      <c r="C85" s="126">
        <v>49015064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約束の日が…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85" s="126">
        <v>49015084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1"/>
        <v>49015007_49015065</v>
      </c>
      <c r="B86" s="106">
        <v>49015007</v>
      </c>
      <c r="C86" s="126">
        <v>49015065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侮りすぎました…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さすが…人柱…</v>
      </c>
      <c r="F86" s="126">
        <v>49015085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21" customHeight="1" x14ac:dyDescent="0.15">
      <c r="A87" s="39" t="str">
        <f t="shared" si="1"/>
        <v>49015007_49015065</v>
      </c>
      <c r="B87" s="106">
        <v>49015007</v>
      </c>
      <c r="C87" s="126">
        <v>49015065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侮りすぎました…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さすが…人柱…</v>
      </c>
      <c r="F87" s="126">
        <v>49015086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1"/>
        <v>49015007_49015066</v>
      </c>
      <c r="B88" s="106">
        <v>49015007</v>
      </c>
      <c r="C88" s="126">
        <v>49015066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貴方たち人間は足掻き続けますか…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88" s="126">
        <v>49015087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21" customHeight="1" x14ac:dyDescent="0.15">
      <c r="A89" s="39" t="str">
        <f t="shared" si="1"/>
        <v>49015007_49015066</v>
      </c>
      <c r="B89" s="106">
        <v>49015007</v>
      </c>
      <c r="C89" s="126">
        <v>49015066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貴方たち人間は足掻き続けますか…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89" s="126">
        <v>49015088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21" customHeight="1" x14ac:dyDescent="0.15">
      <c r="A90" s="39" t="str">
        <f t="shared" si="1"/>
        <v>49015007_49015067</v>
      </c>
      <c r="B90" s="106">
        <v>49015007</v>
      </c>
      <c r="C90" s="126">
        <v>49015067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手加減を…しすぎましたね…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90" s="126">
        <v>49015089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1"/>
        <v>49015007_49015067</v>
      </c>
      <c r="B91" s="106">
        <v>49015007</v>
      </c>
      <c r="C91" s="126">
        <v>49015067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手加減を…しすぎましたね…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91" s="126">
        <v>49015090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1"/>
        <v>49015007_49015068</v>
      </c>
      <c r="B92" s="106">
        <v>49015007</v>
      </c>
      <c r="C92" s="126">
        <v>49015068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貴方にやられるとは…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やはり…仲間に…</v>
      </c>
      <c r="F92" s="126">
        <v>49015091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1"/>
        <v>49015007_49015068</v>
      </c>
      <c r="B93" s="106">
        <v>49015007</v>
      </c>
      <c r="C93" s="126">
        <v>49015068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貴方にやられるとは…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やはり…仲間に…</v>
      </c>
      <c r="F93" s="126">
        <v>49015092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1"/>
        <v>49015007_49015069</v>
      </c>
      <c r="B94" s="106">
        <v>49015007</v>
      </c>
      <c r="C94" s="126">
        <v>49015069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ラース…人間に加担すると…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私達を…裏切るというのですか…</v>
      </c>
      <c r="F94" s="126">
        <v>49015093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1469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1"/>
        <v>49015007_49015070</v>
      </c>
      <c r="B95" s="106">
        <v>49015007</v>
      </c>
      <c r="C95" s="126">
        <v>49015070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父上が…なんというか…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私に…嫉妬したのか…？</v>
      </c>
      <c r="F95" s="126">
        <v>49015094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5" s="4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8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1468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si="1"/>
        <v>49015007_49015071</v>
      </c>
      <c r="B96" s="106">
        <v>49015007</v>
      </c>
      <c r="C96" s="149">
        <v>49015071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約束の日のために…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こんなところで…やられるわけには…</v>
      </c>
      <c r="F96" s="126">
        <v>49015095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1466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129"/>
      <c r="Q96" s="129"/>
      <c r="R96" s="129"/>
    </row>
    <row r="97" spans="1:18" ht="21" customHeight="1" thickBot="1" x14ac:dyDescent="0.2">
      <c r="A97" s="39" t="str">
        <f t="shared" si="1"/>
        <v>49015007_49015071</v>
      </c>
      <c r="B97" s="111">
        <v>49015007</v>
      </c>
      <c r="C97" s="127">
        <v>49015071</v>
      </c>
      <c r="D97" s="145" t="str">
        <f ca="1">VLOOKUP($C97,OFFSET(enemy_skills!$A$1,0,0,COUNTA(enemy_skills!$A:$A),MATCH(D$1,enemy_skills!$1:$1,0)-MATCH("enemy_skill_id",enemy_skills!$1:$1,0)+1),MATCH(D$1,enemy_skills!$1:$1,0)-MATCH("enemy_skill_id",enemy_skills!$1:$1,0)+1,FALSE)</f>
        <v>約束の日のために…</v>
      </c>
      <c r="E97" s="145" t="str">
        <f ca="1">VLOOKUP($C97,OFFSET(enemy_skills!$A$1,0,0,COUNTA(enemy_skills!$A:$A),MATCH(E$1,enemy_skills!$1:$1,0)-MATCH("enemy_skill_id",enemy_skills!$1:$1,0)+1),MATCH(E$1,enemy_skills!$1:$1,0)-MATCH("enemy_skill_id",enemy_skills!$1:$1,0)+1,FALSE)</f>
        <v>こんなところで…やられるわけには…</v>
      </c>
      <c r="F97" s="127">
        <v>49015096</v>
      </c>
      <c r="G97" s="114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114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97" s="114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114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114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114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7" s="114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114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1467</v>
      </c>
      <c r="O97" s="114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111"/>
      <c r="Q97" s="111"/>
      <c r="R97" s="111"/>
    </row>
    <row r="98" spans="1:18" ht="21" customHeight="1" x14ac:dyDescent="0.15">
      <c r="A98" s="39" t="str">
        <f t="shared" si="1"/>
        <v>49015008_49015072</v>
      </c>
      <c r="B98" s="106">
        <v>49015008</v>
      </c>
      <c r="C98" s="138">
        <v>49015072</v>
      </c>
      <c r="D98" s="144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そこをどけ</v>
      </c>
      <c r="E98" s="144" t="str">
        <f ca="1">VLOOKUP($C98,OFFSET(enemy_skills!$A$1,0,0,COUNTA(enemy_skills!$A:$A),MATCH(E$1,enemy_skills!$1:$1,0)-MATCH("enemy_skill_id",enemy_skills!$1:$1,0)+1),MATCH(E$1,enemy_skills!$1:$1,0)-MATCH("enemy_skill_id",enemy_skills!$1:$1,0)+1,FALSE)</f>
        <v>邪魔するものは排除する</v>
      </c>
      <c r="F98" s="138">
        <v>49015097</v>
      </c>
      <c r="G98" s="109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109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98" s="109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109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109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109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109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109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109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106"/>
      <c r="Q98" s="106"/>
      <c r="R98" s="106"/>
    </row>
    <row r="99" spans="1:18" ht="21" customHeight="1" x14ac:dyDescent="0.15">
      <c r="A99" s="39" t="str">
        <f t="shared" si="1"/>
        <v>49015008_49015073</v>
      </c>
      <c r="B99" s="106">
        <v>49015008</v>
      </c>
      <c r="C99" s="138">
        <v>49015073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なんという僥倖！_x000D_このような世界で会えるとは！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【エドは黄パネルを錬成し始めた！】</v>
      </c>
      <c r="F99" s="138">
        <v>49015098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8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8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21" customHeight="1" x14ac:dyDescent="0.15">
      <c r="A100" s="39" t="str">
        <f t="shared" si="1"/>
        <v>49015008_49015073</v>
      </c>
      <c r="B100" s="106">
        <v>49015008</v>
      </c>
      <c r="C100" s="138">
        <v>49015073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なんという僥倖！_x000D_このような世界で会えるとは！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【エドは黄パネルを錬成し始めた！】</v>
      </c>
      <c r="F100" s="138">
        <v>49015099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8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8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21" customHeight="1" x14ac:dyDescent="0.15">
      <c r="A101" s="39" t="str">
        <f t="shared" si="1"/>
        <v>49015008_49015074</v>
      </c>
      <c r="B101" s="106">
        <v>49015008</v>
      </c>
      <c r="C101" s="136">
        <v>49015074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貴様一人か？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鋼の錬金術師はどうした？</v>
      </c>
      <c r="F101" s="138">
        <v>49015100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8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8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x14ac:dyDescent="0.15">
      <c r="A102" s="39" t="str">
        <f t="shared" si="1"/>
        <v>49015008_49015074</v>
      </c>
      <c r="B102" s="106">
        <v>49015008</v>
      </c>
      <c r="C102" s="136">
        <v>49015074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貴様一人か？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鋼の錬金術師はどうした？</v>
      </c>
      <c r="F102" s="138">
        <v>49015101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8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8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x14ac:dyDescent="0.15">
      <c r="A103" s="39" t="str">
        <f t="shared" si="1"/>
        <v>49015008_49015075</v>
      </c>
      <c r="B103" s="106">
        <v>49015008</v>
      </c>
      <c r="C103" s="136">
        <v>49015075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貴様の業火にやられた同胞の恨み！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思い知らせてくれる！</v>
      </c>
      <c r="F103" s="138">
        <v>49015102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8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8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  <row r="104" spans="1:18" ht="21" customHeight="1" x14ac:dyDescent="0.15">
      <c r="A104" s="39" t="str">
        <f t="shared" si="1"/>
        <v>49015008_49015075</v>
      </c>
      <c r="B104" s="106">
        <v>49015008</v>
      </c>
      <c r="C104" s="136">
        <v>49015075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貴様の業火にやられた同胞の恨み！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思い知らせてくれる！</v>
      </c>
      <c r="F104" s="138">
        <v>49015103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8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8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si="1"/>
        <v>49015008_49015076</v>
      </c>
      <c r="B105" s="106">
        <v>49015008</v>
      </c>
      <c r="C105" s="136">
        <v>49015076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貴様が鷹の目か！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貴様に撃たれた同胞の恨み思い知れ！</v>
      </c>
      <c r="F105" s="138">
        <v>49015104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8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8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8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21" customHeight="1" x14ac:dyDescent="0.15">
      <c r="A106" s="39" t="str">
        <f t="shared" si="1"/>
        <v>49015008_49015076</v>
      </c>
      <c r="B106" s="106">
        <v>49015008</v>
      </c>
      <c r="C106" s="136">
        <v>49015076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貴様が鷹の目か！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貴様に撃たれた同胞の恨み思い知れ！</v>
      </c>
      <c r="F106" s="138">
        <v>49015105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8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8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si="1"/>
        <v>49015008_49015077</v>
      </c>
      <c r="B107" s="106">
        <v>49015008</v>
      </c>
      <c r="C107" s="136">
        <v>49015077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我らイシュヴァールの恨み！_x000D_思い知るが良いキング・ブラッドレイ！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『復讐鬼が！面白い！！』</v>
      </c>
      <c r="F107" s="138">
        <v>49015106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8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8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1469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1"/>
        <v>49015008_49015078</v>
      </c>
      <c r="B108" s="106">
        <v>49015008</v>
      </c>
      <c r="C108" s="136">
        <v>49015078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姿を変える奇妙なものよ！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安息も救いも与えられぬものと思え！</v>
      </c>
      <c r="F108" s="138">
        <v>49015107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8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8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1468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x14ac:dyDescent="0.15">
      <c r="A109" s="39" t="str">
        <f t="shared" si="1"/>
        <v>49015008_49015079</v>
      </c>
      <c r="B109" s="106">
        <v>49015008</v>
      </c>
      <c r="C109" s="136">
        <v>49015079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なんだ貴様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…子供か？</v>
      </c>
      <c r="F109" s="138">
        <v>49015108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48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8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1470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x14ac:dyDescent="0.15">
      <c r="A110" s="39" t="str">
        <f t="shared" si="1"/>
        <v>49015008_49015080</v>
      </c>
      <c r="B110" s="106">
        <v>49015008</v>
      </c>
      <c r="C110" s="136">
        <v>49015080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分解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10" s="138">
        <v>49015109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10" s="48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 t="str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0" s="48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48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10" s="47"/>
      <c r="Q110" s="47"/>
      <c r="R110" s="47"/>
    </row>
    <row r="111" spans="1:18" ht="21" customHeight="1" x14ac:dyDescent="0.15">
      <c r="A111" s="39" t="str">
        <f t="shared" si="1"/>
        <v>49015008_49015081</v>
      </c>
      <c r="B111" s="106">
        <v>49015008</v>
      </c>
      <c r="C111" s="136">
        <v>49015081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これも神の加護か！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単体攻撃+_x000D_ランダムでお邪魔パネルに最大3個変換</v>
      </c>
      <c r="F111" s="138">
        <v>49015110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1" s="48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8" t="str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1" s="48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48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1" s="47"/>
      <c r="Q111" s="47"/>
      <c r="R111" s="47"/>
    </row>
    <row r="112" spans="1:18" ht="21" customHeight="1" thickBot="1" x14ac:dyDescent="0.2">
      <c r="A112" s="39" t="str">
        <f t="shared" si="1"/>
        <v>49015008_49015082</v>
      </c>
      <c r="B112" s="111">
        <v>49015008</v>
      </c>
      <c r="C112" s="137">
        <v>49015082</v>
      </c>
      <c r="D112" s="145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破壊の理</v>
      </c>
      <c r="E112" s="145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単体攻撃+_x000D_特定エリアをお邪魔パネルに変換</v>
      </c>
      <c r="F112" s="137">
        <v>49015111</v>
      </c>
      <c r="G112" s="114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114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112" s="114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114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114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114" t="str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2" s="114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114" t="str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2" s="114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111"/>
      <c r="Q112" s="111"/>
      <c r="R112" s="111"/>
    </row>
    <row r="113" spans="1:18" ht="21" customHeight="1" x14ac:dyDescent="0.15">
      <c r="A113" s="39" t="str">
        <f t="shared" si="1"/>
        <v>49015009_49015083</v>
      </c>
      <c r="B113" s="106">
        <v>49015009</v>
      </c>
      <c r="C113" s="154">
        <v>49015083</v>
      </c>
      <c r="D113" s="144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破壊させてもらう！</v>
      </c>
      <c r="E113" s="144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13" s="138">
        <v>49015112</v>
      </c>
      <c r="G113" s="109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3" s="109" t="str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3" s="109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109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109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109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109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109" t="str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3" s="109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106"/>
      <c r="Q113" s="106"/>
      <c r="R113" s="106"/>
    </row>
    <row r="114" spans="1:18" ht="21" customHeight="1" x14ac:dyDescent="0.15">
      <c r="A114" s="39" t="str">
        <f t="shared" si="1"/>
        <v>49015009_49015084</v>
      </c>
      <c r="B114" s="106">
        <v>49015009</v>
      </c>
      <c r="C114" s="136">
        <v>49015084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破壊の右腕</v>
      </c>
      <c r="E114" s="144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14" s="138">
        <v>49015113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14" s="48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 t="str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4" s="48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8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14" s="47"/>
      <c r="Q114" s="47"/>
      <c r="R114" s="47"/>
    </row>
    <row r="115" spans="1:18" ht="21" customHeight="1" x14ac:dyDescent="0.15">
      <c r="A115" s="39" t="str">
        <f t="shared" si="1"/>
        <v>49015009_49015085</v>
      </c>
      <c r="B115" s="106">
        <v>49015009</v>
      </c>
      <c r="C115" s="136">
        <v>49015085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これも神の加護か！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単体攻撃+_x000D_ランダムでお邪魔パネルに最大3個変換</v>
      </c>
      <c r="F115" s="138">
        <v>49015114</v>
      </c>
      <c r="G115" s="48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8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15" s="48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5" s="48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8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8" t="str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5" s="48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48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48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5" s="47"/>
      <c r="Q115" s="47"/>
      <c r="R115" s="47"/>
    </row>
    <row r="116" spans="1:18" ht="21" customHeight="1" x14ac:dyDescent="0.15">
      <c r="A116" s="39" t="str">
        <f t="shared" si="1"/>
        <v>49015009_49015086</v>
      </c>
      <c r="B116" s="106">
        <v>49015009</v>
      </c>
      <c r="C116" s="136">
        <v>49015086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破壊の理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単体攻撃+_x000D_特定エリアをお邪魔パネルに変換</v>
      </c>
      <c r="F116" s="138">
        <v>49015115</v>
      </c>
      <c r="G116" s="48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8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16" s="48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8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8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8" t="str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6" s="48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8" t="str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6" s="48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7"/>
      <c r="Q116" s="47"/>
      <c r="R116" s="47"/>
    </row>
    <row r="117" spans="1:18" ht="21" customHeight="1" thickBot="1" x14ac:dyDescent="0.2">
      <c r="A117" s="39" t="str">
        <f t="shared" si="1"/>
        <v>49015009_49015087</v>
      </c>
      <c r="B117" s="111">
        <v>49015009</v>
      </c>
      <c r="C117" s="155">
        <v>49015087</v>
      </c>
      <c r="D117" s="145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分解</v>
      </c>
      <c r="E117" s="145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17" s="137">
        <v>49015116</v>
      </c>
      <c r="G117" s="114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114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17" s="114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114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114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114" t="str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7" s="114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7" s="114" t="str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7" s="114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111"/>
      <c r="Q117" s="111"/>
      <c r="R117" s="111"/>
    </row>
    <row r="118" spans="1:18" ht="21" customHeight="1" x14ac:dyDescent="0.15">
      <c r="A118" s="39" t="str">
        <f t="shared" si="1"/>
        <v>49015010_49015088</v>
      </c>
      <c r="B118" s="106">
        <v>49015010</v>
      </c>
      <c r="C118" s="154">
        <v>49015088</v>
      </c>
      <c r="D118" s="144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神の名の下に</v>
      </c>
      <c r="E118" s="144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裁きを受けるがよい！</v>
      </c>
      <c r="F118" s="138">
        <v>49015117</v>
      </c>
      <c r="G118" s="109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8" s="109" t="str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8" s="109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109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109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109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109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109" t="str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8" s="109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106"/>
      <c r="Q118" s="106"/>
      <c r="R118" s="106"/>
    </row>
    <row r="119" spans="1:18" ht="21" customHeight="1" x14ac:dyDescent="0.15">
      <c r="A119" s="39" t="str">
        <f t="shared" si="1"/>
        <v>49015010_49015089</v>
      </c>
      <c r="B119" s="106">
        <v>49015010</v>
      </c>
      <c r="C119" s="136">
        <v>49015089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破壊の理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全体攻撃+_x000D_特定エリアをお邪魔パネルに変換</v>
      </c>
      <c r="F119" s="138">
        <v>49015118</v>
      </c>
      <c r="G119" s="4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19" s="4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19" s="48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8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8" t="str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9" s="48" t="str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9" s="48" t="str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9" s="4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19" s="47"/>
      <c r="Q119" s="47"/>
      <c r="R119" s="47"/>
    </row>
    <row r="120" spans="1:18" ht="21" customHeight="1" x14ac:dyDescent="0.15">
      <c r="A120" s="39" t="str">
        <f t="shared" si="1"/>
        <v>49015010_49015090</v>
      </c>
      <c r="B120" s="106">
        <v>49015010</v>
      </c>
      <c r="C120" s="136">
        <v>49015090</v>
      </c>
      <c r="D120" s="4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分解</v>
      </c>
      <c r="E120" s="4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20" s="138">
        <v>49015119</v>
      </c>
      <c r="G120" s="48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0" s="48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20" s="48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0" s="48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8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8" t="str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0" s="48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48" t="str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0" s="48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0" s="47"/>
      <c r="Q120" s="47"/>
      <c r="R120" s="47"/>
    </row>
    <row r="121" spans="1:18" ht="21" customHeight="1" x14ac:dyDescent="0.15">
      <c r="A121" s="39" t="str">
        <f t="shared" si="1"/>
        <v>49015010_49015091</v>
      </c>
      <c r="B121" s="106">
        <v>49015010</v>
      </c>
      <c r="C121" s="136">
        <v>49015091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神に祈る間をやろう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残りHPの50％ダメージ！+_x000D_ランダムでお邪魔パネルに最大5個変換</v>
      </c>
      <c r="F121" s="138">
        <v>49015120</v>
      </c>
      <c r="G121" s="48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8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121" s="48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8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8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8" t="str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1" s="48" t="str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1" s="48" t="str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1" s="48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7"/>
      <c r="Q121" s="47"/>
      <c r="R121" s="47"/>
    </row>
    <row r="122" spans="1:18" ht="21" customHeight="1" x14ac:dyDescent="0.15">
      <c r="A122" s="39" t="str">
        <f t="shared" si="1"/>
        <v>49015010_49015092</v>
      </c>
      <c r="B122" s="106">
        <v>49015010</v>
      </c>
      <c r="C122" s="136">
        <v>49015092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同胞たちよ、すまぬ…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畜生の道のまま堕ちるか…</v>
      </c>
      <c r="F122" s="138">
        <v>49015121</v>
      </c>
      <c r="G122" s="48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8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122" s="48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8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8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8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2" s="48" t="str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2" s="48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22" s="48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7"/>
      <c r="Q122" s="47"/>
      <c r="R122" s="47"/>
    </row>
    <row r="123" spans="1:18" ht="21" customHeight="1" x14ac:dyDescent="0.15">
      <c r="A123" s="39" t="str">
        <f t="shared" si="1"/>
        <v>49015010_49015093</v>
      </c>
      <c r="B123" s="106">
        <v>49015010</v>
      </c>
      <c r="C123" s="136">
        <v>49015093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国家の犬め…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神よ…兄者よ…</v>
      </c>
      <c r="F123" s="138">
        <v>49015122</v>
      </c>
      <c r="G123" s="48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8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3" s="48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8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8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8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3" s="48" t="str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3" s="48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123" s="48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7"/>
      <c r="Q123" s="47"/>
      <c r="R123" s="47"/>
    </row>
    <row r="124" spans="1:18" ht="21" customHeight="1" x14ac:dyDescent="0.15">
      <c r="A124" s="39" t="str">
        <f t="shared" si="1"/>
        <v>49015010_49015093</v>
      </c>
      <c r="B124" s="106">
        <v>49015010</v>
      </c>
      <c r="C124" s="136">
        <v>49015093</v>
      </c>
      <c r="D124" s="4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国家の犬め…</v>
      </c>
      <c r="E124" s="4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神よ…兄者よ…</v>
      </c>
      <c r="F124" s="138">
        <v>49015123</v>
      </c>
      <c r="G124" s="48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8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24" s="48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8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8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8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4" s="48" t="str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4" s="48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124" s="48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7"/>
      <c r="Q124" s="47"/>
      <c r="R124" s="47"/>
    </row>
    <row r="125" spans="1:18" ht="21" customHeight="1" x14ac:dyDescent="0.15">
      <c r="A125" s="39" t="str">
        <f t="shared" si="1"/>
        <v>49015010_49015094</v>
      </c>
      <c r="B125" s="106">
        <v>49015010</v>
      </c>
      <c r="C125" s="136">
        <v>49015094</v>
      </c>
      <c r="D125" s="46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貴様たち錬金術師は…</v>
      </c>
      <c r="E125" s="46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悲劇ばかり生み出す…</v>
      </c>
      <c r="F125" s="138">
        <v>49015124</v>
      </c>
      <c r="G125" s="48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8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5" s="48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8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8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8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5" s="48" t="str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5" s="48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125" s="48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7"/>
      <c r="Q125" s="47"/>
      <c r="R125" s="47"/>
    </row>
    <row r="126" spans="1:18" ht="21" customHeight="1" x14ac:dyDescent="0.15">
      <c r="A126" s="39" t="str">
        <f t="shared" si="1"/>
        <v>49015010_49015094</v>
      </c>
      <c r="B126" s="106">
        <v>49015010</v>
      </c>
      <c r="C126" s="136">
        <v>49015094</v>
      </c>
      <c r="D126" s="46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貴様たち錬金術師は…</v>
      </c>
      <c r="E126" s="46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悲劇ばかり生み出す…</v>
      </c>
      <c r="F126" s="138">
        <v>49015125</v>
      </c>
      <c r="G126" s="48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48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126" s="48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8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8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8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6" s="48" t="str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6" s="48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126" s="48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7"/>
      <c r="Q126" s="47"/>
      <c r="R126" s="47"/>
    </row>
    <row r="127" spans="1:18" ht="21" customHeight="1" x14ac:dyDescent="0.15">
      <c r="A127" s="39" t="str">
        <f t="shared" ref="A127:A190" si="2">B127&amp;"_"&amp;C127</f>
        <v>49015010_49015095</v>
      </c>
      <c r="B127" s="106">
        <v>49015010</v>
      </c>
      <c r="C127" s="136">
        <v>49015095</v>
      </c>
      <c r="D127" s="46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焔の錬金術師！貴様の…</v>
      </c>
      <c r="E127" s="46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貴様の業火忘れんぞ！</v>
      </c>
      <c r="F127" s="138">
        <v>49015126</v>
      </c>
      <c r="G127" s="48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8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27" s="48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48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48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8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7" s="48" t="str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7" s="48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127" s="48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47"/>
      <c r="Q127" s="47"/>
      <c r="R127" s="47"/>
    </row>
    <row r="128" spans="1:18" ht="21" customHeight="1" x14ac:dyDescent="0.15">
      <c r="A128" s="39" t="str">
        <f t="shared" si="2"/>
        <v>49015010_49015095</v>
      </c>
      <c r="B128" s="106">
        <v>49015010</v>
      </c>
      <c r="C128" s="136">
        <v>49015095</v>
      </c>
      <c r="D128" s="46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焔の錬金術師！貴様の…</v>
      </c>
      <c r="E128" s="46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貴様の業火忘れんぞ！</v>
      </c>
      <c r="F128" s="138">
        <v>49015127</v>
      </c>
      <c r="G128" s="48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8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128" s="48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8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8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8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8" s="48" t="str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8" s="48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128" s="48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7"/>
      <c r="Q128" s="47"/>
      <c r="R128" s="47"/>
    </row>
    <row r="129" spans="1:18" ht="21" customHeight="1" x14ac:dyDescent="0.15">
      <c r="A129" s="39" t="str">
        <f t="shared" si="2"/>
        <v>49015010_49015096</v>
      </c>
      <c r="B129" s="106">
        <v>49015010</v>
      </c>
      <c r="C129" s="136">
        <v>49015096</v>
      </c>
      <c r="D129" s="46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俺の…志半ばで…</v>
      </c>
      <c r="E129" s="46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同胞のように撃たれるというのか…</v>
      </c>
      <c r="F129" s="138">
        <v>49015128</v>
      </c>
      <c r="G129" s="48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8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29" s="48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8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8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8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9" s="48" t="str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9" s="48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129" s="48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7"/>
      <c r="Q129" s="47"/>
      <c r="R129" s="47"/>
    </row>
    <row r="130" spans="1:18" ht="21" customHeight="1" x14ac:dyDescent="0.15">
      <c r="A130" s="39" t="str">
        <f t="shared" si="2"/>
        <v>49015010_49015096</v>
      </c>
      <c r="B130" s="106">
        <v>49015010</v>
      </c>
      <c r="C130" s="136">
        <v>49015096</v>
      </c>
      <c r="D130" s="46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俺の…志半ばで…</v>
      </c>
      <c r="E130" s="46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同胞のように撃たれるというのか…</v>
      </c>
      <c r="F130" s="138">
        <v>49015129</v>
      </c>
      <c r="G130" s="48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48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130" s="48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8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8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8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0" s="48" t="str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0" s="48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130" s="48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7"/>
      <c r="Q130" s="47"/>
      <c r="R130" s="47"/>
    </row>
    <row r="131" spans="1:18" ht="21" customHeight="1" x14ac:dyDescent="0.15">
      <c r="A131" s="39" t="str">
        <f t="shared" si="2"/>
        <v>49015010_49015097</v>
      </c>
      <c r="B131" s="106">
        <v>49015010</v>
      </c>
      <c r="C131" s="136">
        <v>49015097</v>
      </c>
      <c r="D131" s="46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我らの恨み…晴らすことかなわず…</v>
      </c>
      <c r="E131" s="46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俺も兄者の元に…</v>
      </c>
      <c r="F131" s="138">
        <v>49015130</v>
      </c>
      <c r="G131" s="48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48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31" s="48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8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48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8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1" s="48" t="str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1" s="48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1469</v>
      </c>
      <c r="O131" s="48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7"/>
      <c r="Q131" s="47"/>
      <c r="R131" s="47"/>
    </row>
    <row r="132" spans="1:18" ht="21" customHeight="1" x14ac:dyDescent="0.15">
      <c r="A132" s="39" t="str">
        <f t="shared" si="2"/>
        <v>49015010_49015098</v>
      </c>
      <c r="B132" s="106">
        <v>49015010</v>
      </c>
      <c r="C132" s="136">
        <v>49015098</v>
      </c>
      <c r="D132" s="46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イシュヴァールの同胞たちよ…</v>
      </c>
      <c r="E132" s="46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今…向かいます…</v>
      </c>
      <c r="F132" s="138">
        <v>49015131</v>
      </c>
      <c r="G132" s="48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2" s="48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32" s="48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48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48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8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2" s="48" t="str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2" s="48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1468</v>
      </c>
      <c r="O132" s="48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47"/>
      <c r="Q132" s="47"/>
      <c r="R132" s="47"/>
    </row>
    <row r="133" spans="1:18" ht="21" customHeight="1" thickBot="1" x14ac:dyDescent="0.2">
      <c r="A133" s="39" t="str">
        <f t="shared" si="2"/>
        <v>49015010_49015099</v>
      </c>
      <c r="B133" s="111">
        <v>49015010</v>
      </c>
      <c r="C133" s="137">
        <v>49015099</v>
      </c>
      <c r="D133" s="145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ホムンクルスとは…</v>
      </c>
      <c r="E133" s="145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俺もまだ修練が足りんということか…</v>
      </c>
      <c r="F133" s="137">
        <v>49015132</v>
      </c>
      <c r="G133" s="114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3" s="114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33" s="114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114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114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114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3" s="114" t="str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3" s="114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1470</v>
      </c>
      <c r="O133" s="114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111"/>
      <c r="Q133" s="111"/>
      <c r="R133" s="111"/>
    </row>
    <row r="134" spans="1:18" ht="21" customHeight="1" x14ac:dyDescent="0.15">
      <c r="A134" s="39" t="str">
        <f t="shared" si="2"/>
        <v>49015011_49015100</v>
      </c>
      <c r="B134" s="47">
        <v>49015011</v>
      </c>
      <c r="C134" s="121">
        <v>49015100</v>
      </c>
      <c r="D134" s="46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君の腕前を試してやろう</v>
      </c>
      <c r="E134" s="46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34" s="121">
        <v>49015133</v>
      </c>
      <c r="G134" s="48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4" s="48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34" s="48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8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48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8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4" s="48" t="str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4" s="48" t="str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4" s="48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7"/>
      <c r="Q134" s="47"/>
      <c r="R134" s="47"/>
    </row>
    <row r="135" spans="1:18" ht="21" customHeight="1" x14ac:dyDescent="0.15">
      <c r="A135" s="39" t="str">
        <f t="shared" si="2"/>
        <v>49015011_49015101</v>
      </c>
      <c r="B135" s="47">
        <v>49015011</v>
      </c>
      <c r="C135" s="121">
        <v>49015101</v>
      </c>
      <c r="D135" s="46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私を越えていこうというのかね？</v>
      </c>
      <c r="E135" s="46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面白い！かかって来たまえ鋼の錬金術師！</v>
      </c>
      <c r="F135" s="121">
        <v>49015134</v>
      </c>
      <c r="G135" s="48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5" s="48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35" s="48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8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48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8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5" s="48" t="str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5" s="48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135" s="48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7"/>
      <c r="Q135" s="47"/>
      <c r="R135" s="47"/>
    </row>
    <row r="136" spans="1:18" ht="21" customHeight="1" x14ac:dyDescent="0.15">
      <c r="A136" s="39" t="str">
        <f t="shared" si="2"/>
        <v>49015011_49015101</v>
      </c>
      <c r="B136" s="47">
        <v>49015011</v>
      </c>
      <c r="C136" s="121">
        <v>49015101</v>
      </c>
      <c r="D136" s="46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私を越えていこうというのかね？</v>
      </c>
      <c r="E136" s="46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面白い！かかって来たまえ鋼の錬金術師！</v>
      </c>
      <c r="F136" s="121">
        <v>49015135</v>
      </c>
      <c r="G136" s="48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6" s="48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136" s="48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8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48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8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6" s="48" t="str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6" s="48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136" s="48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7"/>
      <c r="Q136" s="47"/>
      <c r="R136" s="47"/>
    </row>
    <row r="137" spans="1:18" ht="21" customHeight="1" x14ac:dyDescent="0.15">
      <c r="A137" s="39" t="str">
        <f t="shared" si="2"/>
        <v>49015011_49015102</v>
      </c>
      <c r="B137" s="47">
        <v>49015011</v>
      </c>
      <c r="C137" s="121">
        <v>49015102</v>
      </c>
      <c r="D137" s="46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君一人で行くのはやめたまえ</v>
      </c>
      <c r="E137" s="46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それでもというなら押し退けて行きたまえ_x000D_【全ユニットのスキルターンを4ターン短縮】</v>
      </c>
      <c r="F137" s="121">
        <v>49015136</v>
      </c>
      <c r="G137" s="48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7" s="48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7" s="48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48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48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48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7" s="48" t="str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7" s="48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137" s="48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47"/>
      <c r="Q137" s="47"/>
      <c r="R137" s="47"/>
    </row>
    <row r="138" spans="1:18" ht="21" customHeight="1" x14ac:dyDescent="0.15">
      <c r="A138" s="39" t="str">
        <f t="shared" si="2"/>
        <v>49015011_49015102</v>
      </c>
      <c r="B138" s="47">
        <v>49015011</v>
      </c>
      <c r="C138" s="121">
        <v>49015102</v>
      </c>
      <c r="D138" s="46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君一人で行くのはやめたまえ</v>
      </c>
      <c r="E138" s="46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それでもというなら押し退けて行きたまえ_x000D_【全ユニットのスキルターンを4ターン短縮】</v>
      </c>
      <c r="F138" s="121">
        <v>49015137</v>
      </c>
      <c r="G138" s="48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8" s="48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38" s="48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48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48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48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8" s="48" t="str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8" s="48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138" s="48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47"/>
      <c r="Q138" s="47"/>
      <c r="R138" s="47"/>
    </row>
    <row r="139" spans="1:18" ht="21" customHeight="1" x14ac:dyDescent="0.15">
      <c r="A139" s="39" t="str">
        <f t="shared" si="2"/>
        <v>49015011_49015103</v>
      </c>
      <c r="B139" s="47">
        <v>49015011</v>
      </c>
      <c r="C139" s="121">
        <v>49015103</v>
      </c>
      <c r="D139" s="46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ロイ・マスタング大佐何をしている</v>
      </c>
      <c r="E139" s="46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私に反抗するというのか？</v>
      </c>
      <c r="F139" s="121">
        <v>49015138</v>
      </c>
      <c r="G139" s="48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9" s="48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39" s="48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48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48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48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9" s="48" t="str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9" s="48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139" s="48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47"/>
      <c r="Q139" s="47"/>
      <c r="R139" s="47"/>
    </row>
    <row r="140" spans="1:18" ht="21" customHeight="1" x14ac:dyDescent="0.15">
      <c r="A140" s="39" t="str">
        <f t="shared" si="2"/>
        <v>49015011_49015103</v>
      </c>
      <c r="B140" s="47">
        <v>49015011</v>
      </c>
      <c r="C140" s="121">
        <v>49015103</v>
      </c>
      <c r="D140" s="46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ロイ・マスタング大佐何をしている</v>
      </c>
      <c r="E140" s="46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私に反抗するというのか？</v>
      </c>
      <c r="F140" s="121">
        <v>49015139</v>
      </c>
      <c r="G140" s="48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0" s="48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140" s="48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48" t="str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0" s="48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48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0" s="48" t="str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0" s="48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140" s="48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47"/>
      <c r="Q140" s="47"/>
      <c r="R140" s="47"/>
    </row>
    <row r="141" spans="1:18" ht="21" customHeight="1" x14ac:dyDescent="0.15">
      <c r="A141" s="39" t="str">
        <f t="shared" si="2"/>
        <v>49015011_49015104</v>
      </c>
      <c r="B141" s="47">
        <v>49015011</v>
      </c>
      <c r="C141" s="121">
        <v>49015104</v>
      </c>
      <c r="D141" s="46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マスタングの犬が私に挑むというのか？</v>
      </c>
      <c r="E141" s="46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41" s="121">
        <v>49015140</v>
      </c>
      <c r="G141" s="48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1" s="48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41" s="48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48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48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48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1" s="48" t="str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1" s="48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141" s="48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47"/>
      <c r="Q141" s="47"/>
      <c r="R141" s="47"/>
    </row>
    <row r="142" spans="1:18" ht="21" customHeight="1" x14ac:dyDescent="0.15">
      <c r="A142" s="39" t="str">
        <f t="shared" si="2"/>
        <v>49015011_49015104</v>
      </c>
      <c r="B142" s="47">
        <v>49015011</v>
      </c>
      <c r="C142" s="121">
        <v>49015104</v>
      </c>
      <c r="D142" s="46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マスタングの犬が私に挑むというのか？</v>
      </c>
      <c r="E142" s="46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42" s="121">
        <v>49015141</v>
      </c>
      <c r="G142" s="48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2" s="48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142" s="48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2" s="48" t="str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2" s="48" t="str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2" s="48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2" s="48" t="str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2" s="48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142" s="48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2" s="47"/>
      <c r="Q142" s="47"/>
      <c r="R142" s="47"/>
    </row>
    <row r="143" spans="1:18" ht="21" customHeight="1" x14ac:dyDescent="0.15">
      <c r="A143" s="39" t="str">
        <f t="shared" si="2"/>
        <v>49015011_49015105</v>
      </c>
      <c r="B143" s="47">
        <v>49015011</v>
      </c>
      <c r="C143" s="121">
        <v>49015105</v>
      </c>
      <c r="D143" s="46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人間に愛着を持ったか嫉妬よ！</v>
      </c>
      <c r="E143" s="46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43" s="121">
        <v>49015142</v>
      </c>
      <c r="G143" s="48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3" s="48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43" s="48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3" s="48" t="str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3" s="48" t="str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3" s="48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3" s="48" t="str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3" s="48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1468</v>
      </c>
      <c r="O143" s="48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3" s="47"/>
      <c r="Q143" s="47"/>
      <c r="R143" s="47"/>
    </row>
    <row r="144" spans="1:18" ht="21" customHeight="1" x14ac:dyDescent="0.15">
      <c r="A144" s="39" t="str">
        <f t="shared" si="2"/>
        <v>49015011_49015106</v>
      </c>
      <c r="B144" s="47">
        <v>49015011</v>
      </c>
      <c r="C144" s="121">
        <v>49015106</v>
      </c>
      <c r="D144" s="46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私を倒そうというのかね？</v>
      </c>
      <c r="E144" s="46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それこそ傲慢というものだ！</v>
      </c>
      <c r="F144" s="121">
        <v>49015143</v>
      </c>
      <c r="G144" s="48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4" s="48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44" s="48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4" s="48" t="str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4" s="48" t="str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4" s="48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4" s="48" t="str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4" s="48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1470</v>
      </c>
      <c r="O144" s="48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4" s="47"/>
      <c r="Q144" s="47"/>
      <c r="R144" s="47"/>
    </row>
    <row r="145" spans="1:18" ht="21" customHeight="1" x14ac:dyDescent="0.15">
      <c r="A145" s="39" t="str">
        <f t="shared" si="2"/>
        <v>49015011_49015107</v>
      </c>
      <c r="B145" s="47">
        <v>49015011</v>
      </c>
      <c r="C145" s="121">
        <v>49015107</v>
      </c>
      <c r="D145" s="46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スカーよ、イシュヴァールの恨みか？</v>
      </c>
      <c r="E145" s="46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『あの戦、忘れはせんぞ！キング・ブラッドレイ！』</v>
      </c>
      <c r="F145" s="121">
        <v>49015144</v>
      </c>
      <c r="G145" s="48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5" s="48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45" s="48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5" s="48" t="str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5" s="48" t="str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5" s="48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5" s="48" t="str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5" s="48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1466</v>
      </c>
      <c r="O145" s="48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5" s="47"/>
      <c r="Q145" s="47"/>
      <c r="R145" s="47"/>
    </row>
    <row r="146" spans="1:18" ht="21" customHeight="1" x14ac:dyDescent="0.15">
      <c r="A146" s="39" t="str">
        <f t="shared" si="2"/>
        <v>49015011_49015107</v>
      </c>
      <c r="B146" s="47">
        <v>49015011</v>
      </c>
      <c r="C146" s="121">
        <v>49015107</v>
      </c>
      <c r="D146" s="46" t="str">
        <f ca="1">VLOOKUP($C146,OFFSET(enemy_skills!$A$1,0,0,COUNTA(enemy_skills!$A:$A),MATCH(D$1,enemy_skills!$1:$1,0)-MATCH("enemy_skill_id",enemy_skills!$1:$1,0)+1),MATCH(D$1,enemy_skills!$1:$1,0)-MATCH("enemy_skill_id",enemy_skills!$1:$1,0)+1,FALSE)</f>
        <v>スカーよ、イシュヴァールの恨みか？</v>
      </c>
      <c r="E146" s="46" t="str">
        <f ca="1">VLOOKUP($C146,OFFSET(enemy_skills!$A$1,0,0,COUNTA(enemy_skills!$A:$A),MATCH(E$1,enemy_skills!$1:$1,0)-MATCH("enemy_skill_id",enemy_skills!$1:$1,0)+1),MATCH(E$1,enemy_skills!$1:$1,0)-MATCH("enemy_skill_id",enemy_skills!$1:$1,0)+1,FALSE)</f>
        <v>『あの戦、忘れはせんぞ！キング・ブラッドレイ！』</v>
      </c>
      <c r="F146" s="121">
        <v>49015145</v>
      </c>
      <c r="G146" s="48">
        <f ca="1">VLOOKUP($F146,OFFSET(enemy_skill_triggers!$A$1,0,0,COUNTA(enemy_skill_triggers!$A:$A),MATCH(G$1,enemy_skill_triggers!$1:$1,0)-MATCH($F$1,enemy_skill_triggers!$1:$1,0)+1),MATCH(G$1,enemy_skill_triggers!$1:$1,0)-MATCH($F$1,enemy_skill_triggers!$1:$1,0)+1,FALSE)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6" s="48">
        <f ca="1">VLOOKUP($F146,OFFSET(enemy_skill_triggers!$A$1,0,0,COUNTA(enemy_skill_triggers!$A:$A),MATCH(H$1,enemy_skill_triggers!$1:$1,0)-MATCH($F$1,enemy_skill_triggers!$1:$1,0)+1),MATCH(H$1,enemy_skill_triggers!$1:$1,0)-MATCH($F$1,enemy_skill_triggers!$1:$1,0)+1,FALSE)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146" s="48">
        <f ca="1">VLOOKUP($F146,OFFSET(enemy_skill_triggers!$A$1,0,0,COUNTA(enemy_skill_triggers!$A:$A),MATCH(I$1,enemy_skill_triggers!$1:$1,0)-MATCH($F$1,enemy_skill_triggers!$1:$1,0)+1),MATCH(I$1,enemy_skill_triggers!$1:$1,0)-MATCH($F$1,enemy_skill_triggers!$1:$1,0)+1,FALSE)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6" s="48" t="str">
        <f ca="1">VLOOKUP($F146,OFFSET(enemy_skill_triggers!$A$1,0,0,COUNTA(enemy_skill_triggers!$A:$A),MATCH(J$1,enemy_skill_triggers!$1:$1,0)-MATCH($F$1,enemy_skill_triggers!$1:$1,0)+1),MATCH(J$1,enemy_skill_triggers!$1:$1,0)-MATCH($F$1,enemy_skill_triggers!$1:$1,0)+1,FALSE)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6" s="48" t="str">
        <f ca="1">VLOOKUP($F146,OFFSET(enemy_skill_triggers!$A$1,0,0,COUNTA(enemy_skill_triggers!$A:$A),MATCH(K$1,enemy_skill_triggers!$1:$1,0)-MATCH($F$1,enemy_skill_triggers!$1:$1,0)+1),MATCH(K$1,enemy_skill_triggers!$1:$1,0)-MATCH($F$1,enemy_skill_triggers!$1:$1,0)+1,FALSE)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6" s="48">
        <f ca="1">VLOOKUP($F146,OFFSET(enemy_skill_triggers!$A$1,0,0,COUNTA(enemy_skill_triggers!$A:$A),MATCH(L$1,enemy_skill_triggers!$1:$1,0)-MATCH($F$1,enemy_skill_triggers!$1:$1,0)+1),MATCH(L$1,enemy_skill_triggers!$1:$1,0)-MATCH($F$1,enemy_skill_triggers!$1:$1,0)+1,FALSE)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6" s="48" t="str">
        <f ca="1">VLOOKUP($F146,OFFSET(enemy_skill_triggers!$A$1,0,0,COUNTA(enemy_skill_triggers!$A:$A),MATCH(M$1,enemy_skill_triggers!$1:$1,0)-MATCH($F$1,enemy_skill_triggers!$1:$1,0)+1),MATCH(M$1,enemy_skill_triggers!$1:$1,0)-MATCH($F$1,enemy_skill_triggers!$1:$1,0)+1,FALSE)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6" s="48">
        <f ca="1">VLOOKUP($F146,OFFSET(enemy_skill_triggers!$A$1,0,0,COUNTA(enemy_skill_triggers!$A:$A),MATCH(N$1,enemy_skill_triggers!$1:$1,0)-MATCH($F$1,enemy_skill_triggers!$1:$1,0)+1),MATCH(N$1,enemy_skill_triggers!$1:$1,0)-MATCH($F$1,enemy_skill_triggers!$1:$1,0)+1,FALSE)</f>
        <v>1467</v>
      </c>
      <c r="O146" s="48">
        <f ca="1">VLOOKUP($F146,OFFSET(enemy_skill_triggers!$A$1,0,0,COUNTA(enemy_skill_triggers!$A:$A),MATCH(O$1,enemy_skill_triggers!$1:$1,0)-MATCH($F$1,enemy_skill_triggers!$1:$1,0)+1),MATCH(O$1,enemy_skill_triggers!$1:$1,0)-MATCH($F$1,enemy_skill_triggers!$1:$1,0)+1,FALSE)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6" s="47"/>
      <c r="Q146" s="47"/>
      <c r="R146" s="47"/>
    </row>
    <row r="147" spans="1:18" ht="21" customHeight="1" x14ac:dyDescent="0.15">
      <c r="A147" s="39" t="str">
        <f t="shared" si="2"/>
        <v>49015011_49015108</v>
      </c>
      <c r="B147" s="47">
        <v>49015011</v>
      </c>
      <c r="C147" s="121">
        <v>49015108</v>
      </c>
      <c r="D147" s="46" t="str">
        <f ca="1">VLOOKUP($C147,OFFSET(enemy_skills!$A$1,0,0,COUNTA(enemy_skills!$A:$A),MATCH(D$1,enemy_skills!$1:$1,0)-MATCH("enemy_skill_id",enemy_skills!$1:$1,0)+1),MATCH(D$1,enemy_skills!$1:$1,0)-MATCH("enemy_skill_id",enemy_skills!$1:$1,0)+1,FALSE)</f>
        <v>ブラッドレイ式剣術</v>
      </c>
      <c r="E147" s="46" t="str">
        <f ca="1">VLOOKUP($C147,OFFSET(enemy_skills!$A$1,0,0,COUNTA(enemy_skills!$A:$A),MATCH(E$1,enemy_skills!$1:$1,0)-MATCH("enemy_skill_id",enemy_skills!$1:$1,0)+1),MATCH(E$1,enemy_skills!$1:$1,0)-MATCH("enemy_skill_id",enemy_skills!$1:$1,0)+1,FALSE)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47" s="121">
        <v>49015146</v>
      </c>
      <c r="G147" s="48">
        <f ca="1">VLOOKUP($F147,OFFSET(enemy_skill_triggers!$A$1,0,0,COUNTA(enemy_skill_triggers!$A:$A),MATCH(G$1,enemy_skill_triggers!$1:$1,0)-MATCH($F$1,enemy_skill_triggers!$1:$1,0)+1),MATCH(G$1,enemy_skill_triggers!$1:$1,0)-MATCH($F$1,enemy_skill_triggers!$1:$1,0)+1,FALSE)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7" s="48" t="str">
        <f ca="1">VLOOKUP($F147,OFFSET(enemy_skill_triggers!$A$1,0,0,COUNTA(enemy_skill_triggers!$A:$A),MATCH(H$1,enemy_skill_triggers!$1:$1,0)-MATCH($F$1,enemy_skill_triggers!$1:$1,0)+1),MATCH(H$1,enemy_skill_triggers!$1:$1,0)-MATCH($F$1,enemy_skill_triggers!$1:$1,0)+1,FALSE)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7" s="48">
        <f ca="1">VLOOKUP($F147,OFFSET(enemy_skill_triggers!$A$1,0,0,COUNTA(enemy_skill_triggers!$A:$A),MATCH(I$1,enemy_skill_triggers!$1:$1,0)-MATCH($F$1,enemy_skill_triggers!$1:$1,0)+1),MATCH(I$1,enemy_skill_triggers!$1:$1,0)-MATCH($F$1,enemy_skill_triggers!$1:$1,0)+1,FALSE)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7" s="48" t="str">
        <f ca="1">VLOOKUP($F147,OFFSET(enemy_skill_triggers!$A$1,0,0,COUNTA(enemy_skill_triggers!$A:$A),MATCH(J$1,enemy_skill_triggers!$1:$1,0)-MATCH($F$1,enemy_skill_triggers!$1:$1,0)+1),MATCH(J$1,enemy_skill_triggers!$1:$1,0)-MATCH($F$1,enemy_skill_triggers!$1:$1,0)+1,FALSE)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7" s="48" t="str">
        <f ca="1">VLOOKUP($F147,OFFSET(enemy_skill_triggers!$A$1,0,0,COUNTA(enemy_skill_triggers!$A:$A),MATCH(K$1,enemy_skill_triggers!$1:$1,0)-MATCH($F$1,enemy_skill_triggers!$1:$1,0)+1),MATCH(K$1,enemy_skill_triggers!$1:$1,0)-MATCH($F$1,enemy_skill_triggers!$1:$1,0)+1,FALSE)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7" s="48" t="str">
        <f ca="1">VLOOKUP($F147,OFFSET(enemy_skill_triggers!$A$1,0,0,COUNTA(enemy_skill_triggers!$A:$A),MATCH(L$1,enemy_skill_triggers!$1:$1,0)-MATCH($F$1,enemy_skill_triggers!$1:$1,0)+1),MATCH(L$1,enemy_skill_triggers!$1:$1,0)-MATCH($F$1,enemy_skill_triggers!$1:$1,0)+1,FALSE)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7" s="48" t="str">
        <f ca="1">VLOOKUP($F147,OFFSET(enemy_skill_triggers!$A$1,0,0,COUNTA(enemy_skill_triggers!$A:$A),MATCH(M$1,enemy_skill_triggers!$1:$1,0)-MATCH($F$1,enemy_skill_triggers!$1:$1,0)+1),MATCH(M$1,enemy_skill_triggers!$1:$1,0)-MATCH($F$1,enemy_skill_triggers!$1:$1,0)+1,FALSE)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7" s="48" t="str">
        <f ca="1">VLOOKUP($F147,OFFSET(enemy_skill_triggers!$A$1,0,0,COUNTA(enemy_skill_triggers!$A:$A),MATCH(N$1,enemy_skill_triggers!$1:$1,0)-MATCH($F$1,enemy_skill_triggers!$1:$1,0)+1),MATCH(N$1,enemy_skill_triggers!$1:$1,0)-MATCH($F$1,enemy_skill_triggers!$1:$1,0)+1,FALSE)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7" s="48">
        <f ca="1">VLOOKUP($F147,OFFSET(enemy_skill_triggers!$A$1,0,0,COUNTA(enemy_skill_triggers!$A:$A),MATCH(O$1,enemy_skill_triggers!$1:$1,0)-MATCH($F$1,enemy_skill_triggers!$1:$1,0)+1),MATCH(O$1,enemy_skill_triggers!$1:$1,0)-MATCH($F$1,enemy_skill_triggers!$1:$1,0)+1,FALSE)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7" s="47"/>
      <c r="Q147" s="47"/>
      <c r="R147" s="47"/>
    </row>
    <row r="148" spans="1:18" ht="21" customHeight="1" x14ac:dyDescent="0.15">
      <c r="A148" s="39" t="str">
        <f t="shared" si="2"/>
        <v>49015011_49015109</v>
      </c>
      <c r="B148" s="47">
        <v>49015011</v>
      </c>
      <c r="C148" s="121">
        <v>49015109</v>
      </c>
      <c r="D148" s="46" t="str">
        <f ca="1">VLOOKUP($C148,OFFSET(enemy_skills!$A$1,0,0,COUNTA(enemy_skills!$A:$A),MATCH(D$1,enemy_skills!$1:$1,0)-MATCH("enemy_skill_id",enemy_skills!$1:$1,0)+1),MATCH(D$1,enemy_skills!$1:$1,0)-MATCH("enemy_skill_id",enemy_skills!$1:$1,0)+1,FALSE)</f>
        <v>こっちの得物の方がしっくりくるわ</v>
      </c>
      <c r="E148" s="46" t="str">
        <f ca="1">VLOOKUP($C148,OFFSET(enemy_skills!$A$1,0,0,COUNTA(enemy_skills!$A:$A),MATCH(E$1,enemy_skills!$1:$1,0)-MATCH("enemy_skill_id",enemy_skills!$1:$1,0)+1),MATCH(E$1,enemy_skills!$1:$1,0)-MATCH("enemy_skill_id",enemy_skills!$1:$1,0)+1,FALSE)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48" s="121">
        <v>49015147</v>
      </c>
      <c r="G148" s="48">
        <f ca="1">VLOOKUP($F148,OFFSET(enemy_skill_triggers!$A$1,0,0,COUNTA(enemy_skill_triggers!$A:$A),MATCH(G$1,enemy_skill_triggers!$1:$1,0)-MATCH($F$1,enemy_skill_triggers!$1:$1,0)+1),MATCH(G$1,enemy_skill_triggers!$1:$1,0)-MATCH($F$1,enemy_skill_triggers!$1:$1,0)+1,FALSE)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8" s="48" t="str">
        <f ca="1">VLOOKUP($F148,OFFSET(enemy_skill_triggers!$A$1,0,0,COUNTA(enemy_skill_triggers!$A:$A),MATCH(H$1,enemy_skill_triggers!$1:$1,0)-MATCH($F$1,enemy_skill_triggers!$1:$1,0)+1),MATCH(H$1,enemy_skill_triggers!$1:$1,0)-MATCH($F$1,enemy_skill_triggers!$1:$1,0)+1,FALSE)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8" s="48">
        <f ca="1">VLOOKUP($F148,OFFSET(enemy_skill_triggers!$A$1,0,0,COUNTA(enemy_skill_triggers!$A:$A),MATCH(I$1,enemy_skill_triggers!$1:$1,0)-MATCH($F$1,enemy_skill_triggers!$1:$1,0)+1),MATCH(I$1,enemy_skill_triggers!$1:$1,0)-MATCH($F$1,enemy_skill_triggers!$1:$1,0)+1,FALSE)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8" s="48" t="str">
        <f ca="1">VLOOKUP($F148,OFFSET(enemy_skill_triggers!$A$1,0,0,COUNTA(enemy_skill_triggers!$A:$A),MATCH(J$1,enemy_skill_triggers!$1:$1,0)-MATCH($F$1,enemy_skill_triggers!$1:$1,0)+1),MATCH(J$1,enemy_skill_triggers!$1:$1,0)-MATCH($F$1,enemy_skill_triggers!$1:$1,0)+1,FALSE)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8" s="48" t="str">
        <f ca="1">VLOOKUP($F148,OFFSET(enemy_skill_triggers!$A$1,0,0,COUNTA(enemy_skill_triggers!$A:$A),MATCH(K$1,enemy_skill_triggers!$1:$1,0)-MATCH($F$1,enemy_skill_triggers!$1:$1,0)+1),MATCH(K$1,enemy_skill_triggers!$1:$1,0)-MATCH($F$1,enemy_skill_triggers!$1:$1,0)+1,FALSE)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8" s="48" t="str">
        <f ca="1">VLOOKUP($F148,OFFSET(enemy_skill_triggers!$A$1,0,0,COUNTA(enemy_skill_triggers!$A:$A),MATCH(L$1,enemy_skill_triggers!$1:$1,0)-MATCH($F$1,enemy_skill_triggers!$1:$1,0)+1),MATCH(L$1,enemy_skill_triggers!$1:$1,0)-MATCH($F$1,enemy_skill_triggers!$1:$1,0)+1,FALSE)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8" s="48" t="str">
        <f ca="1">VLOOKUP($F148,OFFSET(enemy_skill_triggers!$A$1,0,0,COUNTA(enemy_skill_triggers!$A:$A),MATCH(M$1,enemy_skill_triggers!$1:$1,0)-MATCH($F$1,enemy_skill_triggers!$1:$1,0)+1),MATCH(M$1,enemy_skill_triggers!$1:$1,0)-MATCH($F$1,enemy_skill_triggers!$1:$1,0)+1,FALSE)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8" s="48" t="str">
        <f ca="1">VLOOKUP($F148,OFFSET(enemy_skill_triggers!$A$1,0,0,COUNTA(enemy_skill_triggers!$A:$A),MATCH(N$1,enemy_skill_triggers!$1:$1,0)-MATCH($F$1,enemy_skill_triggers!$1:$1,0)+1),MATCH(N$1,enemy_skill_triggers!$1:$1,0)-MATCH($F$1,enemy_skill_triggers!$1:$1,0)+1,FALSE)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8" s="48">
        <f ca="1">VLOOKUP($F148,OFFSET(enemy_skill_triggers!$A$1,0,0,COUNTA(enemy_skill_triggers!$A:$A),MATCH(O$1,enemy_skill_triggers!$1:$1,0)-MATCH($F$1,enemy_skill_triggers!$1:$1,0)+1),MATCH(O$1,enemy_skill_triggers!$1:$1,0)-MATCH($F$1,enemy_skill_triggers!$1:$1,0)+1,FALSE)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8" s="47"/>
      <c r="Q148" s="47"/>
      <c r="R148" s="47"/>
    </row>
    <row r="149" spans="1:18" ht="21" customHeight="1" thickBot="1" x14ac:dyDescent="0.2">
      <c r="A149" s="39" t="str">
        <f t="shared" si="2"/>
        <v>49015011_49015110</v>
      </c>
      <c r="B149" s="111">
        <v>49015011</v>
      </c>
      <c r="C149" s="122">
        <v>49015110</v>
      </c>
      <c r="D149" s="145" t="str">
        <f ca="1">VLOOKUP($C149,OFFSET(enemy_skills!$A$1,0,0,COUNTA(enemy_skills!$A:$A),MATCH(D$1,enemy_skills!$1:$1,0)-MATCH("enemy_skill_id",enemy_skills!$1:$1,0)+1),MATCH(D$1,enemy_skills!$1:$1,0)-MATCH("enemy_skill_id",enemy_skills!$1:$1,0)+1,FALSE)</f>
        <v>歳はとりたくないものだ</v>
      </c>
      <c r="E149" s="145" t="str">
        <f ca="1">VLOOKUP($C149,OFFSET(enemy_skills!$A$1,0,0,COUNTA(enemy_skills!$A:$A),MATCH(E$1,enemy_skills!$1:$1,0)-MATCH("enemy_skill_id",enemy_skills!$1:$1,0)+1),MATCH(E$1,enemy_skills!$1:$1,0)-MATCH("enemy_skill_id",enemy_skills!$1:$1,0)+1,FALSE)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49" s="122">
        <v>49015148</v>
      </c>
      <c r="G149" s="114">
        <f ca="1">VLOOKUP($F149,OFFSET(enemy_skill_triggers!$A$1,0,0,COUNTA(enemy_skill_triggers!$A:$A),MATCH(G$1,enemy_skill_triggers!$1:$1,0)-MATCH($F$1,enemy_skill_triggers!$1:$1,0)+1),MATCH(G$1,enemy_skill_triggers!$1:$1,0)-MATCH($F$1,enemy_skill_triggers!$1:$1,0)+1,FALSE)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9" s="114" t="str">
        <f ca="1">VLOOKUP($F149,OFFSET(enemy_skill_triggers!$A$1,0,0,COUNTA(enemy_skill_triggers!$A:$A),MATCH(H$1,enemy_skill_triggers!$1:$1,0)-MATCH($F$1,enemy_skill_triggers!$1:$1,0)+1),MATCH(H$1,enemy_skill_triggers!$1:$1,0)-MATCH($F$1,enemy_skill_triggers!$1:$1,0)+1,FALSE)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9" s="114">
        <f ca="1">VLOOKUP($F149,OFFSET(enemy_skill_triggers!$A$1,0,0,COUNTA(enemy_skill_triggers!$A:$A),MATCH(I$1,enemy_skill_triggers!$1:$1,0)-MATCH($F$1,enemy_skill_triggers!$1:$1,0)+1),MATCH(I$1,enemy_skill_triggers!$1:$1,0)-MATCH($F$1,enemy_skill_triggers!$1:$1,0)+1,FALSE)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9" s="114" t="str">
        <f ca="1">VLOOKUP($F149,OFFSET(enemy_skill_triggers!$A$1,0,0,COUNTA(enemy_skill_triggers!$A:$A),MATCH(J$1,enemy_skill_triggers!$1:$1,0)-MATCH($F$1,enemy_skill_triggers!$1:$1,0)+1),MATCH(J$1,enemy_skill_triggers!$1:$1,0)-MATCH($F$1,enemy_skill_triggers!$1:$1,0)+1,FALSE)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9" s="114" t="str">
        <f ca="1">VLOOKUP($F149,OFFSET(enemy_skill_triggers!$A$1,0,0,COUNTA(enemy_skill_triggers!$A:$A),MATCH(K$1,enemy_skill_triggers!$1:$1,0)-MATCH($F$1,enemy_skill_triggers!$1:$1,0)+1),MATCH(K$1,enemy_skill_triggers!$1:$1,0)-MATCH($F$1,enemy_skill_triggers!$1:$1,0)+1,FALSE)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9" s="114" t="str">
        <f ca="1">VLOOKUP($F149,OFFSET(enemy_skill_triggers!$A$1,0,0,COUNTA(enemy_skill_triggers!$A:$A),MATCH(L$1,enemy_skill_triggers!$1:$1,0)-MATCH($F$1,enemy_skill_triggers!$1:$1,0)+1),MATCH(L$1,enemy_skill_triggers!$1:$1,0)-MATCH($F$1,enemy_skill_triggers!$1:$1,0)+1,FALSE)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9" s="114">
        <f ca="1">VLOOKUP($F149,OFFSET(enemy_skill_triggers!$A$1,0,0,COUNTA(enemy_skill_triggers!$A:$A),MATCH(M$1,enemy_skill_triggers!$1:$1,0)-MATCH($F$1,enemy_skill_triggers!$1:$1,0)+1),MATCH(M$1,enemy_skill_triggers!$1:$1,0)-MATCH($F$1,enemy_skill_triggers!$1:$1,0)+1,FALSE)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49" s="114" t="str">
        <f ca="1">VLOOKUP($F149,OFFSET(enemy_skill_triggers!$A$1,0,0,COUNTA(enemy_skill_triggers!$A:$A),MATCH(N$1,enemy_skill_triggers!$1:$1,0)-MATCH($F$1,enemy_skill_triggers!$1:$1,0)+1),MATCH(N$1,enemy_skill_triggers!$1:$1,0)-MATCH($F$1,enemy_skill_triggers!$1:$1,0)+1,FALSE)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9" s="114">
        <f ca="1">VLOOKUP($F149,OFFSET(enemy_skill_triggers!$A$1,0,0,COUNTA(enemy_skill_triggers!$A:$A),MATCH(O$1,enemy_skill_triggers!$1:$1,0)-MATCH($F$1,enemy_skill_triggers!$1:$1,0)+1),MATCH(O$1,enemy_skill_triggers!$1:$1,0)-MATCH($F$1,enemy_skill_triggers!$1:$1,0)+1,FALSE)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9" s="111"/>
      <c r="Q149" s="111"/>
      <c r="R149" s="111"/>
    </row>
    <row r="150" spans="1:18" ht="21" customHeight="1" x14ac:dyDescent="0.15">
      <c r="A150" s="39" t="str">
        <f t="shared" si="2"/>
        <v>49015012_49015111</v>
      </c>
      <c r="B150" s="106">
        <v>49015012</v>
      </c>
      <c r="C150" s="123">
        <v>49015111</v>
      </c>
      <c r="D150" s="144" t="str">
        <f ca="1">VLOOKUP($C150,OFFSET(enemy_skills!$A$1,0,0,COUNTA(enemy_skills!$A:$A),MATCH(D$1,enemy_skills!$1:$1,0)-MATCH("enemy_skill_id",enemy_skills!$1:$1,0)+1),MATCH(D$1,enemy_skills!$1:$1,0)-MATCH("enemy_skill_id",enemy_skills!$1:$1,0)+1,FALSE)</f>
        <v>最強の目を持って迎えてやろう</v>
      </c>
      <c r="E150" s="144" t="str">
        <f ca="1">VLOOKUP($C150,OFFSET(enemy_skills!$A$1,0,0,COUNTA(enemy_skills!$A:$A),MATCH(E$1,enemy_skills!$1:$1,0)-MATCH("enemy_skill_id",enemy_skills!$1:$1,0)+1),MATCH(E$1,enemy_skills!$1:$1,0)-MATCH("enemy_skill_id",enemy_skills!$1:$1,0)+1,FALSE)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50" s="123">
        <v>49015149</v>
      </c>
      <c r="G150" s="109">
        <f ca="1">VLOOKUP($F150,OFFSET(enemy_skill_triggers!$A$1,0,0,COUNTA(enemy_skill_triggers!$A:$A),MATCH(G$1,enemy_skill_triggers!$1:$1,0)-MATCH($F$1,enemy_skill_triggers!$1:$1,0)+1),MATCH(G$1,enemy_skill_triggers!$1:$1,0)-MATCH($F$1,enemy_skill_triggers!$1:$1,0)+1,FALSE)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0" s="109">
        <f ca="1">VLOOKUP($F150,OFFSET(enemy_skill_triggers!$A$1,0,0,COUNTA(enemy_skill_triggers!$A:$A),MATCH(H$1,enemy_skill_triggers!$1:$1,0)-MATCH($F$1,enemy_skill_triggers!$1:$1,0)+1),MATCH(H$1,enemy_skill_triggers!$1:$1,0)-MATCH($F$1,enemy_skill_triggers!$1:$1,0)+1,FALSE)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0" s="109">
        <f ca="1">VLOOKUP($F150,OFFSET(enemy_skill_triggers!$A$1,0,0,COUNTA(enemy_skill_triggers!$A:$A),MATCH(I$1,enemy_skill_triggers!$1:$1,0)-MATCH($F$1,enemy_skill_triggers!$1:$1,0)+1),MATCH(I$1,enemy_skill_triggers!$1:$1,0)-MATCH($F$1,enemy_skill_triggers!$1:$1,0)+1,FALSE)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0" s="109" t="str">
        <f ca="1">VLOOKUP($F150,OFFSET(enemy_skill_triggers!$A$1,0,0,COUNTA(enemy_skill_triggers!$A:$A),MATCH(J$1,enemy_skill_triggers!$1:$1,0)-MATCH($F$1,enemy_skill_triggers!$1:$1,0)+1),MATCH(J$1,enemy_skill_triggers!$1:$1,0)-MATCH($F$1,enemy_skill_triggers!$1:$1,0)+1,FALSE)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0" s="109" t="str">
        <f ca="1">VLOOKUP($F150,OFFSET(enemy_skill_triggers!$A$1,0,0,COUNTA(enemy_skill_triggers!$A:$A),MATCH(K$1,enemy_skill_triggers!$1:$1,0)-MATCH($F$1,enemy_skill_triggers!$1:$1,0)+1),MATCH(K$1,enemy_skill_triggers!$1:$1,0)-MATCH($F$1,enemy_skill_triggers!$1:$1,0)+1,FALSE)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0" s="109">
        <f ca="1">VLOOKUP($F150,OFFSET(enemy_skill_triggers!$A$1,0,0,COUNTA(enemy_skill_triggers!$A:$A),MATCH(L$1,enemy_skill_triggers!$1:$1,0)-MATCH($F$1,enemy_skill_triggers!$1:$1,0)+1),MATCH(L$1,enemy_skill_triggers!$1:$1,0)-MATCH($F$1,enemy_skill_triggers!$1:$1,0)+1,FALSE)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0" s="109" t="str">
        <f ca="1">VLOOKUP($F150,OFFSET(enemy_skill_triggers!$A$1,0,0,COUNTA(enemy_skill_triggers!$A:$A),MATCH(M$1,enemy_skill_triggers!$1:$1,0)-MATCH($F$1,enemy_skill_triggers!$1:$1,0)+1),MATCH(M$1,enemy_skill_triggers!$1:$1,0)-MATCH($F$1,enemy_skill_triggers!$1:$1,0)+1,FALSE)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0" s="109" t="str">
        <f ca="1">VLOOKUP($F150,OFFSET(enemy_skill_triggers!$A$1,0,0,COUNTA(enemy_skill_triggers!$A:$A),MATCH(N$1,enemy_skill_triggers!$1:$1,0)-MATCH($F$1,enemy_skill_triggers!$1:$1,0)+1),MATCH(N$1,enemy_skill_triggers!$1:$1,0)-MATCH($F$1,enemy_skill_triggers!$1:$1,0)+1,FALSE)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0" s="109">
        <f ca="1">VLOOKUP($F150,OFFSET(enemy_skill_triggers!$A$1,0,0,COUNTA(enemy_skill_triggers!$A:$A),MATCH(O$1,enemy_skill_triggers!$1:$1,0)-MATCH($F$1,enemy_skill_triggers!$1:$1,0)+1),MATCH(O$1,enemy_skill_triggers!$1:$1,0)-MATCH($F$1,enemy_skill_triggers!$1:$1,0)+1,FALSE)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0" s="106"/>
      <c r="Q150" s="106"/>
      <c r="R150" s="106"/>
    </row>
    <row r="151" spans="1:18" ht="21" customHeight="1" x14ac:dyDescent="0.15">
      <c r="A151" s="39" t="str">
        <f t="shared" si="2"/>
        <v>49015012_49015112</v>
      </c>
      <c r="B151" s="106">
        <v>49015012</v>
      </c>
      <c r="C151" s="121">
        <v>49015112</v>
      </c>
      <c r="D151" s="46" t="str">
        <f ca="1">VLOOKUP($C151,OFFSET(enemy_skills!$A$1,0,0,COUNTA(enemy_skills!$A:$A),MATCH(D$1,enemy_skills!$1:$1,0)-MATCH("enemy_skill_id",enemy_skills!$1:$1,0)+1),MATCH(D$1,enemy_skills!$1:$1,0)-MATCH("enemy_skill_id",enemy_skills!$1:$1,0)+1,FALSE)</f>
        <v>ブラッドレイ式剣術</v>
      </c>
      <c r="E151" s="46" t="str">
        <f ca="1">VLOOKUP($C151,OFFSET(enemy_skills!$A$1,0,0,COUNTA(enemy_skills!$A:$A),MATCH(E$1,enemy_skills!$1:$1,0)-MATCH("enemy_skill_id",enemy_skills!$1:$1,0)+1),MATCH(E$1,enemy_skills!$1:$1,0)-MATCH("enemy_skill_id",enemy_skills!$1:$1,0)+1,FALSE)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51" s="121">
        <v>49015150</v>
      </c>
      <c r="G151" s="48">
        <f ca="1">VLOOKUP($F151,OFFSET(enemy_skill_triggers!$A$1,0,0,COUNTA(enemy_skill_triggers!$A:$A),MATCH(G$1,enemy_skill_triggers!$1:$1,0)-MATCH($F$1,enemy_skill_triggers!$1:$1,0)+1),MATCH(G$1,enemy_skill_triggers!$1:$1,0)-MATCH($F$1,enemy_skill_triggers!$1:$1,0)+1,FALSE)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1" s="48">
        <f ca="1">VLOOKUP($F151,OFFSET(enemy_skill_triggers!$A$1,0,0,COUNTA(enemy_skill_triggers!$A:$A),MATCH(H$1,enemy_skill_triggers!$1:$1,0)-MATCH($F$1,enemy_skill_triggers!$1:$1,0)+1),MATCH(H$1,enemy_skill_triggers!$1:$1,0)-MATCH($F$1,enemy_skill_triggers!$1:$1,0)+1,FALSE)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51" s="48">
        <f ca="1">VLOOKUP($F151,OFFSET(enemy_skill_triggers!$A$1,0,0,COUNTA(enemy_skill_triggers!$A:$A),MATCH(I$1,enemy_skill_triggers!$1:$1,0)-MATCH($F$1,enemy_skill_triggers!$1:$1,0)+1),MATCH(I$1,enemy_skill_triggers!$1:$1,0)-MATCH($F$1,enemy_skill_triggers!$1:$1,0)+1,FALSE)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1" s="48" t="str">
        <f ca="1">VLOOKUP($F151,OFFSET(enemy_skill_triggers!$A$1,0,0,COUNTA(enemy_skill_triggers!$A:$A),MATCH(J$1,enemy_skill_triggers!$1:$1,0)-MATCH($F$1,enemy_skill_triggers!$1:$1,0)+1),MATCH(J$1,enemy_skill_triggers!$1:$1,0)-MATCH($F$1,enemy_skill_triggers!$1:$1,0)+1,FALSE)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1" s="48" t="str">
        <f ca="1">VLOOKUP($F151,OFFSET(enemy_skill_triggers!$A$1,0,0,COUNTA(enemy_skill_triggers!$A:$A),MATCH(K$1,enemy_skill_triggers!$1:$1,0)-MATCH($F$1,enemy_skill_triggers!$1:$1,0)+1),MATCH(K$1,enemy_skill_triggers!$1:$1,0)-MATCH($F$1,enemy_skill_triggers!$1:$1,0)+1,FALSE)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1" s="48" t="str">
        <f ca="1">VLOOKUP($F151,OFFSET(enemy_skill_triggers!$A$1,0,0,COUNTA(enemy_skill_triggers!$A:$A),MATCH(L$1,enemy_skill_triggers!$1:$1,0)-MATCH($F$1,enemy_skill_triggers!$1:$1,0)+1),MATCH(L$1,enemy_skill_triggers!$1:$1,0)-MATCH($F$1,enemy_skill_triggers!$1:$1,0)+1,FALSE)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1" s="48" t="str">
        <f ca="1">VLOOKUP($F151,OFFSET(enemy_skill_triggers!$A$1,0,0,COUNTA(enemy_skill_triggers!$A:$A),MATCH(M$1,enemy_skill_triggers!$1:$1,0)-MATCH($F$1,enemy_skill_triggers!$1:$1,0)+1),MATCH(M$1,enemy_skill_triggers!$1:$1,0)-MATCH($F$1,enemy_skill_triggers!$1:$1,0)+1,FALSE)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1" s="48" t="str">
        <f ca="1">VLOOKUP($F151,OFFSET(enemy_skill_triggers!$A$1,0,0,COUNTA(enemy_skill_triggers!$A:$A),MATCH(N$1,enemy_skill_triggers!$1:$1,0)-MATCH($F$1,enemy_skill_triggers!$1:$1,0)+1),MATCH(N$1,enemy_skill_triggers!$1:$1,0)-MATCH($F$1,enemy_skill_triggers!$1:$1,0)+1,FALSE)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1" s="48">
        <f ca="1">VLOOKUP($F151,OFFSET(enemy_skill_triggers!$A$1,0,0,COUNTA(enemy_skill_triggers!$A:$A),MATCH(O$1,enemy_skill_triggers!$1:$1,0)-MATCH($F$1,enemy_skill_triggers!$1:$1,0)+1),MATCH(O$1,enemy_skill_triggers!$1:$1,0)-MATCH($F$1,enemy_skill_triggers!$1:$1,0)+1,FALSE)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1" s="47"/>
      <c r="Q151" s="47"/>
      <c r="R151" s="47"/>
    </row>
    <row r="152" spans="1:18" ht="21" customHeight="1" x14ac:dyDescent="0.15">
      <c r="A152" s="39" t="str">
        <f t="shared" si="2"/>
        <v>49015012_49015113</v>
      </c>
      <c r="B152" s="106">
        <v>49015012</v>
      </c>
      <c r="C152" s="121">
        <v>49015113</v>
      </c>
      <c r="D152" s="46" t="str">
        <f ca="1">VLOOKUP($C152,OFFSET(enemy_skills!$A$1,0,0,COUNTA(enemy_skills!$A:$A),MATCH(D$1,enemy_skills!$1:$1,0)-MATCH("enemy_skill_id",enemy_skills!$1:$1,0)+1),MATCH(D$1,enemy_skills!$1:$1,0)-MATCH("enemy_skill_id",enemy_skills!$1:$1,0)+1,FALSE)</f>
        <v>こっちの得物の方がしっくりくるわ</v>
      </c>
      <c r="E152" s="46" t="str">
        <f ca="1">VLOOKUP($C152,OFFSET(enemy_skills!$A$1,0,0,COUNTA(enemy_skills!$A:$A),MATCH(E$1,enemy_skills!$1:$1,0)-MATCH("enemy_skill_id",enemy_skills!$1:$1,0)+1),MATCH(E$1,enemy_skills!$1:$1,0)-MATCH("enemy_skill_id",enemy_skills!$1:$1,0)+1,FALSE)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52" s="121">
        <v>49015151</v>
      </c>
      <c r="G152" s="48">
        <f ca="1">VLOOKUP($F152,OFFSET(enemy_skill_triggers!$A$1,0,0,COUNTA(enemy_skill_triggers!$A:$A),MATCH(G$1,enemy_skill_triggers!$1:$1,0)-MATCH($F$1,enemy_skill_triggers!$1:$1,0)+1),MATCH(G$1,enemy_skill_triggers!$1:$1,0)-MATCH($F$1,enemy_skill_triggers!$1:$1,0)+1,FALSE)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2" s="48">
        <f ca="1">VLOOKUP($F152,OFFSET(enemy_skill_triggers!$A$1,0,0,COUNTA(enemy_skill_triggers!$A:$A),MATCH(H$1,enemy_skill_triggers!$1:$1,0)-MATCH($F$1,enemy_skill_triggers!$1:$1,0)+1),MATCH(H$1,enemy_skill_triggers!$1:$1,0)-MATCH($F$1,enemy_skill_triggers!$1:$1,0)+1,FALSE)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52" s="48">
        <f ca="1">VLOOKUP($F152,OFFSET(enemy_skill_triggers!$A$1,0,0,COUNTA(enemy_skill_triggers!$A:$A),MATCH(I$1,enemy_skill_triggers!$1:$1,0)-MATCH($F$1,enemy_skill_triggers!$1:$1,0)+1),MATCH(I$1,enemy_skill_triggers!$1:$1,0)-MATCH($F$1,enemy_skill_triggers!$1:$1,0)+1,FALSE)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2" s="48" t="str">
        <f ca="1">VLOOKUP($F152,OFFSET(enemy_skill_triggers!$A$1,0,0,COUNTA(enemy_skill_triggers!$A:$A),MATCH(J$1,enemy_skill_triggers!$1:$1,0)-MATCH($F$1,enemy_skill_triggers!$1:$1,0)+1),MATCH(J$1,enemy_skill_triggers!$1:$1,0)-MATCH($F$1,enemy_skill_triggers!$1:$1,0)+1,FALSE)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2" s="48" t="str">
        <f ca="1">VLOOKUP($F152,OFFSET(enemy_skill_triggers!$A$1,0,0,COUNTA(enemy_skill_triggers!$A:$A),MATCH(K$1,enemy_skill_triggers!$1:$1,0)-MATCH($F$1,enemy_skill_triggers!$1:$1,0)+1),MATCH(K$1,enemy_skill_triggers!$1:$1,0)-MATCH($F$1,enemy_skill_triggers!$1:$1,0)+1,FALSE)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2" s="48" t="str">
        <f ca="1">VLOOKUP($F152,OFFSET(enemy_skill_triggers!$A$1,0,0,COUNTA(enemy_skill_triggers!$A:$A),MATCH(L$1,enemy_skill_triggers!$1:$1,0)-MATCH($F$1,enemy_skill_triggers!$1:$1,0)+1),MATCH(L$1,enemy_skill_triggers!$1:$1,0)-MATCH($F$1,enemy_skill_triggers!$1:$1,0)+1,FALSE)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2" s="48" t="str">
        <f ca="1">VLOOKUP($F152,OFFSET(enemy_skill_triggers!$A$1,0,0,COUNTA(enemy_skill_triggers!$A:$A),MATCH(M$1,enemy_skill_triggers!$1:$1,0)-MATCH($F$1,enemy_skill_triggers!$1:$1,0)+1),MATCH(M$1,enemy_skill_triggers!$1:$1,0)-MATCH($F$1,enemy_skill_triggers!$1:$1,0)+1,FALSE)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2" s="48" t="str">
        <f ca="1">VLOOKUP($F152,OFFSET(enemy_skill_triggers!$A$1,0,0,COUNTA(enemy_skill_triggers!$A:$A),MATCH(N$1,enemy_skill_triggers!$1:$1,0)-MATCH($F$1,enemy_skill_triggers!$1:$1,0)+1),MATCH(N$1,enemy_skill_triggers!$1:$1,0)-MATCH($F$1,enemy_skill_triggers!$1:$1,0)+1,FALSE)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2" s="48">
        <f ca="1">VLOOKUP($F152,OFFSET(enemy_skill_triggers!$A$1,0,0,COUNTA(enemy_skill_triggers!$A:$A),MATCH(O$1,enemy_skill_triggers!$1:$1,0)-MATCH($F$1,enemy_skill_triggers!$1:$1,0)+1),MATCH(O$1,enemy_skill_triggers!$1:$1,0)-MATCH($F$1,enemy_skill_triggers!$1:$1,0)+1,FALSE)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2" s="47"/>
      <c r="Q152" s="47"/>
      <c r="R152" s="47"/>
    </row>
    <row r="153" spans="1:18" ht="21" customHeight="1" x14ac:dyDescent="0.15">
      <c r="A153" s="39" t="str">
        <f t="shared" si="2"/>
        <v>49015012_49015114</v>
      </c>
      <c r="B153" s="106">
        <v>49015012</v>
      </c>
      <c r="C153" s="121">
        <v>49015114</v>
      </c>
      <c r="D153" s="46" t="str">
        <f ca="1">VLOOKUP($C153,OFFSET(enemy_skills!$A$1,0,0,COUNTA(enemy_skills!$A:$A),MATCH(D$1,enemy_skills!$1:$1,0)-MATCH("enemy_skill_id",enemy_skills!$1:$1,0)+1),MATCH(D$1,enemy_skills!$1:$1,0)-MATCH("enemy_skill_id",enemy_skills!$1:$1,0)+1,FALSE)</f>
        <v>昔のようにいかんな</v>
      </c>
      <c r="E153" s="46" t="str">
        <f ca="1">VLOOKUP($C153,OFFSET(enemy_skills!$A$1,0,0,COUNTA(enemy_skills!$A:$A),MATCH(E$1,enemy_skills!$1:$1,0)-MATCH("enemy_skill_id",enemy_skills!$1:$1,0)+1),MATCH(E$1,enemy_skills!$1:$1,0)-MATCH("enemy_skill_id",enemy_skills!$1:$1,0)+1,FALSE)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53" s="121">
        <v>49015152</v>
      </c>
      <c r="G153" s="48">
        <f ca="1">VLOOKUP($F153,OFFSET(enemy_skill_triggers!$A$1,0,0,COUNTA(enemy_skill_triggers!$A:$A),MATCH(G$1,enemy_skill_triggers!$1:$1,0)-MATCH($F$1,enemy_skill_triggers!$1:$1,0)+1),MATCH(G$1,enemy_skill_triggers!$1:$1,0)-MATCH($F$1,enemy_skill_triggers!$1:$1,0)+1,FALSE)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3" s="48">
        <f ca="1">VLOOKUP($F153,OFFSET(enemy_skill_triggers!$A$1,0,0,COUNTA(enemy_skill_triggers!$A:$A),MATCH(H$1,enemy_skill_triggers!$1:$1,0)-MATCH($F$1,enemy_skill_triggers!$1:$1,0)+1),MATCH(H$1,enemy_skill_triggers!$1:$1,0)-MATCH($F$1,enemy_skill_triggers!$1:$1,0)+1,FALSE)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53" s="48">
        <f ca="1">VLOOKUP($F153,OFFSET(enemy_skill_triggers!$A$1,0,0,COUNTA(enemy_skill_triggers!$A:$A),MATCH(I$1,enemy_skill_triggers!$1:$1,0)-MATCH($F$1,enemy_skill_triggers!$1:$1,0)+1),MATCH(I$1,enemy_skill_triggers!$1:$1,0)-MATCH($F$1,enemy_skill_triggers!$1:$1,0)+1,FALSE)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3" s="48" t="str">
        <f ca="1">VLOOKUP($F153,OFFSET(enemy_skill_triggers!$A$1,0,0,COUNTA(enemy_skill_triggers!$A:$A),MATCH(J$1,enemy_skill_triggers!$1:$1,0)-MATCH($F$1,enemy_skill_triggers!$1:$1,0)+1),MATCH(J$1,enemy_skill_triggers!$1:$1,0)-MATCH($F$1,enemy_skill_triggers!$1:$1,0)+1,FALSE)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3" s="48" t="str">
        <f ca="1">VLOOKUP($F153,OFFSET(enemy_skill_triggers!$A$1,0,0,COUNTA(enemy_skill_triggers!$A:$A),MATCH(K$1,enemy_skill_triggers!$1:$1,0)-MATCH($F$1,enemy_skill_triggers!$1:$1,0)+1),MATCH(K$1,enemy_skill_triggers!$1:$1,0)-MATCH($F$1,enemy_skill_triggers!$1:$1,0)+1,FALSE)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3" s="48" t="str">
        <f ca="1">VLOOKUP($F153,OFFSET(enemy_skill_triggers!$A$1,0,0,COUNTA(enemy_skill_triggers!$A:$A),MATCH(L$1,enemy_skill_triggers!$1:$1,0)-MATCH($F$1,enemy_skill_triggers!$1:$1,0)+1),MATCH(L$1,enemy_skill_triggers!$1:$1,0)-MATCH($F$1,enemy_skill_triggers!$1:$1,0)+1,FALSE)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3" s="48">
        <f ca="1">VLOOKUP($F153,OFFSET(enemy_skill_triggers!$A$1,0,0,COUNTA(enemy_skill_triggers!$A:$A),MATCH(M$1,enemy_skill_triggers!$1:$1,0)-MATCH($F$1,enemy_skill_triggers!$1:$1,0)+1),MATCH(M$1,enemy_skill_triggers!$1:$1,0)-MATCH($F$1,enemy_skill_triggers!$1:$1,0)+1,FALSE)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53" s="48" t="str">
        <f ca="1">VLOOKUP($F153,OFFSET(enemy_skill_triggers!$A$1,0,0,COUNTA(enemy_skill_triggers!$A:$A),MATCH(N$1,enemy_skill_triggers!$1:$1,0)-MATCH($F$1,enemy_skill_triggers!$1:$1,0)+1),MATCH(N$1,enemy_skill_triggers!$1:$1,0)-MATCH($F$1,enemy_skill_triggers!$1:$1,0)+1,FALSE)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3" s="48">
        <f ca="1">VLOOKUP($F153,OFFSET(enemy_skill_triggers!$A$1,0,0,COUNTA(enemy_skill_triggers!$A:$A),MATCH(O$1,enemy_skill_triggers!$1:$1,0)-MATCH($F$1,enemy_skill_triggers!$1:$1,0)+1),MATCH(O$1,enemy_skill_triggers!$1:$1,0)-MATCH($F$1,enemy_skill_triggers!$1:$1,0)+1,FALSE)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3" s="47"/>
      <c r="Q153" s="47"/>
      <c r="R153" s="47"/>
    </row>
    <row r="154" spans="1:18" ht="21" customHeight="1" thickBot="1" x14ac:dyDescent="0.2">
      <c r="A154" s="39" t="str">
        <f t="shared" si="2"/>
        <v>49015012_49015115</v>
      </c>
      <c r="B154" s="111">
        <v>49015012</v>
      </c>
      <c r="C154" s="122">
        <v>49015115</v>
      </c>
      <c r="D154" s="145" t="str">
        <f ca="1">VLOOKUP($C154,OFFSET(enemy_skills!$A$1,0,0,COUNTA(enemy_skills!$A:$A),MATCH(D$1,enemy_skills!$1:$1,0)-MATCH("enemy_skill_id",enemy_skills!$1:$1,0)+1),MATCH(D$1,enemy_skills!$1:$1,0)-MATCH("enemy_skill_id",enemy_skills!$1:$1,0)+1,FALSE)</f>
        <v>ふむ潮時か</v>
      </c>
      <c r="E154" s="145" t="str">
        <f ca="1">VLOOKUP($C154,OFFSET(enemy_skills!$A$1,0,0,COUNTA(enemy_skills!$A:$A),MATCH(E$1,enemy_skills!$1:$1,0)-MATCH("enemy_skill_id",enemy_skills!$1:$1,0)+1),MATCH(E$1,enemy_skills!$1:$1,0)-MATCH("enemy_skill_id",enemy_skills!$1:$1,0)+1,FALSE)</f>
        <v>私はあちらに戻ろう</v>
      </c>
      <c r="F154" s="122">
        <v>49015153</v>
      </c>
      <c r="G154" s="114">
        <f ca="1">VLOOKUP($F154,OFFSET(enemy_skill_triggers!$A$1,0,0,COUNTA(enemy_skill_triggers!$A:$A),MATCH(G$1,enemy_skill_triggers!$1:$1,0)-MATCH($F$1,enemy_skill_triggers!$1:$1,0)+1),MATCH(G$1,enemy_skill_triggers!$1:$1,0)-MATCH($F$1,enemy_skill_triggers!$1:$1,0)+1,FALSE)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4" s="114">
        <f ca="1">VLOOKUP($F154,OFFSET(enemy_skill_triggers!$A$1,0,0,COUNTA(enemy_skill_triggers!$A:$A),MATCH(H$1,enemy_skill_triggers!$1:$1,0)-MATCH($F$1,enemy_skill_triggers!$1:$1,0)+1),MATCH(H$1,enemy_skill_triggers!$1:$1,0)-MATCH($F$1,enemy_skill_triggers!$1:$1,0)+1,FALSE)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54" s="114">
        <f ca="1">VLOOKUP($F154,OFFSET(enemy_skill_triggers!$A$1,0,0,COUNTA(enemy_skill_triggers!$A:$A),MATCH(I$1,enemy_skill_triggers!$1:$1,0)-MATCH($F$1,enemy_skill_triggers!$1:$1,0)+1),MATCH(I$1,enemy_skill_triggers!$1:$1,0)-MATCH($F$1,enemy_skill_triggers!$1:$1,0)+1,FALSE)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4" s="114">
        <f ca="1">VLOOKUP($F154,OFFSET(enemy_skill_triggers!$A$1,0,0,COUNTA(enemy_skill_triggers!$A:$A),MATCH(J$1,enemy_skill_triggers!$1:$1,0)-MATCH($F$1,enemy_skill_triggers!$1:$1,0)+1),MATCH(J$1,enemy_skill_triggers!$1:$1,0)-MATCH($F$1,enemy_skill_triggers!$1:$1,0)+1,FALSE)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154" s="114" t="str">
        <f ca="1">VLOOKUP($F154,OFFSET(enemy_skill_triggers!$A$1,0,0,COUNTA(enemy_skill_triggers!$A:$A),MATCH(K$1,enemy_skill_triggers!$1:$1,0)-MATCH($F$1,enemy_skill_triggers!$1:$1,0)+1),MATCH(K$1,enemy_skill_triggers!$1:$1,0)-MATCH($F$1,enemy_skill_triggers!$1:$1,0)+1,FALSE)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4" s="114">
        <f ca="1">VLOOKUP($F154,OFFSET(enemy_skill_triggers!$A$1,0,0,COUNTA(enemy_skill_triggers!$A:$A),MATCH(L$1,enemy_skill_triggers!$1:$1,0)-MATCH($F$1,enemy_skill_triggers!$1:$1,0)+1),MATCH(L$1,enemy_skill_triggers!$1:$1,0)-MATCH($F$1,enemy_skill_triggers!$1:$1,0)+1,FALSE)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4" s="114">
        <f ca="1">VLOOKUP($F154,OFFSET(enemy_skill_triggers!$A$1,0,0,COUNTA(enemy_skill_triggers!$A:$A),MATCH(M$1,enemy_skill_triggers!$1:$1,0)-MATCH($F$1,enemy_skill_triggers!$1:$1,0)+1),MATCH(M$1,enemy_skill_triggers!$1:$1,0)-MATCH($F$1,enemy_skill_triggers!$1:$1,0)+1,FALSE)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4" s="114" t="str">
        <f ca="1">VLOOKUP($F154,OFFSET(enemy_skill_triggers!$A$1,0,0,COUNTA(enemy_skill_triggers!$A:$A),MATCH(N$1,enemy_skill_triggers!$1:$1,0)-MATCH($F$1,enemy_skill_triggers!$1:$1,0)+1),MATCH(N$1,enemy_skill_triggers!$1:$1,0)-MATCH($F$1,enemy_skill_triggers!$1:$1,0)+1,FALSE)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4" s="114">
        <f ca="1">VLOOKUP($F154,OFFSET(enemy_skill_triggers!$A$1,0,0,COUNTA(enemy_skill_triggers!$A:$A),MATCH(O$1,enemy_skill_triggers!$1:$1,0)-MATCH($F$1,enemy_skill_triggers!$1:$1,0)+1),MATCH(O$1,enemy_skill_triggers!$1:$1,0)-MATCH($F$1,enemy_skill_triggers!$1:$1,0)+1,FALSE)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4" s="111"/>
      <c r="Q154" s="111"/>
      <c r="R154" s="111"/>
    </row>
    <row r="155" spans="1:18" ht="21" customHeight="1" x14ac:dyDescent="0.15">
      <c r="A155" s="39" t="str">
        <f t="shared" si="2"/>
        <v>49015013_49015116</v>
      </c>
      <c r="B155" s="106">
        <v>49015013</v>
      </c>
      <c r="C155" s="124">
        <v>49015116</v>
      </c>
      <c r="D155" s="144" t="str">
        <f ca="1">VLOOKUP($C155,OFFSET(enemy_skills!$A$1,0,0,COUNTA(enemy_skills!$A:$A),MATCH(D$1,enemy_skills!$1:$1,0)-MATCH("enemy_skill_id",enemy_skills!$1:$1,0)+1),MATCH(D$1,enemy_skills!$1:$1,0)-MATCH("enemy_skill_id",enemy_skills!$1:$1,0)+1,FALSE)</f>
        <v>初めまして、こちらの世界の方</v>
      </c>
      <c r="E155" s="144" t="str">
        <f ca="1">VLOOKUP($C155,OFFSET(enemy_skills!$A$1,0,0,COUNTA(enemy_skills!$A:$A),MATCH(E$1,enemy_skills!$1:$1,0)-MATCH("enemy_skill_id",enemy_skills!$1:$1,0)+1),MATCH(E$1,enemy_skills!$1:$1,0)-MATCH("enemy_skill_id",enemy_skills!$1:$1,0)+1,FALSE)</f>
        <v>特定エリアをお邪魔パネルと緑パネルに変換</v>
      </c>
      <c r="F155" s="124">
        <v>49015154</v>
      </c>
      <c r="G155" s="109">
        <f ca="1">VLOOKUP($F155,OFFSET(enemy_skill_triggers!$A$1,0,0,COUNTA(enemy_skill_triggers!$A:$A),MATCH(G$1,enemy_skill_triggers!$1:$1,0)-MATCH($F$1,enemy_skill_triggers!$1:$1,0)+1),MATCH(G$1,enemy_skill_triggers!$1:$1,0)-MATCH($F$1,enemy_skill_triggers!$1:$1,0)+1,FALSE)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5" s="109">
        <f ca="1">VLOOKUP($F155,OFFSET(enemy_skill_triggers!$A$1,0,0,COUNTA(enemy_skill_triggers!$A:$A),MATCH(H$1,enemy_skill_triggers!$1:$1,0)-MATCH($F$1,enemy_skill_triggers!$1:$1,0)+1),MATCH(H$1,enemy_skill_triggers!$1:$1,0)-MATCH($F$1,enemy_skill_triggers!$1:$1,0)+1,FALSE)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155" s="109">
        <f ca="1">VLOOKUP($F155,OFFSET(enemy_skill_triggers!$A$1,0,0,COUNTA(enemy_skill_triggers!$A:$A),MATCH(I$1,enemy_skill_triggers!$1:$1,0)-MATCH($F$1,enemy_skill_triggers!$1:$1,0)+1),MATCH(I$1,enemy_skill_triggers!$1:$1,0)-MATCH($F$1,enemy_skill_triggers!$1:$1,0)+1,FALSE)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5" s="109" t="str">
        <f ca="1">VLOOKUP($F155,OFFSET(enemy_skill_triggers!$A$1,0,0,COUNTA(enemy_skill_triggers!$A:$A),MATCH(J$1,enemy_skill_triggers!$1:$1,0)-MATCH($F$1,enemy_skill_triggers!$1:$1,0)+1),MATCH(J$1,enemy_skill_triggers!$1:$1,0)-MATCH($F$1,enemy_skill_triggers!$1:$1,0)+1,FALSE)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5" s="109" t="str">
        <f ca="1">VLOOKUP($F155,OFFSET(enemy_skill_triggers!$A$1,0,0,COUNTA(enemy_skill_triggers!$A:$A),MATCH(K$1,enemy_skill_triggers!$1:$1,0)-MATCH($F$1,enemy_skill_triggers!$1:$1,0)+1),MATCH(K$1,enemy_skill_triggers!$1:$1,0)-MATCH($F$1,enemy_skill_triggers!$1:$1,0)+1,FALSE)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5" s="109">
        <f ca="1">VLOOKUP($F155,OFFSET(enemy_skill_triggers!$A$1,0,0,COUNTA(enemy_skill_triggers!$A:$A),MATCH(L$1,enemy_skill_triggers!$1:$1,0)-MATCH($F$1,enemy_skill_triggers!$1:$1,0)+1),MATCH(L$1,enemy_skill_triggers!$1:$1,0)-MATCH($F$1,enemy_skill_triggers!$1:$1,0)+1,FALSE)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5" s="109" t="str">
        <f ca="1">VLOOKUP($F155,OFFSET(enemy_skill_triggers!$A$1,0,0,COUNTA(enemy_skill_triggers!$A:$A),MATCH(M$1,enemy_skill_triggers!$1:$1,0)-MATCH($F$1,enemy_skill_triggers!$1:$1,0)+1),MATCH(M$1,enemy_skill_triggers!$1:$1,0)-MATCH($F$1,enemy_skill_triggers!$1:$1,0)+1,FALSE)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5" s="109" t="str">
        <f ca="1">VLOOKUP($F155,OFFSET(enemy_skill_triggers!$A$1,0,0,COUNTA(enemy_skill_triggers!$A:$A),MATCH(N$1,enemy_skill_triggers!$1:$1,0)-MATCH($F$1,enemy_skill_triggers!$1:$1,0)+1),MATCH(N$1,enemy_skill_triggers!$1:$1,0)-MATCH($F$1,enemy_skill_triggers!$1:$1,0)+1,FALSE)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5" s="109">
        <f ca="1">VLOOKUP($F155,OFFSET(enemy_skill_triggers!$A$1,0,0,COUNTA(enemy_skill_triggers!$A:$A),MATCH(O$1,enemy_skill_triggers!$1:$1,0)-MATCH($F$1,enemy_skill_triggers!$1:$1,0)+1),MATCH(O$1,enemy_skill_triggers!$1:$1,0)-MATCH($F$1,enemy_skill_triggers!$1:$1,0)+1,FALSE)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5" s="106"/>
      <c r="Q155" s="106"/>
      <c r="R155" s="106"/>
    </row>
    <row r="156" spans="1:18" ht="21" customHeight="1" x14ac:dyDescent="0.15">
      <c r="A156" s="39" t="str">
        <f t="shared" si="2"/>
        <v>49015013_49015117</v>
      </c>
      <c r="B156" s="106">
        <v>49015013</v>
      </c>
      <c r="C156" s="124">
        <v>49015117</v>
      </c>
      <c r="D156" s="46" t="str">
        <f ca="1">VLOOKUP($C156,OFFSET(enemy_skills!$A$1,0,0,COUNTA(enemy_skills!$A:$A),MATCH(D$1,enemy_skills!$1:$1,0)-MATCH("enemy_skill_id",enemy_skills!$1:$1,0)+1),MATCH(D$1,enemy_skills!$1:$1,0)-MATCH("enemy_skill_id",enemy_skills!$1:$1,0)+1,FALSE)</f>
        <v>やあ鋼のおチビさん！_x000D_こっちの世界に来てたのか</v>
      </c>
      <c r="E156" s="46" t="str">
        <f ca="1">VLOOKUP($C156,OFFSET(enemy_skills!$A$1,0,0,COUNTA(enemy_skills!$A:$A),MATCH(E$1,enemy_skills!$1:$1,0)-MATCH("enemy_skill_id",enemy_skills!$1:$1,0)+1),MATCH(E$1,enemy_skills!$1:$1,0)-MATCH("enemy_skill_id",enemy_skills!$1:$1,0)+1,FALSE)</f>
        <v>『誰が豆粒どチビだあ！』</v>
      </c>
      <c r="F156" s="124">
        <v>49015155</v>
      </c>
      <c r="G156" s="48">
        <f ca="1">VLOOKUP($F156,OFFSET(enemy_skill_triggers!$A$1,0,0,COUNTA(enemy_skill_triggers!$A:$A),MATCH(G$1,enemy_skill_triggers!$1:$1,0)-MATCH($F$1,enemy_skill_triggers!$1:$1,0)+1),MATCH(G$1,enemy_skill_triggers!$1:$1,0)-MATCH($F$1,enemy_skill_triggers!$1:$1,0)+1,FALSE)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6" s="48">
        <f ca="1">VLOOKUP($F156,OFFSET(enemy_skill_triggers!$A$1,0,0,COUNTA(enemy_skill_triggers!$A:$A),MATCH(H$1,enemy_skill_triggers!$1:$1,0)-MATCH($F$1,enemy_skill_triggers!$1:$1,0)+1),MATCH(H$1,enemy_skill_triggers!$1:$1,0)-MATCH($F$1,enemy_skill_triggers!$1:$1,0)+1,FALSE)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56" s="48">
        <f ca="1">VLOOKUP($F156,OFFSET(enemy_skill_triggers!$A$1,0,0,COUNTA(enemy_skill_triggers!$A:$A),MATCH(I$1,enemy_skill_triggers!$1:$1,0)-MATCH($F$1,enemy_skill_triggers!$1:$1,0)+1),MATCH(I$1,enemy_skill_triggers!$1:$1,0)-MATCH($F$1,enemy_skill_triggers!$1:$1,0)+1,FALSE)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6" s="48" t="str">
        <f ca="1">VLOOKUP($F156,OFFSET(enemy_skill_triggers!$A$1,0,0,COUNTA(enemy_skill_triggers!$A:$A),MATCH(J$1,enemy_skill_triggers!$1:$1,0)-MATCH($F$1,enemy_skill_triggers!$1:$1,0)+1),MATCH(J$1,enemy_skill_triggers!$1:$1,0)-MATCH($F$1,enemy_skill_triggers!$1:$1,0)+1,FALSE)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6" s="48" t="str">
        <f ca="1">VLOOKUP($F156,OFFSET(enemy_skill_triggers!$A$1,0,0,COUNTA(enemy_skill_triggers!$A:$A),MATCH(K$1,enemy_skill_triggers!$1:$1,0)-MATCH($F$1,enemy_skill_triggers!$1:$1,0)+1),MATCH(K$1,enemy_skill_triggers!$1:$1,0)-MATCH($F$1,enemy_skill_triggers!$1:$1,0)+1,FALSE)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6" s="48">
        <f ca="1">VLOOKUP($F156,OFFSET(enemy_skill_triggers!$A$1,0,0,COUNTA(enemy_skill_triggers!$A:$A),MATCH(L$1,enemy_skill_triggers!$1:$1,0)-MATCH($F$1,enemy_skill_triggers!$1:$1,0)+1),MATCH(L$1,enemy_skill_triggers!$1:$1,0)-MATCH($F$1,enemy_skill_triggers!$1:$1,0)+1,FALSE)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6" s="48" t="str">
        <f ca="1">VLOOKUP($F156,OFFSET(enemy_skill_triggers!$A$1,0,0,COUNTA(enemy_skill_triggers!$A:$A),MATCH(M$1,enemy_skill_triggers!$1:$1,0)-MATCH($F$1,enemy_skill_triggers!$1:$1,0)+1),MATCH(M$1,enemy_skill_triggers!$1:$1,0)-MATCH($F$1,enemy_skill_triggers!$1:$1,0)+1,FALSE)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6" s="48">
        <f ca="1">VLOOKUP($F156,OFFSET(enemy_skill_triggers!$A$1,0,0,COUNTA(enemy_skill_triggers!$A:$A),MATCH(N$1,enemy_skill_triggers!$1:$1,0)-MATCH($F$1,enemy_skill_triggers!$1:$1,0)+1),MATCH(N$1,enemy_skill_triggers!$1:$1,0)-MATCH($F$1,enemy_skill_triggers!$1:$1,0)+1,FALSE)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156" s="48">
        <f ca="1">VLOOKUP($F156,OFFSET(enemy_skill_triggers!$A$1,0,0,COUNTA(enemy_skill_triggers!$A:$A),MATCH(O$1,enemy_skill_triggers!$1:$1,0)-MATCH($F$1,enemy_skill_triggers!$1:$1,0)+1),MATCH(O$1,enemy_skill_triggers!$1:$1,0)-MATCH($F$1,enemy_skill_triggers!$1:$1,0)+1,FALSE)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6" s="47"/>
      <c r="Q156" s="47"/>
      <c r="R156" s="47"/>
    </row>
    <row r="157" spans="1:18" ht="21" customHeight="1" x14ac:dyDescent="0.15">
      <c r="A157" s="39" t="str">
        <f t="shared" si="2"/>
        <v>49015013_49015117</v>
      </c>
      <c r="B157" s="106">
        <v>49015013</v>
      </c>
      <c r="C157" s="124">
        <v>49015117</v>
      </c>
      <c r="D157" s="46" t="str">
        <f ca="1">VLOOKUP($C157,OFFSET(enemy_skills!$A$1,0,0,COUNTA(enemy_skills!$A:$A),MATCH(D$1,enemy_skills!$1:$1,0)-MATCH("enemy_skill_id",enemy_skills!$1:$1,0)+1),MATCH(D$1,enemy_skills!$1:$1,0)-MATCH("enemy_skill_id",enemy_skills!$1:$1,0)+1,FALSE)</f>
        <v>やあ鋼のおチビさん！_x000D_こっちの世界に来てたのか</v>
      </c>
      <c r="E157" s="46" t="str">
        <f ca="1">VLOOKUP($C157,OFFSET(enemy_skills!$A$1,0,0,COUNTA(enemy_skills!$A:$A),MATCH(E$1,enemy_skills!$1:$1,0)-MATCH("enemy_skill_id",enemy_skills!$1:$1,0)+1),MATCH(E$1,enemy_skills!$1:$1,0)-MATCH("enemy_skill_id",enemy_skills!$1:$1,0)+1,FALSE)</f>
        <v>『誰が豆粒どチビだあ！』</v>
      </c>
      <c r="F157" s="124">
        <v>49015156</v>
      </c>
      <c r="G157" s="48">
        <f ca="1">VLOOKUP($F157,OFFSET(enemy_skill_triggers!$A$1,0,0,COUNTA(enemy_skill_triggers!$A:$A),MATCH(G$1,enemy_skill_triggers!$1:$1,0)-MATCH($F$1,enemy_skill_triggers!$1:$1,0)+1),MATCH(G$1,enemy_skill_triggers!$1:$1,0)-MATCH($F$1,enemy_skill_triggers!$1:$1,0)+1,FALSE)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7" s="48">
        <f ca="1">VLOOKUP($F157,OFFSET(enemy_skill_triggers!$A$1,0,0,COUNTA(enemy_skill_triggers!$A:$A),MATCH(H$1,enemy_skill_triggers!$1:$1,0)-MATCH($F$1,enemy_skill_triggers!$1:$1,0)+1),MATCH(H$1,enemy_skill_triggers!$1:$1,0)-MATCH($F$1,enemy_skill_triggers!$1:$1,0)+1,FALSE)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157" s="48">
        <f ca="1">VLOOKUP($F157,OFFSET(enemy_skill_triggers!$A$1,0,0,COUNTA(enemy_skill_triggers!$A:$A),MATCH(I$1,enemy_skill_triggers!$1:$1,0)-MATCH($F$1,enemy_skill_triggers!$1:$1,0)+1),MATCH(I$1,enemy_skill_triggers!$1:$1,0)-MATCH($F$1,enemy_skill_triggers!$1:$1,0)+1,FALSE)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7" s="48" t="str">
        <f ca="1">VLOOKUP($F157,OFFSET(enemy_skill_triggers!$A$1,0,0,COUNTA(enemy_skill_triggers!$A:$A),MATCH(J$1,enemy_skill_triggers!$1:$1,0)-MATCH($F$1,enemy_skill_triggers!$1:$1,0)+1),MATCH(J$1,enemy_skill_triggers!$1:$1,0)-MATCH($F$1,enemy_skill_triggers!$1:$1,0)+1,FALSE)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7" s="48" t="str">
        <f ca="1">VLOOKUP($F157,OFFSET(enemy_skill_triggers!$A$1,0,0,COUNTA(enemy_skill_triggers!$A:$A),MATCH(K$1,enemy_skill_triggers!$1:$1,0)-MATCH($F$1,enemy_skill_triggers!$1:$1,0)+1),MATCH(K$1,enemy_skill_triggers!$1:$1,0)-MATCH($F$1,enemy_skill_triggers!$1:$1,0)+1,FALSE)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7" s="48">
        <f ca="1">VLOOKUP($F157,OFFSET(enemy_skill_triggers!$A$1,0,0,COUNTA(enemy_skill_triggers!$A:$A),MATCH(L$1,enemy_skill_triggers!$1:$1,0)-MATCH($F$1,enemy_skill_triggers!$1:$1,0)+1),MATCH(L$1,enemy_skill_triggers!$1:$1,0)-MATCH($F$1,enemy_skill_triggers!$1:$1,0)+1,FALSE)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7" s="48" t="str">
        <f ca="1">VLOOKUP($F157,OFFSET(enemy_skill_triggers!$A$1,0,0,COUNTA(enemy_skill_triggers!$A:$A),MATCH(M$1,enemy_skill_triggers!$1:$1,0)-MATCH($F$1,enemy_skill_triggers!$1:$1,0)+1),MATCH(M$1,enemy_skill_triggers!$1:$1,0)-MATCH($F$1,enemy_skill_triggers!$1:$1,0)+1,FALSE)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7" s="48">
        <f ca="1">VLOOKUP($F157,OFFSET(enemy_skill_triggers!$A$1,0,0,COUNTA(enemy_skill_triggers!$A:$A),MATCH(N$1,enemy_skill_triggers!$1:$1,0)-MATCH($F$1,enemy_skill_triggers!$1:$1,0)+1),MATCH(N$1,enemy_skill_triggers!$1:$1,0)-MATCH($F$1,enemy_skill_triggers!$1:$1,0)+1,FALSE)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157" s="48">
        <f ca="1">VLOOKUP($F157,OFFSET(enemy_skill_triggers!$A$1,0,0,COUNTA(enemy_skill_triggers!$A:$A),MATCH(O$1,enemy_skill_triggers!$1:$1,0)-MATCH($F$1,enemy_skill_triggers!$1:$1,0)+1),MATCH(O$1,enemy_skill_triggers!$1:$1,0)-MATCH($F$1,enemy_skill_triggers!$1:$1,0)+1,FALSE)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7" s="47"/>
      <c r="Q157" s="47"/>
      <c r="R157" s="47"/>
    </row>
    <row r="158" spans="1:18" ht="21" customHeight="1" x14ac:dyDescent="0.15">
      <c r="A158" s="39" t="str">
        <f t="shared" si="2"/>
        <v>49015013_49015118</v>
      </c>
      <c r="B158" s="106">
        <v>49015013</v>
      </c>
      <c r="C158" s="124">
        <v>49015118</v>
      </c>
      <c r="D158" s="46" t="str">
        <f ca="1">VLOOKUP($C158,OFFSET(enemy_skills!$A$1,0,0,COUNTA(enemy_skills!$A:$A),MATCH(D$1,enemy_skills!$1:$1,0)-MATCH("enemy_skill_id",enemy_skills!$1:$1,0)+1),MATCH(D$1,enemy_skills!$1:$1,0)-MATCH("enemy_skill_id",enemy_skills!$1:$1,0)+1,FALSE)</f>
        <v>鋼のおチビさんとは一緒ではないのか？</v>
      </c>
      <c r="E158" s="46" t="str">
        <f ca="1">VLOOKUP($C158,OFFSET(enemy_skills!$A$1,0,0,COUNTA(enemy_skills!$A:$A),MATCH(E$1,enemy_skills!$1:$1,0)-MATCH("enemy_skill_id",enemy_skills!$1:$1,0)+1),MATCH(E$1,enemy_skills!$1:$1,0)-MATCH("enemy_skill_id",enemy_skills!$1:$1,0)+1,FALSE)</f>
        <v>『兄さんとは別行動だよ』</v>
      </c>
      <c r="F158" s="124">
        <v>49015157</v>
      </c>
      <c r="G158" s="48">
        <f ca="1">VLOOKUP($F158,OFFSET(enemy_skill_triggers!$A$1,0,0,COUNTA(enemy_skill_triggers!$A:$A),MATCH(G$1,enemy_skill_triggers!$1:$1,0)-MATCH($F$1,enemy_skill_triggers!$1:$1,0)+1),MATCH(G$1,enemy_skill_triggers!$1:$1,0)-MATCH($F$1,enemy_skill_triggers!$1:$1,0)+1,FALSE)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8" s="48">
        <f ca="1">VLOOKUP($F158,OFFSET(enemy_skill_triggers!$A$1,0,0,COUNTA(enemy_skill_triggers!$A:$A),MATCH(H$1,enemy_skill_triggers!$1:$1,0)-MATCH($F$1,enemy_skill_triggers!$1:$1,0)+1),MATCH(H$1,enemy_skill_triggers!$1:$1,0)-MATCH($F$1,enemy_skill_triggers!$1:$1,0)+1,FALSE)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58" s="48">
        <f ca="1">VLOOKUP($F158,OFFSET(enemy_skill_triggers!$A$1,0,0,COUNTA(enemy_skill_triggers!$A:$A),MATCH(I$1,enemy_skill_triggers!$1:$1,0)-MATCH($F$1,enemy_skill_triggers!$1:$1,0)+1),MATCH(I$1,enemy_skill_triggers!$1:$1,0)-MATCH($F$1,enemy_skill_triggers!$1:$1,0)+1,FALSE)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8" s="48" t="str">
        <f ca="1">VLOOKUP($F158,OFFSET(enemy_skill_triggers!$A$1,0,0,COUNTA(enemy_skill_triggers!$A:$A),MATCH(J$1,enemy_skill_triggers!$1:$1,0)-MATCH($F$1,enemy_skill_triggers!$1:$1,0)+1),MATCH(J$1,enemy_skill_triggers!$1:$1,0)-MATCH($F$1,enemy_skill_triggers!$1:$1,0)+1,FALSE)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8" s="48" t="str">
        <f ca="1">VLOOKUP($F158,OFFSET(enemy_skill_triggers!$A$1,0,0,COUNTA(enemy_skill_triggers!$A:$A),MATCH(K$1,enemy_skill_triggers!$1:$1,0)-MATCH($F$1,enemy_skill_triggers!$1:$1,0)+1),MATCH(K$1,enemy_skill_triggers!$1:$1,0)-MATCH($F$1,enemy_skill_triggers!$1:$1,0)+1,FALSE)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8" s="48">
        <f ca="1">VLOOKUP($F158,OFFSET(enemy_skill_triggers!$A$1,0,0,COUNTA(enemy_skill_triggers!$A:$A),MATCH(L$1,enemy_skill_triggers!$1:$1,0)-MATCH($F$1,enemy_skill_triggers!$1:$1,0)+1),MATCH(L$1,enemy_skill_triggers!$1:$1,0)-MATCH($F$1,enemy_skill_triggers!$1:$1,0)+1,FALSE)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8" s="48" t="str">
        <f ca="1">VLOOKUP($F158,OFFSET(enemy_skill_triggers!$A$1,0,0,COUNTA(enemy_skill_triggers!$A:$A),MATCH(M$1,enemy_skill_triggers!$1:$1,0)-MATCH($F$1,enemy_skill_triggers!$1:$1,0)+1),MATCH(M$1,enemy_skill_triggers!$1:$1,0)-MATCH($F$1,enemy_skill_triggers!$1:$1,0)+1,FALSE)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8" s="48">
        <f ca="1">VLOOKUP($F158,OFFSET(enemy_skill_triggers!$A$1,0,0,COUNTA(enemy_skill_triggers!$A:$A),MATCH(N$1,enemy_skill_triggers!$1:$1,0)-MATCH($F$1,enemy_skill_triggers!$1:$1,0)+1),MATCH(N$1,enemy_skill_triggers!$1:$1,0)-MATCH($F$1,enemy_skill_triggers!$1:$1,0)+1,FALSE)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158" s="48">
        <f ca="1">VLOOKUP($F158,OFFSET(enemy_skill_triggers!$A$1,0,0,COUNTA(enemy_skill_triggers!$A:$A),MATCH(O$1,enemy_skill_triggers!$1:$1,0)-MATCH($F$1,enemy_skill_triggers!$1:$1,0)+1),MATCH(O$1,enemy_skill_triggers!$1:$1,0)-MATCH($F$1,enemy_skill_triggers!$1:$1,0)+1,FALSE)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8" s="47"/>
      <c r="Q158" s="47"/>
      <c r="R158" s="47"/>
    </row>
    <row r="159" spans="1:18" ht="21" customHeight="1" x14ac:dyDescent="0.15">
      <c r="A159" s="39" t="str">
        <f t="shared" si="2"/>
        <v>49015013_49015118</v>
      </c>
      <c r="B159" s="106">
        <v>49015013</v>
      </c>
      <c r="C159" s="124">
        <v>49015118</v>
      </c>
      <c r="D159" s="46" t="str">
        <f ca="1">VLOOKUP($C159,OFFSET(enemy_skills!$A$1,0,0,COUNTA(enemy_skills!$A:$A),MATCH(D$1,enemy_skills!$1:$1,0)-MATCH("enemy_skill_id",enemy_skills!$1:$1,0)+1),MATCH(D$1,enemy_skills!$1:$1,0)-MATCH("enemy_skill_id",enemy_skills!$1:$1,0)+1,FALSE)</f>
        <v>鋼のおチビさんとは一緒ではないのか？</v>
      </c>
      <c r="E159" s="46" t="str">
        <f ca="1">VLOOKUP($C159,OFFSET(enemy_skills!$A$1,0,0,COUNTA(enemy_skills!$A:$A),MATCH(E$1,enemy_skills!$1:$1,0)-MATCH("enemy_skill_id",enemy_skills!$1:$1,0)+1),MATCH(E$1,enemy_skills!$1:$1,0)-MATCH("enemy_skill_id",enemy_skills!$1:$1,0)+1,FALSE)</f>
        <v>『兄さんとは別行動だよ』</v>
      </c>
      <c r="F159" s="124">
        <v>49015158</v>
      </c>
      <c r="G159" s="48">
        <f ca="1">VLOOKUP($F159,OFFSET(enemy_skill_triggers!$A$1,0,0,COUNTA(enemy_skill_triggers!$A:$A),MATCH(G$1,enemy_skill_triggers!$1:$1,0)-MATCH($F$1,enemy_skill_triggers!$1:$1,0)+1),MATCH(G$1,enemy_skill_triggers!$1:$1,0)-MATCH($F$1,enemy_skill_triggers!$1:$1,0)+1,FALSE)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9" s="48">
        <f ca="1">VLOOKUP($F159,OFFSET(enemy_skill_triggers!$A$1,0,0,COUNTA(enemy_skill_triggers!$A:$A),MATCH(H$1,enemy_skill_triggers!$1:$1,0)-MATCH($F$1,enemy_skill_triggers!$1:$1,0)+1),MATCH(H$1,enemy_skill_triggers!$1:$1,0)-MATCH($F$1,enemy_skill_triggers!$1:$1,0)+1,FALSE)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159" s="48">
        <f ca="1">VLOOKUP($F159,OFFSET(enemy_skill_triggers!$A$1,0,0,COUNTA(enemy_skill_triggers!$A:$A),MATCH(I$1,enemy_skill_triggers!$1:$1,0)-MATCH($F$1,enemy_skill_triggers!$1:$1,0)+1),MATCH(I$1,enemy_skill_triggers!$1:$1,0)-MATCH($F$1,enemy_skill_triggers!$1:$1,0)+1,FALSE)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9" s="48" t="str">
        <f ca="1">VLOOKUP($F159,OFFSET(enemy_skill_triggers!$A$1,0,0,COUNTA(enemy_skill_triggers!$A:$A),MATCH(J$1,enemy_skill_triggers!$1:$1,0)-MATCH($F$1,enemy_skill_triggers!$1:$1,0)+1),MATCH(J$1,enemy_skill_triggers!$1:$1,0)-MATCH($F$1,enemy_skill_triggers!$1:$1,0)+1,FALSE)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9" s="48" t="str">
        <f ca="1">VLOOKUP($F159,OFFSET(enemy_skill_triggers!$A$1,0,0,COUNTA(enemy_skill_triggers!$A:$A),MATCH(K$1,enemy_skill_triggers!$1:$1,0)-MATCH($F$1,enemy_skill_triggers!$1:$1,0)+1),MATCH(K$1,enemy_skill_triggers!$1:$1,0)-MATCH($F$1,enemy_skill_triggers!$1:$1,0)+1,FALSE)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9" s="48">
        <f ca="1">VLOOKUP($F159,OFFSET(enemy_skill_triggers!$A$1,0,0,COUNTA(enemy_skill_triggers!$A:$A),MATCH(L$1,enemy_skill_triggers!$1:$1,0)-MATCH($F$1,enemy_skill_triggers!$1:$1,0)+1),MATCH(L$1,enemy_skill_triggers!$1:$1,0)-MATCH($F$1,enemy_skill_triggers!$1:$1,0)+1,FALSE)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9" s="48" t="str">
        <f ca="1">VLOOKUP($F159,OFFSET(enemy_skill_triggers!$A$1,0,0,COUNTA(enemy_skill_triggers!$A:$A),MATCH(M$1,enemy_skill_triggers!$1:$1,0)-MATCH($F$1,enemy_skill_triggers!$1:$1,0)+1),MATCH(M$1,enemy_skill_triggers!$1:$1,0)-MATCH($F$1,enemy_skill_triggers!$1:$1,0)+1,FALSE)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9" s="48">
        <f ca="1">VLOOKUP($F159,OFFSET(enemy_skill_triggers!$A$1,0,0,COUNTA(enemy_skill_triggers!$A:$A),MATCH(N$1,enemy_skill_triggers!$1:$1,0)-MATCH($F$1,enemy_skill_triggers!$1:$1,0)+1),MATCH(N$1,enemy_skill_triggers!$1:$1,0)-MATCH($F$1,enemy_skill_triggers!$1:$1,0)+1,FALSE)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159" s="48">
        <f ca="1">VLOOKUP($F159,OFFSET(enemy_skill_triggers!$A$1,0,0,COUNTA(enemy_skill_triggers!$A:$A),MATCH(O$1,enemy_skill_triggers!$1:$1,0)-MATCH($F$1,enemy_skill_triggers!$1:$1,0)+1),MATCH(O$1,enemy_skill_triggers!$1:$1,0)-MATCH($F$1,enemy_skill_triggers!$1:$1,0)+1,FALSE)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9" s="47"/>
      <c r="Q159" s="47"/>
      <c r="R159" s="47"/>
    </row>
    <row r="160" spans="1:18" ht="21" customHeight="1" x14ac:dyDescent="0.15">
      <c r="A160" s="39" t="str">
        <f t="shared" si="2"/>
        <v>49015013_49015119</v>
      </c>
      <c r="B160" s="106">
        <v>49015013</v>
      </c>
      <c r="C160" s="124">
        <v>49015119</v>
      </c>
      <c r="D160" s="46" t="str">
        <f ca="1">VLOOKUP($C160,OFFSET(enemy_skills!$A$1,0,0,COUNTA(enemy_skills!$A:$A),MATCH(D$1,enemy_skills!$1:$1,0)-MATCH("enemy_skill_id",enemy_skills!$1:$1,0)+1),MATCH(D$1,enemy_skills!$1:$1,0)-MATCH("enemy_skill_id",enemy_skills!$1:$1,0)+1,FALSE)</f>
        <v>こっちに来てもお得意の炎で_x000D_燃やしまくってるのかい？</v>
      </c>
      <c r="E160" s="46" t="str">
        <f ca="1">VLOOKUP($C160,OFFSET(enemy_skills!$A$1,0,0,COUNTA(enemy_skills!$A:$A),MATCH(E$1,enemy_skills!$1:$1,0)-MATCH("enemy_skill_id",enemy_skills!$1:$1,0)+1),MATCH(E$1,enemy_skills!$1:$1,0)-MATCH("enemy_skill_id",enemy_skills!$1:$1,0)+1,FALSE)</f>
        <v>『貴様も燃やしてやろう！』_x000D_【特定ユニットの攻撃力大UP】</v>
      </c>
      <c r="F160" s="124">
        <v>49015159</v>
      </c>
      <c r="G160" s="48">
        <f ca="1">VLOOKUP($F160,OFFSET(enemy_skill_triggers!$A$1,0,0,COUNTA(enemy_skill_triggers!$A:$A),MATCH(G$1,enemy_skill_triggers!$1:$1,0)-MATCH($F$1,enemy_skill_triggers!$1:$1,0)+1),MATCH(G$1,enemy_skill_triggers!$1:$1,0)-MATCH($F$1,enemy_skill_triggers!$1:$1,0)+1,FALSE)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0" s="48">
        <f ca="1">VLOOKUP($F160,OFFSET(enemy_skill_triggers!$A$1,0,0,COUNTA(enemy_skill_triggers!$A:$A),MATCH(H$1,enemy_skill_triggers!$1:$1,0)-MATCH($F$1,enemy_skill_triggers!$1:$1,0)+1),MATCH(H$1,enemy_skill_triggers!$1:$1,0)-MATCH($F$1,enemy_skill_triggers!$1:$1,0)+1,FALSE)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0" s="48">
        <f ca="1">VLOOKUP($F160,OFFSET(enemy_skill_triggers!$A$1,0,0,COUNTA(enemy_skill_triggers!$A:$A),MATCH(I$1,enemy_skill_triggers!$1:$1,0)-MATCH($F$1,enemy_skill_triggers!$1:$1,0)+1),MATCH(I$1,enemy_skill_triggers!$1:$1,0)-MATCH($F$1,enemy_skill_triggers!$1:$1,0)+1,FALSE)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0" s="48" t="str">
        <f ca="1">VLOOKUP($F160,OFFSET(enemy_skill_triggers!$A$1,0,0,COUNTA(enemy_skill_triggers!$A:$A),MATCH(J$1,enemy_skill_triggers!$1:$1,0)-MATCH($F$1,enemy_skill_triggers!$1:$1,0)+1),MATCH(J$1,enemy_skill_triggers!$1:$1,0)-MATCH($F$1,enemy_skill_triggers!$1:$1,0)+1,FALSE)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0" s="48" t="str">
        <f ca="1">VLOOKUP($F160,OFFSET(enemy_skill_triggers!$A$1,0,0,COUNTA(enemy_skill_triggers!$A:$A),MATCH(K$1,enemy_skill_triggers!$1:$1,0)-MATCH($F$1,enemy_skill_triggers!$1:$1,0)+1),MATCH(K$1,enemy_skill_triggers!$1:$1,0)-MATCH($F$1,enemy_skill_triggers!$1:$1,0)+1,FALSE)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0" s="48">
        <f ca="1">VLOOKUP($F160,OFFSET(enemy_skill_triggers!$A$1,0,0,COUNTA(enemy_skill_triggers!$A:$A),MATCH(L$1,enemy_skill_triggers!$1:$1,0)-MATCH($F$1,enemy_skill_triggers!$1:$1,0)+1),MATCH(L$1,enemy_skill_triggers!$1:$1,0)-MATCH($F$1,enemy_skill_triggers!$1:$1,0)+1,FALSE)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0" s="48" t="str">
        <f ca="1">VLOOKUP($F160,OFFSET(enemy_skill_triggers!$A$1,0,0,COUNTA(enemy_skill_triggers!$A:$A),MATCH(M$1,enemy_skill_triggers!$1:$1,0)-MATCH($F$1,enemy_skill_triggers!$1:$1,0)+1),MATCH(M$1,enemy_skill_triggers!$1:$1,0)-MATCH($F$1,enemy_skill_triggers!$1:$1,0)+1,FALSE)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0" s="48">
        <f ca="1">VLOOKUP($F160,OFFSET(enemy_skill_triggers!$A$1,0,0,COUNTA(enemy_skill_triggers!$A:$A),MATCH(N$1,enemy_skill_triggers!$1:$1,0)-MATCH($F$1,enemy_skill_triggers!$1:$1,0)+1),MATCH(N$1,enemy_skill_triggers!$1:$1,0)-MATCH($F$1,enemy_skill_triggers!$1:$1,0)+1,FALSE)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160" s="48">
        <f ca="1">VLOOKUP($F160,OFFSET(enemy_skill_triggers!$A$1,0,0,COUNTA(enemy_skill_triggers!$A:$A),MATCH(O$1,enemy_skill_triggers!$1:$1,0)-MATCH($F$1,enemy_skill_triggers!$1:$1,0)+1),MATCH(O$1,enemy_skill_triggers!$1:$1,0)-MATCH($F$1,enemy_skill_triggers!$1:$1,0)+1,FALSE)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0" s="47"/>
      <c r="Q160" s="47"/>
      <c r="R160" s="47"/>
    </row>
    <row r="161" spans="1:18" ht="21" customHeight="1" x14ac:dyDescent="0.15">
      <c r="A161" s="39" t="str">
        <f t="shared" si="2"/>
        <v>49015013_49015119</v>
      </c>
      <c r="B161" s="106">
        <v>49015013</v>
      </c>
      <c r="C161" s="124">
        <v>49015119</v>
      </c>
      <c r="D161" s="46" t="str">
        <f ca="1">VLOOKUP($C161,OFFSET(enemy_skills!$A$1,0,0,COUNTA(enemy_skills!$A:$A),MATCH(D$1,enemy_skills!$1:$1,0)-MATCH("enemy_skill_id",enemy_skills!$1:$1,0)+1),MATCH(D$1,enemy_skills!$1:$1,0)-MATCH("enemy_skill_id",enemy_skills!$1:$1,0)+1,FALSE)</f>
        <v>こっちに来てもお得意の炎で_x000D_燃やしまくってるのかい？</v>
      </c>
      <c r="E161" s="46" t="str">
        <f ca="1">VLOOKUP($C161,OFFSET(enemy_skills!$A$1,0,0,COUNTA(enemy_skills!$A:$A),MATCH(E$1,enemy_skills!$1:$1,0)-MATCH("enemy_skill_id",enemy_skills!$1:$1,0)+1),MATCH(E$1,enemy_skills!$1:$1,0)-MATCH("enemy_skill_id",enemy_skills!$1:$1,0)+1,FALSE)</f>
        <v>『貴様も燃やしてやろう！』_x000D_【特定ユニットの攻撃力大UP】</v>
      </c>
      <c r="F161" s="124">
        <v>49015160</v>
      </c>
      <c r="G161" s="48">
        <f ca="1">VLOOKUP($F161,OFFSET(enemy_skill_triggers!$A$1,0,0,COUNTA(enemy_skill_triggers!$A:$A),MATCH(G$1,enemy_skill_triggers!$1:$1,0)-MATCH($F$1,enemy_skill_triggers!$1:$1,0)+1),MATCH(G$1,enemy_skill_triggers!$1:$1,0)-MATCH($F$1,enemy_skill_triggers!$1:$1,0)+1,FALSE)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1" s="48">
        <f ca="1">VLOOKUP($F161,OFFSET(enemy_skill_triggers!$A$1,0,0,COUNTA(enemy_skill_triggers!$A:$A),MATCH(H$1,enemy_skill_triggers!$1:$1,0)-MATCH($F$1,enemy_skill_triggers!$1:$1,0)+1),MATCH(H$1,enemy_skill_triggers!$1:$1,0)-MATCH($F$1,enemy_skill_triggers!$1:$1,0)+1,FALSE)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61" s="48">
        <f ca="1">VLOOKUP($F161,OFFSET(enemy_skill_triggers!$A$1,0,0,COUNTA(enemy_skill_triggers!$A:$A),MATCH(I$1,enemy_skill_triggers!$1:$1,0)-MATCH($F$1,enemy_skill_triggers!$1:$1,0)+1),MATCH(I$1,enemy_skill_triggers!$1:$1,0)-MATCH($F$1,enemy_skill_triggers!$1:$1,0)+1,FALSE)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1" s="48" t="str">
        <f ca="1">VLOOKUP($F161,OFFSET(enemy_skill_triggers!$A$1,0,0,COUNTA(enemy_skill_triggers!$A:$A),MATCH(J$1,enemy_skill_triggers!$1:$1,0)-MATCH($F$1,enemy_skill_triggers!$1:$1,0)+1),MATCH(J$1,enemy_skill_triggers!$1:$1,0)-MATCH($F$1,enemy_skill_triggers!$1:$1,0)+1,FALSE)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1" s="48" t="str">
        <f ca="1">VLOOKUP($F161,OFFSET(enemy_skill_triggers!$A$1,0,0,COUNTA(enemy_skill_triggers!$A:$A),MATCH(K$1,enemy_skill_triggers!$1:$1,0)-MATCH($F$1,enemy_skill_triggers!$1:$1,0)+1),MATCH(K$1,enemy_skill_triggers!$1:$1,0)-MATCH($F$1,enemy_skill_triggers!$1:$1,0)+1,FALSE)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1" s="48">
        <f ca="1">VLOOKUP($F161,OFFSET(enemy_skill_triggers!$A$1,0,0,COUNTA(enemy_skill_triggers!$A:$A),MATCH(L$1,enemy_skill_triggers!$1:$1,0)-MATCH($F$1,enemy_skill_triggers!$1:$1,0)+1),MATCH(L$1,enemy_skill_triggers!$1:$1,0)-MATCH($F$1,enemy_skill_triggers!$1:$1,0)+1,FALSE)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1" s="48" t="str">
        <f ca="1">VLOOKUP($F161,OFFSET(enemy_skill_triggers!$A$1,0,0,COUNTA(enemy_skill_triggers!$A:$A),MATCH(M$1,enemy_skill_triggers!$1:$1,0)-MATCH($F$1,enemy_skill_triggers!$1:$1,0)+1),MATCH(M$1,enemy_skill_triggers!$1:$1,0)-MATCH($F$1,enemy_skill_triggers!$1:$1,0)+1,FALSE)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1" s="48">
        <f ca="1">VLOOKUP($F161,OFFSET(enemy_skill_triggers!$A$1,0,0,COUNTA(enemy_skill_triggers!$A:$A),MATCH(N$1,enemy_skill_triggers!$1:$1,0)-MATCH($F$1,enemy_skill_triggers!$1:$1,0)+1),MATCH(N$1,enemy_skill_triggers!$1:$1,0)-MATCH($F$1,enemy_skill_triggers!$1:$1,0)+1,FALSE)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161" s="48">
        <f ca="1">VLOOKUP($F161,OFFSET(enemy_skill_triggers!$A$1,0,0,COUNTA(enemy_skill_triggers!$A:$A),MATCH(O$1,enemy_skill_triggers!$1:$1,0)-MATCH($F$1,enemy_skill_triggers!$1:$1,0)+1),MATCH(O$1,enemy_skill_triggers!$1:$1,0)-MATCH($F$1,enemy_skill_triggers!$1:$1,0)+1,FALSE)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1" s="47"/>
      <c r="Q161" s="47"/>
      <c r="R161" s="47"/>
    </row>
    <row r="162" spans="1:18" ht="21" customHeight="1" x14ac:dyDescent="0.15">
      <c r="A162" s="39" t="str">
        <f t="shared" si="2"/>
        <v>49015013_49015120</v>
      </c>
      <c r="B162" s="106">
        <v>49015013</v>
      </c>
      <c r="C162" s="124">
        <v>49015120</v>
      </c>
      <c r="D162" s="46" t="str">
        <f ca="1">VLOOKUP($C162,OFFSET(enemy_skills!$A$1,0,0,COUNTA(enemy_skills!$A:$A),MATCH(D$1,enemy_skills!$1:$1,0)-MATCH("enemy_skill_id",enemy_skills!$1:$1,0)+1),MATCH(D$1,enemy_skills!$1:$1,0)-MATCH("enemy_skill_id",enemy_skills!$1:$1,0)+1,FALSE)</f>
        <v>あんたもいるなら大佐もいるな！</v>
      </c>
      <c r="E162" s="46" t="str">
        <f ca="1">VLOOKUP($C162,OFFSET(enemy_skills!$A$1,0,0,COUNTA(enemy_skills!$A:$A),MATCH(E$1,enemy_skills!$1:$1,0)-MATCH("enemy_skill_id",enemy_skills!$1:$1,0)+1),MATCH(E$1,enemy_skills!$1:$1,0)-MATCH("enemy_skill_id",enemy_skills!$1:$1,0)+1,FALSE)</f>
        <v>『大佐に会わすわけにはいかないわ』</v>
      </c>
      <c r="F162" s="124">
        <v>49015161</v>
      </c>
      <c r="G162" s="48">
        <f ca="1">VLOOKUP($F162,OFFSET(enemy_skill_triggers!$A$1,0,0,COUNTA(enemy_skill_triggers!$A:$A),MATCH(G$1,enemy_skill_triggers!$1:$1,0)-MATCH($F$1,enemy_skill_triggers!$1:$1,0)+1),MATCH(G$1,enemy_skill_triggers!$1:$1,0)-MATCH($F$1,enemy_skill_triggers!$1:$1,0)+1,FALSE)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2" s="48">
        <f ca="1">VLOOKUP($F162,OFFSET(enemy_skill_triggers!$A$1,0,0,COUNTA(enemy_skill_triggers!$A:$A),MATCH(H$1,enemy_skill_triggers!$1:$1,0)-MATCH($F$1,enemy_skill_triggers!$1:$1,0)+1),MATCH(H$1,enemy_skill_triggers!$1:$1,0)-MATCH($F$1,enemy_skill_triggers!$1:$1,0)+1,FALSE)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62" s="48">
        <f ca="1">VLOOKUP($F162,OFFSET(enemy_skill_triggers!$A$1,0,0,COUNTA(enemy_skill_triggers!$A:$A),MATCH(I$1,enemy_skill_triggers!$1:$1,0)-MATCH($F$1,enemy_skill_triggers!$1:$1,0)+1),MATCH(I$1,enemy_skill_triggers!$1:$1,0)-MATCH($F$1,enemy_skill_triggers!$1:$1,0)+1,FALSE)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2" s="48" t="str">
        <f ca="1">VLOOKUP($F162,OFFSET(enemy_skill_triggers!$A$1,0,0,COUNTA(enemy_skill_triggers!$A:$A),MATCH(J$1,enemy_skill_triggers!$1:$1,0)-MATCH($F$1,enemy_skill_triggers!$1:$1,0)+1),MATCH(J$1,enemy_skill_triggers!$1:$1,0)-MATCH($F$1,enemy_skill_triggers!$1:$1,0)+1,FALSE)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2" s="48" t="str">
        <f ca="1">VLOOKUP($F162,OFFSET(enemy_skill_triggers!$A$1,0,0,COUNTA(enemy_skill_triggers!$A:$A),MATCH(K$1,enemy_skill_triggers!$1:$1,0)-MATCH($F$1,enemy_skill_triggers!$1:$1,0)+1),MATCH(K$1,enemy_skill_triggers!$1:$1,0)-MATCH($F$1,enemy_skill_triggers!$1:$1,0)+1,FALSE)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2" s="48">
        <f ca="1">VLOOKUP($F162,OFFSET(enemy_skill_triggers!$A$1,0,0,COUNTA(enemy_skill_triggers!$A:$A),MATCH(L$1,enemy_skill_triggers!$1:$1,0)-MATCH($F$1,enemy_skill_triggers!$1:$1,0)+1),MATCH(L$1,enemy_skill_triggers!$1:$1,0)-MATCH($F$1,enemy_skill_triggers!$1:$1,0)+1,FALSE)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2" s="48" t="str">
        <f ca="1">VLOOKUP($F162,OFFSET(enemy_skill_triggers!$A$1,0,0,COUNTA(enemy_skill_triggers!$A:$A),MATCH(M$1,enemy_skill_triggers!$1:$1,0)-MATCH($F$1,enemy_skill_triggers!$1:$1,0)+1),MATCH(M$1,enemy_skill_triggers!$1:$1,0)-MATCH($F$1,enemy_skill_triggers!$1:$1,0)+1,FALSE)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2" s="48">
        <f ca="1">VLOOKUP($F162,OFFSET(enemy_skill_triggers!$A$1,0,0,COUNTA(enemy_skill_triggers!$A:$A),MATCH(N$1,enemy_skill_triggers!$1:$1,0)-MATCH($F$1,enemy_skill_triggers!$1:$1,0)+1),MATCH(N$1,enemy_skill_triggers!$1:$1,0)-MATCH($F$1,enemy_skill_triggers!$1:$1,0)+1,FALSE)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162" s="48">
        <f ca="1">VLOOKUP($F162,OFFSET(enemy_skill_triggers!$A$1,0,0,COUNTA(enemy_skill_triggers!$A:$A),MATCH(O$1,enemy_skill_triggers!$1:$1,0)-MATCH($F$1,enemy_skill_triggers!$1:$1,0)+1),MATCH(O$1,enemy_skill_triggers!$1:$1,0)-MATCH($F$1,enemy_skill_triggers!$1:$1,0)+1,FALSE)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2" s="47"/>
      <c r="Q162" s="47"/>
      <c r="R162" s="47"/>
    </row>
    <row r="163" spans="1:18" ht="21" customHeight="1" x14ac:dyDescent="0.15">
      <c r="A163" s="39" t="str">
        <f t="shared" si="2"/>
        <v>49015013_49015120</v>
      </c>
      <c r="B163" s="106">
        <v>49015013</v>
      </c>
      <c r="C163" s="124">
        <v>49015120</v>
      </c>
      <c r="D163" s="46" t="str">
        <f ca="1">VLOOKUP($C163,OFFSET(enemy_skills!$A$1,0,0,COUNTA(enemy_skills!$A:$A),MATCH(D$1,enemy_skills!$1:$1,0)-MATCH("enemy_skill_id",enemy_skills!$1:$1,0)+1),MATCH(D$1,enemy_skills!$1:$1,0)-MATCH("enemy_skill_id",enemy_skills!$1:$1,0)+1,FALSE)</f>
        <v>あんたもいるなら大佐もいるな！</v>
      </c>
      <c r="E163" s="46" t="str">
        <f ca="1">VLOOKUP($C163,OFFSET(enemy_skills!$A$1,0,0,COUNTA(enemy_skills!$A:$A),MATCH(E$1,enemy_skills!$1:$1,0)-MATCH("enemy_skill_id",enemy_skills!$1:$1,0)+1),MATCH(E$1,enemy_skills!$1:$1,0)-MATCH("enemy_skill_id",enemy_skills!$1:$1,0)+1,FALSE)</f>
        <v>『大佐に会わすわけにはいかないわ』</v>
      </c>
      <c r="F163" s="124">
        <v>49015162</v>
      </c>
      <c r="G163" s="48">
        <f ca="1">VLOOKUP($F163,OFFSET(enemy_skill_triggers!$A$1,0,0,COUNTA(enemy_skill_triggers!$A:$A),MATCH(G$1,enemy_skill_triggers!$1:$1,0)-MATCH($F$1,enemy_skill_triggers!$1:$1,0)+1),MATCH(G$1,enemy_skill_triggers!$1:$1,0)-MATCH($F$1,enemy_skill_triggers!$1:$1,0)+1,FALSE)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3" s="48">
        <f ca="1">VLOOKUP($F163,OFFSET(enemy_skill_triggers!$A$1,0,0,COUNTA(enemy_skill_triggers!$A:$A),MATCH(H$1,enemy_skill_triggers!$1:$1,0)-MATCH($F$1,enemy_skill_triggers!$1:$1,0)+1),MATCH(H$1,enemy_skill_triggers!$1:$1,0)-MATCH($F$1,enemy_skill_triggers!$1:$1,0)+1,FALSE)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163" s="48">
        <f ca="1">VLOOKUP($F163,OFFSET(enemy_skill_triggers!$A$1,0,0,COUNTA(enemy_skill_triggers!$A:$A),MATCH(I$1,enemy_skill_triggers!$1:$1,0)-MATCH($F$1,enemy_skill_triggers!$1:$1,0)+1),MATCH(I$1,enemy_skill_triggers!$1:$1,0)-MATCH($F$1,enemy_skill_triggers!$1:$1,0)+1,FALSE)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3" s="48" t="str">
        <f ca="1">VLOOKUP($F163,OFFSET(enemy_skill_triggers!$A$1,0,0,COUNTA(enemy_skill_triggers!$A:$A),MATCH(J$1,enemy_skill_triggers!$1:$1,0)-MATCH($F$1,enemy_skill_triggers!$1:$1,0)+1),MATCH(J$1,enemy_skill_triggers!$1:$1,0)-MATCH($F$1,enemy_skill_triggers!$1:$1,0)+1,FALSE)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3" s="48" t="str">
        <f ca="1">VLOOKUP($F163,OFFSET(enemy_skill_triggers!$A$1,0,0,COUNTA(enemy_skill_triggers!$A:$A),MATCH(K$1,enemy_skill_triggers!$1:$1,0)-MATCH($F$1,enemy_skill_triggers!$1:$1,0)+1),MATCH(K$1,enemy_skill_triggers!$1:$1,0)-MATCH($F$1,enemy_skill_triggers!$1:$1,0)+1,FALSE)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3" s="48">
        <f ca="1">VLOOKUP($F163,OFFSET(enemy_skill_triggers!$A$1,0,0,COUNTA(enemy_skill_triggers!$A:$A),MATCH(L$1,enemy_skill_triggers!$1:$1,0)-MATCH($F$1,enemy_skill_triggers!$1:$1,0)+1),MATCH(L$1,enemy_skill_triggers!$1:$1,0)-MATCH($F$1,enemy_skill_triggers!$1:$1,0)+1,FALSE)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3" s="48" t="str">
        <f ca="1">VLOOKUP($F163,OFFSET(enemy_skill_triggers!$A$1,0,0,COUNTA(enemy_skill_triggers!$A:$A),MATCH(M$1,enemy_skill_triggers!$1:$1,0)-MATCH($F$1,enemy_skill_triggers!$1:$1,0)+1),MATCH(M$1,enemy_skill_triggers!$1:$1,0)-MATCH($F$1,enemy_skill_triggers!$1:$1,0)+1,FALSE)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3" s="48">
        <f ca="1">VLOOKUP($F163,OFFSET(enemy_skill_triggers!$A$1,0,0,COUNTA(enemy_skill_triggers!$A:$A),MATCH(N$1,enemy_skill_triggers!$1:$1,0)-MATCH($F$1,enemy_skill_triggers!$1:$1,0)+1),MATCH(N$1,enemy_skill_triggers!$1:$1,0)-MATCH($F$1,enemy_skill_triggers!$1:$1,0)+1,FALSE)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163" s="48">
        <f ca="1">VLOOKUP($F163,OFFSET(enemy_skill_triggers!$A$1,0,0,COUNTA(enemy_skill_triggers!$A:$A),MATCH(O$1,enemy_skill_triggers!$1:$1,0)-MATCH($F$1,enemy_skill_triggers!$1:$1,0)+1),MATCH(O$1,enemy_skill_triggers!$1:$1,0)-MATCH($F$1,enemy_skill_triggers!$1:$1,0)+1,FALSE)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3" s="47"/>
      <c r="Q163" s="47"/>
      <c r="R163" s="47"/>
    </row>
    <row r="164" spans="1:18" ht="21" customHeight="1" x14ac:dyDescent="0.15">
      <c r="A164" s="39" t="str">
        <f t="shared" si="2"/>
        <v>49015013_49015121</v>
      </c>
      <c r="B164" s="106">
        <v>49015013</v>
      </c>
      <c r="C164" s="124">
        <v>49015121</v>
      </c>
      <c r="D164" s="46" t="str">
        <f ca="1">VLOOKUP($C164,OFFSET(enemy_skills!$A$1,0,0,COUNTA(enemy_skills!$A:$A),MATCH(D$1,enemy_skills!$1:$1,0)-MATCH("enemy_skill_id",enemy_skills!$1:$1,0)+1),MATCH(D$1,enemy_skills!$1:$1,0)-MATCH("enemy_skill_id",enemy_skills!$1:$1,0)+1,FALSE)</f>
        <v>おい、ラースなんでそっち側にいるんだ？</v>
      </c>
      <c r="E164" s="46" t="str">
        <f ca="1">VLOOKUP($C164,OFFSET(enemy_skills!$A$1,0,0,COUNTA(enemy_skills!$A:$A),MATCH(E$1,enemy_skills!$1:$1,0)-MATCH("enemy_skill_id",enemy_skills!$1:$1,0)+1),MATCH(E$1,enemy_skills!$1:$1,0)-MATCH("enemy_skill_id",enemy_skills!$1:$1,0)+1,FALSE)</f>
        <v>『貴様には関係ない話だ』</v>
      </c>
      <c r="F164" s="124">
        <v>49015163</v>
      </c>
      <c r="G164" s="48">
        <f ca="1">VLOOKUP($F164,OFFSET(enemy_skill_triggers!$A$1,0,0,COUNTA(enemy_skill_triggers!$A:$A),MATCH(G$1,enemy_skill_triggers!$1:$1,0)-MATCH($F$1,enemy_skill_triggers!$1:$1,0)+1),MATCH(G$1,enemy_skill_triggers!$1:$1,0)-MATCH($F$1,enemy_skill_triggers!$1:$1,0)+1,FALSE)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4" s="48">
        <f ca="1">VLOOKUP($F164,OFFSET(enemy_skill_triggers!$A$1,0,0,COUNTA(enemy_skill_triggers!$A:$A),MATCH(H$1,enemy_skill_triggers!$1:$1,0)-MATCH($F$1,enemy_skill_triggers!$1:$1,0)+1),MATCH(H$1,enemy_skill_triggers!$1:$1,0)-MATCH($F$1,enemy_skill_triggers!$1:$1,0)+1,FALSE)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64" s="48">
        <f ca="1">VLOOKUP($F164,OFFSET(enemy_skill_triggers!$A$1,0,0,COUNTA(enemy_skill_triggers!$A:$A),MATCH(I$1,enemy_skill_triggers!$1:$1,0)-MATCH($F$1,enemy_skill_triggers!$1:$1,0)+1),MATCH(I$1,enemy_skill_triggers!$1:$1,0)-MATCH($F$1,enemy_skill_triggers!$1:$1,0)+1,FALSE)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4" s="48" t="str">
        <f ca="1">VLOOKUP($F164,OFFSET(enemy_skill_triggers!$A$1,0,0,COUNTA(enemy_skill_triggers!$A:$A),MATCH(J$1,enemy_skill_triggers!$1:$1,0)-MATCH($F$1,enemy_skill_triggers!$1:$1,0)+1),MATCH(J$1,enemy_skill_triggers!$1:$1,0)-MATCH($F$1,enemy_skill_triggers!$1:$1,0)+1,FALSE)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4" s="48" t="str">
        <f ca="1">VLOOKUP($F164,OFFSET(enemy_skill_triggers!$A$1,0,0,COUNTA(enemy_skill_triggers!$A:$A),MATCH(K$1,enemy_skill_triggers!$1:$1,0)-MATCH($F$1,enemy_skill_triggers!$1:$1,0)+1),MATCH(K$1,enemy_skill_triggers!$1:$1,0)-MATCH($F$1,enemy_skill_triggers!$1:$1,0)+1,FALSE)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4" s="48">
        <f ca="1">VLOOKUP($F164,OFFSET(enemy_skill_triggers!$A$1,0,0,COUNTA(enemy_skill_triggers!$A:$A),MATCH(L$1,enemy_skill_triggers!$1:$1,0)-MATCH($F$1,enemy_skill_triggers!$1:$1,0)+1),MATCH(L$1,enemy_skill_triggers!$1:$1,0)-MATCH($F$1,enemy_skill_triggers!$1:$1,0)+1,FALSE)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4" s="48" t="str">
        <f ca="1">VLOOKUP($F164,OFFSET(enemy_skill_triggers!$A$1,0,0,COUNTA(enemy_skill_triggers!$A:$A),MATCH(M$1,enemy_skill_triggers!$1:$1,0)-MATCH($F$1,enemy_skill_triggers!$1:$1,0)+1),MATCH(M$1,enemy_skill_triggers!$1:$1,0)-MATCH($F$1,enemy_skill_triggers!$1:$1,0)+1,FALSE)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4" s="48">
        <f ca="1">VLOOKUP($F164,OFFSET(enemy_skill_triggers!$A$1,0,0,COUNTA(enemy_skill_triggers!$A:$A),MATCH(N$1,enemy_skill_triggers!$1:$1,0)-MATCH($F$1,enemy_skill_triggers!$1:$1,0)+1),MATCH(N$1,enemy_skill_triggers!$1:$1,0)-MATCH($F$1,enemy_skill_triggers!$1:$1,0)+1,FALSE)</f>
        <v>1469</v>
      </c>
      <c r="O164" s="48">
        <f ca="1">VLOOKUP($F164,OFFSET(enemy_skill_triggers!$A$1,0,0,COUNTA(enemy_skill_triggers!$A:$A),MATCH(O$1,enemy_skill_triggers!$1:$1,0)-MATCH($F$1,enemy_skill_triggers!$1:$1,0)+1),MATCH(O$1,enemy_skill_triggers!$1:$1,0)-MATCH($F$1,enemy_skill_triggers!$1:$1,0)+1,FALSE)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4" s="47"/>
      <c r="Q164" s="47"/>
      <c r="R164" s="47"/>
    </row>
    <row r="165" spans="1:18" ht="21" customHeight="1" x14ac:dyDescent="0.15">
      <c r="A165" s="39" t="str">
        <f t="shared" si="2"/>
        <v>49015013_49015122</v>
      </c>
      <c r="B165" s="106">
        <v>49015013</v>
      </c>
      <c r="C165" s="124">
        <v>49015122</v>
      </c>
      <c r="D165" s="46" t="str">
        <f ca="1">VLOOKUP($C165,OFFSET(enemy_skills!$A$1,0,0,COUNTA(enemy_skills!$A:$A),MATCH(D$1,enemy_skills!$1:$1,0)-MATCH("enemy_skill_id",enemy_skills!$1:$1,0)+1),MATCH(D$1,enemy_skills!$1:$1,0)-MATCH("enemy_skill_id",enemy_skills!$1:$1,0)+1,FALSE)</f>
        <v>お前も巻き込まれていたのか！</v>
      </c>
      <c r="E165" s="46" t="str">
        <f ca="1">VLOOKUP($C165,OFFSET(enemy_skills!$A$1,0,0,COUNTA(enemy_skills!$A:$A),MATCH(E$1,enemy_skills!$1:$1,0)-MATCH("enemy_skill_id",enemy_skills!$1:$1,0)+1),MATCH(E$1,enemy_skills!$1:$1,0)-MATCH("enemy_skill_id",enemy_skills!$1:$1,0)+1,FALSE)</f>
        <v>『早くあちらの世界に戻りますよ』</v>
      </c>
      <c r="F165" s="124">
        <v>49015164</v>
      </c>
      <c r="G165" s="48">
        <f ca="1">VLOOKUP($F165,OFFSET(enemy_skill_triggers!$A$1,0,0,COUNTA(enemy_skill_triggers!$A:$A),MATCH(G$1,enemy_skill_triggers!$1:$1,0)-MATCH($F$1,enemy_skill_triggers!$1:$1,0)+1),MATCH(G$1,enemy_skill_triggers!$1:$1,0)-MATCH($F$1,enemy_skill_triggers!$1:$1,0)+1,FALSE)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5" s="48">
        <f ca="1">VLOOKUP($F165,OFFSET(enemy_skill_triggers!$A$1,0,0,COUNTA(enemy_skill_triggers!$A:$A),MATCH(H$1,enemy_skill_triggers!$1:$1,0)-MATCH($F$1,enemy_skill_triggers!$1:$1,0)+1),MATCH(H$1,enemy_skill_triggers!$1:$1,0)-MATCH($F$1,enemy_skill_triggers!$1:$1,0)+1,FALSE)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65" s="48">
        <f ca="1">VLOOKUP($F165,OFFSET(enemy_skill_triggers!$A$1,0,0,COUNTA(enemy_skill_triggers!$A:$A),MATCH(I$1,enemy_skill_triggers!$1:$1,0)-MATCH($F$1,enemy_skill_triggers!$1:$1,0)+1),MATCH(I$1,enemy_skill_triggers!$1:$1,0)-MATCH($F$1,enemy_skill_triggers!$1:$1,0)+1,FALSE)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5" s="48" t="str">
        <f ca="1">VLOOKUP($F165,OFFSET(enemy_skill_triggers!$A$1,0,0,COUNTA(enemy_skill_triggers!$A:$A),MATCH(J$1,enemy_skill_triggers!$1:$1,0)-MATCH($F$1,enemy_skill_triggers!$1:$1,0)+1),MATCH(J$1,enemy_skill_triggers!$1:$1,0)-MATCH($F$1,enemy_skill_triggers!$1:$1,0)+1,FALSE)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5" s="48" t="str">
        <f ca="1">VLOOKUP($F165,OFFSET(enemy_skill_triggers!$A$1,0,0,COUNTA(enemy_skill_triggers!$A:$A),MATCH(K$1,enemy_skill_triggers!$1:$1,0)-MATCH($F$1,enemy_skill_triggers!$1:$1,0)+1),MATCH(K$1,enemy_skill_triggers!$1:$1,0)-MATCH($F$1,enemy_skill_triggers!$1:$1,0)+1,FALSE)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5" s="48">
        <f ca="1">VLOOKUP($F165,OFFSET(enemy_skill_triggers!$A$1,0,0,COUNTA(enemy_skill_triggers!$A:$A),MATCH(L$1,enemy_skill_triggers!$1:$1,0)-MATCH($F$1,enemy_skill_triggers!$1:$1,0)+1),MATCH(L$1,enemy_skill_triggers!$1:$1,0)-MATCH($F$1,enemy_skill_triggers!$1:$1,0)+1,FALSE)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5" s="48" t="str">
        <f ca="1">VLOOKUP($F165,OFFSET(enemy_skill_triggers!$A$1,0,0,COUNTA(enemy_skill_triggers!$A:$A),MATCH(M$1,enemy_skill_triggers!$1:$1,0)-MATCH($F$1,enemy_skill_triggers!$1:$1,0)+1),MATCH(M$1,enemy_skill_triggers!$1:$1,0)-MATCH($F$1,enemy_skill_triggers!$1:$1,0)+1,FALSE)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5" s="48">
        <f ca="1">VLOOKUP($F165,OFFSET(enemy_skill_triggers!$A$1,0,0,COUNTA(enemy_skill_triggers!$A:$A),MATCH(N$1,enemy_skill_triggers!$1:$1,0)-MATCH($F$1,enemy_skill_triggers!$1:$1,0)+1),MATCH(N$1,enemy_skill_triggers!$1:$1,0)-MATCH($F$1,enemy_skill_triggers!$1:$1,0)+1,FALSE)</f>
        <v>1470</v>
      </c>
      <c r="O165" s="48">
        <f ca="1">VLOOKUP($F165,OFFSET(enemy_skill_triggers!$A$1,0,0,COUNTA(enemy_skill_triggers!$A:$A),MATCH(O$1,enemy_skill_triggers!$1:$1,0)-MATCH($F$1,enemy_skill_triggers!$1:$1,0)+1),MATCH(O$1,enemy_skill_triggers!$1:$1,0)-MATCH($F$1,enemy_skill_triggers!$1:$1,0)+1,FALSE)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5" s="47"/>
      <c r="Q165" s="47"/>
      <c r="R165" s="47"/>
    </row>
    <row r="166" spans="1:18" ht="21" customHeight="1" x14ac:dyDescent="0.15">
      <c r="A166" s="39" t="str">
        <f t="shared" si="2"/>
        <v>49015013_49015123</v>
      </c>
      <c r="B166" s="106">
        <v>49015013</v>
      </c>
      <c r="C166" s="124">
        <v>49015123</v>
      </c>
      <c r="D166" s="46" t="str">
        <f ca="1">VLOOKUP($C166,OFFSET(enemy_skills!$A$1,0,0,COUNTA(enemy_skills!$A:$A),MATCH(D$1,enemy_skills!$1:$1,0)-MATCH("enemy_skill_id",enemy_skills!$1:$1,0)+1),MATCH(D$1,enemy_skills!$1:$1,0)-MATCH("enemy_skill_id",enemy_skills!$1:$1,0)+1,FALSE)</f>
        <v>大事な人柱を殺されるわけにはいかねえ！</v>
      </c>
      <c r="E166" s="46" t="str">
        <f ca="1">VLOOKUP($C166,OFFSET(enemy_skills!$A$1,0,0,COUNTA(enemy_skills!$A:$A),MATCH(E$1,enemy_skills!$1:$1,0)-MATCH("enemy_skill_id",enemy_skills!$1:$1,0)+1),MATCH(E$1,enemy_skills!$1:$1,0)-MATCH("enemy_skill_id",enemy_skills!$1:$1,0)+1,FALSE)</f>
        <v>『邪魔をするなホムンクルス！』</v>
      </c>
      <c r="F166" s="124">
        <v>49015165</v>
      </c>
      <c r="G166" s="48">
        <f ca="1">VLOOKUP($F166,OFFSET(enemy_skill_triggers!$A$1,0,0,COUNTA(enemy_skill_triggers!$A:$A),MATCH(G$1,enemy_skill_triggers!$1:$1,0)-MATCH($F$1,enemy_skill_triggers!$1:$1,0)+1),MATCH(G$1,enemy_skill_triggers!$1:$1,0)-MATCH($F$1,enemy_skill_triggers!$1:$1,0)+1,FALSE)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6" s="48">
        <f ca="1">VLOOKUP($F166,OFFSET(enemy_skill_triggers!$A$1,0,0,COUNTA(enemy_skill_triggers!$A:$A),MATCH(H$1,enemy_skill_triggers!$1:$1,0)-MATCH($F$1,enemy_skill_triggers!$1:$1,0)+1),MATCH(H$1,enemy_skill_triggers!$1:$1,0)-MATCH($F$1,enemy_skill_triggers!$1:$1,0)+1,FALSE)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66" s="48">
        <f ca="1">VLOOKUP($F166,OFFSET(enemy_skill_triggers!$A$1,0,0,COUNTA(enemy_skill_triggers!$A:$A),MATCH(I$1,enemy_skill_triggers!$1:$1,0)-MATCH($F$1,enemy_skill_triggers!$1:$1,0)+1),MATCH(I$1,enemy_skill_triggers!$1:$1,0)-MATCH($F$1,enemy_skill_triggers!$1:$1,0)+1,FALSE)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6" s="48" t="str">
        <f ca="1">VLOOKUP($F166,OFFSET(enemy_skill_triggers!$A$1,0,0,COUNTA(enemy_skill_triggers!$A:$A),MATCH(J$1,enemy_skill_triggers!$1:$1,0)-MATCH($F$1,enemy_skill_triggers!$1:$1,0)+1),MATCH(J$1,enemy_skill_triggers!$1:$1,0)-MATCH($F$1,enemy_skill_triggers!$1:$1,0)+1,FALSE)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6" s="48" t="str">
        <f ca="1">VLOOKUP($F166,OFFSET(enemy_skill_triggers!$A$1,0,0,COUNTA(enemy_skill_triggers!$A:$A),MATCH(K$1,enemy_skill_triggers!$1:$1,0)-MATCH($F$1,enemy_skill_triggers!$1:$1,0)+1),MATCH(K$1,enemy_skill_triggers!$1:$1,0)-MATCH($F$1,enemy_skill_triggers!$1:$1,0)+1,FALSE)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6" s="48">
        <f ca="1">VLOOKUP($F166,OFFSET(enemy_skill_triggers!$A$1,0,0,COUNTA(enemy_skill_triggers!$A:$A),MATCH(L$1,enemy_skill_triggers!$1:$1,0)-MATCH($F$1,enemy_skill_triggers!$1:$1,0)+1),MATCH(L$1,enemy_skill_triggers!$1:$1,0)-MATCH($F$1,enemy_skill_triggers!$1:$1,0)+1,FALSE)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6" s="48" t="str">
        <f ca="1">VLOOKUP($F166,OFFSET(enemy_skill_triggers!$A$1,0,0,COUNTA(enemy_skill_triggers!$A:$A),MATCH(M$1,enemy_skill_triggers!$1:$1,0)-MATCH($F$1,enemy_skill_triggers!$1:$1,0)+1),MATCH(M$1,enemy_skill_triggers!$1:$1,0)-MATCH($F$1,enemy_skill_triggers!$1:$1,0)+1,FALSE)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6" s="48">
        <f ca="1">VLOOKUP($F166,OFFSET(enemy_skill_triggers!$A$1,0,0,COUNTA(enemy_skill_triggers!$A:$A),MATCH(N$1,enemy_skill_triggers!$1:$1,0)-MATCH($F$1,enemy_skill_triggers!$1:$1,0)+1),MATCH(N$1,enemy_skill_triggers!$1:$1,0)-MATCH($F$1,enemy_skill_triggers!$1:$1,0)+1,FALSE)</f>
        <v>1466</v>
      </c>
      <c r="O166" s="48">
        <f ca="1">VLOOKUP($F166,OFFSET(enemy_skill_triggers!$A$1,0,0,COUNTA(enemy_skill_triggers!$A:$A),MATCH(O$1,enemy_skill_triggers!$1:$1,0)-MATCH($F$1,enemy_skill_triggers!$1:$1,0)+1),MATCH(O$1,enemy_skill_triggers!$1:$1,0)-MATCH($F$1,enemy_skill_triggers!$1:$1,0)+1,FALSE)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6" s="47"/>
      <c r="Q166" s="47"/>
      <c r="R166" s="47"/>
    </row>
    <row r="167" spans="1:18" ht="21" customHeight="1" x14ac:dyDescent="0.15">
      <c r="A167" s="39" t="str">
        <f t="shared" si="2"/>
        <v>49015013_49015123</v>
      </c>
      <c r="B167" s="106">
        <v>49015013</v>
      </c>
      <c r="C167" s="124">
        <v>49015123</v>
      </c>
      <c r="D167" s="46" t="str">
        <f ca="1">VLOOKUP($C167,OFFSET(enemy_skills!$A$1,0,0,COUNTA(enemy_skills!$A:$A),MATCH(D$1,enemy_skills!$1:$1,0)-MATCH("enemy_skill_id",enemy_skills!$1:$1,0)+1),MATCH(D$1,enemy_skills!$1:$1,0)-MATCH("enemy_skill_id",enemy_skills!$1:$1,0)+1,FALSE)</f>
        <v>大事な人柱を殺されるわけにはいかねえ！</v>
      </c>
      <c r="E167" s="46" t="str">
        <f ca="1">VLOOKUP($C167,OFFSET(enemy_skills!$A$1,0,0,COUNTA(enemy_skills!$A:$A),MATCH(E$1,enemy_skills!$1:$1,0)-MATCH("enemy_skill_id",enemy_skills!$1:$1,0)+1),MATCH(E$1,enemy_skills!$1:$1,0)-MATCH("enemy_skill_id",enemy_skills!$1:$1,0)+1,FALSE)</f>
        <v>『邪魔をするなホムンクルス！』</v>
      </c>
      <c r="F167" s="124">
        <v>49015166</v>
      </c>
      <c r="G167" s="48">
        <f ca="1">VLOOKUP($F167,OFFSET(enemy_skill_triggers!$A$1,0,0,COUNTA(enemy_skill_triggers!$A:$A),MATCH(G$1,enemy_skill_triggers!$1:$1,0)-MATCH($F$1,enemy_skill_triggers!$1:$1,0)+1),MATCH(G$1,enemy_skill_triggers!$1:$1,0)-MATCH($F$1,enemy_skill_triggers!$1:$1,0)+1,FALSE)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7" s="48">
        <f ca="1">VLOOKUP($F167,OFFSET(enemy_skill_triggers!$A$1,0,0,COUNTA(enemy_skill_triggers!$A:$A),MATCH(H$1,enemy_skill_triggers!$1:$1,0)-MATCH($F$1,enemy_skill_triggers!$1:$1,0)+1),MATCH(H$1,enemy_skill_triggers!$1:$1,0)-MATCH($F$1,enemy_skill_triggers!$1:$1,0)+1,FALSE)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167" s="48">
        <f ca="1">VLOOKUP($F167,OFFSET(enemy_skill_triggers!$A$1,0,0,COUNTA(enemy_skill_triggers!$A:$A),MATCH(I$1,enemy_skill_triggers!$1:$1,0)-MATCH($F$1,enemy_skill_triggers!$1:$1,0)+1),MATCH(I$1,enemy_skill_triggers!$1:$1,0)-MATCH($F$1,enemy_skill_triggers!$1:$1,0)+1,FALSE)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7" s="48" t="str">
        <f ca="1">VLOOKUP($F167,OFFSET(enemy_skill_triggers!$A$1,0,0,COUNTA(enemy_skill_triggers!$A:$A),MATCH(J$1,enemy_skill_triggers!$1:$1,0)-MATCH($F$1,enemy_skill_triggers!$1:$1,0)+1),MATCH(J$1,enemy_skill_triggers!$1:$1,0)-MATCH($F$1,enemy_skill_triggers!$1:$1,0)+1,FALSE)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7" s="48" t="str">
        <f ca="1">VLOOKUP($F167,OFFSET(enemy_skill_triggers!$A$1,0,0,COUNTA(enemy_skill_triggers!$A:$A),MATCH(K$1,enemy_skill_triggers!$1:$1,0)-MATCH($F$1,enemy_skill_triggers!$1:$1,0)+1),MATCH(K$1,enemy_skill_triggers!$1:$1,0)-MATCH($F$1,enemy_skill_triggers!$1:$1,0)+1,FALSE)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7" s="48">
        <f ca="1">VLOOKUP($F167,OFFSET(enemy_skill_triggers!$A$1,0,0,COUNTA(enemy_skill_triggers!$A:$A),MATCH(L$1,enemy_skill_triggers!$1:$1,0)-MATCH($F$1,enemy_skill_triggers!$1:$1,0)+1),MATCH(L$1,enemy_skill_triggers!$1:$1,0)-MATCH($F$1,enemy_skill_triggers!$1:$1,0)+1,FALSE)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7" s="48" t="str">
        <f ca="1">VLOOKUP($F167,OFFSET(enemy_skill_triggers!$A$1,0,0,COUNTA(enemy_skill_triggers!$A:$A),MATCH(M$1,enemy_skill_triggers!$1:$1,0)-MATCH($F$1,enemy_skill_triggers!$1:$1,0)+1),MATCH(M$1,enemy_skill_triggers!$1:$1,0)-MATCH($F$1,enemy_skill_triggers!$1:$1,0)+1,FALSE)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7" s="48">
        <f ca="1">VLOOKUP($F167,OFFSET(enemy_skill_triggers!$A$1,0,0,COUNTA(enemy_skill_triggers!$A:$A),MATCH(N$1,enemy_skill_triggers!$1:$1,0)-MATCH($F$1,enemy_skill_triggers!$1:$1,0)+1),MATCH(N$1,enemy_skill_triggers!$1:$1,0)-MATCH($F$1,enemy_skill_triggers!$1:$1,0)+1,FALSE)</f>
        <v>1467</v>
      </c>
      <c r="O167" s="48">
        <f ca="1">VLOOKUP($F167,OFFSET(enemy_skill_triggers!$A$1,0,0,COUNTA(enemy_skill_triggers!$A:$A),MATCH(O$1,enemy_skill_triggers!$1:$1,0)-MATCH($F$1,enemy_skill_triggers!$1:$1,0)+1),MATCH(O$1,enemy_skill_triggers!$1:$1,0)-MATCH($F$1,enemy_skill_triggers!$1:$1,0)+1,FALSE)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7" s="47"/>
      <c r="Q167" s="47"/>
      <c r="R167" s="47"/>
    </row>
    <row r="168" spans="1:18" ht="21" customHeight="1" x14ac:dyDescent="0.15">
      <c r="A168" s="39" t="str">
        <f t="shared" si="2"/>
        <v>49015013_49015124</v>
      </c>
      <c r="B168" s="106">
        <v>49015013</v>
      </c>
      <c r="C168" s="124">
        <v>49015124</v>
      </c>
      <c r="D168" s="46" t="str">
        <f ca="1">VLOOKUP($C168,OFFSET(enemy_skills!$A$1,0,0,COUNTA(enemy_skills!$A:$A),MATCH(D$1,enemy_skills!$1:$1,0)-MATCH("enemy_skill_id",enemy_skills!$1:$1,0)+1),MATCH(D$1,enemy_skills!$1:$1,0)-MATCH("enemy_skill_id",enemy_skills!$1:$1,0)+1,FALSE)</f>
        <v>戦るか？</v>
      </c>
      <c r="E168" s="46" t="str">
        <f ca="1">VLOOKUP($C168,OFFSET(enemy_skills!$A$1,0,0,COUNTA(enemy_skills!$A:$A),MATCH(E$1,enemy_skills!$1:$1,0)-MATCH("enemy_skill_id",enemy_skills!$1:$1,0)+1),MATCH(E$1,enemy_skills!$1:$1,0)-MATCH("enemy_skill_id",enemy_skills!$1:$1,0)+1,FALSE)</f>
        <v>ランダムで緑のダメージパネルに最大3個変換</v>
      </c>
      <c r="F168" s="124">
        <v>49015167</v>
      </c>
      <c r="G168" s="48">
        <f ca="1">VLOOKUP($F168,OFFSET(enemy_skill_triggers!$A$1,0,0,COUNTA(enemy_skill_triggers!$A:$A),MATCH(G$1,enemy_skill_triggers!$1:$1,0)-MATCH($F$1,enemy_skill_triggers!$1:$1,0)+1),MATCH(G$1,enemy_skill_triggers!$1:$1,0)-MATCH($F$1,enemy_skill_triggers!$1:$1,0)+1,FALSE)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8" s="48">
        <f ca="1">VLOOKUP($F168,OFFSET(enemy_skill_triggers!$A$1,0,0,COUNTA(enemy_skill_triggers!$A:$A),MATCH(H$1,enemy_skill_triggers!$1:$1,0)-MATCH($F$1,enemy_skill_triggers!$1:$1,0)+1),MATCH(H$1,enemy_skill_triggers!$1:$1,0)-MATCH($F$1,enemy_skill_triggers!$1:$1,0)+1,FALSE)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68" s="48">
        <f ca="1">VLOOKUP($F168,OFFSET(enemy_skill_triggers!$A$1,0,0,COUNTA(enemy_skill_triggers!$A:$A),MATCH(I$1,enemy_skill_triggers!$1:$1,0)-MATCH($F$1,enemy_skill_triggers!$1:$1,0)+1),MATCH(I$1,enemy_skill_triggers!$1:$1,0)-MATCH($F$1,enemy_skill_triggers!$1:$1,0)+1,FALSE)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68" s="48" t="str">
        <f ca="1">VLOOKUP($F168,OFFSET(enemy_skill_triggers!$A$1,0,0,COUNTA(enemy_skill_triggers!$A:$A),MATCH(J$1,enemy_skill_triggers!$1:$1,0)-MATCH($F$1,enemy_skill_triggers!$1:$1,0)+1),MATCH(J$1,enemy_skill_triggers!$1:$1,0)-MATCH($F$1,enemy_skill_triggers!$1:$1,0)+1,FALSE)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8" s="48" t="str">
        <f ca="1">VLOOKUP($F168,OFFSET(enemy_skill_triggers!$A$1,0,0,COUNTA(enemy_skill_triggers!$A:$A),MATCH(K$1,enemy_skill_triggers!$1:$1,0)-MATCH($F$1,enemy_skill_triggers!$1:$1,0)+1),MATCH(K$1,enemy_skill_triggers!$1:$1,0)-MATCH($F$1,enemy_skill_triggers!$1:$1,0)+1,FALSE)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8" s="48" t="str">
        <f ca="1">VLOOKUP($F168,OFFSET(enemy_skill_triggers!$A$1,0,0,COUNTA(enemy_skill_triggers!$A:$A),MATCH(L$1,enemy_skill_triggers!$1:$1,0)-MATCH($F$1,enemy_skill_triggers!$1:$1,0)+1),MATCH(L$1,enemy_skill_triggers!$1:$1,0)-MATCH($F$1,enemy_skill_triggers!$1:$1,0)+1,FALSE)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8" s="48" t="str">
        <f ca="1">VLOOKUP($F168,OFFSET(enemy_skill_triggers!$A$1,0,0,COUNTA(enemy_skill_triggers!$A:$A),MATCH(M$1,enemy_skill_triggers!$1:$1,0)-MATCH($F$1,enemy_skill_triggers!$1:$1,0)+1),MATCH(M$1,enemy_skill_triggers!$1:$1,0)-MATCH($F$1,enemy_skill_triggers!$1:$1,0)+1,FALSE)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8" s="48" t="str">
        <f ca="1">VLOOKUP($F168,OFFSET(enemy_skill_triggers!$A$1,0,0,COUNTA(enemy_skill_triggers!$A:$A),MATCH(N$1,enemy_skill_triggers!$1:$1,0)-MATCH($F$1,enemy_skill_triggers!$1:$1,0)+1),MATCH(N$1,enemy_skill_triggers!$1:$1,0)-MATCH($F$1,enemy_skill_triggers!$1:$1,0)+1,FALSE)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8" s="48">
        <f ca="1">VLOOKUP($F168,OFFSET(enemy_skill_triggers!$A$1,0,0,COUNTA(enemy_skill_triggers!$A:$A),MATCH(O$1,enemy_skill_triggers!$1:$1,0)-MATCH($F$1,enemy_skill_triggers!$1:$1,0)+1),MATCH(O$1,enemy_skill_triggers!$1:$1,0)-MATCH($F$1,enemy_skill_triggers!$1:$1,0)+1,FALSE)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68" s="47"/>
      <c r="Q168" s="47"/>
      <c r="R168" s="47"/>
    </row>
    <row r="169" spans="1:18" ht="21" customHeight="1" x14ac:dyDescent="0.15">
      <c r="A169" s="39" t="str">
        <f t="shared" si="2"/>
        <v>49015013_49015125</v>
      </c>
      <c r="B169" s="106">
        <v>49015013</v>
      </c>
      <c r="C169" s="124">
        <v>49015125</v>
      </c>
      <c r="D169" s="46" t="str">
        <f ca="1">VLOOKUP($C169,OFFSET(enemy_skills!$A$1,0,0,COUNTA(enemy_skills!$A:$A),MATCH(D$1,enemy_skills!$1:$1,0)-MATCH("enemy_skill_id",enemy_skills!$1:$1,0)+1),MATCH(D$1,enemy_skills!$1:$1,0)-MATCH("enemy_skill_id",enemy_skills!$1:$1,0)+1,FALSE)</f>
        <v>踏みつぶすぞ！</v>
      </c>
      <c r="E169" s="46" t="str">
        <f ca="1">VLOOKUP($C169,OFFSET(enemy_skills!$A$1,0,0,COUNTA(enemy_skills!$A:$A),MATCH(E$1,enemy_skills!$1:$1,0)-MATCH("enemy_skill_id",enemy_skills!$1:$1,0)+1),MATCH(E$1,enemy_skills!$1:$1,0)-MATCH("enemy_skill_id",enemy_skills!$1:$1,0)+1,FALSE)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69" s="124">
        <v>49015168</v>
      </c>
      <c r="G169" s="48">
        <f ca="1">VLOOKUP($F169,OFFSET(enemy_skill_triggers!$A$1,0,0,COUNTA(enemy_skill_triggers!$A:$A),MATCH(G$1,enemy_skill_triggers!$1:$1,0)-MATCH($F$1,enemy_skill_triggers!$1:$1,0)+1),MATCH(G$1,enemy_skill_triggers!$1:$1,0)-MATCH($F$1,enemy_skill_triggers!$1:$1,0)+1,FALSE)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9" s="48">
        <f ca="1">VLOOKUP($F169,OFFSET(enemy_skill_triggers!$A$1,0,0,COUNTA(enemy_skill_triggers!$A:$A),MATCH(H$1,enemy_skill_triggers!$1:$1,0)-MATCH($F$1,enemy_skill_triggers!$1:$1,0)+1),MATCH(H$1,enemy_skill_triggers!$1:$1,0)-MATCH($F$1,enemy_skill_triggers!$1:$1,0)+1,FALSE)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69" s="48">
        <f ca="1">VLOOKUP($F169,OFFSET(enemy_skill_triggers!$A$1,0,0,COUNTA(enemy_skill_triggers!$A:$A),MATCH(I$1,enemy_skill_triggers!$1:$1,0)-MATCH($F$1,enemy_skill_triggers!$1:$1,0)+1),MATCH(I$1,enemy_skill_triggers!$1:$1,0)-MATCH($F$1,enemy_skill_triggers!$1:$1,0)+1,FALSE)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9" s="48" t="str">
        <f ca="1">VLOOKUP($F169,OFFSET(enemy_skill_triggers!$A$1,0,0,COUNTA(enemy_skill_triggers!$A:$A),MATCH(J$1,enemy_skill_triggers!$1:$1,0)-MATCH($F$1,enemy_skill_triggers!$1:$1,0)+1),MATCH(J$1,enemy_skill_triggers!$1:$1,0)-MATCH($F$1,enemy_skill_triggers!$1:$1,0)+1,FALSE)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9" s="48" t="str">
        <f ca="1">VLOOKUP($F169,OFFSET(enemy_skill_triggers!$A$1,0,0,COUNTA(enemy_skill_triggers!$A:$A),MATCH(K$1,enemy_skill_triggers!$1:$1,0)-MATCH($F$1,enemy_skill_triggers!$1:$1,0)+1),MATCH(K$1,enemy_skill_triggers!$1:$1,0)-MATCH($F$1,enemy_skill_triggers!$1:$1,0)+1,FALSE)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9" s="48" t="str">
        <f ca="1">VLOOKUP($F169,OFFSET(enemy_skill_triggers!$A$1,0,0,COUNTA(enemy_skill_triggers!$A:$A),MATCH(L$1,enemy_skill_triggers!$1:$1,0)-MATCH($F$1,enemy_skill_triggers!$1:$1,0)+1),MATCH(L$1,enemy_skill_triggers!$1:$1,0)-MATCH($F$1,enemy_skill_triggers!$1:$1,0)+1,FALSE)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9" s="48" t="str">
        <f ca="1">VLOOKUP($F169,OFFSET(enemy_skill_triggers!$A$1,0,0,COUNTA(enemy_skill_triggers!$A:$A),MATCH(M$1,enemy_skill_triggers!$1:$1,0)-MATCH($F$1,enemy_skill_triggers!$1:$1,0)+1),MATCH(M$1,enemy_skill_triggers!$1:$1,0)-MATCH($F$1,enemy_skill_triggers!$1:$1,0)+1,FALSE)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9" s="48" t="str">
        <f ca="1">VLOOKUP($F169,OFFSET(enemy_skill_triggers!$A$1,0,0,COUNTA(enemy_skill_triggers!$A:$A),MATCH(N$1,enemy_skill_triggers!$1:$1,0)-MATCH($F$1,enemy_skill_triggers!$1:$1,0)+1),MATCH(N$1,enemy_skill_triggers!$1:$1,0)-MATCH($F$1,enemy_skill_triggers!$1:$1,0)+1,FALSE)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9" s="48">
        <f ca="1">VLOOKUP($F169,OFFSET(enemy_skill_triggers!$A$1,0,0,COUNTA(enemy_skill_triggers!$A:$A),MATCH(O$1,enemy_skill_triggers!$1:$1,0)-MATCH($F$1,enemy_skill_triggers!$1:$1,0)+1),MATCH(O$1,enemy_skill_triggers!$1:$1,0)-MATCH($F$1,enemy_skill_triggers!$1:$1,0)+1,FALSE)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9" s="47"/>
      <c r="Q169" s="47"/>
      <c r="R169" s="47"/>
    </row>
    <row r="170" spans="1:18" ht="21" customHeight="1" x14ac:dyDescent="0.15">
      <c r="A170" s="39" t="str">
        <f t="shared" si="2"/>
        <v>49015013_49015126</v>
      </c>
      <c r="B170" s="106">
        <v>49015013</v>
      </c>
      <c r="C170" s="124">
        <v>49015126</v>
      </c>
      <c r="D170" s="46" t="str">
        <f ca="1">VLOOKUP($C170,OFFSET(enemy_skills!$A$1,0,0,COUNTA(enemy_skills!$A:$A),MATCH(D$1,enemy_skills!$1:$1,0)-MATCH("enemy_skill_id",enemy_skills!$1:$1,0)+1),MATCH(D$1,enemy_skills!$1:$1,0)-MATCH("enemy_skill_id",enemy_skills!$1:$1,0)+1,FALSE)</f>
        <v>クソ人間が！</v>
      </c>
      <c r="E170" s="46" t="str">
        <f ca="1">VLOOKUP($C170,OFFSET(enemy_skills!$A$1,0,0,COUNTA(enemy_skills!$A:$A),MATCH(E$1,enemy_skills!$1:$1,0)-MATCH("enemy_skill_id",enemy_skills!$1:$1,0)+1),MATCH(E$1,enemy_skills!$1:$1,0)-MATCH("enemy_skill_id",enemy_skills!$1:$1,0)+1,FALSE)</f>
        <v>特定エリアを緑の時限式ダメージパネルに変換</v>
      </c>
      <c r="F170" s="124">
        <v>49015169</v>
      </c>
      <c r="G170" s="48">
        <f ca="1">VLOOKUP($F170,OFFSET(enemy_skill_triggers!$A$1,0,0,COUNTA(enemy_skill_triggers!$A:$A),MATCH(G$1,enemy_skill_triggers!$1:$1,0)-MATCH($F$1,enemy_skill_triggers!$1:$1,0)+1),MATCH(G$1,enemy_skill_triggers!$1:$1,0)-MATCH($F$1,enemy_skill_triggers!$1:$1,0)+1,FALSE)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0" s="48">
        <f ca="1">VLOOKUP($F170,OFFSET(enemy_skill_triggers!$A$1,0,0,COUNTA(enemy_skill_triggers!$A:$A),MATCH(H$1,enemy_skill_triggers!$1:$1,0)-MATCH($F$1,enemy_skill_triggers!$1:$1,0)+1),MATCH(H$1,enemy_skill_triggers!$1:$1,0)-MATCH($F$1,enemy_skill_triggers!$1:$1,0)+1,FALSE)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170" s="48">
        <f ca="1">VLOOKUP($F170,OFFSET(enemy_skill_triggers!$A$1,0,0,COUNTA(enemy_skill_triggers!$A:$A),MATCH(I$1,enemy_skill_triggers!$1:$1,0)-MATCH($F$1,enemy_skill_triggers!$1:$1,0)+1),MATCH(I$1,enemy_skill_triggers!$1:$1,0)-MATCH($F$1,enemy_skill_triggers!$1:$1,0)+1,FALSE)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0" s="48" t="str">
        <f ca="1">VLOOKUP($F170,OFFSET(enemy_skill_triggers!$A$1,0,0,COUNTA(enemy_skill_triggers!$A:$A),MATCH(J$1,enemy_skill_triggers!$1:$1,0)-MATCH($F$1,enemy_skill_triggers!$1:$1,0)+1),MATCH(J$1,enemy_skill_triggers!$1:$1,0)-MATCH($F$1,enemy_skill_triggers!$1:$1,0)+1,FALSE)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0" s="48" t="str">
        <f ca="1">VLOOKUP($F170,OFFSET(enemy_skill_triggers!$A$1,0,0,COUNTA(enemy_skill_triggers!$A:$A),MATCH(K$1,enemy_skill_triggers!$1:$1,0)-MATCH($F$1,enemy_skill_triggers!$1:$1,0)+1),MATCH(K$1,enemy_skill_triggers!$1:$1,0)-MATCH($F$1,enemy_skill_triggers!$1:$1,0)+1,FALSE)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0" s="48" t="str">
        <f ca="1">VLOOKUP($F170,OFFSET(enemy_skill_triggers!$A$1,0,0,COUNTA(enemy_skill_triggers!$A:$A),MATCH(L$1,enemy_skill_triggers!$1:$1,0)-MATCH($F$1,enemy_skill_triggers!$1:$1,0)+1),MATCH(L$1,enemy_skill_triggers!$1:$1,0)-MATCH($F$1,enemy_skill_triggers!$1:$1,0)+1,FALSE)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0" s="48">
        <f ca="1">VLOOKUP($F170,OFFSET(enemy_skill_triggers!$A$1,0,0,COUNTA(enemy_skill_triggers!$A:$A),MATCH(M$1,enemy_skill_triggers!$1:$1,0)-MATCH($F$1,enemy_skill_triggers!$1:$1,0)+1),MATCH(M$1,enemy_skill_triggers!$1:$1,0)-MATCH($F$1,enemy_skill_triggers!$1:$1,0)+1,FALSE)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70" s="48" t="str">
        <f ca="1">VLOOKUP($F170,OFFSET(enemy_skill_triggers!$A$1,0,0,COUNTA(enemy_skill_triggers!$A:$A),MATCH(N$1,enemy_skill_triggers!$1:$1,0)-MATCH($F$1,enemy_skill_triggers!$1:$1,0)+1),MATCH(N$1,enemy_skill_triggers!$1:$1,0)-MATCH($F$1,enemy_skill_triggers!$1:$1,0)+1,FALSE)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0" s="48">
        <f ca="1">VLOOKUP($F170,OFFSET(enemy_skill_triggers!$A$1,0,0,COUNTA(enemy_skill_triggers!$A:$A),MATCH(O$1,enemy_skill_triggers!$1:$1,0)-MATCH($F$1,enemy_skill_triggers!$1:$1,0)+1),MATCH(O$1,enemy_skill_triggers!$1:$1,0)-MATCH($F$1,enemy_skill_triggers!$1:$1,0)+1,FALSE)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0" s="47"/>
      <c r="Q170" s="47"/>
      <c r="R170" s="47"/>
    </row>
    <row r="171" spans="1:18" ht="21" customHeight="1" thickBot="1" x14ac:dyDescent="0.2">
      <c r="A171" s="39" t="str">
        <f t="shared" si="2"/>
        <v>49015013_49015127</v>
      </c>
      <c r="B171" s="111">
        <v>49015013</v>
      </c>
      <c r="C171" s="125">
        <v>49015127</v>
      </c>
      <c r="D171" s="145" t="str">
        <f ca="1">VLOOKUP($C171,OFFSET(enemy_skills!$A$1,0,0,COUNTA(enemy_skills!$A:$A),MATCH(D$1,enemy_skills!$1:$1,0)-MATCH("enemy_skill_id",enemy_skills!$1:$1,0)+1),MATCH(D$1,enemy_skills!$1:$1,0)-MATCH("enemy_skill_id",enemy_skills!$1:$1,0)+1,FALSE)</f>
        <v>くっそラースの野郎！</v>
      </c>
      <c r="E171" s="145" t="str">
        <f ca="1">VLOOKUP($C171,OFFSET(enemy_skills!$A$1,0,0,COUNTA(enemy_skills!$A:$A),MATCH(E$1,enemy_skills!$1:$1,0)-MATCH("enemy_skill_id",enemy_skills!$1:$1,0)+1),MATCH(E$1,enemy_skills!$1:$1,0)-MATCH("enemy_skill_id",enemy_skills!$1:$1,0)+1,FALSE)</f>
        <v>特定エリアをお邪魔パネルに変換</v>
      </c>
      <c r="F171" s="125">
        <v>49015170</v>
      </c>
      <c r="G171" s="114">
        <f ca="1">VLOOKUP($F171,OFFSET(enemy_skill_triggers!$A$1,0,0,COUNTA(enemy_skill_triggers!$A:$A),MATCH(G$1,enemy_skill_triggers!$1:$1,0)-MATCH($F$1,enemy_skill_triggers!$1:$1,0)+1),MATCH(G$1,enemy_skill_triggers!$1:$1,0)-MATCH($F$1,enemy_skill_triggers!$1:$1,0)+1,FALSE)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1" s="114">
        <f ca="1">VLOOKUP($F171,OFFSET(enemy_skill_triggers!$A$1,0,0,COUNTA(enemy_skill_triggers!$A:$A),MATCH(H$1,enemy_skill_triggers!$1:$1,0)-MATCH($F$1,enemy_skill_triggers!$1:$1,0)+1),MATCH(H$1,enemy_skill_triggers!$1:$1,0)-MATCH($F$1,enemy_skill_triggers!$1:$1,0)+1,FALSE)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71" s="114">
        <f ca="1">VLOOKUP($F171,OFFSET(enemy_skill_triggers!$A$1,0,0,COUNTA(enemy_skill_triggers!$A:$A),MATCH(I$1,enemy_skill_triggers!$1:$1,0)-MATCH($F$1,enemy_skill_triggers!$1:$1,0)+1),MATCH(I$1,enemy_skill_triggers!$1:$1,0)-MATCH($F$1,enemy_skill_triggers!$1:$1,0)+1,FALSE)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1" s="114" t="str">
        <f ca="1">VLOOKUP($F171,OFFSET(enemy_skill_triggers!$A$1,0,0,COUNTA(enemy_skill_triggers!$A:$A),MATCH(J$1,enemy_skill_triggers!$1:$1,0)-MATCH($F$1,enemy_skill_triggers!$1:$1,0)+1),MATCH(J$1,enemy_skill_triggers!$1:$1,0)-MATCH($F$1,enemy_skill_triggers!$1:$1,0)+1,FALSE)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1" s="114" t="str">
        <f ca="1">VLOOKUP($F171,OFFSET(enemy_skill_triggers!$A$1,0,0,COUNTA(enemy_skill_triggers!$A:$A),MATCH(K$1,enemy_skill_triggers!$1:$1,0)-MATCH($F$1,enemy_skill_triggers!$1:$1,0)+1),MATCH(K$1,enemy_skill_triggers!$1:$1,0)-MATCH($F$1,enemy_skill_triggers!$1:$1,0)+1,FALSE)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1" s="114" t="str">
        <f ca="1">VLOOKUP($F171,OFFSET(enemy_skill_triggers!$A$1,0,0,COUNTA(enemy_skill_triggers!$A:$A),MATCH(L$1,enemy_skill_triggers!$1:$1,0)-MATCH($F$1,enemy_skill_triggers!$1:$1,0)+1),MATCH(L$1,enemy_skill_triggers!$1:$1,0)-MATCH($F$1,enemy_skill_triggers!$1:$1,0)+1,FALSE)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1" s="114">
        <f ca="1">VLOOKUP($F171,OFFSET(enemy_skill_triggers!$A$1,0,0,COUNTA(enemy_skill_triggers!$A:$A),MATCH(M$1,enemy_skill_triggers!$1:$1,0)-MATCH($F$1,enemy_skill_triggers!$1:$1,0)+1),MATCH(M$1,enemy_skill_triggers!$1:$1,0)-MATCH($F$1,enemy_skill_triggers!$1:$1,0)+1,FALSE)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71" s="114" t="str">
        <f ca="1">VLOOKUP($F171,OFFSET(enemy_skill_triggers!$A$1,0,0,COUNTA(enemy_skill_triggers!$A:$A),MATCH(N$1,enemy_skill_triggers!$1:$1,0)-MATCH($F$1,enemy_skill_triggers!$1:$1,0)+1),MATCH(N$1,enemy_skill_triggers!$1:$1,0)-MATCH($F$1,enemy_skill_triggers!$1:$1,0)+1,FALSE)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1" s="114">
        <f ca="1">VLOOKUP($F171,OFFSET(enemy_skill_triggers!$A$1,0,0,COUNTA(enemy_skill_triggers!$A:$A),MATCH(O$1,enemy_skill_triggers!$1:$1,0)-MATCH($F$1,enemy_skill_triggers!$1:$1,0)+1),MATCH(O$1,enemy_skill_triggers!$1:$1,0)-MATCH($F$1,enemy_skill_triggers!$1:$1,0)+1,FALSE)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1" s="111"/>
      <c r="Q171" s="111"/>
      <c r="R171" s="111"/>
    </row>
    <row r="172" spans="1:18" ht="21" customHeight="1" x14ac:dyDescent="0.15">
      <c r="A172" s="39" t="str">
        <f t="shared" si="2"/>
        <v>49015014_49015128</v>
      </c>
      <c r="B172" s="106">
        <v>49015014</v>
      </c>
      <c r="C172" s="124">
        <v>49015128</v>
      </c>
      <c r="D172" s="144" t="str">
        <f ca="1">VLOOKUP($C172,OFFSET(enemy_skills!$A$1,0,0,COUNTA(enemy_skills!$A:$A),MATCH(D$1,enemy_skills!$1:$1,0)-MATCH("enemy_skill_id",enemy_skills!$1:$1,0)+1),MATCH(D$1,enemy_skills!$1:$1,0)-MATCH("enemy_skill_id",enemy_skills!$1:$1,0)+1,FALSE)</f>
        <v>紛れ込んでやってやる！</v>
      </c>
      <c r="E172" s="144" t="str">
        <f ca="1">VLOOKUP($C172,OFFSET(enemy_skills!$A$1,0,0,COUNTA(enemy_skills!$A:$A),MATCH(E$1,enemy_skills!$1:$1,0)-MATCH("enemy_skill_id",enemy_skills!$1:$1,0)+1),MATCH(E$1,enemy_skills!$1:$1,0)-MATCH("enemy_skill_id",enemy_skills!$1:$1,0)+1,FALSE)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72" s="124">
        <v>49015171</v>
      </c>
      <c r="G172" s="109">
        <f ca="1">VLOOKUP($F172,OFFSET(enemy_skill_triggers!$A$1,0,0,COUNTA(enemy_skill_triggers!$A:$A),MATCH(G$1,enemy_skill_triggers!$1:$1,0)-MATCH($F$1,enemy_skill_triggers!$1:$1,0)+1),MATCH(G$1,enemy_skill_triggers!$1:$1,0)-MATCH($F$1,enemy_skill_triggers!$1:$1,0)+1,FALSE)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2" s="109">
        <f ca="1">VLOOKUP($F172,OFFSET(enemy_skill_triggers!$A$1,0,0,COUNTA(enemy_skill_triggers!$A:$A),MATCH(H$1,enemy_skill_triggers!$1:$1,0)-MATCH($F$1,enemy_skill_triggers!$1:$1,0)+1),MATCH(H$1,enemy_skill_triggers!$1:$1,0)-MATCH($F$1,enemy_skill_triggers!$1:$1,0)+1,FALSE)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72" s="109">
        <f ca="1">VLOOKUP($F172,OFFSET(enemy_skill_triggers!$A$1,0,0,COUNTA(enemy_skill_triggers!$A:$A),MATCH(I$1,enemy_skill_triggers!$1:$1,0)-MATCH($F$1,enemy_skill_triggers!$1:$1,0)+1),MATCH(I$1,enemy_skill_triggers!$1:$1,0)-MATCH($F$1,enemy_skill_triggers!$1:$1,0)+1,FALSE)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2" s="109" t="str">
        <f ca="1">VLOOKUP($F172,OFFSET(enemy_skill_triggers!$A$1,0,0,COUNTA(enemy_skill_triggers!$A:$A),MATCH(J$1,enemy_skill_triggers!$1:$1,0)-MATCH($F$1,enemy_skill_triggers!$1:$1,0)+1),MATCH(J$1,enemy_skill_triggers!$1:$1,0)-MATCH($F$1,enemy_skill_triggers!$1:$1,0)+1,FALSE)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2" s="109" t="str">
        <f ca="1">VLOOKUP($F172,OFFSET(enemy_skill_triggers!$A$1,0,0,COUNTA(enemy_skill_triggers!$A:$A),MATCH(K$1,enemy_skill_triggers!$1:$1,0)-MATCH($F$1,enemy_skill_triggers!$1:$1,0)+1),MATCH(K$1,enemy_skill_triggers!$1:$1,0)-MATCH($F$1,enemy_skill_triggers!$1:$1,0)+1,FALSE)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2" s="109">
        <f ca="1">VLOOKUP($F172,OFFSET(enemy_skill_triggers!$A$1,0,0,COUNTA(enemy_skill_triggers!$A:$A),MATCH(L$1,enemy_skill_triggers!$1:$1,0)-MATCH($F$1,enemy_skill_triggers!$1:$1,0)+1),MATCH(L$1,enemy_skill_triggers!$1:$1,0)-MATCH($F$1,enemy_skill_triggers!$1:$1,0)+1,FALSE)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2" s="109" t="str">
        <f ca="1">VLOOKUP($F172,OFFSET(enemy_skill_triggers!$A$1,0,0,COUNTA(enemy_skill_triggers!$A:$A),MATCH(M$1,enemy_skill_triggers!$1:$1,0)-MATCH($F$1,enemy_skill_triggers!$1:$1,0)+1),MATCH(M$1,enemy_skill_triggers!$1:$1,0)-MATCH($F$1,enemy_skill_triggers!$1:$1,0)+1,FALSE)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2" s="109" t="str">
        <f ca="1">VLOOKUP($F172,OFFSET(enemy_skill_triggers!$A$1,0,0,COUNTA(enemy_skill_triggers!$A:$A),MATCH(N$1,enemy_skill_triggers!$1:$1,0)-MATCH($F$1,enemy_skill_triggers!$1:$1,0)+1),MATCH(N$1,enemy_skill_triggers!$1:$1,0)-MATCH($F$1,enemy_skill_triggers!$1:$1,0)+1,FALSE)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2" s="109">
        <f ca="1">VLOOKUP($F172,OFFSET(enemy_skill_triggers!$A$1,0,0,COUNTA(enemy_skill_triggers!$A:$A),MATCH(O$1,enemy_skill_triggers!$1:$1,0)-MATCH($F$1,enemy_skill_triggers!$1:$1,0)+1),MATCH(O$1,enemy_skill_triggers!$1:$1,0)-MATCH($F$1,enemy_skill_triggers!$1:$1,0)+1,FALSE)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2" s="106"/>
      <c r="Q172" s="106"/>
      <c r="R172" s="106"/>
    </row>
    <row r="173" spans="1:18" ht="21" customHeight="1" x14ac:dyDescent="0.15">
      <c r="A173" s="39" t="str">
        <f t="shared" si="2"/>
        <v>49015014_49015129</v>
      </c>
      <c r="B173" s="106">
        <v>49015014</v>
      </c>
      <c r="C173" s="124">
        <v>49015129</v>
      </c>
      <c r="D173" s="46" t="str">
        <f ca="1">VLOOKUP($C173,OFFSET(enemy_skills!$A$1,0,0,COUNTA(enemy_skills!$A:$A),MATCH(D$1,enemy_skills!$1:$1,0)-MATCH("enemy_skill_id",enemy_skills!$1:$1,0)+1),MATCH(D$1,enemy_skills!$1:$1,0)-MATCH("enemy_skill_id",enemy_skills!$1:$1,0)+1,FALSE)</f>
        <v>ツインターゲット</v>
      </c>
      <c r="E173" s="46" t="str">
        <f ca="1">VLOOKUP($C173,OFFSET(enemy_skills!$A$1,0,0,COUNTA(enemy_skills!$A:$A),MATCH(E$1,enemy_skills!$1:$1,0)-MATCH("enemy_skill_id",enemy_skills!$1:$1,0)+1),MATCH(E$1,enemy_skills!$1:$1,0)-MATCH("enemy_skill_id",enemy_skills!$1:$1,0)+1,FALSE)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73" s="124">
        <v>49015172</v>
      </c>
      <c r="G173" s="48">
        <f ca="1">VLOOKUP($F173,OFFSET(enemy_skill_triggers!$A$1,0,0,COUNTA(enemy_skill_triggers!$A:$A),MATCH(G$1,enemy_skill_triggers!$1:$1,0)-MATCH($F$1,enemy_skill_triggers!$1:$1,0)+1),MATCH(G$1,enemy_skill_triggers!$1:$1,0)-MATCH($F$1,enemy_skill_triggers!$1:$1,0)+1,FALSE)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3" s="48">
        <f ca="1">VLOOKUP($F173,OFFSET(enemy_skill_triggers!$A$1,0,0,COUNTA(enemy_skill_triggers!$A:$A),MATCH(H$1,enemy_skill_triggers!$1:$1,0)-MATCH($F$1,enemy_skill_triggers!$1:$1,0)+1),MATCH(H$1,enemy_skill_triggers!$1:$1,0)-MATCH($F$1,enemy_skill_triggers!$1:$1,0)+1,FALSE)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73" s="48">
        <f ca="1">VLOOKUP($F173,OFFSET(enemy_skill_triggers!$A$1,0,0,COUNTA(enemy_skill_triggers!$A:$A),MATCH(I$1,enemy_skill_triggers!$1:$1,0)-MATCH($F$1,enemy_skill_triggers!$1:$1,0)+1),MATCH(I$1,enemy_skill_triggers!$1:$1,0)-MATCH($F$1,enemy_skill_triggers!$1:$1,0)+1,FALSE)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73" s="48" t="str">
        <f ca="1">VLOOKUP($F173,OFFSET(enemy_skill_triggers!$A$1,0,0,COUNTA(enemy_skill_triggers!$A:$A),MATCH(J$1,enemy_skill_triggers!$1:$1,0)-MATCH($F$1,enemy_skill_triggers!$1:$1,0)+1),MATCH(J$1,enemy_skill_triggers!$1:$1,0)-MATCH($F$1,enemy_skill_triggers!$1:$1,0)+1,FALSE)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3" s="48" t="str">
        <f ca="1">VLOOKUP($F173,OFFSET(enemy_skill_triggers!$A$1,0,0,COUNTA(enemy_skill_triggers!$A:$A),MATCH(K$1,enemy_skill_triggers!$1:$1,0)-MATCH($F$1,enemy_skill_triggers!$1:$1,0)+1),MATCH(K$1,enemy_skill_triggers!$1:$1,0)-MATCH($F$1,enemy_skill_triggers!$1:$1,0)+1,FALSE)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3" s="48" t="str">
        <f ca="1">VLOOKUP($F173,OFFSET(enemy_skill_triggers!$A$1,0,0,COUNTA(enemy_skill_triggers!$A:$A),MATCH(L$1,enemy_skill_triggers!$1:$1,0)-MATCH($F$1,enemy_skill_triggers!$1:$1,0)+1),MATCH(L$1,enemy_skill_triggers!$1:$1,0)-MATCH($F$1,enemy_skill_triggers!$1:$1,0)+1,FALSE)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3" s="48" t="str">
        <f ca="1">VLOOKUP($F173,OFFSET(enemy_skill_triggers!$A$1,0,0,COUNTA(enemy_skill_triggers!$A:$A),MATCH(M$1,enemy_skill_triggers!$1:$1,0)-MATCH($F$1,enemy_skill_triggers!$1:$1,0)+1),MATCH(M$1,enemy_skill_triggers!$1:$1,0)-MATCH($F$1,enemy_skill_triggers!$1:$1,0)+1,FALSE)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3" s="48" t="str">
        <f ca="1">VLOOKUP($F173,OFFSET(enemy_skill_triggers!$A$1,0,0,COUNTA(enemy_skill_triggers!$A:$A),MATCH(N$1,enemy_skill_triggers!$1:$1,0)-MATCH($F$1,enemy_skill_triggers!$1:$1,0)+1),MATCH(N$1,enemy_skill_triggers!$1:$1,0)-MATCH($F$1,enemy_skill_triggers!$1:$1,0)+1,FALSE)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3" s="48">
        <f ca="1">VLOOKUP($F173,OFFSET(enemy_skill_triggers!$A$1,0,0,COUNTA(enemy_skill_triggers!$A:$A),MATCH(O$1,enemy_skill_triggers!$1:$1,0)-MATCH($F$1,enemy_skill_triggers!$1:$1,0)+1),MATCH(O$1,enemy_skill_triggers!$1:$1,0)-MATCH($F$1,enemy_skill_triggers!$1:$1,0)+1,FALSE)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73" s="47"/>
      <c r="Q173" s="47"/>
      <c r="R173" s="47"/>
    </row>
    <row r="174" spans="1:18" ht="21" customHeight="1" x14ac:dyDescent="0.15">
      <c r="A174" s="39" t="str">
        <f t="shared" si="2"/>
        <v>49015014_49015130</v>
      </c>
      <c r="B174" s="106">
        <v>49015014</v>
      </c>
      <c r="C174" s="124">
        <v>49015130</v>
      </c>
      <c r="D174" s="46" t="str">
        <f ca="1">VLOOKUP($C174,OFFSET(enemy_skills!$A$1,0,0,COUNTA(enemy_skills!$A:$A),MATCH(D$1,enemy_skills!$1:$1,0)-MATCH("enemy_skill_id",enemy_skills!$1:$1,0)+1),MATCH(D$1,enemy_skills!$1:$1,0)-MATCH("enemy_skill_id",enemy_skills!$1:$1,0)+1,FALSE)</f>
        <v>ゴミカスが調子にのるなよ！</v>
      </c>
      <c r="E174" s="46" t="str">
        <f ca="1">VLOOKUP($C174,OFFSET(enemy_skills!$A$1,0,0,COUNTA(enemy_skills!$A:$A),MATCH(E$1,enemy_skills!$1:$1,0)-MATCH("enemy_skill_id",enemy_skills!$1:$1,0)+1),MATCH(E$1,enemy_skills!$1:$1,0)-MATCH("enemy_skill_id",enemy_skills!$1:$1,0)+1,FALSE)</f>
        <v>単体攻撃+3ターン攻撃力UP</v>
      </c>
      <c r="F174" s="124">
        <v>49015173</v>
      </c>
      <c r="G174" s="48">
        <f ca="1">VLOOKUP($F174,OFFSET(enemy_skill_triggers!$A$1,0,0,COUNTA(enemy_skill_triggers!$A:$A),MATCH(G$1,enemy_skill_triggers!$1:$1,0)-MATCH($F$1,enemy_skill_triggers!$1:$1,0)+1),MATCH(G$1,enemy_skill_triggers!$1:$1,0)-MATCH($F$1,enemy_skill_triggers!$1:$1,0)+1,FALSE)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4" s="48">
        <f ca="1">VLOOKUP($F174,OFFSET(enemy_skill_triggers!$A$1,0,0,COUNTA(enemy_skill_triggers!$A:$A),MATCH(H$1,enemy_skill_triggers!$1:$1,0)-MATCH($F$1,enemy_skill_triggers!$1:$1,0)+1),MATCH(H$1,enemy_skill_triggers!$1:$1,0)-MATCH($F$1,enemy_skill_triggers!$1:$1,0)+1,FALSE)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74" s="48">
        <f ca="1">VLOOKUP($F174,OFFSET(enemy_skill_triggers!$A$1,0,0,COUNTA(enemy_skill_triggers!$A:$A),MATCH(I$1,enemy_skill_triggers!$1:$1,0)-MATCH($F$1,enemy_skill_triggers!$1:$1,0)+1),MATCH(I$1,enemy_skill_triggers!$1:$1,0)-MATCH($F$1,enemy_skill_triggers!$1:$1,0)+1,FALSE)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4" s="48" t="str">
        <f ca="1">VLOOKUP($F174,OFFSET(enemy_skill_triggers!$A$1,0,0,COUNTA(enemy_skill_triggers!$A:$A),MATCH(J$1,enemy_skill_triggers!$1:$1,0)-MATCH($F$1,enemy_skill_triggers!$1:$1,0)+1),MATCH(J$1,enemy_skill_triggers!$1:$1,0)-MATCH($F$1,enemy_skill_triggers!$1:$1,0)+1,FALSE)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4" s="48" t="str">
        <f ca="1">VLOOKUP($F174,OFFSET(enemy_skill_triggers!$A$1,0,0,COUNTA(enemy_skill_triggers!$A:$A),MATCH(K$1,enemy_skill_triggers!$1:$1,0)-MATCH($F$1,enemy_skill_triggers!$1:$1,0)+1),MATCH(K$1,enemy_skill_triggers!$1:$1,0)-MATCH($F$1,enemy_skill_triggers!$1:$1,0)+1,FALSE)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4" s="48" t="str">
        <f ca="1">VLOOKUP($F174,OFFSET(enemy_skill_triggers!$A$1,0,0,COUNTA(enemy_skill_triggers!$A:$A),MATCH(L$1,enemy_skill_triggers!$1:$1,0)-MATCH($F$1,enemy_skill_triggers!$1:$1,0)+1),MATCH(L$1,enemy_skill_triggers!$1:$1,0)-MATCH($F$1,enemy_skill_triggers!$1:$1,0)+1,FALSE)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4" s="48" t="str">
        <f ca="1">VLOOKUP($F174,OFFSET(enemy_skill_triggers!$A$1,0,0,COUNTA(enemy_skill_triggers!$A:$A),MATCH(M$1,enemy_skill_triggers!$1:$1,0)-MATCH($F$1,enemy_skill_triggers!$1:$1,0)+1),MATCH(M$1,enemy_skill_triggers!$1:$1,0)-MATCH($F$1,enemy_skill_triggers!$1:$1,0)+1,FALSE)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4" s="48" t="str">
        <f ca="1">VLOOKUP($F174,OFFSET(enemy_skill_triggers!$A$1,0,0,COUNTA(enemy_skill_triggers!$A:$A),MATCH(N$1,enemy_skill_triggers!$1:$1,0)-MATCH($F$1,enemy_skill_triggers!$1:$1,0)+1),MATCH(N$1,enemy_skill_triggers!$1:$1,0)-MATCH($F$1,enemy_skill_triggers!$1:$1,0)+1,FALSE)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4" s="48">
        <f ca="1">VLOOKUP($F174,OFFSET(enemy_skill_triggers!$A$1,0,0,COUNTA(enemy_skill_triggers!$A:$A),MATCH(O$1,enemy_skill_triggers!$1:$1,0)-MATCH($F$1,enemy_skill_triggers!$1:$1,0)+1),MATCH(O$1,enemy_skill_triggers!$1:$1,0)-MATCH($F$1,enemy_skill_triggers!$1:$1,0)+1,FALSE)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4" s="47"/>
      <c r="Q174" s="47"/>
      <c r="R174" s="47"/>
    </row>
    <row r="175" spans="1:18" ht="21" customHeight="1" x14ac:dyDescent="0.15">
      <c r="A175" s="39" t="str">
        <f t="shared" si="2"/>
        <v>49015014_49015131</v>
      </c>
      <c r="B175" s="106">
        <v>49015014</v>
      </c>
      <c r="C175" s="124">
        <v>49015131</v>
      </c>
      <c r="D175" s="46" t="str">
        <f ca="1">VLOOKUP($C175,OFFSET(enemy_skills!$A$1,0,0,COUNTA(enemy_skills!$A:$A),MATCH(D$1,enemy_skills!$1:$1,0)-MATCH("enemy_skill_id",enemy_skills!$1:$1,0)+1),MATCH(D$1,enemy_skills!$1:$1,0)-MATCH("enemy_skill_id",enemy_skills!$1:$1,0)+1,FALSE)</f>
        <v>ストライクバック</v>
      </c>
      <c r="E175" s="46" t="str">
        <f ca="1">VLOOKUP($C175,OFFSET(enemy_skills!$A$1,0,0,COUNTA(enemy_skills!$A:$A),MATCH(E$1,enemy_skills!$1:$1,0)-MATCH("enemy_skill_id",enemy_skills!$1:$1,0)+1),MATCH(E$1,enemy_skills!$1:$1,0)-MATCH("enemy_skill_id",enemy_skills!$1:$1,0)+1,FALSE)</f>
        <v>1ターン行動頻度UP+_x000D_2ターン全ユニットの攻撃をカウンター</v>
      </c>
      <c r="F175" s="124">
        <v>49015174</v>
      </c>
      <c r="G175" s="48">
        <f ca="1">VLOOKUP($F175,OFFSET(enemy_skill_triggers!$A$1,0,0,COUNTA(enemy_skill_triggers!$A:$A),MATCH(G$1,enemy_skill_triggers!$1:$1,0)-MATCH($F$1,enemy_skill_triggers!$1:$1,0)+1),MATCH(G$1,enemy_skill_triggers!$1:$1,0)-MATCH($F$1,enemy_skill_triggers!$1:$1,0)+1,FALSE)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5" s="48">
        <f ca="1">VLOOKUP($F175,OFFSET(enemy_skill_triggers!$A$1,0,0,COUNTA(enemy_skill_triggers!$A:$A),MATCH(H$1,enemy_skill_triggers!$1:$1,0)-MATCH($F$1,enemy_skill_triggers!$1:$1,0)+1),MATCH(H$1,enemy_skill_triggers!$1:$1,0)-MATCH($F$1,enemy_skill_triggers!$1:$1,0)+1,FALSE)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75" s="48">
        <f ca="1">VLOOKUP($F175,OFFSET(enemy_skill_triggers!$A$1,0,0,COUNTA(enemy_skill_triggers!$A:$A),MATCH(I$1,enemy_skill_triggers!$1:$1,0)-MATCH($F$1,enemy_skill_triggers!$1:$1,0)+1),MATCH(I$1,enemy_skill_triggers!$1:$1,0)-MATCH($F$1,enemy_skill_triggers!$1:$1,0)+1,FALSE)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5" s="48" t="str">
        <f ca="1">VLOOKUP($F175,OFFSET(enemy_skill_triggers!$A$1,0,0,COUNTA(enemy_skill_triggers!$A:$A),MATCH(J$1,enemy_skill_triggers!$1:$1,0)-MATCH($F$1,enemy_skill_triggers!$1:$1,0)+1),MATCH(J$1,enemy_skill_triggers!$1:$1,0)-MATCH($F$1,enemy_skill_triggers!$1:$1,0)+1,FALSE)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5" s="48" t="str">
        <f ca="1">VLOOKUP($F175,OFFSET(enemy_skill_triggers!$A$1,0,0,COUNTA(enemy_skill_triggers!$A:$A),MATCH(K$1,enemy_skill_triggers!$1:$1,0)-MATCH($F$1,enemy_skill_triggers!$1:$1,0)+1),MATCH(K$1,enemy_skill_triggers!$1:$1,0)-MATCH($F$1,enemy_skill_triggers!$1:$1,0)+1,FALSE)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5" s="48" t="str">
        <f ca="1">VLOOKUP($F175,OFFSET(enemy_skill_triggers!$A$1,0,0,COUNTA(enemy_skill_triggers!$A:$A),MATCH(L$1,enemy_skill_triggers!$1:$1,0)-MATCH($F$1,enemy_skill_triggers!$1:$1,0)+1),MATCH(L$1,enemy_skill_triggers!$1:$1,0)-MATCH($F$1,enemy_skill_triggers!$1:$1,0)+1,FALSE)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5" s="48">
        <f ca="1">VLOOKUP($F175,OFFSET(enemy_skill_triggers!$A$1,0,0,COUNTA(enemy_skill_triggers!$A:$A),MATCH(M$1,enemy_skill_triggers!$1:$1,0)-MATCH($F$1,enemy_skill_triggers!$1:$1,0)+1),MATCH(M$1,enemy_skill_triggers!$1:$1,0)-MATCH($F$1,enemy_skill_triggers!$1:$1,0)+1,FALSE)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75" s="48" t="str">
        <f ca="1">VLOOKUP($F175,OFFSET(enemy_skill_triggers!$A$1,0,0,COUNTA(enemy_skill_triggers!$A:$A),MATCH(N$1,enemy_skill_triggers!$1:$1,0)-MATCH($F$1,enemy_skill_triggers!$1:$1,0)+1),MATCH(N$1,enemy_skill_triggers!$1:$1,0)-MATCH($F$1,enemy_skill_triggers!$1:$1,0)+1,FALSE)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5" s="48">
        <f ca="1">VLOOKUP($F175,OFFSET(enemy_skill_triggers!$A$1,0,0,COUNTA(enemy_skill_triggers!$A:$A),MATCH(O$1,enemy_skill_triggers!$1:$1,0)-MATCH($F$1,enemy_skill_triggers!$1:$1,0)+1),MATCH(O$1,enemy_skill_triggers!$1:$1,0)-MATCH($F$1,enemy_skill_triggers!$1:$1,0)+1,FALSE)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5" s="47"/>
      <c r="Q175" s="47"/>
      <c r="R175" s="47"/>
    </row>
    <row r="176" spans="1:18" ht="21" customHeight="1" thickBot="1" x14ac:dyDescent="0.2">
      <c r="A176" s="39" t="str">
        <f t="shared" si="2"/>
        <v>49015014_49015132</v>
      </c>
      <c r="B176" s="111">
        <v>49015014</v>
      </c>
      <c r="C176" s="125">
        <v>49015132</v>
      </c>
      <c r="D176" s="145" t="str">
        <f ca="1">VLOOKUP($C176,OFFSET(enemy_skills!$A$1,0,0,COUNTA(enemy_skills!$A:$A),MATCH(D$1,enemy_skills!$1:$1,0)-MATCH("enemy_skill_id",enemy_skills!$1:$1,0)+1),MATCH(D$1,enemy_skills!$1:$1,0)-MATCH("enemy_skill_id",enemy_skills!$1:$1,0)+1,FALSE)</f>
        <v>糞が…</v>
      </c>
      <c r="E176" s="145" t="str">
        <f ca="1">VLOOKUP($C176,OFFSET(enemy_skills!$A$1,0,0,COUNTA(enemy_skills!$A:$A),MATCH(E$1,enemy_skills!$1:$1,0)-MATCH("enemy_skill_id",enemy_skills!$1:$1,0)+1),MATCH(E$1,enemy_skills!$1:$1,0)-MATCH("enemy_skill_id",enemy_skills!$1:$1,0)+1,FALSE)</f>
        <v>変身が解けていく</v>
      </c>
      <c r="F176" s="125">
        <v>49015175</v>
      </c>
      <c r="G176" s="114">
        <f ca="1">VLOOKUP($F176,OFFSET(enemy_skill_triggers!$A$1,0,0,COUNTA(enemy_skill_triggers!$A:$A),MATCH(G$1,enemy_skill_triggers!$1:$1,0)-MATCH($F$1,enemy_skill_triggers!$1:$1,0)+1),MATCH(G$1,enemy_skill_triggers!$1:$1,0)-MATCH($F$1,enemy_skill_triggers!$1:$1,0)+1,FALSE)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6" s="114">
        <f ca="1">VLOOKUP($F176,OFFSET(enemy_skill_triggers!$A$1,0,0,COUNTA(enemy_skill_triggers!$A:$A),MATCH(H$1,enemy_skill_triggers!$1:$1,0)-MATCH($F$1,enemy_skill_triggers!$1:$1,0)+1),MATCH(H$1,enemy_skill_triggers!$1:$1,0)-MATCH($F$1,enemy_skill_triggers!$1:$1,0)+1,FALSE)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6" s="114">
        <f ca="1">VLOOKUP($F176,OFFSET(enemy_skill_triggers!$A$1,0,0,COUNTA(enemy_skill_triggers!$A:$A),MATCH(I$1,enemy_skill_triggers!$1:$1,0)-MATCH($F$1,enemy_skill_triggers!$1:$1,0)+1),MATCH(I$1,enemy_skill_triggers!$1:$1,0)-MATCH($F$1,enemy_skill_triggers!$1:$1,0)+1,FALSE)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6" s="114">
        <f ca="1">VLOOKUP($F176,OFFSET(enemy_skill_triggers!$A$1,0,0,COUNTA(enemy_skill_triggers!$A:$A),MATCH(J$1,enemy_skill_triggers!$1:$1,0)-MATCH($F$1,enemy_skill_triggers!$1:$1,0)+1),MATCH(J$1,enemy_skill_triggers!$1:$1,0)-MATCH($F$1,enemy_skill_triggers!$1:$1,0)+1,FALSE)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176" s="114" t="str">
        <f ca="1">VLOOKUP($F176,OFFSET(enemy_skill_triggers!$A$1,0,0,COUNTA(enemy_skill_triggers!$A:$A),MATCH(K$1,enemy_skill_triggers!$1:$1,0)-MATCH($F$1,enemy_skill_triggers!$1:$1,0)+1),MATCH(K$1,enemy_skill_triggers!$1:$1,0)-MATCH($F$1,enemy_skill_triggers!$1:$1,0)+1,FALSE)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6" s="114">
        <f ca="1">VLOOKUP($F176,OFFSET(enemy_skill_triggers!$A$1,0,0,COUNTA(enemy_skill_triggers!$A:$A),MATCH(L$1,enemy_skill_triggers!$1:$1,0)-MATCH($F$1,enemy_skill_triggers!$1:$1,0)+1),MATCH(L$1,enemy_skill_triggers!$1:$1,0)-MATCH($F$1,enemy_skill_triggers!$1:$1,0)+1,FALSE)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6" s="114">
        <f ca="1">VLOOKUP($F176,OFFSET(enemy_skill_triggers!$A$1,0,0,COUNTA(enemy_skill_triggers!$A:$A),MATCH(M$1,enemy_skill_triggers!$1:$1,0)-MATCH($F$1,enemy_skill_triggers!$1:$1,0)+1),MATCH(M$1,enemy_skill_triggers!$1:$1,0)-MATCH($F$1,enemy_skill_triggers!$1:$1,0)+1,FALSE)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6" s="114" t="str">
        <f ca="1">VLOOKUP($F176,OFFSET(enemy_skill_triggers!$A$1,0,0,COUNTA(enemy_skill_triggers!$A:$A),MATCH(N$1,enemy_skill_triggers!$1:$1,0)-MATCH($F$1,enemy_skill_triggers!$1:$1,0)+1),MATCH(N$1,enemy_skill_triggers!$1:$1,0)-MATCH($F$1,enemy_skill_triggers!$1:$1,0)+1,FALSE)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6" s="114">
        <f ca="1">VLOOKUP($F176,OFFSET(enemy_skill_triggers!$A$1,0,0,COUNTA(enemy_skill_triggers!$A:$A),MATCH(O$1,enemy_skill_triggers!$1:$1,0)-MATCH($F$1,enemy_skill_triggers!$1:$1,0)+1),MATCH(O$1,enemy_skill_triggers!$1:$1,0)-MATCH($F$1,enemy_skill_triggers!$1:$1,0)+1,FALSE)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6" s="111"/>
      <c r="Q176" s="111"/>
      <c r="R176" s="111"/>
    </row>
    <row r="177" spans="1:18" ht="21" customHeight="1" x14ac:dyDescent="0.15">
      <c r="A177" s="39" t="str">
        <f t="shared" si="2"/>
        <v>49015015_49015133</v>
      </c>
      <c r="B177" s="106">
        <v>49015015</v>
      </c>
      <c r="C177" s="124">
        <v>49015133</v>
      </c>
      <c r="D177" s="144" t="str">
        <f ca="1">VLOOKUP($C177,OFFSET(enemy_skills!$A$1,0,0,COUNTA(enemy_skills!$A:$A),MATCH(D$1,enemy_skills!$1:$1,0)-MATCH("enemy_skill_id",enemy_skills!$1:$1,0)+1),MATCH(D$1,enemy_skills!$1:$1,0)-MATCH("enemy_skill_id",enemy_skills!$1:$1,0)+1,FALSE)</f>
        <v>もうやりあう気なんかねえよ</v>
      </c>
      <c r="E177" s="144" t="str">
        <f ca="1">VLOOKUP($C177,OFFSET(enemy_skills!$A$1,0,0,COUNTA(enemy_skills!$A:$A),MATCH(E$1,enemy_skills!$1:$1,0)-MATCH("enemy_skill_id",enemy_skills!$1:$1,0)+1),MATCH(E$1,enemy_skills!$1:$1,0)-MATCH("enemy_skill_id",enemy_skills!$1:$1,0)+1,FALSE)</f>
        <v>特定エリアをハートパネルに変換</v>
      </c>
      <c r="F177" s="124">
        <v>49015176</v>
      </c>
      <c r="G177" s="109">
        <f ca="1">VLOOKUP($F177,OFFSET(enemy_skill_triggers!$A$1,0,0,COUNTA(enemy_skill_triggers!$A:$A),MATCH(G$1,enemy_skill_triggers!$1:$1,0)-MATCH($F$1,enemy_skill_triggers!$1:$1,0)+1),MATCH(G$1,enemy_skill_triggers!$1:$1,0)-MATCH($F$1,enemy_skill_triggers!$1:$1,0)+1,FALSE)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7" s="109" t="str">
        <f ca="1">VLOOKUP($F177,OFFSET(enemy_skill_triggers!$A$1,0,0,COUNTA(enemy_skill_triggers!$A:$A),MATCH(H$1,enemy_skill_triggers!$1:$1,0)-MATCH($F$1,enemy_skill_triggers!$1:$1,0)+1),MATCH(H$1,enemy_skill_triggers!$1:$1,0)-MATCH($F$1,enemy_skill_triggers!$1:$1,0)+1,FALSE)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7" s="109">
        <f ca="1">VLOOKUP($F177,OFFSET(enemy_skill_triggers!$A$1,0,0,COUNTA(enemy_skill_triggers!$A:$A),MATCH(I$1,enemy_skill_triggers!$1:$1,0)-MATCH($F$1,enemy_skill_triggers!$1:$1,0)+1),MATCH(I$1,enemy_skill_triggers!$1:$1,0)-MATCH($F$1,enemy_skill_triggers!$1:$1,0)+1,FALSE)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7" s="109" t="str">
        <f ca="1">VLOOKUP($F177,OFFSET(enemy_skill_triggers!$A$1,0,0,COUNTA(enemy_skill_triggers!$A:$A),MATCH(J$1,enemy_skill_triggers!$1:$1,0)-MATCH($F$1,enemy_skill_triggers!$1:$1,0)+1),MATCH(J$1,enemy_skill_triggers!$1:$1,0)-MATCH($F$1,enemy_skill_triggers!$1:$1,0)+1,FALSE)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7" s="109" t="str">
        <f ca="1">VLOOKUP($F177,OFFSET(enemy_skill_triggers!$A$1,0,0,COUNTA(enemy_skill_triggers!$A:$A),MATCH(K$1,enemy_skill_triggers!$1:$1,0)-MATCH($F$1,enemy_skill_triggers!$1:$1,0)+1),MATCH(K$1,enemy_skill_triggers!$1:$1,0)-MATCH($F$1,enemy_skill_triggers!$1:$1,0)+1,FALSE)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7" s="109">
        <f ca="1">VLOOKUP($F177,OFFSET(enemy_skill_triggers!$A$1,0,0,COUNTA(enemy_skill_triggers!$A:$A),MATCH(L$1,enemy_skill_triggers!$1:$1,0)-MATCH($F$1,enemy_skill_triggers!$1:$1,0)+1),MATCH(L$1,enemy_skill_triggers!$1:$1,0)-MATCH($F$1,enemy_skill_triggers!$1:$1,0)+1,FALSE)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7" s="109" t="str">
        <f ca="1">VLOOKUP($F177,OFFSET(enemy_skill_triggers!$A$1,0,0,COUNTA(enemy_skill_triggers!$A:$A),MATCH(M$1,enemy_skill_triggers!$1:$1,0)-MATCH($F$1,enemy_skill_triggers!$1:$1,0)+1),MATCH(M$1,enemy_skill_triggers!$1:$1,0)-MATCH($F$1,enemy_skill_triggers!$1:$1,0)+1,FALSE)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7" s="109" t="str">
        <f ca="1">VLOOKUP($F177,OFFSET(enemy_skill_triggers!$A$1,0,0,COUNTA(enemy_skill_triggers!$A:$A),MATCH(N$1,enemy_skill_triggers!$1:$1,0)-MATCH($F$1,enemy_skill_triggers!$1:$1,0)+1),MATCH(N$1,enemy_skill_triggers!$1:$1,0)-MATCH($F$1,enemy_skill_triggers!$1:$1,0)+1,FALSE)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7" s="109">
        <f ca="1">VLOOKUP($F177,OFFSET(enemy_skill_triggers!$A$1,0,0,COUNTA(enemy_skill_triggers!$A:$A),MATCH(O$1,enemy_skill_triggers!$1:$1,0)-MATCH($F$1,enemy_skill_triggers!$1:$1,0)+1),MATCH(O$1,enemy_skill_triggers!$1:$1,0)-MATCH($F$1,enemy_skill_triggers!$1:$1,0)+1,FALSE)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7" s="106"/>
      <c r="Q177" s="106"/>
      <c r="R177" s="106"/>
    </row>
    <row r="178" spans="1:18" ht="21" customHeight="1" x14ac:dyDescent="0.15">
      <c r="A178" s="39" t="str">
        <f t="shared" si="2"/>
        <v>49015015_49015134</v>
      </c>
      <c r="B178" s="106">
        <v>49015015</v>
      </c>
      <c r="C178" s="124">
        <v>49015134</v>
      </c>
      <c r="D178" s="46" t="str">
        <f ca="1">VLOOKUP($C178,OFFSET(enemy_skills!$A$1,0,0,COUNTA(enemy_skills!$A:$A),MATCH(D$1,enemy_skills!$1:$1,0)-MATCH("enemy_skill_id",enemy_skills!$1:$1,0)+1),MATCH(D$1,enemy_skills!$1:$1,0)-MATCH("enemy_skill_id",enemy_skills!$1:$1,0)+1,FALSE)</f>
        <v>ったく！しつこい！</v>
      </c>
      <c r="E178" s="46" t="str">
        <f ca="1">VLOOKUP($C178,OFFSET(enemy_skills!$A$1,0,0,COUNTA(enemy_skills!$A:$A),MATCH(E$1,enemy_skills!$1:$1,0)-MATCH("enemy_skill_id",enemy_skills!$1:$1,0)+1),MATCH(E$1,enemy_skills!$1:$1,0)-MATCH("enemy_skill_id",enemy_skills!$1:$1,0)+1,FALSE)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78" s="124">
        <v>49015177</v>
      </c>
      <c r="G178" s="48">
        <f ca="1">VLOOKUP($F178,OFFSET(enemy_skill_triggers!$A$1,0,0,COUNTA(enemy_skill_triggers!$A:$A),MATCH(G$1,enemy_skill_triggers!$1:$1,0)-MATCH($F$1,enemy_skill_triggers!$1:$1,0)+1),MATCH(G$1,enemy_skill_triggers!$1:$1,0)-MATCH($F$1,enemy_skill_triggers!$1:$1,0)+1,FALSE)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8" s="48">
        <f ca="1">VLOOKUP($F178,OFFSET(enemy_skill_triggers!$A$1,0,0,COUNTA(enemy_skill_triggers!$A:$A),MATCH(H$1,enemy_skill_triggers!$1:$1,0)-MATCH($F$1,enemy_skill_triggers!$1:$1,0)+1),MATCH(H$1,enemy_skill_triggers!$1:$1,0)-MATCH($F$1,enemy_skill_triggers!$1:$1,0)+1,FALSE)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78" s="48">
        <f ca="1">VLOOKUP($F178,OFFSET(enemy_skill_triggers!$A$1,0,0,COUNTA(enemy_skill_triggers!$A:$A),MATCH(I$1,enemy_skill_triggers!$1:$1,0)-MATCH($F$1,enemy_skill_triggers!$1:$1,0)+1),MATCH(I$1,enemy_skill_triggers!$1:$1,0)-MATCH($F$1,enemy_skill_triggers!$1:$1,0)+1,FALSE)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78" s="48" t="str">
        <f ca="1">VLOOKUP($F178,OFFSET(enemy_skill_triggers!$A$1,0,0,COUNTA(enemy_skill_triggers!$A:$A),MATCH(J$1,enemy_skill_triggers!$1:$1,0)-MATCH($F$1,enemy_skill_triggers!$1:$1,0)+1),MATCH(J$1,enemy_skill_triggers!$1:$1,0)-MATCH($F$1,enemy_skill_triggers!$1:$1,0)+1,FALSE)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8" s="48" t="str">
        <f ca="1">VLOOKUP($F178,OFFSET(enemy_skill_triggers!$A$1,0,0,COUNTA(enemy_skill_triggers!$A:$A),MATCH(K$1,enemy_skill_triggers!$1:$1,0)-MATCH($F$1,enemy_skill_triggers!$1:$1,0)+1),MATCH(K$1,enemy_skill_triggers!$1:$1,0)-MATCH($F$1,enemy_skill_triggers!$1:$1,0)+1,FALSE)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8" s="48" t="str">
        <f ca="1">VLOOKUP($F178,OFFSET(enemy_skill_triggers!$A$1,0,0,COUNTA(enemy_skill_triggers!$A:$A),MATCH(L$1,enemy_skill_triggers!$1:$1,0)-MATCH($F$1,enemy_skill_triggers!$1:$1,0)+1),MATCH(L$1,enemy_skill_triggers!$1:$1,0)-MATCH($F$1,enemy_skill_triggers!$1:$1,0)+1,FALSE)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8" s="48" t="str">
        <f ca="1">VLOOKUP($F178,OFFSET(enemy_skill_triggers!$A$1,0,0,COUNTA(enemy_skill_triggers!$A:$A),MATCH(M$1,enemy_skill_triggers!$1:$1,0)-MATCH($F$1,enemy_skill_triggers!$1:$1,0)+1),MATCH(M$1,enemy_skill_triggers!$1:$1,0)-MATCH($F$1,enemy_skill_triggers!$1:$1,0)+1,FALSE)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8" s="48" t="str">
        <f ca="1">VLOOKUP($F178,OFFSET(enemy_skill_triggers!$A$1,0,0,COUNTA(enemy_skill_triggers!$A:$A),MATCH(N$1,enemy_skill_triggers!$1:$1,0)-MATCH($F$1,enemy_skill_triggers!$1:$1,0)+1),MATCH(N$1,enemy_skill_triggers!$1:$1,0)-MATCH($F$1,enemy_skill_triggers!$1:$1,0)+1,FALSE)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8" s="48">
        <f ca="1">VLOOKUP($F178,OFFSET(enemy_skill_triggers!$A$1,0,0,COUNTA(enemy_skill_triggers!$A:$A),MATCH(O$1,enemy_skill_triggers!$1:$1,0)-MATCH($F$1,enemy_skill_triggers!$1:$1,0)+1),MATCH(O$1,enemy_skill_triggers!$1:$1,0)-MATCH($F$1,enemy_skill_triggers!$1:$1,0)+1,FALSE)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78" s="47"/>
      <c r="Q178" s="47"/>
      <c r="R178" s="47"/>
    </row>
    <row r="179" spans="1:18" ht="21" customHeight="1" x14ac:dyDescent="0.15">
      <c r="A179" s="39" t="str">
        <f t="shared" si="2"/>
        <v>49015015_49015135</v>
      </c>
      <c r="B179" s="106">
        <v>49015015</v>
      </c>
      <c r="C179" s="124">
        <v>49015135</v>
      </c>
      <c r="D179" s="46" t="str">
        <f ca="1">VLOOKUP($C179,OFFSET(enemy_skills!$A$1,0,0,COUNTA(enemy_skills!$A:$A),MATCH(D$1,enemy_skills!$1:$1,0)-MATCH("enemy_skill_id",enemy_skills!$1:$1,0)+1),MATCH(D$1,enemy_skills!$1:$1,0)-MATCH("enemy_skill_id",enemy_skills!$1:$1,0)+1,FALSE)</f>
        <v>嫉妬</v>
      </c>
      <c r="E179" s="46" t="str">
        <f ca="1">VLOOKUP($C179,OFFSET(enemy_skills!$A$1,0,0,COUNTA(enemy_skills!$A:$A),MATCH(E$1,enemy_skills!$1:$1,0)-MATCH("enemy_skill_id",enemy_skills!$1:$1,0)+1),MATCH(E$1,enemy_skills!$1:$1,0)-MATCH("enemy_skill_id",enemy_skills!$1:$1,0)+1,FALSE)</f>
        <v>単体攻撃+_x000D_ランダムで緑の時限式ダメージパネルに最大3個変換</v>
      </c>
      <c r="F179" s="124">
        <v>49015178</v>
      </c>
      <c r="G179" s="48">
        <f ca="1">VLOOKUP($F179,OFFSET(enemy_skill_triggers!$A$1,0,0,COUNTA(enemy_skill_triggers!$A:$A),MATCH(G$1,enemy_skill_triggers!$1:$1,0)-MATCH($F$1,enemy_skill_triggers!$1:$1,0)+1),MATCH(G$1,enemy_skill_triggers!$1:$1,0)-MATCH($F$1,enemy_skill_triggers!$1:$1,0)+1,FALSE)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9" s="48">
        <f ca="1">VLOOKUP($F179,OFFSET(enemy_skill_triggers!$A$1,0,0,COUNTA(enemy_skill_triggers!$A:$A),MATCH(H$1,enemy_skill_triggers!$1:$1,0)-MATCH($F$1,enemy_skill_triggers!$1:$1,0)+1),MATCH(H$1,enemy_skill_triggers!$1:$1,0)-MATCH($F$1,enemy_skill_triggers!$1:$1,0)+1,FALSE)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179" s="48">
        <f ca="1">VLOOKUP($F179,OFFSET(enemy_skill_triggers!$A$1,0,0,COUNTA(enemy_skill_triggers!$A:$A),MATCH(I$1,enemy_skill_triggers!$1:$1,0)-MATCH($F$1,enemy_skill_triggers!$1:$1,0)+1),MATCH(I$1,enemy_skill_triggers!$1:$1,0)-MATCH($F$1,enemy_skill_triggers!$1:$1,0)+1,FALSE)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79" s="48" t="str">
        <f ca="1">VLOOKUP($F179,OFFSET(enemy_skill_triggers!$A$1,0,0,COUNTA(enemy_skill_triggers!$A:$A),MATCH(J$1,enemy_skill_triggers!$1:$1,0)-MATCH($F$1,enemy_skill_triggers!$1:$1,0)+1),MATCH(J$1,enemy_skill_triggers!$1:$1,0)-MATCH($F$1,enemy_skill_triggers!$1:$1,0)+1,FALSE)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9" s="48" t="str">
        <f ca="1">VLOOKUP($F179,OFFSET(enemy_skill_triggers!$A$1,0,0,COUNTA(enemy_skill_triggers!$A:$A),MATCH(K$1,enemy_skill_triggers!$1:$1,0)-MATCH($F$1,enemy_skill_triggers!$1:$1,0)+1),MATCH(K$1,enemy_skill_triggers!$1:$1,0)-MATCH($F$1,enemy_skill_triggers!$1:$1,0)+1,FALSE)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9" s="48" t="str">
        <f ca="1">VLOOKUP($F179,OFFSET(enemy_skill_triggers!$A$1,0,0,COUNTA(enemy_skill_triggers!$A:$A),MATCH(L$1,enemy_skill_triggers!$1:$1,0)-MATCH($F$1,enemy_skill_triggers!$1:$1,0)+1),MATCH(L$1,enemy_skill_triggers!$1:$1,0)-MATCH($F$1,enemy_skill_triggers!$1:$1,0)+1,FALSE)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9" s="48" t="str">
        <f ca="1">VLOOKUP($F179,OFFSET(enemy_skill_triggers!$A$1,0,0,COUNTA(enemy_skill_triggers!$A:$A),MATCH(M$1,enemy_skill_triggers!$1:$1,0)-MATCH($F$1,enemy_skill_triggers!$1:$1,0)+1),MATCH(M$1,enemy_skill_triggers!$1:$1,0)-MATCH($F$1,enemy_skill_triggers!$1:$1,0)+1,FALSE)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9" s="48" t="str">
        <f ca="1">VLOOKUP($F179,OFFSET(enemy_skill_triggers!$A$1,0,0,COUNTA(enemy_skill_triggers!$A:$A),MATCH(N$1,enemy_skill_triggers!$1:$1,0)-MATCH($F$1,enemy_skill_triggers!$1:$1,0)+1),MATCH(N$1,enemy_skill_triggers!$1:$1,0)-MATCH($F$1,enemy_skill_triggers!$1:$1,0)+1,FALSE)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9" s="48">
        <f ca="1">VLOOKUP($F179,OFFSET(enemy_skill_triggers!$A$1,0,0,COUNTA(enemy_skill_triggers!$A:$A),MATCH(O$1,enemy_skill_triggers!$1:$1,0)-MATCH($F$1,enemy_skill_triggers!$1:$1,0)+1),MATCH(O$1,enemy_skill_triggers!$1:$1,0)-MATCH($F$1,enemy_skill_triggers!$1:$1,0)+1,FALSE)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79" s="47"/>
      <c r="Q179" s="47"/>
      <c r="R179" s="47"/>
    </row>
    <row r="180" spans="1:18" ht="21" customHeight="1" x14ac:dyDescent="0.15">
      <c r="A180" s="39" t="str">
        <f t="shared" si="2"/>
        <v>49015015_49015136</v>
      </c>
      <c r="B180" s="106">
        <v>49015015</v>
      </c>
      <c r="C180" s="124">
        <v>49015136</v>
      </c>
      <c r="D180" s="46" t="str">
        <f ca="1">VLOOKUP($C180,OFFSET(enemy_skills!$A$1,0,0,COUNTA(enemy_skills!$A:$A),MATCH(D$1,enemy_skills!$1:$1,0)-MATCH("enemy_skill_id",enemy_skills!$1:$1,0)+1),MATCH(D$1,enemy_skills!$1:$1,0)-MATCH("enemy_skill_id",enemy_skills!$1:$1,0)+1,FALSE)</f>
        <v>人間風情が！</v>
      </c>
      <c r="E180" s="46" t="str">
        <f ca="1">VLOOKUP($C180,OFFSET(enemy_skills!$A$1,0,0,COUNTA(enemy_skills!$A:$A),MATCH(E$1,enemy_skills!$1:$1,0)-MATCH("enemy_skill_id",enemy_skills!$1:$1,0)+1),MATCH(E$1,enemy_skills!$1:$1,0)-MATCH("enemy_skill_id",enemy_skills!$1:$1,0)+1,FALSE)</f>
        <v>単体攻撃+_x000D_特定エリアをお邪魔パネルに変換</v>
      </c>
      <c r="F180" s="124">
        <v>49015179</v>
      </c>
      <c r="G180" s="48">
        <f ca="1">VLOOKUP($F180,OFFSET(enemy_skill_triggers!$A$1,0,0,COUNTA(enemy_skill_triggers!$A:$A),MATCH(G$1,enemy_skill_triggers!$1:$1,0)-MATCH($F$1,enemy_skill_triggers!$1:$1,0)+1),MATCH(G$1,enemy_skill_triggers!$1:$1,0)-MATCH($F$1,enemy_skill_triggers!$1:$1,0)+1,FALSE)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0" s="48">
        <f ca="1">VLOOKUP($F180,OFFSET(enemy_skill_triggers!$A$1,0,0,COUNTA(enemy_skill_triggers!$A:$A),MATCH(H$1,enemy_skill_triggers!$1:$1,0)-MATCH($F$1,enemy_skill_triggers!$1:$1,0)+1),MATCH(H$1,enemy_skill_triggers!$1:$1,0)-MATCH($F$1,enemy_skill_triggers!$1:$1,0)+1,FALSE)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80" s="48">
        <f ca="1">VLOOKUP($F180,OFFSET(enemy_skill_triggers!$A$1,0,0,COUNTA(enemy_skill_triggers!$A:$A),MATCH(I$1,enemy_skill_triggers!$1:$1,0)-MATCH($F$1,enemy_skill_triggers!$1:$1,0)+1),MATCH(I$1,enemy_skill_triggers!$1:$1,0)-MATCH($F$1,enemy_skill_triggers!$1:$1,0)+1,FALSE)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0" s="48" t="str">
        <f ca="1">VLOOKUP($F180,OFFSET(enemy_skill_triggers!$A$1,0,0,COUNTA(enemy_skill_triggers!$A:$A),MATCH(J$1,enemy_skill_triggers!$1:$1,0)-MATCH($F$1,enemy_skill_triggers!$1:$1,0)+1),MATCH(J$1,enemy_skill_triggers!$1:$1,0)-MATCH($F$1,enemy_skill_triggers!$1:$1,0)+1,FALSE)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0" s="48" t="str">
        <f ca="1">VLOOKUP($F180,OFFSET(enemy_skill_triggers!$A$1,0,0,COUNTA(enemy_skill_triggers!$A:$A),MATCH(K$1,enemy_skill_triggers!$1:$1,0)-MATCH($F$1,enemy_skill_triggers!$1:$1,0)+1),MATCH(K$1,enemy_skill_triggers!$1:$1,0)-MATCH($F$1,enemy_skill_triggers!$1:$1,0)+1,FALSE)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0" s="48" t="str">
        <f ca="1">VLOOKUP($F180,OFFSET(enemy_skill_triggers!$A$1,0,0,COUNTA(enemy_skill_triggers!$A:$A),MATCH(L$1,enemy_skill_triggers!$1:$1,0)-MATCH($F$1,enemy_skill_triggers!$1:$1,0)+1),MATCH(L$1,enemy_skill_triggers!$1:$1,0)-MATCH($F$1,enemy_skill_triggers!$1:$1,0)+1,FALSE)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0" s="48" t="str">
        <f ca="1">VLOOKUP($F180,OFFSET(enemy_skill_triggers!$A$1,0,0,COUNTA(enemy_skill_triggers!$A:$A),MATCH(M$1,enemy_skill_triggers!$1:$1,0)-MATCH($F$1,enemy_skill_triggers!$1:$1,0)+1),MATCH(M$1,enemy_skill_triggers!$1:$1,0)-MATCH($F$1,enemy_skill_triggers!$1:$1,0)+1,FALSE)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0" s="48" t="str">
        <f ca="1">VLOOKUP($F180,OFFSET(enemy_skill_triggers!$A$1,0,0,COUNTA(enemy_skill_triggers!$A:$A),MATCH(N$1,enemy_skill_triggers!$1:$1,0)-MATCH($F$1,enemy_skill_triggers!$1:$1,0)+1),MATCH(N$1,enemy_skill_triggers!$1:$1,0)-MATCH($F$1,enemy_skill_triggers!$1:$1,0)+1,FALSE)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0" s="48">
        <f ca="1">VLOOKUP($F180,OFFSET(enemy_skill_triggers!$A$1,0,0,COUNTA(enemy_skill_triggers!$A:$A),MATCH(O$1,enemy_skill_triggers!$1:$1,0)-MATCH($F$1,enemy_skill_triggers!$1:$1,0)+1),MATCH(O$1,enemy_skill_triggers!$1:$1,0)-MATCH($F$1,enemy_skill_triggers!$1:$1,0)+1,FALSE)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0" s="47"/>
      <c r="Q180" s="47"/>
      <c r="R180" s="47"/>
    </row>
    <row r="181" spans="1:18" ht="21" customHeight="1" x14ac:dyDescent="0.15">
      <c r="A181" s="39" t="str">
        <f t="shared" si="2"/>
        <v>49015015_49015137</v>
      </c>
      <c r="B181" s="106">
        <v>49015015</v>
      </c>
      <c r="C181" s="124">
        <v>49015137</v>
      </c>
      <c r="D181" s="46" t="str">
        <f ca="1">VLOOKUP($C181,OFFSET(enemy_skills!$A$1,0,0,COUNTA(enemy_skills!$A:$A),MATCH(D$1,enemy_skills!$1:$1,0)-MATCH("enemy_skill_id",enemy_skills!$1:$1,0)+1),MATCH(D$1,enemy_skills!$1:$1,0)-MATCH("enemy_skill_id",enemy_skills!$1:$1,0)+1,FALSE)</f>
        <v>クソが！クソ虫が！！_x000D_調子にのるんじゃねえ！！！</v>
      </c>
      <c r="E181" s="46" t="str">
        <f ca="1">VLOOKUP($C181,OFFSET(enemy_skills!$A$1,0,0,COUNTA(enemy_skills!$A:$A),MATCH(E$1,enemy_skills!$1:$1,0)-MATCH("enemy_skill_id",enemy_skills!$1:$1,0)+1),MATCH(E$1,enemy_skills!$1:$1,0)-MATCH("enemy_skill_id",enemy_skills!$1:$1,0)+1,FALSE)</f>
        <v>特定エリアをお邪魔パネルと_x000D_緑の時限式ダメージパネルに変換</v>
      </c>
      <c r="F181" s="124">
        <v>49015180</v>
      </c>
      <c r="G181" s="48">
        <f ca="1">VLOOKUP($F181,OFFSET(enemy_skill_triggers!$A$1,0,0,COUNTA(enemy_skill_triggers!$A:$A),MATCH(G$1,enemy_skill_triggers!$1:$1,0)-MATCH($F$1,enemy_skill_triggers!$1:$1,0)+1),MATCH(G$1,enemy_skill_triggers!$1:$1,0)-MATCH($F$1,enemy_skill_triggers!$1:$1,0)+1,FALSE)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1" s="48">
        <f ca="1">VLOOKUP($F181,OFFSET(enemy_skill_triggers!$A$1,0,0,COUNTA(enemy_skill_triggers!$A:$A),MATCH(H$1,enemy_skill_triggers!$1:$1,0)-MATCH($F$1,enemy_skill_triggers!$1:$1,0)+1),MATCH(H$1,enemy_skill_triggers!$1:$1,0)-MATCH($F$1,enemy_skill_triggers!$1:$1,0)+1,FALSE)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81" s="48">
        <f ca="1">VLOOKUP($F181,OFFSET(enemy_skill_triggers!$A$1,0,0,COUNTA(enemy_skill_triggers!$A:$A),MATCH(I$1,enemy_skill_triggers!$1:$1,0)-MATCH($F$1,enemy_skill_triggers!$1:$1,0)+1),MATCH(I$1,enemy_skill_triggers!$1:$1,0)-MATCH($F$1,enemy_skill_triggers!$1:$1,0)+1,FALSE)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1" s="48" t="str">
        <f ca="1">VLOOKUP($F181,OFFSET(enemy_skill_triggers!$A$1,0,0,COUNTA(enemy_skill_triggers!$A:$A),MATCH(J$1,enemy_skill_triggers!$1:$1,0)-MATCH($F$1,enemy_skill_triggers!$1:$1,0)+1),MATCH(J$1,enemy_skill_triggers!$1:$1,0)-MATCH($F$1,enemy_skill_triggers!$1:$1,0)+1,FALSE)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1" s="48" t="str">
        <f ca="1">VLOOKUP($F181,OFFSET(enemy_skill_triggers!$A$1,0,0,COUNTA(enemy_skill_triggers!$A:$A),MATCH(K$1,enemy_skill_triggers!$1:$1,0)-MATCH($F$1,enemy_skill_triggers!$1:$1,0)+1),MATCH(K$1,enemy_skill_triggers!$1:$1,0)-MATCH($F$1,enemy_skill_triggers!$1:$1,0)+1,FALSE)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1" s="48" t="str">
        <f ca="1">VLOOKUP($F181,OFFSET(enemy_skill_triggers!$A$1,0,0,COUNTA(enemy_skill_triggers!$A:$A),MATCH(L$1,enemy_skill_triggers!$1:$1,0)-MATCH($F$1,enemy_skill_triggers!$1:$1,0)+1),MATCH(L$1,enemy_skill_triggers!$1:$1,0)-MATCH($F$1,enemy_skill_triggers!$1:$1,0)+1,FALSE)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1" s="48">
        <f ca="1">VLOOKUP($F181,OFFSET(enemy_skill_triggers!$A$1,0,0,COUNTA(enemy_skill_triggers!$A:$A),MATCH(M$1,enemy_skill_triggers!$1:$1,0)-MATCH($F$1,enemy_skill_triggers!$1:$1,0)+1),MATCH(M$1,enemy_skill_triggers!$1:$1,0)-MATCH($F$1,enemy_skill_triggers!$1:$1,0)+1,FALSE)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81" s="48" t="str">
        <f ca="1">VLOOKUP($F181,OFFSET(enemy_skill_triggers!$A$1,0,0,COUNTA(enemy_skill_triggers!$A:$A),MATCH(N$1,enemy_skill_triggers!$1:$1,0)-MATCH($F$1,enemy_skill_triggers!$1:$1,0)+1),MATCH(N$1,enemy_skill_triggers!$1:$1,0)-MATCH($F$1,enemy_skill_triggers!$1:$1,0)+1,FALSE)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1" s="48">
        <f ca="1">VLOOKUP($F181,OFFSET(enemy_skill_triggers!$A$1,0,0,COUNTA(enemy_skill_triggers!$A:$A),MATCH(O$1,enemy_skill_triggers!$1:$1,0)-MATCH($F$1,enemy_skill_triggers!$1:$1,0)+1),MATCH(O$1,enemy_skill_triggers!$1:$1,0)-MATCH($F$1,enemy_skill_triggers!$1:$1,0)+1,FALSE)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1" s="47"/>
      <c r="Q181" s="47"/>
      <c r="R181" s="47"/>
    </row>
    <row r="182" spans="1:18" ht="21" customHeight="1" x14ac:dyDescent="0.15">
      <c r="A182" s="39" t="str">
        <f t="shared" si="2"/>
        <v>49015015_49015138</v>
      </c>
      <c r="B182" s="106">
        <v>49015015</v>
      </c>
      <c r="C182" s="124">
        <v>49015138</v>
      </c>
      <c r="D182" s="46" t="str">
        <f ca="1">VLOOKUP($C182,OFFSET(enemy_skills!$A$1,0,0,COUNTA(enemy_skills!$A:$A),MATCH(D$1,enemy_skills!$1:$1,0)-MATCH("enemy_skill_id",enemy_skills!$1:$1,0)+1),MATCH(D$1,enemy_skills!$1:$1,0)-MATCH("enemy_skill_id",enemy_skills!$1:$1,0)+1,FALSE)</f>
        <v>下等生物に…</v>
      </c>
      <c r="E182" s="46" t="str">
        <f ca="1">VLOOKUP($C182,OFFSET(enemy_skills!$A$1,0,0,COUNTA(enemy_skills!$A:$A),MATCH(E$1,enemy_skills!$1:$1,0)-MATCH("enemy_skill_id",enemy_skills!$1:$1,0)+1),MATCH(E$1,enemy_skills!$1:$1,0)-MATCH("enemy_skill_id",enemy_skills!$1:$1,0)+1,FALSE)</f>
        <v>やられるとは…</v>
      </c>
      <c r="F182" s="124">
        <v>49015181</v>
      </c>
      <c r="G182" s="48">
        <f ca="1">VLOOKUP($F182,OFFSET(enemy_skill_triggers!$A$1,0,0,COUNTA(enemy_skill_triggers!$A:$A),MATCH(G$1,enemy_skill_triggers!$1:$1,0)-MATCH($F$1,enemy_skill_triggers!$1:$1,0)+1),MATCH(G$1,enemy_skill_triggers!$1:$1,0)-MATCH($F$1,enemy_skill_triggers!$1:$1,0)+1,FALSE)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2" s="48">
        <f ca="1">VLOOKUP($F182,OFFSET(enemy_skill_triggers!$A$1,0,0,COUNTA(enemy_skill_triggers!$A:$A),MATCH(H$1,enemy_skill_triggers!$1:$1,0)-MATCH($F$1,enemy_skill_triggers!$1:$1,0)+1),MATCH(H$1,enemy_skill_triggers!$1:$1,0)-MATCH($F$1,enemy_skill_triggers!$1:$1,0)+1,FALSE)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182" s="48">
        <f ca="1">VLOOKUP($F182,OFFSET(enemy_skill_triggers!$A$1,0,0,COUNTA(enemy_skill_triggers!$A:$A),MATCH(I$1,enemy_skill_triggers!$1:$1,0)-MATCH($F$1,enemy_skill_triggers!$1:$1,0)+1),MATCH(I$1,enemy_skill_triggers!$1:$1,0)-MATCH($F$1,enemy_skill_triggers!$1:$1,0)+1,FALSE)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2" s="48" t="str">
        <f ca="1">VLOOKUP($F182,OFFSET(enemy_skill_triggers!$A$1,0,0,COUNTA(enemy_skill_triggers!$A:$A),MATCH(J$1,enemy_skill_triggers!$1:$1,0)-MATCH($F$1,enemy_skill_triggers!$1:$1,0)+1),MATCH(J$1,enemy_skill_triggers!$1:$1,0)-MATCH($F$1,enemy_skill_triggers!$1:$1,0)+1,FALSE)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2" s="48" t="str">
        <f ca="1">VLOOKUP($F182,OFFSET(enemy_skill_triggers!$A$1,0,0,COUNTA(enemy_skill_triggers!$A:$A),MATCH(K$1,enemy_skill_triggers!$1:$1,0)-MATCH($F$1,enemy_skill_triggers!$1:$1,0)+1),MATCH(K$1,enemy_skill_triggers!$1:$1,0)-MATCH($F$1,enemy_skill_triggers!$1:$1,0)+1,FALSE)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2" s="48">
        <f ca="1">VLOOKUP($F182,OFFSET(enemy_skill_triggers!$A$1,0,0,COUNTA(enemy_skill_triggers!$A:$A),MATCH(L$1,enemy_skill_triggers!$1:$1,0)-MATCH($F$1,enemy_skill_triggers!$1:$1,0)+1),MATCH(L$1,enemy_skill_triggers!$1:$1,0)-MATCH($F$1,enemy_skill_triggers!$1:$1,0)+1,FALSE)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2" s="48" t="str">
        <f ca="1">VLOOKUP($F182,OFFSET(enemy_skill_triggers!$A$1,0,0,COUNTA(enemy_skill_triggers!$A:$A),MATCH(M$1,enemy_skill_triggers!$1:$1,0)-MATCH($F$1,enemy_skill_triggers!$1:$1,0)+1),MATCH(M$1,enemy_skill_triggers!$1:$1,0)-MATCH($F$1,enemy_skill_triggers!$1:$1,0)+1,FALSE)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2" s="48">
        <f ca="1">VLOOKUP($F182,OFFSET(enemy_skill_triggers!$A$1,0,0,COUNTA(enemy_skill_triggers!$A:$A),MATCH(N$1,enemy_skill_triggers!$1:$1,0)-MATCH($F$1,enemy_skill_triggers!$1:$1,0)+1),MATCH(N$1,enemy_skill_triggers!$1:$1,0)-MATCH($F$1,enemy_skill_triggers!$1:$1,0)+1,FALSE)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82" s="48">
        <f ca="1">VLOOKUP($F182,OFFSET(enemy_skill_triggers!$A$1,0,0,COUNTA(enemy_skill_triggers!$A:$A),MATCH(O$1,enemy_skill_triggers!$1:$1,0)-MATCH($F$1,enemy_skill_triggers!$1:$1,0)+1),MATCH(O$1,enemy_skill_triggers!$1:$1,0)-MATCH($F$1,enemy_skill_triggers!$1:$1,0)+1,FALSE)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2" s="47"/>
      <c r="Q182" s="47"/>
      <c r="R182" s="47"/>
    </row>
    <row r="183" spans="1:18" ht="21" customHeight="1" x14ac:dyDescent="0.15">
      <c r="A183" s="39" t="str">
        <f t="shared" si="2"/>
        <v>49015015_49015139</v>
      </c>
      <c r="B183" s="106">
        <v>49015015</v>
      </c>
      <c r="C183" s="124">
        <v>49015139</v>
      </c>
      <c r="D183" s="46" t="str">
        <f ca="1">VLOOKUP($C183,OFFSET(enemy_skills!$A$1,0,0,COUNTA(enemy_skills!$A:$A),MATCH(D$1,enemy_skills!$1:$1,0)-MATCH("enemy_skill_id",enemy_skills!$1:$1,0)+1),MATCH(D$1,enemy_skills!$1:$1,0)-MATCH("enemy_skill_id",enemy_skills!$1:$1,0)+1,FALSE)</f>
        <v>俺が…やられるとは…</v>
      </c>
      <c r="E183" s="46" t="str">
        <f ca="1">VLOOKUP($C183,OFFSET(enemy_skills!$A$1,0,0,COUNTA(enemy_skills!$A:$A),MATCH(E$1,enemy_skills!$1:$1,0)-MATCH("enemy_skill_id",enemy_skills!$1:$1,0)+1),MATCH(E$1,enemy_skills!$1:$1,0)-MATCH("enemy_skill_id",enemy_skills!$1:$1,0)+1,FALSE)</f>
        <v>エドワード…エル…リック…</v>
      </c>
      <c r="F183" s="124">
        <v>49015182</v>
      </c>
      <c r="G183" s="48">
        <f ca="1">VLOOKUP($F183,OFFSET(enemy_skill_triggers!$A$1,0,0,COUNTA(enemy_skill_triggers!$A:$A),MATCH(G$1,enemy_skill_triggers!$1:$1,0)-MATCH($F$1,enemy_skill_triggers!$1:$1,0)+1),MATCH(G$1,enemy_skill_triggers!$1:$1,0)-MATCH($F$1,enemy_skill_triggers!$1:$1,0)+1,FALSE)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3" s="48">
        <f ca="1">VLOOKUP($F183,OFFSET(enemy_skill_triggers!$A$1,0,0,COUNTA(enemy_skill_triggers!$A:$A),MATCH(H$1,enemy_skill_triggers!$1:$1,0)-MATCH($F$1,enemy_skill_triggers!$1:$1,0)+1),MATCH(H$1,enemy_skill_triggers!$1:$1,0)-MATCH($F$1,enemy_skill_triggers!$1:$1,0)+1,FALSE)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83" s="48">
        <f ca="1">VLOOKUP($F183,OFFSET(enemy_skill_triggers!$A$1,0,0,COUNTA(enemy_skill_triggers!$A:$A),MATCH(I$1,enemy_skill_triggers!$1:$1,0)-MATCH($F$1,enemy_skill_triggers!$1:$1,0)+1),MATCH(I$1,enemy_skill_triggers!$1:$1,0)-MATCH($F$1,enemy_skill_triggers!$1:$1,0)+1,FALSE)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3" s="48" t="str">
        <f ca="1">VLOOKUP($F183,OFFSET(enemy_skill_triggers!$A$1,0,0,COUNTA(enemy_skill_triggers!$A:$A),MATCH(J$1,enemy_skill_triggers!$1:$1,0)-MATCH($F$1,enemy_skill_triggers!$1:$1,0)+1),MATCH(J$1,enemy_skill_triggers!$1:$1,0)-MATCH($F$1,enemy_skill_triggers!$1:$1,0)+1,FALSE)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3" s="48" t="str">
        <f ca="1">VLOOKUP($F183,OFFSET(enemy_skill_triggers!$A$1,0,0,COUNTA(enemy_skill_triggers!$A:$A),MATCH(K$1,enemy_skill_triggers!$1:$1,0)-MATCH($F$1,enemy_skill_triggers!$1:$1,0)+1),MATCH(K$1,enemy_skill_triggers!$1:$1,0)-MATCH($F$1,enemy_skill_triggers!$1:$1,0)+1,FALSE)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3" s="48">
        <f ca="1">VLOOKUP($F183,OFFSET(enemy_skill_triggers!$A$1,0,0,COUNTA(enemy_skill_triggers!$A:$A),MATCH(L$1,enemy_skill_triggers!$1:$1,0)-MATCH($F$1,enemy_skill_triggers!$1:$1,0)+1),MATCH(L$1,enemy_skill_triggers!$1:$1,0)-MATCH($F$1,enemy_skill_triggers!$1:$1,0)+1,FALSE)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3" s="48" t="str">
        <f ca="1">VLOOKUP($F183,OFFSET(enemy_skill_triggers!$A$1,0,0,COUNTA(enemy_skill_triggers!$A:$A),MATCH(M$1,enemy_skill_triggers!$1:$1,0)-MATCH($F$1,enemy_skill_triggers!$1:$1,0)+1),MATCH(M$1,enemy_skill_triggers!$1:$1,0)-MATCH($F$1,enemy_skill_triggers!$1:$1,0)+1,FALSE)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3" s="48">
        <f ca="1">VLOOKUP($F183,OFFSET(enemy_skill_triggers!$A$1,0,0,COUNTA(enemy_skill_triggers!$A:$A),MATCH(N$1,enemy_skill_triggers!$1:$1,0)-MATCH($F$1,enemy_skill_triggers!$1:$1,0)+1),MATCH(N$1,enemy_skill_triggers!$1:$1,0)-MATCH($F$1,enemy_skill_triggers!$1:$1,0)+1,FALSE)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183" s="48">
        <f ca="1">VLOOKUP($F183,OFFSET(enemy_skill_triggers!$A$1,0,0,COUNTA(enemy_skill_triggers!$A:$A),MATCH(O$1,enemy_skill_triggers!$1:$1,0)-MATCH($F$1,enemy_skill_triggers!$1:$1,0)+1),MATCH(O$1,enemy_skill_triggers!$1:$1,0)-MATCH($F$1,enemy_skill_triggers!$1:$1,0)+1,FALSE)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3" s="47"/>
      <c r="Q183" s="47"/>
      <c r="R183" s="47"/>
    </row>
    <row r="184" spans="1:18" ht="21" customHeight="1" x14ac:dyDescent="0.15">
      <c r="A184" s="39" t="str">
        <f t="shared" si="2"/>
        <v>49015015_49015139</v>
      </c>
      <c r="B184" s="106">
        <v>49015015</v>
      </c>
      <c r="C184" s="124">
        <v>49015139</v>
      </c>
      <c r="D184" s="46" t="str">
        <f ca="1">VLOOKUP($C184,OFFSET(enemy_skills!$A$1,0,0,COUNTA(enemy_skills!$A:$A),MATCH(D$1,enemy_skills!$1:$1,0)-MATCH("enemy_skill_id",enemy_skills!$1:$1,0)+1),MATCH(D$1,enemy_skills!$1:$1,0)-MATCH("enemy_skill_id",enemy_skills!$1:$1,0)+1,FALSE)</f>
        <v>俺が…やられるとは…</v>
      </c>
      <c r="E184" s="46" t="str">
        <f ca="1">VLOOKUP($C184,OFFSET(enemy_skills!$A$1,0,0,COUNTA(enemy_skills!$A:$A),MATCH(E$1,enemy_skills!$1:$1,0)-MATCH("enemy_skill_id",enemy_skills!$1:$1,0)+1),MATCH(E$1,enemy_skills!$1:$1,0)-MATCH("enemy_skill_id",enemy_skills!$1:$1,0)+1,FALSE)</f>
        <v>エドワード…エル…リック…</v>
      </c>
      <c r="F184" s="124">
        <v>49015183</v>
      </c>
      <c r="G184" s="48">
        <f ca="1">VLOOKUP($F184,OFFSET(enemy_skill_triggers!$A$1,0,0,COUNTA(enemy_skill_triggers!$A:$A),MATCH(G$1,enemy_skill_triggers!$1:$1,0)-MATCH($F$1,enemy_skill_triggers!$1:$1,0)+1),MATCH(G$1,enemy_skill_triggers!$1:$1,0)-MATCH($F$1,enemy_skill_triggers!$1:$1,0)+1,FALSE)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4" s="48">
        <f ca="1">VLOOKUP($F184,OFFSET(enemy_skill_triggers!$A$1,0,0,COUNTA(enemy_skill_triggers!$A:$A),MATCH(H$1,enemy_skill_triggers!$1:$1,0)-MATCH($F$1,enemy_skill_triggers!$1:$1,0)+1),MATCH(H$1,enemy_skill_triggers!$1:$1,0)-MATCH($F$1,enemy_skill_triggers!$1:$1,0)+1,FALSE)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184" s="48">
        <f ca="1">VLOOKUP($F184,OFFSET(enemy_skill_triggers!$A$1,0,0,COUNTA(enemy_skill_triggers!$A:$A),MATCH(I$1,enemy_skill_triggers!$1:$1,0)-MATCH($F$1,enemy_skill_triggers!$1:$1,0)+1),MATCH(I$1,enemy_skill_triggers!$1:$1,0)-MATCH($F$1,enemy_skill_triggers!$1:$1,0)+1,FALSE)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4" s="48" t="str">
        <f ca="1">VLOOKUP($F184,OFFSET(enemy_skill_triggers!$A$1,0,0,COUNTA(enemy_skill_triggers!$A:$A),MATCH(J$1,enemy_skill_triggers!$1:$1,0)-MATCH($F$1,enemy_skill_triggers!$1:$1,0)+1),MATCH(J$1,enemy_skill_triggers!$1:$1,0)-MATCH($F$1,enemy_skill_triggers!$1:$1,0)+1,FALSE)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4" s="48" t="str">
        <f ca="1">VLOOKUP($F184,OFFSET(enemy_skill_triggers!$A$1,0,0,COUNTA(enemy_skill_triggers!$A:$A),MATCH(K$1,enemy_skill_triggers!$1:$1,0)-MATCH($F$1,enemy_skill_triggers!$1:$1,0)+1),MATCH(K$1,enemy_skill_triggers!$1:$1,0)-MATCH($F$1,enemy_skill_triggers!$1:$1,0)+1,FALSE)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4" s="48">
        <f ca="1">VLOOKUP($F184,OFFSET(enemy_skill_triggers!$A$1,0,0,COUNTA(enemy_skill_triggers!$A:$A),MATCH(L$1,enemy_skill_triggers!$1:$1,0)-MATCH($F$1,enemy_skill_triggers!$1:$1,0)+1),MATCH(L$1,enemy_skill_triggers!$1:$1,0)-MATCH($F$1,enemy_skill_triggers!$1:$1,0)+1,FALSE)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4" s="48" t="str">
        <f ca="1">VLOOKUP($F184,OFFSET(enemy_skill_triggers!$A$1,0,0,COUNTA(enemy_skill_triggers!$A:$A),MATCH(M$1,enemy_skill_triggers!$1:$1,0)-MATCH($F$1,enemy_skill_triggers!$1:$1,0)+1),MATCH(M$1,enemy_skill_triggers!$1:$1,0)-MATCH($F$1,enemy_skill_triggers!$1:$1,0)+1,FALSE)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4" s="48">
        <f ca="1">VLOOKUP($F184,OFFSET(enemy_skill_triggers!$A$1,0,0,COUNTA(enemy_skill_triggers!$A:$A),MATCH(N$1,enemy_skill_triggers!$1:$1,0)-MATCH($F$1,enemy_skill_triggers!$1:$1,0)+1),MATCH(N$1,enemy_skill_triggers!$1:$1,0)-MATCH($F$1,enemy_skill_triggers!$1:$1,0)+1,FALSE)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184" s="48">
        <f ca="1">VLOOKUP($F184,OFFSET(enemy_skill_triggers!$A$1,0,0,COUNTA(enemy_skill_triggers!$A:$A),MATCH(O$1,enemy_skill_triggers!$1:$1,0)-MATCH($F$1,enemy_skill_triggers!$1:$1,0)+1),MATCH(O$1,enemy_skill_triggers!$1:$1,0)-MATCH($F$1,enemy_skill_triggers!$1:$1,0)+1,FALSE)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4" s="47"/>
      <c r="Q184" s="47"/>
      <c r="R184" s="47"/>
    </row>
    <row r="185" spans="1:18" ht="21" customHeight="1" x14ac:dyDescent="0.15">
      <c r="A185" s="39" t="str">
        <f t="shared" si="2"/>
        <v>49015015_49015140</v>
      </c>
      <c r="B185" s="106">
        <v>49015015</v>
      </c>
      <c r="C185" s="124">
        <v>49015140</v>
      </c>
      <c r="D185" s="46" t="str">
        <f ca="1">VLOOKUP($C185,OFFSET(enemy_skills!$A$1,0,0,COUNTA(enemy_skills!$A:$A),MATCH(D$1,enemy_skills!$1:$1,0)-MATCH("enemy_skill_id",enemy_skills!$1:$1,0)+1),MATCH(D$1,enemy_skills!$1:$1,0)-MATCH("enemy_skill_id",enemy_skills!$1:$1,0)+1,FALSE)</f>
        <v>殺さないようにしたのが…</v>
      </c>
      <c r="E185" s="46" t="str">
        <f ca="1">VLOOKUP($C185,OFFSET(enemy_skills!$A$1,0,0,COUNTA(enemy_skills!$A:$A),MATCH(E$1,enemy_skills!$1:$1,0)-MATCH("enemy_skill_id",enemy_skills!$1:$1,0)+1),MATCH(E$1,enemy_skills!$1:$1,0)-MATCH("enemy_skill_id",enemy_skills!$1:$1,0)+1,FALSE)</f>
        <v>失敗だったか…</v>
      </c>
      <c r="F185" s="124">
        <v>49015184</v>
      </c>
      <c r="G185" s="48">
        <f ca="1">VLOOKUP($F185,OFFSET(enemy_skill_triggers!$A$1,0,0,COUNTA(enemy_skill_triggers!$A:$A),MATCH(G$1,enemy_skill_triggers!$1:$1,0)-MATCH($F$1,enemy_skill_triggers!$1:$1,0)+1),MATCH(G$1,enemy_skill_triggers!$1:$1,0)-MATCH($F$1,enemy_skill_triggers!$1:$1,0)+1,FALSE)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5" s="48">
        <f ca="1">VLOOKUP($F185,OFFSET(enemy_skill_triggers!$A$1,0,0,COUNTA(enemy_skill_triggers!$A:$A),MATCH(H$1,enemy_skill_triggers!$1:$1,0)-MATCH($F$1,enemy_skill_triggers!$1:$1,0)+1),MATCH(H$1,enemy_skill_triggers!$1:$1,0)-MATCH($F$1,enemy_skill_triggers!$1:$1,0)+1,FALSE)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85" s="48">
        <f ca="1">VLOOKUP($F185,OFFSET(enemy_skill_triggers!$A$1,0,0,COUNTA(enemy_skill_triggers!$A:$A),MATCH(I$1,enemy_skill_triggers!$1:$1,0)-MATCH($F$1,enemy_skill_triggers!$1:$1,0)+1),MATCH(I$1,enemy_skill_triggers!$1:$1,0)-MATCH($F$1,enemy_skill_triggers!$1:$1,0)+1,FALSE)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5" s="48" t="str">
        <f ca="1">VLOOKUP($F185,OFFSET(enemy_skill_triggers!$A$1,0,0,COUNTA(enemy_skill_triggers!$A:$A),MATCH(J$1,enemy_skill_triggers!$1:$1,0)-MATCH($F$1,enemy_skill_triggers!$1:$1,0)+1),MATCH(J$1,enemy_skill_triggers!$1:$1,0)-MATCH($F$1,enemy_skill_triggers!$1:$1,0)+1,FALSE)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5" s="48" t="str">
        <f ca="1">VLOOKUP($F185,OFFSET(enemy_skill_triggers!$A$1,0,0,COUNTA(enemy_skill_triggers!$A:$A),MATCH(K$1,enemy_skill_triggers!$1:$1,0)-MATCH($F$1,enemy_skill_triggers!$1:$1,0)+1),MATCH(K$1,enemy_skill_triggers!$1:$1,0)-MATCH($F$1,enemy_skill_triggers!$1:$1,0)+1,FALSE)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5" s="48">
        <f ca="1">VLOOKUP($F185,OFFSET(enemy_skill_triggers!$A$1,0,0,COUNTA(enemy_skill_triggers!$A:$A),MATCH(L$1,enemy_skill_triggers!$1:$1,0)-MATCH($F$1,enemy_skill_triggers!$1:$1,0)+1),MATCH(L$1,enemy_skill_triggers!$1:$1,0)-MATCH($F$1,enemy_skill_triggers!$1:$1,0)+1,FALSE)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5" s="48" t="str">
        <f ca="1">VLOOKUP($F185,OFFSET(enemy_skill_triggers!$A$1,0,0,COUNTA(enemy_skill_triggers!$A:$A),MATCH(M$1,enemy_skill_triggers!$1:$1,0)-MATCH($F$1,enemy_skill_triggers!$1:$1,0)+1),MATCH(M$1,enemy_skill_triggers!$1:$1,0)-MATCH($F$1,enemy_skill_triggers!$1:$1,0)+1,FALSE)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5" s="48">
        <f ca="1">VLOOKUP($F185,OFFSET(enemy_skill_triggers!$A$1,0,0,COUNTA(enemy_skill_triggers!$A:$A),MATCH(N$1,enemy_skill_triggers!$1:$1,0)-MATCH($F$1,enemy_skill_triggers!$1:$1,0)+1),MATCH(N$1,enemy_skill_triggers!$1:$1,0)-MATCH($F$1,enemy_skill_triggers!$1:$1,0)+1,FALSE)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185" s="48">
        <f ca="1">VLOOKUP($F185,OFFSET(enemy_skill_triggers!$A$1,0,0,COUNTA(enemy_skill_triggers!$A:$A),MATCH(O$1,enemy_skill_triggers!$1:$1,0)-MATCH($F$1,enemy_skill_triggers!$1:$1,0)+1),MATCH(O$1,enemy_skill_triggers!$1:$1,0)-MATCH($F$1,enemy_skill_triggers!$1:$1,0)+1,FALSE)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5" s="47"/>
      <c r="Q185" s="47"/>
      <c r="R185" s="47"/>
    </row>
    <row r="186" spans="1:18" ht="21" customHeight="1" x14ac:dyDescent="0.15">
      <c r="A186" s="39" t="str">
        <f t="shared" si="2"/>
        <v>49015015_49015140</v>
      </c>
      <c r="B186" s="106">
        <v>49015015</v>
      </c>
      <c r="C186" s="124">
        <v>49015140</v>
      </c>
      <c r="D186" s="46" t="str">
        <f ca="1">VLOOKUP($C186,OFFSET(enemy_skills!$A$1,0,0,COUNTA(enemy_skills!$A:$A),MATCH(D$1,enemy_skills!$1:$1,0)-MATCH("enemy_skill_id",enemy_skills!$1:$1,0)+1),MATCH(D$1,enemy_skills!$1:$1,0)-MATCH("enemy_skill_id",enemy_skills!$1:$1,0)+1,FALSE)</f>
        <v>殺さないようにしたのが…</v>
      </c>
      <c r="E186" s="46" t="str">
        <f ca="1">VLOOKUP($C186,OFFSET(enemy_skills!$A$1,0,0,COUNTA(enemy_skills!$A:$A),MATCH(E$1,enemy_skills!$1:$1,0)-MATCH("enemy_skill_id",enemy_skills!$1:$1,0)+1),MATCH(E$1,enemy_skills!$1:$1,0)-MATCH("enemy_skill_id",enemy_skills!$1:$1,0)+1,FALSE)</f>
        <v>失敗だったか…</v>
      </c>
      <c r="F186" s="124">
        <v>49015185</v>
      </c>
      <c r="G186" s="48">
        <f ca="1">VLOOKUP($F186,OFFSET(enemy_skill_triggers!$A$1,0,0,COUNTA(enemy_skill_triggers!$A:$A),MATCH(G$1,enemy_skill_triggers!$1:$1,0)-MATCH($F$1,enemy_skill_triggers!$1:$1,0)+1),MATCH(G$1,enemy_skill_triggers!$1:$1,0)-MATCH($F$1,enemy_skill_triggers!$1:$1,0)+1,FALSE)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6" s="48">
        <f ca="1">VLOOKUP($F186,OFFSET(enemy_skill_triggers!$A$1,0,0,COUNTA(enemy_skill_triggers!$A:$A),MATCH(H$1,enemy_skill_triggers!$1:$1,0)-MATCH($F$1,enemy_skill_triggers!$1:$1,0)+1),MATCH(H$1,enemy_skill_triggers!$1:$1,0)-MATCH($F$1,enemy_skill_triggers!$1:$1,0)+1,FALSE)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186" s="48">
        <f ca="1">VLOOKUP($F186,OFFSET(enemy_skill_triggers!$A$1,0,0,COUNTA(enemy_skill_triggers!$A:$A),MATCH(I$1,enemy_skill_triggers!$1:$1,0)-MATCH($F$1,enemy_skill_triggers!$1:$1,0)+1),MATCH(I$1,enemy_skill_triggers!$1:$1,0)-MATCH($F$1,enemy_skill_triggers!$1:$1,0)+1,FALSE)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6" s="48" t="str">
        <f ca="1">VLOOKUP($F186,OFFSET(enemy_skill_triggers!$A$1,0,0,COUNTA(enemy_skill_triggers!$A:$A),MATCH(J$1,enemy_skill_triggers!$1:$1,0)-MATCH($F$1,enemy_skill_triggers!$1:$1,0)+1),MATCH(J$1,enemy_skill_triggers!$1:$1,0)-MATCH($F$1,enemy_skill_triggers!$1:$1,0)+1,FALSE)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6" s="48" t="str">
        <f ca="1">VLOOKUP($F186,OFFSET(enemy_skill_triggers!$A$1,0,0,COUNTA(enemy_skill_triggers!$A:$A),MATCH(K$1,enemy_skill_triggers!$1:$1,0)-MATCH($F$1,enemy_skill_triggers!$1:$1,0)+1),MATCH(K$1,enemy_skill_triggers!$1:$1,0)-MATCH($F$1,enemy_skill_triggers!$1:$1,0)+1,FALSE)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6" s="48">
        <f ca="1">VLOOKUP($F186,OFFSET(enemy_skill_triggers!$A$1,0,0,COUNTA(enemy_skill_triggers!$A:$A),MATCH(L$1,enemy_skill_triggers!$1:$1,0)-MATCH($F$1,enemy_skill_triggers!$1:$1,0)+1),MATCH(L$1,enemy_skill_triggers!$1:$1,0)-MATCH($F$1,enemy_skill_triggers!$1:$1,0)+1,FALSE)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6" s="48" t="str">
        <f ca="1">VLOOKUP($F186,OFFSET(enemy_skill_triggers!$A$1,0,0,COUNTA(enemy_skill_triggers!$A:$A),MATCH(M$1,enemy_skill_triggers!$1:$1,0)-MATCH($F$1,enemy_skill_triggers!$1:$1,0)+1),MATCH(M$1,enemy_skill_triggers!$1:$1,0)-MATCH($F$1,enemy_skill_triggers!$1:$1,0)+1,FALSE)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6" s="48">
        <f ca="1">VLOOKUP($F186,OFFSET(enemy_skill_triggers!$A$1,0,0,COUNTA(enemy_skill_triggers!$A:$A),MATCH(N$1,enemy_skill_triggers!$1:$1,0)-MATCH($F$1,enemy_skill_triggers!$1:$1,0)+1),MATCH(N$1,enemy_skill_triggers!$1:$1,0)-MATCH($F$1,enemy_skill_triggers!$1:$1,0)+1,FALSE)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186" s="48">
        <f ca="1">VLOOKUP($F186,OFFSET(enemy_skill_triggers!$A$1,0,0,COUNTA(enemy_skill_triggers!$A:$A),MATCH(O$1,enemy_skill_triggers!$1:$1,0)-MATCH($F$1,enemy_skill_triggers!$1:$1,0)+1),MATCH(O$1,enemy_skill_triggers!$1:$1,0)-MATCH($F$1,enemy_skill_triggers!$1:$1,0)+1,FALSE)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6" s="47"/>
      <c r="Q186" s="47"/>
      <c r="R186" s="47"/>
    </row>
    <row r="187" spans="1:18" ht="21" customHeight="1" x14ac:dyDescent="0.15">
      <c r="A187" s="39" t="str">
        <f t="shared" si="2"/>
        <v>49015015_49015141</v>
      </c>
      <c r="B187" s="106">
        <v>49015015</v>
      </c>
      <c r="C187" s="124">
        <v>49015141</v>
      </c>
      <c r="D187" s="46" t="str">
        <f ca="1">VLOOKUP($C187,OFFSET(enemy_skills!$A$1,0,0,COUNTA(enemy_skills!$A:$A),MATCH(D$1,enemy_skills!$1:$1,0)-MATCH("enemy_skill_id",enemy_skills!$1:$1,0)+1),MATCH(D$1,enemy_skills!$1:$1,0)-MATCH("enemy_skill_id",enemy_skills!$1:$1,0)+1,FALSE)</f>
        <v>これが焔の錬金術師の炎…</v>
      </c>
      <c r="E187" s="46" t="str">
        <f ca="1">VLOOKUP($C187,OFFSET(enemy_skills!$A$1,0,0,COUNTA(enemy_skills!$A:$A),MATCH(E$1,enemy_skills!$1:$1,0)-MATCH("enemy_skill_id",enemy_skills!$1:$1,0)+1),MATCH(E$1,enemy_skills!$1:$1,0)-MATCH("enemy_skill_id",enemy_skills!$1:$1,0)+1,FALSE)</f>
        <v>散々燃やしやがって…</v>
      </c>
      <c r="F187" s="124">
        <v>49015186</v>
      </c>
      <c r="G187" s="48">
        <f ca="1">VLOOKUP($F187,OFFSET(enemy_skill_triggers!$A$1,0,0,COUNTA(enemy_skill_triggers!$A:$A),MATCH(G$1,enemy_skill_triggers!$1:$1,0)-MATCH($F$1,enemy_skill_triggers!$1:$1,0)+1),MATCH(G$1,enemy_skill_triggers!$1:$1,0)-MATCH($F$1,enemy_skill_triggers!$1:$1,0)+1,FALSE)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7" s="48">
        <f ca="1">VLOOKUP($F187,OFFSET(enemy_skill_triggers!$A$1,0,0,COUNTA(enemy_skill_triggers!$A:$A),MATCH(H$1,enemy_skill_triggers!$1:$1,0)-MATCH($F$1,enemy_skill_triggers!$1:$1,0)+1),MATCH(H$1,enemy_skill_triggers!$1:$1,0)-MATCH($F$1,enemy_skill_triggers!$1:$1,0)+1,FALSE)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7" s="48">
        <f ca="1">VLOOKUP($F187,OFFSET(enemy_skill_triggers!$A$1,0,0,COUNTA(enemy_skill_triggers!$A:$A),MATCH(I$1,enemy_skill_triggers!$1:$1,0)-MATCH($F$1,enemy_skill_triggers!$1:$1,0)+1),MATCH(I$1,enemy_skill_triggers!$1:$1,0)-MATCH($F$1,enemy_skill_triggers!$1:$1,0)+1,FALSE)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7" s="48" t="str">
        <f ca="1">VLOOKUP($F187,OFFSET(enemy_skill_triggers!$A$1,0,0,COUNTA(enemy_skill_triggers!$A:$A),MATCH(J$1,enemy_skill_triggers!$1:$1,0)-MATCH($F$1,enemy_skill_triggers!$1:$1,0)+1),MATCH(J$1,enemy_skill_triggers!$1:$1,0)-MATCH($F$1,enemy_skill_triggers!$1:$1,0)+1,FALSE)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7" s="48" t="str">
        <f ca="1">VLOOKUP($F187,OFFSET(enemy_skill_triggers!$A$1,0,0,COUNTA(enemy_skill_triggers!$A:$A),MATCH(K$1,enemy_skill_triggers!$1:$1,0)-MATCH($F$1,enemy_skill_triggers!$1:$1,0)+1),MATCH(K$1,enemy_skill_triggers!$1:$1,0)-MATCH($F$1,enemy_skill_triggers!$1:$1,0)+1,FALSE)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7" s="48">
        <f ca="1">VLOOKUP($F187,OFFSET(enemy_skill_triggers!$A$1,0,0,COUNTA(enemy_skill_triggers!$A:$A),MATCH(L$1,enemy_skill_triggers!$1:$1,0)-MATCH($F$1,enemy_skill_triggers!$1:$1,0)+1),MATCH(L$1,enemy_skill_triggers!$1:$1,0)-MATCH($F$1,enemy_skill_triggers!$1:$1,0)+1,FALSE)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7" s="48" t="str">
        <f ca="1">VLOOKUP($F187,OFFSET(enemy_skill_triggers!$A$1,0,0,COUNTA(enemy_skill_triggers!$A:$A),MATCH(M$1,enemy_skill_triggers!$1:$1,0)-MATCH($F$1,enemy_skill_triggers!$1:$1,0)+1),MATCH(M$1,enemy_skill_triggers!$1:$1,0)-MATCH($F$1,enemy_skill_triggers!$1:$1,0)+1,FALSE)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7" s="48">
        <f ca="1">VLOOKUP($F187,OFFSET(enemy_skill_triggers!$A$1,0,0,COUNTA(enemy_skill_triggers!$A:$A),MATCH(N$1,enemy_skill_triggers!$1:$1,0)-MATCH($F$1,enemy_skill_triggers!$1:$1,0)+1),MATCH(N$1,enemy_skill_triggers!$1:$1,0)-MATCH($F$1,enemy_skill_triggers!$1:$1,0)+1,FALSE)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187" s="48">
        <f ca="1">VLOOKUP($F187,OFFSET(enemy_skill_triggers!$A$1,0,0,COUNTA(enemy_skill_triggers!$A:$A),MATCH(O$1,enemy_skill_triggers!$1:$1,0)-MATCH($F$1,enemy_skill_triggers!$1:$1,0)+1),MATCH(O$1,enemy_skill_triggers!$1:$1,0)-MATCH($F$1,enemy_skill_triggers!$1:$1,0)+1,FALSE)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7" s="47"/>
      <c r="Q187" s="47"/>
      <c r="R187" s="47"/>
    </row>
    <row r="188" spans="1:18" ht="21" customHeight="1" x14ac:dyDescent="0.15">
      <c r="A188" s="39" t="str">
        <f t="shared" si="2"/>
        <v>49015015_49015141</v>
      </c>
      <c r="B188" s="106">
        <v>49015015</v>
      </c>
      <c r="C188" s="124">
        <v>49015141</v>
      </c>
      <c r="D188" s="46" t="str">
        <f ca="1">VLOOKUP($C188,OFFSET(enemy_skills!$A$1,0,0,COUNTA(enemy_skills!$A:$A),MATCH(D$1,enemy_skills!$1:$1,0)-MATCH("enemy_skill_id",enemy_skills!$1:$1,0)+1),MATCH(D$1,enemy_skills!$1:$1,0)-MATCH("enemy_skill_id",enemy_skills!$1:$1,0)+1,FALSE)</f>
        <v>これが焔の錬金術師の炎…</v>
      </c>
      <c r="E188" s="46" t="str">
        <f ca="1">VLOOKUP($C188,OFFSET(enemy_skills!$A$1,0,0,COUNTA(enemy_skills!$A:$A),MATCH(E$1,enemy_skills!$1:$1,0)-MATCH("enemy_skill_id",enemy_skills!$1:$1,0)+1),MATCH(E$1,enemy_skills!$1:$1,0)-MATCH("enemy_skill_id",enemy_skills!$1:$1,0)+1,FALSE)</f>
        <v>散々燃やしやがって…</v>
      </c>
      <c r="F188" s="124">
        <v>49015187</v>
      </c>
      <c r="G188" s="48">
        <f ca="1">VLOOKUP($F188,OFFSET(enemy_skill_triggers!$A$1,0,0,COUNTA(enemy_skill_triggers!$A:$A),MATCH(G$1,enemy_skill_triggers!$1:$1,0)-MATCH($F$1,enemy_skill_triggers!$1:$1,0)+1),MATCH(G$1,enemy_skill_triggers!$1:$1,0)-MATCH($F$1,enemy_skill_triggers!$1:$1,0)+1,FALSE)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8" s="48">
        <f ca="1">VLOOKUP($F188,OFFSET(enemy_skill_triggers!$A$1,0,0,COUNTA(enemy_skill_triggers!$A:$A),MATCH(H$1,enemy_skill_triggers!$1:$1,0)-MATCH($F$1,enemy_skill_triggers!$1:$1,0)+1),MATCH(H$1,enemy_skill_triggers!$1:$1,0)-MATCH($F$1,enemy_skill_triggers!$1:$1,0)+1,FALSE)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88" s="48">
        <f ca="1">VLOOKUP($F188,OFFSET(enemy_skill_triggers!$A$1,0,0,COUNTA(enemy_skill_triggers!$A:$A),MATCH(I$1,enemy_skill_triggers!$1:$1,0)-MATCH($F$1,enemy_skill_triggers!$1:$1,0)+1),MATCH(I$1,enemy_skill_triggers!$1:$1,0)-MATCH($F$1,enemy_skill_triggers!$1:$1,0)+1,FALSE)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8" s="48" t="str">
        <f ca="1">VLOOKUP($F188,OFFSET(enemy_skill_triggers!$A$1,0,0,COUNTA(enemy_skill_triggers!$A:$A),MATCH(J$1,enemy_skill_triggers!$1:$1,0)-MATCH($F$1,enemy_skill_triggers!$1:$1,0)+1),MATCH(J$1,enemy_skill_triggers!$1:$1,0)-MATCH($F$1,enemy_skill_triggers!$1:$1,0)+1,FALSE)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8" s="48" t="str">
        <f ca="1">VLOOKUP($F188,OFFSET(enemy_skill_triggers!$A$1,0,0,COUNTA(enemy_skill_triggers!$A:$A),MATCH(K$1,enemy_skill_triggers!$1:$1,0)-MATCH($F$1,enemy_skill_triggers!$1:$1,0)+1),MATCH(K$1,enemy_skill_triggers!$1:$1,0)-MATCH($F$1,enemy_skill_triggers!$1:$1,0)+1,FALSE)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8" s="48">
        <f ca="1">VLOOKUP($F188,OFFSET(enemy_skill_triggers!$A$1,0,0,COUNTA(enemy_skill_triggers!$A:$A),MATCH(L$1,enemy_skill_triggers!$1:$1,0)-MATCH($F$1,enemy_skill_triggers!$1:$1,0)+1),MATCH(L$1,enemy_skill_triggers!$1:$1,0)-MATCH($F$1,enemy_skill_triggers!$1:$1,0)+1,FALSE)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8" s="48" t="str">
        <f ca="1">VLOOKUP($F188,OFFSET(enemy_skill_triggers!$A$1,0,0,COUNTA(enemy_skill_triggers!$A:$A),MATCH(M$1,enemy_skill_triggers!$1:$1,0)-MATCH($F$1,enemy_skill_triggers!$1:$1,0)+1),MATCH(M$1,enemy_skill_triggers!$1:$1,0)-MATCH($F$1,enemy_skill_triggers!$1:$1,0)+1,FALSE)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8" s="48">
        <f ca="1">VLOOKUP($F188,OFFSET(enemy_skill_triggers!$A$1,0,0,COUNTA(enemy_skill_triggers!$A:$A),MATCH(N$1,enemy_skill_triggers!$1:$1,0)-MATCH($F$1,enemy_skill_triggers!$1:$1,0)+1),MATCH(N$1,enemy_skill_triggers!$1:$1,0)-MATCH($F$1,enemy_skill_triggers!$1:$1,0)+1,FALSE)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188" s="48">
        <f ca="1">VLOOKUP($F188,OFFSET(enemy_skill_triggers!$A$1,0,0,COUNTA(enemy_skill_triggers!$A:$A),MATCH(O$1,enemy_skill_triggers!$1:$1,0)-MATCH($F$1,enemy_skill_triggers!$1:$1,0)+1),MATCH(O$1,enemy_skill_triggers!$1:$1,0)-MATCH($F$1,enemy_skill_triggers!$1:$1,0)+1,FALSE)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8" s="47"/>
      <c r="Q188" s="47"/>
      <c r="R188" s="47"/>
    </row>
    <row r="189" spans="1:18" ht="21" customHeight="1" x14ac:dyDescent="0.15">
      <c r="A189" s="39" t="str">
        <f t="shared" si="2"/>
        <v>49015015_49015142</v>
      </c>
      <c r="B189" s="106">
        <v>49015015</v>
      </c>
      <c r="C189" s="124">
        <v>49015142</v>
      </c>
      <c r="D189" s="46" t="str">
        <f ca="1">VLOOKUP($C189,OFFSET(enemy_skills!$A$1,0,0,COUNTA(enemy_skills!$A:$A),MATCH(D$1,enemy_skills!$1:$1,0)-MATCH("enemy_skill_id",enemy_skills!$1:$1,0)+1),MATCH(D$1,enemy_skills!$1:$1,0)-MATCH("enemy_skill_id",enemy_skills!$1:$1,0)+1,FALSE)</f>
        <v>クソが…ストックが切れちまった…</v>
      </c>
      <c r="E189" s="46" t="str">
        <f ca="1">VLOOKUP($C189,OFFSET(enemy_skills!$A$1,0,0,COUNTA(enemy_skills!$A:$A),MATCH(E$1,enemy_skills!$1:$1,0)-MATCH("enemy_skill_id",enemy_skills!$1:$1,0)+1),MATCH(E$1,enemy_skills!$1:$1,0)-MATCH("enemy_skill_id",enemy_skills!$1:$1,0)+1,FALSE)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89" s="124">
        <v>49015188</v>
      </c>
      <c r="G189" s="48">
        <f ca="1">VLOOKUP($F189,OFFSET(enemy_skill_triggers!$A$1,0,0,COUNTA(enemy_skill_triggers!$A:$A),MATCH(G$1,enemy_skill_triggers!$1:$1,0)-MATCH($F$1,enemy_skill_triggers!$1:$1,0)+1),MATCH(G$1,enemy_skill_triggers!$1:$1,0)-MATCH($F$1,enemy_skill_triggers!$1:$1,0)+1,FALSE)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9" s="48">
        <f ca="1">VLOOKUP($F189,OFFSET(enemy_skill_triggers!$A$1,0,0,COUNTA(enemy_skill_triggers!$A:$A),MATCH(H$1,enemy_skill_triggers!$1:$1,0)-MATCH($F$1,enemy_skill_triggers!$1:$1,0)+1),MATCH(H$1,enemy_skill_triggers!$1:$1,0)-MATCH($F$1,enemy_skill_triggers!$1:$1,0)+1,FALSE)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89" s="48">
        <f ca="1">VLOOKUP($F189,OFFSET(enemy_skill_triggers!$A$1,0,0,COUNTA(enemy_skill_triggers!$A:$A),MATCH(I$1,enemy_skill_triggers!$1:$1,0)-MATCH($F$1,enemy_skill_triggers!$1:$1,0)+1),MATCH(I$1,enemy_skill_triggers!$1:$1,0)-MATCH($F$1,enemy_skill_triggers!$1:$1,0)+1,FALSE)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9" s="48" t="str">
        <f ca="1">VLOOKUP($F189,OFFSET(enemy_skill_triggers!$A$1,0,0,COUNTA(enemy_skill_triggers!$A:$A),MATCH(J$1,enemy_skill_triggers!$1:$1,0)-MATCH($F$1,enemy_skill_triggers!$1:$1,0)+1),MATCH(J$1,enemy_skill_triggers!$1:$1,0)-MATCH($F$1,enemy_skill_triggers!$1:$1,0)+1,FALSE)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9" s="48" t="str">
        <f ca="1">VLOOKUP($F189,OFFSET(enemy_skill_triggers!$A$1,0,0,COUNTA(enemy_skill_triggers!$A:$A),MATCH(K$1,enemy_skill_triggers!$1:$1,0)-MATCH($F$1,enemy_skill_triggers!$1:$1,0)+1),MATCH(K$1,enemy_skill_triggers!$1:$1,0)-MATCH($F$1,enemy_skill_triggers!$1:$1,0)+1,FALSE)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9" s="48">
        <f ca="1">VLOOKUP($F189,OFFSET(enemy_skill_triggers!$A$1,0,0,COUNTA(enemy_skill_triggers!$A:$A),MATCH(L$1,enemy_skill_triggers!$1:$1,0)-MATCH($F$1,enemy_skill_triggers!$1:$1,0)+1),MATCH(L$1,enemy_skill_triggers!$1:$1,0)-MATCH($F$1,enemy_skill_triggers!$1:$1,0)+1,FALSE)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89" s="48" t="str">
        <f ca="1">VLOOKUP($F189,OFFSET(enemy_skill_triggers!$A$1,0,0,COUNTA(enemy_skill_triggers!$A:$A),MATCH(M$1,enemy_skill_triggers!$1:$1,0)-MATCH($F$1,enemy_skill_triggers!$1:$1,0)+1),MATCH(M$1,enemy_skill_triggers!$1:$1,0)-MATCH($F$1,enemy_skill_triggers!$1:$1,0)+1,FALSE)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9" s="48">
        <f ca="1">VLOOKUP($F189,OFFSET(enemy_skill_triggers!$A$1,0,0,COUNTA(enemy_skill_triggers!$A:$A),MATCH(N$1,enemy_skill_triggers!$1:$1,0)-MATCH($F$1,enemy_skill_triggers!$1:$1,0)+1),MATCH(N$1,enemy_skill_triggers!$1:$1,0)-MATCH($F$1,enemy_skill_triggers!$1:$1,0)+1,FALSE)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189" s="48">
        <f ca="1">VLOOKUP($F189,OFFSET(enemy_skill_triggers!$A$1,0,0,COUNTA(enemy_skill_triggers!$A:$A),MATCH(O$1,enemy_skill_triggers!$1:$1,0)-MATCH($F$1,enemy_skill_triggers!$1:$1,0)+1),MATCH(O$1,enemy_skill_triggers!$1:$1,0)-MATCH($F$1,enemy_skill_triggers!$1:$1,0)+1,FALSE)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9" s="47"/>
      <c r="Q189" s="47"/>
      <c r="R189" s="47"/>
    </row>
    <row r="190" spans="1:18" ht="21" customHeight="1" x14ac:dyDescent="0.15">
      <c r="A190" s="39" t="str">
        <f t="shared" si="2"/>
        <v>49015015_49015142</v>
      </c>
      <c r="B190" s="106">
        <v>49015015</v>
      </c>
      <c r="C190" s="124">
        <v>49015142</v>
      </c>
      <c r="D190" s="46" t="str">
        <f ca="1">VLOOKUP($C190,OFFSET(enemy_skills!$A$1,0,0,COUNTA(enemy_skills!$A:$A),MATCH(D$1,enemy_skills!$1:$1,0)-MATCH("enemy_skill_id",enemy_skills!$1:$1,0)+1),MATCH(D$1,enemy_skills!$1:$1,0)-MATCH("enemy_skill_id",enemy_skills!$1:$1,0)+1,FALSE)</f>
        <v>クソが…ストックが切れちまった…</v>
      </c>
      <c r="E190" s="46" t="str">
        <f ca="1">VLOOKUP($C190,OFFSET(enemy_skills!$A$1,0,0,COUNTA(enemy_skills!$A:$A),MATCH(E$1,enemy_skills!$1:$1,0)-MATCH("enemy_skill_id",enemy_skills!$1:$1,0)+1),MATCH(E$1,enemy_skills!$1:$1,0)-MATCH("enemy_skill_id",enemy_skills!$1:$1,0)+1,FALSE)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90" s="124">
        <v>49015189</v>
      </c>
      <c r="G190" s="48">
        <f ca="1">VLOOKUP($F190,OFFSET(enemy_skill_triggers!$A$1,0,0,COUNTA(enemy_skill_triggers!$A:$A),MATCH(G$1,enemy_skill_triggers!$1:$1,0)-MATCH($F$1,enemy_skill_triggers!$1:$1,0)+1),MATCH(G$1,enemy_skill_triggers!$1:$1,0)-MATCH($F$1,enemy_skill_triggers!$1:$1,0)+1,FALSE)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0" s="48">
        <f ca="1">VLOOKUP($F190,OFFSET(enemy_skill_triggers!$A$1,0,0,COUNTA(enemy_skill_triggers!$A:$A),MATCH(H$1,enemy_skill_triggers!$1:$1,0)-MATCH($F$1,enemy_skill_triggers!$1:$1,0)+1),MATCH(H$1,enemy_skill_triggers!$1:$1,0)-MATCH($F$1,enemy_skill_triggers!$1:$1,0)+1,FALSE)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190" s="48">
        <f ca="1">VLOOKUP($F190,OFFSET(enemy_skill_triggers!$A$1,0,0,COUNTA(enemy_skill_triggers!$A:$A),MATCH(I$1,enemy_skill_triggers!$1:$1,0)-MATCH($F$1,enemy_skill_triggers!$1:$1,0)+1),MATCH(I$1,enemy_skill_triggers!$1:$1,0)-MATCH($F$1,enemy_skill_triggers!$1:$1,0)+1,FALSE)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0" s="48" t="str">
        <f ca="1">VLOOKUP($F190,OFFSET(enemy_skill_triggers!$A$1,0,0,COUNTA(enemy_skill_triggers!$A:$A),MATCH(J$1,enemy_skill_triggers!$1:$1,0)-MATCH($F$1,enemy_skill_triggers!$1:$1,0)+1),MATCH(J$1,enemy_skill_triggers!$1:$1,0)-MATCH($F$1,enemy_skill_triggers!$1:$1,0)+1,FALSE)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0" s="48" t="str">
        <f ca="1">VLOOKUP($F190,OFFSET(enemy_skill_triggers!$A$1,0,0,COUNTA(enemy_skill_triggers!$A:$A),MATCH(K$1,enemy_skill_triggers!$1:$1,0)-MATCH($F$1,enemy_skill_triggers!$1:$1,0)+1),MATCH(K$1,enemy_skill_triggers!$1:$1,0)-MATCH($F$1,enemy_skill_triggers!$1:$1,0)+1,FALSE)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0" s="48">
        <f ca="1">VLOOKUP($F190,OFFSET(enemy_skill_triggers!$A$1,0,0,COUNTA(enemy_skill_triggers!$A:$A),MATCH(L$1,enemy_skill_triggers!$1:$1,0)-MATCH($F$1,enemy_skill_triggers!$1:$1,0)+1),MATCH(L$1,enemy_skill_triggers!$1:$1,0)-MATCH($F$1,enemy_skill_triggers!$1:$1,0)+1,FALSE)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0" s="48" t="str">
        <f ca="1">VLOOKUP($F190,OFFSET(enemy_skill_triggers!$A$1,0,0,COUNTA(enemy_skill_triggers!$A:$A),MATCH(M$1,enemy_skill_triggers!$1:$1,0)-MATCH($F$1,enemy_skill_triggers!$1:$1,0)+1),MATCH(M$1,enemy_skill_triggers!$1:$1,0)-MATCH($F$1,enemy_skill_triggers!$1:$1,0)+1,FALSE)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0" s="48">
        <f ca="1">VLOOKUP($F190,OFFSET(enemy_skill_triggers!$A$1,0,0,COUNTA(enemy_skill_triggers!$A:$A),MATCH(N$1,enemy_skill_triggers!$1:$1,0)-MATCH($F$1,enemy_skill_triggers!$1:$1,0)+1),MATCH(N$1,enemy_skill_triggers!$1:$1,0)-MATCH($F$1,enemy_skill_triggers!$1:$1,0)+1,FALSE)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190" s="48">
        <f ca="1">VLOOKUP($F190,OFFSET(enemy_skill_triggers!$A$1,0,0,COUNTA(enemy_skill_triggers!$A:$A),MATCH(O$1,enemy_skill_triggers!$1:$1,0)-MATCH($F$1,enemy_skill_triggers!$1:$1,0)+1),MATCH(O$1,enemy_skill_triggers!$1:$1,0)-MATCH($F$1,enemy_skill_triggers!$1:$1,0)+1,FALSE)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0" s="47"/>
      <c r="Q190" s="47"/>
      <c r="R190" s="47"/>
    </row>
    <row r="191" spans="1:18" ht="21" customHeight="1" x14ac:dyDescent="0.15">
      <c r="A191" s="39" t="str">
        <f t="shared" ref="A191:A254" si="3">B191&amp;"_"&amp;C191</f>
        <v>49015015_49015143</v>
      </c>
      <c r="B191" s="106">
        <v>49015015</v>
      </c>
      <c r="C191" s="124">
        <v>49015143</v>
      </c>
      <c r="D191" s="46" t="str">
        <f ca="1">VLOOKUP($C191,OFFSET(enemy_skills!$A$1,0,0,COUNTA(enemy_skills!$A:$A),MATCH(D$1,enemy_skills!$1:$1,0)-MATCH("enemy_skill_id",enemy_skills!$1:$1,0)+1),MATCH(D$1,enemy_skills!$1:$1,0)-MATCH("enemy_skill_id",enemy_skills!$1:$1,0)+1,FALSE)</f>
        <v>これだから…人間は…</v>
      </c>
      <c r="E191" s="46" t="str">
        <f ca="1">VLOOKUP($C191,OFFSET(enemy_skills!$A$1,0,0,COUNTA(enemy_skills!$A:$A),MATCH(E$1,enemy_skills!$1:$1,0)-MATCH("enemy_skill_id",enemy_skills!$1:$1,0)+1),MATCH(E$1,enemy_skills!$1:$1,0)-MATCH("enemy_skill_id",enemy_skills!$1:$1,0)+1,FALSE)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191" s="124">
        <v>49015190</v>
      </c>
      <c r="G191" s="48">
        <f ca="1">VLOOKUP($F191,OFFSET(enemy_skill_triggers!$A$1,0,0,COUNTA(enemy_skill_triggers!$A:$A),MATCH(G$1,enemy_skill_triggers!$1:$1,0)-MATCH($F$1,enemy_skill_triggers!$1:$1,0)+1),MATCH(G$1,enemy_skill_triggers!$1:$1,0)-MATCH($F$1,enemy_skill_triggers!$1:$1,0)+1,FALSE)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1" s="48">
        <f ca="1">VLOOKUP($F191,OFFSET(enemy_skill_triggers!$A$1,0,0,COUNTA(enemy_skill_triggers!$A:$A),MATCH(H$1,enemy_skill_triggers!$1:$1,0)-MATCH($F$1,enemy_skill_triggers!$1:$1,0)+1),MATCH(H$1,enemy_skill_triggers!$1:$1,0)-MATCH($F$1,enemy_skill_triggers!$1:$1,0)+1,FALSE)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91" s="48">
        <f ca="1">VLOOKUP($F191,OFFSET(enemy_skill_triggers!$A$1,0,0,COUNTA(enemy_skill_triggers!$A:$A),MATCH(I$1,enemy_skill_triggers!$1:$1,0)-MATCH($F$1,enemy_skill_triggers!$1:$1,0)+1),MATCH(I$1,enemy_skill_triggers!$1:$1,0)-MATCH($F$1,enemy_skill_triggers!$1:$1,0)+1,FALSE)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1" s="48" t="str">
        <f ca="1">VLOOKUP($F191,OFFSET(enemy_skill_triggers!$A$1,0,0,COUNTA(enemy_skill_triggers!$A:$A),MATCH(J$1,enemy_skill_triggers!$1:$1,0)-MATCH($F$1,enemy_skill_triggers!$1:$1,0)+1),MATCH(J$1,enemy_skill_triggers!$1:$1,0)-MATCH($F$1,enemy_skill_triggers!$1:$1,0)+1,FALSE)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1" s="48" t="str">
        <f ca="1">VLOOKUP($F191,OFFSET(enemy_skill_triggers!$A$1,0,0,COUNTA(enemy_skill_triggers!$A:$A),MATCH(K$1,enemy_skill_triggers!$1:$1,0)-MATCH($F$1,enemy_skill_triggers!$1:$1,0)+1),MATCH(K$1,enemy_skill_triggers!$1:$1,0)-MATCH($F$1,enemy_skill_triggers!$1:$1,0)+1,FALSE)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1" s="48">
        <f ca="1">VLOOKUP($F191,OFFSET(enemy_skill_triggers!$A$1,0,0,COUNTA(enemy_skill_triggers!$A:$A),MATCH(L$1,enemy_skill_triggers!$1:$1,0)-MATCH($F$1,enemy_skill_triggers!$1:$1,0)+1),MATCH(L$1,enemy_skill_triggers!$1:$1,0)-MATCH($F$1,enemy_skill_triggers!$1:$1,0)+1,FALSE)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1" s="48" t="str">
        <f ca="1">VLOOKUP($F191,OFFSET(enemy_skill_triggers!$A$1,0,0,COUNTA(enemy_skill_triggers!$A:$A),MATCH(M$1,enemy_skill_triggers!$1:$1,0)-MATCH($F$1,enemy_skill_triggers!$1:$1,0)+1),MATCH(M$1,enemy_skill_triggers!$1:$1,0)-MATCH($F$1,enemy_skill_triggers!$1:$1,0)+1,FALSE)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1" s="48">
        <f ca="1">VLOOKUP($F191,OFFSET(enemy_skill_triggers!$A$1,0,0,COUNTA(enemy_skill_triggers!$A:$A),MATCH(N$1,enemy_skill_triggers!$1:$1,0)-MATCH($F$1,enemy_skill_triggers!$1:$1,0)+1),MATCH(N$1,enemy_skill_triggers!$1:$1,0)-MATCH($F$1,enemy_skill_triggers!$1:$1,0)+1,FALSE)</f>
        <v>1469</v>
      </c>
      <c r="O191" s="48">
        <f ca="1">VLOOKUP($F191,OFFSET(enemy_skill_triggers!$A$1,0,0,COUNTA(enemy_skill_triggers!$A:$A),MATCH(O$1,enemy_skill_triggers!$1:$1,0)-MATCH($F$1,enemy_skill_triggers!$1:$1,0)+1),MATCH(O$1,enemy_skill_triggers!$1:$1,0)-MATCH($F$1,enemy_skill_triggers!$1:$1,0)+1,FALSE)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1" s="47"/>
      <c r="Q191" s="47"/>
      <c r="R191" s="47"/>
    </row>
    <row r="192" spans="1:18" ht="21" customHeight="1" x14ac:dyDescent="0.15">
      <c r="A192" s="39" t="str">
        <f t="shared" si="3"/>
        <v>49015015_49015144</v>
      </c>
      <c r="B192" s="106">
        <v>49015015</v>
      </c>
      <c r="C192" s="124">
        <v>49015144</v>
      </c>
      <c r="D192" s="46" t="str">
        <f ca="1">VLOOKUP($C192,OFFSET(enemy_skills!$A$1,0,0,COUNTA(enemy_skills!$A:$A),MATCH(D$1,enemy_skills!$1:$1,0)-MATCH("enemy_skill_id",enemy_skills!$1:$1,0)+1),MATCH(D$1,enemy_skills!$1:$1,0)-MATCH("enemy_skill_id",enemy_skills!$1:$1,0)+1,FALSE)</f>
        <v>この…傲慢め…</v>
      </c>
      <c r="E192" s="46" t="str">
        <f ca="1">VLOOKUP($C192,OFFSET(enemy_skills!$A$1,0,0,COUNTA(enemy_skills!$A:$A),MATCH(E$1,enemy_skills!$1:$1,0)-MATCH("enemy_skill_id",enemy_skills!$1:$1,0)+1),MATCH(E$1,enemy_skills!$1:$1,0)-MATCH("enemy_skill_id",enemy_skills!$1:$1,0)+1,FALSE)</f>
        <v>俺を食らいやがって…</v>
      </c>
      <c r="F192" s="124">
        <v>49015191</v>
      </c>
      <c r="G192" s="48">
        <f ca="1">VLOOKUP($F192,OFFSET(enemy_skill_triggers!$A$1,0,0,COUNTA(enemy_skill_triggers!$A:$A),MATCH(G$1,enemy_skill_triggers!$1:$1,0)-MATCH($F$1,enemy_skill_triggers!$1:$1,0)+1),MATCH(G$1,enemy_skill_triggers!$1:$1,0)-MATCH($F$1,enemy_skill_triggers!$1:$1,0)+1,FALSE)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2" s="48">
        <f ca="1">VLOOKUP($F192,OFFSET(enemy_skill_triggers!$A$1,0,0,COUNTA(enemy_skill_triggers!$A:$A),MATCH(H$1,enemy_skill_triggers!$1:$1,0)-MATCH($F$1,enemy_skill_triggers!$1:$1,0)+1),MATCH(H$1,enemy_skill_triggers!$1:$1,0)-MATCH($F$1,enemy_skill_triggers!$1:$1,0)+1,FALSE)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92" s="48">
        <f ca="1">VLOOKUP($F192,OFFSET(enemy_skill_triggers!$A$1,0,0,COUNTA(enemy_skill_triggers!$A:$A),MATCH(I$1,enemy_skill_triggers!$1:$1,0)-MATCH($F$1,enemy_skill_triggers!$1:$1,0)+1),MATCH(I$1,enemy_skill_triggers!$1:$1,0)-MATCH($F$1,enemy_skill_triggers!$1:$1,0)+1,FALSE)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2" s="48" t="str">
        <f ca="1">VLOOKUP($F192,OFFSET(enemy_skill_triggers!$A$1,0,0,COUNTA(enemy_skill_triggers!$A:$A),MATCH(J$1,enemy_skill_triggers!$1:$1,0)-MATCH($F$1,enemy_skill_triggers!$1:$1,0)+1),MATCH(J$1,enemy_skill_triggers!$1:$1,0)-MATCH($F$1,enemy_skill_triggers!$1:$1,0)+1,FALSE)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2" s="48" t="str">
        <f ca="1">VLOOKUP($F192,OFFSET(enemy_skill_triggers!$A$1,0,0,COUNTA(enemy_skill_triggers!$A:$A),MATCH(K$1,enemy_skill_triggers!$1:$1,0)-MATCH($F$1,enemy_skill_triggers!$1:$1,0)+1),MATCH(K$1,enemy_skill_triggers!$1:$1,0)-MATCH($F$1,enemy_skill_triggers!$1:$1,0)+1,FALSE)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2" s="48">
        <f ca="1">VLOOKUP($F192,OFFSET(enemy_skill_triggers!$A$1,0,0,COUNTA(enemy_skill_triggers!$A:$A),MATCH(L$1,enemy_skill_triggers!$1:$1,0)-MATCH($F$1,enemy_skill_triggers!$1:$1,0)+1),MATCH(L$1,enemy_skill_triggers!$1:$1,0)-MATCH($F$1,enemy_skill_triggers!$1:$1,0)+1,FALSE)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2" s="48" t="str">
        <f ca="1">VLOOKUP($F192,OFFSET(enemy_skill_triggers!$A$1,0,0,COUNTA(enemy_skill_triggers!$A:$A),MATCH(M$1,enemy_skill_triggers!$1:$1,0)-MATCH($F$1,enemy_skill_triggers!$1:$1,0)+1),MATCH(M$1,enemy_skill_triggers!$1:$1,0)-MATCH($F$1,enemy_skill_triggers!$1:$1,0)+1,FALSE)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2" s="48">
        <f ca="1">VLOOKUP($F192,OFFSET(enemy_skill_triggers!$A$1,0,0,COUNTA(enemy_skill_triggers!$A:$A),MATCH(N$1,enemy_skill_triggers!$1:$1,0)-MATCH($F$1,enemy_skill_triggers!$1:$1,0)+1),MATCH(N$1,enemy_skill_triggers!$1:$1,0)-MATCH($F$1,enemy_skill_triggers!$1:$1,0)+1,FALSE)</f>
        <v>1470</v>
      </c>
      <c r="O192" s="48">
        <f ca="1">VLOOKUP($F192,OFFSET(enemy_skill_triggers!$A$1,0,0,COUNTA(enemy_skill_triggers!$A:$A),MATCH(O$1,enemy_skill_triggers!$1:$1,0)-MATCH($F$1,enemy_skill_triggers!$1:$1,0)+1),MATCH(O$1,enemy_skill_triggers!$1:$1,0)-MATCH($F$1,enemy_skill_triggers!$1:$1,0)+1,FALSE)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2" s="47"/>
      <c r="Q192" s="47"/>
      <c r="R192" s="47"/>
    </row>
    <row r="193" spans="1:18" ht="21" customHeight="1" x14ac:dyDescent="0.15">
      <c r="A193" s="39" t="str">
        <f t="shared" si="3"/>
        <v>49015015_49015145</v>
      </c>
      <c r="B193" s="106">
        <v>49015015</v>
      </c>
      <c r="C193" s="187">
        <v>49015145</v>
      </c>
      <c r="D193" s="46" t="str">
        <f ca="1">VLOOKUP($C193,OFFSET(enemy_skills!$A$1,0,0,COUNTA(enemy_skills!$A:$A),MATCH(D$1,enemy_skills!$1:$1,0)-MATCH("enemy_skill_id",enemy_skills!$1:$1,0)+1),MATCH(D$1,enemy_skills!$1:$1,0)-MATCH("enemy_skill_id",enemy_skills!$1:$1,0)+1,FALSE)</f>
        <v>くそったれめ…</v>
      </c>
      <c r="E193" s="46" t="str">
        <f ca="1">VLOOKUP($C193,OFFSET(enemy_skills!$A$1,0,0,COUNTA(enemy_skills!$A:$A),MATCH(E$1,enemy_skills!$1:$1,0)-MATCH("enemy_skill_id",enemy_skills!$1:$1,0)+1),MATCH(E$1,enemy_skills!$1:$1,0)-MATCH("enemy_skill_id",enemy_skills!$1:$1,0)+1,FALSE)</f>
        <v>ばかすか殺しやがって…</v>
      </c>
      <c r="F193" s="124">
        <v>49015192</v>
      </c>
      <c r="G193" s="48">
        <f ca="1">VLOOKUP($F193,OFFSET(enemy_skill_triggers!$A$1,0,0,COUNTA(enemy_skill_triggers!$A:$A),MATCH(G$1,enemy_skill_triggers!$1:$1,0)-MATCH($F$1,enemy_skill_triggers!$1:$1,0)+1),MATCH(G$1,enemy_skill_triggers!$1:$1,0)-MATCH($F$1,enemy_skill_triggers!$1:$1,0)+1,FALSE)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3" s="48">
        <f ca="1">VLOOKUP($F193,OFFSET(enemy_skill_triggers!$A$1,0,0,COUNTA(enemy_skill_triggers!$A:$A),MATCH(H$1,enemy_skill_triggers!$1:$1,0)-MATCH($F$1,enemy_skill_triggers!$1:$1,0)+1),MATCH(H$1,enemy_skill_triggers!$1:$1,0)-MATCH($F$1,enemy_skill_triggers!$1:$1,0)+1,FALSE)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93" s="48">
        <f ca="1">VLOOKUP($F193,OFFSET(enemy_skill_triggers!$A$1,0,0,COUNTA(enemy_skill_triggers!$A:$A),MATCH(I$1,enemy_skill_triggers!$1:$1,0)-MATCH($F$1,enemy_skill_triggers!$1:$1,0)+1),MATCH(I$1,enemy_skill_triggers!$1:$1,0)-MATCH($F$1,enemy_skill_triggers!$1:$1,0)+1,FALSE)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3" s="48" t="str">
        <f ca="1">VLOOKUP($F193,OFFSET(enemy_skill_triggers!$A$1,0,0,COUNTA(enemy_skill_triggers!$A:$A),MATCH(J$1,enemy_skill_triggers!$1:$1,0)-MATCH($F$1,enemy_skill_triggers!$1:$1,0)+1),MATCH(J$1,enemy_skill_triggers!$1:$1,0)-MATCH($F$1,enemy_skill_triggers!$1:$1,0)+1,FALSE)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3" s="48" t="str">
        <f ca="1">VLOOKUP($F193,OFFSET(enemy_skill_triggers!$A$1,0,0,COUNTA(enemy_skill_triggers!$A:$A),MATCH(K$1,enemy_skill_triggers!$1:$1,0)-MATCH($F$1,enemy_skill_triggers!$1:$1,0)+1),MATCH(K$1,enemy_skill_triggers!$1:$1,0)-MATCH($F$1,enemy_skill_triggers!$1:$1,0)+1,FALSE)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3" s="48">
        <f ca="1">VLOOKUP($F193,OFFSET(enemy_skill_triggers!$A$1,0,0,COUNTA(enemy_skill_triggers!$A:$A),MATCH(L$1,enemy_skill_triggers!$1:$1,0)-MATCH($F$1,enemy_skill_triggers!$1:$1,0)+1),MATCH(L$1,enemy_skill_triggers!$1:$1,0)-MATCH($F$1,enemy_skill_triggers!$1:$1,0)+1,FALSE)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3" s="48" t="str">
        <f ca="1">VLOOKUP($F193,OFFSET(enemy_skill_triggers!$A$1,0,0,COUNTA(enemy_skill_triggers!$A:$A),MATCH(M$1,enemy_skill_triggers!$1:$1,0)-MATCH($F$1,enemy_skill_triggers!$1:$1,0)+1),MATCH(M$1,enemy_skill_triggers!$1:$1,0)-MATCH($F$1,enemy_skill_triggers!$1:$1,0)+1,FALSE)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3" s="48">
        <f ca="1">VLOOKUP($F193,OFFSET(enemy_skill_triggers!$A$1,0,0,COUNTA(enemy_skill_triggers!$A:$A),MATCH(N$1,enemy_skill_triggers!$1:$1,0)-MATCH($F$1,enemy_skill_triggers!$1:$1,0)+1),MATCH(N$1,enemy_skill_triggers!$1:$1,0)-MATCH($F$1,enemy_skill_triggers!$1:$1,0)+1,FALSE)</f>
        <v>1466</v>
      </c>
      <c r="O193" s="48">
        <f ca="1">VLOOKUP($F193,OFFSET(enemy_skill_triggers!$A$1,0,0,COUNTA(enemy_skill_triggers!$A:$A),MATCH(O$1,enemy_skill_triggers!$1:$1,0)-MATCH($F$1,enemy_skill_triggers!$1:$1,0)+1),MATCH(O$1,enemy_skill_triggers!$1:$1,0)-MATCH($F$1,enemy_skill_triggers!$1:$1,0)+1,FALSE)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3" s="129"/>
      <c r="Q193" s="129"/>
      <c r="R193" s="129"/>
    </row>
    <row r="194" spans="1:18" ht="21" customHeight="1" thickBot="1" x14ac:dyDescent="0.2">
      <c r="A194" s="39" t="str">
        <f t="shared" si="3"/>
        <v>49015015_49015145</v>
      </c>
      <c r="B194" s="111">
        <v>49015015</v>
      </c>
      <c r="C194" s="186">
        <v>49015145</v>
      </c>
      <c r="D194" s="145" t="str">
        <f ca="1">VLOOKUP($C194,OFFSET(enemy_skills!$A$1,0,0,COUNTA(enemy_skills!$A:$A),MATCH(D$1,enemy_skills!$1:$1,0)-MATCH("enemy_skill_id",enemy_skills!$1:$1,0)+1),MATCH(D$1,enemy_skills!$1:$1,0)-MATCH("enemy_skill_id",enemy_skills!$1:$1,0)+1,FALSE)</f>
        <v>くそったれめ…</v>
      </c>
      <c r="E194" s="145" t="str">
        <f ca="1">VLOOKUP($C194,OFFSET(enemy_skills!$A$1,0,0,COUNTA(enemy_skills!$A:$A),MATCH(E$1,enemy_skills!$1:$1,0)-MATCH("enemy_skill_id",enemy_skills!$1:$1,0)+1),MATCH(E$1,enemy_skills!$1:$1,0)-MATCH("enemy_skill_id",enemy_skills!$1:$1,0)+1,FALSE)</f>
        <v>ばかすか殺しやがって…</v>
      </c>
      <c r="F194" s="125">
        <v>49015193</v>
      </c>
      <c r="G194" s="114">
        <f ca="1">VLOOKUP($F194,OFFSET(enemy_skill_triggers!$A$1,0,0,COUNTA(enemy_skill_triggers!$A:$A),MATCH(G$1,enemy_skill_triggers!$1:$1,0)-MATCH($F$1,enemy_skill_triggers!$1:$1,0)+1),MATCH(G$1,enemy_skill_triggers!$1:$1,0)-MATCH($F$1,enemy_skill_triggers!$1:$1,0)+1,FALSE)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4" s="114">
        <f ca="1">VLOOKUP($F194,OFFSET(enemy_skill_triggers!$A$1,0,0,COUNTA(enemy_skill_triggers!$A:$A),MATCH(H$1,enemy_skill_triggers!$1:$1,0)-MATCH($F$1,enemy_skill_triggers!$1:$1,0)+1),MATCH(H$1,enemy_skill_triggers!$1:$1,0)-MATCH($F$1,enemy_skill_triggers!$1:$1,0)+1,FALSE)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194" s="114">
        <f ca="1">VLOOKUP($F194,OFFSET(enemy_skill_triggers!$A$1,0,0,COUNTA(enemy_skill_triggers!$A:$A),MATCH(I$1,enemy_skill_triggers!$1:$1,0)-MATCH($F$1,enemy_skill_triggers!$1:$1,0)+1),MATCH(I$1,enemy_skill_triggers!$1:$1,0)-MATCH($F$1,enemy_skill_triggers!$1:$1,0)+1,FALSE)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4" s="114" t="str">
        <f ca="1">VLOOKUP($F194,OFFSET(enemy_skill_triggers!$A$1,0,0,COUNTA(enemy_skill_triggers!$A:$A),MATCH(J$1,enemy_skill_triggers!$1:$1,0)-MATCH($F$1,enemy_skill_triggers!$1:$1,0)+1),MATCH(J$1,enemy_skill_triggers!$1:$1,0)-MATCH($F$1,enemy_skill_triggers!$1:$1,0)+1,FALSE)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4" s="114" t="str">
        <f ca="1">VLOOKUP($F194,OFFSET(enemy_skill_triggers!$A$1,0,0,COUNTA(enemy_skill_triggers!$A:$A),MATCH(K$1,enemy_skill_triggers!$1:$1,0)-MATCH($F$1,enemy_skill_triggers!$1:$1,0)+1),MATCH(K$1,enemy_skill_triggers!$1:$1,0)-MATCH($F$1,enemy_skill_triggers!$1:$1,0)+1,FALSE)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4" s="114">
        <f ca="1">VLOOKUP($F194,OFFSET(enemy_skill_triggers!$A$1,0,0,COUNTA(enemy_skill_triggers!$A:$A),MATCH(L$1,enemy_skill_triggers!$1:$1,0)-MATCH($F$1,enemy_skill_triggers!$1:$1,0)+1),MATCH(L$1,enemy_skill_triggers!$1:$1,0)-MATCH($F$1,enemy_skill_triggers!$1:$1,0)+1,FALSE)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4" s="114" t="str">
        <f ca="1">VLOOKUP($F194,OFFSET(enemy_skill_triggers!$A$1,0,0,COUNTA(enemy_skill_triggers!$A:$A),MATCH(M$1,enemy_skill_triggers!$1:$1,0)-MATCH($F$1,enemy_skill_triggers!$1:$1,0)+1),MATCH(M$1,enemy_skill_triggers!$1:$1,0)-MATCH($F$1,enemy_skill_triggers!$1:$1,0)+1,FALSE)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4" s="114">
        <f ca="1">VLOOKUP($F194,OFFSET(enemy_skill_triggers!$A$1,0,0,COUNTA(enemy_skill_triggers!$A:$A),MATCH(N$1,enemy_skill_triggers!$1:$1,0)-MATCH($F$1,enemy_skill_triggers!$1:$1,0)+1),MATCH(N$1,enemy_skill_triggers!$1:$1,0)-MATCH($F$1,enemy_skill_triggers!$1:$1,0)+1,FALSE)</f>
        <v>1467</v>
      </c>
      <c r="O194" s="114">
        <f ca="1">VLOOKUP($F194,OFFSET(enemy_skill_triggers!$A$1,0,0,COUNTA(enemy_skill_triggers!$A:$A),MATCH(O$1,enemy_skill_triggers!$1:$1,0)-MATCH($F$1,enemy_skill_triggers!$1:$1,0)+1),MATCH(O$1,enemy_skill_triggers!$1:$1,0)-MATCH($F$1,enemy_skill_triggers!$1:$1,0)+1,FALSE)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4" s="111"/>
      <c r="Q194" s="111"/>
      <c r="R194" s="111"/>
    </row>
    <row r="195" spans="1:18" ht="21" customHeight="1" x14ac:dyDescent="0.15">
      <c r="A195" s="39" t="str">
        <f t="shared" si="3"/>
        <v>49015016_49015146</v>
      </c>
      <c r="B195" s="106">
        <v>49015016</v>
      </c>
      <c r="C195" s="126">
        <v>49015146</v>
      </c>
      <c r="D195" s="144" t="str">
        <f ca="1">VLOOKUP($C195,OFFSET(enemy_skills!$A$1,0,0,COUNTA(enemy_skills!$A:$A),MATCH(D$1,enemy_skills!$1:$1,0)-MATCH("enemy_skill_id",enemy_skills!$1:$1,0)+1),MATCH(D$1,enemy_skills!$1:$1,0)-MATCH("enemy_skill_id",enemy_skills!$1:$1,0)+1,FALSE)</f>
        <v>エンヴィーは何をやってるのやら…</v>
      </c>
      <c r="E195" s="144" t="str">
        <f ca="1">VLOOKUP($C195,OFFSET(enemy_skills!$A$1,0,0,COUNTA(enemy_skills!$A:$A),MATCH(E$1,enemy_skills!$1:$1,0)-MATCH("enemy_skill_id",enemy_skills!$1:$1,0)+1),MATCH(E$1,enemy_skills!$1:$1,0)-MATCH("enemy_skill_id",enemy_skills!$1:$1,0)+1,FALSE)</f>
        <v>4ターン暗闇</v>
      </c>
      <c r="F195" s="126">
        <v>49015194</v>
      </c>
      <c r="G195" s="109">
        <f ca="1">VLOOKUP($F195,OFFSET(enemy_skill_triggers!$A$1,0,0,COUNTA(enemy_skill_triggers!$A:$A),MATCH(G$1,enemy_skill_triggers!$1:$1,0)-MATCH($F$1,enemy_skill_triggers!$1:$1,0)+1),MATCH(G$1,enemy_skill_triggers!$1:$1,0)-MATCH($F$1,enemy_skill_triggers!$1:$1,0)+1,FALSE)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5" s="109">
        <f ca="1">VLOOKUP($F195,OFFSET(enemy_skill_triggers!$A$1,0,0,COUNTA(enemy_skill_triggers!$A:$A),MATCH(H$1,enemy_skill_triggers!$1:$1,0)-MATCH($F$1,enemy_skill_triggers!$1:$1,0)+1),MATCH(H$1,enemy_skill_triggers!$1:$1,0)-MATCH($F$1,enemy_skill_triggers!$1:$1,0)+1,FALSE)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195" s="109">
        <f ca="1">VLOOKUP($F195,OFFSET(enemy_skill_triggers!$A$1,0,0,COUNTA(enemy_skill_triggers!$A:$A),MATCH(I$1,enemy_skill_triggers!$1:$1,0)-MATCH($F$1,enemy_skill_triggers!$1:$1,0)+1),MATCH(I$1,enemy_skill_triggers!$1:$1,0)-MATCH($F$1,enemy_skill_triggers!$1:$1,0)+1,FALSE)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5" s="109" t="str">
        <f ca="1">VLOOKUP($F195,OFFSET(enemy_skill_triggers!$A$1,0,0,COUNTA(enemy_skill_triggers!$A:$A),MATCH(J$1,enemy_skill_triggers!$1:$1,0)-MATCH($F$1,enemy_skill_triggers!$1:$1,0)+1),MATCH(J$1,enemy_skill_triggers!$1:$1,0)-MATCH($F$1,enemy_skill_triggers!$1:$1,0)+1,FALSE)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5" s="109" t="str">
        <f ca="1">VLOOKUP($F195,OFFSET(enemy_skill_triggers!$A$1,0,0,COUNTA(enemy_skill_triggers!$A:$A),MATCH(K$1,enemy_skill_triggers!$1:$1,0)-MATCH($F$1,enemy_skill_triggers!$1:$1,0)+1),MATCH(K$1,enemy_skill_triggers!$1:$1,0)-MATCH($F$1,enemy_skill_triggers!$1:$1,0)+1,FALSE)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5" s="109">
        <f ca="1">VLOOKUP($F195,OFFSET(enemy_skill_triggers!$A$1,0,0,COUNTA(enemy_skill_triggers!$A:$A),MATCH(L$1,enemy_skill_triggers!$1:$1,0)-MATCH($F$1,enemy_skill_triggers!$1:$1,0)+1),MATCH(L$1,enemy_skill_triggers!$1:$1,0)-MATCH($F$1,enemy_skill_triggers!$1:$1,0)+1,FALSE)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5" s="109" t="str">
        <f ca="1">VLOOKUP($F195,OFFSET(enemy_skill_triggers!$A$1,0,0,COUNTA(enemy_skill_triggers!$A:$A),MATCH(M$1,enemy_skill_triggers!$1:$1,0)-MATCH($F$1,enemy_skill_triggers!$1:$1,0)+1),MATCH(M$1,enemy_skill_triggers!$1:$1,0)-MATCH($F$1,enemy_skill_triggers!$1:$1,0)+1,FALSE)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5" s="109" t="str">
        <f ca="1">VLOOKUP($F195,OFFSET(enemy_skill_triggers!$A$1,0,0,COUNTA(enemy_skill_triggers!$A:$A),MATCH(N$1,enemy_skill_triggers!$1:$1,0)-MATCH($F$1,enemy_skill_triggers!$1:$1,0)+1),MATCH(N$1,enemy_skill_triggers!$1:$1,0)-MATCH($F$1,enemy_skill_triggers!$1:$1,0)+1,FALSE)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5" s="109">
        <f ca="1">VLOOKUP($F195,OFFSET(enemy_skill_triggers!$A$1,0,0,COUNTA(enemy_skill_triggers!$A:$A),MATCH(O$1,enemy_skill_triggers!$1:$1,0)-MATCH($F$1,enemy_skill_triggers!$1:$1,0)+1),MATCH(O$1,enemy_skill_triggers!$1:$1,0)-MATCH($F$1,enemy_skill_triggers!$1:$1,0)+1,FALSE)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5" s="106"/>
      <c r="Q195" s="106"/>
      <c r="R195" s="106"/>
    </row>
    <row r="196" spans="1:18" ht="21" customHeight="1" x14ac:dyDescent="0.15">
      <c r="A196" s="39" t="str">
        <f t="shared" si="3"/>
        <v>49015016_49015147</v>
      </c>
      <c r="B196" s="106">
        <v>49015016</v>
      </c>
      <c r="C196" s="126">
        <v>49015147</v>
      </c>
      <c r="D196" s="46" t="str">
        <f ca="1">VLOOKUP($C196,OFFSET(enemy_skills!$A$1,0,0,COUNTA(enemy_skills!$A:$A),MATCH(D$1,enemy_skills!$1:$1,0)-MATCH("enemy_skill_id",enemy_skills!$1:$1,0)+1),MATCH(D$1,enemy_skills!$1:$1,0)-MATCH("enemy_skill_id",enemy_skills!$1:$1,0)+1,FALSE)</f>
        <v>やあ小さい錬金術師さん！</v>
      </c>
      <c r="E196" s="46" t="str">
        <f ca="1">VLOOKUP($C196,OFFSET(enemy_skills!$A$1,0,0,COUNTA(enemy_skills!$A:$A),MATCH(E$1,enemy_skills!$1:$1,0)-MATCH("enemy_skill_id",enemy_skills!$1:$1,0)+1),MATCH(E$1,enemy_skills!$1:$1,0)-MATCH("enemy_skill_id",enemy_skills!$1:$1,0)+1,FALSE)</f>
        <v>『お前もチビというか！！』_x000D_【4ターン暗闇】</v>
      </c>
      <c r="F196" s="126">
        <v>49015195</v>
      </c>
      <c r="G196" s="48">
        <f ca="1">VLOOKUP($F196,OFFSET(enemy_skill_triggers!$A$1,0,0,COUNTA(enemy_skill_triggers!$A:$A),MATCH(G$1,enemy_skill_triggers!$1:$1,0)-MATCH($F$1,enemy_skill_triggers!$1:$1,0)+1),MATCH(G$1,enemy_skill_triggers!$1:$1,0)-MATCH($F$1,enemy_skill_triggers!$1:$1,0)+1,FALSE)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6" s="48">
        <f ca="1">VLOOKUP($F196,OFFSET(enemy_skill_triggers!$A$1,0,0,COUNTA(enemy_skill_triggers!$A:$A),MATCH(H$1,enemy_skill_triggers!$1:$1,0)-MATCH($F$1,enemy_skill_triggers!$1:$1,0)+1),MATCH(H$1,enemy_skill_triggers!$1:$1,0)-MATCH($F$1,enemy_skill_triggers!$1:$1,0)+1,FALSE)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96" s="48">
        <f ca="1">VLOOKUP($F196,OFFSET(enemy_skill_triggers!$A$1,0,0,COUNTA(enemy_skill_triggers!$A:$A),MATCH(I$1,enemy_skill_triggers!$1:$1,0)-MATCH($F$1,enemy_skill_triggers!$1:$1,0)+1),MATCH(I$1,enemy_skill_triggers!$1:$1,0)-MATCH($F$1,enemy_skill_triggers!$1:$1,0)+1,FALSE)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6" s="48" t="str">
        <f ca="1">VLOOKUP($F196,OFFSET(enemy_skill_triggers!$A$1,0,0,COUNTA(enemy_skill_triggers!$A:$A),MATCH(J$1,enemy_skill_triggers!$1:$1,0)-MATCH($F$1,enemy_skill_triggers!$1:$1,0)+1),MATCH(J$1,enemy_skill_triggers!$1:$1,0)-MATCH($F$1,enemy_skill_triggers!$1:$1,0)+1,FALSE)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6" s="48" t="str">
        <f ca="1">VLOOKUP($F196,OFFSET(enemy_skill_triggers!$A$1,0,0,COUNTA(enemy_skill_triggers!$A:$A),MATCH(K$1,enemy_skill_triggers!$1:$1,0)-MATCH($F$1,enemy_skill_triggers!$1:$1,0)+1),MATCH(K$1,enemy_skill_triggers!$1:$1,0)-MATCH($F$1,enemy_skill_triggers!$1:$1,0)+1,FALSE)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6" s="48">
        <f ca="1">VLOOKUP($F196,OFFSET(enemy_skill_triggers!$A$1,0,0,COUNTA(enemy_skill_triggers!$A:$A),MATCH(L$1,enemy_skill_triggers!$1:$1,0)-MATCH($F$1,enemy_skill_triggers!$1:$1,0)+1),MATCH(L$1,enemy_skill_triggers!$1:$1,0)-MATCH($F$1,enemy_skill_triggers!$1:$1,0)+1,FALSE)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6" s="48" t="str">
        <f ca="1">VLOOKUP($F196,OFFSET(enemy_skill_triggers!$A$1,0,0,COUNTA(enemy_skill_triggers!$A:$A),MATCH(M$1,enemy_skill_triggers!$1:$1,0)-MATCH($F$1,enemy_skill_triggers!$1:$1,0)+1),MATCH(M$1,enemy_skill_triggers!$1:$1,0)-MATCH($F$1,enemy_skill_triggers!$1:$1,0)+1,FALSE)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6" s="48">
        <f ca="1">VLOOKUP($F196,OFFSET(enemy_skill_triggers!$A$1,0,0,COUNTA(enemy_skill_triggers!$A:$A),MATCH(N$1,enemy_skill_triggers!$1:$1,0)-MATCH($F$1,enemy_skill_triggers!$1:$1,0)+1),MATCH(N$1,enemy_skill_triggers!$1:$1,0)-MATCH($F$1,enemy_skill_triggers!$1:$1,0)+1,FALSE)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196" s="48">
        <f ca="1">VLOOKUP($F196,OFFSET(enemy_skill_triggers!$A$1,0,0,COUNTA(enemy_skill_triggers!$A:$A),MATCH(O$1,enemy_skill_triggers!$1:$1,0)-MATCH($F$1,enemy_skill_triggers!$1:$1,0)+1),MATCH(O$1,enemy_skill_triggers!$1:$1,0)-MATCH($F$1,enemy_skill_triggers!$1:$1,0)+1,FALSE)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6" s="47"/>
      <c r="Q196" s="47"/>
      <c r="R196" s="47"/>
    </row>
    <row r="197" spans="1:18" ht="21" customHeight="1" x14ac:dyDescent="0.15">
      <c r="A197" s="39" t="str">
        <f t="shared" si="3"/>
        <v>49015016_49015147</v>
      </c>
      <c r="B197" s="106">
        <v>49015016</v>
      </c>
      <c r="C197" s="126">
        <v>49015147</v>
      </c>
      <c r="D197" s="46" t="str">
        <f ca="1">VLOOKUP($C197,OFFSET(enemy_skills!$A$1,0,0,COUNTA(enemy_skills!$A:$A),MATCH(D$1,enemy_skills!$1:$1,0)-MATCH("enemy_skill_id",enemy_skills!$1:$1,0)+1),MATCH(D$1,enemy_skills!$1:$1,0)-MATCH("enemy_skill_id",enemy_skills!$1:$1,0)+1,FALSE)</f>
        <v>やあ小さい錬金術師さん！</v>
      </c>
      <c r="E197" s="46" t="str">
        <f ca="1">VLOOKUP($C197,OFFSET(enemy_skills!$A$1,0,0,COUNTA(enemy_skills!$A:$A),MATCH(E$1,enemy_skills!$1:$1,0)-MATCH("enemy_skill_id",enemy_skills!$1:$1,0)+1),MATCH(E$1,enemy_skills!$1:$1,0)-MATCH("enemy_skill_id",enemy_skills!$1:$1,0)+1,FALSE)</f>
        <v>『お前もチビというか！！』_x000D_【4ターン暗闇】</v>
      </c>
      <c r="F197" s="126">
        <v>49015196</v>
      </c>
      <c r="G197" s="48">
        <f ca="1">VLOOKUP($F197,OFFSET(enemy_skill_triggers!$A$1,0,0,COUNTA(enemy_skill_triggers!$A:$A),MATCH(G$1,enemy_skill_triggers!$1:$1,0)-MATCH($F$1,enemy_skill_triggers!$1:$1,0)+1),MATCH(G$1,enemy_skill_triggers!$1:$1,0)-MATCH($F$1,enemy_skill_triggers!$1:$1,0)+1,FALSE)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7" s="48">
        <f ca="1">VLOOKUP($F197,OFFSET(enemy_skill_triggers!$A$1,0,0,COUNTA(enemy_skill_triggers!$A:$A),MATCH(H$1,enemy_skill_triggers!$1:$1,0)-MATCH($F$1,enemy_skill_triggers!$1:$1,0)+1),MATCH(H$1,enemy_skill_triggers!$1:$1,0)-MATCH($F$1,enemy_skill_triggers!$1:$1,0)+1,FALSE)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197" s="48">
        <f ca="1">VLOOKUP($F197,OFFSET(enemy_skill_triggers!$A$1,0,0,COUNTA(enemy_skill_triggers!$A:$A),MATCH(I$1,enemy_skill_triggers!$1:$1,0)-MATCH($F$1,enemy_skill_triggers!$1:$1,0)+1),MATCH(I$1,enemy_skill_triggers!$1:$1,0)-MATCH($F$1,enemy_skill_triggers!$1:$1,0)+1,FALSE)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7" s="48" t="str">
        <f ca="1">VLOOKUP($F197,OFFSET(enemy_skill_triggers!$A$1,0,0,COUNTA(enemy_skill_triggers!$A:$A),MATCH(J$1,enemy_skill_triggers!$1:$1,0)-MATCH($F$1,enemy_skill_triggers!$1:$1,0)+1),MATCH(J$1,enemy_skill_triggers!$1:$1,0)-MATCH($F$1,enemy_skill_triggers!$1:$1,0)+1,FALSE)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7" s="48" t="str">
        <f ca="1">VLOOKUP($F197,OFFSET(enemy_skill_triggers!$A$1,0,0,COUNTA(enemy_skill_triggers!$A:$A),MATCH(K$1,enemy_skill_triggers!$1:$1,0)-MATCH($F$1,enemy_skill_triggers!$1:$1,0)+1),MATCH(K$1,enemy_skill_triggers!$1:$1,0)-MATCH($F$1,enemy_skill_triggers!$1:$1,0)+1,FALSE)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7" s="48">
        <f ca="1">VLOOKUP($F197,OFFSET(enemy_skill_triggers!$A$1,0,0,COUNTA(enemy_skill_triggers!$A:$A),MATCH(L$1,enemy_skill_triggers!$1:$1,0)-MATCH($F$1,enemy_skill_triggers!$1:$1,0)+1),MATCH(L$1,enemy_skill_triggers!$1:$1,0)-MATCH($F$1,enemy_skill_triggers!$1:$1,0)+1,FALSE)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7" s="48" t="str">
        <f ca="1">VLOOKUP($F197,OFFSET(enemy_skill_triggers!$A$1,0,0,COUNTA(enemy_skill_triggers!$A:$A),MATCH(M$1,enemy_skill_triggers!$1:$1,0)-MATCH($F$1,enemy_skill_triggers!$1:$1,0)+1),MATCH(M$1,enemy_skill_triggers!$1:$1,0)-MATCH($F$1,enemy_skill_triggers!$1:$1,0)+1,FALSE)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7" s="48">
        <f ca="1">VLOOKUP($F197,OFFSET(enemy_skill_triggers!$A$1,0,0,COUNTA(enemy_skill_triggers!$A:$A),MATCH(N$1,enemy_skill_triggers!$1:$1,0)-MATCH($F$1,enemy_skill_triggers!$1:$1,0)+1),MATCH(N$1,enemy_skill_triggers!$1:$1,0)-MATCH($F$1,enemy_skill_triggers!$1:$1,0)+1,FALSE)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197" s="48">
        <f ca="1">VLOOKUP($F197,OFFSET(enemy_skill_triggers!$A$1,0,0,COUNTA(enemy_skill_triggers!$A:$A),MATCH(O$1,enemy_skill_triggers!$1:$1,0)-MATCH($F$1,enemy_skill_triggers!$1:$1,0)+1),MATCH(O$1,enemy_skill_triggers!$1:$1,0)-MATCH($F$1,enemy_skill_triggers!$1:$1,0)+1,FALSE)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7" s="47"/>
      <c r="Q197" s="47"/>
      <c r="R197" s="47"/>
    </row>
    <row r="198" spans="1:18" ht="21" customHeight="1" x14ac:dyDescent="0.15">
      <c r="A198" s="39" t="str">
        <f t="shared" si="3"/>
        <v>49015016_49015148</v>
      </c>
      <c r="B198" s="106">
        <v>49015016</v>
      </c>
      <c r="C198" s="126">
        <v>49015148</v>
      </c>
      <c r="D198" s="46" t="str">
        <f ca="1">VLOOKUP($C198,OFFSET(enemy_skills!$A$1,0,0,COUNTA(enemy_skills!$A:$A),MATCH(D$1,enemy_skills!$1:$1,0)-MATCH("enemy_skill_id",enemy_skills!$1:$1,0)+1),MATCH(D$1,enemy_skills!$1:$1,0)-MATCH("enemy_skill_id",enemy_skills!$1:$1,0)+1,FALSE)</f>
        <v>君たち兄弟は大事な人柱だ</v>
      </c>
      <c r="E198" s="46" t="str">
        <f ca="1">VLOOKUP($C198,OFFSET(enemy_skills!$A$1,0,0,COUNTA(enemy_skills!$A:$A),MATCH(E$1,enemy_skills!$1:$1,0)-MATCH("enemy_skill_id",enemy_skills!$1:$1,0)+1),MATCH(E$1,enemy_skills!$1:$1,0)-MATCH("enemy_skill_id",enemy_skills!$1:$1,0)+1,FALSE)</f>
        <v>あまりこちらで目立たないように_x000D_【4ターン暗闇】</v>
      </c>
      <c r="F198" s="126">
        <v>49015197</v>
      </c>
      <c r="G198" s="48">
        <f ca="1">VLOOKUP($F198,OFFSET(enemy_skill_triggers!$A$1,0,0,COUNTA(enemy_skill_triggers!$A:$A),MATCH(G$1,enemy_skill_triggers!$1:$1,0)-MATCH($F$1,enemy_skill_triggers!$1:$1,0)+1),MATCH(G$1,enemy_skill_triggers!$1:$1,0)-MATCH($F$1,enemy_skill_triggers!$1:$1,0)+1,FALSE)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8" s="48">
        <f ca="1">VLOOKUP($F198,OFFSET(enemy_skill_triggers!$A$1,0,0,COUNTA(enemy_skill_triggers!$A:$A),MATCH(H$1,enemy_skill_triggers!$1:$1,0)-MATCH($F$1,enemy_skill_triggers!$1:$1,0)+1),MATCH(H$1,enemy_skill_triggers!$1:$1,0)-MATCH($F$1,enemy_skill_triggers!$1:$1,0)+1,FALSE)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98" s="48">
        <f ca="1">VLOOKUP($F198,OFFSET(enemy_skill_triggers!$A$1,0,0,COUNTA(enemy_skill_triggers!$A:$A),MATCH(I$1,enemy_skill_triggers!$1:$1,0)-MATCH($F$1,enemy_skill_triggers!$1:$1,0)+1),MATCH(I$1,enemy_skill_triggers!$1:$1,0)-MATCH($F$1,enemy_skill_triggers!$1:$1,0)+1,FALSE)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8" s="48" t="str">
        <f ca="1">VLOOKUP($F198,OFFSET(enemy_skill_triggers!$A$1,0,0,COUNTA(enemy_skill_triggers!$A:$A),MATCH(J$1,enemy_skill_triggers!$1:$1,0)-MATCH($F$1,enemy_skill_triggers!$1:$1,0)+1),MATCH(J$1,enemy_skill_triggers!$1:$1,0)-MATCH($F$1,enemy_skill_triggers!$1:$1,0)+1,FALSE)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8" s="48" t="str">
        <f ca="1">VLOOKUP($F198,OFFSET(enemy_skill_triggers!$A$1,0,0,COUNTA(enemy_skill_triggers!$A:$A),MATCH(K$1,enemy_skill_triggers!$1:$1,0)-MATCH($F$1,enemy_skill_triggers!$1:$1,0)+1),MATCH(K$1,enemy_skill_triggers!$1:$1,0)-MATCH($F$1,enemy_skill_triggers!$1:$1,0)+1,FALSE)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8" s="48">
        <f ca="1">VLOOKUP($F198,OFFSET(enemy_skill_triggers!$A$1,0,0,COUNTA(enemy_skill_triggers!$A:$A),MATCH(L$1,enemy_skill_triggers!$1:$1,0)-MATCH($F$1,enemy_skill_triggers!$1:$1,0)+1),MATCH(L$1,enemy_skill_triggers!$1:$1,0)-MATCH($F$1,enemy_skill_triggers!$1:$1,0)+1,FALSE)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8" s="48" t="str">
        <f ca="1">VLOOKUP($F198,OFFSET(enemy_skill_triggers!$A$1,0,0,COUNTA(enemy_skill_triggers!$A:$A),MATCH(M$1,enemy_skill_triggers!$1:$1,0)-MATCH($F$1,enemy_skill_triggers!$1:$1,0)+1),MATCH(M$1,enemy_skill_triggers!$1:$1,0)-MATCH($F$1,enemy_skill_triggers!$1:$1,0)+1,FALSE)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8" s="48">
        <f ca="1">VLOOKUP($F198,OFFSET(enemy_skill_triggers!$A$1,0,0,COUNTA(enemy_skill_triggers!$A:$A),MATCH(N$1,enemy_skill_triggers!$1:$1,0)-MATCH($F$1,enemy_skill_triggers!$1:$1,0)+1),MATCH(N$1,enemy_skill_triggers!$1:$1,0)-MATCH($F$1,enemy_skill_triggers!$1:$1,0)+1,FALSE)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198" s="48">
        <f ca="1">VLOOKUP($F198,OFFSET(enemy_skill_triggers!$A$1,0,0,COUNTA(enemy_skill_triggers!$A:$A),MATCH(O$1,enemy_skill_triggers!$1:$1,0)-MATCH($F$1,enemy_skill_triggers!$1:$1,0)+1),MATCH(O$1,enemy_skill_triggers!$1:$1,0)-MATCH($F$1,enemy_skill_triggers!$1:$1,0)+1,FALSE)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8" s="47"/>
      <c r="Q198" s="47"/>
      <c r="R198" s="47"/>
    </row>
    <row r="199" spans="1:18" ht="21" customHeight="1" x14ac:dyDescent="0.15">
      <c r="A199" s="39" t="str">
        <f t="shared" si="3"/>
        <v>49015016_49015148</v>
      </c>
      <c r="B199" s="106">
        <v>49015016</v>
      </c>
      <c r="C199" s="126">
        <v>49015148</v>
      </c>
      <c r="D199" s="46" t="str">
        <f ca="1">VLOOKUP($C199,OFFSET(enemy_skills!$A$1,0,0,COUNTA(enemy_skills!$A:$A),MATCH(D$1,enemy_skills!$1:$1,0)-MATCH("enemy_skill_id",enemy_skills!$1:$1,0)+1),MATCH(D$1,enemy_skills!$1:$1,0)-MATCH("enemy_skill_id",enemy_skills!$1:$1,0)+1,FALSE)</f>
        <v>君たち兄弟は大事な人柱だ</v>
      </c>
      <c r="E199" s="46" t="str">
        <f ca="1">VLOOKUP($C199,OFFSET(enemy_skills!$A$1,0,0,COUNTA(enemy_skills!$A:$A),MATCH(E$1,enemy_skills!$1:$1,0)-MATCH("enemy_skill_id",enemy_skills!$1:$1,0)+1),MATCH(E$1,enemy_skills!$1:$1,0)-MATCH("enemy_skill_id",enemy_skills!$1:$1,0)+1,FALSE)</f>
        <v>あまりこちらで目立たないように_x000D_【4ターン暗闇】</v>
      </c>
      <c r="F199" s="126">
        <v>49015198</v>
      </c>
      <c r="G199" s="48">
        <f ca="1">VLOOKUP($F199,OFFSET(enemy_skill_triggers!$A$1,0,0,COUNTA(enemy_skill_triggers!$A:$A),MATCH(G$1,enemy_skill_triggers!$1:$1,0)-MATCH($F$1,enemy_skill_triggers!$1:$1,0)+1),MATCH(G$1,enemy_skill_triggers!$1:$1,0)-MATCH($F$1,enemy_skill_triggers!$1:$1,0)+1,FALSE)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9" s="48">
        <f ca="1">VLOOKUP($F199,OFFSET(enemy_skill_triggers!$A$1,0,0,COUNTA(enemy_skill_triggers!$A:$A),MATCH(H$1,enemy_skill_triggers!$1:$1,0)-MATCH($F$1,enemy_skill_triggers!$1:$1,0)+1),MATCH(H$1,enemy_skill_triggers!$1:$1,0)-MATCH($F$1,enemy_skill_triggers!$1:$1,0)+1,FALSE)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199" s="48">
        <f ca="1">VLOOKUP($F199,OFFSET(enemy_skill_triggers!$A$1,0,0,COUNTA(enemy_skill_triggers!$A:$A),MATCH(I$1,enemy_skill_triggers!$1:$1,0)-MATCH($F$1,enemy_skill_triggers!$1:$1,0)+1),MATCH(I$1,enemy_skill_triggers!$1:$1,0)-MATCH($F$1,enemy_skill_triggers!$1:$1,0)+1,FALSE)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9" s="48" t="str">
        <f ca="1">VLOOKUP($F199,OFFSET(enemy_skill_triggers!$A$1,0,0,COUNTA(enemy_skill_triggers!$A:$A),MATCH(J$1,enemy_skill_triggers!$1:$1,0)-MATCH($F$1,enemy_skill_triggers!$1:$1,0)+1),MATCH(J$1,enemy_skill_triggers!$1:$1,0)-MATCH($F$1,enemy_skill_triggers!$1:$1,0)+1,FALSE)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9" s="48" t="str">
        <f ca="1">VLOOKUP($F199,OFFSET(enemy_skill_triggers!$A$1,0,0,COUNTA(enemy_skill_triggers!$A:$A),MATCH(K$1,enemy_skill_triggers!$1:$1,0)-MATCH($F$1,enemy_skill_triggers!$1:$1,0)+1),MATCH(K$1,enemy_skill_triggers!$1:$1,0)-MATCH($F$1,enemy_skill_triggers!$1:$1,0)+1,FALSE)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9" s="48">
        <f ca="1">VLOOKUP($F199,OFFSET(enemy_skill_triggers!$A$1,0,0,COUNTA(enemy_skill_triggers!$A:$A),MATCH(L$1,enemy_skill_triggers!$1:$1,0)-MATCH($F$1,enemy_skill_triggers!$1:$1,0)+1),MATCH(L$1,enemy_skill_triggers!$1:$1,0)-MATCH($F$1,enemy_skill_triggers!$1:$1,0)+1,FALSE)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9" s="48" t="str">
        <f ca="1">VLOOKUP($F199,OFFSET(enemy_skill_triggers!$A$1,0,0,COUNTA(enemy_skill_triggers!$A:$A),MATCH(M$1,enemy_skill_triggers!$1:$1,0)-MATCH($F$1,enemy_skill_triggers!$1:$1,0)+1),MATCH(M$1,enemy_skill_triggers!$1:$1,0)-MATCH($F$1,enemy_skill_triggers!$1:$1,0)+1,FALSE)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9" s="48">
        <f ca="1">VLOOKUP($F199,OFFSET(enemy_skill_triggers!$A$1,0,0,COUNTA(enemy_skill_triggers!$A:$A),MATCH(N$1,enemy_skill_triggers!$1:$1,0)-MATCH($F$1,enemy_skill_triggers!$1:$1,0)+1),MATCH(N$1,enemy_skill_triggers!$1:$1,0)-MATCH($F$1,enemy_skill_triggers!$1:$1,0)+1,FALSE)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199" s="48">
        <f ca="1">VLOOKUP($F199,OFFSET(enemy_skill_triggers!$A$1,0,0,COUNTA(enemy_skill_triggers!$A:$A),MATCH(O$1,enemy_skill_triggers!$1:$1,0)-MATCH($F$1,enemy_skill_triggers!$1:$1,0)+1),MATCH(O$1,enemy_skill_triggers!$1:$1,0)-MATCH($F$1,enemy_skill_triggers!$1:$1,0)+1,FALSE)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9" s="47"/>
      <c r="Q199" s="47"/>
      <c r="R199" s="47"/>
    </row>
    <row r="200" spans="1:18" ht="21" customHeight="1" x14ac:dyDescent="0.15">
      <c r="A200" s="39" t="str">
        <f t="shared" si="3"/>
        <v>49015016_49015149</v>
      </c>
      <c r="B200" s="106">
        <v>49015016</v>
      </c>
      <c r="C200" s="126">
        <v>49015149</v>
      </c>
      <c r="D200" s="46" t="str">
        <f ca="1">VLOOKUP($C200,OFFSET(enemy_skills!$A$1,0,0,COUNTA(enemy_skills!$A:$A),MATCH(D$1,enemy_skills!$1:$1,0)-MATCH("enemy_skill_id",enemy_skills!$1:$1,0)+1),MATCH(D$1,enemy_skills!$1:$1,0)-MATCH("enemy_skill_id",enemy_skills!$1:$1,0)+1,FALSE)</f>
        <v>貴方も人柱候補ですから</v>
      </c>
      <c r="E200" s="46" t="str">
        <f ca="1">VLOOKUP($C200,OFFSET(enemy_skills!$A$1,0,0,COUNTA(enemy_skills!$A:$A),MATCH(E$1,enemy_skills!$1:$1,0)-MATCH("enemy_skill_id",enemy_skills!$1:$1,0)+1),MATCH(E$1,enemy_skills!$1:$1,0)-MATCH("enemy_skill_id",enemy_skills!$1:$1,0)+1,FALSE)</f>
        <v>あまり無茶はしないでもらいたい_x000D_【4ターン暗闇】</v>
      </c>
      <c r="F200" s="126">
        <v>49015199</v>
      </c>
      <c r="G200" s="48">
        <f ca="1">VLOOKUP($F200,OFFSET(enemy_skill_triggers!$A$1,0,0,COUNTA(enemy_skill_triggers!$A:$A),MATCH(G$1,enemy_skill_triggers!$1:$1,0)-MATCH($F$1,enemy_skill_triggers!$1:$1,0)+1),MATCH(G$1,enemy_skill_triggers!$1:$1,0)-MATCH($F$1,enemy_skill_triggers!$1:$1,0)+1,FALSE)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0" s="48">
        <f ca="1">VLOOKUP($F200,OFFSET(enemy_skill_triggers!$A$1,0,0,COUNTA(enemy_skill_triggers!$A:$A),MATCH(H$1,enemy_skill_triggers!$1:$1,0)-MATCH($F$1,enemy_skill_triggers!$1:$1,0)+1),MATCH(H$1,enemy_skill_triggers!$1:$1,0)-MATCH($F$1,enemy_skill_triggers!$1:$1,0)+1,FALSE)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00" s="48">
        <f ca="1">VLOOKUP($F200,OFFSET(enemy_skill_triggers!$A$1,0,0,COUNTA(enemy_skill_triggers!$A:$A),MATCH(I$1,enemy_skill_triggers!$1:$1,0)-MATCH($F$1,enemy_skill_triggers!$1:$1,0)+1),MATCH(I$1,enemy_skill_triggers!$1:$1,0)-MATCH($F$1,enemy_skill_triggers!$1:$1,0)+1,FALSE)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0" s="48" t="str">
        <f ca="1">VLOOKUP($F200,OFFSET(enemy_skill_triggers!$A$1,0,0,COUNTA(enemy_skill_triggers!$A:$A),MATCH(J$1,enemy_skill_triggers!$1:$1,0)-MATCH($F$1,enemy_skill_triggers!$1:$1,0)+1),MATCH(J$1,enemy_skill_triggers!$1:$1,0)-MATCH($F$1,enemy_skill_triggers!$1:$1,0)+1,FALSE)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0" s="48" t="str">
        <f ca="1">VLOOKUP($F200,OFFSET(enemy_skill_triggers!$A$1,0,0,COUNTA(enemy_skill_triggers!$A:$A),MATCH(K$1,enemy_skill_triggers!$1:$1,0)-MATCH($F$1,enemy_skill_triggers!$1:$1,0)+1),MATCH(K$1,enemy_skill_triggers!$1:$1,0)-MATCH($F$1,enemy_skill_triggers!$1:$1,0)+1,FALSE)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0" s="48">
        <f ca="1">VLOOKUP($F200,OFFSET(enemy_skill_triggers!$A$1,0,0,COUNTA(enemy_skill_triggers!$A:$A),MATCH(L$1,enemy_skill_triggers!$1:$1,0)-MATCH($F$1,enemy_skill_triggers!$1:$1,0)+1),MATCH(L$1,enemy_skill_triggers!$1:$1,0)-MATCH($F$1,enemy_skill_triggers!$1:$1,0)+1,FALSE)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0" s="48" t="str">
        <f ca="1">VLOOKUP($F200,OFFSET(enemy_skill_triggers!$A$1,0,0,COUNTA(enemy_skill_triggers!$A:$A),MATCH(M$1,enemy_skill_triggers!$1:$1,0)-MATCH($F$1,enemy_skill_triggers!$1:$1,0)+1),MATCH(M$1,enemy_skill_triggers!$1:$1,0)-MATCH($F$1,enemy_skill_triggers!$1:$1,0)+1,FALSE)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0" s="48">
        <f ca="1">VLOOKUP($F200,OFFSET(enemy_skill_triggers!$A$1,0,0,COUNTA(enemy_skill_triggers!$A:$A),MATCH(N$1,enemy_skill_triggers!$1:$1,0)-MATCH($F$1,enemy_skill_triggers!$1:$1,0)+1),MATCH(N$1,enemy_skill_triggers!$1:$1,0)-MATCH($F$1,enemy_skill_triggers!$1:$1,0)+1,FALSE)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200" s="48">
        <f ca="1">VLOOKUP($F200,OFFSET(enemy_skill_triggers!$A$1,0,0,COUNTA(enemy_skill_triggers!$A:$A),MATCH(O$1,enemy_skill_triggers!$1:$1,0)-MATCH($F$1,enemy_skill_triggers!$1:$1,0)+1),MATCH(O$1,enemy_skill_triggers!$1:$1,0)-MATCH($F$1,enemy_skill_triggers!$1:$1,0)+1,FALSE)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0" s="47"/>
      <c r="Q200" s="47"/>
      <c r="R200" s="47"/>
    </row>
    <row r="201" spans="1:18" ht="21" customHeight="1" x14ac:dyDescent="0.15">
      <c r="A201" s="39" t="str">
        <f t="shared" si="3"/>
        <v>49015016_49015149</v>
      </c>
      <c r="B201" s="106">
        <v>49015016</v>
      </c>
      <c r="C201" s="126">
        <v>49015149</v>
      </c>
      <c r="D201" s="46" t="str">
        <f ca="1">VLOOKUP($C201,OFFSET(enemy_skills!$A$1,0,0,COUNTA(enemy_skills!$A:$A),MATCH(D$1,enemy_skills!$1:$1,0)-MATCH("enemy_skill_id",enemy_skills!$1:$1,0)+1),MATCH(D$1,enemy_skills!$1:$1,0)-MATCH("enemy_skill_id",enemy_skills!$1:$1,0)+1,FALSE)</f>
        <v>貴方も人柱候補ですから</v>
      </c>
      <c r="E201" s="46" t="str">
        <f ca="1">VLOOKUP($C201,OFFSET(enemy_skills!$A$1,0,0,COUNTA(enemy_skills!$A:$A),MATCH(E$1,enemy_skills!$1:$1,0)-MATCH("enemy_skill_id",enemy_skills!$1:$1,0)+1),MATCH(E$1,enemy_skills!$1:$1,0)-MATCH("enemy_skill_id",enemy_skills!$1:$1,0)+1,FALSE)</f>
        <v>あまり無茶はしないでもらいたい_x000D_【4ターン暗闇】</v>
      </c>
      <c r="F201" s="126">
        <v>49015200</v>
      </c>
      <c r="G201" s="48">
        <f ca="1">VLOOKUP($F201,OFFSET(enemy_skill_triggers!$A$1,0,0,COUNTA(enemy_skill_triggers!$A:$A),MATCH(G$1,enemy_skill_triggers!$1:$1,0)-MATCH($F$1,enemy_skill_triggers!$1:$1,0)+1),MATCH(G$1,enemy_skill_triggers!$1:$1,0)-MATCH($F$1,enemy_skill_triggers!$1:$1,0)+1,FALSE)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1" s="48">
        <f ca="1">VLOOKUP($F201,OFFSET(enemy_skill_triggers!$A$1,0,0,COUNTA(enemy_skill_triggers!$A:$A),MATCH(H$1,enemy_skill_triggers!$1:$1,0)-MATCH($F$1,enemy_skill_triggers!$1:$1,0)+1),MATCH(H$1,enemy_skill_triggers!$1:$1,0)-MATCH($F$1,enemy_skill_triggers!$1:$1,0)+1,FALSE)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201" s="48">
        <f ca="1">VLOOKUP($F201,OFFSET(enemy_skill_triggers!$A$1,0,0,COUNTA(enemy_skill_triggers!$A:$A),MATCH(I$1,enemy_skill_triggers!$1:$1,0)-MATCH($F$1,enemy_skill_triggers!$1:$1,0)+1),MATCH(I$1,enemy_skill_triggers!$1:$1,0)-MATCH($F$1,enemy_skill_triggers!$1:$1,0)+1,FALSE)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1" s="48" t="str">
        <f ca="1">VLOOKUP($F201,OFFSET(enemy_skill_triggers!$A$1,0,0,COUNTA(enemy_skill_triggers!$A:$A),MATCH(J$1,enemy_skill_triggers!$1:$1,0)-MATCH($F$1,enemy_skill_triggers!$1:$1,0)+1),MATCH(J$1,enemy_skill_triggers!$1:$1,0)-MATCH($F$1,enemy_skill_triggers!$1:$1,0)+1,FALSE)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1" s="48" t="str">
        <f ca="1">VLOOKUP($F201,OFFSET(enemy_skill_triggers!$A$1,0,0,COUNTA(enemy_skill_triggers!$A:$A),MATCH(K$1,enemy_skill_triggers!$1:$1,0)-MATCH($F$1,enemy_skill_triggers!$1:$1,0)+1),MATCH(K$1,enemy_skill_triggers!$1:$1,0)-MATCH($F$1,enemy_skill_triggers!$1:$1,0)+1,FALSE)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1" s="48">
        <f ca="1">VLOOKUP($F201,OFFSET(enemy_skill_triggers!$A$1,0,0,COUNTA(enemy_skill_triggers!$A:$A),MATCH(L$1,enemy_skill_triggers!$1:$1,0)-MATCH($F$1,enemy_skill_triggers!$1:$1,0)+1),MATCH(L$1,enemy_skill_triggers!$1:$1,0)-MATCH($F$1,enemy_skill_triggers!$1:$1,0)+1,FALSE)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1" s="48" t="str">
        <f ca="1">VLOOKUP($F201,OFFSET(enemy_skill_triggers!$A$1,0,0,COUNTA(enemy_skill_triggers!$A:$A),MATCH(M$1,enemy_skill_triggers!$1:$1,0)-MATCH($F$1,enemy_skill_triggers!$1:$1,0)+1),MATCH(M$1,enemy_skill_triggers!$1:$1,0)-MATCH($F$1,enemy_skill_triggers!$1:$1,0)+1,FALSE)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1" s="48">
        <f ca="1">VLOOKUP($F201,OFFSET(enemy_skill_triggers!$A$1,0,0,COUNTA(enemy_skill_triggers!$A:$A),MATCH(N$1,enemy_skill_triggers!$1:$1,0)-MATCH($F$1,enemy_skill_triggers!$1:$1,0)+1),MATCH(N$1,enemy_skill_triggers!$1:$1,0)-MATCH($F$1,enemy_skill_triggers!$1:$1,0)+1,FALSE)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201" s="48">
        <f ca="1">VLOOKUP($F201,OFFSET(enemy_skill_triggers!$A$1,0,0,COUNTA(enemy_skill_triggers!$A:$A),MATCH(O$1,enemy_skill_triggers!$1:$1,0)-MATCH($F$1,enemy_skill_triggers!$1:$1,0)+1),MATCH(O$1,enemy_skill_triggers!$1:$1,0)-MATCH($F$1,enemy_skill_triggers!$1:$1,0)+1,FALSE)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1" s="47"/>
      <c r="Q201" s="47"/>
      <c r="R201" s="47"/>
    </row>
    <row r="202" spans="1:18" ht="21" customHeight="1" x14ac:dyDescent="0.15">
      <c r="A202" s="39" t="str">
        <f t="shared" si="3"/>
        <v>49015016_49015150</v>
      </c>
      <c r="B202" s="106">
        <v>49015016</v>
      </c>
      <c r="C202" s="126">
        <v>49015150</v>
      </c>
      <c r="D202" s="46" t="str">
        <f ca="1">VLOOKUP($C202,OFFSET(enemy_skills!$A$1,0,0,COUNTA(enemy_skills!$A:$A),MATCH(D$1,enemy_skills!$1:$1,0)-MATCH("enemy_skill_id",enemy_skills!$1:$1,0)+1),MATCH(D$1,enemy_skills!$1:$1,0)-MATCH("enemy_skill_id",enemy_skills!$1:$1,0)+1,FALSE)</f>
        <v>やあホークアイ中尉貴方もいるのですね</v>
      </c>
      <c r="E202" s="46" t="str">
        <f ca="1">VLOOKUP($C202,OFFSET(enemy_skills!$A$1,0,0,COUNTA(enemy_skills!$A:$A),MATCH(E$1,enemy_skills!$1:$1,0)-MATCH("enemy_skill_id",enemy_skills!$1:$1,0)+1),MATCH(E$1,enemy_skills!$1:$1,0)-MATCH("enemy_skill_id",enemy_skills!$1:$1,0)+1,FALSE)</f>
        <v>『奇遇ね、こんな所で会いたくなかったわ』_x000D_【4ターン暗闇】</v>
      </c>
      <c r="F202" s="126">
        <v>49015201</v>
      </c>
      <c r="G202" s="48">
        <f ca="1">VLOOKUP($F202,OFFSET(enemy_skill_triggers!$A$1,0,0,COUNTA(enemy_skill_triggers!$A:$A),MATCH(G$1,enemy_skill_triggers!$1:$1,0)-MATCH($F$1,enemy_skill_triggers!$1:$1,0)+1),MATCH(G$1,enemy_skill_triggers!$1:$1,0)-MATCH($F$1,enemy_skill_triggers!$1:$1,0)+1,FALSE)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2" s="48">
        <f ca="1">VLOOKUP($F202,OFFSET(enemy_skill_triggers!$A$1,0,0,COUNTA(enemy_skill_triggers!$A:$A),MATCH(H$1,enemy_skill_triggers!$1:$1,0)-MATCH($F$1,enemy_skill_triggers!$1:$1,0)+1),MATCH(H$1,enemy_skill_triggers!$1:$1,0)-MATCH($F$1,enemy_skill_triggers!$1:$1,0)+1,FALSE)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2" s="48">
        <f ca="1">VLOOKUP($F202,OFFSET(enemy_skill_triggers!$A$1,0,0,COUNTA(enemy_skill_triggers!$A:$A),MATCH(I$1,enemy_skill_triggers!$1:$1,0)-MATCH($F$1,enemy_skill_triggers!$1:$1,0)+1),MATCH(I$1,enemy_skill_triggers!$1:$1,0)-MATCH($F$1,enemy_skill_triggers!$1:$1,0)+1,FALSE)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2" s="48" t="str">
        <f ca="1">VLOOKUP($F202,OFFSET(enemy_skill_triggers!$A$1,0,0,COUNTA(enemy_skill_triggers!$A:$A),MATCH(J$1,enemy_skill_triggers!$1:$1,0)-MATCH($F$1,enemy_skill_triggers!$1:$1,0)+1),MATCH(J$1,enemy_skill_triggers!$1:$1,0)-MATCH($F$1,enemy_skill_triggers!$1:$1,0)+1,FALSE)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2" s="48" t="str">
        <f ca="1">VLOOKUP($F202,OFFSET(enemy_skill_triggers!$A$1,0,0,COUNTA(enemy_skill_triggers!$A:$A),MATCH(K$1,enemy_skill_triggers!$1:$1,0)-MATCH($F$1,enemy_skill_triggers!$1:$1,0)+1),MATCH(K$1,enemy_skill_triggers!$1:$1,0)-MATCH($F$1,enemy_skill_triggers!$1:$1,0)+1,FALSE)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2" s="48">
        <f ca="1">VLOOKUP($F202,OFFSET(enemy_skill_triggers!$A$1,0,0,COUNTA(enemy_skill_triggers!$A:$A),MATCH(L$1,enemy_skill_triggers!$1:$1,0)-MATCH($F$1,enemy_skill_triggers!$1:$1,0)+1),MATCH(L$1,enemy_skill_triggers!$1:$1,0)-MATCH($F$1,enemy_skill_triggers!$1:$1,0)+1,FALSE)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2" s="48" t="str">
        <f ca="1">VLOOKUP($F202,OFFSET(enemy_skill_triggers!$A$1,0,0,COUNTA(enemy_skill_triggers!$A:$A),MATCH(M$1,enemy_skill_triggers!$1:$1,0)-MATCH($F$1,enemy_skill_triggers!$1:$1,0)+1),MATCH(M$1,enemy_skill_triggers!$1:$1,0)-MATCH($F$1,enemy_skill_triggers!$1:$1,0)+1,FALSE)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2" s="48">
        <f ca="1">VLOOKUP($F202,OFFSET(enemy_skill_triggers!$A$1,0,0,COUNTA(enemy_skill_triggers!$A:$A),MATCH(N$1,enemy_skill_triggers!$1:$1,0)-MATCH($F$1,enemy_skill_triggers!$1:$1,0)+1),MATCH(N$1,enemy_skill_triggers!$1:$1,0)-MATCH($F$1,enemy_skill_triggers!$1:$1,0)+1,FALSE)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202" s="48">
        <f ca="1">VLOOKUP($F202,OFFSET(enemy_skill_triggers!$A$1,0,0,COUNTA(enemy_skill_triggers!$A:$A),MATCH(O$1,enemy_skill_triggers!$1:$1,0)-MATCH($F$1,enemy_skill_triggers!$1:$1,0)+1),MATCH(O$1,enemy_skill_triggers!$1:$1,0)-MATCH($F$1,enemy_skill_triggers!$1:$1,0)+1,FALSE)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2" s="47"/>
      <c r="Q202" s="47"/>
      <c r="R202" s="47"/>
    </row>
    <row r="203" spans="1:18" ht="21" customHeight="1" x14ac:dyDescent="0.15">
      <c r="A203" s="39" t="str">
        <f t="shared" si="3"/>
        <v>49015016_49015150</v>
      </c>
      <c r="B203" s="106">
        <v>49015016</v>
      </c>
      <c r="C203" s="126">
        <v>49015150</v>
      </c>
      <c r="D203" s="46" t="str">
        <f ca="1">VLOOKUP($C203,OFFSET(enemy_skills!$A$1,0,0,COUNTA(enemy_skills!$A:$A),MATCH(D$1,enemy_skills!$1:$1,0)-MATCH("enemy_skill_id",enemy_skills!$1:$1,0)+1),MATCH(D$1,enemy_skills!$1:$1,0)-MATCH("enemy_skill_id",enemy_skills!$1:$1,0)+1,FALSE)</f>
        <v>やあホークアイ中尉貴方もいるのですね</v>
      </c>
      <c r="E203" s="46" t="str">
        <f ca="1">VLOOKUP($C203,OFFSET(enemy_skills!$A$1,0,0,COUNTA(enemy_skills!$A:$A),MATCH(E$1,enemy_skills!$1:$1,0)-MATCH("enemy_skill_id",enemy_skills!$1:$1,0)+1),MATCH(E$1,enemy_skills!$1:$1,0)-MATCH("enemy_skill_id",enemy_skills!$1:$1,0)+1,FALSE)</f>
        <v>『奇遇ね、こんな所で会いたくなかったわ』_x000D_【4ターン暗闇】</v>
      </c>
      <c r="F203" s="126">
        <v>49015202</v>
      </c>
      <c r="G203" s="48">
        <f ca="1">VLOOKUP($F203,OFFSET(enemy_skill_triggers!$A$1,0,0,COUNTA(enemy_skill_triggers!$A:$A),MATCH(G$1,enemy_skill_triggers!$1:$1,0)-MATCH($F$1,enemy_skill_triggers!$1:$1,0)+1),MATCH(G$1,enemy_skill_triggers!$1:$1,0)-MATCH($F$1,enemy_skill_triggers!$1:$1,0)+1,FALSE)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3" s="48">
        <f ca="1">VLOOKUP($F203,OFFSET(enemy_skill_triggers!$A$1,0,0,COUNTA(enemy_skill_triggers!$A:$A),MATCH(H$1,enemy_skill_triggers!$1:$1,0)-MATCH($F$1,enemy_skill_triggers!$1:$1,0)+1),MATCH(H$1,enemy_skill_triggers!$1:$1,0)-MATCH($F$1,enemy_skill_triggers!$1:$1,0)+1,FALSE)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03" s="48">
        <f ca="1">VLOOKUP($F203,OFFSET(enemy_skill_triggers!$A$1,0,0,COUNTA(enemy_skill_triggers!$A:$A),MATCH(I$1,enemy_skill_triggers!$1:$1,0)-MATCH($F$1,enemy_skill_triggers!$1:$1,0)+1),MATCH(I$1,enemy_skill_triggers!$1:$1,0)-MATCH($F$1,enemy_skill_triggers!$1:$1,0)+1,FALSE)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3" s="48" t="str">
        <f ca="1">VLOOKUP($F203,OFFSET(enemy_skill_triggers!$A$1,0,0,COUNTA(enemy_skill_triggers!$A:$A),MATCH(J$1,enemy_skill_triggers!$1:$1,0)-MATCH($F$1,enemy_skill_triggers!$1:$1,0)+1),MATCH(J$1,enemy_skill_triggers!$1:$1,0)-MATCH($F$1,enemy_skill_triggers!$1:$1,0)+1,FALSE)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3" s="48" t="str">
        <f ca="1">VLOOKUP($F203,OFFSET(enemy_skill_triggers!$A$1,0,0,COUNTA(enemy_skill_triggers!$A:$A),MATCH(K$1,enemy_skill_triggers!$1:$1,0)-MATCH($F$1,enemy_skill_triggers!$1:$1,0)+1),MATCH(K$1,enemy_skill_triggers!$1:$1,0)-MATCH($F$1,enemy_skill_triggers!$1:$1,0)+1,FALSE)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3" s="48">
        <f ca="1">VLOOKUP($F203,OFFSET(enemy_skill_triggers!$A$1,0,0,COUNTA(enemy_skill_triggers!$A:$A),MATCH(L$1,enemy_skill_triggers!$1:$1,0)-MATCH($F$1,enemy_skill_triggers!$1:$1,0)+1),MATCH(L$1,enemy_skill_triggers!$1:$1,0)-MATCH($F$1,enemy_skill_triggers!$1:$1,0)+1,FALSE)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3" s="48" t="str">
        <f ca="1">VLOOKUP($F203,OFFSET(enemy_skill_triggers!$A$1,0,0,COUNTA(enemy_skill_triggers!$A:$A),MATCH(M$1,enemy_skill_triggers!$1:$1,0)-MATCH($F$1,enemy_skill_triggers!$1:$1,0)+1),MATCH(M$1,enemy_skill_triggers!$1:$1,0)-MATCH($F$1,enemy_skill_triggers!$1:$1,0)+1,FALSE)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3" s="48">
        <f ca="1">VLOOKUP($F203,OFFSET(enemy_skill_triggers!$A$1,0,0,COUNTA(enemy_skill_triggers!$A:$A),MATCH(N$1,enemy_skill_triggers!$1:$1,0)-MATCH($F$1,enemy_skill_triggers!$1:$1,0)+1),MATCH(N$1,enemy_skill_triggers!$1:$1,0)-MATCH($F$1,enemy_skill_triggers!$1:$1,0)+1,FALSE)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203" s="48">
        <f ca="1">VLOOKUP($F203,OFFSET(enemy_skill_triggers!$A$1,0,0,COUNTA(enemy_skill_triggers!$A:$A),MATCH(O$1,enemy_skill_triggers!$1:$1,0)-MATCH($F$1,enemy_skill_triggers!$1:$1,0)+1),MATCH(O$1,enemy_skill_triggers!$1:$1,0)-MATCH($F$1,enemy_skill_triggers!$1:$1,0)+1,FALSE)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3" s="47"/>
      <c r="Q203" s="47"/>
      <c r="R203" s="47"/>
    </row>
    <row r="204" spans="1:18" ht="21" customHeight="1" x14ac:dyDescent="0.15">
      <c r="A204" s="39" t="str">
        <f t="shared" si="3"/>
        <v>49015016_49015151</v>
      </c>
      <c r="B204" s="106">
        <v>49015016</v>
      </c>
      <c r="C204" s="126">
        <v>49015151</v>
      </c>
      <c r="D204" s="46" t="str">
        <f ca="1">VLOOKUP($C204,OFFSET(enemy_skills!$A$1,0,0,COUNTA(enemy_skills!$A:$A),MATCH(D$1,enemy_skills!$1:$1,0)-MATCH("enemy_skill_id",enemy_skills!$1:$1,0)+1),MATCH(D$1,enemy_skills!$1:$1,0)-MATCH("enemy_skill_id",enemy_skills!$1:$1,0)+1,FALSE)</f>
        <v>こんな所で何をやっているのですか？</v>
      </c>
      <c r="E204" s="46" t="str">
        <f ca="1">VLOOKUP($C204,OFFSET(enemy_skills!$A$1,0,0,COUNTA(enemy_skills!$A:$A),MATCH(E$1,enemy_skills!$1:$1,0)-MATCH("enemy_skill_id",enemy_skills!$1:$1,0)+1),MATCH(E$1,enemy_skills!$1:$1,0)-MATCH("enemy_skill_id",enemy_skills!$1:$1,0)+1,FALSE)</f>
        <v>4ターン暗闇</v>
      </c>
      <c r="F204" s="126">
        <v>49015203</v>
      </c>
      <c r="G204" s="48">
        <f ca="1">VLOOKUP($F204,OFFSET(enemy_skill_triggers!$A$1,0,0,COUNTA(enemy_skill_triggers!$A:$A),MATCH(G$1,enemy_skill_triggers!$1:$1,0)-MATCH($F$1,enemy_skill_triggers!$1:$1,0)+1),MATCH(G$1,enemy_skill_triggers!$1:$1,0)-MATCH($F$1,enemy_skill_triggers!$1:$1,0)+1,FALSE)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4" s="48">
        <f ca="1">VLOOKUP($F204,OFFSET(enemy_skill_triggers!$A$1,0,0,COUNTA(enemy_skill_triggers!$A:$A),MATCH(H$1,enemy_skill_triggers!$1:$1,0)-MATCH($F$1,enemy_skill_triggers!$1:$1,0)+1),MATCH(H$1,enemy_skill_triggers!$1:$1,0)-MATCH($F$1,enemy_skill_triggers!$1:$1,0)+1,FALSE)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04" s="48">
        <f ca="1">VLOOKUP($F204,OFFSET(enemy_skill_triggers!$A$1,0,0,COUNTA(enemy_skill_triggers!$A:$A),MATCH(I$1,enemy_skill_triggers!$1:$1,0)-MATCH($F$1,enemy_skill_triggers!$1:$1,0)+1),MATCH(I$1,enemy_skill_triggers!$1:$1,0)-MATCH($F$1,enemy_skill_triggers!$1:$1,0)+1,FALSE)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4" s="48" t="str">
        <f ca="1">VLOOKUP($F204,OFFSET(enemy_skill_triggers!$A$1,0,0,COUNTA(enemy_skill_triggers!$A:$A),MATCH(J$1,enemy_skill_triggers!$1:$1,0)-MATCH($F$1,enemy_skill_triggers!$1:$1,0)+1),MATCH(J$1,enemy_skill_triggers!$1:$1,0)-MATCH($F$1,enemy_skill_triggers!$1:$1,0)+1,FALSE)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4" s="48" t="str">
        <f ca="1">VLOOKUP($F204,OFFSET(enemy_skill_triggers!$A$1,0,0,COUNTA(enemy_skill_triggers!$A:$A),MATCH(K$1,enemy_skill_triggers!$1:$1,0)-MATCH($F$1,enemy_skill_triggers!$1:$1,0)+1),MATCH(K$1,enemy_skill_triggers!$1:$1,0)-MATCH($F$1,enemy_skill_triggers!$1:$1,0)+1,FALSE)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4" s="48">
        <f ca="1">VLOOKUP($F204,OFFSET(enemy_skill_triggers!$A$1,0,0,COUNTA(enemy_skill_triggers!$A:$A),MATCH(L$1,enemy_skill_triggers!$1:$1,0)-MATCH($F$1,enemy_skill_triggers!$1:$1,0)+1),MATCH(L$1,enemy_skill_triggers!$1:$1,0)-MATCH($F$1,enemy_skill_triggers!$1:$1,0)+1,FALSE)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4" s="48" t="str">
        <f ca="1">VLOOKUP($F204,OFFSET(enemy_skill_triggers!$A$1,0,0,COUNTA(enemy_skill_triggers!$A:$A),MATCH(M$1,enemy_skill_triggers!$1:$1,0)-MATCH($F$1,enemy_skill_triggers!$1:$1,0)+1),MATCH(M$1,enemy_skill_triggers!$1:$1,0)-MATCH($F$1,enemy_skill_triggers!$1:$1,0)+1,FALSE)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4" s="48">
        <f ca="1">VLOOKUP($F204,OFFSET(enemy_skill_triggers!$A$1,0,0,COUNTA(enemy_skill_triggers!$A:$A),MATCH(N$1,enemy_skill_triggers!$1:$1,0)-MATCH($F$1,enemy_skill_triggers!$1:$1,0)+1),MATCH(N$1,enemy_skill_triggers!$1:$1,0)-MATCH($F$1,enemy_skill_triggers!$1:$1,0)+1,FALSE)</f>
        <v>1469</v>
      </c>
      <c r="O204" s="48">
        <f ca="1">VLOOKUP($F204,OFFSET(enemy_skill_triggers!$A$1,0,0,COUNTA(enemy_skill_triggers!$A:$A),MATCH(O$1,enemy_skill_triggers!$1:$1,0)-MATCH($F$1,enemy_skill_triggers!$1:$1,0)+1),MATCH(O$1,enemy_skill_triggers!$1:$1,0)-MATCH($F$1,enemy_skill_triggers!$1:$1,0)+1,FALSE)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4" s="47"/>
      <c r="Q204" s="47"/>
      <c r="R204" s="47"/>
    </row>
    <row r="205" spans="1:18" ht="21" customHeight="1" x14ac:dyDescent="0.15">
      <c r="A205" s="39" t="str">
        <f t="shared" si="3"/>
        <v>49015016_49015152</v>
      </c>
      <c r="B205" s="106">
        <v>49015016</v>
      </c>
      <c r="C205" s="126">
        <v>49015152</v>
      </c>
      <c r="D205" s="46" t="str">
        <f ca="1">VLOOKUP($C205,OFFSET(enemy_skills!$A$1,0,0,COUNTA(enemy_skills!$A:$A),MATCH(D$1,enemy_skills!$1:$1,0)-MATCH("enemy_skill_id",enemy_skills!$1:$1,0)+1),MATCH(D$1,enemy_skills!$1:$1,0)-MATCH("enemy_skill_id",enemy_skills!$1:$1,0)+1,FALSE)</f>
        <v>自分の役割をちゃんと理解しなさい</v>
      </c>
      <c r="E205" s="46" t="str">
        <f ca="1">VLOOKUP($C205,OFFSET(enemy_skills!$A$1,0,0,COUNTA(enemy_skills!$A:$A),MATCH(E$1,enemy_skills!$1:$1,0)-MATCH("enemy_skill_id",enemy_skills!$1:$1,0)+1),MATCH(E$1,enemy_skills!$1:$1,0)-MATCH("enemy_skill_id",enemy_skills!$1:$1,0)+1,FALSE)</f>
        <v>4ターン暗闇</v>
      </c>
      <c r="F205" s="126">
        <v>49015204</v>
      </c>
      <c r="G205" s="48">
        <f ca="1">VLOOKUP($F205,OFFSET(enemy_skill_triggers!$A$1,0,0,COUNTA(enemy_skill_triggers!$A:$A),MATCH(G$1,enemy_skill_triggers!$1:$1,0)-MATCH($F$1,enemy_skill_triggers!$1:$1,0)+1),MATCH(G$1,enemy_skill_triggers!$1:$1,0)-MATCH($F$1,enemy_skill_triggers!$1:$1,0)+1,FALSE)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5" s="48">
        <f ca="1">VLOOKUP($F205,OFFSET(enemy_skill_triggers!$A$1,0,0,COUNTA(enemy_skill_triggers!$A:$A),MATCH(H$1,enemy_skill_triggers!$1:$1,0)-MATCH($F$1,enemy_skill_triggers!$1:$1,0)+1),MATCH(H$1,enemy_skill_triggers!$1:$1,0)-MATCH($F$1,enemy_skill_triggers!$1:$1,0)+1,FALSE)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05" s="48">
        <f ca="1">VLOOKUP($F205,OFFSET(enemy_skill_triggers!$A$1,0,0,COUNTA(enemy_skill_triggers!$A:$A),MATCH(I$1,enemy_skill_triggers!$1:$1,0)-MATCH($F$1,enemy_skill_triggers!$1:$1,0)+1),MATCH(I$1,enemy_skill_triggers!$1:$1,0)-MATCH($F$1,enemy_skill_triggers!$1:$1,0)+1,FALSE)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5" s="48" t="str">
        <f ca="1">VLOOKUP($F205,OFFSET(enemy_skill_triggers!$A$1,0,0,COUNTA(enemy_skill_triggers!$A:$A),MATCH(J$1,enemy_skill_triggers!$1:$1,0)-MATCH($F$1,enemy_skill_triggers!$1:$1,0)+1),MATCH(J$1,enemy_skill_triggers!$1:$1,0)-MATCH($F$1,enemy_skill_triggers!$1:$1,0)+1,FALSE)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5" s="48" t="str">
        <f ca="1">VLOOKUP($F205,OFFSET(enemy_skill_triggers!$A$1,0,0,COUNTA(enemy_skill_triggers!$A:$A),MATCH(K$1,enemy_skill_triggers!$1:$1,0)-MATCH($F$1,enemy_skill_triggers!$1:$1,0)+1),MATCH(K$1,enemy_skill_triggers!$1:$1,0)-MATCH($F$1,enemy_skill_triggers!$1:$1,0)+1,FALSE)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5" s="48">
        <f ca="1">VLOOKUP($F205,OFFSET(enemy_skill_triggers!$A$1,0,0,COUNTA(enemy_skill_triggers!$A:$A),MATCH(L$1,enemy_skill_triggers!$1:$1,0)-MATCH($F$1,enemy_skill_triggers!$1:$1,0)+1),MATCH(L$1,enemy_skill_triggers!$1:$1,0)-MATCH($F$1,enemy_skill_triggers!$1:$1,0)+1,FALSE)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5" s="48" t="str">
        <f ca="1">VLOOKUP($F205,OFFSET(enemy_skill_triggers!$A$1,0,0,COUNTA(enemy_skill_triggers!$A:$A),MATCH(M$1,enemy_skill_triggers!$1:$1,0)-MATCH($F$1,enemy_skill_triggers!$1:$1,0)+1),MATCH(M$1,enemy_skill_triggers!$1:$1,0)-MATCH($F$1,enemy_skill_triggers!$1:$1,0)+1,FALSE)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5" s="48">
        <f ca="1">VLOOKUP($F205,OFFSET(enemy_skill_triggers!$A$1,0,0,COUNTA(enemy_skill_triggers!$A:$A),MATCH(N$1,enemy_skill_triggers!$1:$1,0)-MATCH($F$1,enemy_skill_triggers!$1:$1,0)+1),MATCH(N$1,enemy_skill_triggers!$1:$1,0)-MATCH($F$1,enemy_skill_triggers!$1:$1,0)+1,FALSE)</f>
        <v>1468</v>
      </c>
      <c r="O205" s="48">
        <f ca="1">VLOOKUP($F205,OFFSET(enemy_skill_triggers!$A$1,0,0,COUNTA(enemy_skill_triggers!$A:$A),MATCH(O$1,enemy_skill_triggers!$1:$1,0)-MATCH($F$1,enemy_skill_triggers!$1:$1,0)+1),MATCH(O$1,enemy_skill_triggers!$1:$1,0)-MATCH($F$1,enemy_skill_triggers!$1:$1,0)+1,FALSE)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5" s="47"/>
      <c r="Q205" s="47"/>
      <c r="R205" s="47"/>
    </row>
    <row r="206" spans="1:18" ht="21" customHeight="1" x14ac:dyDescent="0.15">
      <c r="A206" s="39" t="str">
        <f t="shared" si="3"/>
        <v>49015016_49015153</v>
      </c>
      <c r="B206" s="106">
        <v>49015016</v>
      </c>
      <c r="C206" s="126">
        <v>49015153</v>
      </c>
      <c r="D206" s="46" t="str">
        <f ca="1">VLOOKUP($C206,OFFSET(enemy_skills!$A$1,0,0,COUNTA(enemy_skills!$A:$A),MATCH(D$1,enemy_skills!$1:$1,0)-MATCH("enemy_skill_id",enemy_skills!$1:$1,0)+1),MATCH(D$1,enemy_skills!$1:$1,0)-MATCH("enemy_skill_id",enemy_skills!$1:$1,0)+1,FALSE)</f>
        <v>貴方は邪魔です！</v>
      </c>
      <c r="E206" s="46" t="str">
        <f ca="1">VLOOKUP($C206,OFFSET(enemy_skills!$A$1,0,0,COUNTA(enemy_skills!$A:$A),MATCH(E$1,enemy_skills!$1:$1,0)-MATCH("enemy_skill_id",enemy_skills!$1:$1,0)+1),MATCH(E$1,enemy_skills!$1:$1,0)-MATCH("enemy_skill_id",enemy_skills!$1:$1,0)+1,FALSE)</f>
        <v>4ターン暗闇</v>
      </c>
      <c r="F206" s="126">
        <v>49015205</v>
      </c>
      <c r="G206" s="48">
        <f ca="1">VLOOKUP($F206,OFFSET(enemy_skill_triggers!$A$1,0,0,COUNTA(enemy_skill_triggers!$A:$A),MATCH(G$1,enemy_skill_triggers!$1:$1,0)-MATCH($F$1,enemy_skill_triggers!$1:$1,0)+1),MATCH(G$1,enemy_skill_triggers!$1:$1,0)-MATCH($F$1,enemy_skill_triggers!$1:$1,0)+1,FALSE)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6" s="48">
        <f ca="1">VLOOKUP($F206,OFFSET(enemy_skill_triggers!$A$1,0,0,COUNTA(enemy_skill_triggers!$A:$A),MATCH(H$1,enemy_skill_triggers!$1:$1,0)-MATCH($F$1,enemy_skill_triggers!$1:$1,0)+1),MATCH(H$1,enemy_skill_triggers!$1:$1,0)-MATCH($F$1,enemy_skill_triggers!$1:$1,0)+1,FALSE)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06" s="48">
        <f ca="1">VLOOKUP($F206,OFFSET(enemy_skill_triggers!$A$1,0,0,COUNTA(enemy_skill_triggers!$A:$A),MATCH(I$1,enemy_skill_triggers!$1:$1,0)-MATCH($F$1,enemy_skill_triggers!$1:$1,0)+1),MATCH(I$1,enemy_skill_triggers!$1:$1,0)-MATCH($F$1,enemy_skill_triggers!$1:$1,0)+1,FALSE)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6" s="48" t="str">
        <f ca="1">VLOOKUP($F206,OFFSET(enemy_skill_triggers!$A$1,0,0,COUNTA(enemy_skill_triggers!$A:$A),MATCH(J$1,enemy_skill_triggers!$1:$1,0)-MATCH($F$1,enemy_skill_triggers!$1:$1,0)+1),MATCH(J$1,enemy_skill_triggers!$1:$1,0)-MATCH($F$1,enemy_skill_triggers!$1:$1,0)+1,FALSE)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6" s="48" t="str">
        <f ca="1">VLOOKUP($F206,OFFSET(enemy_skill_triggers!$A$1,0,0,COUNTA(enemy_skill_triggers!$A:$A),MATCH(K$1,enemy_skill_triggers!$1:$1,0)-MATCH($F$1,enemy_skill_triggers!$1:$1,0)+1),MATCH(K$1,enemy_skill_triggers!$1:$1,0)-MATCH($F$1,enemy_skill_triggers!$1:$1,0)+1,FALSE)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6" s="48">
        <f ca="1">VLOOKUP($F206,OFFSET(enemy_skill_triggers!$A$1,0,0,COUNTA(enemy_skill_triggers!$A:$A),MATCH(L$1,enemy_skill_triggers!$1:$1,0)-MATCH($F$1,enemy_skill_triggers!$1:$1,0)+1),MATCH(L$1,enemy_skill_triggers!$1:$1,0)-MATCH($F$1,enemy_skill_triggers!$1:$1,0)+1,FALSE)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6" s="48" t="str">
        <f ca="1">VLOOKUP($F206,OFFSET(enemy_skill_triggers!$A$1,0,0,COUNTA(enemy_skill_triggers!$A:$A),MATCH(M$1,enemy_skill_triggers!$1:$1,0)-MATCH($F$1,enemy_skill_triggers!$1:$1,0)+1),MATCH(M$1,enemy_skill_triggers!$1:$1,0)-MATCH($F$1,enemy_skill_triggers!$1:$1,0)+1,FALSE)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6" s="48">
        <f ca="1">VLOOKUP($F206,OFFSET(enemy_skill_triggers!$A$1,0,0,COUNTA(enemy_skill_triggers!$A:$A),MATCH(N$1,enemy_skill_triggers!$1:$1,0)-MATCH($F$1,enemy_skill_triggers!$1:$1,0)+1),MATCH(N$1,enemy_skill_triggers!$1:$1,0)-MATCH($F$1,enemy_skill_triggers!$1:$1,0)+1,FALSE)</f>
        <v>1466</v>
      </c>
      <c r="O206" s="48">
        <f ca="1">VLOOKUP($F206,OFFSET(enemy_skill_triggers!$A$1,0,0,COUNTA(enemy_skill_triggers!$A:$A),MATCH(O$1,enemy_skill_triggers!$1:$1,0)-MATCH($F$1,enemy_skill_triggers!$1:$1,0)+1),MATCH(O$1,enemy_skill_triggers!$1:$1,0)-MATCH($F$1,enemy_skill_triggers!$1:$1,0)+1,FALSE)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6" s="47"/>
      <c r="Q206" s="47"/>
      <c r="R206" s="47"/>
    </row>
    <row r="207" spans="1:18" ht="21" customHeight="1" x14ac:dyDescent="0.15">
      <c r="A207" s="39" t="str">
        <f t="shared" si="3"/>
        <v>49015016_49015153</v>
      </c>
      <c r="B207" s="106">
        <v>49015016</v>
      </c>
      <c r="C207" s="126">
        <v>49015153</v>
      </c>
      <c r="D207" s="46" t="str">
        <f ca="1">VLOOKUP($C207,OFFSET(enemy_skills!$A$1,0,0,COUNTA(enemy_skills!$A:$A),MATCH(D$1,enemy_skills!$1:$1,0)-MATCH("enemy_skill_id",enemy_skills!$1:$1,0)+1),MATCH(D$1,enemy_skills!$1:$1,0)-MATCH("enemy_skill_id",enemy_skills!$1:$1,0)+1,FALSE)</f>
        <v>貴方は邪魔です！</v>
      </c>
      <c r="E207" s="46" t="str">
        <f ca="1">VLOOKUP($C207,OFFSET(enemy_skills!$A$1,0,0,COUNTA(enemy_skills!$A:$A),MATCH(E$1,enemy_skills!$1:$1,0)-MATCH("enemy_skill_id",enemy_skills!$1:$1,0)+1),MATCH(E$1,enemy_skills!$1:$1,0)-MATCH("enemy_skill_id",enemy_skills!$1:$1,0)+1,FALSE)</f>
        <v>4ターン暗闇</v>
      </c>
      <c r="F207" s="126">
        <v>49015206</v>
      </c>
      <c r="G207" s="48">
        <f ca="1">VLOOKUP($F207,OFFSET(enemy_skill_triggers!$A$1,0,0,COUNTA(enemy_skill_triggers!$A:$A),MATCH(G$1,enemy_skill_triggers!$1:$1,0)-MATCH($F$1,enemy_skill_triggers!$1:$1,0)+1),MATCH(G$1,enemy_skill_triggers!$1:$1,0)-MATCH($F$1,enemy_skill_triggers!$1:$1,0)+1,FALSE)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7" s="48">
        <f ca="1">VLOOKUP($F207,OFFSET(enemy_skill_triggers!$A$1,0,0,COUNTA(enemy_skill_triggers!$A:$A),MATCH(H$1,enemy_skill_triggers!$1:$1,0)-MATCH($F$1,enemy_skill_triggers!$1:$1,0)+1),MATCH(H$1,enemy_skill_triggers!$1:$1,0)-MATCH($F$1,enemy_skill_triggers!$1:$1,0)+1,FALSE)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207" s="48">
        <f ca="1">VLOOKUP($F207,OFFSET(enemy_skill_triggers!$A$1,0,0,COUNTA(enemy_skill_triggers!$A:$A),MATCH(I$1,enemy_skill_triggers!$1:$1,0)-MATCH($F$1,enemy_skill_triggers!$1:$1,0)+1),MATCH(I$1,enemy_skill_triggers!$1:$1,0)-MATCH($F$1,enemy_skill_triggers!$1:$1,0)+1,FALSE)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7" s="48" t="str">
        <f ca="1">VLOOKUP($F207,OFFSET(enemy_skill_triggers!$A$1,0,0,COUNTA(enemy_skill_triggers!$A:$A),MATCH(J$1,enemy_skill_triggers!$1:$1,0)-MATCH($F$1,enemy_skill_triggers!$1:$1,0)+1),MATCH(J$1,enemy_skill_triggers!$1:$1,0)-MATCH($F$1,enemy_skill_triggers!$1:$1,0)+1,FALSE)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7" s="48" t="str">
        <f ca="1">VLOOKUP($F207,OFFSET(enemy_skill_triggers!$A$1,0,0,COUNTA(enemy_skill_triggers!$A:$A),MATCH(K$1,enemy_skill_triggers!$1:$1,0)-MATCH($F$1,enemy_skill_triggers!$1:$1,0)+1),MATCH(K$1,enemy_skill_triggers!$1:$1,0)-MATCH($F$1,enemy_skill_triggers!$1:$1,0)+1,FALSE)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7" s="48">
        <f ca="1">VLOOKUP($F207,OFFSET(enemy_skill_triggers!$A$1,0,0,COUNTA(enemy_skill_triggers!$A:$A),MATCH(L$1,enemy_skill_triggers!$1:$1,0)-MATCH($F$1,enemy_skill_triggers!$1:$1,0)+1),MATCH(L$1,enemy_skill_triggers!$1:$1,0)-MATCH($F$1,enemy_skill_triggers!$1:$1,0)+1,FALSE)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7" s="48" t="str">
        <f ca="1">VLOOKUP($F207,OFFSET(enemy_skill_triggers!$A$1,0,0,COUNTA(enemy_skill_triggers!$A:$A),MATCH(M$1,enemy_skill_triggers!$1:$1,0)-MATCH($F$1,enemy_skill_triggers!$1:$1,0)+1),MATCH(M$1,enemy_skill_triggers!$1:$1,0)-MATCH($F$1,enemy_skill_triggers!$1:$1,0)+1,FALSE)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7" s="48">
        <f ca="1">VLOOKUP($F207,OFFSET(enemy_skill_triggers!$A$1,0,0,COUNTA(enemy_skill_triggers!$A:$A),MATCH(N$1,enemy_skill_triggers!$1:$1,0)-MATCH($F$1,enemy_skill_triggers!$1:$1,0)+1),MATCH(N$1,enemy_skill_triggers!$1:$1,0)-MATCH($F$1,enemy_skill_triggers!$1:$1,0)+1,FALSE)</f>
        <v>1467</v>
      </c>
      <c r="O207" s="48">
        <f ca="1">VLOOKUP($F207,OFFSET(enemy_skill_triggers!$A$1,0,0,COUNTA(enemy_skill_triggers!$A:$A),MATCH(O$1,enemy_skill_triggers!$1:$1,0)-MATCH($F$1,enemy_skill_triggers!$1:$1,0)+1),MATCH(O$1,enemy_skill_triggers!$1:$1,0)-MATCH($F$1,enemy_skill_triggers!$1:$1,0)+1,FALSE)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7" s="47"/>
      <c r="Q207" s="47"/>
      <c r="R207" s="47"/>
    </row>
    <row r="208" spans="1:18" ht="21" customHeight="1" x14ac:dyDescent="0.15">
      <c r="A208" s="39" t="str">
        <f t="shared" si="3"/>
        <v>49015016_49015154</v>
      </c>
      <c r="B208" s="106">
        <v>49015016</v>
      </c>
      <c r="C208" s="126">
        <v>49015154</v>
      </c>
      <c r="D208" s="46" t="str">
        <f ca="1">VLOOKUP($C208,OFFSET(enemy_skills!$A$1,0,0,COUNTA(enemy_skills!$A:$A),MATCH(D$1,enemy_skills!$1:$1,0)-MATCH("enemy_skill_id",enemy_skills!$1:$1,0)+1),MATCH(D$1,enemy_skills!$1:$1,0)-MATCH("enemy_skill_id",enemy_skills!$1:$1,0)+1,FALSE)</f>
        <v>暗闇操作術</v>
      </c>
      <c r="E208" s="46" t="str">
        <f ca="1">VLOOKUP($C208,OFFSET(enemy_skills!$A$1,0,0,COUNTA(enemy_skills!$A:$A),MATCH(E$1,enemy_skills!$1:$1,0)-MATCH("enemy_skill_id",enemy_skills!$1:$1,0)+1),MATCH(E$1,enemy_skills!$1:$1,0)-MATCH("enemy_skill_id",enemy_skills!$1:$1,0)+1,FALSE)</f>
        <v>単体攻撃+_x000D_1ターンユニット1体にスキルバインド</v>
      </c>
      <c r="F208" s="126">
        <v>49015207</v>
      </c>
      <c r="G208" s="48">
        <f ca="1">VLOOKUP($F208,OFFSET(enemy_skill_triggers!$A$1,0,0,COUNTA(enemy_skill_triggers!$A:$A),MATCH(G$1,enemy_skill_triggers!$1:$1,0)-MATCH($F$1,enemy_skill_triggers!$1:$1,0)+1),MATCH(G$1,enemy_skill_triggers!$1:$1,0)-MATCH($F$1,enemy_skill_triggers!$1:$1,0)+1,FALSE)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8" s="48">
        <f ca="1">VLOOKUP($F208,OFFSET(enemy_skill_triggers!$A$1,0,0,COUNTA(enemy_skill_triggers!$A:$A),MATCH(H$1,enemy_skill_triggers!$1:$1,0)-MATCH($F$1,enemy_skill_triggers!$1:$1,0)+1),MATCH(H$1,enemy_skill_triggers!$1:$1,0)-MATCH($F$1,enemy_skill_triggers!$1:$1,0)+1,FALSE)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08" s="48">
        <f ca="1">VLOOKUP($F208,OFFSET(enemy_skill_triggers!$A$1,0,0,COUNTA(enemy_skill_triggers!$A:$A),MATCH(I$1,enemy_skill_triggers!$1:$1,0)-MATCH($F$1,enemy_skill_triggers!$1:$1,0)+1),MATCH(I$1,enemy_skill_triggers!$1:$1,0)-MATCH($F$1,enemy_skill_triggers!$1:$1,0)+1,FALSE)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08" s="48" t="str">
        <f ca="1">VLOOKUP($F208,OFFSET(enemy_skill_triggers!$A$1,0,0,COUNTA(enemy_skill_triggers!$A:$A),MATCH(J$1,enemy_skill_triggers!$1:$1,0)-MATCH($F$1,enemy_skill_triggers!$1:$1,0)+1),MATCH(J$1,enemy_skill_triggers!$1:$1,0)-MATCH($F$1,enemy_skill_triggers!$1:$1,0)+1,FALSE)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8" s="48" t="str">
        <f ca="1">VLOOKUP($F208,OFFSET(enemy_skill_triggers!$A$1,0,0,COUNTA(enemy_skill_triggers!$A:$A),MATCH(K$1,enemy_skill_triggers!$1:$1,0)-MATCH($F$1,enemy_skill_triggers!$1:$1,0)+1),MATCH(K$1,enemy_skill_triggers!$1:$1,0)-MATCH($F$1,enemy_skill_triggers!$1:$1,0)+1,FALSE)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8" s="48" t="str">
        <f ca="1">VLOOKUP($F208,OFFSET(enemy_skill_triggers!$A$1,0,0,COUNTA(enemy_skill_triggers!$A:$A),MATCH(L$1,enemy_skill_triggers!$1:$1,0)-MATCH($F$1,enemy_skill_triggers!$1:$1,0)+1),MATCH(L$1,enemy_skill_triggers!$1:$1,0)-MATCH($F$1,enemy_skill_triggers!$1:$1,0)+1,FALSE)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8" s="48" t="str">
        <f ca="1">VLOOKUP($F208,OFFSET(enemy_skill_triggers!$A$1,0,0,COUNTA(enemy_skill_triggers!$A:$A),MATCH(M$1,enemy_skill_triggers!$1:$1,0)-MATCH($F$1,enemy_skill_triggers!$1:$1,0)+1),MATCH(M$1,enemy_skill_triggers!$1:$1,0)-MATCH($F$1,enemy_skill_triggers!$1:$1,0)+1,FALSE)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8" s="48" t="str">
        <f ca="1">VLOOKUP($F208,OFFSET(enemy_skill_triggers!$A$1,0,0,COUNTA(enemy_skill_triggers!$A:$A),MATCH(N$1,enemy_skill_triggers!$1:$1,0)-MATCH($F$1,enemy_skill_triggers!$1:$1,0)+1),MATCH(N$1,enemy_skill_triggers!$1:$1,0)-MATCH($F$1,enemy_skill_triggers!$1:$1,0)+1,FALSE)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8" s="48">
        <f ca="1">VLOOKUP($F208,OFFSET(enemy_skill_triggers!$A$1,0,0,COUNTA(enemy_skill_triggers!$A:$A),MATCH(O$1,enemy_skill_triggers!$1:$1,0)-MATCH($F$1,enemy_skill_triggers!$1:$1,0)+1),MATCH(O$1,enemy_skill_triggers!$1:$1,0)-MATCH($F$1,enemy_skill_triggers!$1:$1,0)+1,FALSE)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08" s="47"/>
      <c r="Q208" s="47"/>
      <c r="R208" s="47"/>
    </row>
    <row r="209" spans="1:18" ht="21" customHeight="1" x14ac:dyDescent="0.15">
      <c r="A209" s="39" t="str">
        <f t="shared" si="3"/>
        <v>49015016_49015155</v>
      </c>
      <c r="B209" s="106">
        <v>49015016</v>
      </c>
      <c r="C209" s="126">
        <v>49015155</v>
      </c>
      <c r="D209" s="46" t="str">
        <f ca="1">VLOOKUP($C209,OFFSET(enemy_skills!$A$1,0,0,COUNTA(enemy_skills!$A:$A),MATCH(D$1,enemy_skills!$1:$1,0)-MATCH("enemy_skill_id",enemy_skills!$1:$1,0)+1),MATCH(D$1,enemy_skills!$1:$1,0)-MATCH("enemy_skill_id",enemy_skills!$1:$1,0)+1,FALSE)</f>
        <v>油断はしませんよ</v>
      </c>
      <c r="E209" s="46" t="str">
        <f ca="1">VLOOKUP($C209,OFFSET(enemy_skills!$A$1,0,0,COUNTA(enemy_skills!$A:$A),MATCH(E$1,enemy_skills!$1:$1,0)-MATCH("enemy_skill_id",enemy_skills!$1:$1,0)+1),MATCH(E$1,enemy_skills!$1:$1,0)-MATCH("enemy_skill_id",enemy_skills!$1:$1,0)+1,FALSE)</f>
        <v>単体攻撃+_x000D_ランダムで赤のダメージパネルに最大3個変換</v>
      </c>
      <c r="F209" s="126">
        <v>49015208</v>
      </c>
      <c r="G209" s="48">
        <f ca="1">VLOOKUP($F209,OFFSET(enemy_skill_triggers!$A$1,0,0,COUNTA(enemy_skill_triggers!$A:$A),MATCH(G$1,enemy_skill_triggers!$1:$1,0)-MATCH($F$1,enemy_skill_triggers!$1:$1,0)+1),MATCH(G$1,enemy_skill_triggers!$1:$1,0)-MATCH($F$1,enemy_skill_triggers!$1:$1,0)+1,FALSE)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9" s="48">
        <f ca="1">VLOOKUP($F209,OFFSET(enemy_skill_triggers!$A$1,0,0,COUNTA(enemy_skill_triggers!$A:$A),MATCH(H$1,enemy_skill_triggers!$1:$1,0)-MATCH($F$1,enemy_skill_triggers!$1:$1,0)+1),MATCH(H$1,enemy_skill_triggers!$1:$1,0)-MATCH($F$1,enemy_skill_triggers!$1:$1,0)+1,FALSE)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09" s="48">
        <f ca="1">VLOOKUP($F209,OFFSET(enemy_skill_triggers!$A$1,0,0,COUNTA(enemy_skill_triggers!$A:$A),MATCH(I$1,enemy_skill_triggers!$1:$1,0)-MATCH($F$1,enemy_skill_triggers!$1:$1,0)+1),MATCH(I$1,enemy_skill_triggers!$1:$1,0)-MATCH($F$1,enemy_skill_triggers!$1:$1,0)+1,FALSE)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9" s="48" t="str">
        <f ca="1">VLOOKUP($F209,OFFSET(enemy_skill_triggers!$A$1,0,0,COUNTA(enemy_skill_triggers!$A:$A),MATCH(J$1,enemy_skill_triggers!$1:$1,0)-MATCH($F$1,enemy_skill_triggers!$1:$1,0)+1),MATCH(J$1,enemy_skill_triggers!$1:$1,0)-MATCH($F$1,enemy_skill_triggers!$1:$1,0)+1,FALSE)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9" s="48" t="str">
        <f ca="1">VLOOKUP($F209,OFFSET(enemy_skill_triggers!$A$1,0,0,COUNTA(enemy_skill_triggers!$A:$A),MATCH(K$1,enemy_skill_triggers!$1:$1,0)-MATCH($F$1,enemy_skill_triggers!$1:$1,0)+1),MATCH(K$1,enemy_skill_triggers!$1:$1,0)-MATCH($F$1,enemy_skill_triggers!$1:$1,0)+1,FALSE)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9" s="48" t="str">
        <f ca="1">VLOOKUP($F209,OFFSET(enemy_skill_triggers!$A$1,0,0,COUNTA(enemy_skill_triggers!$A:$A),MATCH(L$1,enemy_skill_triggers!$1:$1,0)-MATCH($F$1,enemy_skill_triggers!$1:$1,0)+1),MATCH(L$1,enemy_skill_triggers!$1:$1,0)-MATCH($F$1,enemy_skill_triggers!$1:$1,0)+1,FALSE)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9" s="48" t="str">
        <f ca="1">VLOOKUP($F209,OFFSET(enemy_skill_triggers!$A$1,0,0,COUNTA(enemy_skill_triggers!$A:$A),MATCH(M$1,enemy_skill_triggers!$1:$1,0)-MATCH($F$1,enemy_skill_triggers!$1:$1,0)+1),MATCH(M$1,enemy_skill_triggers!$1:$1,0)-MATCH($F$1,enemy_skill_triggers!$1:$1,0)+1,FALSE)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9" s="48" t="str">
        <f ca="1">VLOOKUP($F209,OFFSET(enemy_skill_triggers!$A$1,0,0,COUNTA(enemy_skill_triggers!$A:$A),MATCH(N$1,enemy_skill_triggers!$1:$1,0)-MATCH($F$1,enemy_skill_triggers!$1:$1,0)+1),MATCH(N$1,enemy_skill_triggers!$1:$1,0)-MATCH($F$1,enemy_skill_triggers!$1:$1,0)+1,FALSE)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9" s="48">
        <f ca="1">VLOOKUP($F209,OFFSET(enemy_skill_triggers!$A$1,0,0,COUNTA(enemy_skill_triggers!$A:$A),MATCH(O$1,enemy_skill_triggers!$1:$1,0)-MATCH($F$1,enemy_skill_triggers!$1:$1,0)+1),MATCH(O$1,enemy_skill_triggers!$1:$1,0)-MATCH($F$1,enemy_skill_triggers!$1:$1,0)+1,FALSE)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9" s="47"/>
      <c r="Q209" s="47"/>
      <c r="R209" s="47"/>
    </row>
    <row r="210" spans="1:18" ht="21" customHeight="1" thickBot="1" x14ac:dyDescent="0.2">
      <c r="A210" s="39" t="str">
        <f t="shared" si="3"/>
        <v>49015016_49015156</v>
      </c>
      <c r="B210" s="111">
        <v>49015016</v>
      </c>
      <c r="C210" s="127">
        <v>49015156</v>
      </c>
      <c r="D210" s="145" t="str">
        <f ca="1">VLOOKUP($C210,OFFSET(enemy_skills!$A$1,0,0,COUNTA(enemy_skills!$A:$A),MATCH(D$1,enemy_skills!$1:$1,0)-MATCH("enemy_skill_id",enemy_skills!$1:$1,0)+1),MATCH(D$1,enemy_skills!$1:$1,0)-MATCH("enemy_skill_id",enemy_skills!$1:$1,0)+1,FALSE)</f>
        <v>傲慢</v>
      </c>
      <c r="E210" s="145" t="str">
        <f ca="1">VLOOKUP($C210,OFFSET(enemy_skills!$A$1,0,0,COUNTA(enemy_skills!$A:$A),MATCH(E$1,enemy_skills!$1:$1,0)-MATCH("enemy_skill_id",enemy_skills!$1:$1,0)+1),MATCH(E$1,enemy_skills!$1:$1,0)-MATCH("enemy_skill_id",enemy_skills!$1:$1,0)+1,FALSE)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</v>
      </c>
      <c r="F210" s="127">
        <v>49015209</v>
      </c>
      <c r="G210" s="114">
        <f ca="1">VLOOKUP($F210,OFFSET(enemy_skill_triggers!$A$1,0,0,COUNTA(enemy_skill_triggers!$A:$A),MATCH(G$1,enemy_skill_triggers!$1:$1,0)-MATCH($F$1,enemy_skill_triggers!$1:$1,0)+1),MATCH(G$1,enemy_skill_triggers!$1:$1,0)-MATCH($F$1,enemy_skill_triggers!$1:$1,0)+1,FALSE)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0" s="114">
        <f ca="1">VLOOKUP($F210,OFFSET(enemy_skill_triggers!$A$1,0,0,COUNTA(enemy_skill_triggers!$A:$A),MATCH(H$1,enemy_skill_triggers!$1:$1,0)-MATCH($F$1,enemy_skill_triggers!$1:$1,0)+1),MATCH(H$1,enemy_skill_triggers!$1:$1,0)-MATCH($F$1,enemy_skill_triggers!$1:$1,0)+1,FALSE)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10" s="114">
        <f ca="1">VLOOKUP($F210,OFFSET(enemy_skill_triggers!$A$1,0,0,COUNTA(enemy_skill_triggers!$A:$A),MATCH(I$1,enemy_skill_triggers!$1:$1,0)-MATCH($F$1,enemy_skill_triggers!$1:$1,0)+1),MATCH(I$1,enemy_skill_triggers!$1:$1,0)-MATCH($F$1,enemy_skill_triggers!$1:$1,0)+1,FALSE)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0" s="114" t="str">
        <f ca="1">VLOOKUP($F210,OFFSET(enemy_skill_triggers!$A$1,0,0,COUNTA(enemy_skill_triggers!$A:$A),MATCH(J$1,enemy_skill_triggers!$1:$1,0)-MATCH($F$1,enemy_skill_triggers!$1:$1,0)+1),MATCH(J$1,enemy_skill_triggers!$1:$1,0)-MATCH($F$1,enemy_skill_triggers!$1:$1,0)+1,FALSE)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0" s="114" t="str">
        <f ca="1">VLOOKUP($F210,OFFSET(enemy_skill_triggers!$A$1,0,0,COUNTA(enemy_skill_triggers!$A:$A),MATCH(K$1,enemy_skill_triggers!$1:$1,0)-MATCH($F$1,enemy_skill_triggers!$1:$1,0)+1),MATCH(K$1,enemy_skill_triggers!$1:$1,0)-MATCH($F$1,enemy_skill_triggers!$1:$1,0)+1,FALSE)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0" s="114">
        <f ca="1">VLOOKUP($F210,OFFSET(enemy_skill_triggers!$A$1,0,0,COUNTA(enemy_skill_triggers!$A:$A),MATCH(L$1,enemy_skill_triggers!$1:$1,0)-MATCH($F$1,enemy_skill_triggers!$1:$1,0)+1),MATCH(L$1,enemy_skill_triggers!$1:$1,0)-MATCH($F$1,enemy_skill_triggers!$1:$1,0)+1,FALSE)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0" s="114">
        <f ca="1">VLOOKUP($F210,OFFSET(enemy_skill_triggers!$A$1,0,0,COUNTA(enemy_skill_triggers!$A:$A),MATCH(M$1,enemy_skill_triggers!$1:$1,0)-MATCH($F$1,enemy_skill_triggers!$1:$1,0)+1),MATCH(M$1,enemy_skill_triggers!$1:$1,0)-MATCH($F$1,enemy_skill_triggers!$1:$1,0)+1,FALSE)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10" s="114" t="str">
        <f ca="1">VLOOKUP($F210,OFFSET(enemy_skill_triggers!$A$1,0,0,COUNTA(enemy_skill_triggers!$A:$A),MATCH(N$1,enemy_skill_triggers!$1:$1,0)-MATCH($F$1,enemy_skill_triggers!$1:$1,0)+1),MATCH(N$1,enemy_skill_triggers!$1:$1,0)-MATCH($F$1,enemy_skill_triggers!$1:$1,0)+1,FALSE)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0" s="114">
        <f ca="1">VLOOKUP($F210,OFFSET(enemy_skill_triggers!$A$1,0,0,COUNTA(enemy_skill_triggers!$A:$A),MATCH(O$1,enemy_skill_triggers!$1:$1,0)-MATCH($F$1,enemy_skill_triggers!$1:$1,0)+1),MATCH(O$1,enemy_skill_triggers!$1:$1,0)-MATCH($F$1,enemy_skill_triggers!$1:$1,0)+1,FALSE)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0" s="111"/>
      <c r="Q210" s="111"/>
      <c r="R210" s="111"/>
    </row>
    <row r="211" spans="1:18" ht="21" customHeight="1" x14ac:dyDescent="0.15">
      <c r="A211" s="39" t="str">
        <f t="shared" si="3"/>
        <v>49015017_49015157</v>
      </c>
      <c r="B211" s="106">
        <v>49015017</v>
      </c>
      <c r="C211" s="126">
        <v>49015157</v>
      </c>
      <c r="D211" s="144" t="str">
        <f ca="1">VLOOKUP($C211,OFFSET(enemy_skills!$A$1,0,0,COUNTA(enemy_skills!$A:$A),MATCH(D$1,enemy_skills!$1:$1,0)-MATCH("enemy_skill_id",enemy_skills!$1:$1,0)+1),MATCH(D$1,enemy_skills!$1:$1,0)-MATCH("enemy_skill_id",enemy_skills!$1:$1,0)+1,FALSE)</f>
        <v>無駄なあがきを…</v>
      </c>
      <c r="E211" s="144" t="str">
        <f ca="1">VLOOKUP($C211,OFFSET(enemy_skills!$A$1,0,0,COUNTA(enemy_skills!$A:$A),MATCH(E$1,enemy_skills!$1:$1,0)-MATCH("enemy_skill_id",enemy_skills!$1:$1,0)+1),MATCH(E$1,enemy_skills!$1:$1,0)-MATCH("enemy_skill_id",enemy_skills!$1:$1,0)+1,FALSE)</f>
        <v>4ターン暗闇+_x000D_ランダムで赤のCBPに最大2個変換+_x000D_ランダムで赤のダメージパネルに最大5個変換</v>
      </c>
      <c r="F211" s="126">
        <v>49015210</v>
      </c>
      <c r="G211" s="109">
        <f ca="1">VLOOKUP($F211,OFFSET(enemy_skill_triggers!$A$1,0,0,COUNTA(enemy_skill_triggers!$A:$A),MATCH(G$1,enemy_skill_triggers!$1:$1,0)-MATCH($F$1,enemy_skill_triggers!$1:$1,0)+1),MATCH(G$1,enemy_skill_triggers!$1:$1,0)-MATCH($F$1,enemy_skill_triggers!$1:$1,0)+1,FALSE)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1" s="109" t="str">
        <f ca="1">VLOOKUP($F211,OFFSET(enemy_skill_triggers!$A$1,0,0,COUNTA(enemy_skill_triggers!$A:$A),MATCH(H$1,enemy_skill_triggers!$1:$1,0)-MATCH($F$1,enemy_skill_triggers!$1:$1,0)+1),MATCH(H$1,enemy_skill_triggers!$1:$1,0)-MATCH($F$1,enemy_skill_triggers!$1:$1,0)+1,FALSE)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1" s="109">
        <f ca="1">VLOOKUP($F211,OFFSET(enemy_skill_triggers!$A$1,0,0,COUNTA(enemy_skill_triggers!$A:$A),MATCH(I$1,enemy_skill_triggers!$1:$1,0)-MATCH($F$1,enemy_skill_triggers!$1:$1,0)+1),MATCH(I$1,enemy_skill_triggers!$1:$1,0)-MATCH($F$1,enemy_skill_triggers!$1:$1,0)+1,FALSE)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1" s="109" t="str">
        <f ca="1">VLOOKUP($F211,OFFSET(enemy_skill_triggers!$A$1,0,0,COUNTA(enemy_skill_triggers!$A:$A),MATCH(J$1,enemy_skill_triggers!$1:$1,0)-MATCH($F$1,enemy_skill_triggers!$1:$1,0)+1),MATCH(J$1,enemy_skill_triggers!$1:$1,0)-MATCH($F$1,enemy_skill_triggers!$1:$1,0)+1,FALSE)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1" s="109" t="str">
        <f ca="1">VLOOKUP($F211,OFFSET(enemy_skill_triggers!$A$1,0,0,COUNTA(enemy_skill_triggers!$A:$A),MATCH(K$1,enemy_skill_triggers!$1:$1,0)-MATCH($F$1,enemy_skill_triggers!$1:$1,0)+1),MATCH(K$1,enemy_skill_triggers!$1:$1,0)-MATCH($F$1,enemy_skill_triggers!$1:$1,0)+1,FALSE)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1" s="109">
        <f ca="1">VLOOKUP($F211,OFFSET(enemy_skill_triggers!$A$1,0,0,COUNTA(enemy_skill_triggers!$A:$A),MATCH(L$1,enemy_skill_triggers!$1:$1,0)-MATCH($F$1,enemy_skill_triggers!$1:$1,0)+1),MATCH(L$1,enemy_skill_triggers!$1:$1,0)-MATCH($F$1,enemy_skill_triggers!$1:$1,0)+1,FALSE)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1" s="109" t="str">
        <f ca="1">VLOOKUP($F211,OFFSET(enemy_skill_triggers!$A$1,0,0,COUNTA(enemy_skill_triggers!$A:$A),MATCH(M$1,enemy_skill_triggers!$1:$1,0)-MATCH($F$1,enemy_skill_triggers!$1:$1,0)+1),MATCH(M$1,enemy_skill_triggers!$1:$1,0)-MATCH($F$1,enemy_skill_triggers!$1:$1,0)+1,FALSE)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1" s="109" t="str">
        <f ca="1">VLOOKUP($F211,OFFSET(enemy_skill_triggers!$A$1,0,0,COUNTA(enemy_skill_triggers!$A:$A),MATCH(N$1,enemy_skill_triggers!$1:$1,0)-MATCH($F$1,enemy_skill_triggers!$1:$1,0)+1),MATCH(N$1,enemy_skill_triggers!$1:$1,0)-MATCH($F$1,enemy_skill_triggers!$1:$1,0)+1,FALSE)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1" s="109">
        <f ca="1">VLOOKUP($F211,OFFSET(enemy_skill_triggers!$A$1,0,0,COUNTA(enemy_skill_triggers!$A:$A),MATCH(O$1,enemy_skill_triggers!$1:$1,0)-MATCH($F$1,enemy_skill_triggers!$1:$1,0)+1),MATCH(O$1,enemy_skill_triggers!$1:$1,0)-MATCH($F$1,enemy_skill_triggers!$1:$1,0)+1,FALSE)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1" s="106"/>
      <c r="Q211" s="106"/>
      <c r="R211" s="106"/>
    </row>
    <row r="212" spans="1:18" ht="21" customHeight="1" x14ac:dyDescent="0.15">
      <c r="A212" s="39" t="str">
        <f t="shared" si="3"/>
        <v>49015017_49015158</v>
      </c>
      <c r="B212" s="106">
        <v>49015017</v>
      </c>
      <c r="C212" s="126">
        <v>49015158</v>
      </c>
      <c r="D212" s="46" t="str">
        <f ca="1">VLOOKUP($C212,OFFSET(enemy_skills!$A$1,0,0,COUNTA(enemy_skills!$A:$A),MATCH(D$1,enemy_skills!$1:$1,0)-MATCH("enemy_skill_id",enemy_skills!$1:$1,0)+1),MATCH(D$1,enemy_skills!$1:$1,0)-MATCH("enemy_skill_id",enemy_skills!$1:$1,0)+1,FALSE)</f>
        <v>面白い人たちだ</v>
      </c>
      <c r="E212" s="46" t="str">
        <f ca="1">VLOOKUP($C212,OFFSET(enemy_skills!$A$1,0,0,COUNTA(enemy_skills!$A:$A),MATCH(E$1,enemy_skills!$1:$1,0)-MATCH("enemy_skill_id",enemy_skills!$1:$1,0)+1),MATCH(E$1,enemy_skills!$1:$1,0)-MATCH("enemy_skill_id",enemy_skills!$1:$1,0)+1,FALSE)</f>
        <v>全体攻撃+_x000D_１ターン全ユニットにスキルバインド</v>
      </c>
      <c r="F212" s="126">
        <v>49015211</v>
      </c>
      <c r="G212" s="48">
        <f ca="1">VLOOKUP($F212,OFFSET(enemy_skill_triggers!$A$1,0,0,COUNTA(enemy_skill_triggers!$A:$A),MATCH(G$1,enemy_skill_triggers!$1:$1,0)-MATCH($F$1,enemy_skill_triggers!$1:$1,0)+1),MATCH(G$1,enemy_skill_triggers!$1:$1,0)-MATCH($F$1,enemy_skill_triggers!$1:$1,0)+1,FALSE)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2" s="48">
        <f ca="1">VLOOKUP($F212,OFFSET(enemy_skill_triggers!$A$1,0,0,COUNTA(enemy_skill_triggers!$A:$A),MATCH(H$1,enemy_skill_triggers!$1:$1,0)-MATCH($F$1,enemy_skill_triggers!$1:$1,0)+1),MATCH(H$1,enemy_skill_triggers!$1:$1,0)-MATCH($F$1,enemy_skill_triggers!$1:$1,0)+1,FALSE)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12" s="48">
        <f ca="1">VLOOKUP($F212,OFFSET(enemy_skill_triggers!$A$1,0,0,COUNTA(enemy_skill_triggers!$A:$A),MATCH(I$1,enemy_skill_triggers!$1:$1,0)-MATCH($F$1,enemy_skill_triggers!$1:$1,0)+1),MATCH(I$1,enemy_skill_triggers!$1:$1,0)-MATCH($F$1,enemy_skill_triggers!$1:$1,0)+1,FALSE)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12" s="48" t="str">
        <f ca="1">VLOOKUP($F212,OFFSET(enemy_skill_triggers!$A$1,0,0,COUNTA(enemy_skill_triggers!$A:$A),MATCH(J$1,enemy_skill_triggers!$1:$1,0)-MATCH($F$1,enemy_skill_triggers!$1:$1,0)+1),MATCH(J$1,enemy_skill_triggers!$1:$1,0)-MATCH($F$1,enemy_skill_triggers!$1:$1,0)+1,FALSE)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2" s="48" t="str">
        <f ca="1">VLOOKUP($F212,OFFSET(enemy_skill_triggers!$A$1,0,0,COUNTA(enemy_skill_triggers!$A:$A),MATCH(K$1,enemy_skill_triggers!$1:$1,0)-MATCH($F$1,enemy_skill_triggers!$1:$1,0)+1),MATCH(K$1,enemy_skill_triggers!$1:$1,0)-MATCH($F$1,enemy_skill_triggers!$1:$1,0)+1,FALSE)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2" s="48" t="str">
        <f ca="1">VLOOKUP($F212,OFFSET(enemy_skill_triggers!$A$1,0,0,COUNTA(enemy_skill_triggers!$A:$A),MATCH(L$1,enemy_skill_triggers!$1:$1,0)-MATCH($F$1,enemy_skill_triggers!$1:$1,0)+1),MATCH(L$1,enemy_skill_triggers!$1:$1,0)-MATCH($F$1,enemy_skill_triggers!$1:$1,0)+1,FALSE)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2" s="48" t="str">
        <f ca="1">VLOOKUP($F212,OFFSET(enemy_skill_triggers!$A$1,0,0,COUNTA(enemy_skill_triggers!$A:$A),MATCH(M$1,enemy_skill_triggers!$1:$1,0)-MATCH($F$1,enemy_skill_triggers!$1:$1,0)+1),MATCH(M$1,enemy_skill_triggers!$1:$1,0)-MATCH($F$1,enemy_skill_triggers!$1:$1,0)+1,FALSE)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2" s="48" t="str">
        <f ca="1">VLOOKUP($F212,OFFSET(enemy_skill_triggers!$A$1,0,0,COUNTA(enemy_skill_triggers!$A:$A),MATCH(N$1,enemy_skill_triggers!$1:$1,0)-MATCH($F$1,enemy_skill_triggers!$1:$1,0)+1),MATCH(N$1,enemy_skill_triggers!$1:$1,0)-MATCH($F$1,enemy_skill_triggers!$1:$1,0)+1,FALSE)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2" s="48">
        <f ca="1">VLOOKUP($F212,OFFSET(enemy_skill_triggers!$A$1,0,0,COUNTA(enemy_skill_triggers!$A:$A),MATCH(O$1,enemy_skill_triggers!$1:$1,0)-MATCH($F$1,enemy_skill_triggers!$1:$1,0)+1),MATCH(O$1,enemy_skill_triggers!$1:$1,0)-MATCH($F$1,enemy_skill_triggers!$1:$1,0)+1,FALSE)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12" s="47"/>
      <c r="Q212" s="47"/>
      <c r="R212" s="47"/>
    </row>
    <row r="213" spans="1:18" ht="21" customHeight="1" x14ac:dyDescent="0.15">
      <c r="A213" s="39" t="str">
        <f t="shared" si="3"/>
        <v>49015017_49015159</v>
      </c>
      <c r="B213" s="106">
        <v>49015017</v>
      </c>
      <c r="C213" s="126">
        <v>49015159</v>
      </c>
      <c r="D213" s="46" t="str">
        <f ca="1">VLOOKUP($C213,OFFSET(enemy_skills!$A$1,0,0,COUNTA(enemy_skills!$A:$A),MATCH(D$1,enemy_skills!$1:$1,0)-MATCH("enemy_skill_id",enemy_skills!$1:$1,0)+1),MATCH(D$1,enemy_skills!$1:$1,0)-MATCH("enemy_skill_id",enemy_skills!$1:$1,0)+1,FALSE)</f>
        <v>逃がしませんよ</v>
      </c>
      <c r="E213" s="46" t="str">
        <f ca="1">VLOOKUP($C213,OFFSET(enemy_skills!$A$1,0,0,COUNTA(enemy_skills!$A:$A),MATCH(E$1,enemy_skills!$1:$1,0)-MATCH("enemy_skill_id",enemy_skills!$1:$1,0)+1),MATCH(E$1,enemy_skills!$1:$1,0)-MATCH("enemy_skill_id",enemy_skills!$1:$1,0)+1,FALSE)</f>
        <v>単体攻撃+_x000D_フィーバーゲージ10%減少</v>
      </c>
      <c r="F213" s="126">
        <v>49015212</v>
      </c>
      <c r="G213" s="48">
        <f ca="1">VLOOKUP($F213,OFFSET(enemy_skill_triggers!$A$1,0,0,COUNTA(enemy_skill_triggers!$A:$A),MATCH(G$1,enemy_skill_triggers!$1:$1,0)-MATCH($F$1,enemy_skill_triggers!$1:$1,0)+1),MATCH(G$1,enemy_skill_triggers!$1:$1,0)-MATCH($F$1,enemy_skill_triggers!$1:$1,0)+1,FALSE)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3" s="48">
        <f ca="1">VLOOKUP($F213,OFFSET(enemy_skill_triggers!$A$1,0,0,COUNTA(enemy_skill_triggers!$A:$A),MATCH(H$1,enemy_skill_triggers!$1:$1,0)-MATCH($F$1,enemy_skill_triggers!$1:$1,0)+1),MATCH(H$1,enemy_skill_triggers!$1:$1,0)-MATCH($F$1,enemy_skill_triggers!$1:$1,0)+1,FALSE)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213" s="48">
        <f ca="1">VLOOKUP($F213,OFFSET(enemy_skill_triggers!$A$1,0,0,COUNTA(enemy_skill_triggers!$A:$A),MATCH(I$1,enemy_skill_triggers!$1:$1,0)-MATCH($F$1,enemy_skill_triggers!$1:$1,0)+1),MATCH(I$1,enemy_skill_triggers!$1:$1,0)-MATCH($F$1,enemy_skill_triggers!$1:$1,0)+1,FALSE)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13" s="48" t="str">
        <f ca="1">VLOOKUP($F213,OFFSET(enemy_skill_triggers!$A$1,0,0,COUNTA(enemy_skill_triggers!$A:$A),MATCH(J$1,enemy_skill_triggers!$1:$1,0)-MATCH($F$1,enemy_skill_triggers!$1:$1,0)+1),MATCH(J$1,enemy_skill_triggers!$1:$1,0)-MATCH($F$1,enemy_skill_triggers!$1:$1,0)+1,FALSE)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3" s="48" t="str">
        <f ca="1">VLOOKUP($F213,OFFSET(enemy_skill_triggers!$A$1,0,0,COUNTA(enemy_skill_triggers!$A:$A),MATCH(K$1,enemy_skill_triggers!$1:$1,0)-MATCH($F$1,enemy_skill_triggers!$1:$1,0)+1),MATCH(K$1,enemy_skill_triggers!$1:$1,0)-MATCH($F$1,enemy_skill_triggers!$1:$1,0)+1,FALSE)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3" s="48" t="str">
        <f ca="1">VLOOKUP($F213,OFFSET(enemy_skill_triggers!$A$1,0,0,COUNTA(enemy_skill_triggers!$A:$A),MATCH(L$1,enemy_skill_triggers!$1:$1,0)-MATCH($F$1,enemy_skill_triggers!$1:$1,0)+1),MATCH(L$1,enemy_skill_triggers!$1:$1,0)-MATCH($F$1,enemy_skill_triggers!$1:$1,0)+1,FALSE)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3" s="48" t="str">
        <f ca="1">VLOOKUP($F213,OFFSET(enemy_skill_triggers!$A$1,0,0,COUNTA(enemy_skill_triggers!$A:$A),MATCH(M$1,enemy_skill_triggers!$1:$1,0)-MATCH($F$1,enemy_skill_triggers!$1:$1,0)+1),MATCH(M$1,enemy_skill_triggers!$1:$1,0)-MATCH($F$1,enemy_skill_triggers!$1:$1,0)+1,FALSE)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3" s="48" t="str">
        <f ca="1">VLOOKUP($F213,OFFSET(enemy_skill_triggers!$A$1,0,0,COUNTA(enemy_skill_triggers!$A:$A),MATCH(N$1,enemy_skill_triggers!$1:$1,0)-MATCH($F$1,enemy_skill_triggers!$1:$1,0)+1),MATCH(N$1,enemy_skill_triggers!$1:$1,0)-MATCH($F$1,enemy_skill_triggers!$1:$1,0)+1,FALSE)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3" s="48">
        <f ca="1">VLOOKUP($F213,OFFSET(enemy_skill_triggers!$A$1,0,0,COUNTA(enemy_skill_triggers!$A:$A),MATCH(O$1,enemy_skill_triggers!$1:$1,0)-MATCH($F$1,enemy_skill_triggers!$1:$1,0)+1),MATCH(O$1,enemy_skill_triggers!$1:$1,0)-MATCH($F$1,enemy_skill_triggers!$1:$1,0)+1,FALSE)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13" s="47"/>
      <c r="Q213" s="47"/>
      <c r="R213" s="47"/>
    </row>
    <row r="214" spans="1:18" ht="21" customHeight="1" x14ac:dyDescent="0.15">
      <c r="A214" s="39" t="str">
        <f t="shared" si="3"/>
        <v>49015017_49015160</v>
      </c>
      <c r="B214" s="106">
        <v>49015017</v>
      </c>
      <c r="C214" s="126">
        <v>49015160</v>
      </c>
      <c r="D214" s="46" t="str">
        <f ca="1">VLOOKUP($C214,OFFSET(enemy_skills!$A$1,0,0,COUNTA(enemy_skills!$A:$A),MATCH(D$1,enemy_skills!$1:$1,0)-MATCH("enemy_skill_id",enemy_skills!$1:$1,0)+1),MATCH(D$1,enemy_skills!$1:$1,0)-MATCH("enemy_skill_id",enemy_skills!$1:$1,0)+1,FALSE)</f>
        <v>油断はしませんよ</v>
      </c>
      <c r="E214" s="46" t="str">
        <f ca="1">VLOOKUP($C214,OFFSET(enemy_skills!$A$1,0,0,COUNTA(enemy_skills!$A:$A),MATCH(E$1,enemy_skills!$1:$1,0)-MATCH("enemy_skill_id",enemy_skills!$1:$1,0)+1),MATCH(E$1,enemy_skills!$1:$1,0)-MATCH("enemy_skill_id",enemy_skills!$1:$1,0)+1,FALSE)</f>
        <v>単体攻撃+_x000D_ランダムで赤のダメージパネルに最大3個変換</v>
      </c>
      <c r="F214" s="126">
        <v>49015213</v>
      </c>
      <c r="G214" s="48">
        <f ca="1">VLOOKUP($F214,OFFSET(enemy_skill_triggers!$A$1,0,0,COUNTA(enemy_skill_triggers!$A:$A),MATCH(G$1,enemy_skill_triggers!$1:$1,0)-MATCH($F$1,enemy_skill_triggers!$1:$1,0)+1),MATCH(G$1,enemy_skill_triggers!$1:$1,0)-MATCH($F$1,enemy_skill_triggers!$1:$1,0)+1,FALSE)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4" s="48">
        <f ca="1">VLOOKUP($F214,OFFSET(enemy_skill_triggers!$A$1,0,0,COUNTA(enemy_skill_triggers!$A:$A),MATCH(H$1,enemy_skill_triggers!$1:$1,0)-MATCH($F$1,enemy_skill_triggers!$1:$1,0)+1),MATCH(H$1,enemy_skill_triggers!$1:$1,0)-MATCH($F$1,enemy_skill_triggers!$1:$1,0)+1,FALSE)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14" s="48">
        <f ca="1">VLOOKUP($F214,OFFSET(enemy_skill_triggers!$A$1,0,0,COUNTA(enemy_skill_triggers!$A:$A),MATCH(I$1,enemy_skill_triggers!$1:$1,0)-MATCH($F$1,enemy_skill_triggers!$1:$1,0)+1),MATCH(I$1,enemy_skill_triggers!$1:$1,0)-MATCH($F$1,enemy_skill_triggers!$1:$1,0)+1,FALSE)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4" s="48" t="str">
        <f ca="1">VLOOKUP($F214,OFFSET(enemy_skill_triggers!$A$1,0,0,COUNTA(enemy_skill_triggers!$A:$A),MATCH(J$1,enemy_skill_triggers!$1:$1,0)-MATCH($F$1,enemy_skill_triggers!$1:$1,0)+1),MATCH(J$1,enemy_skill_triggers!$1:$1,0)-MATCH($F$1,enemy_skill_triggers!$1:$1,0)+1,FALSE)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4" s="48" t="str">
        <f ca="1">VLOOKUP($F214,OFFSET(enemy_skill_triggers!$A$1,0,0,COUNTA(enemy_skill_triggers!$A:$A),MATCH(K$1,enemy_skill_triggers!$1:$1,0)-MATCH($F$1,enemy_skill_triggers!$1:$1,0)+1),MATCH(K$1,enemy_skill_triggers!$1:$1,0)-MATCH($F$1,enemy_skill_triggers!$1:$1,0)+1,FALSE)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4" s="48" t="str">
        <f ca="1">VLOOKUP($F214,OFFSET(enemy_skill_triggers!$A$1,0,0,COUNTA(enemy_skill_triggers!$A:$A),MATCH(L$1,enemy_skill_triggers!$1:$1,0)-MATCH($F$1,enemy_skill_triggers!$1:$1,0)+1),MATCH(L$1,enemy_skill_triggers!$1:$1,0)-MATCH($F$1,enemy_skill_triggers!$1:$1,0)+1,FALSE)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4" s="48" t="str">
        <f ca="1">VLOOKUP($F214,OFFSET(enemy_skill_triggers!$A$1,0,0,COUNTA(enemy_skill_triggers!$A:$A),MATCH(M$1,enemy_skill_triggers!$1:$1,0)-MATCH($F$1,enemy_skill_triggers!$1:$1,0)+1),MATCH(M$1,enemy_skill_triggers!$1:$1,0)-MATCH($F$1,enemy_skill_triggers!$1:$1,0)+1,FALSE)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4" s="48" t="str">
        <f ca="1">VLOOKUP($F214,OFFSET(enemy_skill_triggers!$A$1,0,0,COUNTA(enemy_skill_triggers!$A:$A),MATCH(N$1,enemy_skill_triggers!$1:$1,0)-MATCH($F$1,enemy_skill_triggers!$1:$1,0)+1),MATCH(N$1,enemy_skill_triggers!$1:$1,0)-MATCH($F$1,enemy_skill_triggers!$1:$1,0)+1,FALSE)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4" s="48">
        <f ca="1">VLOOKUP($F214,OFFSET(enemy_skill_triggers!$A$1,0,0,COUNTA(enemy_skill_triggers!$A:$A),MATCH(O$1,enemy_skill_triggers!$1:$1,0)-MATCH($F$1,enemy_skill_triggers!$1:$1,0)+1),MATCH(O$1,enemy_skill_triggers!$1:$1,0)-MATCH($F$1,enemy_skill_triggers!$1:$1,0)+1,FALSE)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4" s="47"/>
      <c r="Q214" s="47"/>
      <c r="R214" s="47"/>
    </row>
    <row r="215" spans="1:18" ht="21" customHeight="1" x14ac:dyDescent="0.15">
      <c r="A215" s="39" t="str">
        <f t="shared" si="3"/>
        <v>49015017_49015161</v>
      </c>
      <c r="B215" s="106">
        <v>49015017</v>
      </c>
      <c r="C215" s="126">
        <v>49015161</v>
      </c>
      <c r="D215" s="46" t="str">
        <f ca="1">VLOOKUP($C215,OFFSET(enemy_skills!$A$1,0,0,COUNTA(enemy_skills!$A:$A),MATCH(D$1,enemy_skills!$1:$1,0)-MATCH("enemy_skill_id",enemy_skills!$1:$1,0)+1),MATCH(D$1,enemy_skills!$1:$1,0)-MATCH("enemy_skill_id",enemy_skills!$1:$1,0)+1,FALSE)</f>
        <v>傲慢</v>
      </c>
      <c r="E215" s="46" t="str">
        <f ca="1">VLOOKUP($C215,OFFSET(enemy_skills!$A$1,0,0,COUNTA(enemy_skills!$A:$A),MATCH(E$1,enemy_skills!$1:$1,0)-MATCH("enemy_skill_id",enemy_skills!$1:$1,0)+1),MATCH(E$1,enemy_skills!$1:$1,0)-MATCH("enemy_skill_id",enemy_skills!$1:$1,0)+1,FALSE)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</v>
      </c>
      <c r="F215" s="126">
        <v>49015214</v>
      </c>
      <c r="G215" s="48">
        <f ca="1">VLOOKUP($F215,OFFSET(enemy_skill_triggers!$A$1,0,0,COUNTA(enemy_skill_triggers!$A:$A),MATCH(G$1,enemy_skill_triggers!$1:$1,0)-MATCH($F$1,enemy_skill_triggers!$1:$1,0)+1),MATCH(G$1,enemy_skill_triggers!$1:$1,0)-MATCH($F$1,enemy_skill_triggers!$1:$1,0)+1,FALSE)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5" s="48">
        <f ca="1">VLOOKUP($F215,OFFSET(enemy_skill_triggers!$A$1,0,0,COUNTA(enemy_skill_triggers!$A:$A),MATCH(H$1,enemy_skill_triggers!$1:$1,0)-MATCH($F$1,enemy_skill_triggers!$1:$1,0)+1),MATCH(H$1,enemy_skill_triggers!$1:$1,0)-MATCH($F$1,enemy_skill_triggers!$1:$1,0)+1,FALSE)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15" s="48">
        <f ca="1">VLOOKUP($F215,OFFSET(enemy_skill_triggers!$A$1,0,0,COUNTA(enemy_skill_triggers!$A:$A),MATCH(I$1,enemy_skill_triggers!$1:$1,0)-MATCH($F$1,enemy_skill_triggers!$1:$1,0)+1),MATCH(I$1,enemy_skill_triggers!$1:$1,0)-MATCH($F$1,enemy_skill_triggers!$1:$1,0)+1,FALSE)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5" s="48" t="str">
        <f ca="1">VLOOKUP($F215,OFFSET(enemy_skill_triggers!$A$1,0,0,COUNTA(enemy_skill_triggers!$A:$A),MATCH(J$1,enemy_skill_triggers!$1:$1,0)-MATCH($F$1,enemy_skill_triggers!$1:$1,0)+1),MATCH(J$1,enemy_skill_triggers!$1:$1,0)-MATCH($F$1,enemy_skill_triggers!$1:$1,0)+1,FALSE)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5" s="48" t="str">
        <f ca="1">VLOOKUP($F215,OFFSET(enemy_skill_triggers!$A$1,0,0,COUNTA(enemy_skill_triggers!$A:$A),MATCH(K$1,enemy_skill_triggers!$1:$1,0)-MATCH($F$1,enemy_skill_triggers!$1:$1,0)+1),MATCH(K$1,enemy_skill_triggers!$1:$1,0)-MATCH($F$1,enemy_skill_triggers!$1:$1,0)+1,FALSE)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5" s="48">
        <f ca="1">VLOOKUP($F215,OFFSET(enemy_skill_triggers!$A$1,0,0,COUNTA(enemy_skill_triggers!$A:$A),MATCH(L$1,enemy_skill_triggers!$1:$1,0)-MATCH($F$1,enemy_skill_triggers!$1:$1,0)+1),MATCH(L$1,enemy_skill_triggers!$1:$1,0)-MATCH($F$1,enemy_skill_triggers!$1:$1,0)+1,FALSE)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15" s="48">
        <f ca="1">VLOOKUP($F215,OFFSET(enemy_skill_triggers!$A$1,0,0,COUNTA(enemy_skill_triggers!$A:$A),MATCH(M$1,enemy_skill_triggers!$1:$1,0)-MATCH($F$1,enemy_skill_triggers!$1:$1,0)+1),MATCH(M$1,enemy_skill_triggers!$1:$1,0)-MATCH($F$1,enemy_skill_triggers!$1:$1,0)+1,FALSE)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15" s="48" t="str">
        <f ca="1">VLOOKUP($F215,OFFSET(enemy_skill_triggers!$A$1,0,0,COUNTA(enemy_skill_triggers!$A:$A),MATCH(N$1,enemy_skill_triggers!$1:$1,0)-MATCH($F$1,enemy_skill_triggers!$1:$1,0)+1),MATCH(N$1,enemy_skill_triggers!$1:$1,0)-MATCH($F$1,enemy_skill_triggers!$1:$1,0)+1,FALSE)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5" s="48">
        <f ca="1">VLOOKUP($F215,OFFSET(enemy_skill_triggers!$A$1,0,0,COUNTA(enemy_skill_triggers!$A:$A),MATCH(O$1,enemy_skill_triggers!$1:$1,0)-MATCH($F$1,enemy_skill_triggers!$1:$1,0)+1),MATCH(O$1,enemy_skill_triggers!$1:$1,0)-MATCH($F$1,enemy_skill_triggers!$1:$1,0)+1,FALSE)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5" s="47"/>
      <c r="Q215" s="47"/>
      <c r="R215" s="47"/>
    </row>
    <row r="216" spans="1:18" ht="21" customHeight="1" x14ac:dyDescent="0.15">
      <c r="A216" s="39" t="str">
        <f t="shared" si="3"/>
        <v>49015017_49015162</v>
      </c>
      <c r="B216" s="106">
        <v>49015017</v>
      </c>
      <c r="C216" s="126">
        <v>49015162</v>
      </c>
      <c r="D216" s="46" t="str">
        <f ca="1">VLOOKUP($C216,OFFSET(enemy_skills!$A$1,0,0,COUNTA(enemy_skills!$A:$A),MATCH(D$1,enemy_skills!$1:$1,0)-MATCH("enemy_skill_id",enemy_skills!$1:$1,0)+1),MATCH(D$1,enemy_skills!$1:$1,0)-MATCH("enemy_skill_id",enemy_skills!$1:$1,0)+1,FALSE)</f>
        <v>這い寄る暗闇</v>
      </c>
      <c r="E216" s="46" t="str">
        <f ca="1">VLOOKUP($C216,OFFSET(enemy_skills!$A$1,0,0,COUNTA(enemy_skills!$A:$A),MATCH(E$1,enemy_skills!$1:$1,0)-MATCH("enemy_skill_id",enemy_skills!$1:$1,0)+1),MATCH(E$1,enemy_skills!$1:$1,0)-MATCH("enemy_skill_id",enemy_skills!$1:$1,0)+1,FALSE)</f>
        <v>残りHPの30%ダメージ！</v>
      </c>
      <c r="F216" s="126">
        <v>49015215</v>
      </c>
      <c r="G216" s="48">
        <f ca="1">VLOOKUP($F216,OFFSET(enemy_skill_triggers!$A$1,0,0,COUNTA(enemy_skill_triggers!$A:$A),MATCH(G$1,enemy_skill_triggers!$1:$1,0)-MATCH($F$1,enemy_skill_triggers!$1:$1,0)+1),MATCH(G$1,enemy_skill_triggers!$1:$1,0)-MATCH($F$1,enemy_skill_triggers!$1:$1,0)+1,FALSE)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6" s="48">
        <f ca="1">VLOOKUP($F216,OFFSET(enemy_skill_triggers!$A$1,0,0,COUNTA(enemy_skill_triggers!$A:$A),MATCH(H$1,enemy_skill_triggers!$1:$1,0)-MATCH($F$1,enemy_skill_triggers!$1:$1,0)+1),MATCH(H$1,enemy_skill_triggers!$1:$1,0)-MATCH($F$1,enemy_skill_triggers!$1:$1,0)+1,FALSE)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16" s="48">
        <f ca="1">VLOOKUP($F216,OFFSET(enemy_skill_triggers!$A$1,0,0,COUNTA(enemy_skill_triggers!$A:$A),MATCH(I$1,enemy_skill_triggers!$1:$1,0)-MATCH($F$1,enemy_skill_triggers!$1:$1,0)+1),MATCH(I$1,enemy_skill_triggers!$1:$1,0)-MATCH($F$1,enemy_skill_triggers!$1:$1,0)+1,FALSE)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6" s="48" t="str">
        <f ca="1">VLOOKUP($F216,OFFSET(enemy_skill_triggers!$A$1,0,0,COUNTA(enemy_skill_triggers!$A:$A),MATCH(J$1,enemy_skill_triggers!$1:$1,0)-MATCH($F$1,enemy_skill_triggers!$1:$1,0)+1),MATCH(J$1,enemy_skill_triggers!$1:$1,0)-MATCH($F$1,enemy_skill_triggers!$1:$1,0)+1,FALSE)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6" s="48" t="str">
        <f ca="1">VLOOKUP($F216,OFFSET(enemy_skill_triggers!$A$1,0,0,COUNTA(enemy_skill_triggers!$A:$A),MATCH(K$1,enemy_skill_triggers!$1:$1,0)-MATCH($F$1,enemy_skill_triggers!$1:$1,0)+1),MATCH(K$1,enemy_skill_triggers!$1:$1,0)-MATCH($F$1,enemy_skill_triggers!$1:$1,0)+1,FALSE)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6" s="48" t="str">
        <f ca="1">VLOOKUP($F216,OFFSET(enemy_skill_triggers!$A$1,0,0,COUNTA(enemy_skill_triggers!$A:$A),MATCH(L$1,enemy_skill_triggers!$1:$1,0)-MATCH($F$1,enemy_skill_triggers!$1:$1,0)+1),MATCH(L$1,enemy_skill_triggers!$1:$1,0)-MATCH($F$1,enemy_skill_triggers!$1:$1,0)+1,FALSE)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6" s="48">
        <f ca="1">VLOOKUP($F216,OFFSET(enemy_skill_triggers!$A$1,0,0,COUNTA(enemy_skill_triggers!$A:$A),MATCH(M$1,enemy_skill_triggers!$1:$1,0)-MATCH($F$1,enemy_skill_triggers!$1:$1,0)+1),MATCH(M$1,enemy_skill_triggers!$1:$1,0)-MATCH($F$1,enemy_skill_triggers!$1:$1,0)+1,FALSE)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16" s="48" t="str">
        <f ca="1">VLOOKUP($F216,OFFSET(enemy_skill_triggers!$A$1,0,0,COUNTA(enemy_skill_triggers!$A:$A),MATCH(N$1,enemy_skill_triggers!$1:$1,0)-MATCH($F$1,enemy_skill_triggers!$1:$1,0)+1),MATCH(N$1,enemy_skill_triggers!$1:$1,0)-MATCH($F$1,enemy_skill_triggers!$1:$1,0)+1,FALSE)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6" s="48">
        <f ca="1">VLOOKUP($F216,OFFSET(enemy_skill_triggers!$A$1,0,0,COUNTA(enemy_skill_triggers!$A:$A),MATCH(O$1,enemy_skill_triggers!$1:$1,0)-MATCH($F$1,enemy_skill_triggers!$1:$1,0)+1),MATCH(O$1,enemy_skill_triggers!$1:$1,0)-MATCH($F$1,enemy_skill_triggers!$1:$1,0)+1,FALSE)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6" s="47"/>
      <c r="Q216" s="47"/>
      <c r="R216" s="47"/>
    </row>
    <row r="217" spans="1:18" ht="21" customHeight="1" x14ac:dyDescent="0.15">
      <c r="A217" s="39" t="str">
        <f t="shared" si="3"/>
        <v>49015017_49015163</v>
      </c>
      <c r="B217" s="106">
        <v>49015017</v>
      </c>
      <c r="C217" s="126">
        <v>49015163</v>
      </c>
      <c r="D217" s="46" t="str">
        <f ca="1">VLOOKUP($C217,OFFSET(enemy_skills!$A$1,0,0,COUNTA(enemy_skills!$A:$A),MATCH(D$1,enemy_skills!$1:$1,0)-MATCH("enemy_skill_id",enemy_skills!$1:$1,0)+1),MATCH(D$1,enemy_skills!$1:$1,0)-MATCH("enemy_skill_id",enemy_skills!$1:$1,0)+1,FALSE)</f>
        <v>約束の日が…</v>
      </c>
      <c r="E217" s="46" t="str">
        <f ca="1">VLOOKUP($C217,OFFSET(enemy_skills!$A$1,0,0,COUNTA(enemy_skills!$A:$A),MATCH(E$1,enemy_skills!$1:$1,0)-MATCH("enemy_skill_id",enemy_skills!$1:$1,0)+1),MATCH(E$1,enemy_skills!$1:$1,0)-MATCH("enemy_skill_id",enemy_skills!$1:$1,0)+1,FALSE)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217" s="126">
        <v>49015216</v>
      </c>
      <c r="G217" s="48">
        <f ca="1">VLOOKUP($F217,OFFSET(enemy_skill_triggers!$A$1,0,0,COUNTA(enemy_skill_triggers!$A:$A),MATCH(G$1,enemy_skill_triggers!$1:$1,0)-MATCH($F$1,enemy_skill_triggers!$1:$1,0)+1),MATCH(G$1,enemy_skill_triggers!$1:$1,0)-MATCH($F$1,enemy_skill_triggers!$1:$1,0)+1,FALSE)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7" s="48">
        <f ca="1">VLOOKUP($F217,OFFSET(enemy_skill_triggers!$A$1,0,0,COUNTA(enemy_skill_triggers!$A:$A),MATCH(H$1,enemy_skill_triggers!$1:$1,0)-MATCH($F$1,enemy_skill_triggers!$1:$1,0)+1),MATCH(H$1,enemy_skill_triggers!$1:$1,0)-MATCH($F$1,enemy_skill_triggers!$1:$1,0)+1,FALSE)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217" s="48">
        <f ca="1">VLOOKUP($F217,OFFSET(enemy_skill_triggers!$A$1,0,0,COUNTA(enemy_skill_triggers!$A:$A),MATCH(I$1,enemy_skill_triggers!$1:$1,0)-MATCH($F$1,enemy_skill_triggers!$1:$1,0)+1),MATCH(I$1,enemy_skill_triggers!$1:$1,0)-MATCH($F$1,enemy_skill_triggers!$1:$1,0)+1,FALSE)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7" s="48" t="str">
        <f ca="1">VLOOKUP($F217,OFFSET(enemy_skill_triggers!$A$1,0,0,COUNTA(enemy_skill_triggers!$A:$A),MATCH(J$1,enemy_skill_triggers!$1:$1,0)-MATCH($F$1,enemy_skill_triggers!$1:$1,0)+1),MATCH(J$1,enemy_skill_triggers!$1:$1,0)-MATCH($F$1,enemy_skill_triggers!$1:$1,0)+1,FALSE)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7" s="48" t="str">
        <f ca="1">VLOOKUP($F217,OFFSET(enemy_skill_triggers!$A$1,0,0,COUNTA(enemy_skill_triggers!$A:$A),MATCH(K$1,enemy_skill_triggers!$1:$1,0)-MATCH($F$1,enemy_skill_triggers!$1:$1,0)+1),MATCH(K$1,enemy_skill_triggers!$1:$1,0)-MATCH($F$1,enemy_skill_triggers!$1:$1,0)+1,FALSE)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7" s="48">
        <f ca="1">VLOOKUP($F217,OFFSET(enemy_skill_triggers!$A$1,0,0,COUNTA(enemy_skill_triggers!$A:$A),MATCH(L$1,enemy_skill_triggers!$1:$1,0)-MATCH($F$1,enemy_skill_triggers!$1:$1,0)+1),MATCH(L$1,enemy_skill_triggers!$1:$1,0)-MATCH($F$1,enemy_skill_triggers!$1:$1,0)+1,FALSE)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7" s="48" t="str">
        <f ca="1">VLOOKUP($F217,OFFSET(enemy_skill_triggers!$A$1,0,0,COUNTA(enemy_skill_triggers!$A:$A),MATCH(M$1,enemy_skill_triggers!$1:$1,0)-MATCH($F$1,enemy_skill_triggers!$1:$1,0)+1),MATCH(M$1,enemy_skill_triggers!$1:$1,0)-MATCH($F$1,enemy_skill_triggers!$1:$1,0)+1,FALSE)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7" s="48">
        <f ca="1">VLOOKUP($F217,OFFSET(enemy_skill_triggers!$A$1,0,0,COUNTA(enemy_skill_triggers!$A:$A),MATCH(N$1,enemy_skill_triggers!$1:$1,0)-MATCH($F$1,enemy_skill_triggers!$1:$1,0)+1),MATCH(N$1,enemy_skill_triggers!$1:$1,0)-MATCH($F$1,enemy_skill_triggers!$1:$1,0)+1,FALSE)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17" s="48">
        <f ca="1">VLOOKUP($F217,OFFSET(enemy_skill_triggers!$A$1,0,0,COUNTA(enemy_skill_triggers!$A:$A),MATCH(O$1,enemy_skill_triggers!$1:$1,0)-MATCH($F$1,enemy_skill_triggers!$1:$1,0)+1),MATCH(O$1,enemy_skill_triggers!$1:$1,0)-MATCH($F$1,enemy_skill_triggers!$1:$1,0)+1,FALSE)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7" s="47"/>
      <c r="Q217" s="47"/>
      <c r="R217" s="47"/>
    </row>
    <row r="218" spans="1:18" ht="21" customHeight="1" x14ac:dyDescent="0.15">
      <c r="A218" s="39" t="str">
        <f t="shared" si="3"/>
        <v>49015017_49015164</v>
      </c>
      <c r="B218" s="106">
        <v>49015017</v>
      </c>
      <c r="C218" s="126">
        <v>49015164</v>
      </c>
      <c r="D218" s="46" t="str">
        <f ca="1">VLOOKUP($C218,OFFSET(enemy_skills!$A$1,0,0,COUNTA(enemy_skills!$A:$A),MATCH(D$1,enemy_skills!$1:$1,0)-MATCH("enemy_skill_id",enemy_skills!$1:$1,0)+1),MATCH(D$1,enemy_skills!$1:$1,0)-MATCH("enemy_skill_id",enemy_skills!$1:$1,0)+1,FALSE)</f>
        <v>侮りすぎました…</v>
      </c>
      <c r="E218" s="46" t="str">
        <f ca="1">VLOOKUP($C218,OFFSET(enemy_skills!$A$1,0,0,COUNTA(enemy_skills!$A:$A),MATCH(E$1,enemy_skills!$1:$1,0)-MATCH("enemy_skill_id",enemy_skills!$1:$1,0)+1),MATCH(E$1,enemy_skills!$1:$1,0)-MATCH("enemy_skill_id",enemy_skills!$1:$1,0)+1,FALSE)</f>
        <v>さすが…人柱…</v>
      </c>
      <c r="F218" s="126">
        <v>49015217</v>
      </c>
      <c r="G218" s="48">
        <f ca="1">VLOOKUP($F218,OFFSET(enemy_skill_triggers!$A$1,0,0,COUNTA(enemy_skill_triggers!$A:$A),MATCH(G$1,enemy_skill_triggers!$1:$1,0)-MATCH($F$1,enemy_skill_triggers!$1:$1,0)+1),MATCH(G$1,enemy_skill_triggers!$1:$1,0)-MATCH($F$1,enemy_skill_triggers!$1:$1,0)+1,FALSE)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8" s="48">
        <f ca="1">VLOOKUP($F218,OFFSET(enemy_skill_triggers!$A$1,0,0,COUNTA(enemy_skill_triggers!$A:$A),MATCH(H$1,enemy_skill_triggers!$1:$1,0)-MATCH($F$1,enemy_skill_triggers!$1:$1,0)+1),MATCH(H$1,enemy_skill_triggers!$1:$1,0)-MATCH($F$1,enemy_skill_triggers!$1:$1,0)+1,FALSE)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18" s="48">
        <f ca="1">VLOOKUP($F218,OFFSET(enemy_skill_triggers!$A$1,0,0,COUNTA(enemy_skill_triggers!$A:$A),MATCH(I$1,enemy_skill_triggers!$1:$1,0)-MATCH($F$1,enemy_skill_triggers!$1:$1,0)+1),MATCH(I$1,enemy_skill_triggers!$1:$1,0)-MATCH($F$1,enemy_skill_triggers!$1:$1,0)+1,FALSE)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8" s="48" t="str">
        <f ca="1">VLOOKUP($F218,OFFSET(enemy_skill_triggers!$A$1,0,0,COUNTA(enemy_skill_triggers!$A:$A),MATCH(J$1,enemy_skill_triggers!$1:$1,0)-MATCH($F$1,enemy_skill_triggers!$1:$1,0)+1),MATCH(J$1,enemy_skill_triggers!$1:$1,0)-MATCH($F$1,enemy_skill_triggers!$1:$1,0)+1,FALSE)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8" s="48" t="str">
        <f ca="1">VLOOKUP($F218,OFFSET(enemy_skill_triggers!$A$1,0,0,COUNTA(enemy_skill_triggers!$A:$A),MATCH(K$1,enemy_skill_triggers!$1:$1,0)-MATCH($F$1,enemy_skill_triggers!$1:$1,0)+1),MATCH(K$1,enemy_skill_triggers!$1:$1,0)-MATCH($F$1,enemy_skill_triggers!$1:$1,0)+1,FALSE)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8" s="48">
        <f ca="1">VLOOKUP($F218,OFFSET(enemy_skill_triggers!$A$1,0,0,COUNTA(enemy_skill_triggers!$A:$A),MATCH(L$1,enemy_skill_triggers!$1:$1,0)-MATCH($F$1,enemy_skill_triggers!$1:$1,0)+1),MATCH(L$1,enemy_skill_triggers!$1:$1,0)-MATCH($F$1,enemy_skill_triggers!$1:$1,0)+1,FALSE)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8" s="48" t="str">
        <f ca="1">VLOOKUP($F218,OFFSET(enemy_skill_triggers!$A$1,0,0,COUNTA(enemy_skill_triggers!$A:$A),MATCH(M$1,enemy_skill_triggers!$1:$1,0)-MATCH($F$1,enemy_skill_triggers!$1:$1,0)+1),MATCH(M$1,enemy_skill_triggers!$1:$1,0)-MATCH($F$1,enemy_skill_triggers!$1:$1,0)+1,FALSE)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8" s="48">
        <f ca="1">VLOOKUP($F218,OFFSET(enemy_skill_triggers!$A$1,0,0,COUNTA(enemy_skill_triggers!$A:$A),MATCH(N$1,enemy_skill_triggers!$1:$1,0)-MATCH($F$1,enemy_skill_triggers!$1:$1,0)+1),MATCH(N$1,enemy_skill_triggers!$1:$1,0)-MATCH($F$1,enemy_skill_triggers!$1:$1,0)+1,FALSE)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218" s="48">
        <f ca="1">VLOOKUP($F218,OFFSET(enemy_skill_triggers!$A$1,0,0,COUNTA(enemy_skill_triggers!$A:$A),MATCH(O$1,enemy_skill_triggers!$1:$1,0)-MATCH($F$1,enemy_skill_triggers!$1:$1,0)+1),MATCH(O$1,enemy_skill_triggers!$1:$1,0)-MATCH($F$1,enemy_skill_triggers!$1:$1,0)+1,FALSE)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8" s="47"/>
      <c r="Q218" s="47"/>
      <c r="R218" s="47"/>
    </row>
    <row r="219" spans="1:18" ht="21" customHeight="1" x14ac:dyDescent="0.15">
      <c r="A219" s="39" t="str">
        <f t="shared" si="3"/>
        <v>49015017_49015164</v>
      </c>
      <c r="B219" s="106">
        <v>49015017</v>
      </c>
      <c r="C219" s="126">
        <v>49015164</v>
      </c>
      <c r="D219" s="46" t="str">
        <f ca="1">VLOOKUP($C219,OFFSET(enemy_skills!$A$1,0,0,COUNTA(enemy_skills!$A:$A),MATCH(D$1,enemy_skills!$1:$1,0)-MATCH("enemy_skill_id",enemy_skills!$1:$1,0)+1),MATCH(D$1,enemy_skills!$1:$1,0)-MATCH("enemy_skill_id",enemy_skills!$1:$1,0)+1,FALSE)</f>
        <v>侮りすぎました…</v>
      </c>
      <c r="E219" s="46" t="str">
        <f ca="1">VLOOKUP($C219,OFFSET(enemy_skills!$A$1,0,0,COUNTA(enemy_skills!$A:$A),MATCH(E$1,enemy_skills!$1:$1,0)-MATCH("enemy_skill_id",enemy_skills!$1:$1,0)+1),MATCH(E$1,enemy_skills!$1:$1,0)-MATCH("enemy_skill_id",enemy_skills!$1:$1,0)+1,FALSE)</f>
        <v>さすが…人柱…</v>
      </c>
      <c r="F219" s="126">
        <v>49015218</v>
      </c>
      <c r="G219" s="48">
        <f ca="1">VLOOKUP($F219,OFFSET(enemy_skill_triggers!$A$1,0,0,COUNTA(enemy_skill_triggers!$A:$A),MATCH(G$1,enemy_skill_triggers!$1:$1,0)-MATCH($F$1,enemy_skill_triggers!$1:$1,0)+1),MATCH(G$1,enemy_skill_triggers!$1:$1,0)-MATCH($F$1,enemy_skill_triggers!$1:$1,0)+1,FALSE)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9" s="48">
        <f ca="1">VLOOKUP($F219,OFFSET(enemy_skill_triggers!$A$1,0,0,COUNTA(enemy_skill_triggers!$A:$A),MATCH(H$1,enemy_skill_triggers!$1:$1,0)-MATCH($F$1,enemy_skill_triggers!$1:$1,0)+1),MATCH(H$1,enemy_skill_triggers!$1:$1,0)-MATCH($F$1,enemy_skill_triggers!$1:$1,0)+1,FALSE)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219" s="48">
        <f ca="1">VLOOKUP($F219,OFFSET(enemy_skill_triggers!$A$1,0,0,COUNTA(enemy_skill_triggers!$A:$A),MATCH(I$1,enemy_skill_triggers!$1:$1,0)-MATCH($F$1,enemy_skill_triggers!$1:$1,0)+1),MATCH(I$1,enemy_skill_triggers!$1:$1,0)-MATCH($F$1,enemy_skill_triggers!$1:$1,0)+1,FALSE)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9" s="48" t="str">
        <f ca="1">VLOOKUP($F219,OFFSET(enemy_skill_triggers!$A$1,0,0,COUNTA(enemy_skill_triggers!$A:$A),MATCH(J$1,enemy_skill_triggers!$1:$1,0)-MATCH($F$1,enemy_skill_triggers!$1:$1,0)+1),MATCH(J$1,enemy_skill_triggers!$1:$1,0)-MATCH($F$1,enemy_skill_triggers!$1:$1,0)+1,FALSE)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9" s="48" t="str">
        <f ca="1">VLOOKUP($F219,OFFSET(enemy_skill_triggers!$A$1,0,0,COUNTA(enemy_skill_triggers!$A:$A),MATCH(K$1,enemy_skill_triggers!$1:$1,0)-MATCH($F$1,enemy_skill_triggers!$1:$1,0)+1),MATCH(K$1,enemy_skill_triggers!$1:$1,0)-MATCH($F$1,enemy_skill_triggers!$1:$1,0)+1,FALSE)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9" s="48">
        <f ca="1">VLOOKUP($F219,OFFSET(enemy_skill_triggers!$A$1,0,0,COUNTA(enemy_skill_triggers!$A:$A),MATCH(L$1,enemy_skill_triggers!$1:$1,0)-MATCH($F$1,enemy_skill_triggers!$1:$1,0)+1),MATCH(L$1,enemy_skill_triggers!$1:$1,0)-MATCH($F$1,enemy_skill_triggers!$1:$1,0)+1,FALSE)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9" s="48" t="str">
        <f ca="1">VLOOKUP($F219,OFFSET(enemy_skill_triggers!$A$1,0,0,COUNTA(enemy_skill_triggers!$A:$A),MATCH(M$1,enemy_skill_triggers!$1:$1,0)-MATCH($F$1,enemy_skill_triggers!$1:$1,0)+1),MATCH(M$1,enemy_skill_triggers!$1:$1,0)-MATCH($F$1,enemy_skill_triggers!$1:$1,0)+1,FALSE)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9" s="48">
        <f ca="1">VLOOKUP($F219,OFFSET(enemy_skill_triggers!$A$1,0,0,COUNTA(enemy_skill_triggers!$A:$A),MATCH(N$1,enemy_skill_triggers!$1:$1,0)-MATCH($F$1,enemy_skill_triggers!$1:$1,0)+1),MATCH(N$1,enemy_skill_triggers!$1:$1,0)-MATCH($F$1,enemy_skill_triggers!$1:$1,0)+1,FALSE)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219" s="48">
        <f ca="1">VLOOKUP($F219,OFFSET(enemy_skill_triggers!$A$1,0,0,COUNTA(enemy_skill_triggers!$A:$A),MATCH(O$1,enemy_skill_triggers!$1:$1,0)-MATCH($F$1,enemy_skill_triggers!$1:$1,0)+1),MATCH(O$1,enemy_skill_triggers!$1:$1,0)-MATCH($F$1,enemy_skill_triggers!$1:$1,0)+1,FALSE)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9" s="47"/>
      <c r="Q219" s="47"/>
      <c r="R219" s="47"/>
    </row>
    <row r="220" spans="1:18" ht="21" customHeight="1" x14ac:dyDescent="0.15">
      <c r="A220" s="39" t="str">
        <f t="shared" si="3"/>
        <v>49015017_49015165</v>
      </c>
      <c r="B220" s="106">
        <v>49015017</v>
      </c>
      <c r="C220" s="126">
        <v>49015165</v>
      </c>
      <c r="D220" s="46" t="str">
        <f ca="1">VLOOKUP($C220,OFFSET(enemy_skills!$A$1,0,0,COUNTA(enemy_skills!$A:$A),MATCH(D$1,enemy_skills!$1:$1,0)-MATCH("enemy_skill_id",enemy_skills!$1:$1,0)+1),MATCH(D$1,enemy_skills!$1:$1,0)-MATCH("enemy_skill_id",enemy_skills!$1:$1,0)+1,FALSE)</f>
        <v>貴方たち人間は足掻き続けますか…</v>
      </c>
      <c r="E220" s="46" t="str">
        <f ca="1">VLOOKUP($C220,OFFSET(enemy_skills!$A$1,0,0,COUNTA(enemy_skills!$A:$A),MATCH(E$1,enemy_skills!$1:$1,0)-MATCH("enemy_skill_id",enemy_skills!$1:$1,0)+1),MATCH(E$1,enemy_skills!$1:$1,0)-MATCH("enemy_skill_id",enemy_skills!$1:$1,0)+1,FALSE)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220" s="126">
        <v>49015219</v>
      </c>
      <c r="G220" s="48">
        <f ca="1">VLOOKUP($F220,OFFSET(enemy_skill_triggers!$A$1,0,0,COUNTA(enemy_skill_triggers!$A:$A),MATCH(G$1,enemy_skill_triggers!$1:$1,0)-MATCH($F$1,enemy_skill_triggers!$1:$1,0)+1),MATCH(G$1,enemy_skill_triggers!$1:$1,0)-MATCH($F$1,enemy_skill_triggers!$1:$1,0)+1,FALSE)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0" s="48">
        <f ca="1">VLOOKUP($F220,OFFSET(enemy_skill_triggers!$A$1,0,0,COUNTA(enemy_skill_triggers!$A:$A),MATCH(H$1,enemy_skill_triggers!$1:$1,0)-MATCH($F$1,enemy_skill_triggers!$1:$1,0)+1),MATCH(H$1,enemy_skill_triggers!$1:$1,0)-MATCH($F$1,enemy_skill_triggers!$1:$1,0)+1,FALSE)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20" s="48">
        <f ca="1">VLOOKUP($F220,OFFSET(enemy_skill_triggers!$A$1,0,0,COUNTA(enemy_skill_triggers!$A:$A),MATCH(I$1,enemy_skill_triggers!$1:$1,0)-MATCH($F$1,enemy_skill_triggers!$1:$1,0)+1),MATCH(I$1,enemy_skill_triggers!$1:$1,0)-MATCH($F$1,enemy_skill_triggers!$1:$1,0)+1,FALSE)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0" s="48" t="str">
        <f ca="1">VLOOKUP($F220,OFFSET(enemy_skill_triggers!$A$1,0,0,COUNTA(enemy_skill_triggers!$A:$A),MATCH(J$1,enemy_skill_triggers!$1:$1,0)-MATCH($F$1,enemy_skill_triggers!$1:$1,0)+1),MATCH(J$1,enemy_skill_triggers!$1:$1,0)-MATCH($F$1,enemy_skill_triggers!$1:$1,0)+1,FALSE)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0" s="48" t="str">
        <f ca="1">VLOOKUP($F220,OFFSET(enemy_skill_triggers!$A$1,0,0,COUNTA(enemy_skill_triggers!$A:$A),MATCH(K$1,enemy_skill_triggers!$1:$1,0)-MATCH($F$1,enemy_skill_triggers!$1:$1,0)+1),MATCH(K$1,enemy_skill_triggers!$1:$1,0)-MATCH($F$1,enemy_skill_triggers!$1:$1,0)+1,FALSE)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0" s="48">
        <f ca="1">VLOOKUP($F220,OFFSET(enemy_skill_triggers!$A$1,0,0,COUNTA(enemy_skill_triggers!$A:$A),MATCH(L$1,enemy_skill_triggers!$1:$1,0)-MATCH($F$1,enemy_skill_triggers!$1:$1,0)+1),MATCH(L$1,enemy_skill_triggers!$1:$1,0)-MATCH($F$1,enemy_skill_triggers!$1:$1,0)+1,FALSE)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0" s="48" t="str">
        <f ca="1">VLOOKUP($F220,OFFSET(enemy_skill_triggers!$A$1,0,0,COUNTA(enemy_skill_triggers!$A:$A),MATCH(M$1,enemy_skill_triggers!$1:$1,0)-MATCH($F$1,enemy_skill_triggers!$1:$1,0)+1),MATCH(M$1,enemy_skill_triggers!$1:$1,0)-MATCH($F$1,enemy_skill_triggers!$1:$1,0)+1,FALSE)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0" s="48">
        <f ca="1">VLOOKUP($F220,OFFSET(enemy_skill_triggers!$A$1,0,0,COUNTA(enemy_skill_triggers!$A:$A),MATCH(N$1,enemy_skill_triggers!$1:$1,0)-MATCH($F$1,enemy_skill_triggers!$1:$1,0)+1),MATCH(N$1,enemy_skill_triggers!$1:$1,0)-MATCH($F$1,enemy_skill_triggers!$1:$1,0)+1,FALSE)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220" s="48">
        <f ca="1">VLOOKUP($F220,OFFSET(enemy_skill_triggers!$A$1,0,0,COUNTA(enemy_skill_triggers!$A:$A),MATCH(O$1,enemy_skill_triggers!$1:$1,0)-MATCH($F$1,enemy_skill_triggers!$1:$1,0)+1),MATCH(O$1,enemy_skill_triggers!$1:$1,0)-MATCH($F$1,enemy_skill_triggers!$1:$1,0)+1,FALSE)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0" s="47"/>
      <c r="Q220" s="47"/>
      <c r="R220" s="47"/>
    </row>
    <row r="221" spans="1:18" ht="21" customHeight="1" x14ac:dyDescent="0.15">
      <c r="A221" s="39" t="str">
        <f t="shared" si="3"/>
        <v>49015017_49015165</v>
      </c>
      <c r="B221" s="106">
        <v>49015017</v>
      </c>
      <c r="C221" s="126">
        <v>49015165</v>
      </c>
      <c r="D221" s="46" t="str">
        <f ca="1">VLOOKUP($C221,OFFSET(enemy_skills!$A$1,0,0,COUNTA(enemy_skills!$A:$A),MATCH(D$1,enemy_skills!$1:$1,0)-MATCH("enemy_skill_id",enemy_skills!$1:$1,0)+1),MATCH(D$1,enemy_skills!$1:$1,0)-MATCH("enemy_skill_id",enemy_skills!$1:$1,0)+1,FALSE)</f>
        <v>貴方たち人間は足掻き続けますか…</v>
      </c>
      <c r="E221" s="46" t="str">
        <f ca="1">VLOOKUP($C221,OFFSET(enemy_skills!$A$1,0,0,COUNTA(enemy_skills!$A:$A),MATCH(E$1,enemy_skills!$1:$1,0)-MATCH("enemy_skill_id",enemy_skills!$1:$1,0)+1),MATCH(E$1,enemy_skills!$1:$1,0)-MATCH("enemy_skill_id",enemy_skills!$1:$1,0)+1,FALSE)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221" s="126">
        <v>49015220</v>
      </c>
      <c r="G221" s="48">
        <f ca="1">VLOOKUP($F221,OFFSET(enemy_skill_triggers!$A$1,0,0,COUNTA(enemy_skill_triggers!$A:$A),MATCH(G$1,enemy_skill_triggers!$1:$1,0)-MATCH($F$1,enemy_skill_triggers!$1:$1,0)+1),MATCH(G$1,enemy_skill_triggers!$1:$1,0)-MATCH($F$1,enemy_skill_triggers!$1:$1,0)+1,FALSE)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1" s="48">
        <f ca="1">VLOOKUP($F221,OFFSET(enemy_skill_triggers!$A$1,0,0,COUNTA(enemy_skill_triggers!$A:$A),MATCH(H$1,enemy_skill_triggers!$1:$1,0)-MATCH($F$1,enemy_skill_triggers!$1:$1,0)+1),MATCH(H$1,enemy_skill_triggers!$1:$1,0)-MATCH($F$1,enemy_skill_triggers!$1:$1,0)+1,FALSE)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221" s="48">
        <f ca="1">VLOOKUP($F221,OFFSET(enemy_skill_triggers!$A$1,0,0,COUNTA(enemy_skill_triggers!$A:$A),MATCH(I$1,enemy_skill_triggers!$1:$1,0)-MATCH($F$1,enemy_skill_triggers!$1:$1,0)+1),MATCH(I$1,enemy_skill_triggers!$1:$1,0)-MATCH($F$1,enemy_skill_triggers!$1:$1,0)+1,FALSE)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1" s="48" t="str">
        <f ca="1">VLOOKUP($F221,OFFSET(enemy_skill_triggers!$A$1,0,0,COUNTA(enemy_skill_triggers!$A:$A),MATCH(J$1,enemy_skill_triggers!$1:$1,0)-MATCH($F$1,enemy_skill_triggers!$1:$1,0)+1),MATCH(J$1,enemy_skill_triggers!$1:$1,0)-MATCH($F$1,enemy_skill_triggers!$1:$1,0)+1,FALSE)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1" s="48" t="str">
        <f ca="1">VLOOKUP($F221,OFFSET(enemy_skill_triggers!$A$1,0,0,COUNTA(enemy_skill_triggers!$A:$A),MATCH(K$1,enemy_skill_triggers!$1:$1,0)-MATCH($F$1,enemy_skill_triggers!$1:$1,0)+1),MATCH(K$1,enemy_skill_triggers!$1:$1,0)-MATCH($F$1,enemy_skill_triggers!$1:$1,0)+1,FALSE)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1" s="48">
        <f ca="1">VLOOKUP($F221,OFFSET(enemy_skill_triggers!$A$1,0,0,COUNTA(enemy_skill_triggers!$A:$A),MATCH(L$1,enemy_skill_triggers!$1:$1,0)-MATCH($F$1,enemy_skill_triggers!$1:$1,0)+1),MATCH(L$1,enemy_skill_triggers!$1:$1,0)-MATCH($F$1,enemy_skill_triggers!$1:$1,0)+1,FALSE)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1" s="48" t="str">
        <f ca="1">VLOOKUP($F221,OFFSET(enemy_skill_triggers!$A$1,0,0,COUNTA(enemy_skill_triggers!$A:$A),MATCH(M$1,enemy_skill_triggers!$1:$1,0)-MATCH($F$1,enemy_skill_triggers!$1:$1,0)+1),MATCH(M$1,enemy_skill_triggers!$1:$1,0)-MATCH($F$1,enemy_skill_triggers!$1:$1,0)+1,FALSE)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1" s="48">
        <f ca="1">VLOOKUP($F221,OFFSET(enemy_skill_triggers!$A$1,0,0,COUNTA(enemy_skill_triggers!$A:$A),MATCH(N$1,enemy_skill_triggers!$1:$1,0)-MATCH($F$1,enemy_skill_triggers!$1:$1,0)+1),MATCH(N$1,enemy_skill_triggers!$1:$1,0)-MATCH($F$1,enemy_skill_triggers!$1:$1,0)+1,FALSE)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221" s="48">
        <f ca="1">VLOOKUP($F221,OFFSET(enemy_skill_triggers!$A$1,0,0,COUNTA(enemy_skill_triggers!$A:$A),MATCH(O$1,enemy_skill_triggers!$1:$1,0)-MATCH($F$1,enemy_skill_triggers!$1:$1,0)+1),MATCH(O$1,enemy_skill_triggers!$1:$1,0)-MATCH($F$1,enemy_skill_triggers!$1:$1,0)+1,FALSE)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1" s="47"/>
      <c r="Q221" s="47"/>
      <c r="R221" s="47"/>
    </row>
    <row r="222" spans="1:18" ht="21" customHeight="1" x14ac:dyDescent="0.15">
      <c r="A222" s="39" t="str">
        <f t="shared" si="3"/>
        <v>49015017_49015166</v>
      </c>
      <c r="B222" s="106">
        <v>49015017</v>
      </c>
      <c r="C222" s="126">
        <v>49015166</v>
      </c>
      <c r="D222" s="46" t="str">
        <f ca="1">VLOOKUP($C222,OFFSET(enemy_skills!$A$1,0,0,COUNTA(enemy_skills!$A:$A),MATCH(D$1,enemy_skills!$1:$1,0)-MATCH("enemy_skill_id",enemy_skills!$1:$1,0)+1),MATCH(D$1,enemy_skills!$1:$1,0)-MATCH("enemy_skill_id",enemy_skills!$1:$1,0)+1,FALSE)</f>
        <v>手加減を…しすぎましたね…</v>
      </c>
      <c r="E222" s="46" t="str">
        <f ca="1">VLOOKUP($C222,OFFSET(enemy_skills!$A$1,0,0,COUNTA(enemy_skills!$A:$A),MATCH(E$1,enemy_skills!$1:$1,0)-MATCH("enemy_skill_id",enemy_skills!$1:$1,0)+1),MATCH(E$1,enemy_skills!$1:$1,0)-MATCH("enemy_skill_id",enemy_skills!$1:$1,0)+1,FALSE)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222" s="126">
        <v>49015221</v>
      </c>
      <c r="G222" s="48">
        <f ca="1">VLOOKUP($F222,OFFSET(enemy_skill_triggers!$A$1,0,0,COUNTA(enemy_skill_triggers!$A:$A),MATCH(G$1,enemy_skill_triggers!$1:$1,0)-MATCH($F$1,enemy_skill_triggers!$1:$1,0)+1),MATCH(G$1,enemy_skill_triggers!$1:$1,0)-MATCH($F$1,enemy_skill_triggers!$1:$1,0)+1,FALSE)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2" s="48">
        <f ca="1">VLOOKUP($F222,OFFSET(enemy_skill_triggers!$A$1,0,0,COUNTA(enemy_skill_triggers!$A:$A),MATCH(H$1,enemy_skill_triggers!$1:$1,0)-MATCH($F$1,enemy_skill_triggers!$1:$1,0)+1),MATCH(H$1,enemy_skill_triggers!$1:$1,0)-MATCH($F$1,enemy_skill_triggers!$1:$1,0)+1,FALSE)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22" s="48">
        <f ca="1">VLOOKUP($F222,OFFSET(enemy_skill_triggers!$A$1,0,0,COUNTA(enemy_skill_triggers!$A:$A),MATCH(I$1,enemy_skill_triggers!$1:$1,0)-MATCH($F$1,enemy_skill_triggers!$1:$1,0)+1),MATCH(I$1,enemy_skill_triggers!$1:$1,0)-MATCH($F$1,enemy_skill_triggers!$1:$1,0)+1,FALSE)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2" s="48" t="str">
        <f ca="1">VLOOKUP($F222,OFFSET(enemy_skill_triggers!$A$1,0,0,COUNTA(enemy_skill_triggers!$A:$A),MATCH(J$1,enemy_skill_triggers!$1:$1,0)-MATCH($F$1,enemy_skill_triggers!$1:$1,0)+1),MATCH(J$1,enemy_skill_triggers!$1:$1,0)-MATCH($F$1,enemy_skill_triggers!$1:$1,0)+1,FALSE)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2" s="48" t="str">
        <f ca="1">VLOOKUP($F222,OFFSET(enemy_skill_triggers!$A$1,0,0,COUNTA(enemy_skill_triggers!$A:$A),MATCH(K$1,enemy_skill_triggers!$1:$1,0)-MATCH($F$1,enemy_skill_triggers!$1:$1,0)+1),MATCH(K$1,enemy_skill_triggers!$1:$1,0)-MATCH($F$1,enemy_skill_triggers!$1:$1,0)+1,FALSE)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2" s="48">
        <f ca="1">VLOOKUP($F222,OFFSET(enemy_skill_triggers!$A$1,0,0,COUNTA(enemy_skill_triggers!$A:$A),MATCH(L$1,enemy_skill_triggers!$1:$1,0)-MATCH($F$1,enemy_skill_triggers!$1:$1,0)+1),MATCH(L$1,enemy_skill_triggers!$1:$1,0)-MATCH($F$1,enemy_skill_triggers!$1:$1,0)+1,FALSE)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2" s="48" t="str">
        <f ca="1">VLOOKUP($F222,OFFSET(enemy_skill_triggers!$A$1,0,0,COUNTA(enemy_skill_triggers!$A:$A),MATCH(M$1,enemy_skill_triggers!$1:$1,0)-MATCH($F$1,enemy_skill_triggers!$1:$1,0)+1),MATCH(M$1,enemy_skill_triggers!$1:$1,0)-MATCH($F$1,enemy_skill_triggers!$1:$1,0)+1,FALSE)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2" s="48">
        <f ca="1">VLOOKUP($F222,OFFSET(enemy_skill_triggers!$A$1,0,0,COUNTA(enemy_skill_triggers!$A:$A),MATCH(N$1,enemy_skill_triggers!$1:$1,0)-MATCH($F$1,enemy_skill_triggers!$1:$1,0)+1),MATCH(N$1,enemy_skill_triggers!$1:$1,0)-MATCH($F$1,enemy_skill_triggers!$1:$1,0)+1,FALSE)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222" s="48">
        <f ca="1">VLOOKUP($F222,OFFSET(enemy_skill_triggers!$A$1,0,0,COUNTA(enemy_skill_triggers!$A:$A),MATCH(O$1,enemy_skill_triggers!$1:$1,0)-MATCH($F$1,enemy_skill_triggers!$1:$1,0)+1),MATCH(O$1,enemy_skill_triggers!$1:$1,0)-MATCH($F$1,enemy_skill_triggers!$1:$1,0)+1,FALSE)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2" s="47"/>
      <c r="Q222" s="47"/>
      <c r="R222" s="47"/>
    </row>
    <row r="223" spans="1:18" ht="21" customHeight="1" x14ac:dyDescent="0.15">
      <c r="A223" s="39" t="str">
        <f t="shared" si="3"/>
        <v>49015017_49015166</v>
      </c>
      <c r="B223" s="106">
        <v>49015017</v>
      </c>
      <c r="C223" s="126">
        <v>49015166</v>
      </c>
      <c r="D223" s="46" t="str">
        <f ca="1">VLOOKUP($C223,OFFSET(enemy_skills!$A$1,0,0,COUNTA(enemy_skills!$A:$A),MATCH(D$1,enemy_skills!$1:$1,0)-MATCH("enemy_skill_id",enemy_skills!$1:$1,0)+1),MATCH(D$1,enemy_skills!$1:$1,0)-MATCH("enemy_skill_id",enemy_skills!$1:$1,0)+1,FALSE)</f>
        <v>手加減を…しすぎましたね…</v>
      </c>
      <c r="E223" s="46" t="str">
        <f ca="1">VLOOKUP($C223,OFFSET(enemy_skills!$A$1,0,0,COUNTA(enemy_skills!$A:$A),MATCH(E$1,enemy_skills!$1:$1,0)-MATCH("enemy_skill_id",enemy_skills!$1:$1,0)+1),MATCH(E$1,enemy_skills!$1:$1,0)-MATCH("enemy_skill_id",enemy_skills!$1:$1,0)+1,FALSE)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223" s="126">
        <v>49015222</v>
      </c>
      <c r="G223" s="48">
        <f ca="1">VLOOKUP($F223,OFFSET(enemy_skill_triggers!$A$1,0,0,COUNTA(enemy_skill_triggers!$A:$A),MATCH(G$1,enemy_skill_triggers!$1:$1,0)-MATCH($F$1,enemy_skill_triggers!$1:$1,0)+1),MATCH(G$1,enemy_skill_triggers!$1:$1,0)-MATCH($F$1,enemy_skill_triggers!$1:$1,0)+1,FALSE)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3" s="48">
        <f ca="1">VLOOKUP($F223,OFFSET(enemy_skill_triggers!$A$1,0,0,COUNTA(enemy_skill_triggers!$A:$A),MATCH(H$1,enemy_skill_triggers!$1:$1,0)-MATCH($F$1,enemy_skill_triggers!$1:$1,0)+1),MATCH(H$1,enemy_skill_triggers!$1:$1,0)-MATCH($F$1,enemy_skill_triggers!$1:$1,0)+1,FALSE)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223" s="48">
        <f ca="1">VLOOKUP($F223,OFFSET(enemy_skill_triggers!$A$1,0,0,COUNTA(enemy_skill_triggers!$A:$A),MATCH(I$1,enemy_skill_triggers!$1:$1,0)-MATCH($F$1,enemy_skill_triggers!$1:$1,0)+1),MATCH(I$1,enemy_skill_triggers!$1:$1,0)-MATCH($F$1,enemy_skill_triggers!$1:$1,0)+1,FALSE)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3" s="48" t="str">
        <f ca="1">VLOOKUP($F223,OFFSET(enemy_skill_triggers!$A$1,0,0,COUNTA(enemy_skill_triggers!$A:$A),MATCH(J$1,enemy_skill_triggers!$1:$1,0)-MATCH($F$1,enemy_skill_triggers!$1:$1,0)+1),MATCH(J$1,enemy_skill_triggers!$1:$1,0)-MATCH($F$1,enemy_skill_triggers!$1:$1,0)+1,FALSE)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3" s="48" t="str">
        <f ca="1">VLOOKUP($F223,OFFSET(enemy_skill_triggers!$A$1,0,0,COUNTA(enemy_skill_triggers!$A:$A),MATCH(K$1,enemy_skill_triggers!$1:$1,0)-MATCH($F$1,enemy_skill_triggers!$1:$1,0)+1),MATCH(K$1,enemy_skill_triggers!$1:$1,0)-MATCH($F$1,enemy_skill_triggers!$1:$1,0)+1,FALSE)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3" s="48">
        <f ca="1">VLOOKUP($F223,OFFSET(enemy_skill_triggers!$A$1,0,0,COUNTA(enemy_skill_triggers!$A:$A),MATCH(L$1,enemy_skill_triggers!$1:$1,0)-MATCH($F$1,enemy_skill_triggers!$1:$1,0)+1),MATCH(L$1,enemy_skill_triggers!$1:$1,0)-MATCH($F$1,enemy_skill_triggers!$1:$1,0)+1,FALSE)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3" s="48" t="str">
        <f ca="1">VLOOKUP($F223,OFFSET(enemy_skill_triggers!$A$1,0,0,COUNTA(enemy_skill_triggers!$A:$A),MATCH(M$1,enemy_skill_triggers!$1:$1,0)-MATCH($F$1,enemy_skill_triggers!$1:$1,0)+1),MATCH(M$1,enemy_skill_triggers!$1:$1,0)-MATCH($F$1,enemy_skill_triggers!$1:$1,0)+1,FALSE)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3" s="48">
        <f ca="1">VLOOKUP($F223,OFFSET(enemy_skill_triggers!$A$1,0,0,COUNTA(enemy_skill_triggers!$A:$A),MATCH(N$1,enemy_skill_triggers!$1:$1,0)-MATCH($F$1,enemy_skill_triggers!$1:$1,0)+1),MATCH(N$1,enemy_skill_triggers!$1:$1,0)-MATCH($F$1,enemy_skill_triggers!$1:$1,0)+1,FALSE)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223" s="48">
        <f ca="1">VLOOKUP($F223,OFFSET(enemy_skill_triggers!$A$1,0,0,COUNTA(enemy_skill_triggers!$A:$A),MATCH(O$1,enemy_skill_triggers!$1:$1,0)-MATCH($F$1,enemy_skill_triggers!$1:$1,0)+1),MATCH(O$1,enemy_skill_triggers!$1:$1,0)-MATCH($F$1,enemy_skill_triggers!$1:$1,0)+1,FALSE)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3" s="47"/>
      <c r="Q223" s="47"/>
      <c r="R223" s="47"/>
    </row>
    <row r="224" spans="1:18" ht="21" customHeight="1" x14ac:dyDescent="0.15">
      <c r="A224" s="39" t="str">
        <f t="shared" si="3"/>
        <v>49015017_49015167</v>
      </c>
      <c r="B224" s="106">
        <v>49015017</v>
      </c>
      <c r="C224" s="126">
        <v>49015167</v>
      </c>
      <c r="D224" s="46" t="str">
        <f ca="1">VLOOKUP($C224,OFFSET(enemy_skills!$A$1,0,0,COUNTA(enemy_skills!$A:$A),MATCH(D$1,enemy_skills!$1:$1,0)-MATCH("enemy_skill_id",enemy_skills!$1:$1,0)+1),MATCH(D$1,enemy_skills!$1:$1,0)-MATCH("enemy_skill_id",enemy_skills!$1:$1,0)+1,FALSE)</f>
        <v>貴方にやられるとは…</v>
      </c>
      <c r="E224" s="46" t="str">
        <f ca="1">VLOOKUP($C224,OFFSET(enemy_skills!$A$1,0,0,COUNTA(enemy_skills!$A:$A),MATCH(E$1,enemy_skills!$1:$1,0)-MATCH("enemy_skill_id",enemy_skills!$1:$1,0)+1),MATCH(E$1,enemy_skills!$1:$1,0)-MATCH("enemy_skill_id",enemy_skills!$1:$1,0)+1,FALSE)</f>
        <v>やはり…仲間に…</v>
      </c>
      <c r="F224" s="126">
        <v>49015223</v>
      </c>
      <c r="G224" s="48">
        <f ca="1">VLOOKUP($F224,OFFSET(enemy_skill_triggers!$A$1,0,0,COUNTA(enemy_skill_triggers!$A:$A),MATCH(G$1,enemy_skill_triggers!$1:$1,0)-MATCH($F$1,enemy_skill_triggers!$1:$1,0)+1),MATCH(G$1,enemy_skill_triggers!$1:$1,0)-MATCH($F$1,enemy_skill_triggers!$1:$1,0)+1,FALSE)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4" s="48">
        <f ca="1">VLOOKUP($F224,OFFSET(enemy_skill_triggers!$A$1,0,0,COUNTA(enemy_skill_triggers!$A:$A),MATCH(H$1,enemy_skill_triggers!$1:$1,0)-MATCH($F$1,enemy_skill_triggers!$1:$1,0)+1),MATCH(H$1,enemy_skill_triggers!$1:$1,0)-MATCH($F$1,enemy_skill_triggers!$1:$1,0)+1,FALSE)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4" s="48">
        <f ca="1">VLOOKUP($F224,OFFSET(enemy_skill_triggers!$A$1,0,0,COUNTA(enemy_skill_triggers!$A:$A),MATCH(I$1,enemy_skill_triggers!$1:$1,0)-MATCH($F$1,enemy_skill_triggers!$1:$1,0)+1),MATCH(I$1,enemy_skill_triggers!$1:$1,0)-MATCH($F$1,enemy_skill_triggers!$1:$1,0)+1,FALSE)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4" s="48" t="str">
        <f ca="1">VLOOKUP($F224,OFFSET(enemy_skill_triggers!$A$1,0,0,COUNTA(enemy_skill_triggers!$A:$A),MATCH(J$1,enemy_skill_triggers!$1:$1,0)-MATCH($F$1,enemy_skill_triggers!$1:$1,0)+1),MATCH(J$1,enemy_skill_triggers!$1:$1,0)-MATCH($F$1,enemy_skill_triggers!$1:$1,0)+1,FALSE)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4" s="48" t="str">
        <f ca="1">VLOOKUP($F224,OFFSET(enemy_skill_triggers!$A$1,0,0,COUNTA(enemy_skill_triggers!$A:$A),MATCH(K$1,enemy_skill_triggers!$1:$1,0)-MATCH($F$1,enemy_skill_triggers!$1:$1,0)+1),MATCH(K$1,enemy_skill_triggers!$1:$1,0)-MATCH($F$1,enemy_skill_triggers!$1:$1,0)+1,FALSE)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4" s="48">
        <f ca="1">VLOOKUP($F224,OFFSET(enemy_skill_triggers!$A$1,0,0,COUNTA(enemy_skill_triggers!$A:$A),MATCH(L$1,enemy_skill_triggers!$1:$1,0)-MATCH($F$1,enemy_skill_triggers!$1:$1,0)+1),MATCH(L$1,enemy_skill_triggers!$1:$1,0)-MATCH($F$1,enemy_skill_triggers!$1:$1,0)+1,FALSE)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4" s="48" t="str">
        <f ca="1">VLOOKUP($F224,OFFSET(enemy_skill_triggers!$A$1,0,0,COUNTA(enemy_skill_triggers!$A:$A),MATCH(M$1,enemy_skill_triggers!$1:$1,0)-MATCH($F$1,enemy_skill_triggers!$1:$1,0)+1),MATCH(M$1,enemy_skill_triggers!$1:$1,0)-MATCH($F$1,enemy_skill_triggers!$1:$1,0)+1,FALSE)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4" s="48">
        <f ca="1">VLOOKUP($F224,OFFSET(enemy_skill_triggers!$A$1,0,0,COUNTA(enemy_skill_triggers!$A:$A),MATCH(N$1,enemy_skill_triggers!$1:$1,0)-MATCH($F$1,enemy_skill_triggers!$1:$1,0)+1),MATCH(N$1,enemy_skill_triggers!$1:$1,0)-MATCH($F$1,enemy_skill_triggers!$1:$1,0)+1,FALSE)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224" s="48">
        <f ca="1">VLOOKUP($F224,OFFSET(enemy_skill_triggers!$A$1,0,0,COUNTA(enemy_skill_triggers!$A:$A),MATCH(O$1,enemy_skill_triggers!$1:$1,0)-MATCH($F$1,enemy_skill_triggers!$1:$1,0)+1),MATCH(O$1,enemy_skill_triggers!$1:$1,0)-MATCH($F$1,enemy_skill_triggers!$1:$1,0)+1,FALSE)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4" s="47"/>
      <c r="Q224" s="47"/>
      <c r="R224" s="47"/>
    </row>
    <row r="225" spans="1:18" ht="21" customHeight="1" x14ac:dyDescent="0.15">
      <c r="A225" s="39" t="str">
        <f t="shared" si="3"/>
        <v>49015017_49015167</v>
      </c>
      <c r="B225" s="106">
        <v>49015017</v>
      </c>
      <c r="C225" s="126">
        <v>49015167</v>
      </c>
      <c r="D225" s="46" t="str">
        <f ca="1">VLOOKUP($C225,OFFSET(enemy_skills!$A$1,0,0,COUNTA(enemy_skills!$A:$A),MATCH(D$1,enemy_skills!$1:$1,0)-MATCH("enemy_skill_id",enemy_skills!$1:$1,0)+1),MATCH(D$1,enemy_skills!$1:$1,0)-MATCH("enemy_skill_id",enemy_skills!$1:$1,0)+1,FALSE)</f>
        <v>貴方にやられるとは…</v>
      </c>
      <c r="E225" s="46" t="str">
        <f ca="1">VLOOKUP($C225,OFFSET(enemy_skills!$A$1,0,0,COUNTA(enemy_skills!$A:$A),MATCH(E$1,enemy_skills!$1:$1,0)-MATCH("enemy_skill_id",enemy_skills!$1:$1,0)+1),MATCH(E$1,enemy_skills!$1:$1,0)-MATCH("enemy_skill_id",enemy_skills!$1:$1,0)+1,FALSE)</f>
        <v>やはり…仲間に…</v>
      </c>
      <c r="F225" s="126">
        <v>49015224</v>
      </c>
      <c r="G225" s="48">
        <f ca="1">VLOOKUP($F225,OFFSET(enemy_skill_triggers!$A$1,0,0,COUNTA(enemy_skill_triggers!$A:$A),MATCH(G$1,enemy_skill_triggers!$1:$1,0)-MATCH($F$1,enemy_skill_triggers!$1:$1,0)+1),MATCH(G$1,enemy_skill_triggers!$1:$1,0)-MATCH($F$1,enemy_skill_triggers!$1:$1,0)+1,FALSE)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5" s="48">
        <f ca="1">VLOOKUP($F225,OFFSET(enemy_skill_triggers!$A$1,0,0,COUNTA(enemy_skill_triggers!$A:$A),MATCH(H$1,enemy_skill_triggers!$1:$1,0)-MATCH($F$1,enemy_skill_triggers!$1:$1,0)+1),MATCH(H$1,enemy_skill_triggers!$1:$1,0)-MATCH($F$1,enemy_skill_triggers!$1:$1,0)+1,FALSE)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25" s="48">
        <f ca="1">VLOOKUP($F225,OFFSET(enemy_skill_triggers!$A$1,0,0,COUNTA(enemy_skill_triggers!$A:$A),MATCH(I$1,enemy_skill_triggers!$1:$1,0)-MATCH($F$1,enemy_skill_triggers!$1:$1,0)+1),MATCH(I$1,enemy_skill_triggers!$1:$1,0)-MATCH($F$1,enemy_skill_triggers!$1:$1,0)+1,FALSE)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5" s="48" t="str">
        <f ca="1">VLOOKUP($F225,OFFSET(enemy_skill_triggers!$A$1,0,0,COUNTA(enemy_skill_triggers!$A:$A),MATCH(J$1,enemy_skill_triggers!$1:$1,0)-MATCH($F$1,enemy_skill_triggers!$1:$1,0)+1),MATCH(J$1,enemy_skill_triggers!$1:$1,0)-MATCH($F$1,enemy_skill_triggers!$1:$1,0)+1,FALSE)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5" s="48" t="str">
        <f ca="1">VLOOKUP($F225,OFFSET(enemy_skill_triggers!$A$1,0,0,COUNTA(enemy_skill_triggers!$A:$A),MATCH(K$1,enemy_skill_triggers!$1:$1,0)-MATCH($F$1,enemy_skill_triggers!$1:$1,0)+1),MATCH(K$1,enemy_skill_triggers!$1:$1,0)-MATCH($F$1,enemy_skill_triggers!$1:$1,0)+1,FALSE)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5" s="48">
        <f ca="1">VLOOKUP($F225,OFFSET(enemy_skill_triggers!$A$1,0,0,COUNTA(enemy_skill_triggers!$A:$A),MATCH(L$1,enemy_skill_triggers!$1:$1,0)-MATCH($F$1,enemy_skill_triggers!$1:$1,0)+1),MATCH(L$1,enemy_skill_triggers!$1:$1,0)-MATCH($F$1,enemy_skill_triggers!$1:$1,0)+1,FALSE)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5" s="48" t="str">
        <f ca="1">VLOOKUP($F225,OFFSET(enemy_skill_triggers!$A$1,0,0,COUNTA(enemy_skill_triggers!$A:$A),MATCH(M$1,enemy_skill_triggers!$1:$1,0)-MATCH($F$1,enemy_skill_triggers!$1:$1,0)+1),MATCH(M$1,enemy_skill_triggers!$1:$1,0)-MATCH($F$1,enemy_skill_triggers!$1:$1,0)+1,FALSE)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5" s="48">
        <f ca="1">VLOOKUP($F225,OFFSET(enemy_skill_triggers!$A$1,0,0,COUNTA(enemy_skill_triggers!$A:$A),MATCH(N$1,enemy_skill_triggers!$1:$1,0)-MATCH($F$1,enemy_skill_triggers!$1:$1,0)+1),MATCH(N$1,enemy_skill_triggers!$1:$1,0)-MATCH($F$1,enemy_skill_triggers!$1:$1,0)+1,FALSE)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225" s="48">
        <f ca="1">VLOOKUP($F225,OFFSET(enemy_skill_triggers!$A$1,0,0,COUNTA(enemy_skill_triggers!$A:$A),MATCH(O$1,enemy_skill_triggers!$1:$1,0)-MATCH($F$1,enemy_skill_triggers!$1:$1,0)+1),MATCH(O$1,enemy_skill_triggers!$1:$1,0)-MATCH($F$1,enemy_skill_triggers!$1:$1,0)+1,FALSE)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5" s="47"/>
      <c r="Q225" s="47"/>
      <c r="R225" s="47"/>
    </row>
    <row r="226" spans="1:18" ht="21" customHeight="1" x14ac:dyDescent="0.15">
      <c r="A226" s="39" t="str">
        <f t="shared" si="3"/>
        <v>49015017_49015168</v>
      </c>
      <c r="B226" s="106">
        <v>49015017</v>
      </c>
      <c r="C226" s="126">
        <v>49015168</v>
      </c>
      <c r="D226" s="46" t="str">
        <f ca="1">VLOOKUP($C226,OFFSET(enemy_skills!$A$1,0,0,COUNTA(enemy_skills!$A:$A),MATCH(D$1,enemy_skills!$1:$1,0)-MATCH("enemy_skill_id",enemy_skills!$1:$1,0)+1),MATCH(D$1,enemy_skills!$1:$1,0)-MATCH("enemy_skill_id",enemy_skills!$1:$1,0)+1,FALSE)</f>
        <v>ラース…人間に加担すると…</v>
      </c>
      <c r="E226" s="46" t="str">
        <f ca="1">VLOOKUP($C226,OFFSET(enemy_skills!$A$1,0,0,COUNTA(enemy_skills!$A:$A),MATCH(E$1,enemy_skills!$1:$1,0)-MATCH("enemy_skill_id",enemy_skills!$1:$1,0)+1),MATCH(E$1,enemy_skills!$1:$1,0)-MATCH("enemy_skill_id",enemy_skills!$1:$1,0)+1,FALSE)</f>
        <v>私達を…裏切るというのですか…</v>
      </c>
      <c r="F226" s="126">
        <v>49015225</v>
      </c>
      <c r="G226" s="48">
        <f ca="1">VLOOKUP($F226,OFFSET(enemy_skill_triggers!$A$1,0,0,COUNTA(enemy_skill_triggers!$A:$A),MATCH(G$1,enemy_skill_triggers!$1:$1,0)-MATCH($F$1,enemy_skill_triggers!$1:$1,0)+1),MATCH(G$1,enemy_skill_triggers!$1:$1,0)-MATCH($F$1,enemy_skill_triggers!$1:$1,0)+1,FALSE)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6" s="48">
        <f ca="1">VLOOKUP($F226,OFFSET(enemy_skill_triggers!$A$1,0,0,COUNTA(enemy_skill_triggers!$A:$A),MATCH(H$1,enemy_skill_triggers!$1:$1,0)-MATCH($F$1,enemy_skill_triggers!$1:$1,0)+1),MATCH(H$1,enemy_skill_triggers!$1:$1,0)-MATCH($F$1,enemy_skill_triggers!$1:$1,0)+1,FALSE)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26" s="48">
        <f ca="1">VLOOKUP($F226,OFFSET(enemy_skill_triggers!$A$1,0,0,COUNTA(enemy_skill_triggers!$A:$A),MATCH(I$1,enemy_skill_triggers!$1:$1,0)-MATCH($F$1,enemy_skill_triggers!$1:$1,0)+1),MATCH(I$1,enemy_skill_triggers!$1:$1,0)-MATCH($F$1,enemy_skill_triggers!$1:$1,0)+1,FALSE)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6" s="48" t="str">
        <f ca="1">VLOOKUP($F226,OFFSET(enemy_skill_triggers!$A$1,0,0,COUNTA(enemy_skill_triggers!$A:$A),MATCH(J$1,enemy_skill_triggers!$1:$1,0)-MATCH($F$1,enemy_skill_triggers!$1:$1,0)+1),MATCH(J$1,enemy_skill_triggers!$1:$1,0)-MATCH($F$1,enemy_skill_triggers!$1:$1,0)+1,FALSE)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6" s="48" t="str">
        <f ca="1">VLOOKUP($F226,OFFSET(enemy_skill_triggers!$A$1,0,0,COUNTA(enemy_skill_triggers!$A:$A),MATCH(K$1,enemy_skill_triggers!$1:$1,0)-MATCH($F$1,enemy_skill_triggers!$1:$1,0)+1),MATCH(K$1,enemy_skill_triggers!$1:$1,0)-MATCH($F$1,enemy_skill_triggers!$1:$1,0)+1,FALSE)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6" s="48">
        <f ca="1">VLOOKUP($F226,OFFSET(enemy_skill_triggers!$A$1,0,0,COUNTA(enemy_skill_triggers!$A:$A),MATCH(L$1,enemy_skill_triggers!$1:$1,0)-MATCH($F$1,enemy_skill_triggers!$1:$1,0)+1),MATCH(L$1,enemy_skill_triggers!$1:$1,0)-MATCH($F$1,enemy_skill_triggers!$1:$1,0)+1,FALSE)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6" s="48" t="str">
        <f ca="1">VLOOKUP($F226,OFFSET(enemy_skill_triggers!$A$1,0,0,COUNTA(enemy_skill_triggers!$A:$A),MATCH(M$1,enemy_skill_triggers!$1:$1,0)-MATCH($F$1,enemy_skill_triggers!$1:$1,0)+1),MATCH(M$1,enemy_skill_triggers!$1:$1,0)-MATCH($F$1,enemy_skill_triggers!$1:$1,0)+1,FALSE)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6" s="48">
        <f ca="1">VLOOKUP($F226,OFFSET(enemy_skill_triggers!$A$1,0,0,COUNTA(enemy_skill_triggers!$A:$A),MATCH(N$1,enemy_skill_triggers!$1:$1,0)-MATCH($F$1,enemy_skill_triggers!$1:$1,0)+1),MATCH(N$1,enemy_skill_triggers!$1:$1,0)-MATCH($F$1,enemy_skill_triggers!$1:$1,0)+1,FALSE)</f>
        <v>1469</v>
      </c>
      <c r="O226" s="48">
        <f ca="1">VLOOKUP($F226,OFFSET(enemy_skill_triggers!$A$1,0,0,COUNTA(enemy_skill_triggers!$A:$A),MATCH(O$1,enemy_skill_triggers!$1:$1,0)-MATCH($F$1,enemy_skill_triggers!$1:$1,0)+1),MATCH(O$1,enemy_skill_triggers!$1:$1,0)-MATCH($F$1,enemy_skill_triggers!$1:$1,0)+1,FALSE)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6" s="47"/>
      <c r="Q226" s="47"/>
      <c r="R226" s="47"/>
    </row>
    <row r="227" spans="1:18" ht="21" customHeight="1" x14ac:dyDescent="0.15">
      <c r="A227" s="39" t="str">
        <f t="shared" si="3"/>
        <v>49015017_49015169</v>
      </c>
      <c r="B227" s="106">
        <v>49015017</v>
      </c>
      <c r="C227" s="126">
        <v>49015169</v>
      </c>
      <c r="D227" s="46" t="str">
        <f ca="1">VLOOKUP($C227,OFFSET(enemy_skills!$A$1,0,0,COUNTA(enemy_skills!$A:$A),MATCH(D$1,enemy_skills!$1:$1,0)-MATCH("enemy_skill_id",enemy_skills!$1:$1,0)+1),MATCH(D$1,enemy_skills!$1:$1,0)-MATCH("enemy_skill_id",enemy_skills!$1:$1,0)+1,FALSE)</f>
        <v>父上が…なんというか…</v>
      </c>
      <c r="E227" s="46" t="str">
        <f ca="1">VLOOKUP($C227,OFFSET(enemy_skills!$A$1,0,0,COUNTA(enemy_skills!$A:$A),MATCH(E$1,enemy_skills!$1:$1,0)-MATCH("enemy_skill_id",enemy_skills!$1:$1,0)+1),MATCH(E$1,enemy_skills!$1:$1,0)-MATCH("enemy_skill_id",enemy_skills!$1:$1,0)+1,FALSE)</f>
        <v>私に…嫉妬したのか…？</v>
      </c>
      <c r="F227" s="126">
        <v>49015226</v>
      </c>
      <c r="G227" s="48">
        <f ca="1">VLOOKUP($F227,OFFSET(enemy_skill_triggers!$A$1,0,0,COUNTA(enemy_skill_triggers!$A:$A),MATCH(G$1,enemy_skill_triggers!$1:$1,0)-MATCH($F$1,enemy_skill_triggers!$1:$1,0)+1),MATCH(G$1,enemy_skill_triggers!$1:$1,0)-MATCH($F$1,enemy_skill_triggers!$1:$1,0)+1,FALSE)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7" s="48">
        <f ca="1">VLOOKUP($F227,OFFSET(enemy_skill_triggers!$A$1,0,0,COUNTA(enemy_skill_triggers!$A:$A),MATCH(H$1,enemy_skill_triggers!$1:$1,0)-MATCH($F$1,enemy_skill_triggers!$1:$1,0)+1),MATCH(H$1,enemy_skill_triggers!$1:$1,0)-MATCH($F$1,enemy_skill_triggers!$1:$1,0)+1,FALSE)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27" s="48">
        <f ca="1">VLOOKUP($F227,OFFSET(enemy_skill_triggers!$A$1,0,0,COUNTA(enemy_skill_triggers!$A:$A),MATCH(I$1,enemy_skill_triggers!$1:$1,0)-MATCH($F$1,enemy_skill_triggers!$1:$1,0)+1),MATCH(I$1,enemy_skill_triggers!$1:$1,0)-MATCH($F$1,enemy_skill_triggers!$1:$1,0)+1,FALSE)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7" s="48" t="str">
        <f ca="1">VLOOKUP($F227,OFFSET(enemy_skill_triggers!$A$1,0,0,COUNTA(enemy_skill_triggers!$A:$A),MATCH(J$1,enemy_skill_triggers!$1:$1,0)-MATCH($F$1,enemy_skill_triggers!$1:$1,0)+1),MATCH(J$1,enemy_skill_triggers!$1:$1,0)-MATCH($F$1,enemy_skill_triggers!$1:$1,0)+1,FALSE)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7" s="48" t="str">
        <f ca="1">VLOOKUP($F227,OFFSET(enemy_skill_triggers!$A$1,0,0,COUNTA(enemy_skill_triggers!$A:$A),MATCH(K$1,enemy_skill_triggers!$1:$1,0)-MATCH($F$1,enemy_skill_triggers!$1:$1,0)+1),MATCH(K$1,enemy_skill_triggers!$1:$1,0)-MATCH($F$1,enemy_skill_triggers!$1:$1,0)+1,FALSE)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7" s="48">
        <f ca="1">VLOOKUP($F227,OFFSET(enemy_skill_triggers!$A$1,0,0,COUNTA(enemy_skill_triggers!$A:$A),MATCH(L$1,enemy_skill_triggers!$1:$1,0)-MATCH($F$1,enemy_skill_triggers!$1:$1,0)+1),MATCH(L$1,enemy_skill_triggers!$1:$1,0)-MATCH($F$1,enemy_skill_triggers!$1:$1,0)+1,FALSE)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7" s="48" t="str">
        <f ca="1">VLOOKUP($F227,OFFSET(enemy_skill_triggers!$A$1,0,0,COUNTA(enemy_skill_triggers!$A:$A),MATCH(M$1,enemy_skill_triggers!$1:$1,0)-MATCH($F$1,enemy_skill_triggers!$1:$1,0)+1),MATCH(M$1,enemy_skill_triggers!$1:$1,0)-MATCH($F$1,enemy_skill_triggers!$1:$1,0)+1,FALSE)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7" s="48">
        <f ca="1">VLOOKUP($F227,OFFSET(enemy_skill_triggers!$A$1,0,0,COUNTA(enemy_skill_triggers!$A:$A),MATCH(N$1,enemy_skill_triggers!$1:$1,0)-MATCH($F$1,enemy_skill_triggers!$1:$1,0)+1),MATCH(N$1,enemy_skill_triggers!$1:$1,0)-MATCH($F$1,enemy_skill_triggers!$1:$1,0)+1,FALSE)</f>
        <v>1468</v>
      </c>
      <c r="O227" s="48">
        <f ca="1">VLOOKUP($F227,OFFSET(enemy_skill_triggers!$A$1,0,0,COUNTA(enemy_skill_triggers!$A:$A),MATCH(O$1,enemy_skill_triggers!$1:$1,0)-MATCH($F$1,enemy_skill_triggers!$1:$1,0)+1),MATCH(O$1,enemy_skill_triggers!$1:$1,0)-MATCH($F$1,enemy_skill_triggers!$1:$1,0)+1,FALSE)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7" s="47"/>
      <c r="Q227" s="47"/>
      <c r="R227" s="47"/>
    </row>
    <row r="228" spans="1:18" ht="21" customHeight="1" x14ac:dyDescent="0.15">
      <c r="A228" s="39" t="str">
        <f t="shared" si="3"/>
        <v>49015017_49015170</v>
      </c>
      <c r="B228" s="106">
        <v>49015017</v>
      </c>
      <c r="C228" s="135">
        <v>49015170</v>
      </c>
      <c r="D228" s="46" t="str">
        <f ca="1">VLOOKUP($C228,OFFSET(enemy_skills!$A$1,0,0,COUNTA(enemy_skills!$A:$A),MATCH(D$1,enemy_skills!$1:$1,0)-MATCH("enemy_skill_id",enemy_skills!$1:$1,0)+1),MATCH(D$1,enemy_skills!$1:$1,0)-MATCH("enemy_skill_id",enemy_skills!$1:$1,0)+1,FALSE)</f>
        <v>約束の日のために…</v>
      </c>
      <c r="E228" s="46" t="str">
        <f ca="1">VLOOKUP($C228,OFFSET(enemy_skills!$A$1,0,0,COUNTA(enemy_skills!$A:$A),MATCH(E$1,enemy_skills!$1:$1,0)-MATCH("enemy_skill_id",enemy_skills!$1:$1,0)+1),MATCH(E$1,enemy_skills!$1:$1,0)-MATCH("enemy_skill_id",enemy_skills!$1:$1,0)+1,FALSE)</f>
        <v>こんなところで…やられるわけには…</v>
      </c>
      <c r="F228" s="126">
        <v>49015227</v>
      </c>
      <c r="G228" s="48">
        <f ca="1">VLOOKUP($F228,OFFSET(enemy_skill_triggers!$A$1,0,0,COUNTA(enemy_skill_triggers!$A:$A),MATCH(G$1,enemy_skill_triggers!$1:$1,0)-MATCH($F$1,enemy_skill_triggers!$1:$1,0)+1),MATCH(G$1,enemy_skill_triggers!$1:$1,0)-MATCH($F$1,enemy_skill_triggers!$1:$1,0)+1,FALSE)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8" s="48">
        <f ca="1">VLOOKUP($F228,OFFSET(enemy_skill_triggers!$A$1,0,0,COUNTA(enemy_skill_triggers!$A:$A),MATCH(H$1,enemy_skill_triggers!$1:$1,0)-MATCH($F$1,enemy_skill_triggers!$1:$1,0)+1),MATCH(H$1,enemy_skill_triggers!$1:$1,0)-MATCH($F$1,enemy_skill_triggers!$1:$1,0)+1,FALSE)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28" s="48">
        <f ca="1">VLOOKUP($F228,OFFSET(enemy_skill_triggers!$A$1,0,0,COUNTA(enemy_skill_triggers!$A:$A),MATCH(I$1,enemy_skill_triggers!$1:$1,0)-MATCH($F$1,enemy_skill_triggers!$1:$1,0)+1),MATCH(I$1,enemy_skill_triggers!$1:$1,0)-MATCH($F$1,enemy_skill_triggers!$1:$1,0)+1,FALSE)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8" s="48" t="str">
        <f ca="1">VLOOKUP($F228,OFFSET(enemy_skill_triggers!$A$1,0,0,COUNTA(enemy_skill_triggers!$A:$A),MATCH(J$1,enemy_skill_triggers!$1:$1,0)-MATCH($F$1,enemy_skill_triggers!$1:$1,0)+1),MATCH(J$1,enemy_skill_triggers!$1:$1,0)-MATCH($F$1,enemy_skill_triggers!$1:$1,0)+1,FALSE)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8" s="48" t="str">
        <f ca="1">VLOOKUP($F228,OFFSET(enemy_skill_triggers!$A$1,0,0,COUNTA(enemy_skill_triggers!$A:$A),MATCH(K$1,enemy_skill_triggers!$1:$1,0)-MATCH($F$1,enemy_skill_triggers!$1:$1,0)+1),MATCH(K$1,enemy_skill_triggers!$1:$1,0)-MATCH($F$1,enemy_skill_triggers!$1:$1,0)+1,FALSE)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8" s="48">
        <f ca="1">VLOOKUP($F228,OFFSET(enemy_skill_triggers!$A$1,0,0,COUNTA(enemy_skill_triggers!$A:$A),MATCH(L$1,enemy_skill_triggers!$1:$1,0)-MATCH($F$1,enemy_skill_triggers!$1:$1,0)+1),MATCH(L$1,enemy_skill_triggers!$1:$1,0)-MATCH($F$1,enemy_skill_triggers!$1:$1,0)+1,FALSE)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8" s="48" t="str">
        <f ca="1">VLOOKUP($F228,OFFSET(enemy_skill_triggers!$A$1,0,0,COUNTA(enemy_skill_triggers!$A:$A),MATCH(M$1,enemy_skill_triggers!$1:$1,0)-MATCH($F$1,enemy_skill_triggers!$1:$1,0)+1),MATCH(M$1,enemy_skill_triggers!$1:$1,0)-MATCH($F$1,enemy_skill_triggers!$1:$1,0)+1,FALSE)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8" s="48">
        <f ca="1">VLOOKUP($F228,OFFSET(enemy_skill_triggers!$A$1,0,0,COUNTA(enemy_skill_triggers!$A:$A),MATCH(N$1,enemy_skill_triggers!$1:$1,0)-MATCH($F$1,enemy_skill_triggers!$1:$1,0)+1),MATCH(N$1,enemy_skill_triggers!$1:$1,0)-MATCH($F$1,enemy_skill_triggers!$1:$1,0)+1,FALSE)</f>
        <v>1466</v>
      </c>
      <c r="O228" s="48">
        <f ca="1">VLOOKUP($F228,OFFSET(enemy_skill_triggers!$A$1,0,0,COUNTA(enemy_skill_triggers!$A:$A),MATCH(O$1,enemy_skill_triggers!$1:$1,0)-MATCH($F$1,enemy_skill_triggers!$1:$1,0)+1),MATCH(O$1,enemy_skill_triggers!$1:$1,0)-MATCH($F$1,enemy_skill_triggers!$1:$1,0)+1,FALSE)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8" s="129"/>
      <c r="Q228" s="129"/>
      <c r="R228" s="129"/>
    </row>
    <row r="229" spans="1:18" ht="21" customHeight="1" thickBot="1" x14ac:dyDescent="0.2">
      <c r="A229" s="39" t="str">
        <f t="shared" si="3"/>
        <v>49015017_49015170</v>
      </c>
      <c r="B229" s="111">
        <v>49015017</v>
      </c>
      <c r="C229" s="188">
        <v>49015170</v>
      </c>
      <c r="D229" s="145" t="str">
        <f ca="1">VLOOKUP($C229,OFFSET(enemy_skills!$A$1,0,0,COUNTA(enemy_skills!$A:$A),MATCH(D$1,enemy_skills!$1:$1,0)-MATCH("enemy_skill_id",enemy_skills!$1:$1,0)+1),MATCH(D$1,enemy_skills!$1:$1,0)-MATCH("enemy_skill_id",enemy_skills!$1:$1,0)+1,FALSE)</f>
        <v>約束の日のために…</v>
      </c>
      <c r="E229" s="145" t="str">
        <f ca="1">VLOOKUP($C229,OFFSET(enemy_skills!$A$1,0,0,COUNTA(enemy_skills!$A:$A),MATCH(E$1,enemy_skills!$1:$1,0)-MATCH("enemy_skill_id",enemy_skills!$1:$1,0)+1),MATCH(E$1,enemy_skills!$1:$1,0)-MATCH("enemy_skill_id",enemy_skills!$1:$1,0)+1,FALSE)</f>
        <v>こんなところで…やられるわけには…</v>
      </c>
      <c r="F229" s="127">
        <v>49015228</v>
      </c>
      <c r="G229" s="114">
        <f ca="1">VLOOKUP($F229,OFFSET(enemy_skill_triggers!$A$1,0,0,COUNTA(enemy_skill_triggers!$A:$A),MATCH(G$1,enemy_skill_triggers!$1:$1,0)-MATCH($F$1,enemy_skill_triggers!$1:$1,0)+1),MATCH(G$1,enemy_skill_triggers!$1:$1,0)-MATCH($F$1,enemy_skill_triggers!$1:$1,0)+1,FALSE)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9" s="114">
        <f ca="1">VLOOKUP($F229,OFFSET(enemy_skill_triggers!$A$1,0,0,COUNTA(enemy_skill_triggers!$A:$A),MATCH(H$1,enemy_skill_triggers!$1:$1,0)-MATCH($F$1,enemy_skill_triggers!$1:$1,0)+1),MATCH(H$1,enemy_skill_triggers!$1:$1,0)-MATCH($F$1,enemy_skill_triggers!$1:$1,0)+1,FALSE)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229" s="114">
        <f ca="1">VLOOKUP($F229,OFFSET(enemy_skill_triggers!$A$1,0,0,COUNTA(enemy_skill_triggers!$A:$A),MATCH(I$1,enemy_skill_triggers!$1:$1,0)-MATCH($F$1,enemy_skill_triggers!$1:$1,0)+1),MATCH(I$1,enemy_skill_triggers!$1:$1,0)-MATCH($F$1,enemy_skill_triggers!$1:$1,0)+1,FALSE)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9" s="114" t="str">
        <f ca="1">VLOOKUP($F229,OFFSET(enemy_skill_triggers!$A$1,0,0,COUNTA(enemy_skill_triggers!$A:$A),MATCH(J$1,enemy_skill_triggers!$1:$1,0)-MATCH($F$1,enemy_skill_triggers!$1:$1,0)+1),MATCH(J$1,enemy_skill_triggers!$1:$1,0)-MATCH($F$1,enemy_skill_triggers!$1:$1,0)+1,FALSE)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9" s="114" t="str">
        <f ca="1">VLOOKUP($F229,OFFSET(enemy_skill_triggers!$A$1,0,0,COUNTA(enemy_skill_triggers!$A:$A),MATCH(K$1,enemy_skill_triggers!$1:$1,0)-MATCH($F$1,enemy_skill_triggers!$1:$1,0)+1),MATCH(K$1,enemy_skill_triggers!$1:$1,0)-MATCH($F$1,enemy_skill_triggers!$1:$1,0)+1,FALSE)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9" s="114">
        <f ca="1">VLOOKUP($F229,OFFSET(enemy_skill_triggers!$A$1,0,0,COUNTA(enemy_skill_triggers!$A:$A),MATCH(L$1,enemy_skill_triggers!$1:$1,0)-MATCH($F$1,enemy_skill_triggers!$1:$1,0)+1),MATCH(L$1,enemy_skill_triggers!$1:$1,0)-MATCH($F$1,enemy_skill_triggers!$1:$1,0)+1,FALSE)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9" s="114" t="str">
        <f ca="1">VLOOKUP($F229,OFFSET(enemy_skill_triggers!$A$1,0,0,COUNTA(enemy_skill_triggers!$A:$A),MATCH(M$1,enemy_skill_triggers!$1:$1,0)-MATCH($F$1,enemy_skill_triggers!$1:$1,0)+1),MATCH(M$1,enemy_skill_triggers!$1:$1,0)-MATCH($F$1,enemy_skill_triggers!$1:$1,0)+1,FALSE)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9" s="114">
        <f ca="1">VLOOKUP($F229,OFFSET(enemy_skill_triggers!$A$1,0,0,COUNTA(enemy_skill_triggers!$A:$A),MATCH(N$1,enemy_skill_triggers!$1:$1,0)-MATCH($F$1,enemy_skill_triggers!$1:$1,0)+1),MATCH(N$1,enemy_skill_triggers!$1:$1,0)-MATCH($F$1,enemy_skill_triggers!$1:$1,0)+1,FALSE)</f>
        <v>1467</v>
      </c>
      <c r="O229" s="114">
        <f ca="1">VLOOKUP($F229,OFFSET(enemy_skill_triggers!$A$1,0,0,COUNTA(enemy_skill_triggers!$A:$A),MATCH(O$1,enemy_skill_triggers!$1:$1,0)-MATCH($F$1,enemy_skill_triggers!$1:$1,0)+1),MATCH(O$1,enemy_skill_triggers!$1:$1,0)-MATCH($F$1,enemy_skill_triggers!$1:$1,0)+1,FALSE)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9" s="111"/>
      <c r="Q229" s="111"/>
      <c r="R229" s="111"/>
    </row>
    <row r="230" spans="1:18" ht="21" customHeight="1" x14ac:dyDescent="0.15">
      <c r="A230" s="39" t="str">
        <f t="shared" si="3"/>
        <v>49015018_49015171</v>
      </c>
      <c r="B230" s="106">
        <v>49015018</v>
      </c>
      <c r="C230" s="138">
        <v>49015171</v>
      </c>
      <c r="D230" s="144" t="str">
        <f ca="1">VLOOKUP($C230,OFFSET(enemy_skills!$A$1,0,0,COUNTA(enemy_skills!$A:$A),MATCH(D$1,enemy_skills!$1:$1,0)-MATCH("enemy_skill_id",enemy_skills!$1:$1,0)+1),MATCH(D$1,enemy_skills!$1:$1,0)-MATCH("enemy_skill_id",enemy_skills!$1:$1,0)+1,FALSE)</f>
        <v>そこをどけ</v>
      </c>
      <c r="E230" s="144" t="str">
        <f ca="1">VLOOKUP($C230,OFFSET(enemy_skills!$A$1,0,0,COUNTA(enemy_skills!$A:$A),MATCH(E$1,enemy_skills!$1:$1,0)-MATCH("enemy_skill_id",enemy_skills!$1:$1,0)+1),MATCH(E$1,enemy_skills!$1:$1,0)-MATCH("enemy_skill_id",enemy_skills!$1:$1,0)+1,FALSE)</f>
        <v>邪魔するものは排除する</v>
      </c>
      <c r="F230" s="138">
        <v>49015229</v>
      </c>
      <c r="G230" s="109">
        <f ca="1">VLOOKUP($F230,OFFSET(enemy_skill_triggers!$A$1,0,0,COUNTA(enemy_skill_triggers!$A:$A),MATCH(G$1,enemy_skill_triggers!$1:$1,0)-MATCH($F$1,enemy_skill_triggers!$1:$1,0)+1),MATCH(G$1,enemy_skill_triggers!$1:$1,0)-MATCH($F$1,enemy_skill_triggers!$1:$1,0)+1,FALSE)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0" s="109">
        <f ca="1">VLOOKUP($F230,OFFSET(enemy_skill_triggers!$A$1,0,0,COUNTA(enemy_skill_triggers!$A:$A),MATCH(H$1,enemy_skill_triggers!$1:$1,0)-MATCH($F$1,enemy_skill_triggers!$1:$1,0)+1),MATCH(H$1,enemy_skill_triggers!$1:$1,0)-MATCH($F$1,enemy_skill_triggers!$1:$1,0)+1,FALSE)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230" s="109">
        <f ca="1">VLOOKUP($F230,OFFSET(enemy_skill_triggers!$A$1,0,0,COUNTA(enemy_skill_triggers!$A:$A),MATCH(I$1,enemy_skill_triggers!$1:$1,0)-MATCH($F$1,enemy_skill_triggers!$1:$1,0)+1),MATCH(I$1,enemy_skill_triggers!$1:$1,0)-MATCH($F$1,enemy_skill_triggers!$1:$1,0)+1,FALSE)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0" s="109" t="str">
        <f ca="1">VLOOKUP($F230,OFFSET(enemy_skill_triggers!$A$1,0,0,COUNTA(enemy_skill_triggers!$A:$A),MATCH(J$1,enemy_skill_triggers!$1:$1,0)-MATCH($F$1,enemy_skill_triggers!$1:$1,0)+1),MATCH(J$1,enemy_skill_triggers!$1:$1,0)-MATCH($F$1,enemy_skill_triggers!$1:$1,0)+1,FALSE)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0" s="109" t="str">
        <f ca="1">VLOOKUP($F230,OFFSET(enemy_skill_triggers!$A$1,0,0,COUNTA(enemy_skill_triggers!$A:$A),MATCH(K$1,enemy_skill_triggers!$1:$1,0)-MATCH($F$1,enemy_skill_triggers!$1:$1,0)+1),MATCH(K$1,enemy_skill_triggers!$1:$1,0)-MATCH($F$1,enemy_skill_triggers!$1:$1,0)+1,FALSE)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0" s="109">
        <f ca="1">VLOOKUP($F230,OFFSET(enemy_skill_triggers!$A$1,0,0,COUNTA(enemy_skill_triggers!$A:$A),MATCH(L$1,enemy_skill_triggers!$1:$1,0)-MATCH($F$1,enemy_skill_triggers!$1:$1,0)+1),MATCH(L$1,enemy_skill_triggers!$1:$1,0)-MATCH($F$1,enemy_skill_triggers!$1:$1,0)+1,FALSE)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0" s="109" t="str">
        <f ca="1">VLOOKUP($F230,OFFSET(enemy_skill_triggers!$A$1,0,0,COUNTA(enemy_skill_triggers!$A:$A),MATCH(M$1,enemy_skill_triggers!$1:$1,0)-MATCH($F$1,enemy_skill_triggers!$1:$1,0)+1),MATCH(M$1,enemy_skill_triggers!$1:$1,0)-MATCH($F$1,enemy_skill_triggers!$1:$1,0)+1,FALSE)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0" s="109" t="str">
        <f ca="1">VLOOKUP($F230,OFFSET(enemy_skill_triggers!$A$1,0,0,COUNTA(enemy_skill_triggers!$A:$A),MATCH(N$1,enemy_skill_triggers!$1:$1,0)-MATCH($F$1,enemy_skill_triggers!$1:$1,0)+1),MATCH(N$1,enemy_skill_triggers!$1:$1,0)-MATCH($F$1,enemy_skill_triggers!$1:$1,0)+1,FALSE)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0" s="109">
        <f ca="1">VLOOKUP($F230,OFFSET(enemy_skill_triggers!$A$1,0,0,COUNTA(enemy_skill_triggers!$A:$A),MATCH(O$1,enemy_skill_triggers!$1:$1,0)-MATCH($F$1,enemy_skill_triggers!$1:$1,0)+1),MATCH(O$1,enemy_skill_triggers!$1:$1,0)-MATCH($F$1,enemy_skill_triggers!$1:$1,0)+1,FALSE)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0" s="106"/>
      <c r="Q230" s="106"/>
      <c r="R230" s="106"/>
    </row>
    <row r="231" spans="1:18" ht="21" customHeight="1" x14ac:dyDescent="0.15">
      <c r="A231" s="39" t="str">
        <f t="shared" si="3"/>
        <v>49015018_49015172</v>
      </c>
      <c r="B231" s="106">
        <v>49015018</v>
      </c>
      <c r="C231" s="138">
        <v>49015172</v>
      </c>
      <c r="D231" s="46" t="str">
        <f ca="1">VLOOKUP($C231,OFFSET(enemy_skills!$A$1,0,0,COUNTA(enemy_skills!$A:$A),MATCH(D$1,enemy_skills!$1:$1,0)-MATCH("enemy_skill_id",enemy_skills!$1:$1,0)+1),MATCH(D$1,enemy_skills!$1:$1,0)-MATCH("enemy_skill_id",enemy_skills!$1:$1,0)+1,FALSE)</f>
        <v>なんという僥倖！_x000D_このような世界で会えるとは！</v>
      </c>
      <c r="E231" s="46" t="str">
        <f ca="1">VLOOKUP($C231,OFFSET(enemy_skills!$A$1,0,0,COUNTA(enemy_skills!$A:$A),MATCH(E$1,enemy_skills!$1:$1,0)-MATCH("enemy_skill_id",enemy_skills!$1:$1,0)+1),MATCH(E$1,enemy_skills!$1:$1,0)-MATCH("enemy_skill_id",enemy_skills!$1:$1,0)+1,FALSE)</f>
        <v>【エドは黄パネルを錬成し始めた！】</v>
      </c>
      <c r="F231" s="138">
        <v>49015230</v>
      </c>
      <c r="G231" s="48">
        <f ca="1">VLOOKUP($F231,OFFSET(enemy_skill_triggers!$A$1,0,0,COUNTA(enemy_skill_triggers!$A:$A),MATCH(G$1,enemy_skill_triggers!$1:$1,0)-MATCH($F$1,enemy_skill_triggers!$1:$1,0)+1),MATCH(G$1,enemy_skill_triggers!$1:$1,0)-MATCH($F$1,enemy_skill_triggers!$1:$1,0)+1,FALSE)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1" s="48">
        <f ca="1">VLOOKUP($F231,OFFSET(enemy_skill_triggers!$A$1,0,0,COUNTA(enemy_skill_triggers!$A:$A),MATCH(H$1,enemy_skill_triggers!$1:$1,0)-MATCH($F$1,enemy_skill_triggers!$1:$1,0)+1),MATCH(H$1,enemy_skill_triggers!$1:$1,0)-MATCH($F$1,enemy_skill_triggers!$1:$1,0)+1,FALSE)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1" s="48">
        <f ca="1">VLOOKUP($F231,OFFSET(enemy_skill_triggers!$A$1,0,0,COUNTA(enemy_skill_triggers!$A:$A),MATCH(I$1,enemy_skill_triggers!$1:$1,0)-MATCH($F$1,enemy_skill_triggers!$1:$1,0)+1),MATCH(I$1,enemy_skill_triggers!$1:$1,0)-MATCH($F$1,enemy_skill_triggers!$1:$1,0)+1,FALSE)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1" s="48" t="str">
        <f ca="1">VLOOKUP($F231,OFFSET(enemy_skill_triggers!$A$1,0,0,COUNTA(enemy_skill_triggers!$A:$A),MATCH(J$1,enemy_skill_triggers!$1:$1,0)-MATCH($F$1,enemy_skill_triggers!$1:$1,0)+1),MATCH(J$1,enemy_skill_triggers!$1:$1,0)-MATCH($F$1,enemy_skill_triggers!$1:$1,0)+1,FALSE)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1" s="48" t="str">
        <f ca="1">VLOOKUP($F231,OFFSET(enemy_skill_triggers!$A$1,0,0,COUNTA(enemy_skill_triggers!$A:$A),MATCH(K$1,enemy_skill_triggers!$1:$1,0)-MATCH($F$1,enemy_skill_triggers!$1:$1,0)+1),MATCH(K$1,enemy_skill_triggers!$1:$1,0)-MATCH($F$1,enemy_skill_triggers!$1:$1,0)+1,FALSE)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1" s="48">
        <f ca="1">VLOOKUP($F231,OFFSET(enemy_skill_triggers!$A$1,0,0,COUNTA(enemy_skill_triggers!$A:$A),MATCH(L$1,enemy_skill_triggers!$1:$1,0)-MATCH($F$1,enemy_skill_triggers!$1:$1,0)+1),MATCH(L$1,enemy_skill_triggers!$1:$1,0)-MATCH($F$1,enemy_skill_triggers!$1:$1,0)+1,FALSE)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1" s="48" t="str">
        <f ca="1">VLOOKUP($F231,OFFSET(enemy_skill_triggers!$A$1,0,0,COUNTA(enemy_skill_triggers!$A:$A),MATCH(M$1,enemy_skill_triggers!$1:$1,0)-MATCH($F$1,enemy_skill_triggers!$1:$1,0)+1),MATCH(M$1,enemy_skill_triggers!$1:$1,0)-MATCH($F$1,enemy_skill_triggers!$1:$1,0)+1,FALSE)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1" s="48">
        <f ca="1">VLOOKUP($F231,OFFSET(enemy_skill_triggers!$A$1,0,0,COUNTA(enemy_skill_triggers!$A:$A),MATCH(N$1,enemy_skill_triggers!$1:$1,0)-MATCH($F$1,enemy_skill_triggers!$1:$1,0)+1),MATCH(N$1,enemy_skill_triggers!$1:$1,0)-MATCH($F$1,enemy_skill_triggers!$1:$1,0)+1,FALSE)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231" s="48">
        <f ca="1">VLOOKUP($F231,OFFSET(enemy_skill_triggers!$A$1,0,0,COUNTA(enemy_skill_triggers!$A:$A),MATCH(O$1,enemy_skill_triggers!$1:$1,0)-MATCH($F$1,enemy_skill_triggers!$1:$1,0)+1),MATCH(O$1,enemy_skill_triggers!$1:$1,0)-MATCH($F$1,enemy_skill_triggers!$1:$1,0)+1,FALSE)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1" s="47"/>
      <c r="Q231" s="47"/>
      <c r="R231" s="47"/>
    </row>
    <row r="232" spans="1:18" ht="21" customHeight="1" x14ac:dyDescent="0.15">
      <c r="A232" s="39" t="str">
        <f t="shared" si="3"/>
        <v>49015018_49015172</v>
      </c>
      <c r="B232" s="106">
        <v>49015018</v>
      </c>
      <c r="C232" s="138">
        <v>49015172</v>
      </c>
      <c r="D232" s="46" t="str">
        <f ca="1">VLOOKUP($C232,OFFSET(enemy_skills!$A$1,0,0,COUNTA(enemy_skills!$A:$A),MATCH(D$1,enemy_skills!$1:$1,0)-MATCH("enemy_skill_id",enemy_skills!$1:$1,0)+1),MATCH(D$1,enemy_skills!$1:$1,0)-MATCH("enemy_skill_id",enemy_skills!$1:$1,0)+1,FALSE)</f>
        <v>なんという僥倖！_x000D_このような世界で会えるとは！</v>
      </c>
      <c r="E232" s="46" t="str">
        <f ca="1">VLOOKUP($C232,OFFSET(enemy_skills!$A$1,0,0,COUNTA(enemy_skills!$A:$A),MATCH(E$1,enemy_skills!$1:$1,0)-MATCH("enemy_skill_id",enemy_skills!$1:$1,0)+1),MATCH(E$1,enemy_skills!$1:$1,0)-MATCH("enemy_skill_id",enemy_skills!$1:$1,0)+1,FALSE)</f>
        <v>【エドは黄パネルを錬成し始めた！】</v>
      </c>
      <c r="F232" s="138">
        <v>49015231</v>
      </c>
      <c r="G232" s="48">
        <f ca="1">VLOOKUP($F232,OFFSET(enemy_skill_triggers!$A$1,0,0,COUNTA(enemy_skill_triggers!$A:$A),MATCH(G$1,enemy_skill_triggers!$1:$1,0)-MATCH($F$1,enemy_skill_triggers!$1:$1,0)+1),MATCH(G$1,enemy_skill_triggers!$1:$1,0)-MATCH($F$1,enemy_skill_triggers!$1:$1,0)+1,FALSE)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2" s="48">
        <f ca="1">VLOOKUP($F232,OFFSET(enemy_skill_triggers!$A$1,0,0,COUNTA(enemy_skill_triggers!$A:$A),MATCH(H$1,enemy_skill_triggers!$1:$1,0)-MATCH($F$1,enemy_skill_triggers!$1:$1,0)+1),MATCH(H$1,enemy_skill_triggers!$1:$1,0)-MATCH($F$1,enemy_skill_triggers!$1:$1,0)+1,FALSE)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32" s="48">
        <f ca="1">VLOOKUP($F232,OFFSET(enemy_skill_triggers!$A$1,0,0,COUNTA(enemy_skill_triggers!$A:$A),MATCH(I$1,enemy_skill_triggers!$1:$1,0)-MATCH($F$1,enemy_skill_triggers!$1:$1,0)+1),MATCH(I$1,enemy_skill_triggers!$1:$1,0)-MATCH($F$1,enemy_skill_triggers!$1:$1,0)+1,FALSE)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2" s="48" t="str">
        <f ca="1">VLOOKUP($F232,OFFSET(enemy_skill_triggers!$A$1,0,0,COUNTA(enemy_skill_triggers!$A:$A),MATCH(J$1,enemy_skill_triggers!$1:$1,0)-MATCH($F$1,enemy_skill_triggers!$1:$1,0)+1),MATCH(J$1,enemy_skill_triggers!$1:$1,0)-MATCH($F$1,enemy_skill_triggers!$1:$1,0)+1,FALSE)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2" s="48" t="str">
        <f ca="1">VLOOKUP($F232,OFFSET(enemy_skill_triggers!$A$1,0,0,COUNTA(enemy_skill_triggers!$A:$A),MATCH(K$1,enemy_skill_triggers!$1:$1,0)-MATCH($F$1,enemy_skill_triggers!$1:$1,0)+1),MATCH(K$1,enemy_skill_triggers!$1:$1,0)-MATCH($F$1,enemy_skill_triggers!$1:$1,0)+1,FALSE)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2" s="48">
        <f ca="1">VLOOKUP($F232,OFFSET(enemy_skill_triggers!$A$1,0,0,COUNTA(enemy_skill_triggers!$A:$A),MATCH(L$1,enemy_skill_triggers!$1:$1,0)-MATCH($F$1,enemy_skill_triggers!$1:$1,0)+1),MATCH(L$1,enemy_skill_triggers!$1:$1,0)-MATCH($F$1,enemy_skill_triggers!$1:$1,0)+1,FALSE)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2" s="48" t="str">
        <f ca="1">VLOOKUP($F232,OFFSET(enemy_skill_triggers!$A$1,0,0,COUNTA(enemy_skill_triggers!$A:$A),MATCH(M$1,enemy_skill_triggers!$1:$1,0)-MATCH($F$1,enemy_skill_triggers!$1:$1,0)+1),MATCH(M$1,enemy_skill_triggers!$1:$1,0)-MATCH($F$1,enemy_skill_triggers!$1:$1,0)+1,FALSE)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2" s="48">
        <f ca="1">VLOOKUP($F232,OFFSET(enemy_skill_triggers!$A$1,0,0,COUNTA(enemy_skill_triggers!$A:$A),MATCH(N$1,enemy_skill_triggers!$1:$1,0)-MATCH($F$1,enemy_skill_triggers!$1:$1,0)+1),MATCH(N$1,enemy_skill_triggers!$1:$1,0)-MATCH($F$1,enemy_skill_triggers!$1:$1,0)+1,FALSE)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232" s="48">
        <f ca="1">VLOOKUP($F232,OFFSET(enemy_skill_triggers!$A$1,0,0,COUNTA(enemy_skill_triggers!$A:$A),MATCH(O$1,enemy_skill_triggers!$1:$1,0)-MATCH($F$1,enemy_skill_triggers!$1:$1,0)+1),MATCH(O$1,enemy_skill_triggers!$1:$1,0)-MATCH($F$1,enemy_skill_triggers!$1:$1,0)+1,FALSE)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2" s="47"/>
      <c r="Q232" s="47"/>
      <c r="R232" s="47"/>
    </row>
    <row r="233" spans="1:18" ht="21" customHeight="1" x14ac:dyDescent="0.15">
      <c r="A233" s="39" t="str">
        <f t="shared" si="3"/>
        <v>49015018_49015173</v>
      </c>
      <c r="B233" s="106">
        <v>49015018</v>
      </c>
      <c r="C233" s="138">
        <v>49015173</v>
      </c>
      <c r="D233" s="46" t="str">
        <f ca="1">VLOOKUP($C233,OFFSET(enemy_skills!$A$1,0,0,COUNTA(enemy_skills!$A:$A),MATCH(D$1,enemy_skills!$1:$1,0)-MATCH("enemy_skill_id",enemy_skills!$1:$1,0)+1),MATCH(D$1,enemy_skills!$1:$1,0)-MATCH("enemy_skill_id",enemy_skills!$1:$1,0)+1,FALSE)</f>
        <v>貴様一人か？</v>
      </c>
      <c r="E233" s="46" t="str">
        <f ca="1">VLOOKUP($C233,OFFSET(enemy_skills!$A$1,0,0,COUNTA(enemy_skills!$A:$A),MATCH(E$1,enemy_skills!$1:$1,0)-MATCH("enemy_skill_id",enemy_skills!$1:$1,0)+1),MATCH(E$1,enemy_skills!$1:$1,0)-MATCH("enemy_skill_id",enemy_skills!$1:$1,0)+1,FALSE)</f>
        <v>鋼の錬金術師はどうした？</v>
      </c>
      <c r="F233" s="138">
        <v>49015232</v>
      </c>
      <c r="G233" s="48">
        <f ca="1">VLOOKUP($F233,OFFSET(enemy_skill_triggers!$A$1,0,0,COUNTA(enemy_skill_triggers!$A:$A),MATCH(G$1,enemy_skill_triggers!$1:$1,0)-MATCH($F$1,enemy_skill_triggers!$1:$1,0)+1),MATCH(G$1,enemy_skill_triggers!$1:$1,0)-MATCH($F$1,enemy_skill_triggers!$1:$1,0)+1,FALSE)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3" s="48">
        <f ca="1">VLOOKUP($F233,OFFSET(enemy_skill_triggers!$A$1,0,0,COUNTA(enemy_skill_triggers!$A:$A),MATCH(H$1,enemy_skill_triggers!$1:$1,0)-MATCH($F$1,enemy_skill_triggers!$1:$1,0)+1),MATCH(H$1,enemy_skill_triggers!$1:$1,0)-MATCH($F$1,enemy_skill_triggers!$1:$1,0)+1,FALSE)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33" s="48">
        <f ca="1">VLOOKUP($F233,OFFSET(enemy_skill_triggers!$A$1,0,0,COUNTA(enemy_skill_triggers!$A:$A),MATCH(I$1,enemy_skill_triggers!$1:$1,0)-MATCH($F$1,enemy_skill_triggers!$1:$1,0)+1),MATCH(I$1,enemy_skill_triggers!$1:$1,0)-MATCH($F$1,enemy_skill_triggers!$1:$1,0)+1,FALSE)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3" s="48" t="str">
        <f ca="1">VLOOKUP($F233,OFFSET(enemy_skill_triggers!$A$1,0,0,COUNTA(enemy_skill_triggers!$A:$A),MATCH(J$1,enemy_skill_triggers!$1:$1,0)-MATCH($F$1,enemy_skill_triggers!$1:$1,0)+1),MATCH(J$1,enemy_skill_triggers!$1:$1,0)-MATCH($F$1,enemy_skill_triggers!$1:$1,0)+1,FALSE)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3" s="48" t="str">
        <f ca="1">VLOOKUP($F233,OFFSET(enemy_skill_triggers!$A$1,0,0,COUNTA(enemy_skill_triggers!$A:$A),MATCH(K$1,enemy_skill_triggers!$1:$1,0)-MATCH($F$1,enemy_skill_triggers!$1:$1,0)+1),MATCH(K$1,enemy_skill_triggers!$1:$1,0)-MATCH($F$1,enemy_skill_triggers!$1:$1,0)+1,FALSE)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3" s="48">
        <f ca="1">VLOOKUP($F233,OFFSET(enemy_skill_triggers!$A$1,0,0,COUNTA(enemy_skill_triggers!$A:$A),MATCH(L$1,enemy_skill_triggers!$1:$1,0)-MATCH($F$1,enemy_skill_triggers!$1:$1,0)+1),MATCH(L$1,enemy_skill_triggers!$1:$1,0)-MATCH($F$1,enemy_skill_triggers!$1:$1,0)+1,FALSE)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3" s="48" t="str">
        <f ca="1">VLOOKUP($F233,OFFSET(enemy_skill_triggers!$A$1,0,0,COUNTA(enemy_skill_triggers!$A:$A),MATCH(M$1,enemy_skill_triggers!$1:$1,0)-MATCH($F$1,enemy_skill_triggers!$1:$1,0)+1),MATCH(M$1,enemy_skill_triggers!$1:$1,0)-MATCH($F$1,enemy_skill_triggers!$1:$1,0)+1,FALSE)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3" s="48">
        <f ca="1">VLOOKUP($F233,OFFSET(enemy_skill_triggers!$A$1,0,0,COUNTA(enemy_skill_triggers!$A:$A),MATCH(N$1,enemy_skill_triggers!$1:$1,0)-MATCH($F$1,enemy_skill_triggers!$1:$1,0)+1),MATCH(N$1,enemy_skill_triggers!$1:$1,0)-MATCH($F$1,enemy_skill_triggers!$1:$1,0)+1,FALSE)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233" s="48">
        <f ca="1">VLOOKUP($F233,OFFSET(enemy_skill_triggers!$A$1,0,0,COUNTA(enemy_skill_triggers!$A:$A),MATCH(O$1,enemy_skill_triggers!$1:$1,0)-MATCH($F$1,enemy_skill_triggers!$1:$1,0)+1),MATCH(O$1,enemy_skill_triggers!$1:$1,0)-MATCH($F$1,enemy_skill_triggers!$1:$1,0)+1,FALSE)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3" s="47"/>
      <c r="Q233" s="47"/>
      <c r="R233" s="47"/>
    </row>
    <row r="234" spans="1:18" ht="21" customHeight="1" x14ac:dyDescent="0.15">
      <c r="A234" s="39" t="str">
        <f t="shared" si="3"/>
        <v>49015018_49015173</v>
      </c>
      <c r="B234" s="106">
        <v>49015018</v>
      </c>
      <c r="C234" s="138">
        <v>49015173</v>
      </c>
      <c r="D234" s="46" t="str">
        <f ca="1">VLOOKUP($C234,OFFSET(enemy_skills!$A$1,0,0,COUNTA(enemy_skills!$A:$A),MATCH(D$1,enemy_skills!$1:$1,0)-MATCH("enemy_skill_id",enemy_skills!$1:$1,0)+1),MATCH(D$1,enemy_skills!$1:$1,0)-MATCH("enemy_skill_id",enemy_skills!$1:$1,0)+1,FALSE)</f>
        <v>貴様一人か？</v>
      </c>
      <c r="E234" s="46" t="str">
        <f ca="1">VLOOKUP($C234,OFFSET(enemy_skills!$A$1,0,0,COUNTA(enemy_skills!$A:$A),MATCH(E$1,enemy_skills!$1:$1,0)-MATCH("enemy_skill_id",enemy_skills!$1:$1,0)+1),MATCH(E$1,enemy_skills!$1:$1,0)-MATCH("enemy_skill_id",enemy_skills!$1:$1,0)+1,FALSE)</f>
        <v>鋼の錬金術師はどうした？</v>
      </c>
      <c r="F234" s="138">
        <v>49015233</v>
      </c>
      <c r="G234" s="48">
        <f ca="1">VLOOKUP($F234,OFFSET(enemy_skill_triggers!$A$1,0,0,COUNTA(enemy_skill_triggers!$A:$A),MATCH(G$1,enemy_skill_triggers!$1:$1,0)-MATCH($F$1,enemy_skill_triggers!$1:$1,0)+1),MATCH(G$1,enemy_skill_triggers!$1:$1,0)-MATCH($F$1,enemy_skill_triggers!$1:$1,0)+1,FALSE)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4" s="48">
        <f ca="1">VLOOKUP($F234,OFFSET(enemy_skill_triggers!$A$1,0,0,COUNTA(enemy_skill_triggers!$A:$A),MATCH(H$1,enemy_skill_triggers!$1:$1,0)-MATCH($F$1,enemy_skill_triggers!$1:$1,0)+1),MATCH(H$1,enemy_skill_triggers!$1:$1,0)-MATCH($F$1,enemy_skill_triggers!$1:$1,0)+1,FALSE)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234" s="48">
        <f ca="1">VLOOKUP($F234,OFFSET(enemy_skill_triggers!$A$1,0,0,COUNTA(enemy_skill_triggers!$A:$A),MATCH(I$1,enemy_skill_triggers!$1:$1,0)-MATCH($F$1,enemy_skill_triggers!$1:$1,0)+1),MATCH(I$1,enemy_skill_triggers!$1:$1,0)-MATCH($F$1,enemy_skill_triggers!$1:$1,0)+1,FALSE)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4" s="48" t="str">
        <f ca="1">VLOOKUP($F234,OFFSET(enemy_skill_triggers!$A$1,0,0,COUNTA(enemy_skill_triggers!$A:$A),MATCH(J$1,enemy_skill_triggers!$1:$1,0)-MATCH($F$1,enemy_skill_triggers!$1:$1,0)+1),MATCH(J$1,enemy_skill_triggers!$1:$1,0)-MATCH($F$1,enemy_skill_triggers!$1:$1,0)+1,FALSE)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4" s="48" t="str">
        <f ca="1">VLOOKUP($F234,OFFSET(enemy_skill_triggers!$A$1,0,0,COUNTA(enemy_skill_triggers!$A:$A),MATCH(K$1,enemy_skill_triggers!$1:$1,0)-MATCH($F$1,enemy_skill_triggers!$1:$1,0)+1),MATCH(K$1,enemy_skill_triggers!$1:$1,0)-MATCH($F$1,enemy_skill_triggers!$1:$1,0)+1,FALSE)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4" s="48">
        <f ca="1">VLOOKUP($F234,OFFSET(enemy_skill_triggers!$A$1,0,0,COUNTA(enemy_skill_triggers!$A:$A),MATCH(L$1,enemy_skill_triggers!$1:$1,0)-MATCH($F$1,enemy_skill_triggers!$1:$1,0)+1),MATCH(L$1,enemy_skill_triggers!$1:$1,0)-MATCH($F$1,enemy_skill_triggers!$1:$1,0)+1,FALSE)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4" s="48" t="str">
        <f ca="1">VLOOKUP($F234,OFFSET(enemy_skill_triggers!$A$1,0,0,COUNTA(enemy_skill_triggers!$A:$A),MATCH(M$1,enemy_skill_triggers!$1:$1,0)-MATCH($F$1,enemy_skill_triggers!$1:$1,0)+1),MATCH(M$1,enemy_skill_triggers!$1:$1,0)-MATCH($F$1,enemy_skill_triggers!$1:$1,0)+1,FALSE)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4" s="48">
        <f ca="1">VLOOKUP($F234,OFFSET(enemy_skill_triggers!$A$1,0,0,COUNTA(enemy_skill_triggers!$A:$A),MATCH(N$1,enemy_skill_triggers!$1:$1,0)-MATCH($F$1,enemy_skill_triggers!$1:$1,0)+1),MATCH(N$1,enemy_skill_triggers!$1:$1,0)-MATCH($F$1,enemy_skill_triggers!$1:$1,0)+1,FALSE)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234" s="48">
        <f ca="1">VLOOKUP($F234,OFFSET(enemy_skill_triggers!$A$1,0,0,COUNTA(enemy_skill_triggers!$A:$A),MATCH(O$1,enemy_skill_triggers!$1:$1,0)-MATCH($F$1,enemy_skill_triggers!$1:$1,0)+1),MATCH(O$1,enemy_skill_triggers!$1:$1,0)-MATCH($F$1,enemy_skill_triggers!$1:$1,0)+1,FALSE)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4" s="47"/>
      <c r="Q234" s="47"/>
      <c r="R234" s="47"/>
    </row>
    <row r="235" spans="1:18" ht="21" customHeight="1" x14ac:dyDescent="0.15">
      <c r="A235" s="39" t="str">
        <f t="shared" si="3"/>
        <v>49015018_49015174</v>
      </c>
      <c r="B235" s="106">
        <v>49015018</v>
      </c>
      <c r="C235" s="138">
        <v>49015174</v>
      </c>
      <c r="D235" s="46" t="str">
        <f ca="1">VLOOKUP($C235,OFFSET(enemy_skills!$A$1,0,0,COUNTA(enemy_skills!$A:$A),MATCH(D$1,enemy_skills!$1:$1,0)-MATCH("enemy_skill_id",enemy_skills!$1:$1,0)+1),MATCH(D$1,enemy_skills!$1:$1,0)-MATCH("enemy_skill_id",enemy_skills!$1:$1,0)+1,FALSE)</f>
        <v>貴様の業火にやられた同胞の恨み！</v>
      </c>
      <c r="E235" s="46" t="str">
        <f ca="1">VLOOKUP($C235,OFFSET(enemy_skills!$A$1,0,0,COUNTA(enemy_skills!$A:$A),MATCH(E$1,enemy_skills!$1:$1,0)-MATCH("enemy_skill_id",enemy_skills!$1:$1,0)+1),MATCH(E$1,enemy_skills!$1:$1,0)-MATCH("enemy_skill_id",enemy_skills!$1:$1,0)+1,FALSE)</f>
        <v>思い知らせてくれる！</v>
      </c>
      <c r="F235" s="138">
        <v>49015234</v>
      </c>
      <c r="G235" s="48">
        <f ca="1">VLOOKUP($F235,OFFSET(enemy_skill_triggers!$A$1,0,0,COUNTA(enemy_skill_triggers!$A:$A),MATCH(G$1,enemy_skill_triggers!$1:$1,0)-MATCH($F$1,enemy_skill_triggers!$1:$1,0)+1),MATCH(G$1,enemy_skill_triggers!$1:$1,0)-MATCH($F$1,enemy_skill_triggers!$1:$1,0)+1,FALSE)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5" s="48">
        <f ca="1">VLOOKUP($F235,OFFSET(enemy_skill_triggers!$A$1,0,0,COUNTA(enemy_skill_triggers!$A:$A),MATCH(H$1,enemy_skill_triggers!$1:$1,0)-MATCH($F$1,enemy_skill_triggers!$1:$1,0)+1),MATCH(H$1,enemy_skill_triggers!$1:$1,0)-MATCH($F$1,enemy_skill_triggers!$1:$1,0)+1,FALSE)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35" s="48">
        <f ca="1">VLOOKUP($F235,OFFSET(enemy_skill_triggers!$A$1,0,0,COUNTA(enemy_skill_triggers!$A:$A),MATCH(I$1,enemy_skill_triggers!$1:$1,0)-MATCH($F$1,enemy_skill_triggers!$1:$1,0)+1),MATCH(I$1,enemy_skill_triggers!$1:$1,0)-MATCH($F$1,enemy_skill_triggers!$1:$1,0)+1,FALSE)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5" s="48" t="str">
        <f ca="1">VLOOKUP($F235,OFFSET(enemy_skill_triggers!$A$1,0,0,COUNTA(enemy_skill_triggers!$A:$A),MATCH(J$1,enemy_skill_triggers!$1:$1,0)-MATCH($F$1,enemy_skill_triggers!$1:$1,0)+1),MATCH(J$1,enemy_skill_triggers!$1:$1,0)-MATCH($F$1,enemy_skill_triggers!$1:$1,0)+1,FALSE)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5" s="48" t="str">
        <f ca="1">VLOOKUP($F235,OFFSET(enemy_skill_triggers!$A$1,0,0,COUNTA(enemy_skill_triggers!$A:$A),MATCH(K$1,enemy_skill_triggers!$1:$1,0)-MATCH($F$1,enemy_skill_triggers!$1:$1,0)+1),MATCH(K$1,enemy_skill_triggers!$1:$1,0)-MATCH($F$1,enemy_skill_triggers!$1:$1,0)+1,FALSE)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5" s="48">
        <f ca="1">VLOOKUP($F235,OFFSET(enemy_skill_triggers!$A$1,0,0,COUNTA(enemy_skill_triggers!$A:$A),MATCH(L$1,enemy_skill_triggers!$1:$1,0)-MATCH($F$1,enemy_skill_triggers!$1:$1,0)+1),MATCH(L$1,enemy_skill_triggers!$1:$1,0)-MATCH($F$1,enemy_skill_triggers!$1:$1,0)+1,FALSE)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5" s="48" t="str">
        <f ca="1">VLOOKUP($F235,OFFSET(enemy_skill_triggers!$A$1,0,0,COUNTA(enemy_skill_triggers!$A:$A),MATCH(M$1,enemy_skill_triggers!$1:$1,0)-MATCH($F$1,enemy_skill_triggers!$1:$1,0)+1),MATCH(M$1,enemy_skill_triggers!$1:$1,0)-MATCH($F$1,enemy_skill_triggers!$1:$1,0)+1,FALSE)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5" s="48">
        <f ca="1">VLOOKUP($F235,OFFSET(enemy_skill_triggers!$A$1,0,0,COUNTA(enemy_skill_triggers!$A:$A),MATCH(N$1,enemy_skill_triggers!$1:$1,0)-MATCH($F$1,enemy_skill_triggers!$1:$1,0)+1),MATCH(N$1,enemy_skill_triggers!$1:$1,0)-MATCH($F$1,enemy_skill_triggers!$1:$1,0)+1,FALSE)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235" s="48">
        <f ca="1">VLOOKUP($F235,OFFSET(enemy_skill_triggers!$A$1,0,0,COUNTA(enemy_skill_triggers!$A:$A),MATCH(O$1,enemy_skill_triggers!$1:$1,0)-MATCH($F$1,enemy_skill_triggers!$1:$1,0)+1),MATCH(O$1,enemy_skill_triggers!$1:$1,0)-MATCH($F$1,enemy_skill_triggers!$1:$1,0)+1,FALSE)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5" s="47"/>
      <c r="Q235" s="47"/>
      <c r="R235" s="47"/>
    </row>
    <row r="236" spans="1:18" ht="21" customHeight="1" x14ac:dyDescent="0.15">
      <c r="A236" s="39" t="str">
        <f t="shared" si="3"/>
        <v>49015018_49015174</v>
      </c>
      <c r="B236" s="106">
        <v>49015018</v>
      </c>
      <c r="C236" s="138">
        <v>49015174</v>
      </c>
      <c r="D236" s="46" t="str">
        <f ca="1">VLOOKUP($C236,OFFSET(enemy_skills!$A$1,0,0,COUNTA(enemy_skills!$A:$A),MATCH(D$1,enemy_skills!$1:$1,0)-MATCH("enemy_skill_id",enemy_skills!$1:$1,0)+1),MATCH(D$1,enemy_skills!$1:$1,0)-MATCH("enemy_skill_id",enemy_skills!$1:$1,0)+1,FALSE)</f>
        <v>貴様の業火にやられた同胞の恨み！</v>
      </c>
      <c r="E236" s="46" t="str">
        <f ca="1">VLOOKUP($C236,OFFSET(enemy_skills!$A$1,0,0,COUNTA(enemy_skills!$A:$A),MATCH(E$1,enemy_skills!$1:$1,0)-MATCH("enemy_skill_id",enemy_skills!$1:$1,0)+1),MATCH(E$1,enemy_skills!$1:$1,0)-MATCH("enemy_skill_id",enemy_skills!$1:$1,0)+1,FALSE)</f>
        <v>思い知らせてくれる！</v>
      </c>
      <c r="F236" s="138">
        <v>49015235</v>
      </c>
      <c r="G236" s="48">
        <f ca="1">VLOOKUP($F236,OFFSET(enemy_skill_triggers!$A$1,0,0,COUNTA(enemy_skill_triggers!$A:$A),MATCH(G$1,enemy_skill_triggers!$1:$1,0)-MATCH($F$1,enemy_skill_triggers!$1:$1,0)+1),MATCH(G$1,enemy_skill_triggers!$1:$1,0)-MATCH($F$1,enemy_skill_triggers!$1:$1,0)+1,FALSE)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6" s="48">
        <f ca="1">VLOOKUP($F236,OFFSET(enemy_skill_triggers!$A$1,0,0,COUNTA(enemy_skill_triggers!$A:$A),MATCH(H$1,enemy_skill_triggers!$1:$1,0)-MATCH($F$1,enemy_skill_triggers!$1:$1,0)+1),MATCH(H$1,enemy_skill_triggers!$1:$1,0)-MATCH($F$1,enemy_skill_triggers!$1:$1,0)+1,FALSE)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236" s="48">
        <f ca="1">VLOOKUP($F236,OFFSET(enemy_skill_triggers!$A$1,0,0,COUNTA(enemy_skill_triggers!$A:$A),MATCH(I$1,enemy_skill_triggers!$1:$1,0)-MATCH($F$1,enemy_skill_triggers!$1:$1,0)+1),MATCH(I$1,enemy_skill_triggers!$1:$1,0)-MATCH($F$1,enemy_skill_triggers!$1:$1,0)+1,FALSE)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6" s="48" t="str">
        <f ca="1">VLOOKUP($F236,OFFSET(enemy_skill_triggers!$A$1,0,0,COUNTA(enemy_skill_triggers!$A:$A),MATCH(J$1,enemy_skill_triggers!$1:$1,0)-MATCH($F$1,enemy_skill_triggers!$1:$1,0)+1),MATCH(J$1,enemy_skill_triggers!$1:$1,0)-MATCH($F$1,enemy_skill_triggers!$1:$1,0)+1,FALSE)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6" s="48" t="str">
        <f ca="1">VLOOKUP($F236,OFFSET(enemy_skill_triggers!$A$1,0,0,COUNTA(enemy_skill_triggers!$A:$A),MATCH(K$1,enemy_skill_triggers!$1:$1,0)-MATCH($F$1,enemy_skill_triggers!$1:$1,0)+1),MATCH(K$1,enemy_skill_triggers!$1:$1,0)-MATCH($F$1,enemy_skill_triggers!$1:$1,0)+1,FALSE)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6" s="48">
        <f ca="1">VLOOKUP($F236,OFFSET(enemy_skill_triggers!$A$1,0,0,COUNTA(enemy_skill_triggers!$A:$A),MATCH(L$1,enemy_skill_triggers!$1:$1,0)-MATCH($F$1,enemy_skill_triggers!$1:$1,0)+1),MATCH(L$1,enemy_skill_triggers!$1:$1,0)-MATCH($F$1,enemy_skill_triggers!$1:$1,0)+1,FALSE)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6" s="48" t="str">
        <f ca="1">VLOOKUP($F236,OFFSET(enemy_skill_triggers!$A$1,0,0,COUNTA(enemy_skill_triggers!$A:$A),MATCH(M$1,enemy_skill_triggers!$1:$1,0)-MATCH($F$1,enemy_skill_triggers!$1:$1,0)+1),MATCH(M$1,enemy_skill_triggers!$1:$1,0)-MATCH($F$1,enemy_skill_triggers!$1:$1,0)+1,FALSE)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6" s="48">
        <f ca="1">VLOOKUP($F236,OFFSET(enemy_skill_triggers!$A$1,0,0,COUNTA(enemy_skill_triggers!$A:$A),MATCH(N$1,enemy_skill_triggers!$1:$1,0)-MATCH($F$1,enemy_skill_triggers!$1:$1,0)+1),MATCH(N$1,enemy_skill_triggers!$1:$1,0)-MATCH($F$1,enemy_skill_triggers!$1:$1,0)+1,FALSE)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236" s="48">
        <f ca="1">VLOOKUP($F236,OFFSET(enemy_skill_triggers!$A$1,0,0,COUNTA(enemy_skill_triggers!$A:$A),MATCH(O$1,enemy_skill_triggers!$1:$1,0)-MATCH($F$1,enemy_skill_triggers!$1:$1,0)+1),MATCH(O$1,enemy_skill_triggers!$1:$1,0)-MATCH($F$1,enemy_skill_triggers!$1:$1,0)+1,FALSE)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6" s="47"/>
      <c r="Q236" s="47"/>
      <c r="R236" s="47"/>
    </row>
    <row r="237" spans="1:18" ht="21" customHeight="1" x14ac:dyDescent="0.15">
      <c r="A237" s="39" t="str">
        <f t="shared" si="3"/>
        <v>49015018_49015175</v>
      </c>
      <c r="B237" s="106">
        <v>49015018</v>
      </c>
      <c r="C237" s="138">
        <v>49015175</v>
      </c>
      <c r="D237" s="46" t="str">
        <f ca="1">VLOOKUP($C237,OFFSET(enemy_skills!$A$1,0,0,COUNTA(enemy_skills!$A:$A),MATCH(D$1,enemy_skills!$1:$1,0)-MATCH("enemy_skill_id",enemy_skills!$1:$1,0)+1),MATCH(D$1,enemy_skills!$1:$1,0)-MATCH("enemy_skill_id",enemy_skills!$1:$1,0)+1,FALSE)</f>
        <v>貴様が鷹の目か！</v>
      </c>
      <c r="E237" s="46" t="str">
        <f ca="1">VLOOKUP($C237,OFFSET(enemy_skills!$A$1,0,0,COUNTA(enemy_skills!$A:$A),MATCH(E$1,enemy_skills!$1:$1,0)-MATCH("enemy_skill_id",enemy_skills!$1:$1,0)+1),MATCH(E$1,enemy_skills!$1:$1,0)-MATCH("enemy_skill_id",enemy_skills!$1:$1,0)+1,FALSE)</f>
        <v>貴様に撃たれた同胞の恨み思い知れ！</v>
      </c>
      <c r="F237" s="138">
        <v>49015236</v>
      </c>
      <c r="G237" s="48">
        <f ca="1">VLOOKUP($F237,OFFSET(enemy_skill_triggers!$A$1,0,0,COUNTA(enemy_skill_triggers!$A:$A),MATCH(G$1,enemy_skill_triggers!$1:$1,0)-MATCH($F$1,enemy_skill_triggers!$1:$1,0)+1),MATCH(G$1,enemy_skill_triggers!$1:$1,0)-MATCH($F$1,enemy_skill_triggers!$1:$1,0)+1,FALSE)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7" s="48">
        <f ca="1">VLOOKUP($F237,OFFSET(enemy_skill_triggers!$A$1,0,0,COUNTA(enemy_skill_triggers!$A:$A),MATCH(H$1,enemy_skill_triggers!$1:$1,0)-MATCH($F$1,enemy_skill_triggers!$1:$1,0)+1),MATCH(H$1,enemy_skill_triggers!$1:$1,0)-MATCH($F$1,enemy_skill_triggers!$1:$1,0)+1,FALSE)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37" s="48">
        <f ca="1">VLOOKUP($F237,OFFSET(enemy_skill_triggers!$A$1,0,0,COUNTA(enemy_skill_triggers!$A:$A),MATCH(I$1,enemy_skill_triggers!$1:$1,0)-MATCH($F$1,enemy_skill_triggers!$1:$1,0)+1),MATCH(I$1,enemy_skill_triggers!$1:$1,0)-MATCH($F$1,enemy_skill_triggers!$1:$1,0)+1,FALSE)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7" s="48" t="str">
        <f ca="1">VLOOKUP($F237,OFFSET(enemy_skill_triggers!$A$1,0,0,COUNTA(enemy_skill_triggers!$A:$A),MATCH(J$1,enemy_skill_triggers!$1:$1,0)-MATCH($F$1,enemy_skill_triggers!$1:$1,0)+1),MATCH(J$1,enemy_skill_triggers!$1:$1,0)-MATCH($F$1,enemy_skill_triggers!$1:$1,0)+1,FALSE)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7" s="48" t="str">
        <f ca="1">VLOOKUP($F237,OFFSET(enemy_skill_triggers!$A$1,0,0,COUNTA(enemy_skill_triggers!$A:$A),MATCH(K$1,enemy_skill_triggers!$1:$1,0)-MATCH($F$1,enemy_skill_triggers!$1:$1,0)+1),MATCH(K$1,enemy_skill_triggers!$1:$1,0)-MATCH($F$1,enemy_skill_triggers!$1:$1,0)+1,FALSE)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7" s="48">
        <f ca="1">VLOOKUP($F237,OFFSET(enemy_skill_triggers!$A$1,0,0,COUNTA(enemy_skill_triggers!$A:$A),MATCH(L$1,enemy_skill_triggers!$1:$1,0)-MATCH($F$1,enemy_skill_triggers!$1:$1,0)+1),MATCH(L$1,enemy_skill_triggers!$1:$1,0)-MATCH($F$1,enemy_skill_triggers!$1:$1,0)+1,FALSE)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7" s="48" t="str">
        <f ca="1">VLOOKUP($F237,OFFSET(enemy_skill_triggers!$A$1,0,0,COUNTA(enemy_skill_triggers!$A:$A),MATCH(M$1,enemy_skill_triggers!$1:$1,0)-MATCH($F$1,enemy_skill_triggers!$1:$1,0)+1),MATCH(M$1,enemy_skill_triggers!$1:$1,0)-MATCH($F$1,enemy_skill_triggers!$1:$1,0)+1,FALSE)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7" s="48">
        <f ca="1">VLOOKUP($F237,OFFSET(enemy_skill_triggers!$A$1,0,0,COUNTA(enemy_skill_triggers!$A:$A),MATCH(N$1,enemy_skill_triggers!$1:$1,0)-MATCH($F$1,enemy_skill_triggers!$1:$1,0)+1),MATCH(N$1,enemy_skill_triggers!$1:$1,0)-MATCH($F$1,enemy_skill_triggers!$1:$1,0)+1,FALSE)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237" s="48">
        <f ca="1">VLOOKUP($F237,OFFSET(enemy_skill_triggers!$A$1,0,0,COUNTA(enemy_skill_triggers!$A:$A),MATCH(O$1,enemy_skill_triggers!$1:$1,0)-MATCH($F$1,enemy_skill_triggers!$1:$1,0)+1),MATCH(O$1,enemy_skill_triggers!$1:$1,0)-MATCH($F$1,enemy_skill_triggers!$1:$1,0)+1,FALSE)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7" s="47"/>
      <c r="Q237" s="47"/>
      <c r="R237" s="47"/>
    </row>
    <row r="238" spans="1:18" ht="21" customHeight="1" x14ac:dyDescent="0.15">
      <c r="A238" s="39" t="str">
        <f t="shared" si="3"/>
        <v>49015018_49015175</v>
      </c>
      <c r="B238" s="106">
        <v>49015018</v>
      </c>
      <c r="C238" s="138">
        <v>49015175</v>
      </c>
      <c r="D238" s="46" t="str">
        <f ca="1">VLOOKUP($C238,OFFSET(enemy_skills!$A$1,0,0,COUNTA(enemy_skills!$A:$A),MATCH(D$1,enemy_skills!$1:$1,0)-MATCH("enemy_skill_id",enemy_skills!$1:$1,0)+1),MATCH(D$1,enemy_skills!$1:$1,0)-MATCH("enemy_skill_id",enemy_skills!$1:$1,0)+1,FALSE)</f>
        <v>貴様が鷹の目か！</v>
      </c>
      <c r="E238" s="46" t="str">
        <f ca="1">VLOOKUP($C238,OFFSET(enemy_skills!$A$1,0,0,COUNTA(enemy_skills!$A:$A),MATCH(E$1,enemy_skills!$1:$1,0)-MATCH("enemy_skill_id",enemy_skills!$1:$1,0)+1),MATCH(E$1,enemy_skills!$1:$1,0)-MATCH("enemy_skill_id",enemy_skills!$1:$1,0)+1,FALSE)</f>
        <v>貴様に撃たれた同胞の恨み思い知れ！</v>
      </c>
      <c r="F238" s="138">
        <v>49015237</v>
      </c>
      <c r="G238" s="48">
        <f ca="1">VLOOKUP($F238,OFFSET(enemy_skill_triggers!$A$1,0,0,COUNTA(enemy_skill_triggers!$A:$A),MATCH(G$1,enemy_skill_triggers!$1:$1,0)-MATCH($F$1,enemy_skill_triggers!$1:$1,0)+1),MATCH(G$1,enemy_skill_triggers!$1:$1,0)-MATCH($F$1,enemy_skill_triggers!$1:$1,0)+1,FALSE)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8" s="48">
        <f ca="1">VLOOKUP($F238,OFFSET(enemy_skill_triggers!$A$1,0,0,COUNTA(enemy_skill_triggers!$A:$A),MATCH(H$1,enemy_skill_triggers!$1:$1,0)-MATCH($F$1,enemy_skill_triggers!$1:$1,0)+1),MATCH(H$1,enemy_skill_triggers!$1:$1,0)-MATCH($F$1,enemy_skill_triggers!$1:$1,0)+1,FALSE)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238" s="48">
        <f ca="1">VLOOKUP($F238,OFFSET(enemy_skill_triggers!$A$1,0,0,COUNTA(enemy_skill_triggers!$A:$A),MATCH(I$1,enemy_skill_triggers!$1:$1,0)-MATCH($F$1,enemy_skill_triggers!$1:$1,0)+1),MATCH(I$1,enemy_skill_triggers!$1:$1,0)-MATCH($F$1,enemy_skill_triggers!$1:$1,0)+1,FALSE)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8" s="48" t="str">
        <f ca="1">VLOOKUP($F238,OFFSET(enemy_skill_triggers!$A$1,0,0,COUNTA(enemy_skill_triggers!$A:$A),MATCH(J$1,enemy_skill_triggers!$1:$1,0)-MATCH($F$1,enemy_skill_triggers!$1:$1,0)+1),MATCH(J$1,enemy_skill_triggers!$1:$1,0)-MATCH($F$1,enemy_skill_triggers!$1:$1,0)+1,FALSE)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8" s="48" t="str">
        <f ca="1">VLOOKUP($F238,OFFSET(enemy_skill_triggers!$A$1,0,0,COUNTA(enemy_skill_triggers!$A:$A),MATCH(K$1,enemy_skill_triggers!$1:$1,0)-MATCH($F$1,enemy_skill_triggers!$1:$1,0)+1),MATCH(K$1,enemy_skill_triggers!$1:$1,0)-MATCH($F$1,enemy_skill_triggers!$1:$1,0)+1,FALSE)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8" s="48">
        <f ca="1">VLOOKUP($F238,OFFSET(enemy_skill_triggers!$A$1,0,0,COUNTA(enemy_skill_triggers!$A:$A),MATCH(L$1,enemy_skill_triggers!$1:$1,0)-MATCH($F$1,enemy_skill_triggers!$1:$1,0)+1),MATCH(L$1,enemy_skill_triggers!$1:$1,0)-MATCH($F$1,enemy_skill_triggers!$1:$1,0)+1,FALSE)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8" s="48" t="str">
        <f ca="1">VLOOKUP($F238,OFFSET(enemy_skill_triggers!$A$1,0,0,COUNTA(enemy_skill_triggers!$A:$A),MATCH(M$1,enemy_skill_triggers!$1:$1,0)-MATCH($F$1,enemy_skill_triggers!$1:$1,0)+1),MATCH(M$1,enemy_skill_triggers!$1:$1,0)-MATCH($F$1,enemy_skill_triggers!$1:$1,0)+1,FALSE)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8" s="48">
        <f ca="1">VLOOKUP($F238,OFFSET(enemy_skill_triggers!$A$1,0,0,COUNTA(enemy_skill_triggers!$A:$A),MATCH(N$1,enemy_skill_triggers!$1:$1,0)-MATCH($F$1,enemy_skill_triggers!$1:$1,0)+1),MATCH(N$1,enemy_skill_triggers!$1:$1,0)-MATCH($F$1,enemy_skill_triggers!$1:$1,0)+1,FALSE)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238" s="48">
        <f ca="1">VLOOKUP($F238,OFFSET(enemy_skill_triggers!$A$1,0,0,COUNTA(enemy_skill_triggers!$A:$A),MATCH(O$1,enemy_skill_triggers!$1:$1,0)-MATCH($F$1,enemy_skill_triggers!$1:$1,0)+1),MATCH(O$1,enemy_skill_triggers!$1:$1,0)-MATCH($F$1,enemy_skill_triggers!$1:$1,0)+1,FALSE)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8" s="47"/>
      <c r="Q238" s="47"/>
      <c r="R238" s="47"/>
    </row>
    <row r="239" spans="1:18" ht="21" customHeight="1" x14ac:dyDescent="0.15">
      <c r="A239" s="39" t="str">
        <f t="shared" si="3"/>
        <v>49015018_49015176</v>
      </c>
      <c r="B239" s="106">
        <v>49015018</v>
      </c>
      <c r="C239" s="138">
        <v>49015176</v>
      </c>
      <c r="D239" s="46" t="str">
        <f ca="1">VLOOKUP($C239,OFFSET(enemy_skills!$A$1,0,0,COUNTA(enemy_skills!$A:$A),MATCH(D$1,enemy_skills!$1:$1,0)-MATCH("enemy_skill_id",enemy_skills!$1:$1,0)+1),MATCH(D$1,enemy_skills!$1:$1,0)-MATCH("enemy_skill_id",enemy_skills!$1:$1,0)+1,FALSE)</f>
        <v>我らイシュヴァールの恨み！_x000D_思い知るが良いキング・ブラッドレイ！</v>
      </c>
      <c r="E239" s="46" t="str">
        <f ca="1">VLOOKUP($C239,OFFSET(enemy_skills!$A$1,0,0,COUNTA(enemy_skills!$A:$A),MATCH(E$1,enemy_skills!$1:$1,0)-MATCH("enemy_skill_id",enemy_skills!$1:$1,0)+1),MATCH(E$1,enemy_skills!$1:$1,0)-MATCH("enemy_skill_id",enemy_skills!$1:$1,0)+1,FALSE)</f>
        <v>『復讐鬼が！面白い！！』</v>
      </c>
      <c r="F239" s="138">
        <v>49015238</v>
      </c>
      <c r="G239" s="48">
        <f ca="1">VLOOKUP($F239,OFFSET(enemy_skill_triggers!$A$1,0,0,COUNTA(enemy_skill_triggers!$A:$A),MATCH(G$1,enemy_skill_triggers!$1:$1,0)-MATCH($F$1,enemy_skill_triggers!$1:$1,0)+1),MATCH(G$1,enemy_skill_triggers!$1:$1,0)-MATCH($F$1,enemy_skill_triggers!$1:$1,0)+1,FALSE)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9" s="48">
        <f ca="1">VLOOKUP($F239,OFFSET(enemy_skill_triggers!$A$1,0,0,COUNTA(enemy_skill_triggers!$A:$A),MATCH(H$1,enemy_skill_triggers!$1:$1,0)-MATCH($F$1,enemy_skill_triggers!$1:$1,0)+1),MATCH(H$1,enemy_skill_triggers!$1:$1,0)-MATCH($F$1,enemy_skill_triggers!$1:$1,0)+1,FALSE)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39" s="48">
        <f ca="1">VLOOKUP($F239,OFFSET(enemy_skill_triggers!$A$1,0,0,COUNTA(enemy_skill_triggers!$A:$A),MATCH(I$1,enemy_skill_triggers!$1:$1,0)-MATCH($F$1,enemy_skill_triggers!$1:$1,0)+1),MATCH(I$1,enemy_skill_triggers!$1:$1,0)-MATCH($F$1,enemy_skill_triggers!$1:$1,0)+1,FALSE)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9" s="48" t="str">
        <f ca="1">VLOOKUP($F239,OFFSET(enemy_skill_triggers!$A$1,0,0,COUNTA(enemy_skill_triggers!$A:$A),MATCH(J$1,enemy_skill_triggers!$1:$1,0)-MATCH($F$1,enemy_skill_triggers!$1:$1,0)+1),MATCH(J$1,enemy_skill_triggers!$1:$1,0)-MATCH($F$1,enemy_skill_triggers!$1:$1,0)+1,FALSE)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9" s="48" t="str">
        <f ca="1">VLOOKUP($F239,OFFSET(enemy_skill_triggers!$A$1,0,0,COUNTA(enemy_skill_triggers!$A:$A),MATCH(K$1,enemy_skill_triggers!$1:$1,0)-MATCH($F$1,enemy_skill_triggers!$1:$1,0)+1),MATCH(K$1,enemy_skill_triggers!$1:$1,0)-MATCH($F$1,enemy_skill_triggers!$1:$1,0)+1,FALSE)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9" s="48">
        <f ca="1">VLOOKUP($F239,OFFSET(enemy_skill_triggers!$A$1,0,0,COUNTA(enemy_skill_triggers!$A:$A),MATCH(L$1,enemy_skill_triggers!$1:$1,0)-MATCH($F$1,enemy_skill_triggers!$1:$1,0)+1),MATCH(L$1,enemy_skill_triggers!$1:$1,0)-MATCH($F$1,enemy_skill_triggers!$1:$1,0)+1,FALSE)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9" s="48" t="str">
        <f ca="1">VLOOKUP($F239,OFFSET(enemy_skill_triggers!$A$1,0,0,COUNTA(enemy_skill_triggers!$A:$A),MATCH(M$1,enemy_skill_triggers!$1:$1,0)-MATCH($F$1,enemy_skill_triggers!$1:$1,0)+1),MATCH(M$1,enemy_skill_triggers!$1:$1,0)-MATCH($F$1,enemy_skill_triggers!$1:$1,0)+1,FALSE)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9" s="48">
        <f ca="1">VLOOKUP($F239,OFFSET(enemy_skill_triggers!$A$1,0,0,COUNTA(enemy_skill_triggers!$A:$A),MATCH(N$1,enemy_skill_triggers!$1:$1,0)-MATCH($F$1,enemy_skill_triggers!$1:$1,0)+1),MATCH(N$1,enemy_skill_triggers!$1:$1,0)-MATCH($F$1,enemy_skill_triggers!$1:$1,0)+1,FALSE)</f>
        <v>1469</v>
      </c>
      <c r="O239" s="48">
        <f ca="1">VLOOKUP($F239,OFFSET(enemy_skill_triggers!$A$1,0,0,COUNTA(enemy_skill_triggers!$A:$A),MATCH(O$1,enemy_skill_triggers!$1:$1,0)-MATCH($F$1,enemy_skill_triggers!$1:$1,0)+1),MATCH(O$1,enemy_skill_triggers!$1:$1,0)-MATCH($F$1,enemy_skill_triggers!$1:$1,0)+1,FALSE)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9" s="47"/>
      <c r="Q239" s="47"/>
      <c r="R239" s="47"/>
    </row>
    <row r="240" spans="1:18" ht="21" customHeight="1" x14ac:dyDescent="0.15">
      <c r="A240" s="39" t="str">
        <f t="shared" si="3"/>
        <v>49015018_49015177</v>
      </c>
      <c r="B240" s="106">
        <v>49015018</v>
      </c>
      <c r="C240" s="138">
        <v>49015177</v>
      </c>
      <c r="D240" s="46" t="str">
        <f ca="1">VLOOKUP($C240,OFFSET(enemy_skills!$A$1,0,0,COUNTA(enemy_skills!$A:$A),MATCH(D$1,enemy_skills!$1:$1,0)-MATCH("enemy_skill_id",enemy_skills!$1:$1,0)+1),MATCH(D$1,enemy_skills!$1:$1,0)-MATCH("enemy_skill_id",enemy_skills!$1:$1,0)+1,FALSE)</f>
        <v>姿を変える奇妙なものよ！</v>
      </c>
      <c r="E240" s="46" t="str">
        <f ca="1">VLOOKUP($C240,OFFSET(enemy_skills!$A$1,0,0,COUNTA(enemy_skills!$A:$A),MATCH(E$1,enemy_skills!$1:$1,0)-MATCH("enemy_skill_id",enemy_skills!$1:$1,0)+1),MATCH(E$1,enemy_skills!$1:$1,0)-MATCH("enemy_skill_id",enemy_skills!$1:$1,0)+1,FALSE)</f>
        <v>安息も救いも与えられぬものと思え！</v>
      </c>
      <c r="F240" s="138">
        <v>49015239</v>
      </c>
      <c r="G240" s="48">
        <f ca="1">VLOOKUP($F240,OFFSET(enemy_skill_triggers!$A$1,0,0,COUNTA(enemy_skill_triggers!$A:$A),MATCH(G$1,enemy_skill_triggers!$1:$1,0)-MATCH($F$1,enemy_skill_triggers!$1:$1,0)+1),MATCH(G$1,enemy_skill_triggers!$1:$1,0)-MATCH($F$1,enemy_skill_triggers!$1:$1,0)+1,FALSE)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0" s="48">
        <f ca="1">VLOOKUP($F240,OFFSET(enemy_skill_triggers!$A$1,0,0,COUNTA(enemy_skill_triggers!$A:$A),MATCH(H$1,enemy_skill_triggers!$1:$1,0)-MATCH($F$1,enemy_skill_triggers!$1:$1,0)+1),MATCH(H$1,enemy_skill_triggers!$1:$1,0)-MATCH($F$1,enemy_skill_triggers!$1:$1,0)+1,FALSE)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40" s="48">
        <f ca="1">VLOOKUP($F240,OFFSET(enemy_skill_triggers!$A$1,0,0,COUNTA(enemy_skill_triggers!$A:$A),MATCH(I$1,enemy_skill_triggers!$1:$1,0)-MATCH($F$1,enemy_skill_triggers!$1:$1,0)+1),MATCH(I$1,enemy_skill_triggers!$1:$1,0)-MATCH($F$1,enemy_skill_triggers!$1:$1,0)+1,FALSE)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0" s="48" t="str">
        <f ca="1">VLOOKUP($F240,OFFSET(enemy_skill_triggers!$A$1,0,0,COUNTA(enemy_skill_triggers!$A:$A),MATCH(J$1,enemy_skill_triggers!$1:$1,0)-MATCH($F$1,enemy_skill_triggers!$1:$1,0)+1),MATCH(J$1,enemy_skill_triggers!$1:$1,0)-MATCH($F$1,enemy_skill_triggers!$1:$1,0)+1,FALSE)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0" s="48" t="str">
        <f ca="1">VLOOKUP($F240,OFFSET(enemy_skill_triggers!$A$1,0,0,COUNTA(enemy_skill_triggers!$A:$A),MATCH(K$1,enemy_skill_triggers!$1:$1,0)-MATCH($F$1,enemy_skill_triggers!$1:$1,0)+1),MATCH(K$1,enemy_skill_triggers!$1:$1,0)-MATCH($F$1,enemy_skill_triggers!$1:$1,0)+1,FALSE)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0" s="48">
        <f ca="1">VLOOKUP($F240,OFFSET(enemy_skill_triggers!$A$1,0,0,COUNTA(enemy_skill_triggers!$A:$A),MATCH(L$1,enemy_skill_triggers!$1:$1,0)-MATCH($F$1,enemy_skill_triggers!$1:$1,0)+1),MATCH(L$1,enemy_skill_triggers!$1:$1,0)-MATCH($F$1,enemy_skill_triggers!$1:$1,0)+1,FALSE)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0" s="48" t="str">
        <f ca="1">VLOOKUP($F240,OFFSET(enemy_skill_triggers!$A$1,0,0,COUNTA(enemy_skill_triggers!$A:$A),MATCH(M$1,enemy_skill_triggers!$1:$1,0)-MATCH($F$1,enemy_skill_triggers!$1:$1,0)+1),MATCH(M$1,enemy_skill_triggers!$1:$1,0)-MATCH($F$1,enemy_skill_triggers!$1:$1,0)+1,FALSE)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0" s="48">
        <f ca="1">VLOOKUP($F240,OFFSET(enemy_skill_triggers!$A$1,0,0,COUNTA(enemy_skill_triggers!$A:$A),MATCH(N$1,enemy_skill_triggers!$1:$1,0)-MATCH($F$1,enemy_skill_triggers!$1:$1,0)+1),MATCH(N$1,enemy_skill_triggers!$1:$1,0)-MATCH($F$1,enemy_skill_triggers!$1:$1,0)+1,FALSE)</f>
        <v>1468</v>
      </c>
      <c r="O240" s="48">
        <f ca="1">VLOOKUP($F240,OFFSET(enemy_skill_triggers!$A$1,0,0,COUNTA(enemy_skill_triggers!$A:$A),MATCH(O$1,enemy_skill_triggers!$1:$1,0)-MATCH($F$1,enemy_skill_triggers!$1:$1,0)+1),MATCH(O$1,enemy_skill_triggers!$1:$1,0)-MATCH($F$1,enemy_skill_triggers!$1:$1,0)+1,FALSE)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0" s="47"/>
      <c r="Q240" s="47"/>
      <c r="R240" s="47"/>
    </row>
    <row r="241" spans="1:18" ht="21" customHeight="1" x14ac:dyDescent="0.15">
      <c r="A241" s="39" t="str">
        <f t="shared" si="3"/>
        <v>49015018_49015178</v>
      </c>
      <c r="B241" s="106">
        <v>49015018</v>
      </c>
      <c r="C241" s="138">
        <v>49015178</v>
      </c>
      <c r="D241" s="46" t="str">
        <f ca="1">VLOOKUP($C241,OFFSET(enemy_skills!$A$1,0,0,COUNTA(enemy_skills!$A:$A),MATCH(D$1,enemy_skills!$1:$1,0)-MATCH("enemy_skill_id",enemy_skills!$1:$1,0)+1),MATCH(D$1,enemy_skills!$1:$1,0)-MATCH("enemy_skill_id",enemy_skills!$1:$1,0)+1,FALSE)</f>
        <v>なんだ貴様</v>
      </c>
      <c r="E241" s="46" t="str">
        <f ca="1">VLOOKUP($C241,OFFSET(enemy_skills!$A$1,0,0,COUNTA(enemy_skills!$A:$A),MATCH(E$1,enemy_skills!$1:$1,0)-MATCH("enemy_skill_id",enemy_skills!$1:$1,0)+1),MATCH(E$1,enemy_skills!$1:$1,0)-MATCH("enemy_skill_id",enemy_skills!$1:$1,0)+1,FALSE)</f>
        <v>…子供か？</v>
      </c>
      <c r="F241" s="138">
        <v>49015240</v>
      </c>
      <c r="G241" s="48">
        <f ca="1">VLOOKUP($F241,OFFSET(enemy_skill_triggers!$A$1,0,0,COUNTA(enemy_skill_triggers!$A:$A),MATCH(G$1,enemy_skill_triggers!$1:$1,0)-MATCH($F$1,enemy_skill_triggers!$1:$1,0)+1),MATCH(G$1,enemy_skill_triggers!$1:$1,0)-MATCH($F$1,enemy_skill_triggers!$1:$1,0)+1,FALSE)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1" s="48">
        <f ca="1">VLOOKUP($F241,OFFSET(enemy_skill_triggers!$A$1,0,0,COUNTA(enemy_skill_triggers!$A:$A),MATCH(H$1,enemy_skill_triggers!$1:$1,0)-MATCH($F$1,enemy_skill_triggers!$1:$1,0)+1),MATCH(H$1,enemy_skill_triggers!$1:$1,0)-MATCH($F$1,enemy_skill_triggers!$1:$1,0)+1,FALSE)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41" s="48">
        <f ca="1">VLOOKUP($F241,OFFSET(enemy_skill_triggers!$A$1,0,0,COUNTA(enemy_skill_triggers!$A:$A),MATCH(I$1,enemy_skill_triggers!$1:$1,0)-MATCH($F$1,enemy_skill_triggers!$1:$1,0)+1),MATCH(I$1,enemy_skill_triggers!$1:$1,0)-MATCH($F$1,enemy_skill_triggers!$1:$1,0)+1,FALSE)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1" s="48" t="str">
        <f ca="1">VLOOKUP($F241,OFFSET(enemy_skill_triggers!$A$1,0,0,COUNTA(enemy_skill_triggers!$A:$A),MATCH(J$1,enemy_skill_triggers!$1:$1,0)-MATCH($F$1,enemy_skill_triggers!$1:$1,0)+1),MATCH(J$1,enemy_skill_triggers!$1:$1,0)-MATCH($F$1,enemy_skill_triggers!$1:$1,0)+1,FALSE)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1" s="48" t="str">
        <f ca="1">VLOOKUP($F241,OFFSET(enemy_skill_triggers!$A$1,0,0,COUNTA(enemy_skill_triggers!$A:$A),MATCH(K$1,enemy_skill_triggers!$1:$1,0)-MATCH($F$1,enemy_skill_triggers!$1:$1,0)+1),MATCH(K$1,enemy_skill_triggers!$1:$1,0)-MATCH($F$1,enemy_skill_triggers!$1:$1,0)+1,FALSE)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1" s="48">
        <f ca="1">VLOOKUP($F241,OFFSET(enemy_skill_triggers!$A$1,0,0,COUNTA(enemy_skill_triggers!$A:$A),MATCH(L$1,enemy_skill_triggers!$1:$1,0)-MATCH($F$1,enemy_skill_triggers!$1:$1,0)+1),MATCH(L$1,enemy_skill_triggers!$1:$1,0)-MATCH($F$1,enemy_skill_triggers!$1:$1,0)+1,FALSE)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1" s="48" t="str">
        <f ca="1">VLOOKUP($F241,OFFSET(enemy_skill_triggers!$A$1,0,0,COUNTA(enemy_skill_triggers!$A:$A),MATCH(M$1,enemy_skill_triggers!$1:$1,0)-MATCH($F$1,enemy_skill_triggers!$1:$1,0)+1),MATCH(M$1,enemy_skill_triggers!$1:$1,0)-MATCH($F$1,enemy_skill_triggers!$1:$1,0)+1,FALSE)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1" s="48">
        <f ca="1">VLOOKUP($F241,OFFSET(enemy_skill_triggers!$A$1,0,0,COUNTA(enemy_skill_triggers!$A:$A),MATCH(N$1,enemy_skill_triggers!$1:$1,0)-MATCH($F$1,enemy_skill_triggers!$1:$1,0)+1),MATCH(N$1,enemy_skill_triggers!$1:$1,0)-MATCH($F$1,enemy_skill_triggers!$1:$1,0)+1,FALSE)</f>
        <v>1470</v>
      </c>
      <c r="O241" s="48">
        <f ca="1">VLOOKUP($F241,OFFSET(enemy_skill_triggers!$A$1,0,0,COUNTA(enemy_skill_triggers!$A:$A),MATCH(O$1,enemy_skill_triggers!$1:$1,0)-MATCH($F$1,enemy_skill_triggers!$1:$1,0)+1),MATCH(O$1,enemy_skill_triggers!$1:$1,0)-MATCH($F$1,enemy_skill_triggers!$1:$1,0)+1,FALSE)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1" s="47"/>
      <c r="Q241" s="47"/>
      <c r="R241" s="47"/>
    </row>
    <row r="242" spans="1:18" ht="21" customHeight="1" x14ac:dyDescent="0.15">
      <c r="A242" s="39" t="str">
        <f t="shared" si="3"/>
        <v>49015018_49015179</v>
      </c>
      <c r="B242" s="106">
        <v>49015018</v>
      </c>
      <c r="C242" s="138">
        <v>49015179</v>
      </c>
      <c r="D242" s="46" t="str">
        <f ca="1">VLOOKUP($C242,OFFSET(enemy_skills!$A$1,0,0,COUNTA(enemy_skills!$A:$A),MATCH(D$1,enemy_skills!$1:$1,0)-MATCH("enemy_skill_id",enemy_skills!$1:$1,0)+1),MATCH(D$1,enemy_skills!$1:$1,0)-MATCH("enemy_skill_id",enemy_skills!$1:$1,0)+1,FALSE)</f>
        <v>分解</v>
      </c>
      <c r="E242" s="46" t="str">
        <f ca="1">VLOOKUP($C242,OFFSET(enemy_skills!$A$1,0,0,COUNTA(enemy_skills!$A:$A),MATCH(E$1,enemy_skills!$1:$1,0)-MATCH("enemy_skill_id",enemy_skills!$1:$1,0)+1),MATCH(E$1,enemy_skills!$1:$1,0)-MATCH("enemy_skill_id",enemy_skills!$1:$1,0)+1,FALSE)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242" s="138">
        <v>49015241</v>
      </c>
      <c r="G242" s="48">
        <f ca="1">VLOOKUP($F242,OFFSET(enemy_skill_triggers!$A$1,0,0,COUNTA(enemy_skill_triggers!$A:$A),MATCH(G$1,enemy_skill_triggers!$1:$1,0)-MATCH($F$1,enemy_skill_triggers!$1:$1,0)+1),MATCH(G$1,enemy_skill_triggers!$1:$1,0)-MATCH($F$1,enemy_skill_triggers!$1:$1,0)+1,FALSE)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2" s="48">
        <f ca="1">VLOOKUP($F242,OFFSET(enemy_skill_triggers!$A$1,0,0,COUNTA(enemy_skill_triggers!$A:$A),MATCH(H$1,enemy_skill_triggers!$1:$1,0)-MATCH($F$1,enemy_skill_triggers!$1:$1,0)+1),MATCH(H$1,enemy_skill_triggers!$1:$1,0)-MATCH($F$1,enemy_skill_triggers!$1:$1,0)+1,FALSE)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42" s="48">
        <f ca="1">VLOOKUP($F242,OFFSET(enemy_skill_triggers!$A$1,0,0,COUNTA(enemy_skill_triggers!$A:$A),MATCH(I$1,enemy_skill_triggers!$1:$1,0)-MATCH($F$1,enemy_skill_triggers!$1:$1,0)+1),MATCH(I$1,enemy_skill_triggers!$1:$1,0)-MATCH($F$1,enemy_skill_triggers!$1:$1,0)+1,FALSE)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42" s="48" t="str">
        <f ca="1">VLOOKUP($F242,OFFSET(enemy_skill_triggers!$A$1,0,0,COUNTA(enemy_skill_triggers!$A:$A),MATCH(J$1,enemy_skill_triggers!$1:$1,0)-MATCH($F$1,enemy_skill_triggers!$1:$1,0)+1),MATCH(J$1,enemy_skill_triggers!$1:$1,0)-MATCH($F$1,enemy_skill_triggers!$1:$1,0)+1,FALSE)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2" s="48" t="str">
        <f ca="1">VLOOKUP($F242,OFFSET(enemy_skill_triggers!$A$1,0,0,COUNTA(enemy_skill_triggers!$A:$A),MATCH(K$1,enemy_skill_triggers!$1:$1,0)-MATCH($F$1,enemy_skill_triggers!$1:$1,0)+1),MATCH(K$1,enemy_skill_triggers!$1:$1,0)-MATCH($F$1,enemy_skill_triggers!$1:$1,0)+1,FALSE)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2" s="48" t="str">
        <f ca="1">VLOOKUP($F242,OFFSET(enemy_skill_triggers!$A$1,0,0,COUNTA(enemy_skill_triggers!$A:$A),MATCH(L$1,enemy_skill_triggers!$1:$1,0)-MATCH($F$1,enemy_skill_triggers!$1:$1,0)+1),MATCH(L$1,enemy_skill_triggers!$1:$1,0)-MATCH($F$1,enemy_skill_triggers!$1:$1,0)+1,FALSE)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2" s="48" t="str">
        <f ca="1">VLOOKUP($F242,OFFSET(enemy_skill_triggers!$A$1,0,0,COUNTA(enemy_skill_triggers!$A:$A),MATCH(M$1,enemy_skill_triggers!$1:$1,0)-MATCH($F$1,enemy_skill_triggers!$1:$1,0)+1),MATCH(M$1,enemy_skill_triggers!$1:$1,0)-MATCH($F$1,enemy_skill_triggers!$1:$1,0)+1,FALSE)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2" s="48" t="str">
        <f ca="1">VLOOKUP($F242,OFFSET(enemy_skill_triggers!$A$1,0,0,COUNTA(enemy_skill_triggers!$A:$A),MATCH(N$1,enemy_skill_triggers!$1:$1,0)-MATCH($F$1,enemy_skill_triggers!$1:$1,0)+1),MATCH(N$1,enemy_skill_triggers!$1:$1,0)-MATCH($F$1,enemy_skill_triggers!$1:$1,0)+1,FALSE)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2" s="48">
        <f ca="1">VLOOKUP($F242,OFFSET(enemy_skill_triggers!$A$1,0,0,COUNTA(enemy_skill_triggers!$A:$A),MATCH(O$1,enemy_skill_triggers!$1:$1,0)-MATCH($F$1,enemy_skill_triggers!$1:$1,0)+1),MATCH(O$1,enemy_skill_triggers!$1:$1,0)-MATCH($F$1,enemy_skill_triggers!$1:$1,0)+1,FALSE)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42" s="47"/>
      <c r="Q242" s="47"/>
      <c r="R242" s="47"/>
    </row>
    <row r="243" spans="1:18" ht="21" customHeight="1" x14ac:dyDescent="0.15">
      <c r="A243" s="39" t="str">
        <f t="shared" si="3"/>
        <v>49015018_49015180</v>
      </c>
      <c r="B243" s="106">
        <v>49015018</v>
      </c>
      <c r="C243" s="138">
        <v>49015180</v>
      </c>
      <c r="D243" s="46" t="str">
        <f ca="1">VLOOKUP($C243,OFFSET(enemy_skills!$A$1,0,0,COUNTA(enemy_skills!$A:$A),MATCH(D$1,enemy_skills!$1:$1,0)-MATCH("enemy_skill_id",enemy_skills!$1:$1,0)+1),MATCH(D$1,enemy_skills!$1:$1,0)-MATCH("enemy_skill_id",enemy_skills!$1:$1,0)+1,FALSE)</f>
        <v>これも神の加護か！</v>
      </c>
      <c r="E243" s="46" t="str">
        <f ca="1">VLOOKUP($C243,OFFSET(enemy_skills!$A$1,0,0,COUNTA(enemy_skills!$A:$A),MATCH(E$1,enemy_skills!$1:$1,0)-MATCH("enemy_skill_id",enemy_skills!$1:$1,0)+1),MATCH(E$1,enemy_skills!$1:$1,0)-MATCH("enemy_skill_id",enemy_skills!$1:$1,0)+1,FALSE)</f>
        <v>単体攻撃+_x000D_ランダムでお邪魔パネルに最大3個変換</v>
      </c>
      <c r="F243" s="138">
        <v>49015242</v>
      </c>
      <c r="G243" s="48">
        <f ca="1">VLOOKUP($F243,OFFSET(enemy_skill_triggers!$A$1,0,0,COUNTA(enemy_skill_triggers!$A:$A),MATCH(G$1,enemy_skill_triggers!$1:$1,0)-MATCH($F$1,enemy_skill_triggers!$1:$1,0)+1),MATCH(G$1,enemy_skill_triggers!$1:$1,0)-MATCH($F$1,enemy_skill_triggers!$1:$1,0)+1,FALSE)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3" s="48">
        <f ca="1">VLOOKUP($F243,OFFSET(enemy_skill_triggers!$A$1,0,0,COUNTA(enemy_skill_triggers!$A:$A),MATCH(H$1,enemy_skill_triggers!$1:$1,0)-MATCH($F$1,enemy_skill_triggers!$1:$1,0)+1),MATCH(H$1,enemy_skill_triggers!$1:$1,0)-MATCH($F$1,enemy_skill_triggers!$1:$1,0)+1,FALSE)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43" s="48">
        <f ca="1">VLOOKUP($F243,OFFSET(enemy_skill_triggers!$A$1,0,0,COUNTA(enemy_skill_triggers!$A:$A),MATCH(I$1,enemy_skill_triggers!$1:$1,0)-MATCH($F$1,enemy_skill_triggers!$1:$1,0)+1),MATCH(I$1,enemy_skill_triggers!$1:$1,0)-MATCH($F$1,enemy_skill_triggers!$1:$1,0)+1,FALSE)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43" s="48" t="str">
        <f ca="1">VLOOKUP($F243,OFFSET(enemy_skill_triggers!$A$1,0,0,COUNTA(enemy_skill_triggers!$A:$A),MATCH(J$1,enemy_skill_triggers!$1:$1,0)-MATCH($F$1,enemy_skill_triggers!$1:$1,0)+1),MATCH(J$1,enemy_skill_triggers!$1:$1,0)-MATCH($F$1,enemy_skill_triggers!$1:$1,0)+1,FALSE)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3" s="48" t="str">
        <f ca="1">VLOOKUP($F243,OFFSET(enemy_skill_triggers!$A$1,0,0,COUNTA(enemy_skill_triggers!$A:$A),MATCH(K$1,enemy_skill_triggers!$1:$1,0)-MATCH($F$1,enemy_skill_triggers!$1:$1,0)+1),MATCH(K$1,enemy_skill_triggers!$1:$1,0)-MATCH($F$1,enemy_skill_triggers!$1:$1,0)+1,FALSE)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3" s="48" t="str">
        <f ca="1">VLOOKUP($F243,OFFSET(enemy_skill_triggers!$A$1,0,0,COUNTA(enemy_skill_triggers!$A:$A),MATCH(L$1,enemy_skill_triggers!$1:$1,0)-MATCH($F$1,enemy_skill_triggers!$1:$1,0)+1),MATCH(L$1,enemy_skill_triggers!$1:$1,0)-MATCH($F$1,enemy_skill_triggers!$1:$1,0)+1,FALSE)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3" s="48" t="str">
        <f ca="1">VLOOKUP($F243,OFFSET(enemy_skill_triggers!$A$1,0,0,COUNTA(enemy_skill_triggers!$A:$A),MATCH(M$1,enemy_skill_triggers!$1:$1,0)-MATCH($F$1,enemy_skill_triggers!$1:$1,0)+1),MATCH(M$1,enemy_skill_triggers!$1:$1,0)-MATCH($F$1,enemy_skill_triggers!$1:$1,0)+1,FALSE)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3" s="48" t="str">
        <f ca="1">VLOOKUP($F243,OFFSET(enemy_skill_triggers!$A$1,0,0,COUNTA(enemy_skill_triggers!$A:$A),MATCH(N$1,enemy_skill_triggers!$1:$1,0)-MATCH($F$1,enemy_skill_triggers!$1:$1,0)+1),MATCH(N$1,enemy_skill_triggers!$1:$1,0)-MATCH($F$1,enemy_skill_triggers!$1:$1,0)+1,FALSE)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3" s="48">
        <f ca="1">VLOOKUP($F243,OFFSET(enemy_skill_triggers!$A$1,0,0,COUNTA(enemy_skill_triggers!$A:$A),MATCH(O$1,enemy_skill_triggers!$1:$1,0)-MATCH($F$1,enemy_skill_triggers!$1:$1,0)+1),MATCH(O$1,enemy_skill_triggers!$1:$1,0)-MATCH($F$1,enemy_skill_triggers!$1:$1,0)+1,FALSE)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43" s="47"/>
      <c r="Q243" s="47"/>
      <c r="R243" s="47"/>
    </row>
    <row r="244" spans="1:18" ht="21" customHeight="1" thickBot="1" x14ac:dyDescent="0.2">
      <c r="A244" s="39" t="str">
        <f t="shared" si="3"/>
        <v>49015018_49015181</v>
      </c>
      <c r="B244" s="111">
        <v>49015018</v>
      </c>
      <c r="C244" s="137">
        <v>49015181</v>
      </c>
      <c r="D244" s="145" t="str">
        <f ca="1">VLOOKUP($C244,OFFSET(enemy_skills!$A$1,0,0,COUNTA(enemy_skills!$A:$A),MATCH(D$1,enemy_skills!$1:$1,0)-MATCH("enemy_skill_id",enemy_skills!$1:$1,0)+1),MATCH(D$1,enemy_skills!$1:$1,0)-MATCH("enemy_skill_id",enemy_skills!$1:$1,0)+1,FALSE)</f>
        <v>破壊の理</v>
      </c>
      <c r="E244" s="145" t="str">
        <f ca="1">VLOOKUP($C244,OFFSET(enemy_skills!$A$1,0,0,COUNTA(enemy_skills!$A:$A),MATCH(E$1,enemy_skills!$1:$1,0)-MATCH("enemy_skill_id",enemy_skills!$1:$1,0)+1),MATCH(E$1,enemy_skills!$1:$1,0)-MATCH("enemy_skill_id",enemy_skills!$1:$1,0)+1,FALSE)</f>
        <v>単体攻撃+_x000D_特定エリアをお邪魔パネルに変換</v>
      </c>
      <c r="F244" s="137">
        <v>49015243</v>
      </c>
      <c r="G244" s="114">
        <f ca="1">VLOOKUP($F244,OFFSET(enemy_skill_triggers!$A$1,0,0,COUNTA(enemy_skill_triggers!$A:$A),MATCH(G$1,enemy_skill_triggers!$1:$1,0)-MATCH($F$1,enemy_skill_triggers!$1:$1,0)+1),MATCH(G$1,enemy_skill_triggers!$1:$1,0)-MATCH($F$1,enemy_skill_triggers!$1:$1,0)+1,FALSE)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4" s="114">
        <f ca="1">VLOOKUP($F244,OFFSET(enemy_skill_triggers!$A$1,0,0,COUNTA(enemy_skill_triggers!$A:$A),MATCH(H$1,enemy_skill_triggers!$1:$1,0)-MATCH($F$1,enemy_skill_triggers!$1:$1,0)+1),MATCH(H$1,enemy_skill_triggers!$1:$1,0)-MATCH($F$1,enemy_skill_triggers!$1:$1,0)+1,FALSE)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244" s="114">
        <f ca="1">VLOOKUP($F244,OFFSET(enemy_skill_triggers!$A$1,0,0,COUNTA(enemy_skill_triggers!$A:$A),MATCH(I$1,enemy_skill_triggers!$1:$1,0)-MATCH($F$1,enemy_skill_triggers!$1:$1,0)+1),MATCH(I$1,enemy_skill_triggers!$1:$1,0)-MATCH($F$1,enemy_skill_triggers!$1:$1,0)+1,FALSE)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4" s="114" t="str">
        <f ca="1">VLOOKUP($F244,OFFSET(enemy_skill_triggers!$A$1,0,0,COUNTA(enemy_skill_triggers!$A:$A),MATCH(J$1,enemy_skill_triggers!$1:$1,0)-MATCH($F$1,enemy_skill_triggers!$1:$1,0)+1),MATCH(J$1,enemy_skill_triggers!$1:$1,0)-MATCH($F$1,enemy_skill_triggers!$1:$1,0)+1,FALSE)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4" s="114" t="str">
        <f ca="1">VLOOKUP($F244,OFFSET(enemy_skill_triggers!$A$1,0,0,COUNTA(enemy_skill_triggers!$A:$A),MATCH(K$1,enemy_skill_triggers!$1:$1,0)-MATCH($F$1,enemy_skill_triggers!$1:$1,0)+1),MATCH(K$1,enemy_skill_triggers!$1:$1,0)-MATCH($F$1,enemy_skill_triggers!$1:$1,0)+1,FALSE)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4" s="114" t="str">
        <f ca="1">VLOOKUP($F244,OFFSET(enemy_skill_triggers!$A$1,0,0,COUNTA(enemy_skill_triggers!$A:$A),MATCH(L$1,enemy_skill_triggers!$1:$1,0)-MATCH($F$1,enemy_skill_triggers!$1:$1,0)+1),MATCH(L$1,enemy_skill_triggers!$1:$1,0)-MATCH($F$1,enemy_skill_triggers!$1:$1,0)+1,FALSE)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4" s="114" t="str">
        <f ca="1">VLOOKUP($F244,OFFSET(enemy_skill_triggers!$A$1,0,0,COUNTA(enemy_skill_triggers!$A:$A),MATCH(M$1,enemy_skill_triggers!$1:$1,0)-MATCH($F$1,enemy_skill_triggers!$1:$1,0)+1),MATCH(M$1,enemy_skill_triggers!$1:$1,0)-MATCH($F$1,enemy_skill_triggers!$1:$1,0)+1,FALSE)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4" s="114" t="str">
        <f ca="1">VLOOKUP($F244,OFFSET(enemy_skill_triggers!$A$1,0,0,COUNTA(enemy_skill_triggers!$A:$A),MATCH(N$1,enemy_skill_triggers!$1:$1,0)-MATCH($F$1,enemy_skill_triggers!$1:$1,0)+1),MATCH(N$1,enemy_skill_triggers!$1:$1,0)-MATCH($F$1,enemy_skill_triggers!$1:$1,0)+1,FALSE)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4" s="114">
        <f ca="1">VLOOKUP($F244,OFFSET(enemy_skill_triggers!$A$1,0,0,COUNTA(enemy_skill_triggers!$A:$A),MATCH(O$1,enemy_skill_triggers!$1:$1,0)-MATCH($F$1,enemy_skill_triggers!$1:$1,0)+1),MATCH(O$1,enemy_skill_triggers!$1:$1,0)-MATCH($F$1,enemy_skill_triggers!$1:$1,0)+1,FALSE)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4" s="111"/>
      <c r="Q244" s="111"/>
      <c r="R244" s="111"/>
    </row>
    <row r="245" spans="1:18" ht="21" customHeight="1" x14ac:dyDescent="0.15">
      <c r="A245" s="39" t="str">
        <f t="shared" si="3"/>
        <v>49015019_49015182</v>
      </c>
      <c r="B245" s="106">
        <v>49015019</v>
      </c>
      <c r="C245" s="138">
        <v>49015182</v>
      </c>
      <c r="D245" s="144" t="str">
        <f ca="1">VLOOKUP($C245,OFFSET(enemy_skills!$A$1,0,0,COUNTA(enemy_skills!$A:$A),MATCH(D$1,enemy_skills!$1:$1,0)-MATCH("enemy_skill_id",enemy_skills!$1:$1,0)+1),MATCH(D$1,enemy_skills!$1:$1,0)-MATCH("enemy_skill_id",enemy_skills!$1:$1,0)+1,FALSE)</f>
        <v>破壊させてもらう！</v>
      </c>
      <c r="E245" s="144" t="str">
        <f ca="1">VLOOKUP($C245,OFFSET(enemy_skills!$A$1,0,0,COUNTA(enemy_skills!$A:$A),MATCH(E$1,enemy_skills!$1:$1,0)-MATCH("enemy_skill_id",enemy_skills!$1:$1,0)+1),MATCH(E$1,enemy_skills!$1:$1,0)-MATCH("enemy_skill_id",enemy_skills!$1:$1,0)+1,FALSE)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45" s="138">
        <v>49015244</v>
      </c>
      <c r="G245" s="109">
        <f ca="1">VLOOKUP($F245,OFFSET(enemy_skill_triggers!$A$1,0,0,COUNTA(enemy_skill_triggers!$A:$A),MATCH(G$1,enemy_skill_triggers!$1:$1,0)-MATCH($F$1,enemy_skill_triggers!$1:$1,0)+1),MATCH(G$1,enemy_skill_triggers!$1:$1,0)-MATCH($F$1,enemy_skill_triggers!$1:$1,0)+1,FALSE)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5" s="109" t="str">
        <f ca="1">VLOOKUP($F245,OFFSET(enemy_skill_triggers!$A$1,0,0,COUNTA(enemy_skill_triggers!$A:$A),MATCH(H$1,enemy_skill_triggers!$1:$1,0)-MATCH($F$1,enemy_skill_triggers!$1:$1,0)+1),MATCH(H$1,enemy_skill_triggers!$1:$1,0)-MATCH($F$1,enemy_skill_triggers!$1:$1,0)+1,FALSE)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5" s="109">
        <f ca="1">VLOOKUP($F245,OFFSET(enemy_skill_triggers!$A$1,0,0,COUNTA(enemy_skill_triggers!$A:$A),MATCH(I$1,enemy_skill_triggers!$1:$1,0)-MATCH($F$1,enemy_skill_triggers!$1:$1,0)+1),MATCH(I$1,enemy_skill_triggers!$1:$1,0)-MATCH($F$1,enemy_skill_triggers!$1:$1,0)+1,FALSE)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5" s="109" t="str">
        <f ca="1">VLOOKUP($F245,OFFSET(enemy_skill_triggers!$A$1,0,0,COUNTA(enemy_skill_triggers!$A:$A),MATCH(J$1,enemy_skill_triggers!$1:$1,0)-MATCH($F$1,enemy_skill_triggers!$1:$1,0)+1),MATCH(J$1,enemy_skill_triggers!$1:$1,0)-MATCH($F$1,enemy_skill_triggers!$1:$1,0)+1,FALSE)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5" s="109" t="str">
        <f ca="1">VLOOKUP($F245,OFFSET(enemy_skill_triggers!$A$1,0,0,COUNTA(enemy_skill_triggers!$A:$A),MATCH(K$1,enemy_skill_triggers!$1:$1,0)-MATCH($F$1,enemy_skill_triggers!$1:$1,0)+1),MATCH(K$1,enemy_skill_triggers!$1:$1,0)-MATCH($F$1,enemy_skill_triggers!$1:$1,0)+1,FALSE)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5" s="109">
        <f ca="1">VLOOKUP($F245,OFFSET(enemy_skill_triggers!$A$1,0,0,COUNTA(enemy_skill_triggers!$A:$A),MATCH(L$1,enemy_skill_triggers!$1:$1,0)-MATCH($F$1,enemy_skill_triggers!$1:$1,0)+1),MATCH(L$1,enemy_skill_triggers!$1:$1,0)-MATCH($F$1,enemy_skill_triggers!$1:$1,0)+1,FALSE)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5" s="109" t="str">
        <f ca="1">VLOOKUP($F245,OFFSET(enemy_skill_triggers!$A$1,0,0,COUNTA(enemy_skill_triggers!$A:$A),MATCH(M$1,enemy_skill_triggers!$1:$1,0)-MATCH($F$1,enemy_skill_triggers!$1:$1,0)+1),MATCH(M$1,enemy_skill_triggers!$1:$1,0)-MATCH($F$1,enemy_skill_triggers!$1:$1,0)+1,FALSE)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5" s="109" t="str">
        <f ca="1">VLOOKUP($F245,OFFSET(enemy_skill_triggers!$A$1,0,0,COUNTA(enemy_skill_triggers!$A:$A),MATCH(N$1,enemy_skill_triggers!$1:$1,0)-MATCH($F$1,enemy_skill_triggers!$1:$1,0)+1),MATCH(N$1,enemy_skill_triggers!$1:$1,0)-MATCH($F$1,enemy_skill_triggers!$1:$1,0)+1,FALSE)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5" s="109">
        <f ca="1">VLOOKUP($F245,OFFSET(enemy_skill_triggers!$A$1,0,0,COUNTA(enemy_skill_triggers!$A:$A),MATCH(O$1,enemy_skill_triggers!$1:$1,0)-MATCH($F$1,enemy_skill_triggers!$1:$1,0)+1),MATCH(O$1,enemy_skill_triggers!$1:$1,0)-MATCH($F$1,enemy_skill_triggers!$1:$1,0)+1,FALSE)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5" s="106"/>
      <c r="Q245" s="106"/>
      <c r="R245" s="106"/>
    </row>
    <row r="246" spans="1:18" ht="21" customHeight="1" x14ac:dyDescent="0.15">
      <c r="A246" s="39" t="str">
        <f t="shared" si="3"/>
        <v>49015019_49015183</v>
      </c>
      <c r="B246" s="106">
        <v>49015019</v>
      </c>
      <c r="C246" s="138">
        <v>49015183</v>
      </c>
      <c r="D246" s="46" t="str">
        <f ca="1">VLOOKUP($C246,OFFSET(enemy_skills!$A$1,0,0,COUNTA(enemy_skills!$A:$A),MATCH(D$1,enemy_skills!$1:$1,0)-MATCH("enemy_skill_id",enemy_skills!$1:$1,0)+1),MATCH(D$1,enemy_skills!$1:$1,0)-MATCH("enemy_skill_id",enemy_skills!$1:$1,0)+1,FALSE)</f>
        <v>破壊の右腕</v>
      </c>
      <c r="E246" s="144" t="str">
        <f ca="1">VLOOKUP($C246,OFFSET(enemy_skills!$A$1,0,0,COUNTA(enemy_skills!$A:$A),MATCH(E$1,enemy_skills!$1:$1,0)-MATCH("enemy_skill_id",enemy_skills!$1:$1,0)+1),MATCH(E$1,enemy_skills!$1:$1,0)-MATCH("enemy_skill_id",enemy_skills!$1:$1,0)+1,FALSE)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46" s="138">
        <v>49015245</v>
      </c>
      <c r="G246" s="48">
        <f ca="1">VLOOKUP($F246,OFFSET(enemy_skill_triggers!$A$1,0,0,COUNTA(enemy_skill_triggers!$A:$A),MATCH(G$1,enemy_skill_triggers!$1:$1,0)-MATCH($F$1,enemy_skill_triggers!$1:$1,0)+1),MATCH(G$1,enemy_skill_triggers!$1:$1,0)-MATCH($F$1,enemy_skill_triggers!$1:$1,0)+1,FALSE)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6" s="48">
        <f ca="1">VLOOKUP($F246,OFFSET(enemy_skill_triggers!$A$1,0,0,COUNTA(enemy_skill_triggers!$A:$A),MATCH(H$1,enemy_skill_triggers!$1:$1,0)-MATCH($F$1,enemy_skill_triggers!$1:$1,0)+1),MATCH(H$1,enemy_skill_triggers!$1:$1,0)-MATCH($F$1,enemy_skill_triggers!$1:$1,0)+1,FALSE)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46" s="48">
        <f ca="1">VLOOKUP($F246,OFFSET(enemy_skill_triggers!$A$1,0,0,COUNTA(enemy_skill_triggers!$A:$A),MATCH(I$1,enemy_skill_triggers!$1:$1,0)-MATCH($F$1,enemy_skill_triggers!$1:$1,0)+1),MATCH(I$1,enemy_skill_triggers!$1:$1,0)-MATCH($F$1,enemy_skill_triggers!$1:$1,0)+1,FALSE)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46" s="48" t="str">
        <f ca="1">VLOOKUP($F246,OFFSET(enemy_skill_triggers!$A$1,0,0,COUNTA(enemy_skill_triggers!$A:$A),MATCH(J$1,enemy_skill_triggers!$1:$1,0)-MATCH($F$1,enemy_skill_triggers!$1:$1,0)+1),MATCH(J$1,enemy_skill_triggers!$1:$1,0)-MATCH($F$1,enemy_skill_triggers!$1:$1,0)+1,FALSE)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6" s="48" t="str">
        <f ca="1">VLOOKUP($F246,OFFSET(enemy_skill_triggers!$A$1,0,0,COUNTA(enemy_skill_triggers!$A:$A),MATCH(K$1,enemy_skill_triggers!$1:$1,0)-MATCH($F$1,enemy_skill_triggers!$1:$1,0)+1),MATCH(K$1,enemy_skill_triggers!$1:$1,0)-MATCH($F$1,enemy_skill_triggers!$1:$1,0)+1,FALSE)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6" s="48" t="str">
        <f ca="1">VLOOKUP($F246,OFFSET(enemy_skill_triggers!$A$1,0,0,COUNTA(enemy_skill_triggers!$A:$A),MATCH(L$1,enemy_skill_triggers!$1:$1,0)-MATCH($F$1,enemy_skill_triggers!$1:$1,0)+1),MATCH(L$1,enemy_skill_triggers!$1:$1,0)-MATCH($F$1,enemy_skill_triggers!$1:$1,0)+1,FALSE)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6" s="48" t="str">
        <f ca="1">VLOOKUP($F246,OFFSET(enemy_skill_triggers!$A$1,0,0,COUNTA(enemy_skill_triggers!$A:$A),MATCH(M$1,enemy_skill_triggers!$1:$1,0)-MATCH($F$1,enemy_skill_triggers!$1:$1,0)+1),MATCH(M$1,enemy_skill_triggers!$1:$1,0)-MATCH($F$1,enemy_skill_triggers!$1:$1,0)+1,FALSE)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6" s="48" t="str">
        <f ca="1">VLOOKUP($F246,OFFSET(enemy_skill_triggers!$A$1,0,0,COUNTA(enemy_skill_triggers!$A:$A),MATCH(N$1,enemy_skill_triggers!$1:$1,0)-MATCH($F$1,enemy_skill_triggers!$1:$1,0)+1),MATCH(N$1,enemy_skill_triggers!$1:$1,0)-MATCH($F$1,enemy_skill_triggers!$1:$1,0)+1,FALSE)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6" s="48">
        <f ca="1">VLOOKUP($F246,OFFSET(enemy_skill_triggers!$A$1,0,0,COUNTA(enemy_skill_triggers!$A:$A),MATCH(O$1,enemy_skill_triggers!$1:$1,0)-MATCH($F$1,enemy_skill_triggers!$1:$1,0)+1),MATCH(O$1,enemy_skill_triggers!$1:$1,0)-MATCH($F$1,enemy_skill_triggers!$1:$1,0)+1,FALSE)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46" s="47"/>
      <c r="Q246" s="47"/>
      <c r="R246" s="47"/>
    </row>
    <row r="247" spans="1:18" ht="21" customHeight="1" x14ac:dyDescent="0.15">
      <c r="A247" s="39" t="str">
        <f t="shared" si="3"/>
        <v>49015019_49015184</v>
      </c>
      <c r="B247" s="106">
        <v>49015019</v>
      </c>
      <c r="C247" s="138">
        <v>49015184</v>
      </c>
      <c r="D247" s="46" t="str">
        <f ca="1">VLOOKUP($C247,OFFSET(enemy_skills!$A$1,0,0,COUNTA(enemy_skills!$A:$A),MATCH(D$1,enemy_skills!$1:$1,0)-MATCH("enemy_skill_id",enemy_skills!$1:$1,0)+1),MATCH(D$1,enemy_skills!$1:$1,0)-MATCH("enemy_skill_id",enemy_skills!$1:$1,0)+1,FALSE)</f>
        <v>これも神の加護か！</v>
      </c>
      <c r="E247" s="46" t="str">
        <f ca="1">VLOOKUP($C247,OFFSET(enemy_skills!$A$1,0,0,COUNTA(enemy_skills!$A:$A),MATCH(E$1,enemy_skills!$1:$1,0)-MATCH("enemy_skill_id",enemy_skills!$1:$1,0)+1),MATCH(E$1,enemy_skills!$1:$1,0)-MATCH("enemy_skill_id",enemy_skills!$1:$1,0)+1,FALSE)</f>
        <v>単体攻撃+_x000D_ランダムでお邪魔パネルに最大3個変換</v>
      </c>
      <c r="F247" s="138">
        <v>49015246</v>
      </c>
      <c r="G247" s="48">
        <f ca="1">VLOOKUP($F247,OFFSET(enemy_skill_triggers!$A$1,0,0,COUNTA(enemy_skill_triggers!$A:$A),MATCH(G$1,enemy_skill_triggers!$1:$1,0)-MATCH($F$1,enemy_skill_triggers!$1:$1,0)+1),MATCH(G$1,enemy_skill_triggers!$1:$1,0)-MATCH($F$1,enemy_skill_triggers!$1:$1,0)+1,FALSE)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7" s="48">
        <f ca="1">VLOOKUP($F247,OFFSET(enemy_skill_triggers!$A$1,0,0,COUNTA(enemy_skill_triggers!$A:$A),MATCH(H$1,enemy_skill_triggers!$1:$1,0)-MATCH($F$1,enemy_skill_triggers!$1:$1,0)+1),MATCH(H$1,enemy_skill_triggers!$1:$1,0)-MATCH($F$1,enemy_skill_triggers!$1:$1,0)+1,FALSE)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47" s="48">
        <f ca="1">VLOOKUP($F247,OFFSET(enemy_skill_triggers!$A$1,0,0,COUNTA(enemy_skill_triggers!$A:$A),MATCH(I$1,enemy_skill_triggers!$1:$1,0)-MATCH($F$1,enemy_skill_triggers!$1:$1,0)+1),MATCH(I$1,enemy_skill_triggers!$1:$1,0)-MATCH($F$1,enemy_skill_triggers!$1:$1,0)+1,FALSE)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47" s="48" t="str">
        <f ca="1">VLOOKUP($F247,OFFSET(enemy_skill_triggers!$A$1,0,0,COUNTA(enemy_skill_triggers!$A:$A),MATCH(J$1,enemy_skill_triggers!$1:$1,0)-MATCH($F$1,enemy_skill_triggers!$1:$1,0)+1),MATCH(J$1,enemy_skill_triggers!$1:$1,0)-MATCH($F$1,enemy_skill_triggers!$1:$1,0)+1,FALSE)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7" s="48" t="str">
        <f ca="1">VLOOKUP($F247,OFFSET(enemy_skill_triggers!$A$1,0,0,COUNTA(enemy_skill_triggers!$A:$A),MATCH(K$1,enemy_skill_triggers!$1:$1,0)-MATCH($F$1,enemy_skill_triggers!$1:$1,0)+1),MATCH(K$1,enemy_skill_triggers!$1:$1,0)-MATCH($F$1,enemy_skill_triggers!$1:$1,0)+1,FALSE)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7" s="48" t="str">
        <f ca="1">VLOOKUP($F247,OFFSET(enemy_skill_triggers!$A$1,0,0,COUNTA(enemy_skill_triggers!$A:$A),MATCH(L$1,enemy_skill_triggers!$1:$1,0)-MATCH($F$1,enemy_skill_triggers!$1:$1,0)+1),MATCH(L$1,enemy_skill_triggers!$1:$1,0)-MATCH($F$1,enemy_skill_triggers!$1:$1,0)+1,FALSE)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7" s="48" t="str">
        <f ca="1">VLOOKUP($F247,OFFSET(enemy_skill_triggers!$A$1,0,0,COUNTA(enemy_skill_triggers!$A:$A),MATCH(M$1,enemy_skill_triggers!$1:$1,0)-MATCH($F$1,enemy_skill_triggers!$1:$1,0)+1),MATCH(M$1,enemy_skill_triggers!$1:$1,0)-MATCH($F$1,enemy_skill_triggers!$1:$1,0)+1,FALSE)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7" s="48" t="str">
        <f ca="1">VLOOKUP($F247,OFFSET(enemy_skill_triggers!$A$1,0,0,COUNTA(enemy_skill_triggers!$A:$A),MATCH(N$1,enemy_skill_triggers!$1:$1,0)-MATCH($F$1,enemy_skill_triggers!$1:$1,0)+1),MATCH(N$1,enemy_skill_triggers!$1:$1,0)-MATCH($F$1,enemy_skill_triggers!$1:$1,0)+1,FALSE)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7" s="48">
        <f ca="1">VLOOKUP($F247,OFFSET(enemy_skill_triggers!$A$1,0,0,COUNTA(enemy_skill_triggers!$A:$A),MATCH(O$1,enemy_skill_triggers!$1:$1,0)-MATCH($F$1,enemy_skill_triggers!$1:$1,0)+1),MATCH(O$1,enemy_skill_triggers!$1:$1,0)-MATCH($F$1,enemy_skill_triggers!$1:$1,0)+1,FALSE)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47" s="47"/>
      <c r="Q247" s="47"/>
      <c r="R247" s="47"/>
    </row>
    <row r="248" spans="1:18" ht="21" customHeight="1" x14ac:dyDescent="0.15">
      <c r="A248" s="39" t="str">
        <f t="shared" si="3"/>
        <v>49015019_49015185</v>
      </c>
      <c r="B248" s="106">
        <v>49015019</v>
      </c>
      <c r="C248" s="138">
        <v>49015185</v>
      </c>
      <c r="D248" s="46" t="str">
        <f ca="1">VLOOKUP($C248,OFFSET(enemy_skills!$A$1,0,0,COUNTA(enemy_skills!$A:$A),MATCH(D$1,enemy_skills!$1:$1,0)-MATCH("enemy_skill_id",enemy_skills!$1:$1,0)+1),MATCH(D$1,enemy_skills!$1:$1,0)-MATCH("enemy_skill_id",enemy_skills!$1:$1,0)+1,FALSE)</f>
        <v>破壊の理</v>
      </c>
      <c r="E248" s="46" t="str">
        <f ca="1">VLOOKUP($C248,OFFSET(enemy_skills!$A$1,0,0,COUNTA(enemy_skills!$A:$A),MATCH(E$1,enemy_skills!$1:$1,0)-MATCH("enemy_skill_id",enemy_skills!$1:$1,0)+1),MATCH(E$1,enemy_skills!$1:$1,0)-MATCH("enemy_skill_id",enemy_skills!$1:$1,0)+1,FALSE)</f>
        <v>単体攻撃+_x000D_特定エリアをお邪魔パネルに変換</v>
      </c>
      <c r="F248" s="138">
        <v>49015247</v>
      </c>
      <c r="G248" s="48">
        <f ca="1">VLOOKUP($F248,OFFSET(enemy_skill_triggers!$A$1,0,0,COUNTA(enemy_skill_triggers!$A:$A),MATCH(G$1,enemy_skill_triggers!$1:$1,0)-MATCH($F$1,enemy_skill_triggers!$1:$1,0)+1),MATCH(G$1,enemy_skill_triggers!$1:$1,0)-MATCH($F$1,enemy_skill_triggers!$1:$1,0)+1,FALSE)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8" s="48">
        <f ca="1">VLOOKUP($F248,OFFSET(enemy_skill_triggers!$A$1,0,0,COUNTA(enemy_skill_triggers!$A:$A),MATCH(H$1,enemy_skill_triggers!$1:$1,0)-MATCH($F$1,enemy_skill_triggers!$1:$1,0)+1),MATCH(H$1,enemy_skill_triggers!$1:$1,0)-MATCH($F$1,enemy_skill_triggers!$1:$1,0)+1,FALSE)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48" s="48">
        <f ca="1">VLOOKUP($F248,OFFSET(enemy_skill_triggers!$A$1,0,0,COUNTA(enemy_skill_triggers!$A:$A),MATCH(I$1,enemy_skill_triggers!$1:$1,0)-MATCH($F$1,enemy_skill_triggers!$1:$1,0)+1),MATCH(I$1,enemy_skill_triggers!$1:$1,0)-MATCH($F$1,enemy_skill_triggers!$1:$1,0)+1,FALSE)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8" s="48" t="str">
        <f ca="1">VLOOKUP($F248,OFFSET(enemy_skill_triggers!$A$1,0,0,COUNTA(enemy_skill_triggers!$A:$A),MATCH(J$1,enemy_skill_triggers!$1:$1,0)-MATCH($F$1,enemy_skill_triggers!$1:$1,0)+1),MATCH(J$1,enemy_skill_triggers!$1:$1,0)-MATCH($F$1,enemy_skill_triggers!$1:$1,0)+1,FALSE)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8" s="48" t="str">
        <f ca="1">VLOOKUP($F248,OFFSET(enemy_skill_triggers!$A$1,0,0,COUNTA(enemy_skill_triggers!$A:$A),MATCH(K$1,enemy_skill_triggers!$1:$1,0)-MATCH($F$1,enemy_skill_triggers!$1:$1,0)+1),MATCH(K$1,enemy_skill_triggers!$1:$1,0)-MATCH($F$1,enemy_skill_triggers!$1:$1,0)+1,FALSE)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8" s="48" t="str">
        <f ca="1">VLOOKUP($F248,OFFSET(enemy_skill_triggers!$A$1,0,0,COUNTA(enemy_skill_triggers!$A:$A),MATCH(L$1,enemy_skill_triggers!$1:$1,0)-MATCH($F$1,enemy_skill_triggers!$1:$1,0)+1),MATCH(L$1,enemy_skill_triggers!$1:$1,0)-MATCH($F$1,enemy_skill_triggers!$1:$1,0)+1,FALSE)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8" s="48" t="str">
        <f ca="1">VLOOKUP($F248,OFFSET(enemy_skill_triggers!$A$1,0,0,COUNTA(enemy_skill_triggers!$A:$A),MATCH(M$1,enemy_skill_triggers!$1:$1,0)-MATCH($F$1,enemy_skill_triggers!$1:$1,0)+1),MATCH(M$1,enemy_skill_triggers!$1:$1,0)-MATCH($F$1,enemy_skill_triggers!$1:$1,0)+1,FALSE)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8" s="48" t="str">
        <f ca="1">VLOOKUP($F248,OFFSET(enemy_skill_triggers!$A$1,0,0,COUNTA(enemy_skill_triggers!$A:$A),MATCH(N$1,enemy_skill_triggers!$1:$1,0)-MATCH($F$1,enemy_skill_triggers!$1:$1,0)+1),MATCH(N$1,enemy_skill_triggers!$1:$1,0)-MATCH($F$1,enemy_skill_triggers!$1:$1,0)+1,FALSE)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8" s="48">
        <f ca="1">VLOOKUP($F248,OFFSET(enemy_skill_triggers!$A$1,0,0,COUNTA(enemy_skill_triggers!$A:$A),MATCH(O$1,enemy_skill_triggers!$1:$1,0)-MATCH($F$1,enemy_skill_triggers!$1:$1,0)+1),MATCH(O$1,enemy_skill_triggers!$1:$1,0)-MATCH($F$1,enemy_skill_triggers!$1:$1,0)+1,FALSE)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8" s="47"/>
      <c r="Q248" s="47"/>
      <c r="R248" s="47"/>
    </row>
    <row r="249" spans="1:18" ht="21" customHeight="1" thickBot="1" x14ac:dyDescent="0.2">
      <c r="A249" s="39" t="str">
        <f t="shared" si="3"/>
        <v>49015019_49015186</v>
      </c>
      <c r="B249" s="111">
        <v>49015019</v>
      </c>
      <c r="C249" s="137">
        <v>49015186</v>
      </c>
      <c r="D249" s="145" t="str">
        <f ca="1">VLOOKUP($C249,OFFSET(enemy_skills!$A$1,0,0,COUNTA(enemy_skills!$A:$A),MATCH(D$1,enemy_skills!$1:$1,0)-MATCH("enemy_skill_id",enemy_skills!$1:$1,0)+1),MATCH(D$1,enemy_skills!$1:$1,0)-MATCH("enemy_skill_id",enemy_skills!$1:$1,0)+1,FALSE)</f>
        <v>分解</v>
      </c>
      <c r="E249" s="145" t="str">
        <f ca="1">VLOOKUP($C249,OFFSET(enemy_skills!$A$1,0,0,COUNTA(enemy_skills!$A:$A),MATCH(E$1,enemy_skills!$1:$1,0)-MATCH("enemy_skill_id",enemy_skills!$1:$1,0)+1),MATCH(E$1,enemy_skills!$1:$1,0)-MATCH("enemy_skill_id",enemy_skills!$1:$1,0)+1,FALSE)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249" s="137">
        <v>49015248</v>
      </c>
      <c r="G249" s="114">
        <f ca="1">VLOOKUP($F249,OFFSET(enemy_skill_triggers!$A$1,0,0,COUNTA(enemy_skill_triggers!$A:$A),MATCH(G$1,enemy_skill_triggers!$1:$1,0)-MATCH($F$1,enemy_skill_triggers!$1:$1,0)+1),MATCH(G$1,enemy_skill_triggers!$1:$1,0)-MATCH($F$1,enemy_skill_triggers!$1:$1,0)+1,FALSE)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9" s="114">
        <f ca="1">VLOOKUP($F249,OFFSET(enemy_skill_triggers!$A$1,0,0,COUNTA(enemy_skill_triggers!$A:$A),MATCH(H$1,enemy_skill_triggers!$1:$1,0)-MATCH($F$1,enemy_skill_triggers!$1:$1,0)+1),MATCH(H$1,enemy_skill_triggers!$1:$1,0)-MATCH($F$1,enemy_skill_triggers!$1:$1,0)+1,FALSE)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49" s="114">
        <f ca="1">VLOOKUP($F249,OFFSET(enemy_skill_triggers!$A$1,0,0,COUNTA(enemy_skill_triggers!$A:$A),MATCH(I$1,enemy_skill_triggers!$1:$1,0)-MATCH($F$1,enemy_skill_triggers!$1:$1,0)+1),MATCH(I$1,enemy_skill_triggers!$1:$1,0)-MATCH($F$1,enemy_skill_triggers!$1:$1,0)+1,FALSE)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9" s="114" t="str">
        <f ca="1">VLOOKUP($F249,OFFSET(enemy_skill_triggers!$A$1,0,0,COUNTA(enemy_skill_triggers!$A:$A),MATCH(J$1,enemy_skill_triggers!$1:$1,0)-MATCH($F$1,enemy_skill_triggers!$1:$1,0)+1),MATCH(J$1,enemy_skill_triggers!$1:$1,0)-MATCH($F$1,enemy_skill_triggers!$1:$1,0)+1,FALSE)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9" s="114" t="str">
        <f ca="1">VLOOKUP($F249,OFFSET(enemy_skill_triggers!$A$1,0,0,COUNTA(enemy_skill_triggers!$A:$A),MATCH(K$1,enemy_skill_triggers!$1:$1,0)-MATCH($F$1,enemy_skill_triggers!$1:$1,0)+1),MATCH(K$1,enemy_skill_triggers!$1:$1,0)-MATCH($F$1,enemy_skill_triggers!$1:$1,0)+1,FALSE)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9" s="114" t="str">
        <f ca="1">VLOOKUP($F249,OFFSET(enemy_skill_triggers!$A$1,0,0,COUNTA(enemy_skill_triggers!$A:$A),MATCH(L$1,enemy_skill_triggers!$1:$1,0)-MATCH($F$1,enemy_skill_triggers!$1:$1,0)+1),MATCH(L$1,enemy_skill_triggers!$1:$1,0)-MATCH($F$1,enemy_skill_triggers!$1:$1,0)+1,FALSE)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9" s="114">
        <f ca="1">VLOOKUP($F249,OFFSET(enemy_skill_triggers!$A$1,0,0,COUNTA(enemy_skill_triggers!$A:$A),MATCH(M$1,enemy_skill_triggers!$1:$1,0)-MATCH($F$1,enemy_skill_triggers!$1:$1,0)+1),MATCH(M$1,enemy_skill_triggers!$1:$1,0)-MATCH($F$1,enemy_skill_triggers!$1:$1,0)+1,FALSE)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49" s="114" t="str">
        <f ca="1">VLOOKUP($F249,OFFSET(enemy_skill_triggers!$A$1,0,0,COUNTA(enemy_skill_triggers!$A:$A),MATCH(N$1,enemy_skill_triggers!$1:$1,0)-MATCH($F$1,enemy_skill_triggers!$1:$1,0)+1),MATCH(N$1,enemy_skill_triggers!$1:$1,0)-MATCH($F$1,enemy_skill_triggers!$1:$1,0)+1,FALSE)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9" s="114">
        <f ca="1">VLOOKUP($F249,OFFSET(enemy_skill_triggers!$A$1,0,0,COUNTA(enemy_skill_triggers!$A:$A),MATCH(O$1,enemy_skill_triggers!$1:$1,0)-MATCH($F$1,enemy_skill_triggers!$1:$1,0)+1),MATCH(O$1,enemy_skill_triggers!$1:$1,0)-MATCH($F$1,enemy_skill_triggers!$1:$1,0)+1,FALSE)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9" s="111"/>
      <c r="Q249" s="111"/>
      <c r="R249" s="111"/>
    </row>
    <row r="250" spans="1:18" ht="21" customHeight="1" x14ac:dyDescent="0.15">
      <c r="A250" s="39" t="str">
        <f t="shared" si="3"/>
        <v>49015020_49015187</v>
      </c>
      <c r="B250" s="106">
        <v>49015020</v>
      </c>
      <c r="C250" s="138">
        <v>49015187</v>
      </c>
      <c r="D250" s="144" t="str">
        <f ca="1">VLOOKUP($C250,OFFSET(enemy_skills!$A$1,0,0,COUNTA(enemy_skills!$A:$A),MATCH(D$1,enemy_skills!$1:$1,0)-MATCH("enemy_skill_id",enemy_skills!$1:$1,0)+1),MATCH(D$1,enemy_skills!$1:$1,0)-MATCH("enemy_skill_id",enemy_skills!$1:$1,0)+1,FALSE)</f>
        <v>神の名の下に</v>
      </c>
      <c r="E250" s="144" t="str">
        <f ca="1">VLOOKUP($C250,OFFSET(enemy_skills!$A$1,0,0,COUNTA(enemy_skills!$A:$A),MATCH(E$1,enemy_skills!$1:$1,0)-MATCH("enemy_skill_id",enemy_skills!$1:$1,0)+1),MATCH(E$1,enemy_skills!$1:$1,0)-MATCH("enemy_skill_id",enemy_skills!$1:$1,0)+1,FALSE)</f>
        <v>裁きを受けるがよい！</v>
      </c>
      <c r="F250" s="138">
        <v>49015249</v>
      </c>
      <c r="G250" s="109">
        <f ca="1">VLOOKUP($F250,OFFSET(enemy_skill_triggers!$A$1,0,0,COUNTA(enemy_skill_triggers!$A:$A),MATCH(G$1,enemy_skill_triggers!$1:$1,0)-MATCH($F$1,enemy_skill_triggers!$1:$1,0)+1),MATCH(G$1,enemy_skill_triggers!$1:$1,0)-MATCH($F$1,enemy_skill_triggers!$1:$1,0)+1,FALSE)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0" s="109" t="str">
        <f ca="1">VLOOKUP($F250,OFFSET(enemy_skill_triggers!$A$1,0,0,COUNTA(enemy_skill_triggers!$A:$A),MATCH(H$1,enemy_skill_triggers!$1:$1,0)-MATCH($F$1,enemy_skill_triggers!$1:$1,0)+1),MATCH(H$1,enemy_skill_triggers!$1:$1,0)-MATCH($F$1,enemy_skill_triggers!$1:$1,0)+1,FALSE)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0" s="109">
        <f ca="1">VLOOKUP($F250,OFFSET(enemy_skill_triggers!$A$1,0,0,COUNTA(enemy_skill_triggers!$A:$A),MATCH(I$1,enemy_skill_triggers!$1:$1,0)-MATCH($F$1,enemy_skill_triggers!$1:$1,0)+1),MATCH(I$1,enemy_skill_triggers!$1:$1,0)-MATCH($F$1,enemy_skill_triggers!$1:$1,0)+1,FALSE)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0" s="109" t="str">
        <f ca="1">VLOOKUP($F250,OFFSET(enemy_skill_triggers!$A$1,0,0,COUNTA(enemy_skill_triggers!$A:$A),MATCH(J$1,enemy_skill_triggers!$1:$1,0)-MATCH($F$1,enemy_skill_triggers!$1:$1,0)+1),MATCH(J$1,enemy_skill_triggers!$1:$1,0)-MATCH($F$1,enemy_skill_triggers!$1:$1,0)+1,FALSE)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0" s="109" t="str">
        <f ca="1">VLOOKUP($F250,OFFSET(enemy_skill_triggers!$A$1,0,0,COUNTA(enemy_skill_triggers!$A:$A),MATCH(K$1,enemy_skill_triggers!$1:$1,0)-MATCH($F$1,enemy_skill_triggers!$1:$1,0)+1),MATCH(K$1,enemy_skill_triggers!$1:$1,0)-MATCH($F$1,enemy_skill_triggers!$1:$1,0)+1,FALSE)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0" s="109">
        <f ca="1">VLOOKUP($F250,OFFSET(enemy_skill_triggers!$A$1,0,0,COUNTA(enemy_skill_triggers!$A:$A),MATCH(L$1,enemy_skill_triggers!$1:$1,0)-MATCH($F$1,enemy_skill_triggers!$1:$1,0)+1),MATCH(L$1,enemy_skill_triggers!$1:$1,0)-MATCH($F$1,enemy_skill_triggers!$1:$1,0)+1,FALSE)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0" s="109" t="str">
        <f ca="1">VLOOKUP($F250,OFFSET(enemy_skill_triggers!$A$1,0,0,COUNTA(enemy_skill_triggers!$A:$A),MATCH(M$1,enemy_skill_triggers!$1:$1,0)-MATCH($F$1,enemy_skill_triggers!$1:$1,0)+1),MATCH(M$1,enemy_skill_triggers!$1:$1,0)-MATCH($F$1,enemy_skill_triggers!$1:$1,0)+1,FALSE)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0" s="109" t="str">
        <f ca="1">VLOOKUP($F250,OFFSET(enemy_skill_triggers!$A$1,0,0,COUNTA(enemy_skill_triggers!$A:$A),MATCH(N$1,enemy_skill_triggers!$1:$1,0)-MATCH($F$1,enemy_skill_triggers!$1:$1,0)+1),MATCH(N$1,enemy_skill_triggers!$1:$1,0)-MATCH($F$1,enemy_skill_triggers!$1:$1,0)+1,FALSE)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0" s="109">
        <f ca="1">VLOOKUP($F250,OFFSET(enemy_skill_triggers!$A$1,0,0,COUNTA(enemy_skill_triggers!$A:$A),MATCH(O$1,enemy_skill_triggers!$1:$1,0)-MATCH($F$1,enemy_skill_triggers!$1:$1,0)+1),MATCH(O$1,enemy_skill_triggers!$1:$1,0)-MATCH($F$1,enemy_skill_triggers!$1:$1,0)+1,FALSE)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0" s="106"/>
      <c r="Q250" s="106"/>
      <c r="R250" s="106"/>
    </row>
    <row r="251" spans="1:18" ht="21" customHeight="1" x14ac:dyDescent="0.15">
      <c r="A251" s="39" t="str">
        <f t="shared" si="3"/>
        <v>49015020_49015188</v>
      </c>
      <c r="B251" s="106">
        <v>49015020</v>
      </c>
      <c r="C251" s="138">
        <v>49015188</v>
      </c>
      <c r="D251" s="46" t="str">
        <f ca="1">VLOOKUP($C251,OFFSET(enemy_skills!$A$1,0,0,COUNTA(enemy_skills!$A:$A),MATCH(D$1,enemy_skills!$1:$1,0)-MATCH("enemy_skill_id",enemy_skills!$1:$1,0)+1),MATCH(D$1,enemy_skills!$1:$1,0)-MATCH("enemy_skill_id",enemy_skills!$1:$1,0)+1,FALSE)</f>
        <v>破壊の理</v>
      </c>
      <c r="E251" s="46" t="str">
        <f ca="1">VLOOKUP($C251,OFFSET(enemy_skills!$A$1,0,0,COUNTA(enemy_skills!$A:$A),MATCH(E$1,enemy_skills!$1:$1,0)-MATCH("enemy_skill_id",enemy_skills!$1:$1,0)+1),MATCH(E$1,enemy_skills!$1:$1,0)-MATCH("enemy_skill_id",enemy_skills!$1:$1,0)+1,FALSE)</f>
        <v>全体攻撃+_x000D_特定エリアをお邪魔パネルに変換</v>
      </c>
      <c r="F251" s="138">
        <v>49015250</v>
      </c>
      <c r="G251" s="48">
        <f ca="1">VLOOKUP($F251,OFFSET(enemy_skill_triggers!$A$1,0,0,COUNTA(enemy_skill_triggers!$A:$A),MATCH(G$1,enemy_skill_triggers!$1:$1,0)-MATCH($F$1,enemy_skill_triggers!$1:$1,0)+1),MATCH(G$1,enemy_skill_triggers!$1:$1,0)-MATCH($F$1,enemy_skill_triggers!$1:$1,0)+1,FALSE)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1" s="48">
        <f ca="1">VLOOKUP($F251,OFFSET(enemy_skill_triggers!$A$1,0,0,COUNTA(enemy_skill_triggers!$A:$A),MATCH(H$1,enemy_skill_triggers!$1:$1,0)-MATCH($F$1,enemy_skill_triggers!$1:$1,0)+1),MATCH(H$1,enemy_skill_triggers!$1:$1,0)-MATCH($F$1,enemy_skill_triggers!$1:$1,0)+1,FALSE)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251" s="48">
        <f ca="1">VLOOKUP($F251,OFFSET(enemy_skill_triggers!$A$1,0,0,COUNTA(enemy_skill_triggers!$A:$A),MATCH(I$1,enemy_skill_triggers!$1:$1,0)-MATCH($F$1,enemy_skill_triggers!$1:$1,0)+1),MATCH(I$1,enemy_skill_triggers!$1:$1,0)-MATCH($F$1,enemy_skill_triggers!$1:$1,0)+1,FALSE)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51" s="48" t="str">
        <f ca="1">VLOOKUP($F251,OFFSET(enemy_skill_triggers!$A$1,0,0,COUNTA(enemy_skill_triggers!$A:$A),MATCH(J$1,enemy_skill_triggers!$1:$1,0)-MATCH($F$1,enemy_skill_triggers!$1:$1,0)+1),MATCH(J$1,enemy_skill_triggers!$1:$1,0)-MATCH($F$1,enemy_skill_triggers!$1:$1,0)+1,FALSE)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1" s="48" t="str">
        <f ca="1">VLOOKUP($F251,OFFSET(enemy_skill_triggers!$A$1,0,0,COUNTA(enemy_skill_triggers!$A:$A),MATCH(K$1,enemy_skill_triggers!$1:$1,0)-MATCH($F$1,enemy_skill_triggers!$1:$1,0)+1),MATCH(K$1,enemy_skill_triggers!$1:$1,0)-MATCH($F$1,enemy_skill_triggers!$1:$1,0)+1,FALSE)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1" s="48" t="str">
        <f ca="1">VLOOKUP($F251,OFFSET(enemy_skill_triggers!$A$1,0,0,COUNTA(enemy_skill_triggers!$A:$A),MATCH(L$1,enemy_skill_triggers!$1:$1,0)-MATCH($F$1,enemy_skill_triggers!$1:$1,0)+1),MATCH(L$1,enemy_skill_triggers!$1:$1,0)-MATCH($F$1,enemy_skill_triggers!$1:$1,0)+1,FALSE)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1" s="48" t="str">
        <f ca="1">VLOOKUP($F251,OFFSET(enemy_skill_triggers!$A$1,0,0,COUNTA(enemy_skill_triggers!$A:$A),MATCH(M$1,enemy_skill_triggers!$1:$1,0)-MATCH($F$1,enemy_skill_triggers!$1:$1,0)+1),MATCH(M$1,enemy_skill_triggers!$1:$1,0)-MATCH($F$1,enemy_skill_triggers!$1:$1,0)+1,FALSE)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1" s="48" t="str">
        <f ca="1">VLOOKUP($F251,OFFSET(enemy_skill_triggers!$A$1,0,0,COUNTA(enemy_skill_triggers!$A:$A),MATCH(N$1,enemy_skill_triggers!$1:$1,0)-MATCH($F$1,enemy_skill_triggers!$1:$1,0)+1),MATCH(N$1,enemy_skill_triggers!$1:$1,0)-MATCH($F$1,enemy_skill_triggers!$1:$1,0)+1,FALSE)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1" s="48">
        <f ca="1">VLOOKUP($F251,OFFSET(enemy_skill_triggers!$A$1,0,0,COUNTA(enemy_skill_triggers!$A:$A),MATCH(O$1,enemy_skill_triggers!$1:$1,0)-MATCH($F$1,enemy_skill_triggers!$1:$1,0)+1),MATCH(O$1,enemy_skill_triggers!$1:$1,0)-MATCH($F$1,enemy_skill_triggers!$1:$1,0)+1,FALSE)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51" s="47"/>
      <c r="Q251" s="47"/>
      <c r="R251" s="47"/>
    </row>
    <row r="252" spans="1:18" ht="21" customHeight="1" x14ac:dyDescent="0.15">
      <c r="A252" s="39" t="str">
        <f t="shared" si="3"/>
        <v>49015020_49015189</v>
      </c>
      <c r="B252" s="106">
        <v>49015020</v>
      </c>
      <c r="C252" s="138">
        <v>49015189</v>
      </c>
      <c r="D252" s="46" t="str">
        <f ca="1">VLOOKUP($C252,OFFSET(enemy_skills!$A$1,0,0,COUNTA(enemy_skills!$A:$A),MATCH(D$1,enemy_skills!$1:$1,0)-MATCH("enemy_skill_id",enemy_skills!$1:$1,0)+1),MATCH(D$1,enemy_skills!$1:$1,0)-MATCH("enemy_skill_id",enemy_skills!$1:$1,0)+1,FALSE)</f>
        <v>分解</v>
      </c>
      <c r="E252" s="46" t="str">
        <f ca="1">VLOOKUP($C252,OFFSET(enemy_skills!$A$1,0,0,COUNTA(enemy_skills!$A:$A),MATCH(E$1,enemy_skills!$1:$1,0)-MATCH("enemy_skill_id",enemy_skills!$1:$1,0)+1),MATCH(E$1,enemy_skills!$1:$1,0)-MATCH("enemy_skill_id",enemy_skills!$1:$1,0)+1,FALSE)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252" s="138">
        <v>49015251</v>
      </c>
      <c r="G252" s="48">
        <f ca="1">VLOOKUP($F252,OFFSET(enemy_skill_triggers!$A$1,0,0,COUNTA(enemy_skill_triggers!$A:$A),MATCH(G$1,enemy_skill_triggers!$1:$1,0)-MATCH($F$1,enemy_skill_triggers!$1:$1,0)+1),MATCH(G$1,enemy_skill_triggers!$1:$1,0)-MATCH($F$1,enemy_skill_triggers!$1:$1,0)+1,FALSE)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2" s="48">
        <f ca="1">VLOOKUP($F252,OFFSET(enemy_skill_triggers!$A$1,0,0,COUNTA(enemy_skill_triggers!$A:$A),MATCH(H$1,enemy_skill_triggers!$1:$1,0)-MATCH($F$1,enemy_skill_triggers!$1:$1,0)+1),MATCH(H$1,enemy_skill_triggers!$1:$1,0)-MATCH($F$1,enemy_skill_triggers!$1:$1,0)+1,FALSE)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52" s="48">
        <f ca="1">VLOOKUP($F252,OFFSET(enemy_skill_triggers!$A$1,0,0,COUNTA(enemy_skill_triggers!$A:$A),MATCH(I$1,enemy_skill_triggers!$1:$1,0)-MATCH($F$1,enemy_skill_triggers!$1:$1,0)+1),MATCH(I$1,enemy_skill_triggers!$1:$1,0)-MATCH($F$1,enemy_skill_triggers!$1:$1,0)+1,FALSE)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52" s="48" t="str">
        <f ca="1">VLOOKUP($F252,OFFSET(enemy_skill_triggers!$A$1,0,0,COUNTA(enemy_skill_triggers!$A:$A),MATCH(J$1,enemy_skill_triggers!$1:$1,0)-MATCH($F$1,enemy_skill_triggers!$1:$1,0)+1),MATCH(J$1,enemy_skill_triggers!$1:$1,0)-MATCH($F$1,enemy_skill_triggers!$1:$1,0)+1,FALSE)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2" s="48" t="str">
        <f ca="1">VLOOKUP($F252,OFFSET(enemy_skill_triggers!$A$1,0,0,COUNTA(enemy_skill_triggers!$A:$A),MATCH(K$1,enemy_skill_triggers!$1:$1,0)-MATCH($F$1,enemy_skill_triggers!$1:$1,0)+1),MATCH(K$1,enemy_skill_triggers!$1:$1,0)-MATCH($F$1,enemy_skill_triggers!$1:$1,0)+1,FALSE)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2" s="48" t="str">
        <f ca="1">VLOOKUP($F252,OFFSET(enemy_skill_triggers!$A$1,0,0,COUNTA(enemy_skill_triggers!$A:$A),MATCH(L$1,enemy_skill_triggers!$1:$1,0)-MATCH($F$1,enemy_skill_triggers!$1:$1,0)+1),MATCH(L$1,enemy_skill_triggers!$1:$1,0)-MATCH($F$1,enemy_skill_triggers!$1:$1,0)+1,FALSE)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2" s="48" t="str">
        <f ca="1">VLOOKUP($F252,OFFSET(enemy_skill_triggers!$A$1,0,0,COUNTA(enemy_skill_triggers!$A:$A),MATCH(M$1,enemy_skill_triggers!$1:$1,0)-MATCH($F$1,enemy_skill_triggers!$1:$1,0)+1),MATCH(M$1,enemy_skill_triggers!$1:$1,0)-MATCH($F$1,enemy_skill_triggers!$1:$1,0)+1,FALSE)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2" s="48" t="str">
        <f ca="1">VLOOKUP($F252,OFFSET(enemy_skill_triggers!$A$1,0,0,COUNTA(enemy_skill_triggers!$A:$A),MATCH(N$1,enemy_skill_triggers!$1:$1,0)-MATCH($F$1,enemy_skill_triggers!$1:$1,0)+1),MATCH(N$1,enemy_skill_triggers!$1:$1,0)-MATCH($F$1,enemy_skill_triggers!$1:$1,0)+1,FALSE)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2" s="48">
        <f ca="1">VLOOKUP($F252,OFFSET(enemy_skill_triggers!$A$1,0,0,COUNTA(enemy_skill_triggers!$A:$A),MATCH(O$1,enemy_skill_triggers!$1:$1,0)-MATCH($F$1,enemy_skill_triggers!$1:$1,0)+1),MATCH(O$1,enemy_skill_triggers!$1:$1,0)-MATCH($F$1,enemy_skill_triggers!$1:$1,0)+1,FALSE)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52" s="47"/>
      <c r="Q252" s="47"/>
      <c r="R252" s="47"/>
    </row>
    <row r="253" spans="1:18" ht="21" customHeight="1" x14ac:dyDescent="0.15">
      <c r="A253" s="39" t="str">
        <f t="shared" si="3"/>
        <v>49015020_49015190</v>
      </c>
      <c r="B253" s="106">
        <v>49015020</v>
      </c>
      <c r="C253" s="138">
        <v>49015190</v>
      </c>
      <c r="D253" s="46" t="str">
        <f ca="1">VLOOKUP($C253,OFFSET(enemy_skills!$A$1,0,0,COUNTA(enemy_skills!$A:$A),MATCH(D$1,enemy_skills!$1:$1,0)-MATCH("enemy_skill_id",enemy_skills!$1:$1,0)+1),MATCH(D$1,enemy_skills!$1:$1,0)-MATCH("enemy_skill_id",enemy_skills!$1:$1,0)+1,FALSE)</f>
        <v>神に祈る間をやろう</v>
      </c>
      <c r="E253" s="46" t="str">
        <f ca="1">VLOOKUP($C253,OFFSET(enemy_skills!$A$1,0,0,COUNTA(enemy_skills!$A:$A),MATCH(E$1,enemy_skills!$1:$1,0)-MATCH("enemy_skill_id",enemy_skills!$1:$1,0)+1),MATCH(E$1,enemy_skills!$1:$1,0)-MATCH("enemy_skill_id",enemy_skills!$1:$1,0)+1,FALSE)</f>
        <v>残りHPの25％ダメージ！+_x000D_ランダムでお邪魔パネルに最大2個変換</v>
      </c>
      <c r="F253" s="138">
        <v>49015252</v>
      </c>
      <c r="G253" s="48">
        <f ca="1">VLOOKUP($F253,OFFSET(enemy_skill_triggers!$A$1,0,0,COUNTA(enemy_skill_triggers!$A:$A),MATCH(G$1,enemy_skill_triggers!$1:$1,0)-MATCH($F$1,enemy_skill_triggers!$1:$1,0)+1),MATCH(G$1,enemy_skill_triggers!$1:$1,0)-MATCH($F$1,enemy_skill_triggers!$1:$1,0)+1,FALSE)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3" s="48">
        <f ca="1">VLOOKUP($F253,OFFSET(enemy_skill_triggers!$A$1,0,0,COUNTA(enemy_skill_triggers!$A:$A),MATCH(H$1,enemy_skill_triggers!$1:$1,0)-MATCH($F$1,enemy_skill_triggers!$1:$1,0)+1),MATCH(H$1,enemy_skill_triggers!$1:$1,0)-MATCH($F$1,enemy_skill_triggers!$1:$1,0)+1,FALSE)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253" s="48">
        <f ca="1">VLOOKUP($F253,OFFSET(enemy_skill_triggers!$A$1,0,0,COUNTA(enemy_skill_triggers!$A:$A),MATCH(I$1,enemy_skill_triggers!$1:$1,0)-MATCH($F$1,enemy_skill_triggers!$1:$1,0)+1),MATCH(I$1,enemy_skill_triggers!$1:$1,0)-MATCH($F$1,enemy_skill_triggers!$1:$1,0)+1,FALSE)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3" s="48" t="str">
        <f ca="1">VLOOKUP($F253,OFFSET(enemy_skill_triggers!$A$1,0,0,COUNTA(enemy_skill_triggers!$A:$A),MATCH(J$1,enemy_skill_triggers!$1:$1,0)-MATCH($F$1,enemy_skill_triggers!$1:$1,0)+1),MATCH(J$1,enemy_skill_triggers!$1:$1,0)-MATCH($F$1,enemy_skill_triggers!$1:$1,0)+1,FALSE)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3" s="48" t="str">
        <f ca="1">VLOOKUP($F253,OFFSET(enemy_skill_triggers!$A$1,0,0,COUNTA(enemy_skill_triggers!$A:$A),MATCH(K$1,enemy_skill_triggers!$1:$1,0)-MATCH($F$1,enemy_skill_triggers!$1:$1,0)+1),MATCH(K$1,enemy_skill_triggers!$1:$1,0)-MATCH($F$1,enemy_skill_triggers!$1:$1,0)+1,FALSE)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3" s="48" t="str">
        <f ca="1">VLOOKUP($F253,OFFSET(enemy_skill_triggers!$A$1,0,0,COUNTA(enemy_skill_triggers!$A:$A),MATCH(L$1,enemy_skill_triggers!$1:$1,0)-MATCH($F$1,enemy_skill_triggers!$1:$1,0)+1),MATCH(L$1,enemy_skill_triggers!$1:$1,0)-MATCH($F$1,enemy_skill_triggers!$1:$1,0)+1,FALSE)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3" s="48" t="str">
        <f ca="1">VLOOKUP($F253,OFFSET(enemy_skill_triggers!$A$1,0,0,COUNTA(enemy_skill_triggers!$A:$A),MATCH(M$1,enemy_skill_triggers!$1:$1,0)-MATCH($F$1,enemy_skill_triggers!$1:$1,0)+1),MATCH(M$1,enemy_skill_triggers!$1:$1,0)-MATCH($F$1,enemy_skill_triggers!$1:$1,0)+1,FALSE)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3" s="48" t="str">
        <f ca="1">VLOOKUP($F253,OFFSET(enemy_skill_triggers!$A$1,0,0,COUNTA(enemy_skill_triggers!$A:$A),MATCH(N$1,enemy_skill_triggers!$1:$1,0)-MATCH($F$1,enemy_skill_triggers!$1:$1,0)+1),MATCH(N$1,enemy_skill_triggers!$1:$1,0)-MATCH($F$1,enemy_skill_triggers!$1:$1,0)+1,FALSE)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3" s="48">
        <f ca="1">VLOOKUP($F253,OFFSET(enemy_skill_triggers!$A$1,0,0,COUNTA(enemy_skill_triggers!$A:$A),MATCH(O$1,enemy_skill_triggers!$1:$1,0)-MATCH($F$1,enemy_skill_triggers!$1:$1,0)+1),MATCH(O$1,enemy_skill_triggers!$1:$1,0)-MATCH($F$1,enemy_skill_triggers!$1:$1,0)+1,FALSE)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3" s="47"/>
      <c r="Q253" s="47"/>
      <c r="R253" s="47"/>
    </row>
    <row r="254" spans="1:18" ht="21" customHeight="1" x14ac:dyDescent="0.15">
      <c r="A254" s="39" t="str">
        <f t="shared" si="3"/>
        <v>49015020_49015191</v>
      </c>
      <c r="B254" s="106">
        <v>49015020</v>
      </c>
      <c r="C254" s="138">
        <v>49015191</v>
      </c>
      <c r="D254" s="46" t="str">
        <f ca="1">VLOOKUP($C254,OFFSET(enemy_skills!$A$1,0,0,COUNTA(enemy_skills!$A:$A),MATCH(D$1,enemy_skills!$1:$1,0)-MATCH("enemy_skill_id",enemy_skills!$1:$1,0)+1),MATCH(D$1,enemy_skills!$1:$1,0)-MATCH("enemy_skill_id",enemy_skills!$1:$1,0)+1,FALSE)</f>
        <v>同胞たちよ、すまぬ…</v>
      </c>
      <c r="E254" s="46" t="str">
        <f ca="1">VLOOKUP($C254,OFFSET(enemy_skills!$A$1,0,0,COUNTA(enemy_skills!$A:$A),MATCH(E$1,enemy_skills!$1:$1,0)-MATCH("enemy_skill_id",enemy_skills!$1:$1,0)+1),MATCH(E$1,enemy_skills!$1:$1,0)-MATCH("enemy_skill_id",enemy_skills!$1:$1,0)+1,FALSE)</f>
        <v>畜生の道のまま堕ちるか…</v>
      </c>
      <c r="F254" s="138">
        <v>49015253</v>
      </c>
      <c r="G254" s="48">
        <f ca="1">VLOOKUP($F254,OFFSET(enemy_skill_triggers!$A$1,0,0,COUNTA(enemy_skill_triggers!$A:$A),MATCH(G$1,enemy_skill_triggers!$1:$1,0)-MATCH($F$1,enemy_skill_triggers!$1:$1,0)+1),MATCH(G$1,enemy_skill_triggers!$1:$1,0)-MATCH($F$1,enemy_skill_triggers!$1:$1,0)+1,FALSE)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4" s="48">
        <f ca="1">VLOOKUP($F254,OFFSET(enemy_skill_triggers!$A$1,0,0,COUNTA(enemy_skill_triggers!$A:$A),MATCH(H$1,enemy_skill_triggers!$1:$1,0)-MATCH($F$1,enemy_skill_triggers!$1:$1,0)+1),MATCH(H$1,enemy_skill_triggers!$1:$1,0)-MATCH($F$1,enemy_skill_triggers!$1:$1,0)+1,FALSE)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254" s="48">
        <f ca="1">VLOOKUP($F254,OFFSET(enemy_skill_triggers!$A$1,0,0,COUNTA(enemy_skill_triggers!$A:$A),MATCH(I$1,enemy_skill_triggers!$1:$1,0)-MATCH($F$1,enemy_skill_triggers!$1:$1,0)+1),MATCH(I$1,enemy_skill_triggers!$1:$1,0)-MATCH($F$1,enemy_skill_triggers!$1:$1,0)+1,FALSE)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4" s="48" t="str">
        <f ca="1">VLOOKUP($F254,OFFSET(enemy_skill_triggers!$A$1,0,0,COUNTA(enemy_skill_triggers!$A:$A),MATCH(J$1,enemy_skill_triggers!$1:$1,0)-MATCH($F$1,enemy_skill_triggers!$1:$1,0)+1),MATCH(J$1,enemy_skill_triggers!$1:$1,0)-MATCH($F$1,enemy_skill_triggers!$1:$1,0)+1,FALSE)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4" s="48" t="str">
        <f ca="1">VLOOKUP($F254,OFFSET(enemy_skill_triggers!$A$1,0,0,COUNTA(enemy_skill_triggers!$A:$A),MATCH(K$1,enemy_skill_triggers!$1:$1,0)-MATCH($F$1,enemy_skill_triggers!$1:$1,0)+1),MATCH(K$1,enemy_skill_triggers!$1:$1,0)-MATCH($F$1,enemy_skill_triggers!$1:$1,0)+1,FALSE)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4" s="48">
        <f ca="1">VLOOKUP($F254,OFFSET(enemy_skill_triggers!$A$1,0,0,COUNTA(enemy_skill_triggers!$A:$A),MATCH(L$1,enemy_skill_triggers!$1:$1,0)-MATCH($F$1,enemy_skill_triggers!$1:$1,0)+1),MATCH(L$1,enemy_skill_triggers!$1:$1,0)-MATCH($F$1,enemy_skill_triggers!$1:$1,0)+1,FALSE)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4" s="48" t="str">
        <f ca="1">VLOOKUP($F254,OFFSET(enemy_skill_triggers!$A$1,0,0,COUNTA(enemy_skill_triggers!$A:$A),MATCH(M$1,enemy_skill_triggers!$1:$1,0)-MATCH($F$1,enemy_skill_triggers!$1:$1,0)+1),MATCH(M$1,enemy_skill_triggers!$1:$1,0)-MATCH($F$1,enemy_skill_triggers!$1:$1,0)+1,FALSE)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4" s="48">
        <f ca="1">VLOOKUP($F254,OFFSET(enemy_skill_triggers!$A$1,0,0,COUNTA(enemy_skill_triggers!$A:$A),MATCH(N$1,enemy_skill_triggers!$1:$1,0)-MATCH($F$1,enemy_skill_triggers!$1:$1,0)+1),MATCH(N$1,enemy_skill_triggers!$1:$1,0)-MATCH($F$1,enemy_skill_triggers!$1:$1,0)+1,FALSE)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54" s="48">
        <f ca="1">VLOOKUP($F254,OFFSET(enemy_skill_triggers!$A$1,0,0,COUNTA(enemy_skill_triggers!$A:$A),MATCH(O$1,enemy_skill_triggers!$1:$1,0)-MATCH($F$1,enemy_skill_triggers!$1:$1,0)+1),MATCH(O$1,enemy_skill_triggers!$1:$1,0)-MATCH($F$1,enemy_skill_triggers!$1:$1,0)+1,FALSE)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4" s="47"/>
      <c r="Q254" s="47"/>
      <c r="R254" s="47"/>
    </row>
    <row r="255" spans="1:18" ht="21" customHeight="1" x14ac:dyDescent="0.15">
      <c r="A255" s="39" t="str">
        <f t="shared" ref="A255:A318" si="4">B255&amp;"_"&amp;C255</f>
        <v>49015020_49015192</v>
      </c>
      <c r="B255" s="106">
        <v>49015020</v>
      </c>
      <c r="C255" s="138">
        <v>49015192</v>
      </c>
      <c r="D255" s="46" t="str">
        <f ca="1">VLOOKUP($C255,OFFSET(enemy_skills!$A$1,0,0,COUNTA(enemy_skills!$A:$A),MATCH(D$1,enemy_skills!$1:$1,0)-MATCH("enemy_skill_id",enemy_skills!$1:$1,0)+1),MATCH(D$1,enemy_skills!$1:$1,0)-MATCH("enemy_skill_id",enemy_skills!$1:$1,0)+1,FALSE)</f>
        <v>国家の犬め…</v>
      </c>
      <c r="E255" s="46" t="str">
        <f ca="1">VLOOKUP($C255,OFFSET(enemy_skills!$A$1,0,0,COUNTA(enemy_skills!$A:$A),MATCH(E$1,enemy_skills!$1:$1,0)-MATCH("enemy_skill_id",enemy_skills!$1:$1,0)+1),MATCH(E$1,enemy_skills!$1:$1,0)-MATCH("enemy_skill_id",enemy_skills!$1:$1,0)+1,FALSE)</f>
        <v>神よ…兄者よ…</v>
      </c>
      <c r="F255" s="138">
        <v>49015254</v>
      </c>
      <c r="G255" s="48">
        <f ca="1">VLOOKUP($F255,OFFSET(enemy_skill_triggers!$A$1,0,0,COUNTA(enemy_skill_triggers!$A:$A),MATCH(G$1,enemy_skill_triggers!$1:$1,0)-MATCH($F$1,enemy_skill_triggers!$1:$1,0)+1),MATCH(G$1,enemy_skill_triggers!$1:$1,0)-MATCH($F$1,enemy_skill_triggers!$1:$1,0)+1,FALSE)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5" s="48">
        <f ca="1">VLOOKUP($F255,OFFSET(enemy_skill_triggers!$A$1,0,0,COUNTA(enemy_skill_triggers!$A:$A),MATCH(H$1,enemy_skill_triggers!$1:$1,0)-MATCH($F$1,enemy_skill_triggers!$1:$1,0)+1),MATCH(H$1,enemy_skill_triggers!$1:$1,0)-MATCH($F$1,enemy_skill_triggers!$1:$1,0)+1,FALSE)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5" s="48">
        <f ca="1">VLOOKUP($F255,OFFSET(enemy_skill_triggers!$A$1,0,0,COUNTA(enemy_skill_triggers!$A:$A),MATCH(I$1,enemy_skill_triggers!$1:$1,0)-MATCH($F$1,enemy_skill_triggers!$1:$1,0)+1),MATCH(I$1,enemy_skill_triggers!$1:$1,0)-MATCH($F$1,enemy_skill_triggers!$1:$1,0)+1,FALSE)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5" s="48" t="str">
        <f ca="1">VLOOKUP($F255,OFFSET(enemy_skill_triggers!$A$1,0,0,COUNTA(enemy_skill_triggers!$A:$A),MATCH(J$1,enemy_skill_triggers!$1:$1,0)-MATCH($F$1,enemy_skill_triggers!$1:$1,0)+1),MATCH(J$1,enemy_skill_triggers!$1:$1,0)-MATCH($F$1,enemy_skill_triggers!$1:$1,0)+1,FALSE)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5" s="48" t="str">
        <f ca="1">VLOOKUP($F255,OFFSET(enemy_skill_triggers!$A$1,0,0,COUNTA(enemy_skill_triggers!$A:$A),MATCH(K$1,enemy_skill_triggers!$1:$1,0)-MATCH($F$1,enemy_skill_triggers!$1:$1,0)+1),MATCH(K$1,enemy_skill_triggers!$1:$1,0)-MATCH($F$1,enemy_skill_triggers!$1:$1,0)+1,FALSE)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5" s="48">
        <f ca="1">VLOOKUP($F255,OFFSET(enemy_skill_triggers!$A$1,0,0,COUNTA(enemy_skill_triggers!$A:$A),MATCH(L$1,enemy_skill_triggers!$1:$1,0)-MATCH($F$1,enemy_skill_triggers!$1:$1,0)+1),MATCH(L$1,enemy_skill_triggers!$1:$1,0)-MATCH($F$1,enemy_skill_triggers!$1:$1,0)+1,FALSE)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5" s="48" t="str">
        <f ca="1">VLOOKUP($F255,OFFSET(enemy_skill_triggers!$A$1,0,0,COUNTA(enemy_skill_triggers!$A:$A),MATCH(M$1,enemy_skill_triggers!$1:$1,0)-MATCH($F$1,enemy_skill_triggers!$1:$1,0)+1),MATCH(M$1,enemy_skill_triggers!$1:$1,0)-MATCH($F$1,enemy_skill_triggers!$1:$1,0)+1,FALSE)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5" s="48">
        <f ca="1">VLOOKUP($F255,OFFSET(enemy_skill_triggers!$A$1,0,0,COUNTA(enemy_skill_triggers!$A:$A),MATCH(N$1,enemy_skill_triggers!$1:$1,0)-MATCH($F$1,enemy_skill_triggers!$1:$1,0)+1),MATCH(N$1,enemy_skill_triggers!$1:$1,0)-MATCH($F$1,enemy_skill_triggers!$1:$1,0)+1,FALSE)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255" s="48">
        <f ca="1">VLOOKUP($F255,OFFSET(enemy_skill_triggers!$A$1,0,0,COUNTA(enemy_skill_triggers!$A:$A),MATCH(O$1,enemy_skill_triggers!$1:$1,0)-MATCH($F$1,enemy_skill_triggers!$1:$1,0)+1),MATCH(O$1,enemy_skill_triggers!$1:$1,0)-MATCH($F$1,enemy_skill_triggers!$1:$1,0)+1,FALSE)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5" s="47"/>
      <c r="Q255" s="47"/>
      <c r="R255" s="47"/>
    </row>
    <row r="256" spans="1:18" ht="21" customHeight="1" x14ac:dyDescent="0.15">
      <c r="A256" s="39" t="str">
        <f t="shared" si="4"/>
        <v>49015020_49015192</v>
      </c>
      <c r="B256" s="106">
        <v>49015020</v>
      </c>
      <c r="C256" s="138">
        <v>49015192</v>
      </c>
      <c r="D256" s="46" t="str">
        <f ca="1">VLOOKUP($C256,OFFSET(enemy_skills!$A$1,0,0,COUNTA(enemy_skills!$A:$A),MATCH(D$1,enemy_skills!$1:$1,0)-MATCH("enemy_skill_id",enemy_skills!$1:$1,0)+1),MATCH(D$1,enemy_skills!$1:$1,0)-MATCH("enemy_skill_id",enemy_skills!$1:$1,0)+1,FALSE)</f>
        <v>国家の犬め…</v>
      </c>
      <c r="E256" s="46" t="str">
        <f ca="1">VLOOKUP($C256,OFFSET(enemy_skills!$A$1,0,0,COUNTA(enemy_skills!$A:$A),MATCH(E$1,enemy_skills!$1:$1,0)-MATCH("enemy_skill_id",enemy_skills!$1:$1,0)+1),MATCH(E$1,enemy_skills!$1:$1,0)-MATCH("enemy_skill_id",enemy_skills!$1:$1,0)+1,FALSE)</f>
        <v>神よ…兄者よ…</v>
      </c>
      <c r="F256" s="138">
        <v>49015255</v>
      </c>
      <c r="G256" s="48">
        <f ca="1">VLOOKUP($F256,OFFSET(enemy_skill_triggers!$A$1,0,0,COUNTA(enemy_skill_triggers!$A:$A),MATCH(G$1,enemy_skill_triggers!$1:$1,0)-MATCH($F$1,enemy_skill_triggers!$1:$1,0)+1),MATCH(G$1,enemy_skill_triggers!$1:$1,0)-MATCH($F$1,enemy_skill_triggers!$1:$1,0)+1,FALSE)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6" s="48">
        <f ca="1">VLOOKUP($F256,OFFSET(enemy_skill_triggers!$A$1,0,0,COUNTA(enemy_skill_triggers!$A:$A),MATCH(H$1,enemy_skill_triggers!$1:$1,0)-MATCH($F$1,enemy_skill_triggers!$1:$1,0)+1),MATCH(H$1,enemy_skill_triggers!$1:$1,0)-MATCH($F$1,enemy_skill_triggers!$1:$1,0)+1,FALSE)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56" s="48">
        <f ca="1">VLOOKUP($F256,OFFSET(enemy_skill_triggers!$A$1,0,0,COUNTA(enemy_skill_triggers!$A:$A),MATCH(I$1,enemy_skill_triggers!$1:$1,0)-MATCH($F$1,enemy_skill_triggers!$1:$1,0)+1),MATCH(I$1,enemy_skill_triggers!$1:$1,0)-MATCH($F$1,enemy_skill_triggers!$1:$1,0)+1,FALSE)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6" s="48" t="str">
        <f ca="1">VLOOKUP($F256,OFFSET(enemy_skill_triggers!$A$1,0,0,COUNTA(enemy_skill_triggers!$A:$A),MATCH(J$1,enemy_skill_triggers!$1:$1,0)-MATCH($F$1,enemy_skill_triggers!$1:$1,0)+1),MATCH(J$1,enemy_skill_triggers!$1:$1,0)-MATCH($F$1,enemy_skill_triggers!$1:$1,0)+1,FALSE)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6" s="48" t="str">
        <f ca="1">VLOOKUP($F256,OFFSET(enemy_skill_triggers!$A$1,0,0,COUNTA(enemy_skill_triggers!$A:$A),MATCH(K$1,enemy_skill_triggers!$1:$1,0)-MATCH($F$1,enemy_skill_triggers!$1:$1,0)+1),MATCH(K$1,enemy_skill_triggers!$1:$1,0)-MATCH($F$1,enemy_skill_triggers!$1:$1,0)+1,FALSE)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6" s="48">
        <f ca="1">VLOOKUP($F256,OFFSET(enemy_skill_triggers!$A$1,0,0,COUNTA(enemy_skill_triggers!$A:$A),MATCH(L$1,enemy_skill_triggers!$1:$1,0)-MATCH($F$1,enemy_skill_triggers!$1:$1,0)+1),MATCH(L$1,enemy_skill_triggers!$1:$1,0)-MATCH($F$1,enemy_skill_triggers!$1:$1,0)+1,FALSE)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6" s="48" t="str">
        <f ca="1">VLOOKUP($F256,OFFSET(enemy_skill_triggers!$A$1,0,0,COUNTA(enemy_skill_triggers!$A:$A),MATCH(M$1,enemy_skill_triggers!$1:$1,0)-MATCH($F$1,enemy_skill_triggers!$1:$1,0)+1),MATCH(M$1,enemy_skill_triggers!$1:$1,0)-MATCH($F$1,enemy_skill_triggers!$1:$1,0)+1,FALSE)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6" s="48">
        <f ca="1">VLOOKUP($F256,OFFSET(enemy_skill_triggers!$A$1,0,0,COUNTA(enemy_skill_triggers!$A:$A),MATCH(N$1,enemy_skill_triggers!$1:$1,0)-MATCH($F$1,enemy_skill_triggers!$1:$1,0)+1),MATCH(N$1,enemy_skill_triggers!$1:$1,0)-MATCH($F$1,enemy_skill_triggers!$1:$1,0)+1,FALSE)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256" s="48">
        <f ca="1">VLOOKUP($F256,OFFSET(enemy_skill_triggers!$A$1,0,0,COUNTA(enemy_skill_triggers!$A:$A),MATCH(O$1,enemy_skill_triggers!$1:$1,0)-MATCH($F$1,enemy_skill_triggers!$1:$1,0)+1),MATCH(O$1,enemy_skill_triggers!$1:$1,0)-MATCH($F$1,enemy_skill_triggers!$1:$1,0)+1,FALSE)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6" s="47"/>
      <c r="Q256" s="47"/>
      <c r="R256" s="47"/>
    </row>
    <row r="257" spans="1:18" ht="21" customHeight="1" x14ac:dyDescent="0.15">
      <c r="A257" s="39" t="str">
        <f t="shared" si="4"/>
        <v>49015020_49015193</v>
      </c>
      <c r="B257" s="106">
        <v>49015020</v>
      </c>
      <c r="C257" s="138">
        <v>49015193</v>
      </c>
      <c r="D257" s="46" t="str">
        <f ca="1">VLOOKUP($C257,OFFSET(enemy_skills!$A$1,0,0,COUNTA(enemy_skills!$A:$A),MATCH(D$1,enemy_skills!$1:$1,0)-MATCH("enemy_skill_id",enemy_skills!$1:$1,0)+1),MATCH(D$1,enemy_skills!$1:$1,0)-MATCH("enemy_skill_id",enemy_skills!$1:$1,0)+1,FALSE)</f>
        <v>貴様たち錬金術師は…</v>
      </c>
      <c r="E257" s="46" t="str">
        <f ca="1">VLOOKUP($C257,OFFSET(enemy_skills!$A$1,0,0,COUNTA(enemy_skills!$A:$A),MATCH(E$1,enemy_skills!$1:$1,0)-MATCH("enemy_skill_id",enemy_skills!$1:$1,0)+1),MATCH(E$1,enemy_skills!$1:$1,0)-MATCH("enemy_skill_id",enemy_skills!$1:$1,0)+1,FALSE)</f>
        <v>悲劇ばかり生み出す…</v>
      </c>
      <c r="F257" s="138">
        <v>49015256</v>
      </c>
      <c r="G257" s="48">
        <f ca="1">VLOOKUP($F257,OFFSET(enemy_skill_triggers!$A$1,0,0,COUNTA(enemy_skill_triggers!$A:$A),MATCH(G$1,enemy_skill_triggers!$1:$1,0)-MATCH($F$1,enemy_skill_triggers!$1:$1,0)+1),MATCH(G$1,enemy_skill_triggers!$1:$1,0)-MATCH($F$1,enemy_skill_triggers!$1:$1,0)+1,FALSE)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7" s="48">
        <f ca="1">VLOOKUP($F257,OFFSET(enemy_skill_triggers!$A$1,0,0,COUNTA(enemy_skill_triggers!$A:$A),MATCH(H$1,enemy_skill_triggers!$1:$1,0)-MATCH($F$1,enemy_skill_triggers!$1:$1,0)+1),MATCH(H$1,enemy_skill_triggers!$1:$1,0)-MATCH($F$1,enemy_skill_triggers!$1:$1,0)+1,FALSE)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57" s="48">
        <f ca="1">VLOOKUP($F257,OFFSET(enemy_skill_triggers!$A$1,0,0,COUNTA(enemy_skill_triggers!$A:$A),MATCH(I$1,enemy_skill_triggers!$1:$1,0)-MATCH($F$1,enemy_skill_triggers!$1:$1,0)+1),MATCH(I$1,enemy_skill_triggers!$1:$1,0)-MATCH($F$1,enemy_skill_triggers!$1:$1,0)+1,FALSE)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7" s="48" t="str">
        <f ca="1">VLOOKUP($F257,OFFSET(enemy_skill_triggers!$A$1,0,0,COUNTA(enemy_skill_triggers!$A:$A),MATCH(J$1,enemy_skill_triggers!$1:$1,0)-MATCH($F$1,enemy_skill_triggers!$1:$1,0)+1),MATCH(J$1,enemy_skill_triggers!$1:$1,0)-MATCH($F$1,enemy_skill_triggers!$1:$1,0)+1,FALSE)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7" s="48" t="str">
        <f ca="1">VLOOKUP($F257,OFFSET(enemy_skill_triggers!$A$1,0,0,COUNTA(enemy_skill_triggers!$A:$A),MATCH(K$1,enemy_skill_triggers!$1:$1,0)-MATCH($F$1,enemy_skill_triggers!$1:$1,0)+1),MATCH(K$1,enemy_skill_triggers!$1:$1,0)-MATCH($F$1,enemy_skill_triggers!$1:$1,0)+1,FALSE)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7" s="48">
        <f ca="1">VLOOKUP($F257,OFFSET(enemy_skill_triggers!$A$1,0,0,COUNTA(enemy_skill_triggers!$A:$A),MATCH(L$1,enemy_skill_triggers!$1:$1,0)-MATCH($F$1,enemy_skill_triggers!$1:$1,0)+1),MATCH(L$1,enemy_skill_triggers!$1:$1,0)-MATCH($F$1,enemy_skill_triggers!$1:$1,0)+1,FALSE)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7" s="48" t="str">
        <f ca="1">VLOOKUP($F257,OFFSET(enemy_skill_triggers!$A$1,0,0,COUNTA(enemy_skill_triggers!$A:$A),MATCH(M$1,enemy_skill_triggers!$1:$1,0)-MATCH($F$1,enemy_skill_triggers!$1:$1,0)+1),MATCH(M$1,enemy_skill_triggers!$1:$1,0)-MATCH($F$1,enemy_skill_triggers!$1:$1,0)+1,FALSE)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7" s="48">
        <f ca="1">VLOOKUP($F257,OFFSET(enemy_skill_triggers!$A$1,0,0,COUNTA(enemy_skill_triggers!$A:$A),MATCH(N$1,enemy_skill_triggers!$1:$1,0)-MATCH($F$1,enemy_skill_triggers!$1:$1,0)+1),MATCH(N$1,enemy_skill_triggers!$1:$1,0)-MATCH($F$1,enemy_skill_triggers!$1:$1,0)+1,FALSE)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257" s="48">
        <f ca="1">VLOOKUP($F257,OFFSET(enemy_skill_triggers!$A$1,0,0,COUNTA(enemy_skill_triggers!$A:$A),MATCH(O$1,enemy_skill_triggers!$1:$1,0)-MATCH($F$1,enemy_skill_triggers!$1:$1,0)+1),MATCH(O$1,enemy_skill_triggers!$1:$1,0)-MATCH($F$1,enemy_skill_triggers!$1:$1,0)+1,FALSE)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7" s="47"/>
      <c r="Q257" s="47"/>
      <c r="R257" s="47"/>
    </row>
    <row r="258" spans="1:18" ht="21" customHeight="1" x14ac:dyDescent="0.15">
      <c r="A258" s="39" t="str">
        <f t="shared" si="4"/>
        <v>49015020_49015193</v>
      </c>
      <c r="B258" s="106">
        <v>49015020</v>
      </c>
      <c r="C258" s="138">
        <v>49015193</v>
      </c>
      <c r="D258" s="46" t="str">
        <f ca="1">VLOOKUP($C258,OFFSET(enemy_skills!$A$1,0,0,COUNTA(enemy_skills!$A:$A),MATCH(D$1,enemy_skills!$1:$1,0)-MATCH("enemy_skill_id",enemy_skills!$1:$1,0)+1),MATCH(D$1,enemy_skills!$1:$1,0)-MATCH("enemy_skill_id",enemy_skills!$1:$1,0)+1,FALSE)</f>
        <v>貴様たち錬金術師は…</v>
      </c>
      <c r="E258" s="46" t="str">
        <f ca="1">VLOOKUP($C258,OFFSET(enemy_skills!$A$1,0,0,COUNTA(enemy_skills!$A:$A),MATCH(E$1,enemy_skills!$1:$1,0)-MATCH("enemy_skill_id",enemy_skills!$1:$1,0)+1),MATCH(E$1,enemy_skills!$1:$1,0)-MATCH("enemy_skill_id",enemy_skills!$1:$1,0)+1,FALSE)</f>
        <v>悲劇ばかり生み出す…</v>
      </c>
      <c r="F258" s="138">
        <v>49015257</v>
      </c>
      <c r="G258" s="48">
        <f ca="1">VLOOKUP($F258,OFFSET(enemy_skill_triggers!$A$1,0,0,COUNTA(enemy_skill_triggers!$A:$A),MATCH(G$1,enemy_skill_triggers!$1:$1,0)-MATCH($F$1,enemy_skill_triggers!$1:$1,0)+1),MATCH(G$1,enemy_skill_triggers!$1:$1,0)-MATCH($F$1,enemy_skill_triggers!$1:$1,0)+1,FALSE)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8" s="48">
        <f ca="1">VLOOKUP($F258,OFFSET(enemy_skill_triggers!$A$1,0,0,COUNTA(enemy_skill_triggers!$A:$A),MATCH(H$1,enemy_skill_triggers!$1:$1,0)-MATCH($F$1,enemy_skill_triggers!$1:$1,0)+1),MATCH(H$1,enemy_skill_triggers!$1:$1,0)-MATCH($F$1,enemy_skill_triggers!$1:$1,0)+1,FALSE)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258" s="48">
        <f ca="1">VLOOKUP($F258,OFFSET(enemy_skill_triggers!$A$1,0,0,COUNTA(enemy_skill_triggers!$A:$A),MATCH(I$1,enemy_skill_triggers!$1:$1,0)-MATCH($F$1,enemy_skill_triggers!$1:$1,0)+1),MATCH(I$1,enemy_skill_triggers!$1:$1,0)-MATCH($F$1,enemy_skill_triggers!$1:$1,0)+1,FALSE)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8" s="48" t="str">
        <f ca="1">VLOOKUP($F258,OFFSET(enemy_skill_triggers!$A$1,0,0,COUNTA(enemy_skill_triggers!$A:$A),MATCH(J$1,enemy_skill_triggers!$1:$1,0)-MATCH($F$1,enemy_skill_triggers!$1:$1,0)+1),MATCH(J$1,enemy_skill_triggers!$1:$1,0)-MATCH($F$1,enemy_skill_triggers!$1:$1,0)+1,FALSE)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8" s="48" t="str">
        <f ca="1">VLOOKUP($F258,OFFSET(enemy_skill_triggers!$A$1,0,0,COUNTA(enemy_skill_triggers!$A:$A),MATCH(K$1,enemy_skill_triggers!$1:$1,0)-MATCH($F$1,enemy_skill_triggers!$1:$1,0)+1),MATCH(K$1,enemy_skill_triggers!$1:$1,0)-MATCH($F$1,enemy_skill_triggers!$1:$1,0)+1,FALSE)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8" s="48">
        <f ca="1">VLOOKUP($F258,OFFSET(enemy_skill_triggers!$A$1,0,0,COUNTA(enemy_skill_triggers!$A:$A),MATCH(L$1,enemy_skill_triggers!$1:$1,0)-MATCH($F$1,enemy_skill_triggers!$1:$1,0)+1),MATCH(L$1,enemy_skill_triggers!$1:$1,0)-MATCH($F$1,enemy_skill_triggers!$1:$1,0)+1,FALSE)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8" s="48" t="str">
        <f ca="1">VLOOKUP($F258,OFFSET(enemy_skill_triggers!$A$1,0,0,COUNTA(enemy_skill_triggers!$A:$A),MATCH(M$1,enemy_skill_triggers!$1:$1,0)-MATCH($F$1,enemy_skill_triggers!$1:$1,0)+1),MATCH(M$1,enemy_skill_triggers!$1:$1,0)-MATCH($F$1,enemy_skill_triggers!$1:$1,0)+1,FALSE)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8" s="48">
        <f ca="1">VLOOKUP($F258,OFFSET(enemy_skill_triggers!$A$1,0,0,COUNTA(enemy_skill_triggers!$A:$A),MATCH(N$1,enemy_skill_triggers!$1:$1,0)-MATCH($F$1,enemy_skill_triggers!$1:$1,0)+1),MATCH(N$1,enemy_skill_triggers!$1:$1,0)-MATCH($F$1,enemy_skill_triggers!$1:$1,0)+1,FALSE)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258" s="48">
        <f ca="1">VLOOKUP($F258,OFFSET(enemy_skill_triggers!$A$1,0,0,COUNTA(enemy_skill_triggers!$A:$A),MATCH(O$1,enemy_skill_triggers!$1:$1,0)-MATCH($F$1,enemy_skill_triggers!$1:$1,0)+1),MATCH(O$1,enemy_skill_triggers!$1:$1,0)-MATCH($F$1,enemy_skill_triggers!$1:$1,0)+1,FALSE)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8" s="47"/>
      <c r="Q258" s="47"/>
      <c r="R258" s="47"/>
    </row>
    <row r="259" spans="1:18" ht="21" customHeight="1" x14ac:dyDescent="0.15">
      <c r="A259" s="39" t="str">
        <f t="shared" si="4"/>
        <v>49015020_49015194</v>
      </c>
      <c r="B259" s="106">
        <v>49015020</v>
      </c>
      <c r="C259" s="138">
        <v>49015194</v>
      </c>
      <c r="D259" s="46" t="str">
        <f ca="1">VLOOKUP($C259,OFFSET(enemy_skills!$A$1,0,0,COUNTA(enemy_skills!$A:$A),MATCH(D$1,enemy_skills!$1:$1,0)-MATCH("enemy_skill_id",enemy_skills!$1:$1,0)+1),MATCH(D$1,enemy_skills!$1:$1,0)-MATCH("enemy_skill_id",enemy_skills!$1:$1,0)+1,FALSE)</f>
        <v>焔の錬金術師！貴様の…</v>
      </c>
      <c r="E259" s="46" t="str">
        <f ca="1">VLOOKUP($C259,OFFSET(enemy_skills!$A$1,0,0,COUNTA(enemy_skills!$A:$A),MATCH(E$1,enemy_skills!$1:$1,0)-MATCH("enemy_skill_id",enemy_skills!$1:$1,0)+1),MATCH(E$1,enemy_skills!$1:$1,0)-MATCH("enemy_skill_id",enemy_skills!$1:$1,0)+1,FALSE)</f>
        <v>貴様の業火忘れんぞ！</v>
      </c>
      <c r="F259" s="138">
        <v>49015258</v>
      </c>
      <c r="G259" s="48">
        <f ca="1">VLOOKUP($F259,OFFSET(enemy_skill_triggers!$A$1,0,0,COUNTA(enemy_skill_triggers!$A:$A),MATCH(G$1,enemy_skill_triggers!$1:$1,0)-MATCH($F$1,enemy_skill_triggers!$1:$1,0)+1),MATCH(G$1,enemy_skill_triggers!$1:$1,0)-MATCH($F$1,enemy_skill_triggers!$1:$1,0)+1,FALSE)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9" s="48">
        <f ca="1">VLOOKUP($F259,OFFSET(enemy_skill_triggers!$A$1,0,0,COUNTA(enemy_skill_triggers!$A:$A),MATCH(H$1,enemy_skill_triggers!$1:$1,0)-MATCH($F$1,enemy_skill_triggers!$1:$1,0)+1),MATCH(H$1,enemy_skill_triggers!$1:$1,0)-MATCH($F$1,enemy_skill_triggers!$1:$1,0)+1,FALSE)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59" s="48">
        <f ca="1">VLOOKUP($F259,OFFSET(enemy_skill_triggers!$A$1,0,0,COUNTA(enemy_skill_triggers!$A:$A),MATCH(I$1,enemy_skill_triggers!$1:$1,0)-MATCH($F$1,enemy_skill_triggers!$1:$1,0)+1),MATCH(I$1,enemy_skill_triggers!$1:$1,0)-MATCH($F$1,enemy_skill_triggers!$1:$1,0)+1,FALSE)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9" s="48" t="str">
        <f ca="1">VLOOKUP($F259,OFFSET(enemy_skill_triggers!$A$1,0,0,COUNTA(enemy_skill_triggers!$A:$A),MATCH(J$1,enemy_skill_triggers!$1:$1,0)-MATCH($F$1,enemy_skill_triggers!$1:$1,0)+1),MATCH(J$1,enemy_skill_triggers!$1:$1,0)-MATCH($F$1,enemy_skill_triggers!$1:$1,0)+1,FALSE)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9" s="48" t="str">
        <f ca="1">VLOOKUP($F259,OFFSET(enemy_skill_triggers!$A$1,0,0,COUNTA(enemy_skill_triggers!$A:$A),MATCH(K$1,enemy_skill_triggers!$1:$1,0)-MATCH($F$1,enemy_skill_triggers!$1:$1,0)+1),MATCH(K$1,enemy_skill_triggers!$1:$1,0)-MATCH($F$1,enemy_skill_triggers!$1:$1,0)+1,FALSE)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9" s="48">
        <f ca="1">VLOOKUP($F259,OFFSET(enemy_skill_triggers!$A$1,0,0,COUNTA(enemy_skill_triggers!$A:$A),MATCH(L$1,enemy_skill_triggers!$1:$1,0)-MATCH($F$1,enemy_skill_triggers!$1:$1,0)+1),MATCH(L$1,enemy_skill_triggers!$1:$1,0)-MATCH($F$1,enemy_skill_triggers!$1:$1,0)+1,FALSE)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59" s="48" t="str">
        <f ca="1">VLOOKUP($F259,OFFSET(enemy_skill_triggers!$A$1,0,0,COUNTA(enemy_skill_triggers!$A:$A),MATCH(M$1,enemy_skill_triggers!$1:$1,0)-MATCH($F$1,enemy_skill_triggers!$1:$1,0)+1),MATCH(M$1,enemy_skill_triggers!$1:$1,0)-MATCH($F$1,enemy_skill_triggers!$1:$1,0)+1,FALSE)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9" s="48">
        <f ca="1">VLOOKUP($F259,OFFSET(enemy_skill_triggers!$A$1,0,0,COUNTA(enemy_skill_triggers!$A:$A),MATCH(N$1,enemy_skill_triggers!$1:$1,0)-MATCH($F$1,enemy_skill_triggers!$1:$1,0)+1),MATCH(N$1,enemy_skill_triggers!$1:$1,0)-MATCH($F$1,enemy_skill_triggers!$1:$1,0)+1,FALSE)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259" s="48">
        <f ca="1">VLOOKUP($F259,OFFSET(enemy_skill_triggers!$A$1,0,0,COUNTA(enemy_skill_triggers!$A:$A),MATCH(O$1,enemy_skill_triggers!$1:$1,0)-MATCH($F$1,enemy_skill_triggers!$1:$1,0)+1),MATCH(O$1,enemy_skill_triggers!$1:$1,0)-MATCH($F$1,enemy_skill_triggers!$1:$1,0)+1,FALSE)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9" s="47"/>
      <c r="Q259" s="47"/>
      <c r="R259" s="47"/>
    </row>
    <row r="260" spans="1:18" ht="21" customHeight="1" x14ac:dyDescent="0.15">
      <c r="A260" s="39" t="str">
        <f t="shared" si="4"/>
        <v>49015020_49015194</v>
      </c>
      <c r="B260" s="106">
        <v>49015020</v>
      </c>
      <c r="C260" s="138">
        <v>49015194</v>
      </c>
      <c r="D260" s="46" t="str">
        <f ca="1">VLOOKUP($C260,OFFSET(enemy_skills!$A$1,0,0,COUNTA(enemy_skills!$A:$A),MATCH(D$1,enemy_skills!$1:$1,0)-MATCH("enemy_skill_id",enemy_skills!$1:$1,0)+1),MATCH(D$1,enemy_skills!$1:$1,0)-MATCH("enemy_skill_id",enemy_skills!$1:$1,0)+1,FALSE)</f>
        <v>焔の錬金術師！貴様の…</v>
      </c>
      <c r="E260" s="46" t="str">
        <f ca="1">VLOOKUP($C260,OFFSET(enemy_skills!$A$1,0,0,COUNTA(enemy_skills!$A:$A),MATCH(E$1,enemy_skills!$1:$1,0)-MATCH("enemy_skill_id",enemy_skills!$1:$1,0)+1),MATCH(E$1,enemy_skills!$1:$1,0)-MATCH("enemy_skill_id",enemy_skills!$1:$1,0)+1,FALSE)</f>
        <v>貴様の業火忘れんぞ！</v>
      </c>
      <c r="F260" s="138">
        <v>49015259</v>
      </c>
      <c r="G260" s="48">
        <f ca="1">VLOOKUP($F260,OFFSET(enemy_skill_triggers!$A$1,0,0,COUNTA(enemy_skill_triggers!$A:$A),MATCH(G$1,enemy_skill_triggers!$1:$1,0)-MATCH($F$1,enemy_skill_triggers!$1:$1,0)+1),MATCH(G$1,enemy_skill_triggers!$1:$1,0)-MATCH($F$1,enemy_skill_triggers!$1:$1,0)+1,FALSE)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0" s="48">
        <f ca="1">VLOOKUP($F260,OFFSET(enemy_skill_triggers!$A$1,0,0,COUNTA(enemy_skill_triggers!$A:$A),MATCH(H$1,enemy_skill_triggers!$1:$1,0)-MATCH($F$1,enemy_skill_triggers!$1:$1,0)+1),MATCH(H$1,enemy_skill_triggers!$1:$1,0)-MATCH($F$1,enemy_skill_triggers!$1:$1,0)+1,FALSE)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260" s="48">
        <f ca="1">VLOOKUP($F260,OFFSET(enemy_skill_triggers!$A$1,0,0,COUNTA(enemy_skill_triggers!$A:$A),MATCH(I$1,enemy_skill_triggers!$1:$1,0)-MATCH($F$1,enemy_skill_triggers!$1:$1,0)+1),MATCH(I$1,enemy_skill_triggers!$1:$1,0)-MATCH($F$1,enemy_skill_triggers!$1:$1,0)+1,FALSE)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0" s="48" t="str">
        <f ca="1">VLOOKUP($F260,OFFSET(enemy_skill_triggers!$A$1,0,0,COUNTA(enemy_skill_triggers!$A:$A),MATCH(J$1,enemy_skill_triggers!$1:$1,0)-MATCH($F$1,enemy_skill_triggers!$1:$1,0)+1),MATCH(J$1,enemy_skill_triggers!$1:$1,0)-MATCH($F$1,enemy_skill_triggers!$1:$1,0)+1,FALSE)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0" s="48" t="str">
        <f ca="1">VLOOKUP($F260,OFFSET(enemy_skill_triggers!$A$1,0,0,COUNTA(enemy_skill_triggers!$A:$A),MATCH(K$1,enemy_skill_triggers!$1:$1,0)-MATCH($F$1,enemy_skill_triggers!$1:$1,0)+1),MATCH(K$1,enemy_skill_triggers!$1:$1,0)-MATCH($F$1,enemy_skill_triggers!$1:$1,0)+1,FALSE)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0" s="48">
        <f ca="1">VLOOKUP($F260,OFFSET(enemy_skill_triggers!$A$1,0,0,COUNTA(enemy_skill_triggers!$A:$A),MATCH(L$1,enemy_skill_triggers!$1:$1,0)-MATCH($F$1,enemy_skill_triggers!$1:$1,0)+1),MATCH(L$1,enemy_skill_triggers!$1:$1,0)-MATCH($F$1,enemy_skill_triggers!$1:$1,0)+1,FALSE)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0" s="48" t="str">
        <f ca="1">VLOOKUP($F260,OFFSET(enemy_skill_triggers!$A$1,0,0,COUNTA(enemy_skill_triggers!$A:$A),MATCH(M$1,enemy_skill_triggers!$1:$1,0)-MATCH($F$1,enemy_skill_triggers!$1:$1,0)+1),MATCH(M$1,enemy_skill_triggers!$1:$1,0)-MATCH($F$1,enemy_skill_triggers!$1:$1,0)+1,FALSE)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0" s="48">
        <f ca="1">VLOOKUP($F260,OFFSET(enemy_skill_triggers!$A$1,0,0,COUNTA(enemy_skill_triggers!$A:$A),MATCH(N$1,enemy_skill_triggers!$1:$1,0)-MATCH($F$1,enemy_skill_triggers!$1:$1,0)+1),MATCH(N$1,enemy_skill_triggers!$1:$1,0)-MATCH($F$1,enemy_skill_triggers!$1:$1,0)+1,FALSE)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260" s="48">
        <f ca="1">VLOOKUP($F260,OFFSET(enemy_skill_triggers!$A$1,0,0,COUNTA(enemy_skill_triggers!$A:$A),MATCH(O$1,enemy_skill_triggers!$1:$1,0)-MATCH($F$1,enemy_skill_triggers!$1:$1,0)+1),MATCH(O$1,enemy_skill_triggers!$1:$1,0)-MATCH($F$1,enemy_skill_triggers!$1:$1,0)+1,FALSE)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0" s="47"/>
      <c r="Q260" s="47"/>
      <c r="R260" s="47"/>
    </row>
    <row r="261" spans="1:18" ht="21" customHeight="1" x14ac:dyDescent="0.15">
      <c r="A261" s="39" t="str">
        <f t="shared" si="4"/>
        <v>49015020_49015195</v>
      </c>
      <c r="B261" s="106">
        <v>49015020</v>
      </c>
      <c r="C261" s="138">
        <v>49015195</v>
      </c>
      <c r="D261" s="46" t="str">
        <f ca="1">VLOOKUP($C261,OFFSET(enemy_skills!$A$1,0,0,COUNTA(enemy_skills!$A:$A),MATCH(D$1,enemy_skills!$1:$1,0)-MATCH("enemy_skill_id",enemy_skills!$1:$1,0)+1),MATCH(D$1,enemy_skills!$1:$1,0)-MATCH("enemy_skill_id",enemy_skills!$1:$1,0)+1,FALSE)</f>
        <v>俺の…志半ばで…</v>
      </c>
      <c r="E261" s="46" t="str">
        <f ca="1">VLOOKUP($C261,OFFSET(enemy_skills!$A$1,0,0,COUNTA(enemy_skills!$A:$A),MATCH(E$1,enemy_skills!$1:$1,0)-MATCH("enemy_skill_id",enemy_skills!$1:$1,0)+1),MATCH(E$1,enemy_skills!$1:$1,0)-MATCH("enemy_skill_id",enemy_skills!$1:$1,0)+1,FALSE)</f>
        <v>同胞のように撃たれるというのか…</v>
      </c>
      <c r="F261" s="138">
        <v>49015260</v>
      </c>
      <c r="G261" s="48">
        <f ca="1">VLOOKUP($F261,OFFSET(enemy_skill_triggers!$A$1,0,0,COUNTA(enemy_skill_triggers!$A:$A),MATCH(G$1,enemy_skill_triggers!$1:$1,0)-MATCH($F$1,enemy_skill_triggers!$1:$1,0)+1),MATCH(G$1,enemy_skill_triggers!$1:$1,0)-MATCH($F$1,enemy_skill_triggers!$1:$1,0)+1,FALSE)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1" s="48">
        <f ca="1">VLOOKUP($F261,OFFSET(enemy_skill_triggers!$A$1,0,0,COUNTA(enemy_skill_triggers!$A:$A),MATCH(H$1,enemy_skill_triggers!$1:$1,0)-MATCH($F$1,enemy_skill_triggers!$1:$1,0)+1),MATCH(H$1,enemy_skill_triggers!$1:$1,0)-MATCH($F$1,enemy_skill_triggers!$1:$1,0)+1,FALSE)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61" s="48">
        <f ca="1">VLOOKUP($F261,OFFSET(enemy_skill_triggers!$A$1,0,0,COUNTA(enemy_skill_triggers!$A:$A),MATCH(I$1,enemy_skill_triggers!$1:$1,0)-MATCH($F$1,enemy_skill_triggers!$1:$1,0)+1),MATCH(I$1,enemy_skill_triggers!$1:$1,0)-MATCH($F$1,enemy_skill_triggers!$1:$1,0)+1,FALSE)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1" s="48" t="str">
        <f ca="1">VLOOKUP($F261,OFFSET(enemy_skill_triggers!$A$1,0,0,COUNTA(enemy_skill_triggers!$A:$A),MATCH(J$1,enemy_skill_triggers!$1:$1,0)-MATCH($F$1,enemy_skill_triggers!$1:$1,0)+1),MATCH(J$1,enemy_skill_triggers!$1:$1,0)-MATCH($F$1,enemy_skill_triggers!$1:$1,0)+1,FALSE)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1" s="48" t="str">
        <f ca="1">VLOOKUP($F261,OFFSET(enemy_skill_triggers!$A$1,0,0,COUNTA(enemy_skill_triggers!$A:$A),MATCH(K$1,enemy_skill_triggers!$1:$1,0)-MATCH($F$1,enemy_skill_triggers!$1:$1,0)+1),MATCH(K$1,enemy_skill_triggers!$1:$1,0)-MATCH($F$1,enemy_skill_triggers!$1:$1,0)+1,FALSE)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1" s="48">
        <f ca="1">VLOOKUP($F261,OFFSET(enemy_skill_triggers!$A$1,0,0,COUNTA(enemy_skill_triggers!$A:$A),MATCH(L$1,enemy_skill_triggers!$1:$1,0)-MATCH($F$1,enemy_skill_triggers!$1:$1,0)+1),MATCH(L$1,enemy_skill_triggers!$1:$1,0)-MATCH($F$1,enemy_skill_triggers!$1:$1,0)+1,FALSE)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1" s="48" t="str">
        <f ca="1">VLOOKUP($F261,OFFSET(enemy_skill_triggers!$A$1,0,0,COUNTA(enemy_skill_triggers!$A:$A),MATCH(M$1,enemy_skill_triggers!$1:$1,0)-MATCH($F$1,enemy_skill_triggers!$1:$1,0)+1),MATCH(M$1,enemy_skill_triggers!$1:$1,0)-MATCH($F$1,enemy_skill_triggers!$1:$1,0)+1,FALSE)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1" s="48">
        <f ca="1">VLOOKUP($F261,OFFSET(enemy_skill_triggers!$A$1,0,0,COUNTA(enemy_skill_triggers!$A:$A),MATCH(N$1,enemy_skill_triggers!$1:$1,0)-MATCH($F$1,enemy_skill_triggers!$1:$1,0)+1),MATCH(N$1,enemy_skill_triggers!$1:$1,0)-MATCH($F$1,enemy_skill_triggers!$1:$1,0)+1,FALSE)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261" s="48">
        <f ca="1">VLOOKUP($F261,OFFSET(enemy_skill_triggers!$A$1,0,0,COUNTA(enemy_skill_triggers!$A:$A),MATCH(O$1,enemy_skill_triggers!$1:$1,0)-MATCH($F$1,enemy_skill_triggers!$1:$1,0)+1),MATCH(O$1,enemy_skill_triggers!$1:$1,0)-MATCH($F$1,enemy_skill_triggers!$1:$1,0)+1,FALSE)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1" s="47"/>
      <c r="Q261" s="47"/>
      <c r="R261" s="47"/>
    </row>
    <row r="262" spans="1:18" ht="21" customHeight="1" x14ac:dyDescent="0.15">
      <c r="A262" s="39" t="str">
        <f t="shared" si="4"/>
        <v>49015020_49015195</v>
      </c>
      <c r="B262" s="106">
        <v>49015020</v>
      </c>
      <c r="C262" s="138">
        <v>49015195</v>
      </c>
      <c r="D262" s="46" t="str">
        <f ca="1">VLOOKUP($C262,OFFSET(enemy_skills!$A$1,0,0,COUNTA(enemy_skills!$A:$A),MATCH(D$1,enemy_skills!$1:$1,0)-MATCH("enemy_skill_id",enemy_skills!$1:$1,0)+1),MATCH(D$1,enemy_skills!$1:$1,0)-MATCH("enemy_skill_id",enemy_skills!$1:$1,0)+1,FALSE)</f>
        <v>俺の…志半ばで…</v>
      </c>
      <c r="E262" s="46" t="str">
        <f ca="1">VLOOKUP($C262,OFFSET(enemy_skills!$A$1,0,0,COUNTA(enemy_skills!$A:$A),MATCH(E$1,enemy_skills!$1:$1,0)-MATCH("enemy_skill_id",enemy_skills!$1:$1,0)+1),MATCH(E$1,enemy_skills!$1:$1,0)-MATCH("enemy_skill_id",enemy_skills!$1:$1,0)+1,FALSE)</f>
        <v>同胞のように撃たれるというのか…</v>
      </c>
      <c r="F262" s="138">
        <v>49015261</v>
      </c>
      <c r="G262" s="48">
        <f ca="1">VLOOKUP($F262,OFFSET(enemy_skill_triggers!$A$1,0,0,COUNTA(enemy_skill_triggers!$A:$A),MATCH(G$1,enemy_skill_triggers!$1:$1,0)-MATCH($F$1,enemy_skill_triggers!$1:$1,0)+1),MATCH(G$1,enemy_skill_triggers!$1:$1,0)-MATCH($F$1,enemy_skill_triggers!$1:$1,0)+1,FALSE)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2" s="48">
        <f ca="1">VLOOKUP($F262,OFFSET(enemy_skill_triggers!$A$1,0,0,COUNTA(enemy_skill_triggers!$A:$A),MATCH(H$1,enemy_skill_triggers!$1:$1,0)-MATCH($F$1,enemy_skill_triggers!$1:$1,0)+1),MATCH(H$1,enemy_skill_triggers!$1:$1,0)-MATCH($F$1,enemy_skill_triggers!$1:$1,0)+1,FALSE)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262" s="48">
        <f ca="1">VLOOKUP($F262,OFFSET(enemy_skill_triggers!$A$1,0,0,COUNTA(enemy_skill_triggers!$A:$A),MATCH(I$1,enemy_skill_triggers!$1:$1,0)-MATCH($F$1,enemy_skill_triggers!$1:$1,0)+1),MATCH(I$1,enemy_skill_triggers!$1:$1,0)-MATCH($F$1,enemy_skill_triggers!$1:$1,0)+1,FALSE)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2" s="48" t="str">
        <f ca="1">VLOOKUP($F262,OFFSET(enemy_skill_triggers!$A$1,0,0,COUNTA(enemy_skill_triggers!$A:$A),MATCH(J$1,enemy_skill_triggers!$1:$1,0)-MATCH($F$1,enemy_skill_triggers!$1:$1,0)+1),MATCH(J$1,enemy_skill_triggers!$1:$1,0)-MATCH($F$1,enemy_skill_triggers!$1:$1,0)+1,FALSE)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2" s="48" t="str">
        <f ca="1">VLOOKUP($F262,OFFSET(enemy_skill_triggers!$A$1,0,0,COUNTA(enemy_skill_triggers!$A:$A),MATCH(K$1,enemy_skill_triggers!$1:$1,0)-MATCH($F$1,enemy_skill_triggers!$1:$1,0)+1),MATCH(K$1,enemy_skill_triggers!$1:$1,0)-MATCH($F$1,enemy_skill_triggers!$1:$1,0)+1,FALSE)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2" s="48">
        <f ca="1">VLOOKUP($F262,OFFSET(enemy_skill_triggers!$A$1,0,0,COUNTA(enemy_skill_triggers!$A:$A),MATCH(L$1,enemy_skill_triggers!$1:$1,0)-MATCH($F$1,enemy_skill_triggers!$1:$1,0)+1),MATCH(L$1,enemy_skill_triggers!$1:$1,0)-MATCH($F$1,enemy_skill_triggers!$1:$1,0)+1,FALSE)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2" s="48" t="str">
        <f ca="1">VLOOKUP($F262,OFFSET(enemy_skill_triggers!$A$1,0,0,COUNTA(enemy_skill_triggers!$A:$A),MATCH(M$1,enemy_skill_triggers!$1:$1,0)-MATCH($F$1,enemy_skill_triggers!$1:$1,0)+1),MATCH(M$1,enemy_skill_triggers!$1:$1,0)-MATCH($F$1,enemy_skill_triggers!$1:$1,0)+1,FALSE)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2" s="48">
        <f ca="1">VLOOKUP($F262,OFFSET(enemy_skill_triggers!$A$1,0,0,COUNTA(enemy_skill_triggers!$A:$A),MATCH(N$1,enemy_skill_triggers!$1:$1,0)-MATCH($F$1,enemy_skill_triggers!$1:$1,0)+1),MATCH(N$1,enemy_skill_triggers!$1:$1,0)-MATCH($F$1,enemy_skill_triggers!$1:$1,0)+1,FALSE)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262" s="48">
        <f ca="1">VLOOKUP($F262,OFFSET(enemy_skill_triggers!$A$1,0,0,COUNTA(enemy_skill_triggers!$A:$A),MATCH(O$1,enemy_skill_triggers!$1:$1,0)-MATCH($F$1,enemy_skill_triggers!$1:$1,0)+1),MATCH(O$1,enemy_skill_triggers!$1:$1,0)-MATCH($F$1,enemy_skill_triggers!$1:$1,0)+1,FALSE)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2" s="47"/>
      <c r="Q262" s="47"/>
      <c r="R262" s="47"/>
    </row>
    <row r="263" spans="1:18" ht="21" customHeight="1" x14ac:dyDescent="0.15">
      <c r="A263" s="39" t="str">
        <f t="shared" si="4"/>
        <v>49015020_49015196</v>
      </c>
      <c r="B263" s="106">
        <v>49015020</v>
      </c>
      <c r="C263" s="138">
        <v>49015196</v>
      </c>
      <c r="D263" s="46" t="str">
        <f ca="1">VLOOKUP($C263,OFFSET(enemy_skills!$A$1,0,0,COUNTA(enemy_skills!$A:$A),MATCH(D$1,enemy_skills!$1:$1,0)-MATCH("enemy_skill_id",enemy_skills!$1:$1,0)+1),MATCH(D$1,enemy_skills!$1:$1,0)-MATCH("enemy_skill_id",enemy_skills!$1:$1,0)+1,FALSE)</f>
        <v>我らの恨み…晴らすことかなわず…</v>
      </c>
      <c r="E263" s="46" t="str">
        <f ca="1">VLOOKUP($C263,OFFSET(enemy_skills!$A$1,0,0,COUNTA(enemy_skills!$A:$A),MATCH(E$1,enemy_skills!$1:$1,0)-MATCH("enemy_skill_id",enemy_skills!$1:$1,0)+1),MATCH(E$1,enemy_skills!$1:$1,0)-MATCH("enemy_skill_id",enemy_skills!$1:$1,0)+1,FALSE)</f>
        <v>俺も兄者の元に…</v>
      </c>
      <c r="F263" s="138">
        <v>49015262</v>
      </c>
      <c r="G263" s="48">
        <f ca="1">VLOOKUP($F263,OFFSET(enemy_skill_triggers!$A$1,0,0,COUNTA(enemy_skill_triggers!$A:$A),MATCH(G$1,enemy_skill_triggers!$1:$1,0)-MATCH($F$1,enemy_skill_triggers!$1:$1,0)+1),MATCH(G$1,enemy_skill_triggers!$1:$1,0)-MATCH($F$1,enemy_skill_triggers!$1:$1,0)+1,FALSE)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3" s="48">
        <f ca="1">VLOOKUP($F263,OFFSET(enemy_skill_triggers!$A$1,0,0,COUNTA(enemy_skill_triggers!$A:$A),MATCH(H$1,enemy_skill_triggers!$1:$1,0)-MATCH($F$1,enemy_skill_triggers!$1:$1,0)+1),MATCH(H$1,enemy_skill_triggers!$1:$1,0)-MATCH($F$1,enemy_skill_triggers!$1:$1,0)+1,FALSE)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63" s="48">
        <f ca="1">VLOOKUP($F263,OFFSET(enemy_skill_triggers!$A$1,0,0,COUNTA(enemy_skill_triggers!$A:$A),MATCH(I$1,enemy_skill_triggers!$1:$1,0)-MATCH($F$1,enemy_skill_triggers!$1:$1,0)+1),MATCH(I$1,enemy_skill_triggers!$1:$1,0)-MATCH($F$1,enemy_skill_triggers!$1:$1,0)+1,FALSE)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3" s="48" t="str">
        <f ca="1">VLOOKUP($F263,OFFSET(enemy_skill_triggers!$A$1,0,0,COUNTA(enemy_skill_triggers!$A:$A),MATCH(J$1,enemy_skill_triggers!$1:$1,0)-MATCH($F$1,enemy_skill_triggers!$1:$1,0)+1),MATCH(J$1,enemy_skill_triggers!$1:$1,0)-MATCH($F$1,enemy_skill_triggers!$1:$1,0)+1,FALSE)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3" s="48" t="str">
        <f ca="1">VLOOKUP($F263,OFFSET(enemy_skill_triggers!$A$1,0,0,COUNTA(enemy_skill_triggers!$A:$A),MATCH(K$1,enemy_skill_triggers!$1:$1,0)-MATCH($F$1,enemy_skill_triggers!$1:$1,0)+1),MATCH(K$1,enemy_skill_triggers!$1:$1,0)-MATCH($F$1,enemy_skill_triggers!$1:$1,0)+1,FALSE)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3" s="48">
        <f ca="1">VLOOKUP($F263,OFFSET(enemy_skill_triggers!$A$1,0,0,COUNTA(enemy_skill_triggers!$A:$A),MATCH(L$1,enemy_skill_triggers!$1:$1,0)-MATCH($F$1,enemy_skill_triggers!$1:$1,0)+1),MATCH(L$1,enemy_skill_triggers!$1:$1,0)-MATCH($F$1,enemy_skill_triggers!$1:$1,0)+1,FALSE)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3" s="48" t="str">
        <f ca="1">VLOOKUP($F263,OFFSET(enemy_skill_triggers!$A$1,0,0,COUNTA(enemy_skill_triggers!$A:$A),MATCH(M$1,enemy_skill_triggers!$1:$1,0)-MATCH($F$1,enemy_skill_triggers!$1:$1,0)+1),MATCH(M$1,enemy_skill_triggers!$1:$1,0)-MATCH($F$1,enemy_skill_triggers!$1:$1,0)+1,FALSE)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3" s="48">
        <f ca="1">VLOOKUP($F263,OFFSET(enemy_skill_triggers!$A$1,0,0,COUNTA(enemy_skill_triggers!$A:$A),MATCH(N$1,enemy_skill_triggers!$1:$1,0)-MATCH($F$1,enemy_skill_triggers!$1:$1,0)+1),MATCH(N$1,enemy_skill_triggers!$1:$1,0)-MATCH($F$1,enemy_skill_triggers!$1:$1,0)+1,FALSE)</f>
        <v>1469</v>
      </c>
      <c r="O263" s="48">
        <f ca="1">VLOOKUP($F263,OFFSET(enemy_skill_triggers!$A$1,0,0,COUNTA(enemy_skill_triggers!$A:$A),MATCH(O$1,enemy_skill_triggers!$1:$1,0)-MATCH($F$1,enemy_skill_triggers!$1:$1,0)+1),MATCH(O$1,enemy_skill_triggers!$1:$1,0)-MATCH($F$1,enemy_skill_triggers!$1:$1,0)+1,FALSE)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3" s="47"/>
      <c r="Q263" s="47"/>
      <c r="R263" s="47"/>
    </row>
    <row r="264" spans="1:18" ht="21" customHeight="1" x14ac:dyDescent="0.15">
      <c r="A264" s="39" t="str">
        <f t="shared" si="4"/>
        <v>49015020_49015197</v>
      </c>
      <c r="B264" s="106">
        <v>49015020</v>
      </c>
      <c r="C264" s="138">
        <v>49015197</v>
      </c>
      <c r="D264" s="46" t="str">
        <f ca="1">VLOOKUP($C264,OFFSET(enemy_skills!$A$1,0,0,COUNTA(enemy_skills!$A:$A),MATCH(D$1,enemy_skills!$1:$1,0)-MATCH("enemy_skill_id",enemy_skills!$1:$1,0)+1),MATCH(D$1,enemy_skills!$1:$1,0)-MATCH("enemy_skill_id",enemy_skills!$1:$1,0)+1,FALSE)</f>
        <v>イシュヴァールの同胞たちよ…</v>
      </c>
      <c r="E264" s="46" t="str">
        <f ca="1">VLOOKUP($C264,OFFSET(enemy_skills!$A$1,0,0,COUNTA(enemy_skills!$A:$A),MATCH(E$1,enemy_skills!$1:$1,0)-MATCH("enemy_skill_id",enemy_skills!$1:$1,0)+1),MATCH(E$1,enemy_skills!$1:$1,0)-MATCH("enemy_skill_id",enemy_skills!$1:$1,0)+1,FALSE)</f>
        <v>今…向かいます…</v>
      </c>
      <c r="F264" s="138">
        <v>49015263</v>
      </c>
      <c r="G264" s="48">
        <f ca="1">VLOOKUP($F264,OFFSET(enemy_skill_triggers!$A$1,0,0,COUNTA(enemy_skill_triggers!$A:$A),MATCH(G$1,enemy_skill_triggers!$1:$1,0)-MATCH($F$1,enemy_skill_triggers!$1:$1,0)+1),MATCH(G$1,enemy_skill_triggers!$1:$1,0)-MATCH($F$1,enemy_skill_triggers!$1:$1,0)+1,FALSE)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4" s="48">
        <f ca="1">VLOOKUP($F264,OFFSET(enemy_skill_triggers!$A$1,0,0,COUNTA(enemy_skill_triggers!$A:$A),MATCH(H$1,enemy_skill_triggers!$1:$1,0)-MATCH($F$1,enemy_skill_triggers!$1:$1,0)+1),MATCH(H$1,enemy_skill_triggers!$1:$1,0)-MATCH($F$1,enemy_skill_triggers!$1:$1,0)+1,FALSE)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64" s="48">
        <f ca="1">VLOOKUP($F264,OFFSET(enemy_skill_triggers!$A$1,0,0,COUNTA(enemy_skill_triggers!$A:$A),MATCH(I$1,enemy_skill_triggers!$1:$1,0)-MATCH($F$1,enemy_skill_triggers!$1:$1,0)+1),MATCH(I$1,enemy_skill_triggers!$1:$1,0)-MATCH($F$1,enemy_skill_triggers!$1:$1,0)+1,FALSE)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4" s="48" t="str">
        <f ca="1">VLOOKUP($F264,OFFSET(enemy_skill_triggers!$A$1,0,0,COUNTA(enemy_skill_triggers!$A:$A),MATCH(J$1,enemy_skill_triggers!$1:$1,0)-MATCH($F$1,enemy_skill_triggers!$1:$1,0)+1),MATCH(J$1,enemy_skill_triggers!$1:$1,0)-MATCH($F$1,enemy_skill_triggers!$1:$1,0)+1,FALSE)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4" s="48" t="str">
        <f ca="1">VLOOKUP($F264,OFFSET(enemy_skill_triggers!$A$1,0,0,COUNTA(enemy_skill_triggers!$A:$A),MATCH(K$1,enemy_skill_triggers!$1:$1,0)-MATCH($F$1,enemy_skill_triggers!$1:$1,0)+1),MATCH(K$1,enemy_skill_triggers!$1:$1,0)-MATCH($F$1,enemy_skill_triggers!$1:$1,0)+1,FALSE)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4" s="48">
        <f ca="1">VLOOKUP($F264,OFFSET(enemy_skill_triggers!$A$1,0,0,COUNTA(enemy_skill_triggers!$A:$A),MATCH(L$1,enemy_skill_triggers!$1:$1,0)-MATCH($F$1,enemy_skill_triggers!$1:$1,0)+1),MATCH(L$1,enemy_skill_triggers!$1:$1,0)-MATCH($F$1,enemy_skill_triggers!$1:$1,0)+1,FALSE)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4" s="48" t="str">
        <f ca="1">VLOOKUP($F264,OFFSET(enemy_skill_triggers!$A$1,0,0,COUNTA(enemy_skill_triggers!$A:$A),MATCH(M$1,enemy_skill_triggers!$1:$1,0)-MATCH($F$1,enemy_skill_triggers!$1:$1,0)+1),MATCH(M$1,enemy_skill_triggers!$1:$1,0)-MATCH($F$1,enemy_skill_triggers!$1:$1,0)+1,FALSE)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4" s="48">
        <f ca="1">VLOOKUP($F264,OFFSET(enemy_skill_triggers!$A$1,0,0,COUNTA(enemy_skill_triggers!$A:$A),MATCH(N$1,enemy_skill_triggers!$1:$1,0)-MATCH($F$1,enemy_skill_triggers!$1:$1,0)+1),MATCH(N$1,enemy_skill_triggers!$1:$1,0)-MATCH($F$1,enemy_skill_triggers!$1:$1,0)+1,FALSE)</f>
        <v>1468</v>
      </c>
      <c r="O264" s="48">
        <f ca="1">VLOOKUP($F264,OFFSET(enemy_skill_triggers!$A$1,0,0,COUNTA(enemy_skill_triggers!$A:$A),MATCH(O$1,enemy_skill_triggers!$1:$1,0)-MATCH($F$1,enemy_skill_triggers!$1:$1,0)+1),MATCH(O$1,enemy_skill_triggers!$1:$1,0)-MATCH($F$1,enemy_skill_triggers!$1:$1,0)+1,FALSE)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4" s="47"/>
      <c r="Q264" s="47"/>
      <c r="R264" s="47"/>
    </row>
    <row r="265" spans="1:18" ht="21" customHeight="1" thickBot="1" x14ac:dyDescent="0.2">
      <c r="A265" s="39" t="str">
        <f t="shared" si="4"/>
        <v>49015020_49015198</v>
      </c>
      <c r="B265" s="111">
        <v>49015020</v>
      </c>
      <c r="C265" s="137">
        <v>49015198</v>
      </c>
      <c r="D265" s="145" t="str">
        <f ca="1">VLOOKUP($C265,OFFSET(enemy_skills!$A$1,0,0,COUNTA(enemy_skills!$A:$A),MATCH(D$1,enemy_skills!$1:$1,0)-MATCH("enemy_skill_id",enemy_skills!$1:$1,0)+1),MATCH(D$1,enemy_skills!$1:$1,0)-MATCH("enemy_skill_id",enemy_skills!$1:$1,0)+1,FALSE)</f>
        <v>ホムンクルスとは…</v>
      </c>
      <c r="E265" s="145" t="str">
        <f ca="1">VLOOKUP($C265,OFFSET(enemy_skills!$A$1,0,0,COUNTA(enemy_skills!$A:$A),MATCH(E$1,enemy_skills!$1:$1,0)-MATCH("enemy_skill_id",enemy_skills!$1:$1,0)+1),MATCH(E$1,enemy_skills!$1:$1,0)-MATCH("enemy_skill_id",enemy_skills!$1:$1,0)+1,FALSE)</f>
        <v>俺もまだ修練が足りんということか…</v>
      </c>
      <c r="F265" s="137">
        <v>49015264</v>
      </c>
      <c r="G265" s="114">
        <f ca="1">VLOOKUP($F265,OFFSET(enemy_skill_triggers!$A$1,0,0,COUNTA(enemy_skill_triggers!$A:$A),MATCH(G$1,enemy_skill_triggers!$1:$1,0)-MATCH($F$1,enemy_skill_triggers!$1:$1,0)+1),MATCH(G$1,enemy_skill_triggers!$1:$1,0)-MATCH($F$1,enemy_skill_triggers!$1:$1,0)+1,FALSE)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5" s="114">
        <f ca="1">VLOOKUP($F265,OFFSET(enemy_skill_triggers!$A$1,0,0,COUNTA(enemy_skill_triggers!$A:$A),MATCH(H$1,enemy_skill_triggers!$1:$1,0)-MATCH($F$1,enemy_skill_triggers!$1:$1,0)+1),MATCH(H$1,enemy_skill_triggers!$1:$1,0)-MATCH($F$1,enemy_skill_triggers!$1:$1,0)+1,FALSE)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65" s="114">
        <f ca="1">VLOOKUP($F265,OFFSET(enemy_skill_triggers!$A$1,0,0,COUNTA(enemy_skill_triggers!$A:$A),MATCH(I$1,enemy_skill_triggers!$1:$1,0)-MATCH($F$1,enemy_skill_triggers!$1:$1,0)+1),MATCH(I$1,enemy_skill_triggers!$1:$1,0)-MATCH($F$1,enemy_skill_triggers!$1:$1,0)+1,FALSE)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5" s="114" t="str">
        <f ca="1">VLOOKUP($F265,OFFSET(enemy_skill_triggers!$A$1,0,0,COUNTA(enemy_skill_triggers!$A:$A),MATCH(J$1,enemy_skill_triggers!$1:$1,0)-MATCH($F$1,enemy_skill_triggers!$1:$1,0)+1),MATCH(J$1,enemy_skill_triggers!$1:$1,0)-MATCH($F$1,enemy_skill_triggers!$1:$1,0)+1,FALSE)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5" s="114" t="str">
        <f ca="1">VLOOKUP($F265,OFFSET(enemy_skill_triggers!$A$1,0,0,COUNTA(enemy_skill_triggers!$A:$A),MATCH(K$1,enemy_skill_triggers!$1:$1,0)-MATCH($F$1,enemy_skill_triggers!$1:$1,0)+1),MATCH(K$1,enemy_skill_triggers!$1:$1,0)-MATCH($F$1,enemy_skill_triggers!$1:$1,0)+1,FALSE)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5" s="114">
        <f ca="1">VLOOKUP($F265,OFFSET(enemy_skill_triggers!$A$1,0,0,COUNTA(enemy_skill_triggers!$A:$A),MATCH(L$1,enemy_skill_triggers!$1:$1,0)-MATCH($F$1,enemy_skill_triggers!$1:$1,0)+1),MATCH(L$1,enemy_skill_triggers!$1:$1,0)-MATCH($F$1,enemy_skill_triggers!$1:$1,0)+1,FALSE)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5" s="114" t="str">
        <f ca="1">VLOOKUP($F265,OFFSET(enemy_skill_triggers!$A$1,0,0,COUNTA(enemy_skill_triggers!$A:$A),MATCH(M$1,enemy_skill_triggers!$1:$1,0)-MATCH($F$1,enemy_skill_triggers!$1:$1,0)+1),MATCH(M$1,enemy_skill_triggers!$1:$1,0)-MATCH($F$1,enemy_skill_triggers!$1:$1,0)+1,FALSE)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5" s="114">
        <f ca="1">VLOOKUP($F265,OFFSET(enemy_skill_triggers!$A$1,0,0,COUNTA(enemy_skill_triggers!$A:$A),MATCH(N$1,enemy_skill_triggers!$1:$1,0)-MATCH($F$1,enemy_skill_triggers!$1:$1,0)+1),MATCH(N$1,enemy_skill_triggers!$1:$1,0)-MATCH($F$1,enemy_skill_triggers!$1:$1,0)+1,FALSE)</f>
        <v>1470</v>
      </c>
      <c r="O265" s="114">
        <f ca="1">VLOOKUP($F265,OFFSET(enemy_skill_triggers!$A$1,0,0,COUNTA(enemy_skill_triggers!$A:$A),MATCH(O$1,enemy_skill_triggers!$1:$1,0)-MATCH($F$1,enemy_skill_triggers!$1:$1,0)+1),MATCH(O$1,enemy_skill_triggers!$1:$1,0)-MATCH($F$1,enemy_skill_triggers!$1:$1,0)+1,FALSE)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5" s="111"/>
      <c r="Q265" s="111"/>
      <c r="R265" s="111"/>
    </row>
    <row r="266" spans="1:18" ht="21" customHeight="1" x14ac:dyDescent="0.15">
      <c r="A266" s="39" t="str">
        <f t="shared" si="4"/>
        <v>49015021_49015199</v>
      </c>
      <c r="B266" s="47">
        <v>49015021</v>
      </c>
      <c r="C266" s="121">
        <v>49015199</v>
      </c>
      <c r="D266" s="46" t="str">
        <f ca="1">VLOOKUP($C266,OFFSET(enemy_skills!$A$1,0,0,COUNTA(enemy_skills!$A:$A),MATCH(D$1,enemy_skills!$1:$1,0)-MATCH("enemy_skill_id",enemy_skills!$1:$1,0)+1),MATCH(D$1,enemy_skills!$1:$1,0)-MATCH("enemy_skill_id",enemy_skills!$1:$1,0)+1,FALSE)</f>
        <v>君の腕前を試してやろう</v>
      </c>
      <c r="E266" s="46" t="str">
        <f ca="1">VLOOKUP($C266,OFFSET(enemy_skills!$A$1,0,0,COUNTA(enemy_skills!$A:$A),MATCH(E$1,enemy_skills!$1:$1,0)-MATCH("enemy_skill_id",enemy_skills!$1:$1,0)+1),MATCH(E$1,enemy_skills!$1:$1,0)-MATCH("enemy_skill_id",enemy_skills!$1:$1,0)+1,FALSE)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266" s="121">
        <v>49015265</v>
      </c>
      <c r="G266" s="48">
        <f ca="1">VLOOKUP($F266,OFFSET(enemy_skill_triggers!$A$1,0,0,COUNTA(enemy_skill_triggers!$A:$A),MATCH(G$1,enemy_skill_triggers!$1:$1,0)-MATCH($F$1,enemy_skill_triggers!$1:$1,0)+1),MATCH(G$1,enemy_skill_triggers!$1:$1,0)-MATCH($F$1,enemy_skill_triggers!$1:$1,0)+1,FALSE)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6" s="48">
        <f ca="1">VLOOKUP($F266,OFFSET(enemy_skill_triggers!$A$1,0,0,COUNTA(enemy_skill_triggers!$A:$A),MATCH(H$1,enemy_skill_triggers!$1:$1,0)-MATCH($F$1,enemy_skill_triggers!$1:$1,0)+1),MATCH(H$1,enemy_skill_triggers!$1:$1,0)-MATCH($F$1,enemy_skill_triggers!$1:$1,0)+1,FALSE)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66" s="48">
        <f ca="1">VLOOKUP($F266,OFFSET(enemy_skill_triggers!$A$1,0,0,COUNTA(enemy_skill_triggers!$A:$A),MATCH(I$1,enemy_skill_triggers!$1:$1,0)-MATCH($F$1,enemy_skill_triggers!$1:$1,0)+1),MATCH(I$1,enemy_skill_triggers!$1:$1,0)-MATCH($F$1,enemy_skill_triggers!$1:$1,0)+1,FALSE)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6" s="48" t="str">
        <f ca="1">VLOOKUP($F266,OFFSET(enemy_skill_triggers!$A$1,0,0,COUNTA(enemy_skill_triggers!$A:$A),MATCH(J$1,enemy_skill_triggers!$1:$1,0)-MATCH($F$1,enemy_skill_triggers!$1:$1,0)+1),MATCH(J$1,enemy_skill_triggers!$1:$1,0)-MATCH($F$1,enemy_skill_triggers!$1:$1,0)+1,FALSE)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6" s="48" t="str">
        <f ca="1">VLOOKUP($F266,OFFSET(enemy_skill_triggers!$A$1,0,0,COUNTA(enemy_skill_triggers!$A:$A),MATCH(K$1,enemy_skill_triggers!$1:$1,0)-MATCH($F$1,enemy_skill_triggers!$1:$1,0)+1),MATCH(K$1,enemy_skill_triggers!$1:$1,0)-MATCH($F$1,enemy_skill_triggers!$1:$1,0)+1,FALSE)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6" s="48">
        <f ca="1">VLOOKUP($F266,OFFSET(enemy_skill_triggers!$A$1,0,0,COUNTA(enemy_skill_triggers!$A:$A),MATCH(L$1,enemy_skill_triggers!$1:$1,0)-MATCH($F$1,enemy_skill_triggers!$1:$1,0)+1),MATCH(L$1,enemy_skill_triggers!$1:$1,0)-MATCH($F$1,enemy_skill_triggers!$1:$1,0)+1,FALSE)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6" s="48" t="str">
        <f ca="1">VLOOKUP($F266,OFFSET(enemy_skill_triggers!$A$1,0,0,COUNTA(enemy_skill_triggers!$A:$A),MATCH(M$1,enemy_skill_triggers!$1:$1,0)-MATCH($F$1,enemy_skill_triggers!$1:$1,0)+1),MATCH(M$1,enemy_skill_triggers!$1:$1,0)-MATCH($F$1,enemy_skill_triggers!$1:$1,0)+1,FALSE)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6" s="48" t="str">
        <f ca="1">VLOOKUP($F266,OFFSET(enemy_skill_triggers!$A$1,0,0,COUNTA(enemy_skill_triggers!$A:$A),MATCH(N$1,enemy_skill_triggers!$1:$1,0)-MATCH($F$1,enemy_skill_triggers!$1:$1,0)+1),MATCH(N$1,enemy_skill_triggers!$1:$1,0)-MATCH($F$1,enemy_skill_triggers!$1:$1,0)+1,FALSE)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6" s="48">
        <f ca="1">VLOOKUP($F266,OFFSET(enemy_skill_triggers!$A$1,0,0,COUNTA(enemy_skill_triggers!$A:$A),MATCH(O$1,enemy_skill_triggers!$1:$1,0)-MATCH($F$1,enemy_skill_triggers!$1:$1,0)+1),MATCH(O$1,enemy_skill_triggers!$1:$1,0)-MATCH($F$1,enemy_skill_triggers!$1:$1,0)+1,FALSE)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6" s="47"/>
      <c r="Q266" s="47"/>
      <c r="R266" s="47"/>
    </row>
    <row r="267" spans="1:18" ht="21" customHeight="1" x14ac:dyDescent="0.15">
      <c r="A267" s="39" t="str">
        <f t="shared" si="4"/>
        <v>49015021_49015200</v>
      </c>
      <c r="B267" s="47">
        <v>49015021</v>
      </c>
      <c r="C267" s="121">
        <v>49015200</v>
      </c>
      <c r="D267" s="46" t="str">
        <f ca="1">VLOOKUP($C267,OFFSET(enemy_skills!$A$1,0,0,COUNTA(enemy_skills!$A:$A),MATCH(D$1,enemy_skills!$1:$1,0)-MATCH("enemy_skill_id",enemy_skills!$1:$1,0)+1),MATCH(D$1,enemy_skills!$1:$1,0)-MATCH("enemy_skill_id",enemy_skills!$1:$1,0)+1,FALSE)</f>
        <v>私を越えていこうというのかね？</v>
      </c>
      <c r="E267" s="46" t="str">
        <f ca="1">VLOOKUP($C267,OFFSET(enemy_skills!$A$1,0,0,COUNTA(enemy_skills!$A:$A),MATCH(E$1,enemy_skills!$1:$1,0)-MATCH("enemy_skill_id",enemy_skills!$1:$1,0)+1),MATCH(E$1,enemy_skills!$1:$1,0)-MATCH("enemy_skill_id",enemy_skills!$1:$1,0)+1,FALSE)</f>
        <v>面白い！かかって来たまえ鋼の錬金術師！</v>
      </c>
      <c r="F267" s="121">
        <v>49015266</v>
      </c>
      <c r="G267" s="48">
        <f ca="1">VLOOKUP($F267,OFFSET(enemy_skill_triggers!$A$1,0,0,COUNTA(enemy_skill_triggers!$A:$A),MATCH(G$1,enemy_skill_triggers!$1:$1,0)-MATCH($F$1,enemy_skill_triggers!$1:$1,0)+1),MATCH(G$1,enemy_skill_triggers!$1:$1,0)-MATCH($F$1,enemy_skill_triggers!$1:$1,0)+1,FALSE)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7" s="48">
        <f ca="1">VLOOKUP($F267,OFFSET(enemy_skill_triggers!$A$1,0,0,COUNTA(enemy_skill_triggers!$A:$A),MATCH(H$1,enemy_skill_triggers!$1:$1,0)-MATCH($F$1,enemy_skill_triggers!$1:$1,0)+1),MATCH(H$1,enemy_skill_triggers!$1:$1,0)-MATCH($F$1,enemy_skill_triggers!$1:$1,0)+1,FALSE)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67" s="48">
        <f ca="1">VLOOKUP($F267,OFFSET(enemy_skill_triggers!$A$1,0,0,COUNTA(enemy_skill_triggers!$A:$A),MATCH(I$1,enemy_skill_triggers!$1:$1,0)-MATCH($F$1,enemy_skill_triggers!$1:$1,0)+1),MATCH(I$1,enemy_skill_triggers!$1:$1,0)-MATCH($F$1,enemy_skill_triggers!$1:$1,0)+1,FALSE)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7" s="48" t="str">
        <f ca="1">VLOOKUP($F267,OFFSET(enemy_skill_triggers!$A$1,0,0,COUNTA(enemy_skill_triggers!$A:$A),MATCH(J$1,enemy_skill_triggers!$1:$1,0)-MATCH($F$1,enemy_skill_triggers!$1:$1,0)+1),MATCH(J$1,enemy_skill_triggers!$1:$1,0)-MATCH($F$1,enemy_skill_triggers!$1:$1,0)+1,FALSE)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7" s="48" t="str">
        <f ca="1">VLOOKUP($F267,OFFSET(enemy_skill_triggers!$A$1,0,0,COUNTA(enemy_skill_triggers!$A:$A),MATCH(K$1,enemy_skill_triggers!$1:$1,0)-MATCH($F$1,enemy_skill_triggers!$1:$1,0)+1),MATCH(K$1,enemy_skill_triggers!$1:$1,0)-MATCH($F$1,enemy_skill_triggers!$1:$1,0)+1,FALSE)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7" s="48">
        <f ca="1">VLOOKUP($F267,OFFSET(enemy_skill_triggers!$A$1,0,0,COUNTA(enemy_skill_triggers!$A:$A),MATCH(L$1,enemy_skill_triggers!$1:$1,0)-MATCH($F$1,enemy_skill_triggers!$1:$1,0)+1),MATCH(L$1,enemy_skill_triggers!$1:$1,0)-MATCH($F$1,enemy_skill_triggers!$1:$1,0)+1,FALSE)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7" s="48" t="str">
        <f ca="1">VLOOKUP($F267,OFFSET(enemy_skill_triggers!$A$1,0,0,COUNTA(enemy_skill_triggers!$A:$A),MATCH(M$1,enemy_skill_triggers!$1:$1,0)-MATCH($F$1,enemy_skill_triggers!$1:$1,0)+1),MATCH(M$1,enemy_skill_triggers!$1:$1,0)-MATCH($F$1,enemy_skill_triggers!$1:$1,0)+1,FALSE)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7" s="48">
        <f ca="1">VLOOKUP($F267,OFFSET(enemy_skill_triggers!$A$1,0,0,COUNTA(enemy_skill_triggers!$A:$A),MATCH(N$1,enemy_skill_triggers!$1:$1,0)-MATCH($F$1,enemy_skill_triggers!$1:$1,0)+1),MATCH(N$1,enemy_skill_triggers!$1:$1,0)-MATCH($F$1,enemy_skill_triggers!$1:$1,0)+1,FALSE)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267" s="48">
        <f ca="1">VLOOKUP($F267,OFFSET(enemy_skill_triggers!$A$1,0,0,COUNTA(enemy_skill_triggers!$A:$A),MATCH(O$1,enemy_skill_triggers!$1:$1,0)-MATCH($F$1,enemy_skill_triggers!$1:$1,0)+1),MATCH(O$1,enemy_skill_triggers!$1:$1,0)-MATCH($F$1,enemy_skill_triggers!$1:$1,0)+1,FALSE)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7" s="47"/>
      <c r="Q267" s="47"/>
      <c r="R267" s="47"/>
    </row>
    <row r="268" spans="1:18" ht="21" customHeight="1" x14ac:dyDescent="0.15">
      <c r="A268" s="39" t="str">
        <f t="shared" si="4"/>
        <v>49015021_49015200</v>
      </c>
      <c r="B268" s="47">
        <v>49015021</v>
      </c>
      <c r="C268" s="121">
        <v>49015200</v>
      </c>
      <c r="D268" s="46" t="str">
        <f ca="1">VLOOKUP($C268,OFFSET(enemy_skills!$A$1,0,0,COUNTA(enemy_skills!$A:$A),MATCH(D$1,enemy_skills!$1:$1,0)-MATCH("enemy_skill_id",enemy_skills!$1:$1,0)+1),MATCH(D$1,enemy_skills!$1:$1,0)-MATCH("enemy_skill_id",enemy_skills!$1:$1,0)+1,FALSE)</f>
        <v>私を越えていこうというのかね？</v>
      </c>
      <c r="E268" s="46" t="str">
        <f ca="1">VLOOKUP($C268,OFFSET(enemy_skills!$A$1,0,0,COUNTA(enemy_skills!$A:$A),MATCH(E$1,enemy_skills!$1:$1,0)-MATCH("enemy_skill_id",enemy_skills!$1:$1,0)+1),MATCH(E$1,enemy_skills!$1:$1,0)-MATCH("enemy_skill_id",enemy_skills!$1:$1,0)+1,FALSE)</f>
        <v>面白い！かかって来たまえ鋼の錬金術師！</v>
      </c>
      <c r="F268" s="121">
        <v>49015267</v>
      </c>
      <c r="G268" s="48">
        <f ca="1">VLOOKUP($F268,OFFSET(enemy_skill_triggers!$A$1,0,0,COUNTA(enemy_skill_triggers!$A:$A),MATCH(G$1,enemy_skill_triggers!$1:$1,0)-MATCH($F$1,enemy_skill_triggers!$1:$1,0)+1),MATCH(G$1,enemy_skill_triggers!$1:$1,0)-MATCH($F$1,enemy_skill_triggers!$1:$1,0)+1,FALSE)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8" s="48">
        <f ca="1">VLOOKUP($F268,OFFSET(enemy_skill_triggers!$A$1,0,0,COUNTA(enemy_skill_triggers!$A:$A),MATCH(H$1,enemy_skill_triggers!$1:$1,0)-MATCH($F$1,enemy_skill_triggers!$1:$1,0)+1),MATCH(H$1,enemy_skill_triggers!$1:$1,0)-MATCH($F$1,enemy_skill_triggers!$1:$1,0)+1,FALSE)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268" s="48">
        <f ca="1">VLOOKUP($F268,OFFSET(enemy_skill_triggers!$A$1,0,0,COUNTA(enemy_skill_triggers!$A:$A),MATCH(I$1,enemy_skill_triggers!$1:$1,0)-MATCH($F$1,enemy_skill_triggers!$1:$1,0)+1),MATCH(I$1,enemy_skill_triggers!$1:$1,0)-MATCH($F$1,enemy_skill_triggers!$1:$1,0)+1,FALSE)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8" s="48" t="str">
        <f ca="1">VLOOKUP($F268,OFFSET(enemy_skill_triggers!$A$1,0,0,COUNTA(enemy_skill_triggers!$A:$A),MATCH(J$1,enemy_skill_triggers!$1:$1,0)-MATCH($F$1,enemy_skill_triggers!$1:$1,0)+1),MATCH(J$1,enemy_skill_triggers!$1:$1,0)-MATCH($F$1,enemy_skill_triggers!$1:$1,0)+1,FALSE)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8" s="48" t="str">
        <f ca="1">VLOOKUP($F268,OFFSET(enemy_skill_triggers!$A$1,0,0,COUNTA(enemy_skill_triggers!$A:$A),MATCH(K$1,enemy_skill_triggers!$1:$1,0)-MATCH($F$1,enemy_skill_triggers!$1:$1,0)+1),MATCH(K$1,enemy_skill_triggers!$1:$1,0)-MATCH($F$1,enemy_skill_triggers!$1:$1,0)+1,FALSE)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8" s="48">
        <f ca="1">VLOOKUP($F268,OFFSET(enemy_skill_triggers!$A$1,0,0,COUNTA(enemy_skill_triggers!$A:$A),MATCH(L$1,enemy_skill_triggers!$1:$1,0)-MATCH($F$1,enemy_skill_triggers!$1:$1,0)+1),MATCH(L$1,enemy_skill_triggers!$1:$1,0)-MATCH($F$1,enemy_skill_triggers!$1:$1,0)+1,FALSE)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8" s="48" t="str">
        <f ca="1">VLOOKUP($F268,OFFSET(enemy_skill_triggers!$A$1,0,0,COUNTA(enemy_skill_triggers!$A:$A),MATCH(M$1,enemy_skill_triggers!$1:$1,0)-MATCH($F$1,enemy_skill_triggers!$1:$1,0)+1),MATCH(M$1,enemy_skill_triggers!$1:$1,0)-MATCH($F$1,enemy_skill_triggers!$1:$1,0)+1,FALSE)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8" s="48">
        <f ca="1">VLOOKUP($F268,OFFSET(enemy_skill_triggers!$A$1,0,0,COUNTA(enemy_skill_triggers!$A:$A),MATCH(N$1,enemy_skill_triggers!$1:$1,0)-MATCH($F$1,enemy_skill_triggers!$1:$1,0)+1),MATCH(N$1,enemy_skill_triggers!$1:$1,0)-MATCH($F$1,enemy_skill_triggers!$1:$1,0)+1,FALSE)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268" s="48">
        <f ca="1">VLOOKUP($F268,OFFSET(enemy_skill_triggers!$A$1,0,0,COUNTA(enemy_skill_triggers!$A:$A),MATCH(O$1,enemy_skill_triggers!$1:$1,0)-MATCH($F$1,enemy_skill_triggers!$1:$1,0)+1),MATCH(O$1,enemy_skill_triggers!$1:$1,0)-MATCH($F$1,enemy_skill_triggers!$1:$1,0)+1,FALSE)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8" s="47"/>
      <c r="Q268" s="47"/>
      <c r="R268" s="47"/>
    </row>
    <row r="269" spans="1:18" ht="21" customHeight="1" x14ac:dyDescent="0.15">
      <c r="A269" s="39" t="str">
        <f t="shared" si="4"/>
        <v>49015021_49015201</v>
      </c>
      <c r="B269" s="47">
        <v>49015021</v>
      </c>
      <c r="C269" s="121">
        <v>49015201</v>
      </c>
      <c r="D269" s="46" t="str">
        <f ca="1">VLOOKUP($C269,OFFSET(enemy_skills!$A$1,0,0,COUNTA(enemy_skills!$A:$A),MATCH(D$1,enemy_skills!$1:$1,0)-MATCH("enemy_skill_id",enemy_skills!$1:$1,0)+1),MATCH(D$1,enemy_skills!$1:$1,0)-MATCH("enemy_skill_id",enemy_skills!$1:$1,0)+1,FALSE)</f>
        <v>君一人で行くのはやめたまえ</v>
      </c>
      <c r="E269" s="46" t="str">
        <f ca="1">VLOOKUP($C269,OFFSET(enemy_skills!$A$1,0,0,COUNTA(enemy_skills!$A:$A),MATCH(E$1,enemy_skills!$1:$1,0)-MATCH("enemy_skill_id",enemy_skills!$1:$1,0)+1),MATCH(E$1,enemy_skills!$1:$1,0)-MATCH("enemy_skill_id",enemy_skills!$1:$1,0)+1,FALSE)</f>
        <v>それでもというなら押し退けて行きたまえ_x000D_【全ユニットのスキルターンを4ターン短縮】</v>
      </c>
      <c r="F269" s="121">
        <v>49015268</v>
      </c>
      <c r="G269" s="48">
        <f ca="1">VLOOKUP($F269,OFFSET(enemy_skill_triggers!$A$1,0,0,COUNTA(enemy_skill_triggers!$A:$A),MATCH(G$1,enemy_skill_triggers!$1:$1,0)-MATCH($F$1,enemy_skill_triggers!$1:$1,0)+1),MATCH(G$1,enemy_skill_triggers!$1:$1,0)-MATCH($F$1,enemy_skill_triggers!$1:$1,0)+1,FALSE)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9" s="48">
        <f ca="1">VLOOKUP($F269,OFFSET(enemy_skill_triggers!$A$1,0,0,COUNTA(enemy_skill_triggers!$A:$A),MATCH(H$1,enemy_skill_triggers!$1:$1,0)-MATCH($F$1,enemy_skill_triggers!$1:$1,0)+1),MATCH(H$1,enemy_skill_triggers!$1:$1,0)-MATCH($F$1,enemy_skill_triggers!$1:$1,0)+1,FALSE)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9" s="48">
        <f ca="1">VLOOKUP($F269,OFFSET(enemy_skill_triggers!$A$1,0,0,COUNTA(enemy_skill_triggers!$A:$A),MATCH(I$1,enemy_skill_triggers!$1:$1,0)-MATCH($F$1,enemy_skill_triggers!$1:$1,0)+1),MATCH(I$1,enemy_skill_triggers!$1:$1,0)-MATCH($F$1,enemy_skill_triggers!$1:$1,0)+1,FALSE)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9" s="48" t="str">
        <f ca="1">VLOOKUP($F269,OFFSET(enemy_skill_triggers!$A$1,0,0,COUNTA(enemy_skill_triggers!$A:$A),MATCH(J$1,enemy_skill_triggers!$1:$1,0)-MATCH($F$1,enemy_skill_triggers!$1:$1,0)+1),MATCH(J$1,enemy_skill_triggers!$1:$1,0)-MATCH($F$1,enemy_skill_triggers!$1:$1,0)+1,FALSE)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9" s="48" t="str">
        <f ca="1">VLOOKUP($F269,OFFSET(enemy_skill_triggers!$A$1,0,0,COUNTA(enemy_skill_triggers!$A:$A),MATCH(K$1,enemy_skill_triggers!$1:$1,0)-MATCH($F$1,enemy_skill_triggers!$1:$1,0)+1),MATCH(K$1,enemy_skill_triggers!$1:$1,0)-MATCH($F$1,enemy_skill_triggers!$1:$1,0)+1,FALSE)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9" s="48">
        <f ca="1">VLOOKUP($F269,OFFSET(enemy_skill_triggers!$A$1,0,0,COUNTA(enemy_skill_triggers!$A:$A),MATCH(L$1,enemy_skill_triggers!$1:$1,0)-MATCH($F$1,enemy_skill_triggers!$1:$1,0)+1),MATCH(L$1,enemy_skill_triggers!$1:$1,0)-MATCH($F$1,enemy_skill_triggers!$1:$1,0)+1,FALSE)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9" s="48" t="str">
        <f ca="1">VLOOKUP($F269,OFFSET(enemy_skill_triggers!$A$1,0,0,COUNTA(enemy_skill_triggers!$A:$A),MATCH(M$1,enemy_skill_triggers!$1:$1,0)-MATCH($F$1,enemy_skill_triggers!$1:$1,0)+1),MATCH(M$1,enemy_skill_triggers!$1:$1,0)-MATCH($F$1,enemy_skill_triggers!$1:$1,0)+1,FALSE)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9" s="48">
        <f ca="1">VLOOKUP($F269,OFFSET(enemy_skill_triggers!$A$1,0,0,COUNTA(enemy_skill_triggers!$A:$A),MATCH(N$1,enemy_skill_triggers!$1:$1,0)-MATCH($F$1,enemy_skill_triggers!$1:$1,0)+1),MATCH(N$1,enemy_skill_triggers!$1:$1,0)-MATCH($F$1,enemy_skill_triggers!$1:$1,0)+1,FALSE)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269" s="48">
        <f ca="1">VLOOKUP($F269,OFFSET(enemy_skill_triggers!$A$1,0,0,COUNTA(enemy_skill_triggers!$A:$A),MATCH(O$1,enemy_skill_triggers!$1:$1,0)-MATCH($F$1,enemy_skill_triggers!$1:$1,0)+1),MATCH(O$1,enemy_skill_triggers!$1:$1,0)-MATCH($F$1,enemy_skill_triggers!$1:$1,0)+1,FALSE)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9" s="47"/>
      <c r="Q269" s="47"/>
      <c r="R269" s="47"/>
    </row>
    <row r="270" spans="1:18" ht="21" customHeight="1" x14ac:dyDescent="0.15">
      <c r="A270" s="39" t="str">
        <f t="shared" si="4"/>
        <v>49015021_49015201</v>
      </c>
      <c r="B270" s="47">
        <v>49015021</v>
      </c>
      <c r="C270" s="121">
        <v>49015201</v>
      </c>
      <c r="D270" s="46" t="str">
        <f ca="1">VLOOKUP($C270,OFFSET(enemy_skills!$A$1,0,0,COUNTA(enemy_skills!$A:$A),MATCH(D$1,enemy_skills!$1:$1,0)-MATCH("enemy_skill_id",enemy_skills!$1:$1,0)+1),MATCH(D$1,enemy_skills!$1:$1,0)-MATCH("enemy_skill_id",enemy_skills!$1:$1,0)+1,FALSE)</f>
        <v>君一人で行くのはやめたまえ</v>
      </c>
      <c r="E270" s="46" t="str">
        <f ca="1">VLOOKUP($C270,OFFSET(enemy_skills!$A$1,0,0,COUNTA(enemy_skills!$A:$A),MATCH(E$1,enemy_skills!$1:$1,0)-MATCH("enemy_skill_id",enemy_skills!$1:$1,0)+1),MATCH(E$1,enemy_skills!$1:$1,0)-MATCH("enemy_skill_id",enemy_skills!$1:$1,0)+1,FALSE)</f>
        <v>それでもというなら押し退けて行きたまえ_x000D_【全ユニットのスキルターンを4ターン短縮】</v>
      </c>
      <c r="F270" s="121">
        <v>49015269</v>
      </c>
      <c r="G270" s="48">
        <f ca="1">VLOOKUP($F270,OFFSET(enemy_skill_triggers!$A$1,0,0,COUNTA(enemy_skill_triggers!$A:$A),MATCH(G$1,enemy_skill_triggers!$1:$1,0)-MATCH($F$1,enemy_skill_triggers!$1:$1,0)+1),MATCH(G$1,enemy_skill_triggers!$1:$1,0)-MATCH($F$1,enemy_skill_triggers!$1:$1,0)+1,FALSE)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0" s="48">
        <f ca="1">VLOOKUP($F270,OFFSET(enemy_skill_triggers!$A$1,0,0,COUNTA(enemy_skill_triggers!$A:$A),MATCH(H$1,enemy_skill_triggers!$1:$1,0)-MATCH($F$1,enemy_skill_triggers!$1:$1,0)+1),MATCH(H$1,enemy_skill_triggers!$1:$1,0)-MATCH($F$1,enemy_skill_triggers!$1:$1,0)+1,FALSE)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70" s="48">
        <f ca="1">VLOOKUP($F270,OFFSET(enemy_skill_triggers!$A$1,0,0,COUNTA(enemy_skill_triggers!$A:$A),MATCH(I$1,enemy_skill_triggers!$1:$1,0)-MATCH($F$1,enemy_skill_triggers!$1:$1,0)+1),MATCH(I$1,enemy_skill_triggers!$1:$1,0)-MATCH($F$1,enemy_skill_triggers!$1:$1,0)+1,FALSE)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0" s="48" t="str">
        <f ca="1">VLOOKUP($F270,OFFSET(enemy_skill_triggers!$A$1,0,0,COUNTA(enemy_skill_triggers!$A:$A),MATCH(J$1,enemy_skill_triggers!$1:$1,0)-MATCH($F$1,enemy_skill_triggers!$1:$1,0)+1),MATCH(J$1,enemy_skill_triggers!$1:$1,0)-MATCH($F$1,enemy_skill_triggers!$1:$1,0)+1,FALSE)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0" s="48" t="str">
        <f ca="1">VLOOKUP($F270,OFFSET(enemy_skill_triggers!$A$1,0,0,COUNTA(enemy_skill_triggers!$A:$A),MATCH(K$1,enemy_skill_triggers!$1:$1,0)-MATCH($F$1,enemy_skill_triggers!$1:$1,0)+1),MATCH(K$1,enemy_skill_triggers!$1:$1,0)-MATCH($F$1,enemy_skill_triggers!$1:$1,0)+1,FALSE)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0" s="48">
        <f ca="1">VLOOKUP($F270,OFFSET(enemy_skill_triggers!$A$1,0,0,COUNTA(enemy_skill_triggers!$A:$A),MATCH(L$1,enemy_skill_triggers!$1:$1,0)-MATCH($F$1,enemy_skill_triggers!$1:$1,0)+1),MATCH(L$1,enemy_skill_triggers!$1:$1,0)-MATCH($F$1,enemy_skill_triggers!$1:$1,0)+1,FALSE)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0" s="48" t="str">
        <f ca="1">VLOOKUP($F270,OFFSET(enemy_skill_triggers!$A$1,0,0,COUNTA(enemy_skill_triggers!$A:$A),MATCH(M$1,enemy_skill_triggers!$1:$1,0)-MATCH($F$1,enemy_skill_triggers!$1:$1,0)+1),MATCH(M$1,enemy_skill_triggers!$1:$1,0)-MATCH($F$1,enemy_skill_triggers!$1:$1,0)+1,FALSE)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0" s="48">
        <f ca="1">VLOOKUP($F270,OFFSET(enemy_skill_triggers!$A$1,0,0,COUNTA(enemy_skill_triggers!$A:$A),MATCH(N$1,enemy_skill_triggers!$1:$1,0)-MATCH($F$1,enemy_skill_triggers!$1:$1,0)+1),MATCH(N$1,enemy_skill_triggers!$1:$1,0)-MATCH($F$1,enemy_skill_triggers!$1:$1,0)+1,FALSE)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270" s="48">
        <f ca="1">VLOOKUP($F270,OFFSET(enemy_skill_triggers!$A$1,0,0,COUNTA(enemy_skill_triggers!$A:$A),MATCH(O$1,enemy_skill_triggers!$1:$1,0)-MATCH($F$1,enemy_skill_triggers!$1:$1,0)+1),MATCH(O$1,enemy_skill_triggers!$1:$1,0)-MATCH($F$1,enemy_skill_triggers!$1:$1,0)+1,FALSE)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0" s="47"/>
      <c r="Q270" s="47"/>
      <c r="R270" s="47"/>
    </row>
    <row r="271" spans="1:18" ht="21" customHeight="1" x14ac:dyDescent="0.15">
      <c r="A271" s="39" t="str">
        <f t="shared" si="4"/>
        <v>49015021_49015202</v>
      </c>
      <c r="B271" s="47">
        <v>49015021</v>
      </c>
      <c r="C271" s="121">
        <v>49015202</v>
      </c>
      <c r="D271" s="46" t="str">
        <f ca="1">VLOOKUP($C271,OFFSET(enemy_skills!$A$1,0,0,COUNTA(enemy_skills!$A:$A),MATCH(D$1,enemy_skills!$1:$1,0)-MATCH("enemy_skill_id",enemy_skills!$1:$1,0)+1),MATCH(D$1,enemy_skills!$1:$1,0)-MATCH("enemy_skill_id",enemy_skills!$1:$1,0)+1,FALSE)</f>
        <v>ロイ・マスタング大佐何をしている</v>
      </c>
      <c r="E271" s="46" t="str">
        <f ca="1">VLOOKUP($C271,OFFSET(enemy_skills!$A$1,0,0,COUNTA(enemy_skills!$A:$A),MATCH(E$1,enemy_skills!$1:$1,0)-MATCH("enemy_skill_id",enemy_skills!$1:$1,0)+1),MATCH(E$1,enemy_skills!$1:$1,0)-MATCH("enemy_skill_id",enemy_skills!$1:$1,0)+1,FALSE)</f>
        <v>私に反抗するというのか？</v>
      </c>
      <c r="F271" s="121">
        <v>49015270</v>
      </c>
      <c r="G271" s="48">
        <f ca="1">VLOOKUP($F271,OFFSET(enemy_skill_triggers!$A$1,0,0,COUNTA(enemy_skill_triggers!$A:$A),MATCH(G$1,enemy_skill_triggers!$1:$1,0)-MATCH($F$1,enemy_skill_triggers!$1:$1,0)+1),MATCH(G$1,enemy_skill_triggers!$1:$1,0)-MATCH($F$1,enemy_skill_triggers!$1:$1,0)+1,FALSE)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1" s="48">
        <f ca="1">VLOOKUP($F271,OFFSET(enemy_skill_triggers!$A$1,0,0,COUNTA(enemy_skill_triggers!$A:$A),MATCH(H$1,enemy_skill_triggers!$1:$1,0)-MATCH($F$1,enemy_skill_triggers!$1:$1,0)+1),MATCH(H$1,enemy_skill_triggers!$1:$1,0)-MATCH($F$1,enemy_skill_triggers!$1:$1,0)+1,FALSE)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71" s="48">
        <f ca="1">VLOOKUP($F271,OFFSET(enemy_skill_triggers!$A$1,0,0,COUNTA(enemy_skill_triggers!$A:$A),MATCH(I$1,enemy_skill_triggers!$1:$1,0)-MATCH($F$1,enemy_skill_triggers!$1:$1,0)+1),MATCH(I$1,enemy_skill_triggers!$1:$1,0)-MATCH($F$1,enemy_skill_triggers!$1:$1,0)+1,FALSE)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1" s="48" t="str">
        <f ca="1">VLOOKUP($F271,OFFSET(enemy_skill_triggers!$A$1,0,0,COUNTA(enemy_skill_triggers!$A:$A),MATCH(J$1,enemy_skill_triggers!$1:$1,0)-MATCH($F$1,enemy_skill_triggers!$1:$1,0)+1),MATCH(J$1,enemy_skill_triggers!$1:$1,0)-MATCH($F$1,enemy_skill_triggers!$1:$1,0)+1,FALSE)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1" s="48" t="str">
        <f ca="1">VLOOKUP($F271,OFFSET(enemy_skill_triggers!$A$1,0,0,COUNTA(enemy_skill_triggers!$A:$A),MATCH(K$1,enemy_skill_triggers!$1:$1,0)-MATCH($F$1,enemy_skill_triggers!$1:$1,0)+1),MATCH(K$1,enemy_skill_triggers!$1:$1,0)-MATCH($F$1,enemy_skill_triggers!$1:$1,0)+1,FALSE)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1" s="48">
        <f ca="1">VLOOKUP($F271,OFFSET(enemy_skill_triggers!$A$1,0,0,COUNTA(enemy_skill_triggers!$A:$A),MATCH(L$1,enemy_skill_triggers!$1:$1,0)-MATCH($F$1,enemy_skill_triggers!$1:$1,0)+1),MATCH(L$1,enemy_skill_triggers!$1:$1,0)-MATCH($F$1,enemy_skill_triggers!$1:$1,0)+1,FALSE)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1" s="48" t="str">
        <f ca="1">VLOOKUP($F271,OFFSET(enemy_skill_triggers!$A$1,0,0,COUNTA(enemy_skill_triggers!$A:$A),MATCH(M$1,enemy_skill_triggers!$1:$1,0)-MATCH($F$1,enemy_skill_triggers!$1:$1,0)+1),MATCH(M$1,enemy_skill_triggers!$1:$1,0)-MATCH($F$1,enemy_skill_triggers!$1:$1,0)+1,FALSE)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1" s="48">
        <f ca="1">VLOOKUP($F271,OFFSET(enemy_skill_triggers!$A$1,0,0,COUNTA(enemy_skill_triggers!$A:$A),MATCH(N$1,enemy_skill_triggers!$1:$1,0)-MATCH($F$1,enemy_skill_triggers!$1:$1,0)+1),MATCH(N$1,enemy_skill_triggers!$1:$1,0)-MATCH($F$1,enemy_skill_triggers!$1:$1,0)+1,FALSE)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271" s="48">
        <f ca="1">VLOOKUP($F271,OFFSET(enemy_skill_triggers!$A$1,0,0,COUNTA(enemy_skill_triggers!$A:$A),MATCH(O$1,enemy_skill_triggers!$1:$1,0)-MATCH($F$1,enemy_skill_triggers!$1:$1,0)+1),MATCH(O$1,enemy_skill_triggers!$1:$1,0)-MATCH($F$1,enemy_skill_triggers!$1:$1,0)+1,FALSE)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1" s="47"/>
      <c r="Q271" s="47"/>
      <c r="R271" s="47"/>
    </row>
    <row r="272" spans="1:18" ht="21" customHeight="1" x14ac:dyDescent="0.15">
      <c r="A272" s="39" t="str">
        <f t="shared" si="4"/>
        <v>49015021_49015202</v>
      </c>
      <c r="B272" s="47">
        <v>49015021</v>
      </c>
      <c r="C272" s="121">
        <v>49015202</v>
      </c>
      <c r="D272" s="46" t="str">
        <f ca="1">VLOOKUP($C272,OFFSET(enemy_skills!$A$1,0,0,COUNTA(enemy_skills!$A:$A),MATCH(D$1,enemy_skills!$1:$1,0)-MATCH("enemy_skill_id",enemy_skills!$1:$1,0)+1),MATCH(D$1,enemy_skills!$1:$1,0)-MATCH("enemy_skill_id",enemy_skills!$1:$1,0)+1,FALSE)</f>
        <v>ロイ・マスタング大佐何をしている</v>
      </c>
      <c r="E272" s="46" t="str">
        <f ca="1">VLOOKUP($C272,OFFSET(enemy_skills!$A$1,0,0,COUNTA(enemy_skills!$A:$A),MATCH(E$1,enemy_skills!$1:$1,0)-MATCH("enemy_skill_id",enemy_skills!$1:$1,0)+1),MATCH(E$1,enemy_skills!$1:$1,0)-MATCH("enemy_skill_id",enemy_skills!$1:$1,0)+1,FALSE)</f>
        <v>私に反抗するというのか？</v>
      </c>
      <c r="F272" s="121">
        <v>49015271</v>
      </c>
      <c r="G272" s="48">
        <f ca="1">VLOOKUP($F272,OFFSET(enemy_skill_triggers!$A$1,0,0,COUNTA(enemy_skill_triggers!$A:$A),MATCH(G$1,enemy_skill_triggers!$1:$1,0)-MATCH($F$1,enemy_skill_triggers!$1:$1,0)+1),MATCH(G$1,enemy_skill_triggers!$1:$1,0)-MATCH($F$1,enemy_skill_triggers!$1:$1,0)+1,FALSE)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2" s="48">
        <f ca="1">VLOOKUP($F272,OFFSET(enemy_skill_triggers!$A$1,0,0,COUNTA(enemy_skill_triggers!$A:$A),MATCH(H$1,enemy_skill_triggers!$1:$1,0)-MATCH($F$1,enemy_skill_triggers!$1:$1,0)+1),MATCH(H$1,enemy_skill_triggers!$1:$1,0)-MATCH($F$1,enemy_skill_triggers!$1:$1,0)+1,FALSE)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272" s="48">
        <f ca="1">VLOOKUP($F272,OFFSET(enemy_skill_triggers!$A$1,0,0,COUNTA(enemy_skill_triggers!$A:$A),MATCH(I$1,enemy_skill_triggers!$1:$1,0)-MATCH($F$1,enemy_skill_triggers!$1:$1,0)+1),MATCH(I$1,enemy_skill_triggers!$1:$1,0)-MATCH($F$1,enemy_skill_triggers!$1:$1,0)+1,FALSE)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2" s="48" t="str">
        <f ca="1">VLOOKUP($F272,OFFSET(enemy_skill_triggers!$A$1,0,0,COUNTA(enemy_skill_triggers!$A:$A),MATCH(J$1,enemy_skill_triggers!$1:$1,0)-MATCH($F$1,enemy_skill_triggers!$1:$1,0)+1),MATCH(J$1,enemy_skill_triggers!$1:$1,0)-MATCH($F$1,enemy_skill_triggers!$1:$1,0)+1,FALSE)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2" s="48" t="str">
        <f ca="1">VLOOKUP($F272,OFFSET(enemy_skill_triggers!$A$1,0,0,COUNTA(enemy_skill_triggers!$A:$A),MATCH(K$1,enemy_skill_triggers!$1:$1,0)-MATCH($F$1,enemy_skill_triggers!$1:$1,0)+1),MATCH(K$1,enemy_skill_triggers!$1:$1,0)-MATCH($F$1,enemy_skill_triggers!$1:$1,0)+1,FALSE)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2" s="48">
        <f ca="1">VLOOKUP($F272,OFFSET(enemy_skill_triggers!$A$1,0,0,COUNTA(enemy_skill_triggers!$A:$A),MATCH(L$1,enemy_skill_triggers!$1:$1,0)-MATCH($F$1,enemy_skill_triggers!$1:$1,0)+1),MATCH(L$1,enemy_skill_triggers!$1:$1,0)-MATCH($F$1,enemy_skill_triggers!$1:$1,0)+1,FALSE)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2" s="48" t="str">
        <f ca="1">VLOOKUP($F272,OFFSET(enemy_skill_triggers!$A$1,0,0,COUNTA(enemy_skill_triggers!$A:$A),MATCH(M$1,enemy_skill_triggers!$1:$1,0)-MATCH($F$1,enemy_skill_triggers!$1:$1,0)+1),MATCH(M$1,enemy_skill_triggers!$1:$1,0)-MATCH($F$1,enemy_skill_triggers!$1:$1,0)+1,FALSE)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2" s="48">
        <f ca="1">VLOOKUP($F272,OFFSET(enemy_skill_triggers!$A$1,0,0,COUNTA(enemy_skill_triggers!$A:$A),MATCH(N$1,enemy_skill_triggers!$1:$1,0)-MATCH($F$1,enemy_skill_triggers!$1:$1,0)+1),MATCH(N$1,enemy_skill_triggers!$1:$1,0)-MATCH($F$1,enemy_skill_triggers!$1:$1,0)+1,FALSE)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272" s="48">
        <f ca="1">VLOOKUP($F272,OFFSET(enemy_skill_triggers!$A$1,0,0,COUNTA(enemy_skill_triggers!$A:$A),MATCH(O$1,enemy_skill_triggers!$1:$1,0)-MATCH($F$1,enemy_skill_triggers!$1:$1,0)+1),MATCH(O$1,enemy_skill_triggers!$1:$1,0)-MATCH($F$1,enemy_skill_triggers!$1:$1,0)+1,FALSE)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2" s="47"/>
      <c r="Q272" s="47"/>
      <c r="R272" s="47"/>
    </row>
    <row r="273" spans="1:18" ht="21" customHeight="1" x14ac:dyDescent="0.15">
      <c r="A273" s="39" t="str">
        <f t="shared" si="4"/>
        <v>49015021_49015203</v>
      </c>
      <c r="B273" s="47">
        <v>49015021</v>
      </c>
      <c r="C273" s="121">
        <v>49015203</v>
      </c>
      <c r="D273" s="46" t="str">
        <f ca="1">VLOOKUP($C273,OFFSET(enemy_skills!$A$1,0,0,COUNTA(enemy_skills!$A:$A),MATCH(D$1,enemy_skills!$1:$1,0)-MATCH("enemy_skill_id",enemy_skills!$1:$1,0)+1),MATCH(D$1,enemy_skills!$1:$1,0)-MATCH("enemy_skill_id",enemy_skills!$1:$1,0)+1,FALSE)</f>
        <v>マスタングの犬が私に挑むというのか？</v>
      </c>
      <c r="E273" s="46" t="str">
        <f ca="1">VLOOKUP($C273,OFFSET(enemy_skills!$A$1,0,0,COUNTA(enemy_skills!$A:$A),MATCH(E$1,enemy_skills!$1:$1,0)-MATCH("enemy_skill_id",enemy_skills!$1:$1,0)+1),MATCH(E$1,enemy_skills!$1:$1,0)-MATCH("enemy_skill_id",enemy_skills!$1:$1,0)+1,FALSE)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273" s="121">
        <v>49015272</v>
      </c>
      <c r="G273" s="48">
        <f ca="1">VLOOKUP($F273,OFFSET(enemy_skill_triggers!$A$1,0,0,COUNTA(enemy_skill_triggers!$A:$A),MATCH(G$1,enemy_skill_triggers!$1:$1,0)-MATCH($F$1,enemy_skill_triggers!$1:$1,0)+1),MATCH(G$1,enemy_skill_triggers!$1:$1,0)-MATCH($F$1,enemy_skill_triggers!$1:$1,0)+1,FALSE)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3" s="48">
        <f ca="1">VLOOKUP($F273,OFFSET(enemy_skill_triggers!$A$1,0,0,COUNTA(enemy_skill_triggers!$A:$A),MATCH(H$1,enemy_skill_triggers!$1:$1,0)-MATCH($F$1,enemy_skill_triggers!$1:$1,0)+1),MATCH(H$1,enemy_skill_triggers!$1:$1,0)-MATCH($F$1,enemy_skill_triggers!$1:$1,0)+1,FALSE)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73" s="48">
        <f ca="1">VLOOKUP($F273,OFFSET(enemy_skill_triggers!$A$1,0,0,COUNTA(enemy_skill_triggers!$A:$A),MATCH(I$1,enemy_skill_triggers!$1:$1,0)-MATCH($F$1,enemy_skill_triggers!$1:$1,0)+1),MATCH(I$1,enemy_skill_triggers!$1:$1,0)-MATCH($F$1,enemy_skill_triggers!$1:$1,0)+1,FALSE)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3" s="48" t="str">
        <f ca="1">VLOOKUP($F273,OFFSET(enemy_skill_triggers!$A$1,0,0,COUNTA(enemy_skill_triggers!$A:$A),MATCH(J$1,enemy_skill_triggers!$1:$1,0)-MATCH($F$1,enemy_skill_triggers!$1:$1,0)+1),MATCH(J$1,enemy_skill_triggers!$1:$1,0)-MATCH($F$1,enemy_skill_triggers!$1:$1,0)+1,FALSE)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3" s="48" t="str">
        <f ca="1">VLOOKUP($F273,OFFSET(enemy_skill_triggers!$A$1,0,0,COUNTA(enemy_skill_triggers!$A:$A),MATCH(K$1,enemy_skill_triggers!$1:$1,0)-MATCH($F$1,enemy_skill_triggers!$1:$1,0)+1),MATCH(K$1,enemy_skill_triggers!$1:$1,0)-MATCH($F$1,enemy_skill_triggers!$1:$1,0)+1,FALSE)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3" s="48">
        <f ca="1">VLOOKUP($F273,OFFSET(enemy_skill_triggers!$A$1,0,0,COUNTA(enemy_skill_triggers!$A:$A),MATCH(L$1,enemy_skill_triggers!$1:$1,0)-MATCH($F$1,enemy_skill_triggers!$1:$1,0)+1),MATCH(L$1,enemy_skill_triggers!$1:$1,0)-MATCH($F$1,enemy_skill_triggers!$1:$1,0)+1,FALSE)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3" s="48" t="str">
        <f ca="1">VLOOKUP($F273,OFFSET(enemy_skill_triggers!$A$1,0,0,COUNTA(enemy_skill_triggers!$A:$A),MATCH(M$1,enemy_skill_triggers!$1:$1,0)-MATCH($F$1,enemy_skill_triggers!$1:$1,0)+1),MATCH(M$1,enemy_skill_triggers!$1:$1,0)-MATCH($F$1,enemy_skill_triggers!$1:$1,0)+1,FALSE)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3" s="48">
        <f ca="1">VLOOKUP($F273,OFFSET(enemy_skill_triggers!$A$1,0,0,COUNTA(enemy_skill_triggers!$A:$A),MATCH(N$1,enemy_skill_triggers!$1:$1,0)-MATCH($F$1,enemy_skill_triggers!$1:$1,0)+1),MATCH(N$1,enemy_skill_triggers!$1:$1,0)-MATCH($F$1,enemy_skill_triggers!$1:$1,0)+1,FALSE)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273" s="48">
        <f ca="1">VLOOKUP($F273,OFFSET(enemy_skill_triggers!$A$1,0,0,COUNTA(enemy_skill_triggers!$A:$A),MATCH(O$1,enemy_skill_triggers!$1:$1,0)-MATCH($F$1,enemy_skill_triggers!$1:$1,0)+1),MATCH(O$1,enemy_skill_triggers!$1:$1,0)-MATCH($F$1,enemy_skill_triggers!$1:$1,0)+1,FALSE)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3" s="47"/>
      <c r="Q273" s="47"/>
      <c r="R273" s="47"/>
    </row>
    <row r="274" spans="1:18" ht="21" customHeight="1" x14ac:dyDescent="0.15">
      <c r="A274" s="39" t="str">
        <f t="shared" si="4"/>
        <v>49015021_49015203</v>
      </c>
      <c r="B274" s="47">
        <v>49015021</v>
      </c>
      <c r="C274" s="121">
        <v>49015203</v>
      </c>
      <c r="D274" s="46" t="str">
        <f ca="1">VLOOKUP($C274,OFFSET(enemy_skills!$A$1,0,0,COUNTA(enemy_skills!$A:$A),MATCH(D$1,enemy_skills!$1:$1,0)-MATCH("enemy_skill_id",enemy_skills!$1:$1,0)+1),MATCH(D$1,enemy_skills!$1:$1,0)-MATCH("enemy_skill_id",enemy_skills!$1:$1,0)+1,FALSE)</f>
        <v>マスタングの犬が私に挑むというのか？</v>
      </c>
      <c r="E274" s="46" t="str">
        <f ca="1">VLOOKUP($C274,OFFSET(enemy_skills!$A$1,0,0,COUNTA(enemy_skills!$A:$A),MATCH(E$1,enemy_skills!$1:$1,0)-MATCH("enemy_skill_id",enemy_skills!$1:$1,0)+1),MATCH(E$1,enemy_skills!$1:$1,0)-MATCH("enemy_skill_id",enemy_skills!$1:$1,0)+1,FALSE)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274" s="121">
        <v>49015273</v>
      </c>
      <c r="G274" s="48">
        <f ca="1">VLOOKUP($F274,OFFSET(enemy_skill_triggers!$A$1,0,0,COUNTA(enemy_skill_triggers!$A:$A),MATCH(G$1,enemy_skill_triggers!$1:$1,0)-MATCH($F$1,enemy_skill_triggers!$1:$1,0)+1),MATCH(G$1,enemy_skill_triggers!$1:$1,0)-MATCH($F$1,enemy_skill_triggers!$1:$1,0)+1,FALSE)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4" s="48">
        <f ca="1">VLOOKUP($F274,OFFSET(enemy_skill_triggers!$A$1,0,0,COUNTA(enemy_skill_triggers!$A:$A),MATCH(H$1,enemy_skill_triggers!$1:$1,0)-MATCH($F$1,enemy_skill_triggers!$1:$1,0)+1),MATCH(H$1,enemy_skill_triggers!$1:$1,0)-MATCH($F$1,enemy_skill_triggers!$1:$1,0)+1,FALSE)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274" s="48">
        <f ca="1">VLOOKUP($F274,OFFSET(enemy_skill_triggers!$A$1,0,0,COUNTA(enemy_skill_triggers!$A:$A),MATCH(I$1,enemy_skill_triggers!$1:$1,0)-MATCH($F$1,enemy_skill_triggers!$1:$1,0)+1),MATCH(I$1,enemy_skill_triggers!$1:$1,0)-MATCH($F$1,enemy_skill_triggers!$1:$1,0)+1,FALSE)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4" s="48" t="str">
        <f ca="1">VLOOKUP($F274,OFFSET(enemy_skill_triggers!$A$1,0,0,COUNTA(enemy_skill_triggers!$A:$A),MATCH(J$1,enemy_skill_triggers!$1:$1,0)-MATCH($F$1,enemy_skill_triggers!$1:$1,0)+1),MATCH(J$1,enemy_skill_triggers!$1:$1,0)-MATCH($F$1,enemy_skill_triggers!$1:$1,0)+1,FALSE)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4" s="48" t="str">
        <f ca="1">VLOOKUP($F274,OFFSET(enemy_skill_triggers!$A$1,0,0,COUNTA(enemy_skill_triggers!$A:$A),MATCH(K$1,enemy_skill_triggers!$1:$1,0)-MATCH($F$1,enemy_skill_triggers!$1:$1,0)+1),MATCH(K$1,enemy_skill_triggers!$1:$1,0)-MATCH($F$1,enemy_skill_triggers!$1:$1,0)+1,FALSE)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4" s="48">
        <f ca="1">VLOOKUP($F274,OFFSET(enemy_skill_triggers!$A$1,0,0,COUNTA(enemy_skill_triggers!$A:$A),MATCH(L$1,enemy_skill_triggers!$1:$1,0)-MATCH($F$1,enemy_skill_triggers!$1:$1,0)+1),MATCH(L$1,enemy_skill_triggers!$1:$1,0)-MATCH($F$1,enemy_skill_triggers!$1:$1,0)+1,FALSE)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4" s="48" t="str">
        <f ca="1">VLOOKUP($F274,OFFSET(enemy_skill_triggers!$A$1,0,0,COUNTA(enemy_skill_triggers!$A:$A),MATCH(M$1,enemy_skill_triggers!$1:$1,0)-MATCH($F$1,enemy_skill_triggers!$1:$1,0)+1),MATCH(M$1,enemy_skill_triggers!$1:$1,0)-MATCH($F$1,enemy_skill_triggers!$1:$1,0)+1,FALSE)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4" s="48">
        <f ca="1">VLOOKUP($F274,OFFSET(enemy_skill_triggers!$A$1,0,0,COUNTA(enemy_skill_triggers!$A:$A),MATCH(N$1,enemy_skill_triggers!$1:$1,0)-MATCH($F$1,enemy_skill_triggers!$1:$1,0)+1),MATCH(N$1,enemy_skill_triggers!$1:$1,0)-MATCH($F$1,enemy_skill_triggers!$1:$1,0)+1,FALSE)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274" s="48">
        <f ca="1">VLOOKUP($F274,OFFSET(enemy_skill_triggers!$A$1,0,0,COUNTA(enemy_skill_triggers!$A:$A),MATCH(O$1,enemy_skill_triggers!$1:$1,0)-MATCH($F$1,enemy_skill_triggers!$1:$1,0)+1),MATCH(O$1,enemy_skill_triggers!$1:$1,0)-MATCH($F$1,enemy_skill_triggers!$1:$1,0)+1,FALSE)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4" s="47"/>
      <c r="Q274" s="47"/>
      <c r="R274" s="47"/>
    </row>
    <row r="275" spans="1:18" ht="21" customHeight="1" x14ac:dyDescent="0.15">
      <c r="A275" s="39" t="str">
        <f t="shared" si="4"/>
        <v>49015021_49015204</v>
      </c>
      <c r="B275" s="47">
        <v>49015021</v>
      </c>
      <c r="C275" s="121">
        <v>49015204</v>
      </c>
      <c r="D275" s="46" t="str">
        <f ca="1">VLOOKUP($C275,OFFSET(enemy_skills!$A$1,0,0,COUNTA(enemy_skills!$A:$A),MATCH(D$1,enemy_skills!$1:$1,0)-MATCH("enemy_skill_id",enemy_skills!$1:$1,0)+1),MATCH(D$1,enemy_skills!$1:$1,0)-MATCH("enemy_skill_id",enemy_skills!$1:$1,0)+1,FALSE)</f>
        <v>人間に愛着を持ったか嫉妬よ！</v>
      </c>
      <c r="E275" s="46" t="str">
        <f ca="1">VLOOKUP($C275,OFFSET(enemy_skills!$A$1,0,0,COUNTA(enemy_skills!$A:$A),MATCH(E$1,enemy_skills!$1:$1,0)-MATCH("enemy_skill_id",enemy_skills!$1:$1,0)+1),MATCH(E$1,enemy_skills!$1:$1,0)-MATCH("enemy_skill_id",enemy_skills!$1:$1,0)+1,FALSE)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275" s="121">
        <v>49015274</v>
      </c>
      <c r="G275" s="48">
        <f ca="1">VLOOKUP($F275,OFFSET(enemy_skill_triggers!$A$1,0,0,COUNTA(enemy_skill_triggers!$A:$A),MATCH(G$1,enemy_skill_triggers!$1:$1,0)-MATCH($F$1,enemy_skill_triggers!$1:$1,0)+1),MATCH(G$1,enemy_skill_triggers!$1:$1,0)-MATCH($F$1,enemy_skill_triggers!$1:$1,0)+1,FALSE)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5" s="48">
        <f ca="1">VLOOKUP($F275,OFFSET(enemy_skill_triggers!$A$1,0,0,COUNTA(enemy_skill_triggers!$A:$A),MATCH(H$1,enemy_skill_triggers!$1:$1,0)-MATCH($F$1,enemy_skill_triggers!$1:$1,0)+1),MATCH(H$1,enemy_skill_triggers!$1:$1,0)-MATCH($F$1,enemy_skill_triggers!$1:$1,0)+1,FALSE)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75" s="48">
        <f ca="1">VLOOKUP($F275,OFFSET(enemy_skill_triggers!$A$1,0,0,COUNTA(enemy_skill_triggers!$A:$A),MATCH(I$1,enemy_skill_triggers!$1:$1,0)-MATCH($F$1,enemy_skill_triggers!$1:$1,0)+1),MATCH(I$1,enemy_skill_triggers!$1:$1,0)-MATCH($F$1,enemy_skill_triggers!$1:$1,0)+1,FALSE)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5" s="48" t="str">
        <f ca="1">VLOOKUP($F275,OFFSET(enemy_skill_triggers!$A$1,0,0,COUNTA(enemy_skill_triggers!$A:$A),MATCH(J$1,enemy_skill_triggers!$1:$1,0)-MATCH($F$1,enemy_skill_triggers!$1:$1,0)+1),MATCH(J$1,enemy_skill_triggers!$1:$1,0)-MATCH($F$1,enemy_skill_triggers!$1:$1,0)+1,FALSE)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5" s="48" t="str">
        <f ca="1">VLOOKUP($F275,OFFSET(enemy_skill_triggers!$A$1,0,0,COUNTA(enemy_skill_triggers!$A:$A),MATCH(K$1,enemy_skill_triggers!$1:$1,0)-MATCH($F$1,enemy_skill_triggers!$1:$1,0)+1),MATCH(K$1,enemy_skill_triggers!$1:$1,0)-MATCH($F$1,enemy_skill_triggers!$1:$1,0)+1,FALSE)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5" s="48">
        <f ca="1">VLOOKUP($F275,OFFSET(enemy_skill_triggers!$A$1,0,0,COUNTA(enemy_skill_triggers!$A:$A),MATCH(L$1,enemy_skill_triggers!$1:$1,0)-MATCH($F$1,enemy_skill_triggers!$1:$1,0)+1),MATCH(L$1,enemy_skill_triggers!$1:$1,0)-MATCH($F$1,enemy_skill_triggers!$1:$1,0)+1,FALSE)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5" s="48" t="str">
        <f ca="1">VLOOKUP($F275,OFFSET(enemy_skill_triggers!$A$1,0,0,COUNTA(enemy_skill_triggers!$A:$A),MATCH(M$1,enemy_skill_triggers!$1:$1,0)-MATCH($F$1,enemy_skill_triggers!$1:$1,0)+1),MATCH(M$1,enemy_skill_triggers!$1:$1,0)-MATCH($F$1,enemy_skill_triggers!$1:$1,0)+1,FALSE)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5" s="48">
        <f ca="1">VLOOKUP($F275,OFFSET(enemy_skill_triggers!$A$1,0,0,COUNTA(enemy_skill_triggers!$A:$A),MATCH(N$1,enemy_skill_triggers!$1:$1,0)-MATCH($F$1,enemy_skill_triggers!$1:$1,0)+1),MATCH(N$1,enemy_skill_triggers!$1:$1,0)-MATCH($F$1,enemy_skill_triggers!$1:$1,0)+1,FALSE)</f>
        <v>1468</v>
      </c>
      <c r="O275" s="48">
        <f ca="1">VLOOKUP($F275,OFFSET(enemy_skill_triggers!$A$1,0,0,COUNTA(enemy_skill_triggers!$A:$A),MATCH(O$1,enemy_skill_triggers!$1:$1,0)-MATCH($F$1,enemy_skill_triggers!$1:$1,0)+1),MATCH(O$1,enemy_skill_triggers!$1:$1,0)-MATCH($F$1,enemy_skill_triggers!$1:$1,0)+1,FALSE)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5" s="47"/>
      <c r="Q275" s="47"/>
      <c r="R275" s="47"/>
    </row>
    <row r="276" spans="1:18" ht="21" customHeight="1" x14ac:dyDescent="0.15">
      <c r="A276" s="39" t="str">
        <f t="shared" si="4"/>
        <v>49015021_49015205</v>
      </c>
      <c r="B276" s="47">
        <v>49015021</v>
      </c>
      <c r="C276" s="121">
        <v>49015205</v>
      </c>
      <c r="D276" s="46" t="str">
        <f ca="1">VLOOKUP($C276,OFFSET(enemy_skills!$A$1,0,0,COUNTA(enemy_skills!$A:$A),MATCH(D$1,enemy_skills!$1:$1,0)-MATCH("enemy_skill_id",enemy_skills!$1:$1,0)+1),MATCH(D$1,enemy_skills!$1:$1,0)-MATCH("enemy_skill_id",enemy_skills!$1:$1,0)+1,FALSE)</f>
        <v>私を倒そうというのかね？</v>
      </c>
      <c r="E276" s="46" t="str">
        <f ca="1">VLOOKUP($C276,OFFSET(enemy_skills!$A$1,0,0,COUNTA(enemy_skills!$A:$A),MATCH(E$1,enemy_skills!$1:$1,0)-MATCH("enemy_skill_id",enemy_skills!$1:$1,0)+1),MATCH(E$1,enemy_skills!$1:$1,0)-MATCH("enemy_skill_id",enemy_skills!$1:$1,0)+1,FALSE)</f>
        <v>それこそ傲慢というものだ！</v>
      </c>
      <c r="F276" s="121">
        <v>49015275</v>
      </c>
      <c r="G276" s="48">
        <f ca="1">VLOOKUP($F276,OFFSET(enemy_skill_triggers!$A$1,0,0,COUNTA(enemy_skill_triggers!$A:$A),MATCH(G$1,enemy_skill_triggers!$1:$1,0)-MATCH($F$1,enemy_skill_triggers!$1:$1,0)+1),MATCH(G$1,enemy_skill_triggers!$1:$1,0)-MATCH($F$1,enemy_skill_triggers!$1:$1,0)+1,FALSE)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6" s="48">
        <f ca="1">VLOOKUP($F276,OFFSET(enemy_skill_triggers!$A$1,0,0,COUNTA(enemy_skill_triggers!$A:$A),MATCH(H$1,enemy_skill_triggers!$1:$1,0)-MATCH($F$1,enemy_skill_triggers!$1:$1,0)+1),MATCH(H$1,enemy_skill_triggers!$1:$1,0)-MATCH($F$1,enemy_skill_triggers!$1:$1,0)+1,FALSE)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76" s="48">
        <f ca="1">VLOOKUP($F276,OFFSET(enemy_skill_triggers!$A$1,0,0,COUNTA(enemy_skill_triggers!$A:$A),MATCH(I$1,enemy_skill_triggers!$1:$1,0)-MATCH($F$1,enemy_skill_triggers!$1:$1,0)+1),MATCH(I$1,enemy_skill_triggers!$1:$1,0)-MATCH($F$1,enemy_skill_triggers!$1:$1,0)+1,FALSE)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6" s="48" t="str">
        <f ca="1">VLOOKUP($F276,OFFSET(enemy_skill_triggers!$A$1,0,0,COUNTA(enemy_skill_triggers!$A:$A),MATCH(J$1,enemy_skill_triggers!$1:$1,0)-MATCH($F$1,enemy_skill_triggers!$1:$1,0)+1),MATCH(J$1,enemy_skill_triggers!$1:$1,0)-MATCH($F$1,enemy_skill_triggers!$1:$1,0)+1,FALSE)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6" s="48" t="str">
        <f ca="1">VLOOKUP($F276,OFFSET(enemy_skill_triggers!$A$1,0,0,COUNTA(enemy_skill_triggers!$A:$A),MATCH(K$1,enemy_skill_triggers!$1:$1,0)-MATCH($F$1,enemy_skill_triggers!$1:$1,0)+1),MATCH(K$1,enemy_skill_triggers!$1:$1,0)-MATCH($F$1,enemy_skill_triggers!$1:$1,0)+1,FALSE)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6" s="48">
        <f ca="1">VLOOKUP($F276,OFFSET(enemy_skill_triggers!$A$1,0,0,COUNTA(enemy_skill_triggers!$A:$A),MATCH(L$1,enemy_skill_triggers!$1:$1,0)-MATCH($F$1,enemy_skill_triggers!$1:$1,0)+1),MATCH(L$1,enemy_skill_triggers!$1:$1,0)-MATCH($F$1,enemy_skill_triggers!$1:$1,0)+1,FALSE)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6" s="48" t="str">
        <f ca="1">VLOOKUP($F276,OFFSET(enemy_skill_triggers!$A$1,0,0,COUNTA(enemy_skill_triggers!$A:$A),MATCH(M$1,enemy_skill_triggers!$1:$1,0)-MATCH($F$1,enemy_skill_triggers!$1:$1,0)+1),MATCH(M$1,enemy_skill_triggers!$1:$1,0)-MATCH($F$1,enemy_skill_triggers!$1:$1,0)+1,FALSE)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6" s="48">
        <f ca="1">VLOOKUP($F276,OFFSET(enemy_skill_triggers!$A$1,0,0,COUNTA(enemy_skill_triggers!$A:$A),MATCH(N$1,enemy_skill_triggers!$1:$1,0)-MATCH($F$1,enemy_skill_triggers!$1:$1,0)+1),MATCH(N$1,enemy_skill_triggers!$1:$1,0)-MATCH($F$1,enemy_skill_triggers!$1:$1,0)+1,FALSE)</f>
        <v>1470</v>
      </c>
      <c r="O276" s="48">
        <f ca="1">VLOOKUP($F276,OFFSET(enemy_skill_triggers!$A$1,0,0,COUNTA(enemy_skill_triggers!$A:$A),MATCH(O$1,enemy_skill_triggers!$1:$1,0)-MATCH($F$1,enemy_skill_triggers!$1:$1,0)+1),MATCH(O$1,enemy_skill_triggers!$1:$1,0)-MATCH($F$1,enemy_skill_triggers!$1:$1,0)+1,FALSE)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6" s="47"/>
      <c r="Q276" s="47"/>
      <c r="R276" s="47"/>
    </row>
    <row r="277" spans="1:18" ht="21" customHeight="1" x14ac:dyDescent="0.15">
      <c r="A277" s="39" t="str">
        <f t="shared" si="4"/>
        <v>49015021_49015206</v>
      </c>
      <c r="B277" s="47">
        <v>49015021</v>
      </c>
      <c r="C277" s="121">
        <v>49015206</v>
      </c>
      <c r="D277" s="46" t="str">
        <f ca="1">VLOOKUP($C277,OFFSET(enemy_skills!$A$1,0,0,COUNTA(enemy_skills!$A:$A),MATCH(D$1,enemy_skills!$1:$1,0)-MATCH("enemy_skill_id",enemy_skills!$1:$1,0)+1),MATCH(D$1,enemy_skills!$1:$1,0)-MATCH("enemy_skill_id",enemy_skills!$1:$1,0)+1,FALSE)</f>
        <v>スカーよ、イシュヴァールの恨みか？</v>
      </c>
      <c r="E277" s="46" t="str">
        <f ca="1">VLOOKUP($C277,OFFSET(enemy_skills!$A$1,0,0,COUNTA(enemy_skills!$A:$A),MATCH(E$1,enemy_skills!$1:$1,0)-MATCH("enemy_skill_id",enemy_skills!$1:$1,0)+1),MATCH(E$1,enemy_skills!$1:$1,0)-MATCH("enemy_skill_id",enemy_skills!$1:$1,0)+1,FALSE)</f>
        <v>『あの戦、忘れはせんぞ！キング・ブラッドレイ！』</v>
      </c>
      <c r="F277" s="121">
        <v>49015276</v>
      </c>
      <c r="G277" s="48">
        <f ca="1">VLOOKUP($F277,OFFSET(enemy_skill_triggers!$A$1,0,0,COUNTA(enemy_skill_triggers!$A:$A),MATCH(G$1,enemy_skill_triggers!$1:$1,0)-MATCH($F$1,enemy_skill_triggers!$1:$1,0)+1),MATCH(G$1,enemy_skill_triggers!$1:$1,0)-MATCH($F$1,enemy_skill_triggers!$1:$1,0)+1,FALSE)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7" s="48">
        <f ca="1">VLOOKUP($F277,OFFSET(enemy_skill_triggers!$A$1,0,0,COUNTA(enemy_skill_triggers!$A:$A),MATCH(H$1,enemy_skill_triggers!$1:$1,0)-MATCH($F$1,enemy_skill_triggers!$1:$1,0)+1),MATCH(H$1,enemy_skill_triggers!$1:$1,0)-MATCH($F$1,enemy_skill_triggers!$1:$1,0)+1,FALSE)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77" s="48">
        <f ca="1">VLOOKUP($F277,OFFSET(enemy_skill_triggers!$A$1,0,0,COUNTA(enemy_skill_triggers!$A:$A),MATCH(I$1,enemy_skill_triggers!$1:$1,0)-MATCH($F$1,enemy_skill_triggers!$1:$1,0)+1),MATCH(I$1,enemy_skill_triggers!$1:$1,0)-MATCH($F$1,enemy_skill_triggers!$1:$1,0)+1,FALSE)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7" s="48" t="str">
        <f ca="1">VLOOKUP($F277,OFFSET(enemy_skill_triggers!$A$1,0,0,COUNTA(enemy_skill_triggers!$A:$A),MATCH(J$1,enemy_skill_triggers!$1:$1,0)-MATCH($F$1,enemy_skill_triggers!$1:$1,0)+1),MATCH(J$1,enemy_skill_triggers!$1:$1,0)-MATCH($F$1,enemy_skill_triggers!$1:$1,0)+1,FALSE)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7" s="48" t="str">
        <f ca="1">VLOOKUP($F277,OFFSET(enemy_skill_triggers!$A$1,0,0,COUNTA(enemy_skill_triggers!$A:$A),MATCH(K$1,enemy_skill_triggers!$1:$1,0)-MATCH($F$1,enemy_skill_triggers!$1:$1,0)+1),MATCH(K$1,enemy_skill_triggers!$1:$1,0)-MATCH($F$1,enemy_skill_triggers!$1:$1,0)+1,FALSE)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7" s="48">
        <f ca="1">VLOOKUP($F277,OFFSET(enemy_skill_triggers!$A$1,0,0,COUNTA(enemy_skill_triggers!$A:$A),MATCH(L$1,enemy_skill_triggers!$1:$1,0)-MATCH($F$1,enemy_skill_triggers!$1:$1,0)+1),MATCH(L$1,enemy_skill_triggers!$1:$1,0)-MATCH($F$1,enemy_skill_triggers!$1:$1,0)+1,FALSE)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7" s="48" t="str">
        <f ca="1">VLOOKUP($F277,OFFSET(enemy_skill_triggers!$A$1,0,0,COUNTA(enemy_skill_triggers!$A:$A),MATCH(M$1,enemy_skill_triggers!$1:$1,0)-MATCH($F$1,enemy_skill_triggers!$1:$1,0)+1),MATCH(M$1,enemy_skill_triggers!$1:$1,0)-MATCH($F$1,enemy_skill_triggers!$1:$1,0)+1,FALSE)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7" s="48">
        <f ca="1">VLOOKUP($F277,OFFSET(enemy_skill_triggers!$A$1,0,0,COUNTA(enemy_skill_triggers!$A:$A),MATCH(N$1,enemy_skill_triggers!$1:$1,0)-MATCH($F$1,enemy_skill_triggers!$1:$1,0)+1),MATCH(N$1,enemy_skill_triggers!$1:$1,0)-MATCH($F$1,enemy_skill_triggers!$1:$1,0)+1,FALSE)</f>
        <v>1466</v>
      </c>
      <c r="O277" s="48">
        <f ca="1">VLOOKUP($F277,OFFSET(enemy_skill_triggers!$A$1,0,0,COUNTA(enemy_skill_triggers!$A:$A),MATCH(O$1,enemy_skill_triggers!$1:$1,0)-MATCH($F$1,enemy_skill_triggers!$1:$1,0)+1),MATCH(O$1,enemy_skill_triggers!$1:$1,0)-MATCH($F$1,enemy_skill_triggers!$1:$1,0)+1,FALSE)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7" s="47"/>
      <c r="Q277" s="47"/>
      <c r="R277" s="47"/>
    </row>
    <row r="278" spans="1:18" ht="21" customHeight="1" x14ac:dyDescent="0.15">
      <c r="A278" s="39" t="str">
        <f t="shared" si="4"/>
        <v>49015021_49015206</v>
      </c>
      <c r="B278" s="47">
        <v>49015021</v>
      </c>
      <c r="C278" s="121">
        <v>49015206</v>
      </c>
      <c r="D278" s="46" t="str">
        <f ca="1">VLOOKUP($C278,OFFSET(enemy_skills!$A$1,0,0,COUNTA(enemy_skills!$A:$A),MATCH(D$1,enemy_skills!$1:$1,0)-MATCH("enemy_skill_id",enemy_skills!$1:$1,0)+1),MATCH(D$1,enemy_skills!$1:$1,0)-MATCH("enemy_skill_id",enemy_skills!$1:$1,0)+1,FALSE)</f>
        <v>スカーよ、イシュヴァールの恨みか？</v>
      </c>
      <c r="E278" s="46" t="str">
        <f ca="1">VLOOKUP($C278,OFFSET(enemy_skills!$A$1,0,0,COUNTA(enemy_skills!$A:$A),MATCH(E$1,enemy_skills!$1:$1,0)-MATCH("enemy_skill_id",enemy_skills!$1:$1,0)+1),MATCH(E$1,enemy_skills!$1:$1,0)-MATCH("enemy_skill_id",enemy_skills!$1:$1,0)+1,FALSE)</f>
        <v>『あの戦、忘れはせんぞ！キング・ブラッドレイ！』</v>
      </c>
      <c r="F278" s="121">
        <v>49015277</v>
      </c>
      <c r="G278" s="48">
        <f ca="1">VLOOKUP($F278,OFFSET(enemy_skill_triggers!$A$1,0,0,COUNTA(enemy_skill_triggers!$A:$A),MATCH(G$1,enemy_skill_triggers!$1:$1,0)-MATCH($F$1,enemy_skill_triggers!$1:$1,0)+1),MATCH(G$1,enemy_skill_triggers!$1:$1,0)-MATCH($F$1,enemy_skill_triggers!$1:$1,0)+1,FALSE)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8" s="48">
        <f ca="1">VLOOKUP($F278,OFFSET(enemy_skill_triggers!$A$1,0,0,COUNTA(enemy_skill_triggers!$A:$A),MATCH(H$1,enemy_skill_triggers!$1:$1,0)-MATCH($F$1,enemy_skill_triggers!$1:$1,0)+1),MATCH(H$1,enemy_skill_triggers!$1:$1,0)-MATCH($F$1,enemy_skill_triggers!$1:$1,0)+1,FALSE)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278" s="48">
        <f ca="1">VLOOKUP($F278,OFFSET(enemy_skill_triggers!$A$1,0,0,COUNTA(enemy_skill_triggers!$A:$A),MATCH(I$1,enemy_skill_triggers!$1:$1,0)-MATCH($F$1,enemy_skill_triggers!$1:$1,0)+1),MATCH(I$1,enemy_skill_triggers!$1:$1,0)-MATCH($F$1,enemy_skill_triggers!$1:$1,0)+1,FALSE)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8" s="48" t="str">
        <f ca="1">VLOOKUP($F278,OFFSET(enemy_skill_triggers!$A$1,0,0,COUNTA(enemy_skill_triggers!$A:$A),MATCH(J$1,enemy_skill_triggers!$1:$1,0)-MATCH($F$1,enemy_skill_triggers!$1:$1,0)+1),MATCH(J$1,enemy_skill_triggers!$1:$1,0)-MATCH($F$1,enemy_skill_triggers!$1:$1,0)+1,FALSE)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8" s="48" t="str">
        <f ca="1">VLOOKUP($F278,OFFSET(enemy_skill_triggers!$A$1,0,0,COUNTA(enemy_skill_triggers!$A:$A),MATCH(K$1,enemy_skill_triggers!$1:$1,0)-MATCH($F$1,enemy_skill_triggers!$1:$1,0)+1),MATCH(K$1,enemy_skill_triggers!$1:$1,0)-MATCH($F$1,enemy_skill_triggers!$1:$1,0)+1,FALSE)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8" s="48">
        <f ca="1">VLOOKUP($F278,OFFSET(enemy_skill_triggers!$A$1,0,0,COUNTA(enemy_skill_triggers!$A:$A),MATCH(L$1,enemy_skill_triggers!$1:$1,0)-MATCH($F$1,enemy_skill_triggers!$1:$1,0)+1),MATCH(L$1,enemy_skill_triggers!$1:$1,0)-MATCH($F$1,enemy_skill_triggers!$1:$1,0)+1,FALSE)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8" s="48" t="str">
        <f ca="1">VLOOKUP($F278,OFFSET(enemy_skill_triggers!$A$1,0,0,COUNTA(enemy_skill_triggers!$A:$A),MATCH(M$1,enemy_skill_triggers!$1:$1,0)-MATCH($F$1,enemy_skill_triggers!$1:$1,0)+1),MATCH(M$1,enemy_skill_triggers!$1:$1,0)-MATCH($F$1,enemy_skill_triggers!$1:$1,0)+1,FALSE)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8" s="48">
        <f ca="1">VLOOKUP($F278,OFFSET(enemy_skill_triggers!$A$1,0,0,COUNTA(enemy_skill_triggers!$A:$A),MATCH(N$1,enemy_skill_triggers!$1:$1,0)-MATCH($F$1,enemy_skill_triggers!$1:$1,0)+1),MATCH(N$1,enemy_skill_triggers!$1:$1,0)-MATCH($F$1,enemy_skill_triggers!$1:$1,0)+1,FALSE)</f>
        <v>1467</v>
      </c>
      <c r="O278" s="48">
        <f ca="1">VLOOKUP($F278,OFFSET(enemy_skill_triggers!$A$1,0,0,COUNTA(enemy_skill_triggers!$A:$A),MATCH(O$1,enemy_skill_triggers!$1:$1,0)-MATCH($F$1,enemy_skill_triggers!$1:$1,0)+1),MATCH(O$1,enemy_skill_triggers!$1:$1,0)-MATCH($F$1,enemy_skill_triggers!$1:$1,0)+1,FALSE)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8" s="47"/>
      <c r="Q278" s="47"/>
      <c r="R278" s="47"/>
    </row>
    <row r="279" spans="1:18" ht="21" customHeight="1" x14ac:dyDescent="0.15">
      <c r="A279" s="39" t="str">
        <f t="shared" si="4"/>
        <v>49015021_49015207</v>
      </c>
      <c r="B279" s="47">
        <v>49015021</v>
      </c>
      <c r="C279" s="121">
        <v>49015207</v>
      </c>
      <c r="D279" s="46" t="str">
        <f ca="1">VLOOKUP($C279,OFFSET(enemy_skills!$A$1,0,0,COUNTA(enemy_skills!$A:$A),MATCH(D$1,enemy_skills!$1:$1,0)-MATCH("enemy_skill_id",enemy_skills!$1:$1,0)+1),MATCH(D$1,enemy_skills!$1:$1,0)-MATCH("enemy_skill_id",enemy_skills!$1:$1,0)+1,FALSE)</f>
        <v>ブラッドレイ式剣術</v>
      </c>
      <c r="E279" s="46" t="str">
        <f ca="1">VLOOKUP($C279,OFFSET(enemy_skills!$A$1,0,0,COUNTA(enemy_skills!$A:$A),MATCH(E$1,enemy_skills!$1:$1,0)-MATCH("enemy_skill_id",enemy_skills!$1:$1,0)+1),MATCH(E$1,enemy_skills!$1:$1,0)-MATCH("enemy_skill_id",enemy_skills!$1:$1,0)+1,FALSE)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79" s="121">
        <v>49015278</v>
      </c>
      <c r="G279" s="48">
        <f ca="1">VLOOKUP($F279,OFFSET(enemy_skill_triggers!$A$1,0,0,COUNTA(enemy_skill_triggers!$A:$A),MATCH(G$1,enemy_skill_triggers!$1:$1,0)-MATCH($F$1,enemy_skill_triggers!$1:$1,0)+1),MATCH(G$1,enemy_skill_triggers!$1:$1,0)-MATCH($F$1,enemy_skill_triggers!$1:$1,0)+1,FALSE)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9" s="48" t="str">
        <f ca="1">VLOOKUP($F279,OFFSET(enemy_skill_triggers!$A$1,0,0,COUNTA(enemy_skill_triggers!$A:$A),MATCH(H$1,enemy_skill_triggers!$1:$1,0)-MATCH($F$1,enemy_skill_triggers!$1:$1,0)+1),MATCH(H$1,enemy_skill_triggers!$1:$1,0)-MATCH($F$1,enemy_skill_triggers!$1:$1,0)+1,FALSE)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9" s="48">
        <f ca="1">VLOOKUP($F279,OFFSET(enemy_skill_triggers!$A$1,0,0,COUNTA(enemy_skill_triggers!$A:$A),MATCH(I$1,enemy_skill_triggers!$1:$1,0)-MATCH($F$1,enemy_skill_triggers!$1:$1,0)+1),MATCH(I$1,enemy_skill_triggers!$1:$1,0)-MATCH($F$1,enemy_skill_triggers!$1:$1,0)+1,FALSE)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79" s="48" t="str">
        <f ca="1">VLOOKUP($F279,OFFSET(enemy_skill_triggers!$A$1,0,0,COUNTA(enemy_skill_triggers!$A:$A),MATCH(J$1,enemy_skill_triggers!$1:$1,0)-MATCH($F$1,enemy_skill_triggers!$1:$1,0)+1),MATCH(J$1,enemy_skill_triggers!$1:$1,0)-MATCH($F$1,enemy_skill_triggers!$1:$1,0)+1,FALSE)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9" s="48" t="str">
        <f ca="1">VLOOKUP($F279,OFFSET(enemy_skill_triggers!$A$1,0,0,COUNTA(enemy_skill_triggers!$A:$A),MATCH(K$1,enemy_skill_triggers!$1:$1,0)-MATCH($F$1,enemy_skill_triggers!$1:$1,0)+1),MATCH(K$1,enemy_skill_triggers!$1:$1,0)-MATCH($F$1,enemy_skill_triggers!$1:$1,0)+1,FALSE)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9" s="48" t="str">
        <f ca="1">VLOOKUP($F279,OFFSET(enemy_skill_triggers!$A$1,0,0,COUNTA(enemy_skill_triggers!$A:$A),MATCH(L$1,enemy_skill_triggers!$1:$1,0)-MATCH($F$1,enemy_skill_triggers!$1:$1,0)+1),MATCH(L$1,enemy_skill_triggers!$1:$1,0)-MATCH($F$1,enemy_skill_triggers!$1:$1,0)+1,FALSE)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9" s="48" t="str">
        <f ca="1">VLOOKUP($F279,OFFSET(enemy_skill_triggers!$A$1,0,0,COUNTA(enemy_skill_triggers!$A:$A),MATCH(M$1,enemy_skill_triggers!$1:$1,0)-MATCH($F$1,enemy_skill_triggers!$1:$1,0)+1),MATCH(M$1,enemy_skill_triggers!$1:$1,0)-MATCH($F$1,enemy_skill_triggers!$1:$1,0)+1,FALSE)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9" s="48" t="str">
        <f ca="1">VLOOKUP($F279,OFFSET(enemy_skill_triggers!$A$1,0,0,COUNTA(enemy_skill_triggers!$A:$A),MATCH(N$1,enemy_skill_triggers!$1:$1,0)-MATCH($F$1,enemy_skill_triggers!$1:$1,0)+1),MATCH(N$1,enemy_skill_triggers!$1:$1,0)-MATCH($F$1,enemy_skill_triggers!$1:$1,0)+1,FALSE)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9" s="48">
        <f ca="1">VLOOKUP($F279,OFFSET(enemy_skill_triggers!$A$1,0,0,COUNTA(enemy_skill_triggers!$A:$A),MATCH(O$1,enemy_skill_triggers!$1:$1,0)-MATCH($F$1,enemy_skill_triggers!$1:$1,0)+1),MATCH(O$1,enemy_skill_triggers!$1:$1,0)-MATCH($F$1,enemy_skill_triggers!$1:$1,0)+1,FALSE)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79" s="47"/>
      <c r="Q279" s="47"/>
      <c r="R279" s="47"/>
    </row>
    <row r="280" spans="1:18" ht="21" customHeight="1" x14ac:dyDescent="0.15">
      <c r="A280" s="39" t="str">
        <f t="shared" si="4"/>
        <v>49015021_49015208</v>
      </c>
      <c r="B280" s="47">
        <v>49015021</v>
      </c>
      <c r="C280" s="121">
        <v>49015208</v>
      </c>
      <c r="D280" s="46" t="str">
        <f ca="1">VLOOKUP($C280,OFFSET(enemy_skills!$A$1,0,0,COUNTA(enemy_skills!$A:$A),MATCH(D$1,enemy_skills!$1:$1,0)-MATCH("enemy_skill_id",enemy_skills!$1:$1,0)+1),MATCH(D$1,enemy_skills!$1:$1,0)-MATCH("enemy_skill_id",enemy_skills!$1:$1,0)+1,FALSE)</f>
        <v>こっちの得物の方がしっくりくるわ</v>
      </c>
      <c r="E280" s="46" t="str">
        <f ca="1">VLOOKUP($C280,OFFSET(enemy_skills!$A$1,0,0,COUNTA(enemy_skills!$A:$A),MATCH(E$1,enemy_skills!$1:$1,0)-MATCH("enemy_skill_id",enemy_skills!$1:$1,0)+1),MATCH(E$1,enemy_skills!$1:$1,0)-MATCH("enemy_skill_id",enemy_skills!$1:$1,0)+1,FALSE)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80" s="121">
        <v>49015279</v>
      </c>
      <c r="G280" s="48">
        <f ca="1">VLOOKUP($F280,OFFSET(enemy_skill_triggers!$A$1,0,0,COUNTA(enemy_skill_triggers!$A:$A),MATCH(G$1,enemy_skill_triggers!$1:$1,0)-MATCH($F$1,enemy_skill_triggers!$1:$1,0)+1),MATCH(G$1,enemy_skill_triggers!$1:$1,0)-MATCH($F$1,enemy_skill_triggers!$1:$1,0)+1,FALSE)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0" s="48" t="str">
        <f ca="1">VLOOKUP($F280,OFFSET(enemy_skill_triggers!$A$1,0,0,COUNTA(enemy_skill_triggers!$A:$A),MATCH(H$1,enemy_skill_triggers!$1:$1,0)-MATCH($F$1,enemy_skill_triggers!$1:$1,0)+1),MATCH(H$1,enemy_skill_triggers!$1:$1,0)-MATCH($F$1,enemy_skill_triggers!$1:$1,0)+1,FALSE)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0" s="48">
        <f ca="1">VLOOKUP($F280,OFFSET(enemy_skill_triggers!$A$1,0,0,COUNTA(enemy_skill_triggers!$A:$A),MATCH(I$1,enemy_skill_triggers!$1:$1,0)-MATCH($F$1,enemy_skill_triggers!$1:$1,0)+1),MATCH(I$1,enemy_skill_triggers!$1:$1,0)-MATCH($F$1,enemy_skill_triggers!$1:$1,0)+1,FALSE)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0" s="48" t="str">
        <f ca="1">VLOOKUP($F280,OFFSET(enemy_skill_triggers!$A$1,0,0,COUNTA(enemy_skill_triggers!$A:$A),MATCH(J$1,enemy_skill_triggers!$1:$1,0)-MATCH($F$1,enemy_skill_triggers!$1:$1,0)+1),MATCH(J$1,enemy_skill_triggers!$1:$1,0)-MATCH($F$1,enemy_skill_triggers!$1:$1,0)+1,FALSE)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0" s="48" t="str">
        <f ca="1">VLOOKUP($F280,OFFSET(enemy_skill_triggers!$A$1,0,0,COUNTA(enemy_skill_triggers!$A:$A),MATCH(K$1,enemy_skill_triggers!$1:$1,0)-MATCH($F$1,enemy_skill_triggers!$1:$1,0)+1),MATCH(K$1,enemy_skill_triggers!$1:$1,0)-MATCH($F$1,enemy_skill_triggers!$1:$1,0)+1,FALSE)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0" s="48" t="str">
        <f ca="1">VLOOKUP($F280,OFFSET(enemy_skill_triggers!$A$1,0,0,COUNTA(enemy_skill_triggers!$A:$A),MATCH(L$1,enemy_skill_triggers!$1:$1,0)-MATCH($F$1,enemy_skill_triggers!$1:$1,0)+1),MATCH(L$1,enemy_skill_triggers!$1:$1,0)-MATCH($F$1,enemy_skill_triggers!$1:$1,0)+1,FALSE)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0" s="48" t="str">
        <f ca="1">VLOOKUP($F280,OFFSET(enemy_skill_triggers!$A$1,0,0,COUNTA(enemy_skill_triggers!$A:$A),MATCH(M$1,enemy_skill_triggers!$1:$1,0)-MATCH($F$1,enemy_skill_triggers!$1:$1,0)+1),MATCH(M$1,enemy_skill_triggers!$1:$1,0)-MATCH($F$1,enemy_skill_triggers!$1:$1,0)+1,FALSE)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0" s="48" t="str">
        <f ca="1">VLOOKUP($F280,OFFSET(enemy_skill_triggers!$A$1,0,0,COUNTA(enemy_skill_triggers!$A:$A),MATCH(N$1,enemy_skill_triggers!$1:$1,0)-MATCH($F$1,enemy_skill_triggers!$1:$1,0)+1),MATCH(N$1,enemy_skill_triggers!$1:$1,0)-MATCH($F$1,enemy_skill_triggers!$1:$1,0)+1,FALSE)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0" s="48">
        <f ca="1">VLOOKUP($F280,OFFSET(enemy_skill_triggers!$A$1,0,0,COUNTA(enemy_skill_triggers!$A:$A),MATCH(O$1,enemy_skill_triggers!$1:$1,0)-MATCH($F$1,enemy_skill_triggers!$1:$1,0)+1),MATCH(O$1,enemy_skill_triggers!$1:$1,0)-MATCH($F$1,enemy_skill_triggers!$1:$1,0)+1,FALSE)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0" s="47"/>
      <c r="Q280" s="47"/>
      <c r="R280" s="47"/>
    </row>
    <row r="281" spans="1:18" ht="21" customHeight="1" thickBot="1" x14ac:dyDescent="0.2">
      <c r="A281" s="39" t="str">
        <f t="shared" si="4"/>
        <v>49015021_49015209</v>
      </c>
      <c r="B281" s="111">
        <v>49015021</v>
      </c>
      <c r="C281" s="122">
        <v>49015209</v>
      </c>
      <c r="D281" s="145" t="str">
        <f ca="1">VLOOKUP($C281,OFFSET(enemy_skills!$A$1,0,0,COUNTA(enemy_skills!$A:$A),MATCH(D$1,enemy_skills!$1:$1,0)-MATCH("enemy_skill_id",enemy_skills!$1:$1,0)+1),MATCH(D$1,enemy_skills!$1:$1,0)-MATCH("enemy_skill_id",enemy_skills!$1:$1,0)+1,FALSE)</f>
        <v>歳はとりたくないものだ</v>
      </c>
      <c r="E281" s="145" t="str">
        <f ca="1">VLOOKUP($C281,OFFSET(enemy_skills!$A$1,0,0,COUNTA(enemy_skills!$A:$A),MATCH(E$1,enemy_skills!$1:$1,0)-MATCH("enemy_skill_id",enemy_skills!$1:$1,0)+1),MATCH(E$1,enemy_skills!$1:$1,0)-MATCH("enemy_skill_id",enemy_skills!$1:$1,0)+1,FALSE)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81" s="122">
        <v>49015280</v>
      </c>
      <c r="G281" s="114">
        <f ca="1">VLOOKUP($F281,OFFSET(enemy_skill_triggers!$A$1,0,0,COUNTA(enemy_skill_triggers!$A:$A),MATCH(G$1,enemy_skill_triggers!$1:$1,0)-MATCH($F$1,enemy_skill_triggers!$1:$1,0)+1),MATCH(G$1,enemy_skill_triggers!$1:$1,0)-MATCH($F$1,enemy_skill_triggers!$1:$1,0)+1,FALSE)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1" s="114" t="str">
        <f ca="1">VLOOKUP($F281,OFFSET(enemy_skill_triggers!$A$1,0,0,COUNTA(enemy_skill_triggers!$A:$A),MATCH(H$1,enemy_skill_triggers!$1:$1,0)-MATCH($F$1,enemy_skill_triggers!$1:$1,0)+1),MATCH(H$1,enemy_skill_triggers!$1:$1,0)-MATCH($F$1,enemy_skill_triggers!$1:$1,0)+1,FALSE)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1" s="114">
        <f ca="1">VLOOKUP($F281,OFFSET(enemy_skill_triggers!$A$1,0,0,COUNTA(enemy_skill_triggers!$A:$A),MATCH(I$1,enemy_skill_triggers!$1:$1,0)-MATCH($F$1,enemy_skill_triggers!$1:$1,0)+1),MATCH(I$1,enemy_skill_triggers!$1:$1,0)-MATCH($F$1,enemy_skill_triggers!$1:$1,0)+1,FALSE)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1" s="114" t="str">
        <f ca="1">VLOOKUP($F281,OFFSET(enemy_skill_triggers!$A$1,0,0,COUNTA(enemy_skill_triggers!$A:$A),MATCH(J$1,enemy_skill_triggers!$1:$1,0)-MATCH($F$1,enemy_skill_triggers!$1:$1,0)+1),MATCH(J$1,enemy_skill_triggers!$1:$1,0)-MATCH($F$1,enemy_skill_triggers!$1:$1,0)+1,FALSE)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1" s="114" t="str">
        <f ca="1">VLOOKUP($F281,OFFSET(enemy_skill_triggers!$A$1,0,0,COUNTA(enemy_skill_triggers!$A:$A),MATCH(K$1,enemy_skill_triggers!$1:$1,0)-MATCH($F$1,enemy_skill_triggers!$1:$1,0)+1),MATCH(K$1,enemy_skill_triggers!$1:$1,0)-MATCH($F$1,enemy_skill_triggers!$1:$1,0)+1,FALSE)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1" s="114" t="str">
        <f ca="1">VLOOKUP($F281,OFFSET(enemy_skill_triggers!$A$1,0,0,COUNTA(enemy_skill_triggers!$A:$A),MATCH(L$1,enemy_skill_triggers!$1:$1,0)-MATCH($F$1,enemy_skill_triggers!$1:$1,0)+1),MATCH(L$1,enemy_skill_triggers!$1:$1,0)-MATCH($F$1,enemy_skill_triggers!$1:$1,0)+1,FALSE)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1" s="114">
        <f ca="1">VLOOKUP($F281,OFFSET(enemy_skill_triggers!$A$1,0,0,COUNTA(enemy_skill_triggers!$A:$A),MATCH(M$1,enemy_skill_triggers!$1:$1,0)-MATCH($F$1,enemy_skill_triggers!$1:$1,0)+1),MATCH(M$1,enemy_skill_triggers!$1:$1,0)-MATCH($F$1,enemy_skill_triggers!$1:$1,0)+1,FALSE)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81" s="114" t="str">
        <f ca="1">VLOOKUP($F281,OFFSET(enemy_skill_triggers!$A$1,0,0,COUNTA(enemy_skill_triggers!$A:$A),MATCH(N$1,enemy_skill_triggers!$1:$1,0)-MATCH($F$1,enemy_skill_triggers!$1:$1,0)+1),MATCH(N$1,enemy_skill_triggers!$1:$1,0)-MATCH($F$1,enemy_skill_triggers!$1:$1,0)+1,FALSE)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1" s="114">
        <f ca="1">VLOOKUP($F281,OFFSET(enemy_skill_triggers!$A$1,0,0,COUNTA(enemy_skill_triggers!$A:$A),MATCH(O$1,enemy_skill_triggers!$1:$1,0)-MATCH($F$1,enemy_skill_triggers!$1:$1,0)+1),MATCH(O$1,enemy_skill_triggers!$1:$1,0)-MATCH($F$1,enemy_skill_triggers!$1:$1,0)+1,FALSE)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1" s="111"/>
      <c r="Q281" s="111"/>
      <c r="R281" s="111"/>
    </row>
    <row r="282" spans="1:18" ht="21" customHeight="1" x14ac:dyDescent="0.15">
      <c r="A282" s="39" t="str">
        <f t="shared" si="4"/>
        <v>49015022_49015210</v>
      </c>
      <c r="B282" s="106">
        <v>49015022</v>
      </c>
      <c r="C282" s="123">
        <v>49015210</v>
      </c>
      <c r="D282" s="144" t="str">
        <f ca="1">VLOOKUP($C282,OFFSET(enemy_skills!$A$1,0,0,COUNTA(enemy_skills!$A:$A),MATCH(D$1,enemy_skills!$1:$1,0)-MATCH("enemy_skill_id",enemy_skills!$1:$1,0)+1),MATCH(D$1,enemy_skills!$1:$1,0)-MATCH("enemy_skill_id",enemy_skills!$1:$1,0)+1,FALSE)</f>
        <v>最強の目を持って迎えてやろう</v>
      </c>
      <c r="E282" s="144" t="str">
        <f ca="1">VLOOKUP($C282,OFFSET(enemy_skills!$A$1,0,0,COUNTA(enemy_skills!$A:$A),MATCH(E$1,enemy_skills!$1:$1,0)-MATCH("enemy_skill_id",enemy_skills!$1:$1,0)+1),MATCH(E$1,enemy_skills!$1:$1,0)-MATCH("enemy_skill_id",enemy_skills!$1:$1,0)+1,FALSE)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282" s="123">
        <v>49015281</v>
      </c>
      <c r="G282" s="109">
        <f ca="1">VLOOKUP($F282,OFFSET(enemy_skill_triggers!$A$1,0,0,COUNTA(enemy_skill_triggers!$A:$A),MATCH(G$1,enemy_skill_triggers!$1:$1,0)-MATCH($F$1,enemy_skill_triggers!$1:$1,0)+1),MATCH(G$1,enemy_skill_triggers!$1:$1,0)-MATCH($F$1,enemy_skill_triggers!$1:$1,0)+1,FALSE)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2" s="109">
        <f ca="1">VLOOKUP($F282,OFFSET(enemy_skill_triggers!$A$1,0,0,COUNTA(enemy_skill_triggers!$A:$A),MATCH(H$1,enemy_skill_triggers!$1:$1,0)-MATCH($F$1,enemy_skill_triggers!$1:$1,0)+1),MATCH(H$1,enemy_skill_triggers!$1:$1,0)-MATCH($F$1,enemy_skill_triggers!$1:$1,0)+1,FALSE)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2" s="109">
        <f ca="1">VLOOKUP($F282,OFFSET(enemy_skill_triggers!$A$1,0,0,COUNTA(enemy_skill_triggers!$A:$A),MATCH(I$1,enemy_skill_triggers!$1:$1,0)-MATCH($F$1,enemy_skill_triggers!$1:$1,0)+1),MATCH(I$1,enemy_skill_triggers!$1:$1,0)-MATCH($F$1,enemy_skill_triggers!$1:$1,0)+1,FALSE)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2" s="109" t="str">
        <f ca="1">VLOOKUP($F282,OFFSET(enemy_skill_triggers!$A$1,0,0,COUNTA(enemy_skill_triggers!$A:$A),MATCH(J$1,enemy_skill_triggers!$1:$1,0)-MATCH($F$1,enemy_skill_triggers!$1:$1,0)+1),MATCH(J$1,enemy_skill_triggers!$1:$1,0)-MATCH($F$1,enemy_skill_triggers!$1:$1,0)+1,FALSE)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2" s="109" t="str">
        <f ca="1">VLOOKUP($F282,OFFSET(enemy_skill_triggers!$A$1,0,0,COUNTA(enemy_skill_triggers!$A:$A),MATCH(K$1,enemy_skill_triggers!$1:$1,0)-MATCH($F$1,enemy_skill_triggers!$1:$1,0)+1),MATCH(K$1,enemy_skill_triggers!$1:$1,0)-MATCH($F$1,enemy_skill_triggers!$1:$1,0)+1,FALSE)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2" s="109">
        <f ca="1">VLOOKUP($F282,OFFSET(enemy_skill_triggers!$A$1,0,0,COUNTA(enemy_skill_triggers!$A:$A),MATCH(L$1,enemy_skill_triggers!$1:$1,0)-MATCH($F$1,enemy_skill_triggers!$1:$1,0)+1),MATCH(L$1,enemy_skill_triggers!$1:$1,0)-MATCH($F$1,enemy_skill_triggers!$1:$1,0)+1,FALSE)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2" s="109" t="str">
        <f ca="1">VLOOKUP($F282,OFFSET(enemy_skill_triggers!$A$1,0,0,COUNTA(enemy_skill_triggers!$A:$A),MATCH(M$1,enemy_skill_triggers!$1:$1,0)-MATCH($F$1,enemy_skill_triggers!$1:$1,0)+1),MATCH(M$1,enemy_skill_triggers!$1:$1,0)-MATCH($F$1,enemy_skill_triggers!$1:$1,0)+1,FALSE)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2" s="109" t="str">
        <f ca="1">VLOOKUP($F282,OFFSET(enemy_skill_triggers!$A$1,0,0,COUNTA(enemy_skill_triggers!$A:$A),MATCH(N$1,enemy_skill_triggers!$1:$1,0)-MATCH($F$1,enemy_skill_triggers!$1:$1,0)+1),MATCH(N$1,enemy_skill_triggers!$1:$1,0)-MATCH($F$1,enemy_skill_triggers!$1:$1,0)+1,FALSE)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2" s="109">
        <f ca="1">VLOOKUP($F282,OFFSET(enemy_skill_triggers!$A$1,0,0,COUNTA(enemy_skill_triggers!$A:$A),MATCH(O$1,enemy_skill_triggers!$1:$1,0)-MATCH($F$1,enemy_skill_triggers!$1:$1,0)+1),MATCH(O$1,enemy_skill_triggers!$1:$1,0)-MATCH($F$1,enemy_skill_triggers!$1:$1,0)+1,FALSE)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2" s="106"/>
      <c r="Q282" s="106"/>
      <c r="R282" s="106"/>
    </row>
    <row r="283" spans="1:18" ht="21" customHeight="1" x14ac:dyDescent="0.15">
      <c r="A283" s="39" t="str">
        <f t="shared" si="4"/>
        <v>49015022_49015211</v>
      </c>
      <c r="B283" s="106">
        <v>49015022</v>
      </c>
      <c r="C283" s="121">
        <v>49015211</v>
      </c>
      <c r="D283" s="46" t="str">
        <f ca="1">VLOOKUP($C283,OFFSET(enemy_skills!$A$1,0,0,COUNTA(enemy_skills!$A:$A),MATCH(D$1,enemy_skills!$1:$1,0)-MATCH("enemy_skill_id",enemy_skills!$1:$1,0)+1),MATCH(D$1,enemy_skills!$1:$1,0)-MATCH("enemy_skill_id",enemy_skills!$1:$1,0)+1,FALSE)</f>
        <v>ブラッドレイ式剣術</v>
      </c>
      <c r="E283" s="46" t="str">
        <f ca="1">VLOOKUP($C283,OFFSET(enemy_skills!$A$1,0,0,COUNTA(enemy_skills!$A:$A),MATCH(E$1,enemy_skills!$1:$1,0)-MATCH("enemy_skill_id",enemy_skills!$1:$1,0)+1),MATCH(E$1,enemy_skills!$1:$1,0)-MATCH("enemy_skill_id",enemy_skills!$1:$1,0)+1,FALSE)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83" s="121">
        <v>49015282</v>
      </c>
      <c r="G283" s="48">
        <f ca="1">VLOOKUP($F283,OFFSET(enemy_skill_triggers!$A$1,0,0,COUNTA(enemy_skill_triggers!$A:$A),MATCH(G$1,enemy_skill_triggers!$1:$1,0)-MATCH($F$1,enemy_skill_triggers!$1:$1,0)+1),MATCH(G$1,enemy_skill_triggers!$1:$1,0)-MATCH($F$1,enemy_skill_triggers!$1:$1,0)+1,FALSE)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3" s="48">
        <f ca="1">VLOOKUP($F283,OFFSET(enemy_skill_triggers!$A$1,0,0,COUNTA(enemy_skill_triggers!$A:$A),MATCH(H$1,enemy_skill_triggers!$1:$1,0)-MATCH($F$1,enemy_skill_triggers!$1:$1,0)+1),MATCH(H$1,enemy_skill_triggers!$1:$1,0)-MATCH($F$1,enemy_skill_triggers!$1:$1,0)+1,FALSE)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83" s="48">
        <f ca="1">VLOOKUP($F283,OFFSET(enemy_skill_triggers!$A$1,0,0,COUNTA(enemy_skill_triggers!$A:$A),MATCH(I$1,enemy_skill_triggers!$1:$1,0)-MATCH($F$1,enemy_skill_triggers!$1:$1,0)+1),MATCH(I$1,enemy_skill_triggers!$1:$1,0)-MATCH($F$1,enemy_skill_triggers!$1:$1,0)+1,FALSE)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83" s="48" t="str">
        <f ca="1">VLOOKUP($F283,OFFSET(enemy_skill_triggers!$A$1,0,0,COUNTA(enemy_skill_triggers!$A:$A),MATCH(J$1,enemy_skill_triggers!$1:$1,0)-MATCH($F$1,enemy_skill_triggers!$1:$1,0)+1),MATCH(J$1,enemy_skill_triggers!$1:$1,0)-MATCH($F$1,enemy_skill_triggers!$1:$1,0)+1,FALSE)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3" s="48" t="str">
        <f ca="1">VLOOKUP($F283,OFFSET(enemy_skill_triggers!$A$1,0,0,COUNTA(enemy_skill_triggers!$A:$A),MATCH(K$1,enemy_skill_triggers!$1:$1,0)-MATCH($F$1,enemy_skill_triggers!$1:$1,0)+1),MATCH(K$1,enemy_skill_triggers!$1:$1,0)-MATCH($F$1,enemy_skill_triggers!$1:$1,0)+1,FALSE)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3" s="48" t="str">
        <f ca="1">VLOOKUP($F283,OFFSET(enemy_skill_triggers!$A$1,0,0,COUNTA(enemy_skill_triggers!$A:$A),MATCH(L$1,enemy_skill_triggers!$1:$1,0)-MATCH($F$1,enemy_skill_triggers!$1:$1,0)+1),MATCH(L$1,enemy_skill_triggers!$1:$1,0)-MATCH($F$1,enemy_skill_triggers!$1:$1,0)+1,FALSE)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3" s="48" t="str">
        <f ca="1">VLOOKUP($F283,OFFSET(enemy_skill_triggers!$A$1,0,0,COUNTA(enemy_skill_triggers!$A:$A),MATCH(M$1,enemy_skill_triggers!$1:$1,0)-MATCH($F$1,enemy_skill_triggers!$1:$1,0)+1),MATCH(M$1,enemy_skill_triggers!$1:$1,0)-MATCH($F$1,enemy_skill_triggers!$1:$1,0)+1,FALSE)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3" s="48" t="str">
        <f ca="1">VLOOKUP($F283,OFFSET(enemy_skill_triggers!$A$1,0,0,COUNTA(enemy_skill_triggers!$A:$A),MATCH(N$1,enemy_skill_triggers!$1:$1,0)-MATCH($F$1,enemy_skill_triggers!$1:$1,0)+1),MATCH(N$1,enemy_skill_triggers!$1:$1,0)-MATCH($F$1,enemy_skill_triggers!$1:$1,0)+1,FALSE)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3" s="48">
        <f ca="1">VLOOKUP($F283,OFFSET(enemy_skill_triggers!$A$1,0,0,COUNTA(enemy_skill_triggers!$A:$A),MATCH(O$1,enemy_skill_triggers!$1:$1,0)-MATCH($F$1,enemy_skill_triggers!$1:$1,0)+1),MATCH(O$1,enemy_skill_triggers!$1:$1,0)-MATCH($F$1,enemy_skill_triggers!$1:$1,0)+1,FALSE)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83" s="47"/>
      <c r="Q283" s="47"/>
      <c r="R283" s="47"/>
    </row>
    <row r="284" spans="1:18" ht="21" customHeight="1" x14ac:dyDescent="0.15">
      <c r="A284" s="39" t="str">
        <f t="shared" si="4"/>
        <v>49015022_49015212</v>
      </c>
      <c r="B284" s="106">
        <v>49015022</v>
      </c>
      <c r="C284" s="121">
        <v>49015212</v>
      </c>
      <c r="D284" s="46" t="str">
        <f ca="1">VLOOKUP($C284,OFFSET(enemy_skills!$A$1,0,0,COUNTA(enemy_skills!$A:$A),MATCH(D$1,enemy_skills!$1:$1,0)-MATCH("enemy_skill_id",enemy_skills!$1:$1,0)+1),MATCH(D$1,enemy_skills!$1:$1,0)-MATCH("enemy_skill_id",enemy_skills!$1:$1,0)+1,FALSE)</f>
        <v>こっちの得物の方がしっくりくるわ</v>
      </c>
      <c r="E284" s="46" t="str">
        <f ca="1">VLOOKUP($C284,OFFSET(enemy_skills!$A$1,0,0,COUNTA(enemy_skills!$A:$A),MATCH(E$1,enemy_skills!$1:$1,0)-MATCH("enemy_skill_id",enemy_skills!$1:$1,0)+1),MATCH(E$1,enemy_skills!$1:$1,0)-MATCH("enemy_skill_id",enemy_skills!$1:$1,0)+1,FALSE)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84" s="121">
        <v>49015283</v>
      </c>
      <c r="G284" s="48">
        <f ca="1">VLOOKUP($F284,OFFSET(enemy_skill_triggers!$A$1,0,0,COUNTA(enemy_skill_triggers!$A:$A),MATCH(G$1,enemy_skill_triggers!$1:$1,0)-MATCH($F$1,enemy_skill_triggers!$1:$1,0)+1),MATCH(G$1,enemy_skill_triggers!$1:$1,0)-MATCH($F$1,enemy_skill_triggers!$1:$1,0)+1,FALSE)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4" s="48">
        <f ca="1">VLOOKUP($F284,OFFSET(enemy_skill_triggers!$A$1,0,0,COUNTA(enemy_skill_triggers!$A:$A),MATCH(H$1,enemy_skill_triggers!$1:$1,0)-MATCH($F$1,enemy_skill_triggers!$1:$1,0)+1),MATCH(H$1,enemy_skill_triggers!$1:$1,0)-MATCH($F$1,enemy_skill_triggers!$1:$1,0)+1,FALSE)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84" s="48">
        <f ca="1">VLOOKUP($F284,OFFSET(enemy_skill_triggers!$A$1,0,0,COUNTA(enemy_skill_triggers!$A:$A),MATCH(I$1,enemy_skill_triggers!$1:$1,0)-MATCH($F$1,enemy_skill_triggers!$1:$1,0)+1),MATCH(I$1,enemy_skill_triggers!$1:$1,0)-MATCH($F$1,enemy_skill_triggers!$1:$1,0)+1,FALSE)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4" s="48" t="str">
        <f ca="1">VLOOKUP($F284,OFFSET(enemy_skill_triggers!$A$1,0,0,COUNTA(enemy_skill_triggers!$A:$A),MATCH(J$1,enemy_skill_triggers!$1:$1,0)-MATCH($F$1,enemy_skill_triggers!$1:$1,0)+1),MATCH(J$1,enemy_skill_triggers!$1:$1,0)-MATCH($F$1,enemy_skill_triggers!$1:$1,0)+1,FALSE)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4" s="48" t="str">
        <f ca="1">VLOOKUP($F284,OFFSET(enemy_skill_triggers!$A$1,0,0,COUNTA(enemy_skill_triggers!$A:$A),MATCH(K$1,enemy_skill_triggers!$1:$1,0)-MATCH($F$1,enemy_skill_triggers!$1:$1,0)+1),MATCH(K$1,enemy_skill_triggers!$1:$1,0)-MATCH($F$1,enemy_skill_triggers!$1:$1,0)+1,FALSE)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4" s="48" t="str">
        <f ca="1">VLOOKUP($F284,OFFSET(enemy_skill_triggers!$A$1,0,0,COUNTA(enemy_skill_triggers!$A:$A),MATCH(L$1,enemy_skill_triggers!$1:$1,0)-MATCH($F$1,enemy_skill_triggers!$1:$1,0)+1),MATCH(L$1,enemy_skill_triggers!$1:$1,0)-MATCH($F$1,enemy_skill_triggers!$1:$1,0)+1,FALSE)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4" s="48" t="str">
        <f ca="1">VLOOKUP($F284,OFFSET(enemy_skill_triggers!$A$1,0,0,COUNTA(enemy_skill_triggers!$A:$A),MATCH(M$1,enemy_skill_triggers!$1:$1,0)-MATCH($F$1,enemy_skill_triggers!$1:$1,0)+1),MATCH(M$1,enemy_skill_triggers!$1:$1,0)-MATCH($F$1,enemy_skill_triggers!$1:$1,0)+1,FALSE)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4" s="48" t="str">
        <f ca="1">VLOOKUP($F284,OFFSET(enemy_skill_triggers!$A$1,0,0,COUNTA(enemy_skill_triggers!$A:$A),MATCH(N$1,enemy_skill_triggers!$1:$1,0)-MATCH($F$1,enemy_skill_triggers!$1:$1,0)+1),MATCH(N$1,enemy_skill_triggers!$1:$1,0)-MATCH($F$1,enemy_skill_triggers!$1:$1,0)+1,FALSE)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4" s="48">
        <f ca="1">VLOOKUP($F284,OFFSET(enemy_skill_triggers!$A$1,0,0,COUNTA(enemy_skill_triggers!$A:$A),MATCH(O$1,enemy_skill_triggers!$1:$1,0)-MATCH($F$1,enemy_skill_triggers!$1:$1,0)+1),MATCH(O$1,enemy_skill_triggers!$1:$1,0)-MATCH($F$1,enemy_skill_triggers!$1:$1,0)+1,FALSE)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4" s="47"/>
      <c r="Q284" s="47"/>
      <c r="R284" s="47"/>
    </row>
    <row r="285" spans="1:18" ht="21" customHeight="1" x14ac:dyDescent="0.15">
      <c r="A285" s="39" t="str">
        <f t="shared" si="4"/>
        <v>49015022_49015213</v>
      </c>
      <c r="B285" s="106">
        <v>49015022</v>
      </c>
      <c r="C285" s="121">
        <v>49015213</v>
      </c>
      <c r="D285" s="46" t="str">
        <f ca="1">VLOOKUP($C285,OFFSET(enemy_skills!$A$1,0,0,COUNTA(enemy_skills!$A:$A),MATCH(D$1,enemy_skills!$1:$1,0)-MATCH("enemy_skill_id",enemy_skills!$1:$1,0)+1),MATCH(D$1,enemy_skills!$1:$1,0)-MATCH("enemy_skill_id",enemy_skills!$1:$1,0)+1,FALSE)</f>
        <v>昔のようにいかんな</v>
      </c>
      <c r="E285" s="46" t="str">
        <f ca="1">VLOOKUP($C285,OFFSET(enemy_skills!$A$1,0,0,COUNTA(enemy_skills!$A:$A),MATCH(E$1,enemy_skills!$1:$1,0)-MATCH("enemy_skill_id",enemy_skills!$1:$1,0)+1),MATCH(E$1,enemy_skills!$1:$1,0)-MATCH("enemy_skill_id",enemy_skills!$1:$1,0)+1,FALSE)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85" s="121">
        <v>49015284</v>
      </c>
      <c r="G285" s="48">
        <f ca="1">VLOOKUP($F285,OFFSET(enemy_skill_triggers!$A$1,0,0,COUNTA(enemy_skill_triggers!$A:$A),MATCH(G$1,enemy_skill_triggers!$1:$1,0)-MATCH($F$1,enemy_skill_triggers!$1:$1,0)+1),MATCH(G$1,enemy_skill_triggers!$1:$1,0)-MATCH($F$1,enemy_skill_triggers!$1:$1,0)+1,FALSE)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5" s="48">
        <f ca="1">VLOOKUP($F285,OFFSET(enemy_skill_triggers!$A$1,0,0,COUNTA(enemy_skill_triggers!$A:$A),MATCH(H$1,enemy_skill_triggers!$1:$1,0)-MATCH($F$1,enemy_skill_triggers!$1:$1,0)+1),MATCH(H$1,enemy_skill_triggers!$1:$1,0)-MATCH($F$1,enemy_skill_triggers!$1:$1,0)+1,FALSE)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85" s="48">
        <f ca="1">VLOOKUP($F285,OFFSET(enemy_skill_triggers!$A$1,0,0,COUNTA(enemy_skill_triggers!$A:$A),MATCH(I$1,enemy_skill_triggers!$1:$1,0)-MATCH($F$1,enemy_skill_triggers!$1:$1,0)+1),MATCH(I$1,enemy_skill_triggers!$1:$1,0)-MATCH($F$1,enemy_skill_triggers!$1:$1,0)+1,FALSE)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5" s="48" t="str">
        <f ca="1">VLOOKUP($F285,OFFSET(enemy_skill_triggers!$A$1,0,0,COUNTA(enemy_skill_triggers!$A:$A),MATCH(J$1,enemy_skill_triggers!$1:$1,0)-MATCH($F$1,enemy_skill_triggers!$1:$1,0)+1),MATCH(J$1,enemy_skill_triggers!$1:$1,0)-MATCH($F$1,enemy_skill_triggers!$1:$1,0)+1,FALSE)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5" s="48" t="str">
        <f ca="1">VLOOKUP($F285,OFFSET(enemy_skill_triggers!$A$1,0,0,COUNTA(enemy_skill_triggers!$A:$A),MATCH(K$1,enemy_skill_triggers!$1:$1,0)-MATCH($F$1,enemy_skill_triggers!$1:$1,0)+1),MATCH(K$1,enemy_skill_triggers!$1:$1,0)-MATCH($F$1,enemy_skill_triggers!$1:$1,0)+1,FALSE)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5" s="48" t="str">
        <f ca="1">VLOOKUP($F285,OFFSET(enemy_skill_triggers!$A$1,0,0,COUNTA(enemy_skill_triggers!$A:$A),MATCH(L$1,enemy_skill_triggers!$1:$1,0)-MATCH($F$1,enemy_skill_triggers!$1:$1,0)+1),MATCH(L$1,enemy_skill_triggers!$1:$1,0)-MATCH($F$1,enemy_skill_triggers!$1:$1,0)+1,FALSE)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5" s="48">
        <f ca="1">VLOOKUP($F285,OFFSET(enemy_skill_triggers!$A$1,0,0,COUNTA(enemy_skill_triggers!$A:$A),MATCH(M$1,enemy_skill_triggers!$1:$1,0)-MATCH($F$1,enemy_skill_triggers!$1:$1,0)+1),MATCH(M$1,enemy_skill_triggers!$1:$1,0)-MATCH($F$1,enemy_skill_triggers!$1:$1,0)+1,FALSE)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85" s="48" t="str">
        <f ca="1">VLOOKUP($F285,OFFSET(enemy_skill_triggers!$A$1,0,0,COUNTA(enemy_skill_triggers!$A:$A),MATCH(N$1,enemy_skill_triggers!$1:$1,0)-MATCH($F$1,enemy_skill_triggers!$1:$1,0)+1),MATCH(N$1,enemy_skill_triggers!$1:$1,0)-MATCH($F$1,enemy_skill_triggers!$1:$1,0)+1,FALSE)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5" s="48">
        <f ca="1">VLOOKUP($F285,OFFSET(enemy_skill_triggers!$A$1,0,0,COUNTA(enemy_skill_triggers!$A:$A),MATCH(O$1,enemy_skill_triggers!$1:$1,0)-MATCH($F$1,enemy_skill_triggers!$1:$1,0)+1),MATCH(O$1,enemy_skill_triggers!$1:$1,0)-MATCH($F$1,enemy_skill_triggers!$1:$1,0)+1,FALSE)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5" s="47"/>
      <c r="Q285" s="47"/>
      <c r="R285" s="47"/>
    </row>
    <row r="286" spans="1:18" ht="21" customHeight="1" thickBot="1" x14ac:dyDescent="0.2">
      <c r="A286" s="39" t="str">
        <f t="shared" si="4"/>
        <v>49015022_49015214</v>
      </c>
      <c r="B286" s="111">
        <v>49015022</v>
      </c>
      <c r="C286" s="122">
        <v>49015214</v>
      </c>
      <c r="D286" s="145" t="str">
        <f ca="1">VLOOKUP($C286,OFFSET(enemy_skills!$A$1,0,0,COUNTA(enemy_skills!$A:$A),MATCH(D$1,enemy_skills!$1:$1,0)-MATCH("enemy_skill_id",enemy_skills!$1:$1,0)+1),MATCH(D$1,enemy_skills!$1:$1,0)-MATCH("enemy_skill_id",enemy_skills!$1:$1,0)+1,FALSE)</f>
        <v>ふむ潮時か</v>
      </c>
      <c r="E286" s="145" t="str">
        <f ca="1">VLOOKUP($C286,OFFSET(enemy_skills!$A$1,0,0,COUNTA(enemy_skills!$A:$A),MATCH(E$1,enemy_skills!$1:$1,0)-MATCH("enemy_skill_id",enemy_skills!$1:$1,0)+1),MATCH(E$1,enemy_skills!$1:$1,0)-MATCH("enemy_skill_id",enemy_skills!$1:$1,0)+1,FALSE)</f>
        <v>私はあちらに戻ろう</v>
      </c>
      <c r="F286" s="122">
        <v>49015285</v>
      </c>
      <c r="G286" s="114">
        <f ca="1">VLOOKUP($F286,OFFSET(enemy_skill_triggers!$A$1,0,0,COUNTA(enemy_skill_triggers!$A:$A),MATCH(G$1,enemy_skill_triggers!$1:$1,0)-MATCH($F$1,enemy_skill_triggers!$1:$1,0)+1),MATCH(G$1,enemy_skill_triggers!$1:$1,0)-MATCH($F$1,enemy_skill_triggers!$1:$1,0)+1,FALSE)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6" s="114">
        <f ca="1">VLOOKUP($F286,OFFSET(enemy_skill_triggers!$A$1,0,0,COUNTA(enemy_skill_triggers!$A:$A),MATCH(H$1,enemy_skill_triggers!$1:$1,0)-MATCH($F$1,enemy_skill_triggers!$1:$1,0)+1),MATCH(H$1,enemy_skill_triggers!$1:$1,0)-MATCH($F$1,enemy_skill_triggers!$1:$1,0)+1,FALSE)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86" s="114">
        <f ca="1">VLOOKUP($F286,OFFSET(enemy_skill_triggers!$A$1,0,0,COUNTA(enemy_skill_triggers!$A:$A),MATCH(I$1,enemy_skill_triggers!$1:$1,0)-MATCH($F$1,enemy_skill_triggers!$1:$1,0)+1),MATCH(I$1,enemy_skill_triggers!$1:$1,0)-MATCH($F$1,enemy_skill_triggers!$1:$1,0)+1,FALSE)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6" s="114">
        <f ca="1">VLOOKUP($F286,OFFSET(enemy_skill_triggers!$A$1,0,0,COUNTA(enemy_skill_triggers!$A:$A),MATCH(J$1,enemy_skill_triggers!$1:$1,0)-MATCH($F$1,enemy_skill_triggers!$1:$1,0)+1),MATCH(J$1,enemy_skill_triggers!$1:$1,0)-MATCH($F$1,enemy_skill_triggers!$1:$1,0)+1,FALSE)</f>
        <v>85</v>
      </c>
      <c r="K286" s="114" t="str">
        <f ca="1">VLOOKUP($F286,OFFSET(enemy_skill_triggers!$A$1,0,0,COUNTA(enemy_skill_triggers!$A:$A),MATCH(K$1,enemy_skill_triggers!$1:$1,0)-MATCH($F$1,enemy_skill_triggers!$1:$1,0)+1),MATCH(K$1,enemy_skill_triggers!$1:$1,0)-MATCH($F$1,enemy_skill_triggers!$1:$1,0)+1,FALSE)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6" s="114">
        <f ca="1">VLOOKUP($F286,OFFSET(enemy_skill_triggers!$A$1,0,0,COUNTA(enemy_skill_triggers!$A:$A),MATCH(L$1,enemy_skill_triggers!$1:$1,0)-MATCH($F$1,enemy_skill_triggers!$1:$1,0)+1),MATCH(L$1,enemy_skill_triggers!$1:$1,0)-MATCH($F$1,enemy_skill_triggers!$1:$1,0)+1,FALSE)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6" s="114">
        <f ca="1">VLOOKUP($F286,OFFSET(enemy_skill_triggers!$A$1,0,0,COUNTA(enemy_skill_triggers!$A:$A),MATCH(M$1,enemy_skill_triggers!$1:$1,0)-MATCH($F$1,enemy_skill_triggers!$1:$1,0)+1),MATCH(M$1,enemy_skill_triggers!$1:$1,0)-MATCH($F$1,enemy_skill_triggers!$1:$1,0)+1,FALSE)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6" s="114" t="str">
        <f ca="1">VLOOKUP($F286,OFFSET(enemy_skill_triggers!$A$1,0,0,COUNTA(enemy_skill_triggers!$A:$A),MATCH(N$1,enemy_skill_triggers!$1:$1,0)-MATCH($F$1,enemy_skill_triggers!$1:$1,0)+1),MATCH(N$1,enemy_skill_triggers!$1:$1,0)-MATCH($F$1,enemy_skill_triggers!$1:$1,0)+1,FALSE)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6" s="114">
        <f ca="1">VLOOKUP($F286,OFFSET(enemy_skill_triggers!$A$1,0,0,COUNTA(enemy_skill_triggers!$A:$A),MATCH(O$1,enemy_skill_triggers!$1:$1,0)-MATCH($F$1,enemy_skill_triggers!$1:$1,0)+1),MATCH(O$1,enemy_skill_triggers!$1:$1,0)-MATCH($F$1,enemy_skill_triggers!$1:$1,0)+1,FALSE)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6" s="111"/>
      <c r="Q286" s="111"/>
      <c r="R286" s="111"/>
    </row>
    <row r="287" spans="1:18" ht="21" customHeight="1" x14ac:dyDescent="0.15">
      <c r="A287" s="39" t="str">
        <f t="shared" si="4"/>
        <v>49015023_49015215</v>
      </c>
      <c r="B287" s="106">
        <v>49015023</v>
      </c>
      <c r="C287" s="124">
        <v>49015215</v>
      </c>
      <c r="D287" s="144" t="str">
        <f ca="1">VLOOKUP($C287,OFFSET(enemy_skills!$A$1,0,0,COUNTA(enemy_skills!$A:$A),MATCH(D$1,enemy_skills!$1:$1,0)-MATCH("enemy_skill_id",enemy_skills!$1:$1,0)+1),MATCH(D$1,enemy_skills!$1:$1,0)-MATCH("enemy_skill_id",enemy_skills!$1:$1,0)+1,FALSE)</f>
        <v>初めまして、こちらの世界の方</v>
      </c>
      <c r="E287" s="144" t="str">
        <f ca="1">VLOOKUP($C287,OFFSET(enemy_skills!$A$1,0,0,COUNTA(enemy_skills!$A:$A),MATCH(E$1,enemy_skills!$1:$1,0)-MATCH("enemy_skill_id",enemy_skills!$1:$1,0)+1),MATCH(E$1,enemy_skills!$1:$1,0)-MATCH("enemy_skill_id",enemy_skills!$1:$1,0)+1,FALSE)</f>
        <v>特定エリアをお邪魔パネルと緑パネルに変換</v>
      </c>
      <c r="F287" s="124">
        <v>49015286</v>
      </c>
      <c r="G287" s="109">
        <f ca="1">VLOOKUP($F287,OFFSET(enemy_skill_triggers!$A$1,0,0,COUNTA(enemy_skill_triggers!$A:$A),MATCH(G$1,enemy_skill_triggers!$1:$1,0)-MATCH($F$1,enemy_skill_triggers!$1:$1,0)+1),MATCH(G$1,enemy_skill_triggers!$1:$1,0)-MATCH($F$1,enemy_skill_triggers!$1:$1,0)+1,FALSE)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7" s="109">
        <f ca="1">VLOOKUP($F287,OFFSET(enemy_skill_triggers!$A$1,0,0,COUNTA(enemy_skill_triggers!$A:$A),MATCH(H$1,enemy_skill_triggers!$1:$1,0)-MATCH($F$1,enemy_skill_triggers!$1:$1,0)+1),MATCH(H$1,enemy_skill_triggers!$1:$1,0)-MATCH($F$1,enemy_skill_triggers!$1:$1,0)+1,FALSE)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287" s="109">
        <f ca="1">VLOOKUP($F287,OFFSET(enemy_skill_triggers!$A$1,0,0,COUNTA(enemy_skill_triggers!$A:$A),MATCH(I$1,enemy_skill_triggers!$1:$1,0)-MATCH($F$1,enemy_skill_triggers!$1:$1,0)+1),MATCH(I$1,enemy_skill_triggers!$1:$1,0)-MATCH($F$1,enemy_skill_triggers!$1:$1,0)+1,FALSE)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7" s="109" t="str">
        <f ca="1">VLOOKUP($F287,OFFSET(enemy_skill_triggers!$A$1,0,0,COUNTA(enemy_skill_triggers!$A:$A),MATCH(J$1,enemy_skill_triggers!$1:$1,0)-MATCH($F$1,enemy_skill_triggers!$1:$1,0)+1),MATCH(J$1,enemy_skill_triggers!$1:$1,0)-MATCH($F$1,enemy_skill_triggers!$1:$1,0)+1,FALSE)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7" s="109" t="str">
        <f ca="1">VLOOKUP($F287,OFFSET(enemy_skill_triggers!$A$1,0,0,COUNTA(enemy_skill_triggers!$A:$A),MATCH(K$1,enemy_skill_triggers!$1:$1,0)-MATCH($F$1,enemy_skill_triggers!$1:$1,0)+1),MATCH(K$1,enemy_skill_triggers!$1:$1,0)-MATCH($F$1,enemy_skill_triggers!$1:$1,0)+1,FALSE)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7" s="109">
        <f ca="1">VLOOKUP($F287,OFFSET(enemy_skill_triggers!$A$1,0,0,COUNTA(enemy_skill_triggers!$A:$A),MATCH(L$1,enemy_skill_triggers!$1:$1,0)-MATCH($F$1,enemy_skill_triggers!$1:$1,0)+1),MATCH(L$1,enemy_skill_triggers!$1:$1,0)-MATCH($F$1,enemy_skill_triggers!$1:$1,0)+1,FALSE)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7" s="109" t="str">
        <f ca="1">VLOOKUP($F287,OFFSET(enemy_skill_triggers!$A$1,0,0,COUNTA(enemy_skill_triggers!$A:$A),MATCH(M$1,enemy_skill_triggers!$1:$1,0)-MATCH($F$1,enemy_skill_triggers!$1:$1,0)+1),MATCH(M$1,enemy_skill_triggers!$1:$1,0)-MATCH($F$1,enemy_skill_triggers!$1:$1,0)+1,FALSE)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7" s="109" t="str">
        <f ca="1">VLOOKUP($F287,OFFSET(enemy_skill_triggers!$A$1,0,0,COUNTA(enemy_skill_triggers!$A:$A),MATCH(N$1,enemy_skill_triggers!$1:$1,0)-MATCH($F$1,enemy_skill_triggers!$1:$1,0)+1),MATCH(N$1,enemy_skill_triggers!$1:$1,0)-MATCH($F$1,enemy_skill_triggers!$1:$1,0)+1,FALSE)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7" s="109">
        <f ca="1">VLOOKUP($F287,OFFSET(enemy_skill_triggers!$A$1,0,0,COUNTA(enemy_skill_triggers!$A:$A),MATCH(O$1,enemy_skill_triggers!$1:$1,0)-MATCH($F$1,enemy_skill_triggers!$1:$1,0)+1),MATCH(O$1,enemy_skill_triggers!$1:$1,0)-MATCH($F$1,enemy_skill_triggers!$1:$1,0)+1,FALSE)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7" s="106"/>
      <c r="Q287" s="106"/>
      <c r="R287" s="106"/>
    </row>
    <row r="288" spans="1:18" ht="21" customHeight="1" x14ac:dyDescent="0.15">
      <c r="A288" s="39" t="str">
        <f t="shared" si="4"/>
        <v>49015023_49015216</v>
      </c>
      <c r="B288" s="106">
        <v>49015023</v>
      </c>
      <c r="C288" s="124">
        <v>49015216</v>
      </c>
      <c r="D288" s="46" t="str">
        <f ca="1">VLOOKUP($C288,OFFSET(enemy_skills!$A$1,0,0,COUNTA(enemy_skills!$A:$A),MATCH(D$1,enemy_skills!$1:$1,0)-MATCH("enemy_skill_id",enemy_skills!$1:$1,0)+1),MATCH(D$1,enemy_skills!$1:$1,0)-MATCH("enemy_skill_id",enemy_skills!$1:$1,0)+1,FALSE)</f>
        <v>やあ鋼のおチビさん！_x000D_こっちの世界に来てたのか</v>
      </c>
      <c r="E288" s="46" t="str">
        <f ca="1">VLOOKUP($C288,OFFSET(enemy_skills!$A$1,0,0,COUNTA(enemy_skills!$A:$A),MATCH(E$1,enemy_skills!$1:$1,0)-MATCH("enemy_skill_id",enemy_skills!$1:$1,0)+1),MATCH(E$1,enemy_skills!$1:$1,0)-MATCH("enemy_skill_id",enemy_skills!$1:$1,0)+1,FALSE)</f>
        <v>『誰が豆粒どチビだあ！』</v>
      </c>
      <c r="F288" s="124">
        <v>49015287</v>
      </c>
      <c r="G288" s="48">
        <f ca="1">VLOOKUP($F288,OFFSET(enemy_skill_triggers!$A$1,0,0,COUNTA(enemy_skill_triggers!$A:$A),MATCH(G$1,enemy_skill_triggers!$1:$1,0)-MATCH($F$1,enemy_skill_triggers!$1:$1,0)+1),MATCH(G$1,enemy_skill_triggers!$1:$1,0)-MATCH($F$1,enemy_skill_triggers!$1:$1,0)+1,FALSE)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8" s="48">
        <f ca="1">VLOOKUP($F288,OFFSET(enemy_skill_triggers!$A$1,0,0,COUNTA(enemy_skill_triggers!$A:$A),MATCH(H$1,enemy_skill_triggers!$1:$1,0)-MATCH($F$1,enemy_skill_triggers!$1:$1,0)+1),MATCH(H$1,enemy_skill_triggers!$1:$1,0)-MATCH($F$1,enemy_skill_triggers!$1:$1,0)+1,FALSE)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88" s="48">
        <f ca="1">VLOOKUP($F288,OFFSET(enemy_skill_triggers!$A$1,0,0,COUNTA(enemy_skill_triggers!$A:$A),MATCH(I$1,enemy_skill_triggers!$1:$1,0)-MATCH($F$1,enemy_skill_triggers!$1:$1,0)+1),MATCH(I$1,enemy_skill_triggers!$1:$1,0)-MATCH($F$1,enemy_skill_triggers!$1:$1,0)+1,FALSE)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8" s="48" t="str">
        <f ca="1">VLOOKUP($F288,OFFSET(enemy_skill_triggers!$A$1,0,0,COUNTA(enemy_skill_triggers!$A:$A),MATCH(J$1,enemy_skill_triggers!$1:$1,0)-MATCH($F$1,enemy_skill_triggers!$1:$1,0)+1),MATCH(J$1,enemy_skill_triggers!$1:$1,0)-MATCH($F$1,enemy_skill_triggers!$1:$1,0)+1,FALSE)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8" s="48" t="str">
        <f ca="1">VLOOKUP($F288,OFFSET(enemy_skill_triggers!$A$1,0,0,COUNTA(enemy_skill_triggers!$A:$A),MATCH(K$1,enemy_skill_triggers!$1:$1,0)-MATCH($F$1,enemy_skill_triggers!$1:$1,0)+1),MATCH(K$1,enemy_skill_triggers!$1:$1,0)-MATCH($F$1,enemy_skill_triggers!$1:$1,0)+1,FALSE)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8" s="48">
        <f ca="1">VLOOKUP($F288,OFFSET(enemy_skill_triggers!$A$1,0,0,COUNTA(enemy_skill_triggers!$A:$A),MATCH(L$1,enemy_skill_triggers!$1:$1,0)-MATCH($F$1,enemy_skill_triggers!$1:$1,0)+1),MATCH(L$1,enemy_skill_triggers!$1:$1,0)-MATCH($F$1,enemy_skill_triggers!$1:$1,0)+1,FALSE)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8" s="48" t="str">
        <f ca="1">VLOOKUP($F288,OFFSET(enemy_skill_triggers!$A$1,0,0,COUNTA(enemy_skill_triggers!$A:$A),MATCH(M$1,enemy_skill_triggers!$1:$1,0)-MATCH($F$1,enemy_skill_triggers!$1:$1,0)+1),MATCH(M$1,enemy_skill_triggers!$1:$1,0)-MATCH($F$1,enemy_skill_triggers!$1:$1,0)+1,FALSE)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8" s="48">
        <f ca="1">VLOOKUP($F288,OFFSET(enemy_skill_triggers!$A$1,0,0,COUNTA(enemy_skill_triggers!$A:$A),MATCH(N$1,enemy_skill_triggers!$1:$1,0)-MATCH($F$1,enemy_skill_triggers!$1:$1,0)+1),MATCH(N$1,enemy_skill_triggers!$1:$1,0)-MATCH($F$1,enemy_skill_triggers!$1:$1,0)+1,FALSE)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288" s="48">
        <f ca="1">VLOOKUP($F288,OFFSET(enemy_skill_triggers!$A$1,0,0,COUNTA(enemy_skill_triggers!$A:$A),MATCH(O$1,enemy_skill_triggers!$1:$1,0)-MATCH($F$1,enemy_skill_triggers!$1:$1,0)+1),MATCH(O$1,enemy_skill_triggers!$1:$1,0)-MATCH($F$1,enemy_skill_triggers!$1:$1,0)+1,FALSE)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8" s="47"/>
      <c r="Q288" s="47"/>
      <c r="R288" s="47"/>
    </row>
    <row r="289" spans="1:18" ht="21" customHeight="1" x14ac:dyDescent="0.15">
      <c r="A289" s="39" t="str">
        <f t="shared" si="4"/>
        <v>49015023_49015216</v>
      </c>
      <c r="B289" s="106">
        <v>49015023</v>
      </c>
      <c r="C289" s="124">
        <v>49015216</v>
      </c>
      <c r="D289" s="46" t="str">
        <f ca="1">VLOOKUP($C289,OFFSET(enemy_skills!$A$1,0,0,COUNTA(enemy_skills!$A:$A),MATCH(D$1,enemy_skills!$1:$1,0)-MATCH("enemy_skill_id",enemy_skills!$1:$1,0)+1),MATCH(D$1,enemy_skills!$1:$1,0)-MATCH("enemy_skill_id",enemy_skills!$1:$1,0)+1,FALSE)</f>
        <v>やあ鋼のおチビさん！_x000D_こっちの世界に来てたのか</v>
      </c>
      <c r="E289" s="46" t="str">
        <f ca="1">VLOOKUP($C289,OFFSET(enemy_skills!$A$1,0,0,COUNTA(enemy_skills!$A:$A),MATCH(E$1,enemy_skills!$1:$1,0)-MATCH("enemy_skill_id",enemy_skills!$1:$1,0)+1),MATCH(E$1,enemy_skills!$1:$1,0)-MATCH("enemy_skill_id",enemy_skills!$1:$1,0)+1,FALSE)</f>
        <v>『誰が豆粒どチビだあ！』</v>
      </c>
      <c r="F289" s="124">
        <v>49015288</v>
      </c>
      <c r="G289" s="48">
        <f ca="1">VLOOKUP($F289,OFFSET(enemy_skill_triggers!$A$1,0,0,COUNTA(enemy_skill_triggers!$A:$A),MATCH(G$1,enemy_skill_triggers!$1:$1,0)-MATCH($F$1,enemy_skill_triggers!$1:$1,0)+1),MATCH(G$1,enemy_skill_triggers!$1:$1,0)-MATCH($F$1,enemy_skill_triggers!$1:$1,0)+1,FALSE)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9" s="48">
        <f ca="1">VLOOKUP($F289,OFFSET(enemy_skill_triggers!$A$1,0,0,COUNTA(enemy_skill_triggers!$A:$A),MATCH(H$1,enemy_skill_triggers!$1:$1,0)-MATCH($F$1,enemy_skill_triggers!$1:$1,0)+1),MATCH(H$1,enemy_skill_triggers!$1:$1,0)-MATCH($F$1,enemy_skill_triggers!$1:$1,0)+1,FALSE)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289" s="48">
        <f ca="1">VLOOKUP($F289,OFFSET(enemy_skill_triggers!$A$1,0,0,COUNTA(enemy_skill_triggers!$A:$A),MATCH(I$1,enemy_skill_triggers!$1:$1,0)-MATCH($F$1,enemy_skill_triggers!$1:$1,0)+1),MATCH(I$1,enemy_skill_triggers!$1:$1,0)-MATCH($F$1,enemy_skill_triggers!$1:$1,0)+1,FALSE)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9" s="48" t="str">
        <f ca="1">VLOOKUP($F289,OFFSET(enemy_skill_triggers!$A$1,0,0,COUNTA(enemy_skill_triggers!$A:$A),MATCH(J$1,enemy_skill_triggers!$1:$1,0)-MATCH($F$1,enemy_skill_triggers!$1:$1,0)+1),MATCH(J$1,enemy_skill_triggers!$1:$1,0)-MATCH($F$1,enemy_skill_triggers!$1:$1,0)+1,FALSE)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9" s="48" t="str">
        <f ca="1">VLOOKUP($F289,OFFSET(enemy_skill_triggers!$A$1,0,0,COUNTA(enemy_skill_triggers!$A:$A),MATCH(K$1,enemy_skill_triggers!$1:$1,0)-MATCH($F$1,enemy_skill_triggers!$1:$1,0)+1),MATCH(K$1,enemy_skill_triggers!$1:$1,0)-MATCH($F$1,enemy_skill_triggers!$1:$1,0)+1,FALSE)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9" s="48">
        <f ca="1">VLOOKUP($F289,OFFSET(enemy_skill_triggers!$A$1,0,0,COUNTA(enemy_skill_triggers!$A:$A),MATCH(L$1,enemy_skill_triggers!$1:$1,0)-MATCH($F$1,enemy_skill_triggers!$1:$1,0)+1),MATCH(L$1,enemy_skill_triggers!$1:$1,0)-MATCH($F$1,enemy_skill_triggers!$1:$1,0)+1,FALSE)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9" s="48" t="str">
        <f ca="1">VLOOKUP($F289,OFFSET(enemy_skill_triggers!$A$1,0,0,COUNTA(enemy_skill_triggers!$A:$A),MATCH(M$1,enemy_skill_triggers!$1:$1,0)-MATCH($F$1,enemy_skill_triggers!$1:$1,0)+1),MATCH(M$1,enemy_skill_triggers!$1:$1,0)-MATCH($F$1,enemy_skill_triggers!$1:$1,0)+1,FALSE)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9" s="48">
        <f ca="1">VLOOKUP($F289,OFFSET(enemy_skill_triggers!$A$1,0,0,COUNTA(enemy_skill_triggers!$A:$A),MATCH(N$1,enemy_skill_triggers!$1:$1,0)-MATCH($F$1,enemy_skill_triggers!$1:$1,0)+1),MATCH(N$1,enemy_skill_triggers!$1:$1,0)-MATCH($F$1,enemy_skill_triggers!$1:$1,0)+1,FALSE)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289" s="48">
        <f ca="1">VLOOKUP($F289,OFFSET(enemy_skill_triggers!$A$1,0,0,COUNTA(enemy_skill_triggers!$A:$A),MATCH(O$1,enemy_skill_triggers!$1:$1,0)-MATCH($F$1,enemy_skill_triggers!$1:$1,0)+1),MATCH(O$1,enemy_skill_triggers!$1:$1,0)-MATCH($F$1,enemy_skill_triggers!$1:$1,0)+1,FALSE)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9" s="47"/>
      <c r="Q289" s="47"/>
      <c r="R289" s="47"/>
    </row>
    <row r="290" spans="1:18" ht="21" customHeight="1" x14ac:dyDescent="0.15">
      <c r="A290" s="39" t="str">
        <f t="shared" si="4"/>
        <v>49015023_49015217</v>
      </c>
      <c r="B290" s="106">
        <v>49015023</v>
      </c>
      <c r="C290" s="124">
        <v>49015217</v>
      </c>
      <c r="D290" s="46" t="str">
        <f ca="1">VLOOKUP($C290,OFFSET(enemy_skills!$A$1,0,0,COUNTA(enemy_skills!$A:$A),MATCH(D$1,enemy_skills!$1:$1,0)-MATCH("enemy_skill_id",enemy_skills!$1:$1,0)+1),MATCH(D$1,enemy_skills!$1:$1,0)-MATCH("enemy_skill_id",enemy_skills!$1:$1,0)+1,FALSE)</f>
        <v>鋼のおチビさんとは一緒ではないのか？</v>
      </c>
      <c r="E290" s="46" t="str">
        <f ca="1">VLOOKUP($C290,OFFSET(enemy_skills!$A$1,0,0,COUNTA(enemy_skills!$A:$A),MATCH(E$1,enemy_skills!$1:$1,0)-MATCH("enemy_skill_id",enemy_skills!$1:$1,0)+1),MATCH(E$1,enemy_skills!$1:$1,0)-MATCH("enemy_skill_id",enemy_skills!$1:$1,0)+1,FALSE)</f>
        <v>『兄さんとは別行動だよ』</v>
      </c>
      <c r="F290" s="124">
        <v>49015289</v>
      </c>
      <c r="G290" s="48">
        <f ca="1">VLOOKUP($F290,OFFSET(enemy_skill_triggers!$A$1,0,0,COUNTA(enemy_skill_triggers!$A:$A),MATCH(G$1,enemy_skill_triggers!$1:$1,0)-MATCH($F$1,enemy_skill_triggers!$1:$1,0)+1),MATCH(G$1,enemy_skill_triggers!$1:$1,0)-MATCH($F$1,enemy_skill_triggers!$1:$1,0)+1,FALSE)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0" s="48">
        <f ca="1">VLOOKUP($F290,OFFSET(enemy_skill_triggers!$A$1,0,0,COUNTA(enemy_skill_triggers!$A:$A),MATCH(H$1,enemy_skill_triggers!$1:$1,0)-MATCH($F$1,enemy_skill_triggers!$1:$1,0)+1),MATCH(H$1,enemy_skill_triggers!$1:$1,0)-MATCH($F$1,enemy_skill_triggers!$1:$1,0)+1,FALSE)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90" s="48">
        <f ca="1">VLOOKUP($F290,OFFSET(enemy_skill_triggers!$A$1,0,0,COUNTA(enemy_skill_triggers!$A:$A),MATCH(I$1,enemy_skill_triggers!$1:$1,0)-MATCH($F$1,enemy_skill_triggers!$1:$1,0)+1),MATCH(I$1,enemy_skill_triggers!$1:$1,0)-MATCH($F$1,enemy_skill_triggers!$1:$1,0)+1,FALSE)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0" s="48" t="str">
        <f ca="1">VLOOKUP($F290,OFFSET(enemy_skill_triggers!$A$1,0,0,COUNTA(enemy_skill_triggers!$A:$A),MATCH(J$1,enemy_skill_triggers!$1:$1,0)-MATCH($F$1,enemy_skill_triggers!$1:$1,0)+1),MATCH(J$1,enemy_skill_triggers!$1:$1,0)-MATCH($F$1,enemy_skill_triggers!$1:$1,0)+1,FALSE)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0" s="48" t="str">
        <f ca="1">VLOOKUP($F290,OFFSET(enemy_skill_triggers!$A$1,0,0,COUNTA(enemy_skill_triggers!$A:$A),MATCH(K$1,enemy_skill_triggers!$1:$1,0)-MATCH($F$1,enemy_skill_triggers!$1:$1,0)+1),MATCH(K$1,enemy_skill_triggers!$1:$1,0)-MATCH($F$1,enemy_skill_triggers!$1:$1,0)+1,FALSE)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0" s="48">
        <f ca="1">VLOOKUP($F290,OFFSET(enemy_skill_triggers!$A$1,0,0,COUNTA(enemy_skill_triggers!$A:$A),MATCH(L$1,enemy_skill_triggers!$1:$1,0)-MATCH($F$1,enemy_skill_triggers!$1:$1,0)+1),MATCH(L$1,enemy_skill_triggers!$1:$1,0)-MATCH($F$1,enemy_skill_triggers!$1:$1,0)+1,FALSE)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0" s="48" t="str">
        <f ca="1">VLOOKUP($F290,OFFSET(enemy_skill_triggers!$A$1,0,0,COUNTA(enemy_skill_triggers!$A:$A),MATCH(M$1,enemy_skill_triggers!$1:$1,0)-MATCH($F$1,enemy_skill_triggers!$1:$1,0)+1),MATCH(M$1,enemy_skill_triggers!$1:$1,0)-MATCH($F$1,enemy_skill_triggers!$1:$1,0)+1,FALSE)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0" s="48">
        <f ca="1">VLOOKUP($F290,OFFSET(enemy_skill_triggers!$A$1,0,0,COUNTA(enemy_skill_triggers!$A:$A),MATCH(N$1,enemy_skill_triggers!$1:$1,0)-MATCH($F$1,enemy_skill_triggers!$1:$1,0)+1),MATCH(N$1,enemy_skill_triggers!$1:$1,0)-MATCH($F$1,enemy_skill_triggers!$1:$1,0)+1,FALSE)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290" s="48">
        <f ca="1">VLOOKUP($F290,OFFSET(enemy_skill_triggers!$A$1,0,0,COUNTA(enemy_skill_triggers!$A:$A),MATCH(O$1,enemy_skill_triggers!$1:$1,0)-MATCH($F$1,enemy_skill_triggers!$1:$1,0)+1),MATCH(O$1,enemy_skill_triggers!$1:$1,0)-MATCH($F$1,enemy_skill_triggers!$1:$1,0)+1,FALSE)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0" s="47"/>
      <c r="Q290" s="47"/>
      <c r="R290" s="47"/>
    </row>
    <row r="291" spans="1:18" ht="21" customHeight="1" x14ac:dyDescent="0.15">
      <c r="A291" s="39" t="str">
        <f t="shared" si="4"/>
        <v>49015023_49015217</v>
      </c>
      <c r="B291" s="106">
        <v>49015023</v>
      </c>
      <c r="C291" s="124">
        <v>49015217</v>
      </c>
      <c r="D291" s="46" t="str">
        <f ca="1">VLOOKUP($C291,OFFSET(enemy_skills!$A$1,0,0,COUNTA(enemy_skills!$A:$A),MATCH(D$1,enemy_skills!$1:$1,0)-MATCH("enemy_skill_id",enemy_skills!$1:$1,0)+1),MATCH(D$1,enemy_skills!$1:$1,0)-MATCH("enemy_skill_id",enemy_skills!$1:$1,0)+1,FALSE)</f>
        <v>鋼のおチビさんとは一緒ではないのか？</v>
      </c>
      <c r="E291" s="46" t="str">
        <f ca="1">VLOOKUP($C291,OFFSET(enemy_skills!$A$1,0,0,COUNTA(enemy_skills!$A:$A),MATCH(E$1,enemy_skills!$1:$1,0)-MATCH("enemy_skill_id",enemy_skills!$1:$1,0)+1),MATCH(E$1,enemy_skills!$1:$1,0)-MATCH("enemy_skill_id",enemy_skills!$1:$1,0)+1,FALSE)</f>
        <v>『兄さんとは別行動だよ』</v>
      </c>
      <c r="F291" s="124">
        <v>49015290</v>
      </c>
      <c r="G291" s="48">
        <f ca="1">VLOOKUP($F291,OFFSET(enemy_skill_triggers!$A$1,0,0,COUNTA(enemy_skill_triggers!$A:$A),MATCH(G$1,enemy_skill_triggers!$1:$1,0)-MATCH($F$1,enemy_skill_triggers!$1:$1,0)+1),MATCH(G$1,enemy_skill_triggers!$1:$1,0)-MATCH($F$1,enemy_skill_triggers!$1:$1,0)+1,FALSE)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1" s="48">
        <f ca="1">VLOOKUP($F291,OFFSET(enemy_skill_triggers!$A$1,0,0,COUNTA(enemy_skill_triggers!$A:$A),MATCH(H$1,enemy_skill_triggers!$1:$1,0)-MATCH($F$1,enemy_skill_triggers!$1:$1,0)+1),MATCH(H$1,enemy_skill_triggers!$1:$1,0)-MATCH($F$1,enemy_skill_triggers!$1:$1,0)+1,FALSE)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291" s="48">
        <f ca="1">VLOOKUP($F291,OFFSET(enemy_skill_triggers!$A$1,0,0,COUNTA(enemy_skill_triggers!$A:$A),MATCH(I$1,enemy_skill_triggers!$1:$1,0)-MATCH($F$1,enemy_skill_triggers!$1:$1,0)+1),MATCH(I$1,enemy_skill_triggers!$1:$1,0)-MATCH($F$1,enemy_skill_triggers!$1:$1,0)+1,FALSE)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1" s="48" t="str">
        <f ca="1">VLOOKUP($F291,OFFSET(enemy_skill_triggers!$A$1,0,0,COUNTA(enemy_skill_triggers!$A:$A),MATCH(J$1,enemy_skill_triggers!$1:$1,0)-MATCH($F$1,enemy_skill_triggers!$1:$1,0)+1),MATCH(J$1,enemy_skill_triggers!$1:$1,0)-MATCH($F$1,enemy_skill_triggers!$1:$1,0)+1,FALSE)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1" s="48" t="str">
        <f ca="1">VLOOKUP($F291,OFFSET(enemy_skill_triggers!$A$1,0,0,COUNTA(enemy_skill_triggers!$A:$A),MATCH(K$1,enemy_skill_triggers!$1:$1,0)-MATCH($F$1,enemy_skill_triggers!$1:$1,0)+1),MATCH(K$1,enemy_skill_triggers!$1:$1,0)-MATCH($F$1,enemy_skill_triggers!$1:$1,0)+1,FALSE)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1" s="48">
        <f ca="1">VLOOKUP($F291,OFFSET(enemy_skill_triggers!$A$1,0,0,COUNTA(enemy_skill_triggers!$A:$A),MATCH(L$1,enemy_skill_triggers!$1:$1,0)-MATCH($F$1,enemy_skill_triggers!$1:$1,0)+1),MATCH(L$1,enemy_skill_triggers!$1:$1,0)-MATCH($F$1,enemy_skill_triggers!$1:$1,0)+1,FALSE)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1" s="48" t="str">
        <f ca="1">VLOOKUP($F291,OFFSET(enemy_skill_triggers!$A$1,0,0,COUNTA(enemy_skill_triggers!$A:$A),MATCH(M$1,enemy_skill_triggers!$1:$1,0)-MATCH($F$1,enemy_skill_triggers!$1:$1,0)+1),MATCH(M$1,enemy_skill_triggers!$1:$1,0)-MATCH($F$1,enemy_skill_triggers!$1:$1,0)+1,FALSE)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1" s="48">
        <f ca="1">VLOOKUP($F291,OFFSET(enemy_skill_triggers!$A$1,0,0,COUNTA(enemy_skill_triggers!$A:$A),MATCH(N$1,enemy_skill_triggers!$1:$1,0)-MATCH($F$1,enemy_skill_triggers!$1:$1,0)+1),MATCH(N$1,enemy_skill_triggers!$1:$1,0)-MATCH($F$1,enemy_skill_triggers!$1:$1,0)+1,FALSE)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291" s="48">
        <f ca="1">VLOOKUP($F291,OFFSET(enemy_skill_triggers!$A$1,0,0,COUNTA(enemy_skill_triggers!$A:$A),MATCH(O$1,enemy_skill_triggers!$1:$1,0)-MATCH($F$1,enemy_skill_triggers!$1:$1,0)+1),MATCH(O$1,enemy_skill_triggers!$1:$1,0)-MATCH($F$1,enemy_skill_triggers!$1:$1,0)+1,FALSE)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1" s="47"/>
      <c r="Q291" s="47"/>
      <c r="R291" s="47"/>
    </row>
    <row r="292" spans="1:18" ht="21" customHeight="1" x14ac:dyDescent="0.15">
      <c r="A292" s="39" t="str">
        <f t="shared" si="4"/>
        <v>49015023_49015218</v>
      </c>
      <c r="B292" s="106">
        <v>49015023</v>
      </c>
      <c r="C292" s="124">
        <v>49015218</v>
      </c>
      <c r="D292" s="46" t="str">
        <f ca="1">VLOOKUP($C292,OFFSET(enemy_skills!$A$1,0,0,COUNTA(enemy_skills!$A:$A),MATCH(D$1,enemy_skills!$1:$1,0)-MATCH("enemy_skill_id",enemy_skills!$1:$1,0)+1),MATCH(D$1,enemy_skills!$1:$1,0)-MATCH("enemy_skill_id",enemy_skills!$1:$1,0)+1,FALSE)</f>
        <v>こっちに来てもお得意の炎で_x000D_燃やしまくってるのかい？</v>
      </c>
      <c r="E292" s="46" t="str">
        <f ca="1">VLOOKUP($C292,OFFSET(enemy_skills!$A$1,0,0,COUNTA(enemy_skills!$A:$A),MATCH(E$1,enemy_skills!$1:$1,0)-MATCH("enemy_skill_id",enemy_skills!$1:$1,0)+1),MATCH(E$1,enemy_skills!$1:$1,0)-MATCH("enemy_skill_id",enemy_skills!$1:$1,0)+1,FALSE)</f>
        <v>『貴様も燃やしてやろう！』_x000D_【特定ユニットの攻撃力大UP】</v>
      </c>
      <c r="F292" s="124">
        <v>49015291</v>
      </c>
      <c r="G292" s="48">
        <f ca="1">VLOOKUP($F292,OFFSET(enemy_skill_triggers!$A$1,0,0,COUNTA(enemy_skill_triggers!$A:$A),MATCH(G$1,enemy_skill_triggers!$1:$1,0)-MATCH($F$1,enemy_skill_triggers!$1:$1,0)+1),MATCH(G$1,enemy_skill_triggers!$1:$1,0)-MATCH($F$1,enemy_skill_triggers!$1:$1,0)+1,FALSE)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2" s="48">
        <f ca="1">VLOOKUP($F292,OFFSET(enemy_skill_triggers!$A$1,0,0,COUNTA(enemy_skill_triggers!$A:$A),MATCH(H$1,enemy_skill_triggers!$1:$1,0)-MATCH($F$1,enemy_skill_triggers!$1:$1,0)+1),MATCH(H$1,enemy_skill_triggers!$1:$1,0)-MATCH($F$1,enemy_skill_triggers!$1:$1,0)+1,FALSE)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2" s="48">
        <f ca="1">VLOOKUP($F292,OFFSET(enemy_skill_triggers!$A$1,0,0,COUNTA(enemy_skill_triggers!$A:$A),MATCH(I$1,enemy_skill_triggers!$1:$1,0)-MATCH($F$1,enemy_skill_triggers!$1:$1,0)+1),MATCH(I$1,enemy_skill_triggers!$1:$1,0)-MATCH($F$1,enemy_skill_triggers!$1:$1,0)+1,FALSE)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2" s="48" t="str">
        <f ca="1">VLOOKUP($F292,OFFSET(enemy_skill_triggers!$A$1,0,0,COUNTA(enemy_skill_triggers!$A:$A),MATCH(J$1,enemy_skill_triggers!$1:$1,0)-MATCH($F$1,enemy_skill_triggers!$1:$1,0)+1),MATCH(J$1,enemy_skill_triggers!$1:$1,0)-MATCH($F$1,enemy_skill_triggers!$1:$1,0)+1,FALSE)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2" s="48" t="str">
        <f ca="1">VLOOKUP($F292,OFFSET(enemy_skill_triggers!$A$1,0,0,COUNTA(enemy_skill_triggers!$A:$A),MATCH(K$1,enemy_skill_triggers!$1:$1,0)-MATCH($F$1,enemy_skill_triggers!$1:$1,0)+1),MATCH(K$1,enemy_skill_triggers!$1:$1,0)-MATCH($F$1,enemy_skill_triggers!$1:$1,0)+1,FALSE)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2" s="48">
        <f ca="1">VLOOKUP($F292,OFFSET(enemy_skill_triggers!$A$1,0,0,COUNTA(enemy_skill_triggers!$A:$A),MATCH(L$1,enemy_skill_triggers!$1:$1,0)-MATCH($F$1,enemy_skill_triggers!$1:$1,0)+1),MATCH(L$1,enemy_skill_triggers!$1:$1,0)-MATCH($F$1,enemy_skill_triggers!$1:$1,0)+1,FALSE)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2" s="48" t="str">
        <f ca="1">VLOOKUP($F292,OFFSET(enemy_skill_triggers!$A$1,0,0,COUNTA(enemy_skill_triggers!$A:$A),MATCH(M$1,enemy_skill_triggers!$1:$1,0)-MATCH($F$1,enemy_skill_triggers!$1:$1,0)+1),MATCH(M$1,enemy_skill_triggers!$1:$1,0)-MATCH($F$1,enemy_skill_triggers!$1:$1,0)+1,FALSE)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2" s="48">
        <f ca="1">VLOOKUP($F292,OFFSET(enemy_skill_triggers!$A$1,0,0,COUNTA(enemy_skill_triggers!$A:$A),MATCH(N$1,enemy_skill_triggers!$1:$1,0)-MATCH($F$1,enemy_skill_triggers!$1:$1,0)+1),MATCH(N$1,enemy_skill_triggers!$1:$1,0)-MATCH($F$1,enemy_skill_triggers!$1:$1,0)+1,FALSE)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292" s="48">
        <f ca="1">VLOOKUP($F292,OFFSET(enemy_skill_triggers!$A$1,0,0,COUNTA(enemy_skill_triggers!$A:$A),MATCH(O$1,enemy_skill_triggers!$1:$1,0)-MATCH($F$1,enemy_skill_triggers!$1:$1,0)+1),MATCH(O$1,enemy_skill_triggers!$1:$1,0)-MATCH($F$1,enemy_skill_triggers!$1:$1,0)+1,FALSE)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2" s="47"/>
      <c r="Q292" s="47"/>
      <c r="R292" s="47"/>
    </row>
    <row r="293" spans="1:18" ht="21" customHeight="1" x14ac:dyDescent="0.15">
      <c r="A293" s="39" t="str">
        <f t="shared" si="4"/>
        <v>49015023_49015218</v>
      </c>
      <c r="B293" s="106">
        <v>49015023</v>
      </c>
      <c r="C293" s="124">
        <v>49015218</v>
      </c>
      <c r="D293" s="46" t="str">
        <f ca="1">VLOOKUP($C293,OFFSET(enemy_skills!$A$1,0,0,COUNTA(enemy_skills!$A:$A),MATCH(D$1,enemy_skills!$1:$1,0)-MATCH("enemy_skill_id",enemy_skills!$1:$1,0)+1),MATCH(D$1,enemy_skills!$1:$1,0)-MATCH("enemy_skill_id",enemy_skills!$1:$1,0)+1,FALSE)</f>
        <v>こっちに来てもお得意の炎で_x000D_燃やしまくってるのかい？</v>
      </c>
      <c r="E293" s="46" t="str">
        <f ca="1">VLOOKUP($C293,OFFSET(enemy_skills!$A$1,0,0,COUNTA(enemy_skills!$A:$A),MATCH(E$1,enemy_skills!$1:$1,0)-MATCH("enemy_skill_id",enemy_skills!$1:$1,0)+1),MATCH(E$1,enemy_skills!$1:$1,0)-MATCH("enemy_skill_id",enemy_skills!$1:$1,0)+1,FALSE)</f>
        <v>『貴様も燃やしてやろう！』_x000D_【特定ユニットの攻撃力大UP】</v>
      </c>
      <c r="F293" s="124">
        <v>49015292</v>
      </c>
      <c r="G293" s="48">
        <f ca="1">VLOOKUP($F293,OFFSET(enemy_skill_triggers!$A$1,0,0,COUNTA(enemy_skill_triggers!$A:$A),MATCH(G$1,enemy_skill_triggers!$1:$1,0)-MATCH($F$1,enemy_skill_triggers!$1:$1,0)+1),MATCH(G$1,enemy_skill_triggers!$1:$1,0)-MATCH($F$1,enemy_skill_triggers!$1:$1,0)+1,FALSE)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3" s="48">
        <f ca="1">VLOOKUP($F293,OFFSET(enemy_skill_triggers!$A$1,0,0,COUNTA(enemy_skill_triggers!$A:$A),MATCH(H$1,enemy_skill_triggers!$1:$1,0)-MATCH($F$1,enemy_skill_triggers!$1:$1,0)+1),MATCH(H$1,enemy_skill_triggers!$1:$1,0)-MATCH($F$1,enemy_skill_triggers!$1:$1,0)+1,FALSE)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293" s="48">
        <f ca="1">VLOOKUP($F293,OFFSET(enemy_skill_triggers!$A$1,0,0,COUNTA(enemy_skill_triggers!$A:$A),MATCH(I$1,enemy_skill_triggers!$1:$1,0)-MATCH($F$1,enemy_skill_triggers!$1:$1,0)+1),MATCH(I$1,enemy_skill_triggers!$1:$1,0)-MATCH($F$1,enemy_skill_triggers!$1:$1,0)+1,FALSE)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3" s="48" t="str">
        <f ca="1">VLOOKUP($F293,OFFSET(enemy_skill_triggers!$A$1,0,0,COUNTA(enemy_skill_triggers!$A:$A),MATCH(J$1,enemy_skill_triggers!$1:$1,0)-MATCH($F$1,enemy_skill_triggers!$1:$1,0)+1),MATCH(J$1,enemy_skill_triggers!$1:$1,0)-MATCH($F$1,enemy_skill_triggers!$1:$1,0)+1,FALSE)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3" s="48" t="str">
        <f ca="1">VLOOKUP($F293,OFFSET(enemy_skill_triggers!$A$1,0,0,COUNTA(enemy_skill_triggers!$A:$A),MATCH(K$1,enemy_skill_triggers!$1:$1,0)-MATCH($F$1,enemy_skill_triggers!$1:$1,0)+1),MATCH(K$1,enemy_skill_triggers!$1:$1,0)-MATCH($F$1,enemy_skill_triggers!$1:$1,0)+1,FALSE)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3" s="48">
        <f ca="1">VLOOKUP($F293,OFFSET(enemy_skill_triggers!$A$1,0,0,COUNTA(enemy_skill_triggers!$A:$A),MATCH(L$1,enemy_skill_triggers!$1:$1,0)-MATCH($F$1,enemy_skill_triggers!$1:$1,0)+1),MATCH(L$1,enemy_skill_triggers!$1:$1,0)-MATCH($F$1,enemy_skill_triggers!$1:$1,0)+1,FALSE)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3" s="48" t="str">
        <f ca="1">VLOOKUP($F293,OFFSET(enemy_skill_triggers!$A$1,0,0,COUNTA(enemy_skill_triggers!$A:$A),MATCH(M$1,enemy_skill_triggers!$1:$1,0)-MATCH($F$1,enemy_skill_triggers!$1:$1,0)+1),MATCH(M$1,enemy_skill_triggers!$1:$1,0)-MATCH($F$1,enemy_skill_triggers!$1:$1,0)+1,FALSE)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3" s="48">
        <f ca="1">VLOOKUP($F293,OFFSET(enemy_skill_triggers!$A$1,0,0,COUNTA(enemy_skill_triggers!$A:$A),MATCH(N$1,enemy_skill_triggers!$1:$1,0)-MATCH($F$1,enemy_skill_triggers!$1:$1,0)+1),MATCH(N$1,enemy_skill_triggers!$1:$1,0)-MATCH($F$1,enemy_skill_triggers!$1:$1,0)+1,FALSE)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293" s="48">
        <f ca="1">VLOOKUP($F293,OFFSET(enemy_skill_triggers!$A$1,0,0,COUNTA(enemy_skill_triggers!$A:$A),MATCH(O$1,enemy_skill_triggers!$1:$1,0)-MATCH($F$1,enemy_skill_triggers!$1:$1,0)+1),MATCH(O$1,enemy_skill_triggers!$1:$1,0)-MATCH($F$1,enemy_skill_triggers!$1:$1,0)+1,FALSE)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3" s="47"/>
      <c r="Q293" s="47"/>
      <c r="R293" s="47"/>
    </row>
    <row r="294" spans="1:18" ht="21" customHeight="1" x14ac:dyDescent="0.15">
      <c r="A294" s="39" t="str">
        <f t="shared" si="4"/>
        <v>49015023_49015219</v>
      </c>
      <c r="B294" s="106">
        <v>49015023</v>
      </c>
      <c r="C294" s="124">
        <v>49015219</v>
      </c>
      <c r="D294" s="46" t="str">
        <f ca="1">VLOOKUP($C294,OFFSET(enemy_skills!$A$1,0,0,COUNTA(enemy_skills!$A:$A),MATCH(D$1,enemy_skills!$1:$1,0)-MATCH("enemy_skill_id",enemy_skills!$1:$1,0)+1),MATCH(D$1,enemy_skills!$1:$1,0)-MATCH("enemy_skill_id",enemy_skills!$1:$1,0)+1,FALSE)</f>
        <v>あんたもいるなら大佐もいるな！</v>
      </c>
      <c r="E294" s="46" t="str">
        <f ca="1">VLOOKUP($C294,OFFSET(enemy_skills!$A$1,0,0,COUNTA(enemy_skills!$A:$A),MATCH(E$1,enemy_skills!$1:$1,0)-MATCH("enemy_skill_id",enemy_skills!$1:$1,0)+1),MATCH(E$1,enemy_skills!$1:$1,0)-MATCH("enemy_skill_id",enemy_skills!$1:$1,0)+1,FALSE)</f>
        <v>『大佐に会わすわけにはいかないわ』</v>
      </c>
      <c r="F294" s="124">
        <v>49015293</v>
      </c>
      <c r="G294" s="48">
        <f ca="1">VLOOKUP($F294,OFFSET(enemy_skill_triggers!$A$1,0,0,COUNTA(enemy_skill_triggers!$A:$A),MATCH(G$1,enemy_skill_triggers!$1:$1,0)-MATCH($F$1,enemy_skill_triggers!$1:$1,0)+1),MATCH(G$1,enemy_skill_triggers!$1:$1,0)-MATCH($F$1,enemy_skill_triggers!$1:$1,0)+1,FALSE)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4" s="48">
        <f ca="1">VLOOKUP($F294,OFFSET(enemy_skill_triggers!$A$1,0,0,COUNTA(enemy_skill_triggers!$A:$A),MATCH(H$1,enemy_skill_triggers!$1:$1,0)-MATCH($F$1,enemy_skill_triggers!$1:$1,0)+1),MATCH(H$1,enemy_skill_triggers!$1:$1,0)-MATCH($F$1,enemy_skill_triggers!$1:$1,0)+1,FALSE)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94" s="48">
        <f ca="1">VLOOKUP($F294,OFFSET(enemy_skill_triggers!$A$1,0,0,COUNTA(enemy_skill_triggers!$A:$A),MATCH(I$1,enemy_skill_triggers!$1:$1,0)-MATCH($F$1,enemy_skill_triggers!$1:$1,0)+1),MATCH(I$1,enemy_skill_triggers!$1:$1,0)-MATCH($F$1,enemy_skill_triggers!$1:$1,0)+1,FALSE)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4" s="48" t="str">
        <f ca="1">VLOOKUP($F294,OFFSET(enemy_skill_triggers!$A$1,0,0,COUNTA(enemy_skill_triggers!$A:$A),MATCH(J$1,enemy_skill_triggers!$1:$1,0)-MATCH($F$1,enemy_skill_triggers!$1:$1,0)+1),MATCH(J$1,enemy_skill_triggers!$1:$1,0)-MATCH($F$1,enemy_skill_triggers!$1:$1,0)+1,FALSE)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4" s="48" t="str">
        <f ca="1">VLOOKUP($F294,OFFSET(enemy_skill_triggers!$A$1,0,0,COUNTA(enemy_skill_triggers!$A:$A),MATCH(K$1,enemy_skill_triggers!$1:$1,0)-MATCH($F$1,enemy_skill_triggers!$1:$1,0)+1),MATCH(K$1,enemy_skill_triggers!$1:$1,0)-MATCH($F$1,enemy_skill_triggers!$1:$1,0)+1,FALSE)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4" s="48">
        <f ca="1">VLOOKUP($F294,OFFSET(enemy_skill_triggers!$A$1,0,0,COUNTA(enemy_skill_triggers!$A:$A),MATCH(L$1,enemy_skill_triggers!$1:$1,0)-MATCH($F$1,enemy_skill_triggers!$1:$1,0)+1),MATCH(L$1,enemy_skill_triggers!$1:$1,0)-MATCH($F$1,enemy_skill_triggers!$1:$1,0)+1,FALSE)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4" s="48" t="str">
        <f ca="1">VLOOKUP($F294,OFFSET(enemy_skill_triggers!$A$1,0,0,COUNTA(enemy_skill_triggers!$A:$A),MATCH(M$1,enemy_skill_triggers!$1:$1,0)-MATCH($F$1,enemy_skill_triggers!$1:$1,0)+1),MATCH(M$1,enemy_skill_triggers!$1:$1,0)-MATCH($F$1,enemy_skill_triggers!$1:$1,0)+1,FALSE)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4" s="48">
        <f ca="1">VLOOKUP($F294,OFFSET(enemy_skill_triggers!$A$1,0,0,COUNTA(enemy_skill_triggers!$A:$A),MATCH(N$1,enemy_skill_triggers!$1:$1,0)-MATCH($F$1,enemy_skill_triggers!$1:$1,0)+1),MATCH(N$1,enemy_skill_triggers!$1:$1,0)-MATCH($F$1,enemy_skill_triggers!$1:$1,0)+1,FALSE)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294" s="48">
        <f ca="1">VLOOKUP($F294,OFFSET(enemy_skill_triggers!$A$1,0,0,COUNTA(enemy_skill_triggers!$A:$A),MATCH(O$1,enemy_skill_triggers!$1:$1,0)-MATCH($F$1,enemy_skill_triggers!$1:$1,0)+1),MATCH(O$1,enemy_skill_triggers!$1:$1,0)-MATCH($F$1,enemy_skill_triggers!$1:$1,0)+1,FALSE)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4" s="47"/>
      <c r="Q294" s="47"/>
      <c r="R294" s="47"/>
    </row>
    <row r="295" spans="1:18" ht="21" customHeight="1" x14ac:dyDescent="0.15">
      <c r="A295" s="39" t="str">
        <f t="shared" si="4"/>
        <v>49015023_49015219</v>
      </c>
      <c r="B295" s="106">
        <v>49015023</v>
      </c>
      <c r="C295" s="124">
        <v>49015219</v>
      </c>
      <c r="D295" s="46" t="str">
        <f ca="1">VLOOKUP($C295,OFFSET(enemy_skills!$A$1,0,0,COUNTA(enemy_skills!$A:$A),MATCH(D$1,enemy_skills!$1:$1,0)-MATCH("enemy_skill_id",enemy_skills!$1:$1,0)+1),MATCH(D$1,enemy_skills!$1:$1,0)-MATCH("enemy_skill_id",enemy_skills!$1:$1,0)+1,FALSE)</f>
        <v>あんたもいるなら大佐もいるな！</v>
      </c>
      <c r="E295" s="46" t="str">
        <f ca="1">VLOOKUP($C295,OFFSET(enemy_skills!$A$1,0,0,COUNTA(enemy_skills!$A:$A),MATCH(E$1,enemy_skills!$1:$1,0)-MATCH("enemy_skill_id",enemy_skills!$1:$1,0)+1),MATCH(E$1,enemy_skills!$1:$1,0)-MATCH("enemy_skill_id",enemy_skills!$1:$1,0)+1,FALSE)</f>
        <v>『大佐に会わすわけにはいかないわ』</v>
      </c>
      <c r="F295" s="124">
        <v>49015294</v>
      </c>
      <c r="G295" s="48">
        <f ca="1">VLOOKUP($F295,OFFSET(enemy_skill_triggers!$A$1,0,0,COUNTA(enemy_skill_triggers!$A:$A),MATCH(G$1,enemy_skill_triggers!$1:$1,0)-MATCH($F$1,enemy_skill_triggers!$1:$1,0)+1),MATCH(G$1,enemy_skill_triggers!$1:$1,0)-MATCH($F$1,enemy_skill_triggers!$1:$1,0)+1,FALSE)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5" s="48">
        <f ca="1">VLOOKUP($F295,OFFSET(enemy_skill_triggers!$A$1,0,0,COUNTA(enemy_skill_triggers!$A:$A),MATCH(H$1,enemy_skill_triggers!$1:$1,0)-MATCH($F$1,enemy_skill_triggers!$1:$1,0)+1),MATCH(H$1,enemy_skill_triggers!$1:$1,0)-MATCH($F$1,enemy_skill_triggers!$1:$1,0)+1,FALSE)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295" s="48">
        <f ca="1">VLOOKUP($F295,OFFSET(enemy_skill_triggers!$A$1,0,0,COUNTA(enemy_skill_triggers!$A:$A),MATCH(I$1,enemy_skill_triggers!$1:$1,0)-MATCH($F$1,enemy_skill_triggers!$1:$1,0)+1),MATCH(I$1,enemy_skill_triggers!$1:$1,0)-MATCH($F$1,enemy_skill_triggers!$1:$1,0)+1,FALSE)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5" s="48" t="str">
        <f ca="1">VLOOKUP($F295,OFFSET(enemy_skill_triggers!$A$1,0,0,COUNTA(enemy_skill_triggers!$A:$A),MATCH(J$1,enemy_skill_triggers!$1:$1,0)-MATCH($F$1,enemy_skill_triggers!$1:$1,0)+1),MATCH(J$1,enemy_skill_triggers!$1:$1,0)-MATCH($F$1,enemy_skill_triggers!$1:$1,0)+1,FALSE)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5" s="48" t="str">
        <f ca="1">VLOOKUP($F295,OFFSET(enemy_skill_triggers!$A$1,0,0,COUNTA(enemy_skill_triggers!$A:$A),MATCH(K$1,enemy_skill_triggers!$1:$1,0)-MATCH($F$1,enemy_skill_triggers!$1:$1,0)+1),MATCH(K$1,enemy_skill_triggers!$1:$1,0)-MATCH($F$1,enemy_skill_triggers!$1:$1,0)+1,FALSE)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5" s="48">
        <f ca="1">VLOOKUP($F295,OFFSET(enemy_skill_triggers!$A$1,0,0,COUNTA(enemy_skill_triggers!$A:$A),MATCH(L$1,enemy_skill_triggers!$1:$1,0)-MATCH($F$1,enemy_skill_triggers!$1:$1,0)+1),MATCH(L$1,enemy_skill_triggers!$1:$1,0)-MATCH($F$1,enemy_skill_triggers!$1:$1,0)+1,FALSE)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5" s="48" t="str">
        <f ca="1">VLOOKUP($F295,OFFSET(enemy_skill_triggers!$A$1,0,0,COUNTA(enemy_skill_triggers!$A:$A),MATCH(M$1,enemy_skill_triggers!$1:$1,0)-MATCH($F$1,enemy_skill_triggers!$1:$1,0)+1),MATCH(M$1,enemy_skill_triggers!$1:$1,0)-MATCH($F$1,enemy_skill_triggers!$1:$1,0)+1,FALSE)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5" s="48">
        <f ca="1">VLOOKUP($F295,OFFSET(enemy_skill_triggers!$A$1,0,0,COUNTA(enemy_skill_triggers!$A:$A),MATCH(N$1,enemy_skill_triggers!$1:$1,0)-MATCH($F$1,enemy_skill_triggers!$1:$1,0)+1),MATCH(N$1,enemy_skill_triggers!$1:$1,0)-MATCH($F$1,enemy_skill_triggers!$1:$1,0)+1,FALSE)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295" s="48">
        <f ca="1">VLOOKUP($F295,OFFSET(enemy_skill_triggers!$A$1,0,0,COUNTA(enemy_skill_triggers!$A:$A),MATCH(O$1,enemy_skill_triggers!$1:$1,0)-MATCH($F$1,enemy_skill_triggers!$1:$1,0)+1),MATCH(O$1,enemy_skill_triggers!$1:$1,0)-MATCH($F$1,enemy_skill_triggers!$1:$1,0)+1,FALSE)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5" s="47"/>
      <c r="Q295" s="47"/>
      <c r="R295" s="47"/>
    </row>
    <row r="296" spans="1:18" ht="21" customHeight="1" x14ac:dyDescent="0.15">
      <c r="A296" s="39" t="str">
        <f t="shared" si="4"/>
        <v>49015023_49015220</v>
      </c>
      <c r="B296" s="106">
        <v>49015023</v>
      </c>
      <c r="C296" s="124">
        <v>49015220</v>
      </c>
      <c r="D296" s="46" t="str">
        <f ca="1">VLOOKUP($C296,OFFSET(enemy_skills!$A$1,0,0,COUNTA(enemy_skills!$A:$A),MATCH(D$1,enemy_skills!$1:$1,0)-MATCH("enemy_skill_id",enemy_skills!$1:$1,0)+1),MATCH(D$1,enemy_skills!$1:$1,0)-MATCH("enemy_skill_id",enemy_skills!$1:$1,0)+1,FALSE)</f>
        <v>おい、ラースなんでそっち側にいるんだ？</v>
      </c>
      <c r="E296" s="46" t="str">
        <f ca="1">VLOOKUP($C296,OFFSET(enemy_skills!$A$1,0,0,COUNTA(enemy_skills!$A:$A),MATCH(E$1,enemy_skills!$1:$1,0)-MATCH("enemy_skill_id",enemy_skills!$1:$1,0)+1),MATCH(E$1,enemy_skills!$1:$1,0)-MATCH("enemy_skill_id",enemy_skills!$1:$1,0)+1,FALSE)</f>
        <v>『貴様には関係ない話だ』</v>
      </c>
      <c r="F296" s="124">
        <v>49015295</v>
      </c>
      <c r="G296" s="48">
        <f ca="1">VLOOKUP($F296,OFFSET(enemy_skill_triggers!$A$1,0,0,COUNTA(enemy_skill_triggers!$A:$A),MATCH(G$1,enemy_skill_triggers!$1:$1,0)-MATCH($F$1,enemy_skill_triggers!$1:$1,0)+1),MATCH(G$1,enemy_skill_triggers!$1:$1,0)-MATCH($F$1,enemy_skill_triggers!$1:$1,0)+1,FALSE)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6" s="48">
        <f ca="1">VLOOKUP($F296,OFFSET(enemy_skill_triggers!$A$1,0,0,COUNTA(enemy_skill_triggers!$A:$A),MATCH(H$1,enemy_skill_triggers!$1:$1,0)-MATCH($F$1,enemy_skill_triggers!$1:$1,0)+1),MATCH(H$1,enemy_skill_triggers!$1:$1,0)-MATCH($F$1,enemy_skill_triggers!$1:$1,0)+1,FALSE)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96" s="48">
        <f ca="1">VLOOKUP($F296,OFFSET(enemy_skill_triggers!$A$1,0,0,COUNTA(enemy_skill_triggers!$A:$A),MATCH(I$1,enemy_skill_triggers!$1:$1,0)-MATCH($F$1,enemy_skill_triggers!$1:$1,0)+1),MATCH(I$1,enemy_skill_triggers!$1:$1,0)-MATCH($F$1,enemy_skill_triggers!$1:$1,0)+1,FALSE)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6" s="48" t="str">
        <f ca="1">VLOOKUP($F296,OFFSET(enemy_skill_triggers!$A$1,0,0,COUNTA(enemy_skill_triggers!$A:$A),MATCH(J$1,enemy_skill_triggers!$1:$1,0)-MATCH($F$1,enemy_skill_triggers!$1:$1,0)+1),MATCH(J$1,enemy_skill_triggers!$1:$1,0)-MATCH($F$1,enemy_skill_triggers!$1:$1,0)+1,FALSE)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6" s="48" t="str">
        <f ca="1">VLOOKUP($F296,OFFSET(enemy_skill_triggers!$A$1,0,0,COUNTA(enemy_skill_triggers!$A:$A),MATCH(K$1,enemy_skill_triggers!$1:$1,0)-MATCH($F$1,enemy_skill_triggers!$1:$1,0)+1),MATCH(K$1,enemy_skill_triggers!$1:$1,0)-MATCH($F$1,enemy_skill_triggers!$1:$1,0)+1,FALSE)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6" s="48">
        <f ca="1">VLOOKUP($F296,OFFSET(enemy_skill_triggers!$A$1,0,0,COUNTA(enemy_skill_triggers!$A:$A),MATCH(L$1,enemy_skill_triggers!$1:$1,0)-MATCH($F$1,enemy_skill_triggers!$1:$1,0)+1),MATCH(L$1,enemy_skill_triggers!$1:$1,0)-MATCH($F$1,enemy_skill_triggers!$1:$1,0)+1,FALSE)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6" s="48" t="str">
        <f ca="1">VLOOKUP($F296,OFFSET(enemy_skill_triggers!$A$1,0,0,COUNTA(enemy_skill_triggers!$A:$A),MATCH(M$1,enemy_skill_triggers!$1:$1,0)-MATCH($F$1,enemy_skill_triggers!$1:$1,0)+1),MATCH(M$1,enemy_skill_triggers!$1:$1,0)-MATCH($F$1,enemy_skill_triggers!$1:$1,0)+1,FALSE)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6" s="48">
        <f ca="1">VLOOKUP($F296,OFFSET(enemy_skill_triggers!$A$1,0,0,COUNTA(enemy_skill_triggers!$A:$A),MATCH(N$1,enemy_skill_triggers!$1:$1,0)-MATCH($F$1,enemy_skill_triggers!$1:$1,0)+1),MATCH(N$1,enemy_skill_triggers!$1:$1,0)-MATCH($F$1,enemy_skill_triggers!$1:$1,0)+1,FALSE)</f>
        <v>1469</v>
      </c>
      <c r="O296" s="48">
        <f ca="1">VLOOKUP($F296,OFFSET(enemy_skill_triggers!$A$1,0,0,COUNTA(enemy_skill_triggers!$A:$A),MATCH(O$1,enemy_skill_triggers!$1:$1,0)-MATCH($F$1,enemy_skill_triggers!$1:$1,0)+1),MATCH(O$1,enemy_skill_triggers!$1:$1,0)-MATCH($F$1,enemy_skill_triggers!$1:$1,0)+1,FALSE)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6" s="47"/>
      <c r="Q296" s="47"/>
      <c r="R296" s="47"/>
    </row>
    <row r="297" spans="1:18" ht="21" customHeight="1" x14ac:dyDescent="0.15">
      <c r="A297" s="39" t="str">
        <f t="shared" si="4"/>
        <v>49015023_49015221</v>
      </c>
      <c r="B297" s="106">
        <v>49015023</v>
      </c>
      <c r="C297" s="124">
        <v>49015221</v>
      </c>
      <c r="D297" s="46" t="str">
        <f ca="1">VLOOKUP($C297,OFFSET(enemy_skills!$A$1,0,0,COUNTA(enemy_skills!$A:$A),MATCH(D$1,enemy_skills!$1:$1,0)-MATCH("enemy_skill_id",enemy_skills!$1:$1,0)+1),MATCH(D$1,enemy_skills!$1:$1,0)-MATCH("enemy_skill_id",enemy_skills!$1:$1,0)+1,FALSE)</f>
        <v>お前も巻き込まれていたのか！</v>
      </c>
      <c r="E297" s="46" t="str">
        <f ca="1">VLOOKUP($C297,OFFSET(enemy_skills!$A$1,0,0,COUNTA(enemy_skills!$A:$A),MATCH(E$1,enemy_skills!$1:$1,0)-MATCH("enemy_skill_id",enemy_skills!$1:$1,0)+1),MATCH(E$1,enemy_skills!$1:$1,0)-MATCH("enemy_skill_id",enemy_skills!$1:$1,0)+1,FALSE)</f>
        <v>『早くあちらの世界に戻りますよ』</v>
      </c>
      <c r="F297" s="124">
        <v>49015296</v>
      </c>
      <c r="G297" s="48">
        <f ca="1">VLOOKUP($F297,OFFSET(enemy_skill_triggers!$A$1,0,0,COUNTA(enemy_skill_triggers!$A:$A),MATCH(G$1,enemy_skill_triggers!$1:$1,0)-MATCH($F$1,enemy_skill_triggers!$1:$1,0)+1),MATCH(G$1,enemy_skill_triggers!$1:$1,0)-MATCH($F$1,enemy_skill_triggers!$1:$1,0)+1,FALSE)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7" s="48">
        <f ca="1">VLOOKUP($F297,OFFSET(enemy_skill_triggers!$A$1,0,0,COUNTA(enemy_skill_triggers!$A:$A),MATCH(H$1,enemy_skill_triggers!$1:$1,0)-MATCH($F$1,enemy_skill_triggers!$1:$1,0)+1),MATCH(H$1,enemy_skill_triggers!$1:$1,0)-MATCH($F$1,enemy_skill_triggers!$1:$1,0)+1,FALSE)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97" s="48">
        <f ca="1">VLOOKUP($F297,OFFSET(enemy_skill_triggers!$A$1,0,0,COUNTA(enemy_skill_triggers!$A:$A),MATCH(I$1,enemy_skill_triggers!$1:$1,0)-MATCH($F$1,enemy_skill_triggers!$1:$1,0)+1),MATCH(I$1,enemy_skill_triggers!$1:$1,0)-MATCH($F$1,enemy_skill_triggers!$1:$1,0)+1,FALSE)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7" s="48" t="str">
        <f ca="1">VLOOKUP($F297,OFFSET(enemy_skill_triggers!$A$1,0,0,COUNTA(enemy_skill_triggers!$A:$A),MATCH(J$1,enemy_skill_triggers!$1:$1,0)-MATCH($F$1,enemy_skill_triggers!$1:$1,0)+1),MATCH(J$1,enemy_skill_triggers!$1:$1,0)-MATCH($F$1,enemy_skill_triggers!$1:$1,0)+1,FALSE)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7" s="48" t="str">
        <f ca="1">VLOOKUP($F297,OFFSET(enemy_skill_triggers!$A$1,0,0,COUNTA(enemy_skill_triggers!$A:$A),MATCH(K$1,enemy_skill_triggers!$1:$1,0)-MATCH($F$1,enemy_skill_triggers!$1:$1,0)+1),MATCH(K$1,enemy_skill_triggers!$1:$1,0)-MATCH($F$1,enemy_skill_triggers!$1:$1,0)+1,FALSE)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7" s="48">
        <f ca="1">VLOOKUP($F297,OFFSET(enemy_skill_triggers!$A$1,0,0,COUNTA(enemy_skill_triggers!$A:$A),MATCH(L$1,enemy_skill_triggers!$1:$1,0)-MATCH($F$1,enemy_skill_triggers!$1:$1,0)+1),MATCH(L$1,enemy_skill_triggers!$1:$1,0)-MATCH($F$1,enemy_skill_triggers!$1:$1,0)+1,FALSE)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7" s="48" t="str">
        <f ca="1">VLOOKUP($F297,OFFSET(enemy_skill_triggers!$A$1,0,0,COUNTA(enemy_skill_triggers!$A:$A),MATCH(M$1,enemy_skill_triggers!$1:$1,0)-MATCH($F$1,enemy_skill_triggers!$1:$1,0)+1),MATCH(M$1,enemy_skill_triggers!$1:$1,0)-MATCH($F$1,enemy_skill_triggers!$1:$1,0)+1,FALSE)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7" s="48">
        <f ca="1">VLOOKUP($F297,OFFSET(enemy_skill_triggers!$A$1,0,0,COUNTA(enemy_skill_triggers!$A:$A),MATCH(N$1,enemy_skill_triggers!$1:$1,0)-MATCH($F$1,enemy_skill_triggers!$1:$1,0)+1),MATCH(N$1,enemy_skill_triggers!$1:$1,0)-MATCH($F$1,enemy_skill_triggers!$1:$1,0)+1,FALSE)</f>
        <v>1470</v>
      </c>
      <c r="O297" s="48">
        <f ca="1">VLOOKUP($F297,OFFSET(enemy_skill_triggers!$A$1,0,0,COUNTA(enemy_skill_triggers!$A:$A),MATCH(O$1,enemy_skill_triggers!$1:$1,0)-MATCH($F$1,enemy_skill_triggers!$1:$1,0)+1),MATCH(O$1,enemy_skill_triggers!$1:$1,0)-MATCH($F$1,enemy_skill_triggers!$1:$1,0)+1,FALSE)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7" s="47"/>
      <c r="Q297" s="47"/>
      <c r="R297" s="47"/>
    </row>
    <row r="298" spans="1:18" ht="21" customHeight="1" x14ac:dyDescent="0.15">
      <c r="A298" s="39" t="str">
        <f t="shared" si="4"/>
        <v>49015023_49015222</v>
      </c>
      <c r="B298" s="106">
        <v>49015023</v>
      </c>
      <c r="C298" s="124">
        <v>49015222</v>
      </c>
      <c r="D298" s="46" t="str">
        <f ca="1">VLOOKUP($C298,OFFSET(enemy_skills!$A$1,0,0,COUNTA(enemy_skills!$A:$A),MATCH(D$1,enemy_skills!$1:$1,0)-MATCH("enemy_skill_id",enemy_skills!$1:$1,0)+1),MATCH(D$1,enemy_skills!$1:$1,0)-MATCH("enemy_skill_id",enemy_skills!$1:$1,0)+1,FALSE)</f>
        <v>大事な人柱を殺されるわけにはいかねえ！</v>
      </c>
      <c r="E298" s="46" t="str">
        <f ca="1">VLOOKUP($C298,OFFSET(enemy_skills!$A$1,0,0,COUNTA(enemy_skills!$A:$A),MATCH(E$1,enemy_skills!$1:$1,0)-MATCH("enemy_skill_id",enemy_skills!$1:$1,0)+1),MATCH(E$1,enemy_skills!$1:$1,0)-MATCH("enemy_skill_id",enemy_skills!$1:$1,0)+1,FALSE)</f>
        <v>『邪魔をするなホムンクルス！』</v>
      </c>
      <c r="F298" s="124">
        <v>49015297</v>
      </c>
      <c r="G298" s="48">
        <f ca="1">VLOOKUP($F298,OFFSET(enemy_skill_triggers!$A$1,0,0,COUNTA(enemy_skill_triggers!$A:$A),MATCH(G$1,enemy_skill_triggers!$1:$1,0)-MATCH($F$1,enemy_skill_triggers!$1:$1,0)+1),MATCH(G$1,enemy_skill_triggers!$1:$1,0)-MATCH($F$1,enemy_skill_triggers!$1:$1,0)+1,FALSE)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8" s="48">
        <f ca="1">VLOOKUP($F298,OFFSET(enemy_skill_triggers!$A$1,0,0,COUNTA(enemy_skill_triggers!$A:$A),MATCH(H$1,enemy_skill_triggers!$1:$1,0)-MATCH($F$1,enemy_skill_triggers!$1:$1,0)+1),MATCH(H$1,enemy_skill_triggers!$1:$1,0)-MATCH($F$1,enemy_skill_triggers!$1:$1,0)+1,FALSE)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98" s="48">
        <f ca="1">VLOOKUP($F298,OFFSET(enemy_skill_triggers!$A$1,0,0,COUNTA(enemy_skill_triggers!$A:$A),MATCH(I$1,enemy_skill_triggers!$1:$1,0)-MATCH($F$1,enemy_skill_triggers!$1:$1,0)+1),MATCH(I$1,enemy_skill_triggers!$1:$1,0)-MATCH($F$1,enemy_skill_triggers!$1:$1,0)+1,FALSE)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8" s="48" t="str">
        <f ca="1">VLOOKUP($F298,OFFSET(enemy_skill_triggers!$A$1,0,0,COUNTA(enemy_skill_triggers!$A:$A),MATCH(J$1,enemy_skill_triggers!$1:$1,0)-MATCH($F$1,enemy_skill_triggers!$1:$1,0)+1),MATCH(J$1,enemy_skill_triggers!$1:$1,0)-MATCH($F$1,enemy_skill_triggers!$1:$1,0)+1,FALSE)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8" s="48" t="str">
        <f ca="1">VLOOKUP($F298,OFFSET(enemy_skill_triggers!$A$1,0,0,COUNTA(enemy_skill_triggers!$A:$A),MATCH(K$1,enemy_skill_triggers!$1:$1,0)-MATCH($F$1,enemy_skill_triggers!$1:$1,0)+1),MATCH(K$1,enemy_skill_triggers!$1:$1,0)-MATCH($F$1,enemy_skill_triggers!$1:$1,0)+1,FALSE)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8" s="48">
        <f ca="1">VLOOKUP($F298,OFFSET(enemy_skill_triggers!$A$1,0,0,COUNTA(enemy_skill_triggers!$A:$A),MATCH(L$1,enemy_skill_triggers!$1:$1,0)-MATCH($F$1,enemy_skill_triggers!$1:$1,0)+1),MATCH(L$1,enemy_skill_triggers!$1:$1,0)-MATCH($F$1,enemy_skill_triggers!$1:$1,0)+1,FALSE)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8" s="48" t="str">
        <f ca="1">VLOOKUP($F298,OFFSET(enemy_skill_triggers!$A$1,0,0,COUNTA(enemy_skill_triggers!$A:$A),MATCH(M$1,enemy_skill_triggers!$1:$1,0)-MATCH($F$1,enemy_skill_triggers!$1:$1,0)+1),MATCH(M$1,enemy_skill_triggers!$1:$1,0)-MATCH($F$1,enemy_skill_triggers!$1:$1,0)+1,FALSE)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8" s="48">
        <f ca="1">VLOOKUP($F298,OFFSET(enemy_skill_triggers!$A$1,0,0,COUNTA(enemy_skill_triggers!$A:$A),MATCH(N$1,enemy_skill_triggers!$1:$1,0)-MATCH($F$1,enemy_skill_triggers!$1:$1,0)+1),MATCH(N$1,enemy_skill_triggers!$1:$1,0)-MATCH($F$1,enemy_skill_triggers!$1:$1,0)+1,FALSE)</f>
        <v>1466</v>
      </c>
      <c r="O298" s="48">
        <f ca="1">VLOOKUP($F298,OFFSET(enemy_skill_triggers!$A$1,0,0,COUNTA(enemy_skill_triggers!$A:$A),MATCH(O$1,enemy_skill_triggers!$1:$1,0)-MATCH($F$1,enemy_skill_triggers!$1:$1,0)+1),MATCH(O$1,enemy_skill_triggers!$1:$1,0)-MATCH($F$1,enemy_skill_triggers!$1:$1,0)+1,FALSE)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8" s="47"/>
      <c r="Q298" s="47"/>
      <c r="R298" s="47"/>
    </row>
    <row r="299" spans="1:18" ht="21" customHeight="1" x14ac:dyDescent="0.15">
      <c r="A299" s="39" t="str">
        <f t="shared" si="4"/>
        <v>49015023_49015222</v>
      </c>
      <c r="B299" s="106">
        <v>49015023</v>
      </c>
      <c r="C299" s="124">
        <v>49015222</v>
      </c>
      <c r="D299" s="46" t="str">
        <f ca="1">VLOOKUP($C299,OFFSET(enemy_skills!$A$1,0,0,COUNTA(enemy_skills!$A:$A),MATCH(D$1,enemy_skills!$1:$1,0)-MATCH("enemy_skill_id",enemy_skills!$1:$1,0)+1),MATCH(D$1,enemy_skills!$1:$1,0)-MATCH("enemy_skill_id",enemy_skills!$1:$1,0)+1,FALSE)</f>
        <v>大事な人柱を殺されるわけにはいかねえ！</v>
      </c>
      <c r="E299" s="46" t="str">
        <f ca="1">VLOOKUP($C299,OFFSET(enemy_skills!$A$1,0,0,COUNTA(enemy_skills!$A:$A),MATCH(E$1,enemy_skills!$1:$1,0)-MATCH("enemy_skill_id",enemy_skills!$1:$1,0)+1),MATCH(E$1,enemy_skills!$1:$1,0)-MATCH("enemy_skill_id",enemy_skills!$1:$1,0)+1,FALSE)</f>
        <v>『邪魔をするなホムンクルス！』</v>
      </c>
      <c r="F299" s="124">
        <v>49015298</v>
      </c>
      <c r="G299" s="48">
        <f ca="1">VLOOKUP($F299,OFFSET(enemy_skill_triggers!$A$1,0,0,COUNTA(enemy_skill_triggers!$A:$A),MATCH(G$1,enemy_skill_triggers!$1:$1,0)-MATCH($F$1,enemy_skill_triggers!$1:$1,0)+1),MATCH(G$1,enemy_skill_triggers!$1:$1,0)-MATCH($F$1,enemy_skill_triggers!$1:$1,0)+1,FALSE)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9" s="48">
        <f ca="1">VLOOKUP($F299,OFFSET(enemy_skill_triggers!$A$1,0,0,COUNTA(enemy_skill_triggers!$A:$A),MATCH(H$1,enemy_skill_triggers!$1:$1,0)-MATCH($F$1,enemy_skill_triggers!$1:$1,0)+1),MATCH(H$1,enemy_skill_triggers!$1:$1,0)-MATCH($F$1,enemy_skill_triggers!$1:$1,0)+1,FALSE)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299" s="48">
        <f ca="1">VLOOKUP($F299,OFFSET(enemy_skill_triggers!$A$1,0,0,COUNTA(enemy_skill_triggers!$A:$A),MATCH(I$1,enemy_skill_triggers!$1:$1,0)-MATCH($F$1,enemy_skill_triggers!$1:$1,0)+1),MATCH(I$1,enemy_skill_triggers!$1:$1,0)-MATCH($F$1,enemy_skill_triggers!$1:$1,0)+1,FALSE)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9" s="48" t="str">
        <f ca="1">VLOOKUP($F299,OFFSET(enemy_skill_triggers!$A$1,0,0,COUNTA(enemy_skill_triggers!$A:$A),MATCH(J$1,enemy_skill_triggers!$1:$1,0)-MATCH($F$1,enemy_skill_triggers!$1:$1,0)+1),MATCH(J$1,enemy_skill_triggers!$1:$1,0)-MATCH($F$1,enemy_skill_triggers!$1:$1,0)+1,FALSE)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9" s="48" t="str">
        <f ca="1">VLOOKUP($F299,OFFSET(enemy_skill_triggers!$A$1,0,0,COUNTA(enemy_skill_triggers!$A:$A),MATCH(K$1,enemy_skill_triggers!$1:$1,0)-MATCH($F$1,enemy_skill_triggers!$1:$1,0)+1),MATCH(K$1,enemy_skill_triggers!$1:$1,0)-MATCH($F$1,enemy_skill_triggers!$1:$1,0)+1,FALSE)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9" s="48">
        <f ca="1">VLOOKUP($F299,OFFSET(enemy_skill_triggers!$A$1,0,0,COUNTA(enemy_skill_triggers!$A:$A),MATCH(L$1,enemy_skill_triggers!$1:$1,0)-MATCH($F$1,enemy_skill_triggers!$1:$1,0)+1),MATCH(L$1,enemy_skill_triggers!$1:$1,0)-MATCH($F$1,enemy_skill_triggers!$1:$1,0)+1,FALSE)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9" s="48" t="str">
        <f ca="1">VLOOKUP($F299,OFFSET(enemy_skill_triggers!$A$1,0,0,COUNTA(enemy_skill_triggers!$A:$A),MATCH(M$1,enemy_skill_triggers!$1:$1,0)-MATCH($F$1,enemy_skill_triggers!$1:$1,0)+1),MATCH(M$1,enemy_skill_triggers!$1:$1,0)-MATCH($F$1,enemy_skill_triggers!$1:$1,0)+1,FALSE)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9" s="48">
        <f ca="1">VLOOKUP($F299,OFFSET(enemy_skill_triggers!$A$1,0,0,COUNTA(enemy_skill_triggers!$A:$A),MATCH(N$1,enemy_skill_triggers!$1:$1,0)-MATCH($F$1,enemy_skill_triggers!$1:$1,0)+1),MATCH(N$1,enemy_skill_triggers!$1:$1,0)-MATCH($F$1,enemy_skill_triggers!$1:$1,0)+1,FALSE)</f>
        <v>1467</v>
      </c>
      <c r="O299" s="48">
        <f ca="1">VLOOKUP($F299,OFFSET(enemy_skill_triggers!$A$1,0,0,COUNTA(enemy_skill_triggers!$A:$A),MATCH(O$1,enemy_skill_triggers!$1:$1,0)-MATCH($F$1,enemy_skill_triggers!$1:$1,0)+1),MATCH(O$1,enemy_skill_triggers!$1:$1,0)-MATCH($F$1,enemy_skill_triggers!$1:$1,0)+1,FALSE)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9" s="47"/>
      <c r="Q299" s="47"/>
      <c r="R299" s="47"/>
    </row>
    <row r="300" spans="1:18" ht="21" customHeight="1" x14ac:dyDescent="0.15">
      <c r="A300" s="39" t="str">
        <f t="shared" si="4"/>
        <v>49015023_49015223</v>
      </c>
      <c r="B300" s="106">
        <v>49015023</v>
      </c>
      <c r="C300" s="124">
        <v>49015223</v>
      </c>
      <c r="D300" s="46" t="str">
        <f ca="1">VLOOKUP($C300,OFFSET(enemy_skills!$A$1,0,0,COUNTA(enemy_skills!$A:$A),MATCH(D$1,enemy_skills!$1:$1,0)-MATCH("enemy_skill_id",enemy_skills!$1:$1,0)+1),MATCH(D$1,enemy_skills!$1:$1,0)-MATCH("enemy_skill_id",enemy_skills!$1:$1,0)+1,FALSE)</f>
        <v>戦るか？</v>
      </c>
      <c r="E300" s="46" t="str">
        <f ca="1">VLOOKUP($C300,OFFSET(enemy_skills!$A$1,0,0,COUNTA(enemy_skills!$A:$A),MATCH(E$1,enemy_skills!$1:$1,0)-MATCH("enemy_skill_id",enemy_skills!$1:$1,0)+1),MATCH(E$1,enemy_skills!$1:$1,0)-MATCH("enemy_skill_id",enemy_skills!$1:$1,0)+1,FALSE)</f>
        <v>ランダムで緑のダメージパネルに最大3個変換</v>
      </c>
      <c r="F300" s="124">
        <v>49015299</v>
      </c>
      <c r="G300" s="48">
        <f ca="1">VLOOKUP($F300,OFFSET(enemy_skill_triggers!$A$1,0,0,COUNTA(enemy_skill_triggers!$A:$A),MATCH(G$1,enemy_skill_triggers!$1:$1,0)-MATCH($F$1,enemy_skill_triggers!$1:$1,0)+1),MATCH(G$1,enemy_skill_triggers!$1:$1,0)-MATCH($F$1,enemy_skill_triggers!$1:$1,0)+1,FALSE)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0" s="48">
        <f ca="1">VLOOKUP($F300,OFFSET(enemy_skill_triggers!$A$1,0,0,COUNTA(enemy_skill_triggers!$A:$A),MATCH(H$1,enemy_skill_triggers!$1:$1,0)-MATCH($F$1,enemy_skill_triggers!$1:$1,0)+1),MATCH(H$1,enemy_skill_triggers!$1:$1,0)-MATCH($F$1,enemy_skill_triggers!$1:$1,0)+1,FALSE)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00" s="48">
        <f ca="1">VLOOKUP($F300,OFFSET(enemy_skill_triggers!$A$1,0,0,COUNTA(enemy_skill_triggers!$A:$A),MATCH(I$1,enemy_skill_triggers!$1:$1,0)-MATCH($F$1,enemy_skill_triggers!$1:$1,0)+1),MATCH(I$1,enemy_skill_triggers!$1:$1,0)-MATCH($F$1,enemy_skill_triggers!$1:$1,0)+1,FALSE)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00" s="48" t="str">
        <f ca="1">VLOOKUP($F300,OFFSET(enemy_skill_triggers!$A$1,0,0,COUNTA(enemy_skill_triggers!$A:$A),MATCH(J$1,enemy_skill_triggers!$1:$1,0)-MATCH($F$1,enemy_skill_triggers!$1:$1,0)+1),MATCH(J$1,enemy_skill_triggers!$1:$1,0)-MATCH($F$1,enemy_skill_triggers!$1:$1,0)+1,FALSE)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0" s="48" t="str">
        <f ca="1">VLOOKUP($F300,OFFSET(enemy_skill_triggers!$A$1,0,0,COUNTA(enemy_skill_triggers!$A:$A),MATCH(K$1,enemy_skill_triggers!$1:$1,0)-MATCH($F$1,enemy_skill_triggers!$1:$1,0)+1),MATCH(K$1,enemy_skill_triggers!$1:$1,0)-MATCH($F$1,enemy_skill_triggers!$1:$1,0)+1,FALSE)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0" s="48" t="str">
        <f ca="1">VLOOKUP($F300,OFFSET(enemy_skill_triggers!$A$1,0,0,COUNTA(enemy_skill_triggers!$A:$A),MATCH(L$1,enemy_skill_triggers!$1:$1,0)-MATCH($F$1,enemy_skill_triggers!$1:$1,0)+1),MATCH(L$1,enemy_skill_triggers!$1:$1,0)-MATCH($F$1,enemy_skill_triggers!$1:$1,0)+1,FALSE)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0" s="48" t="str">
        <f ca="1">VLOOKUP($F300,OFFSET(enemy_skill_triggers!$A$1,0,0,COUNTA(enemy_skill_triggers!$A:$A),MATCH(M$1,enemy_skill_triggers!$1:$1,0)-MATCH($F$1,enemy_skill_triggers!$1:$1,0)+1),MATCH(M$1,enemy_skill_triggers!$1:$1,0)-MATCH($F$1,enemy_skill_triggers!$1:$1,0)+1,FALSE)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0" s="48" t="str">
        <f ca="1">VLOOKUP($F300,OFFSET(enemy_skill_triggers!$A$1,0,0,COUNTA(enemy_skill_triggers!$A:$A),MATCH(N$1,enemy_skill_triggers!$1:$1,0)-MATCH($F$1,enemy_skill_triggers!$1:$1,0)+1),MATCH(N$1,enemy_skill_triggers!$1:$1,0)-MATCH($F$1,enemy_skill_triggers!$1:$1,0)+1,FALSE)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0" s="48">
        <f ca="1">VLOOKUP($F300,OFFSET(enemy_skill_triggers!$A$1,0,0,COUNTA(enemy_skill_triggers!$A:$A),MATCH(O$1,enemy_skill_triggers!$1:$1,0)-MATCH($F$1,enemy_skill_triggers!$1:$1,0)+1),MATCH(O$1,enemy_skill_triggers!$1:$1,0)-MATCH($F$1,enemy_skill_triggers!$1:$1,0)+1,FALSE)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00" s="47"/>
      <c r="Q300" s="47"/>
      <c r="R300" s="47"/>
    </row>
    <row r="301" spans="1:18" ht="21" customHeight="1" x14ac:dyDescent="0.15">
      <c r="A301" s="39" t="str">
        <f t="shared" si="4"/>
        <v>49015023_49015224</v>
      </c>
      <c r="B301" s="106">
        <v>49015023</v>
      </c>
      <c r="C301" s="124">
        <v>49015224</v>
      </c>
      <c r="D301" s="46" t="str">
        <f ca="1">VLOOKUP($C301,OFFSET(enemy_skills!$A$1,0,0,COUNTA(enemy_skills!$A:$A),MATCH(D$1,enemy_skills!$1:$1,0)-MATCH("enemy_skill_id",enemy_skills!$1:$1,0)+1),MATCH(D$1,enemy_skills!$1:$1,0)-MATCH("enemy_skill_id",enemy_skills!$1:$1,0)+1,FALSE)</f>
        <v>踏みつぶすぞ！</v>
      </c>
      <c r="E301" s="46" t="str">
        <f ca="1">VLOOKUP($C301,OFFSET(enemy_skills!$A$1,0,0,COUNTA(enemy_skills!$A:$A),MATCH(E$1,enemy_skills!$1:$1,0)-MATCH("enemy_skill_id",enemy_skills!$1:$1,0)+1),MATCH(E$1,enemy_skills!$1:$1,0)-MATCH("enemy_skill_id",enemy_skills!$1:$1,0)+1,FALSE)</f>
        <v>単体攻撃</v>
      </c>
      <c r="F301" s="124">
        <v>49015300</v>
      </c>
      <c r="G301" s="48">
        <f ca="1">VLOOKUP($F301,OFFSET(enemy_skill_triggers!$A$1,0,0,COUNTA(enemy_skill_triggers!$A:$A),MATCH(G$1,enemy_skill_triggers!$1:$1,0)-MATCH($F$1,enemy_skill_triggers!$1:$1,0)+1),MATCH(G$1,enemy_skill_triggers!$1:$1,0)-MATCH($F$1,enemy_skill_triggers!$1:$1,0)+1,FALSE)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1" s="48">
        <f ca="1">VLOOKUP($F301,OFFSET(enemy_skill_triggers!$A$1,0,0,COUNTA(enemy_skill_triggers!$A:$A),MATCH(H$1,enemy_skill_triggers!$1:$1,0)-MATCH($F$1,enemy_skill_triggers!$1:$1,0)+1),MATCH(H$1,enemy_skill_triggers!$1:$1,0)-MATCH($F$1,enemy_skill_triggers!$1:$1,0)+1,FALSE)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01" s="48">
        <f ca="1">VLOOKUP($F301,OFFSET(enemy_skill_triggers!$A$1,0,0,COUNTA(enemy_skill_triggers!$A:$A),MATCH(I$1,enemy_skill_triggers!$1:$1,0)-MATCH($F$1,enemy_skill_triggers!$1:$1,0)+1),MATCH(I$1,enemy_skill_triggers!$1:$1,0)-MATCH($F$1,enemy_skill_triggers!$1:$1,0)+1,FALSE)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1" s="48" t="str">
        <f ca="1">VLOOKUP($F301,OFFSET(enemy_skill_triggers!$A$1,0,0,COUNTA(enemy_skill_triggers!$A:$A),MATCH(J$1,enemy_skill_triggers!$1:$1,0)-MATCH($F$1,enemy_skill_triggers!$1:$1,0)+1),MATCH(J$1,enemy_skill_triggers!$1:$1,0)-MATCH($F$1,enemy_skill_triggers!$1:$1,0)+1,FALSE)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1" s="48" t="str">
        <f ca="1">VLOOKUP($F301,OFFSET(enemy_skill_triggers!$A$1,0,0,COUNTA(enemy_skill_triggers!$A:$A),MATCH(K$1,enemy_skill_triggers!$1:$1,0)-MATCH($F$1,enemy_skill_triggers!$1:$1,0)+1),MATCH(K$1,enemy_skill_triggers!$1:$1,0)-MATCH($F$1,enemy_skill_triggers!$1:$1,0)+1,FALSE)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1" s="48" t="str">
        <f ca="1">VLOOKUP($F301,OFFSET(enemy_skill_triggers!$A$1,0,0,COUNTA(enemy_skill_triggers!$A:$A),MATCH(L$1,enemy_skill_triggers!$1:$1,0)-MATCH($F$1,enemy_skill_triggers!$1:$1,0)+1),MATCH(L$1,enemy_skill_triggers!$1:$1,0)-MATCH($F$1,enemy_skill_triggers!$1:$1,0)+1,FALSE)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1" s="48" t="str">
        <f ca="1">VLOOKUP($F301,OFFSET(enemy_skill_triggers!$A$1,0,0,COUNTA(enemy_skill_triggers!$A:$A),MATCH(M$1,enemy_skill_triggers!$1:$1,0)-MATCH($F$1,enemy_skill_triggers!$1:$1,0)+1),MATCH(M$1,enemy_skill_triggers!$1:$1,0)-MATCH($F$1,enemy_skill_triggers!$1:$1,0)+1,FALSE)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1" s="48" t="str">
        <f ca="1">VLOOKUP($F301,OFFSET(enemy_skill_triggers!$A$1,0,0,COUNTA(enemy_skill_triggers!$A:$A),MATCH(N$1,enemy_skill_triggers!$1:$1,0)-MATCH($F$1,enemy_skill_triggers!$1:$1,0)+1),MATCH(N$1,enemy_skill_triggers!$1:$1,0)-MATCH($F$1,enemy_skill_triggers!$1:$1,0)+1,FALSE)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1" s="48">
        <f ca="1">VLOOKUP($F301,OFFSET(enemy_skill_triggers!$A$1,0,0,COUNTA(enemy_skill_triggers!$A:$A),MATCH(O$1,enemy_skill_triggers!$1:$1,0)-MATCH($F$1,enemy_skill_triggers!$1:$1,0)+1),MATCH(O$1,enemy_skill_triggers!$1:$1,0)-MATCH($F$1,enemy_skill_triggers!$1:$1,0)+1,FALSE)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1" s="47"/>
      <c r="Q301" s="47"/>
      <c r="R301" s="47"/>
    </row>
    <row r="302" spans="1:18" ht="21" customHeight="1" x14ac:dyDescent="0.15">
      <c r="A302" s="39" t="str">
        <f t="shared" si="4"/>
        <v>49015023_49015225</v>
      </c>
      <c r="B302" s="106">
        <v>49015023</v>
      </c>
      <c r="C302" s="124">
        <v>49015225</v>
      </c>
      <c r="D302" s="46" t="str">
        <f ca="1">VLOOKUP($C302,OFFSET(enemy_skills!$A$1,0,0,COUNTA(enemy_skills!$A:$A),MATCH(D$1,enemy_skills!$1:$1,0)-MATCH("enemy_skill_id",enemy_skills!$1:$1,0)+1),MATCH(D$1,enemy_skills!$1:$1,0)-MATCH("enemy_skill_id",enemy_skills!$1:$1,0)+1,FALSE)</f>
        <v>クソ人間が！</v>
      </c>
      <c r="E302" s="46" t="str">
        <f ca="1">VLOOKUP($C302,OFFSET(enemy_skills!$A$1,0,0,COUNTA(enemy_skills!$A:$A),MATCH(E$1,enemy_skills!$1:$1,0)-MATCH("enemy_skill_id",enemy_skills!$1:$1,0)+1),MATCH(E$1,enemy_skills!$1:$1,0)-MATCH("enemy_skill_id",enemy_skills!$1:$1,0)+1,FALSE)</f>
        <v>特定エリアを緑の時限式ダメージパネルに変換</v>
      </c>
      <c r="F302" s="124">
        <v>49015301</v>
      </c>
      <c r="G302" s="48">
        <f ca="1">VLOOKUP($F302,OFFSET(enemy_skill_triggers!$A$1,0,0,COUNTA(enemy_skill_triggers!$A:$A),MATCH(G$1,enemy_skill_triggers!$1:$1,0)-MATCH($F$1,enemy_skill_triggers!$1:$1,0)+1),MATCH(G$1,enemy_skill_triggers!$1:$1,0)-MATCH($F$1,enemy_skill_triggers!$1:$1,0)+1,FALSE)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2" s="48">
        <f ca="1">VLOOKUP($F302,OFFSET(enemy_skill_triggers!$A$1,0,0,COUNTA(enemy_skill_triggers!$A:$A),MATCH(H$1,enemy_skill_triggers!$1:$1,0)-MATCH($F$1,enemy_skill_triggers!$1:$1,0)+1),MATCH(H$1,enemy_skill_triggers!$1:$1,0)-MATCH($F$1,enemy_skill_triggers!$1:$1,0)+1,FALSE)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02" s="48">
        <f ca="1">VLOOKUP($F302,OFFSET(enemy_skill_triggers!$A$1,0,0,COUNTA(enemy_skill_triggers!$A:$A),MATCH(I$1,enemy_skill_triggers!$1:$1,0)-MATCH($F$1,enemy_skill_triggers!$1:$1,0)+1),MATCH(I$1,enemy_skill_triggers!$1:$1,0)-MATCH($F$1,enemy_skill_triggers!$1:$1,0)+1,FALSE)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2" s="48" t="str">
        <f ca="1">VLOOKUP($F302,OFFSET(enemy_skill_triggers!$A$1,0,0,COUNTA(enemy_skill_triggers!$A:$A),MATCH(J$1,enemy_skill_triggers!$1:$1,0)-MATCH($F$1,enemy_skill_triggers!$1:$1,0)+1),MATCH(J$1,enemy_skill_triggers!$1:$1,0)-MATCH($F$1,enemy_skill_triggers!$1:$1,0)+1,FALSE)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2" s="48" t="str">
        <f ca="1">VLOOKUP($F302,OFFSET(enemy_skill_triggers!$A$1,0,0,COUNTA(enemy_skill_triggers!$A:$A),MATCH(K$1,enemy_skill_triggers!$1:$1,0)-MATCH($F$1,enemy_skill_triggers!$1:$1,0)+1),MATCH(K$1,enemy_skill_triggers!$1:$1,0)-MATCH($F$1,enemy_skill_triggers!$1:$1,0)+1,FALSE)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2" s="48" t="str">
        <f ca="1">VLOOKUP($F302,OFFSET(enemy_skill_triggers!$A$1,0,0,COUNTA(enemy_skill_triggers!$A:$A),MATCH(L$1,enemy_skill_triggers!$1:$1,0)-MATCH($F$1,enemy_skill_triggers!$1:$1,0)+1),MATCH(L$1,enemy_skill_triggers!$1:$1,0)-MATCH($F$1,enemy_skill_triggers!$1:$1,0)+1,FALSE)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2" s="48">
        <f ca="1">VLOOKUP($F302,OFFSET(enemy_skill_triggers!$A$1,0,0,COUNTA(enemy_skill_triggers!$A:$A),MATCH(M$1,enemy_skill_triggers!$1:$1,0)-MATCH($F$1,enemy_skill_triggers!$1:$1,0)+1),MATCH(M$1,enemy_skill_triggers!$1:$1,0)-MATCH($F$1,enemy_skill_triggers!$1:$1,0)+1,FALSE)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02" s="48" t="str">
        <f ca="1">VLOOKUP($F302,OFFSET(enemy_skill_triggers!$A$1,0,0,COUNTA(enemy_skill_triggers!$A:$A),MATCH(N$1,enemy_skill_triggers!$1:$1,0)-MATCH($F$1,enemy_skill_triggers!$1:$1,0)+1),MATCH(N$1,enemy_skill_triggers!$1:$1,0)-MATCH($F$1,enemy_skill_triggers!$1:$1,0)+1,FALSE)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2" s="48">
        <f ca="1">VLOOKUP($F302,OFFSET(enemy_skill_triggers!$A$1,0,0,COUNTA(enemy_skill_triggers!$A:$A),MATCH(O$1,enemy_skill_triggers!$1:$1,0)-MATCH($F$1,enemy_skill_triggers!$1:$1,0)+1),MATCH(O$1,enemy_skill_triggers!$1:$1,0)-MATCH($F$1,enemy_skill_triggers!$1:$1,0)+1,FALSE)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2" s="47"/>
      <c r="Q302" s="47"/>
      <c r="R302" s="47"/>
    </row>
    <row r="303" spans="1:18" ht="21" customHeight="1" thickBot="1" x14ac:dyDescent="0.2">
      <c r="A303" s="39" t="str">
        <f t="shared" si="4"/>
        <v>49015023_49015226</v>
      </c>
      <c r="B303" s="111">
        <v>49015023</v>
      </c>
      <c r="C303" s="125">
        <v>49015226</v>
      </c>
      <c r="D303" s="145" t="str">
        <f ca="1">VLOOKUP($C303,OFFSET(enemy_skills!$A$1,0,0,COUNTA(enemy_skills!$A:$A),MATCH(D$1,enemy_skills!$1:$1,0)-MATCH("enemy_skill_id",enemy_skills!$1:$1,0)+1),MATCH(D$1,enemy_skills!$1:$1,0)-MATCH("enemy_skill_id",enemy_skills!$1:$1,0)+1,FALSE)</f>
        <v>くっそラースの野郎！</v>
      </c>
      <c r="E303" s="145" t="str">
        <f ca="1">VLOOKUP($C303,OFFSET(enemy_skills!$A$1,0,0,COUNTA(enemy_skills!$A:$A),MATCH(E$1,enemy_skills!$1:$1,0)-MATCH("enemy_skill_id",enemy_skills!$1:$1,0)+1),MATCH(E$1,enemy_skills!$1:$1,0)-MATCH("enemy_skill_id",enemy_skills!$1:$1,0)+1,FALSE)</f>
        <v>特定エリアをお邪魔パネルに変換</v>
      </c>
      <c r="F303" s="125">
        <v>49015302</v>
      </c>
      <c r="G303" s="114">
        <f ca="1">VLOOKUP($F303,OFFSET(enemy_skill_triggers!$A$1,0,0,COUNTA(enemy_skill_triggers!$A:$A),MATCH(G$1,enemy_skill_triggers!$1:$1,0)-MATCH($F$1,enemy_skill_triggers!$1:$1,0)+1),MATCH(G$1,enemy_skill_triggers!$1:$1,0)-MATCH($F$1,enemy_skill_triggers!$1:$1,0)+1,FALSE)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3" s="114">
        <f ca="1">VLOOKUP($F303,OFFSET(enemy_skill_triggers!$A$1,0,0,COUNTA(enemy_skill_triggers!$A:$A),MATCH(H$1,enemy_skill_triggers!$1:$1,0)-MATCH($F$1,enemy_skill_triggers!$1:$1,0)+1),MATCH(H$1,enemy_skill_triggers!$1:$1,0)-MATCH($F$1,enemy_skill_triggers!$1:$1,0)+1,FALSE)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03" s="114">
        <f ca="1">VLOOKUP($F303,OFFSET(enemy_skill_triggers!$A$1,0,0,COUNTA(enemy_skill_triggers!$A:$A),MATCH(I$1,enemy_skill_triggers!$1:$1,0)-MATCH($F$1,enemy_skill_triggers!$1:$1,0)+1),MATCH(I$1,enemy_skill_triggers!$1:$1,0)-MATCH($F$1,enemy_skill_triggers!$1:$1,0)+1,FALSE)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3" s="114" t="str">
        <f ca="1">VLOOKUP($F303,OFFSET(enemy_skill_triggers!$A$1,0,0,COUNTA(enemy_skill_triggers!$A:$A),MATCH(J$1,enemy_skill_triggers!$1:$1,0)-MATCH($F$1,enemy_skill_triggers!$1:$1,0)+1),MATCH(J$1,enemy_skill_triggers!$1:$1,0)-MATCH($F$1,enemy_skill_triggers!$1:$1,0)+1,FALSE)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3" s="114" t="str">
        <f ca="1">VLOOKUP($F303,OFFSET(enemy_skill_triggers!$A$1,0,0,COUNTA(enemy_skill_triggers!$A:$A),MATCH(K$1,enemy_skill_triggers!$1:$1,0)-MATCH($F$1,enemy_skill_triggers!$1:$1,0)+1),MATCH(K$1,enemy_skill_triggers!$1:$1,0)-MATCH($F$1,enemy_skill_triggers!$1:$1,0)+1,FALSE)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3" s="114" t="str">
        <f ca="1">VLOOKUP($F303,OFFSET(enemy_skill_triggers!$A$1,0,0,COUNTA(enemy_skill_triggers!$A:$A),MATCH(L$1,enemy_skill_triggers!$1:$1,0)-MATCH($F$1,enemy_skill_triggers!$1:$1,0)+1),MATCH(L$1,enemy_skill_triggers!$1:$1,0)-MATCH($F$1,enemy_skill_triggers!$1:$1,0)+1,FALSE)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3" s="114">
        <f ca="1">VLOOKUP($F303,OFFSET(enemy_skill_triggers!$A$1,0,0,COUNTA(enemy_skill_triggers!$A:$A),MATCH(M$1,enemy_skill_triggers!$1:$1,0)-MATCH($F$1,enemy_skill_triggers!$1:$1,0)+1),MATCH(M$1,enemy_skill_triggers!$1:$1,0)-MATCH($F$1,enemy_skill_triggers!$1:$1,0)+1,FALSE)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03" s="114" t="str">
        <f ca="1">VLOOKUP($F303,OFFSET(enemy_skill_triggers!$A$1,0,0,COUNTA(enemy_skill_triggers!$A:$A),MATCH(N$1,enemy_skill_triggers!$1:$1,0)-MATCH($F$1,enemy_skill_triggers!$1:$1,0)+1),MATCH(N$1,enemy_skill_triggers!$1:$1,0)-MATCH($F$1,enemy_skill_triggers!$1:$1,0)+1,FALSE)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3" s="114">
        <f ca="1">VLOOKUP($F303,OFFSET(enemy_skill_triggers!$A$1,0,0,COUNTA(enemy_skill_triggers!$A:$A),MATCH(O$1,enemy_skill_triggers!$1:$1,0)-MATCH($F$1,enemy_skill_triggers!$1:$1,0)+1),MATCH(O$1,enemy_skill_triggers!$1:$1,0)-MATCH($F$1,enemy_skill_triggers!$1:$1,0)+1,FALSE)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3" s="111"/>
      <c r="Q303" s="111"/>
      <c r="R303" s="111"/>
    </row>
    <row r="304" spans="1:18" ht="21" customHeight="1" x14ac:dyDescent="0.15">
      <c r="A304" s="39" t="str">
        <f t="shared" si="4"/>
        <v>49015024_49015227</v>
      </c>
      <c r="B304" s="106">
        <v>49015024</v>
      </c>
      <c r="C304" s="124">
        <v>49015227</v>
      </c>
      <c r="D304" s="144" t="str">
        <f ca="1">VLOOKUP($C304,OFFSET(enemy_skills!$A$1,0,0,COUNTA(enemy_skills!$A:$A),MATCH(D$1,enemy_skills!$1:$1,0)-MATCH("enemy_skill_id",enemy_skills!$1:$1,0)+1),MATCH(D$1,enemy_skills!$1:$1,0)-MATCH("enemy_skill_id",enemy_skills!$1:$1,0)+1,FALSE)</f>
        <v>紛れ込んでやってやる！</v>
      </c>
      <c r="E304" s="144" t="str">
        <f ca="1">VLOOKUP($C304,OFFSET(enemy_skills!$A$1,0,0,COUNTA(enemy_skills!$A:$A),MATCH(E$1,enemy_skills!$1:$1,0)-MATCH("enemy_skill_id",enemy_skills!$1:$1,0)+1),MATCH(E$1,enemy_skills!$1:$1,0)-MATCH("enemy_skill_id",enemy_skills!$1:$1,0)+1,FALSE)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304" s="124">
        <v>49015303</v>
      </c>
      <c r="G304" s="109">
        <f ca="1">VLOOKUP($F304,OFFSET(enemy_skill_triggers!$A$1,0,0,COUNTA(enemy_skill_triggers!$A:$A),MATCH(G$1,enemy_skill_triggers!$1:$1,0)-MATCH($F$1,enemy_skill_triggers!$1:$1,0)+1),MATCH(G$1,enemy_skill_triggers!$1:$1,0)-MATCH($F$1,enemy_skill_triggers!$1:$1,0)+1,FALSE)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4" s="109">
        <f ca="1">VLOOKUP($F304,OFFSET(enemy_skill_triggers!$A$1,0,0,COUNTA(enemy_skill_triggers!$A:$A),MATCH(H$1,enemy_skill_triggers!$1:$1,0)-MATCH($F$1,enemy_skill_triggers!$1:$1,0)+1),MATCH(H$1,enemy_skill_triggers!$1:$1,0)-MATCH($F$1,enemy_skill_triggers!$1:$1,0)+1,FALSE)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04" s="109">
        <f ca="1">VLOOKUP($F304,OFFSET(enemy_skill_triggers!$A$1,0,0,COUNTA(enemy_skill_triggers!$A:$A),MATCH(I$1,enemy_skill_triggers!$1:$1,0)-MATCH($F$1,enemy_skill_triggers!$1:$1,0)+1),MATCH(I$1,enemy_skill_triggers!$1:$1,0)-MATCH($F$1,enemy_skill_triggers!$1:$1,0)+1,FALSE)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4" s="109" t="str">
        <f ca="1">VLOOKUP($F304,OFFSET(enemy_skill_triggers!$A$1,0,0,COUNTA(enemy_skill_triggers!$A:$A),MATCH(J$1,enemy_skill_triggers!$1:$1,0)-MATCH($F$1,enemy_skill_triggers!$1:$1,0)+1),MATCH(J$1,enemy_skill_triggers!$1:$1,0)-MATCH($F$1,enemy_skill_triggers!$1:$1,0)+1,FALSE)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4" s="109" t="str">
        <f ca="1">VLOOKUP($F304,OFFSET(enemy_skill_triggers!$A$1,0,0,COUNTA(enemy_skill_triggers!$A:$A),MATCH(K$1,enemy_skill_triggers!$1:$1,0)-MATCH($F$1,enemy_skill_triggers!$1:$1,0)+1),MATCH(K$1,enemy_skill_triggers!$1:$1,0)-MATCH($F$1,enemy_skill_triggers!$1:$1,0)+1,FALSE)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4" s="109">
        <f ca="1">VLOOKUP($F304,OFFSET(enemy_skill_triggers!$A$1,0,0,COUNTA(enemy_skill_triggers!$A:$A),MATCH(L$1,enemy_skill_triggers!$1:$1,0)-MATCH($F$1,enemy_skill_triggers!$1:$1,0)+1),MATCH(L$1,enemy_skill_triggers!$1:$1,0)-MATCH($F$1,enemy_skill_triggers!$1:$1,0)+1,FALSE)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4" s="109" t="str">
        <f ca="1">VLOOKUP($F304,OFFSET(enemy_skill_triggers!$A$1,0,0,COUNTA(enemy_skill_triggers!$A:$A),MATCH(M$1,enemy_skill_triggers!$1:$1,0)-MATCH($F$1,enemy_skill_triggers!$1:$1,0)+1),MATCH(M$1,enemy_skill_triggers!$1:$1,0)-MATCH($F$1,enemy_skill_triggers!$1:$1,0)+1,FALSE)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4" s="109" t="str">
        <f ca="1">VLOOKUP($F304,OFFSET(enemy_skill_triggers!$A$1,0,0,COUNTA(enemy_skill_triggers!$A:$A),MATCH(N$1,enemy_skill_triggers!$1:$1,0)-MATCH($F$1,enemy_skill_triggers!$1:$1,0)+1),MATCH(N$1,enemy_skill_triggers!$1:$1,0)-MATCH($F$1,enemy_skill_triggers!$1:$1,0)+1,FALSE)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4" s="109">
        <f ca="1">VLOOKUP($F304,OFFSET(enemy_skill_triggers!$A$1,0,0,COUNTA(enemy_skill_triggers!$A:$A),MATCH(O$1,enemy_skill_triggers!$1:$1,0)-MATCH($F$1,enemy_skill_triggers!$1:$1,0)+1),MATCH(O$1,enemy_skill_triggers!$1:$1,0)-MATCH($F$1,enemy_skill_triggers!$1:$1,0)+1,FALSE)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4" s="106"/>
      <c r="Q304" s="106"/>
      <c r="R304" s="106"/>
    </row>
    <row r="305" spans="1:18" ht="21" customHeight="1" x14ac:dyDescent="0.15">
      <c r="A305" s="39" t="str">
        <f t="shared" si="4"/>
        <v>49015024_49015228</v>
      </c>
      <c r="B305" s="106">
        <v>49015024</v>
      </c>
      <c r="C305" s="124">
        <v>49015228</v>
      </c>
      <c r="D305" s="46" t="str">
        <f ca="1">VLOOKUP($C305,OFFSET(enemy_skills!$A$1,0,0,COUNTA(enemy_skills!$A:$A),MATCH(D$1,enemy_skills!$1:$1,0)-MATCH("enemy_skill_id",enemy_skills!$1:$1,0)+1),MATCH(D$1,enemy_skills!$1:$1,0)-MATCH("enemy_skill_id",enemy_skills!$1:$1,0)+1,FALSE)</f>
        <v>ツインターゲット</v>
      </c>
      <c r="E305" s="46" t="str">
        <f ca="1">VLOOKUP($C305,OFFSET(enemy_skills!$A$1,0,0,COUNTA(enemy_skills!$A:$A),MATCH(E$1,enemy_skills!$1:$1,0)-MATCH("enemy_skill_id",enemy_skills!$1:$1,0)+1),MATCH(E$1,enemy_skills!$1:$1,0)-MATCH("enemy_skill_id",enemy_skills!$1:$1,0)+1,FALSE)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05" s="124">
        <v>49015304</v>
      </c>
      <c r="G305" s="48">
        <f ca="1">VLOOKUP($F305,OFFSET(enemy_skill_triggers!$A$1,0,0,COUNTA(enemy_skill_triggers!$A:$A),MATCH(G$1,enemy_skill_triggers!$1:$1,0)-MATCH($F$1,enemy_skill_triggers!$1:$1,0)+1),MATCH(G$1,enemy_skill_triggers!$1:$1,0)-MATCH($F$1,enemy_skill_triggers!$1:$1,0)+1,FALSE)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5" s="48">
        <f ca="1">VLOOKUP($F305,OFFSET(enemy_skill_triggers!$A$1,0,0,COUNTA(enemy_skill_triggers!$A:$A),MATCH(H$1,enemy_skill_triggers!$1:$1,0)-MATCH($F$1,enemy_skill_triggers!$1:$1,0)+1),MATCH(H$1,enemy_skill_triggers!$1:$1,0)-MATCH($F$1,enemy_skill_triggers!$1:$1,0)+1,FALSE)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05" s="48">
        <f ca="1">VLOOKUP($F305,OFFSET(enemy_skill_triggers!$A$1,0,0,COUNTA(enemy_skill_triggers!$A:$A),MATCH(I$1,enemy_skill_triggers!$1:$1,0)-MATCH($F$1,enemy_skill_triggers!$1:$1,0)+1),MATCH(I$1,enemy_skill_triggers!$1:$1,0)-MATCH($F$1,enemy_skill_triggers!$1:$1,0)+1,FALSE)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05" s="48" t="str">
        <f ca="1">VLOOKUP($F305,OFFSET(enemy_skill_triggers!$A$1,0,0,COUNTA(enemy_skill_triggers!$A:$A),MATCH(J$1,enemy_skill_triggers!$1:$1,0)-MATCH($F$1,enemy_skill_triggers!$1:$1,0)+1),MATCH(J$1,enemy_skill_triggers!$1:$1,0)-MATCH($F$1,enemy_skill_triggers!$1:$1,0)+1,FALSE)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5" s="48" t="str">
        <f ca="1">VLOOKUP($F305,OFFSET(enemy_skill_triggers!$A$1,0,0,COUNTA(enemy_skill_triggers!$A:$A),MATCH(K$1,enemy_skill_triggers!$1:$1,0)-MATCH($F$1,enemy_skill_triggers!$1:$1,0)+1),MATCH(K$1,enemy_skill_triggers!$1:$1,0)-MATCH($F$1,enemy_skill_triggers!$1:$1,0)+1,FALSE)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5" s="48" t="str">
        <f ca="1">VLOOKUP($F305,OFFSET(enemy_skill_triggers!$A$1,0,0,COUNTA(enemy_skill_triggers!$A:$A),MATCH(L$1,enemy_skill_triggers!$1:$1,0)-MATCH($F$1,enemy_skill_triggers!$1:$1,0)+1),MATCH(L$1,enemy_skill_triggers!$1:$1,0)-MATCH($F$1,enemy_skill_triggers!$1:$1,0)+1,FALSE)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5" s="48" t="str">
        <f ca="1">VLOOKUP($F305,OFFSET(enemy_skill_triggers!$A$1,0,0,COUNTA(enemy_skill_triggers!$A:$A),MATCH(M$1,enemy_skill_triggers!$1:$1,0)-MATCH($F$1,enemy_skill_triggers!$1:$1,0)+1),MATCH(M$1,enemy_skill_triggers!$1:$1,0)-MATCH($F$1,enemy_skill_triggers!$1:$1,0)+1,FALSE)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5" s="48" t="str">
        <f ca="1">VLOOKUP($F305,OFFSET(enemy_skill_triggers!$A$1,0,0,COUNTA(enemy_skill_triggers!$A:$A),MATCH(N$1,enemy_skill_triggers!$1:$1,0)-MATCH($F$1,enemy_skill_triggers!$1:$1,0)+1),MATCH(N$1,enemy_skill_triggers!$1:$1,0)-MATCH($F$1,enemy_skill_triggers!$1:$1,0)+1,FALSE)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5" s="48">
        <f ca="1">VLOOKUP($F305,OFFSET(enemy_skill_triggers!$A$1,0,0,COUNTA(enemy_skill_triggers!$A:$A),MATCH(O$1,enemy_skill_triggers!$1:$1,0)-MATCH($F$1,enemy_skill_triggers!$1:$1,0)+1),MATCH(O$1,enemy_skill_triggers!$1:$1,0)-MATCH($F$1,enemy_skill_triggers!$1:$1,0)+1,FALSE)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05" s="47"/>
      <c r="Q305" s="47"/>
      <c r="R305" s="47"/>
    </row>
    <row r="306" spans="1:18" ht="21" customHeight="1" x14ac:dyDescent="0.15">
      <c r="A306" s="39" t="str">
        <f t="shared" si="4"/>
        <v>49015024_49015229</v>
      </c>
      <c r="B306" s="106">
        <v>49015024</v>
      </c>
      <c r="C306" s="124">
        <v>49015229</v>
      </c>
      <c r="D306" s="46" t="str">
        <f ca="1">VLOOKUP($C306,OFFSET(enemy_skills!$A$1,0,0,COUNTA(enemy_skills!$A:$A),MATCH(D$1,enemy_skills!$1:$1,0)-MATCH("enemy_skill_id",enemy_skills!$1:$1,0)+1),MATCH(D$1,enemy_skills!$1:$1,0)-MATCH("enemy_skill_id",enemy_skills!$1:$1,0)+1,FALSE)</f>
        <v>ゴミカスが調子にのるなよ！</v>
      </c>
      <c r="E306" s="46" t="str">
        <f ca="1">VLOOKUP($C306,OFFSET(enemy_skills!$A$1,0,0,COUNTA(enemy_skills!$A:$A),MATCH(E$1,enemy_skills!$1:$1,0)-MATCH("enemy_skill_id",enemy_skills!$1:$1,0)+1),MATCH(E$1,enemy_skills!$1:$1,0)-MATCH("enemy_skill_id",enemy_skills!$1:$1,0)+1,FALSE)</f>
        <v>単体攻撃+3ターン攻撃力UP</v>
      </c>
      <c r="F306" s="124">
        <v>49015305</v>
      </c>
      <c r="G306" s="48">
        <f ca="1">VLOOKUP($F306,OFFSET(enemy_skill_triggers!$A$1,0,0,COUNTA(enemy_skill_triggers!$A:$A),MATCH(G$1,enemy_skill_triggers!$1:$1,0)-MATCH($F$1,enemy_skill_triggers!$1:$1,0)+1),MATCH(G$1,enemy_skill_triggers!$1:$1,0)-MATCH($F$1,enemy_skill_triggers!$1:$1,0)+1,FALSE)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6" s="48">
        <f ca="1">VLOOKUP($F306,OFFSET(enemy_skill_triggers!$A$1,0,0,COUNTA(enemy_skill_triggers!$A:$A),MATCH(H$1,enemy_skill_triggers!$1:$1,0)-MATCH($F$1,enemy_skill_triggers!$1:$1,0)+1),MATCH(H$1,enemy_skill_triggers!$1:$1,0)-MATCH($F$1,enemy_skill_triggers!$1:$1,0)+1,FALSE)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06" s="48">
        <f ca="1">VLOOKUP($F306,OFFSET(enemy_skill_triggers!$A$1,0,0,COUNTA(enemy_skill_triggers!$A:$A),MATCH(I$1,enemy_skill_triggers!$1:$1,0)-MATCH($F$1,enemy_skill_triggers!$1:$1,0)+1),MATCH(I$1,enemy_skill_triggers!$1:$1,0)-MATCH($F$1,enemy_skill_triggers!$1:$1,0)+1,FALSE)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6" s="48" t="str">
        <f ca="1">VLOOKUP($F306,OFFSET(enemy_skill_triggers!$A$1,0,0,COUNTA(enemy_skill_triggers!$A:$A),MATCH(J$1,enemy_skill_triggers!$1:$1,0)-MATCH($F$1,enemy_skill_triggers!$1:$1,0)+1),MATCH(J$1,enemy_skill_triggers!$1:$1,0)-MATCH($F$1,enemy_skill_triggers!$1:$1,0)+1,FALSE)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6" s="48" t="str">
        <f ca="1">VLOOKUP($F306,OFFSET(enemy_skill_triggers!$A$1,0,0,COUNTA(enemy_skill_triggers!$A:$A),MATCH(K$1,enemy_skill_triggers!$1:$1,0)-MATCH($F$1,enemy_skill_triggers!$1:$1,0)+1),MATCH(K$1,enemy_skill_triggers!$1:$1,0)-MATCH($F$1,enemy_skill_triggers!$1:$1,0)+1,FALSE)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6" s="48" t="str">
        <f ca="1">VLOOKUP($F306,OFFSET(enemy_skill_triggers!$A$1,0,0,COUNTA(enemy_skill_triggers!$A:$A),MATCH(L$1,enemy_skill_triggers!$1:$1,0)-MATCH($F$1,enemy_skill_triggers!$1:$1,0)+1),MATCH(L$1,enemy_skill_triggers!$1:$1,0)-MATCH($F$1,enemy_skill_triggers!$1:$1,0)+1,FALSE)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6" s="48" t="str">
        <f ca="1">VLOOKUP($F306,OFFSET(enemy_skill_triggers!$A$1,0,0,COUNTA(enemy_skill_triggers!$A:$A),MATCH(M$1,enemy_skill_triggers!$1:$1,0)-MATCH($F$1,enemy_skill_triggers!$1:$1,0)+1),MATCH(M$1,enemy_skill_triggers!$1:$1,0)-MATCH($F$1,enemy_skill_triggers!$1:$1,0)+1,FALSE)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6" s="48" t="str">
        <f ca="1">VLOOKUP($F306,OFFSET(enemy_skill_triggers!$A$1,0,0,COUNTA(enemy_skill_triggers!$A:$A),MATCH(N$1,enemy_skill_triggers!$1:$1,0)-MATCH($F$1,enemy_skill_triggers!$1:$1,0)+1),MATCH(N$1,enemy_skill_triggers!$1:$1,0)-MATCH($F$1,enemy_skill_triggers!$1:$1,0)+1,FALSE)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6" s="48">
        <f ca="1">VLOOKUP($F306,OFFSET(enemy_skill_triggers!$A$1,0,0,COUNTA(enemy_skill_triggers!$A:$A),MATCH(O$1,enemy_skill_triggers!$1:$1,0)-MATCH($F$1,enemy_skill_triggers!$1:$1,0)+1),MATCH(O$1,enemy_skill_triggers!$1:$1,0)-MATCH($F$1,enemy_skill_triggers!$1:$1,0)+1,FALSE)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6" s="47"/>
      <c r="Q306" s="47"/>
      <c r="R306" s="47"/>
    </row>
    <row r="307" spans="1:18" ht="21" customHeight="1" x14ac:dyDescent="0.15">
      <c r="A307" s="39" t="str">
        <f t="shared" si="4"/>
        <v>49015024_49015230</v>
      </c>
      <c r="B307" s="106">
        <v>49015024</v>
      </c>
      <c r="C307" s="124">
        <v>49015230</v>
      </c>
      <c r="D307" s="46" t="str">
        <f ca="1">VLOOKUP($C307,OFFSET(enemy_skills!$A$1,0,0,COUNTA(enemy_skills!$A:$A),MATCH(D$1,enemy_skills!$1:$1,0)-MATCH("enemy_skill_id",enemy_skills!$1:$1,0)+1),MATCH(D$1,enemy_skills!$1:$1,0)-MATCH("enemy_skill_id",enemy_skills!$1:$1,0)+1,FALSE)</f>
        <v>ストライクバック</v>
      </c>
      <c r="E307" s="46" t="str">
        <f ca="1">VLOOKUP($C307,OFFSET(enemy_skills!$A$1,0,0,COUNTA(enemy_skills!$A:$A),MATCH(E$1,enemy_skills!$1:$1,0)-MATCH("enemy_skill_id",enemy_skills!$1:$1,0)+1),MATCH(E$1,enemy_skills!$1:$1,0)-MATCH("enemy_skill_id",enemy_skills!$1:$1,0)+1,FALSE)</f>
        <v>1ターン行動頻度UP+_x000D_2ターン全ユニットの攻撃をカウンター</v>
      </c>
      <c r="F307" s="124">
        <v>49015306</v>
      </c>
      <c r="G307" s="48">
        <f ca="1">VLOOKUP($F307,OFFSET(enemy_skill_triggers!$A$1,0,0,COUNTA(enemy_skill_triggers!$A:$A),MATCH(G$1,enemy_skill_triggers!$1:$1,0)-MATCH($F$1,enemy_skill_triggers!$1:$1,0)+1),MATCH(G$1,enemy_skill_triggers!$1:$1,0)-MATCH($F$1,enemy_skill_triggers!$1:$1,0)+1,FALSE)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7" s="48">
        <f ca="1">VLOOKUP($F307,OFFSET(enemy_skill_triggers!$A$1,0,0,COUNTA(enemy_skill_triggers!$A:$A),MATCH(H$1,enemy_skill_triggers!$1:$1,0)-MATCH($F$1,enemy_skill_triggers!$1:$1,0)+1),MATCH(H$1,enemy_skill_triggers!$1:$1,0)-MATCH($F$1,enemy_skill_triggers!$1:$1,0)+1,FALSE)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07" s="48">
        <f ca="1">VLOOKUP($F307,OFFSET(enemy_skill_triggers!$A$1,0,0,COUNTA(enemy_skill_triggers!$A:$A),MATCH(I$1,enemy_skill_triggers!$1:$1,0)-MATCH($F$1,enemy_skill_triggers!$1:$1,0)+1),MATCH(I$1,enemy_skill_triggers!$1:$1,0)-MATCH($F$1,enemy_skill_triggers!$1:$1,0)+1,FALSE)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7" s="48" t="str">
        <f ca="1">VLOOKUP($F307,OFFSET(enemy_skill_triggers!$A$1,0,0,COUNTA(enemy_skill_triggers!$A:$A),MATCH(J$1,enemy_skill_triggers!$1:$1,0)-MATCH($F$1,enemy_skill_triggers!$1:$1,0)+1),MATCH(J$1,enemy_skill_triggers!$1:$1,0)-MATCH($F$1,enemy_skill_triggers!$1:$1,0)+1,FALSE)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7" s="48" t="str">
        <f ca="1">VLOOKUP($F307,OFFSET(enemy_skill_triggers!$A$1,0,0,COUNTA(enemy_skill_triggers!$A:$A),MATCH(K$1,enemy_skill_triggers!$1:$1,0)-MATCH($F$1,enemy_skill_triggers!$1:$1,0)+1),MATCH(K$1,enemy_skill_triggers!$1:$1,0)-MATCH($F$1,enemy_skill_triggers!$1:$1,0)+1,FALSE)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7" s="48" t="str">
        <f ca="1">VLOOKUP($F307,OFFSET(enemy_skill_triggers!$A$1,0,0,COUNTA(enemy_skill_triggers!$A:$A),MATCH(L$1,enemy_skill_triggers!$1:$1,0)-MATCH($F$1,enemy_skill_triggers!$1:$1,0)+1),MATCH(L$1,enemy_skill_triggers!$1:$1,0)-MATCH($F$1,enemy_skill_triggers!$1:$1,0)+1,FALSE)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7" s="48">
        <f ca="1">VLOOKUP($F307,OFFSET(enemy_skill_triggers!$A$1,0,0,COUNTA(enemy_skill_triggers!$A:$A),MATCH(M$1,enemy_skill_triggers!$1:$1,0)-MATCH($F$1,enemy_skill_triggers!$1:$1,0)+1),MATCH(M$1,enemy_skill_triggers!$1:$1,0)-MATCH($F$1,enemy_skill_triggers!$1:$1,0)+1,FALSE)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07" s="48" t="str">
        <f ca="1">VLOOKUP($F307,OFFSET(enemy_skill_triggers!$A$1,0,0,COUNTA(enemy_skill_triggers!$A:$A),MATCH(N$1,enemy_skill_triggers!$1:$1,0)-MATCH($F$1,enemy_skill_triggers!$1:$1,0)+1),MATCH(N$1,enemy_skill_triggers!$1:$1,0)-MATCH($F$1,enemy_skill_triggers!$1:$1,0)+1,FALSE)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7" s="48">
        <f ca="1">VLOOKUP($F307,OFFSET(enemy_skill_triggers!$A$1,0,0,COUNTA(enemy_skill_triggers!$A:$A),MATCH(O$1,enemy_skill_triggers!$1:$1,0)-MATCH($F$1,enemy_skill_triggers!$1:$1,0)+1),MATCH(O$1,enemy_skill_triggers!$1:$1,0)-MATCH($F$1,enemy_skill_triggers!$1:$1,0)+1,FALSE)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7" s="47"/>
      <c r="Q307" s="47"/>
      <c r="R307" s="47"/>
    </row>
    <row r="308" spans="1:18" ht="21" customHeight="1" thickBot="1" x14ac:dyDescent="0.2">
      <c r="A308" s="39" t="str">
        <f t="shared" si="4"/>
        <v>49015024_49015231</v>
      </c>
      <c r="B308" s="111">
        <v>49015024</v>
      </c>
      <c r="C308" s="125">
        <v>49015231</v>
      </c>
      <c r="D308" s="145" t="str">
        <f ca="1">VLOOKUP($C308,OFFSET(enemy_skills!$A$1,0,0,COUNTA(enemy_skills!$A:$A),MATCH(D$1,enemy_skills!$1:$1,0)-MATCH("enemy_skill_id",enemy_skills!$1:$1,0)+1),MATCH(D$1,enemy_skills!$1:$1,0)-MATCH("enemy_skill_id",enemy_skills!$1:$1,0)+1,FALSE)</f>
        <v>糞が…</v>
      </c>
      <c r="E308" s="145" t="str">
        <f ca="1">VLOOKUP($C308,OFFSET(enemy_skills!$A$1,0,0,COUNTA(enemy_skills!$A:$A),MATCH(E$1,enemy_skills!$1:$1,0)-MATCH("enemy_skill_id",enemy_skills!$1:$1,0)+1),MATCH(E$1,enemy_skills!$1:$1,0)-MATCH("enemy_skill_id",enemy_skills!$1:$1,0)+1,FALSE)</f>
        <v>変身が解けていく</v>
      </c>
      <c r="F308" s="125">
        <v>49015307</v>
      </c>
      <c r="G308" s="114">
        <f ca="1">VLOOKUP($F308,OFFSET(enemy_skill_triggers!$A$1,0,0,COUNTA(enemy_skill_triggers!$A:$A),MATCH(G$1,enemy_skill_triggers!$1:$1,0)-MATCH($F$1,enemy_skill_triggers!$1:$1,0)+1),MATCH(G$1,enemy_skill_triggers!$1:$1,0)-MATCH($F$1,enemy_skill_triggers!$1:$1,0)+1,FALSE)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8" s="114">
        <f ca="1">VLOOKUP($F308,OFFSET(enemy_skill_triggers!$A$1,0,0,COUNTA(enemy_skill_triggers!$A:$A),MATCH(H$1,enemy_skill_triggers!$1:$1,0)-MATCH($F$1,enemy_skill_triggers!$1:$1,0)+1),MATCH(H$1,enemy_skill_triggers!$1:$1,0)-MATCH($F$1,enemy_skill_triggers!$1:$1,0)+1,FALSE)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8" s="114">
        <f ca="1">VLOOKUP($F308,OFFSET(enemy_skill_triggers!$A$1,0,0,COUNTA(enemy_skill_triggers!$A:$A),MATCH(I$1,enemy_skill_triggers!$1:$1,0)-MATCH($F$1,enemy_skill_triggers!$1:$1,0)+1),MATCH(I$1,enemy_skill_triggers!$1:$1,0)-MATCH($F$1,enemy_skill_triggers!$1:$1,0)+1,FALSE)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8" s="114">
        <f ca="1">VLOOKUP($F308,OFFSET(enemy_skill_triggers!$A$1,0,0,COUNTA(enemy_skill_triggers!$A:$A),MATCH(J$1,enemy_skill_triggers!$1:$1,0)-MATCH($F$1,enemy_skill_triggers!$1:$1,0)+1),MATCH(J$1,enemy_skill_triggers!$1:$1,0)-MATCH($F$1,enemy_skill_triggers!$1:$1,0)+1,FALSE)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08" s="114" t="str">
        <f ca="1">VLOOKUP($F308,OFFSET(enemy_skill_triggers!$A$1,0,0,COUNTA(enemy_skill_triggers!$A:$A),MATCH(K$1,enemy_skill_triggers!$1:$1,0)-MATCH($F$1,enemy_skill_triggers!$1:$1,0)+1),MATCH(K$1,enemy_skill_triggers!$1:$1,0)-MATCH($F$1,enemy_skill_triggers!$1:$1,0)+1,FALSE)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8" s="114">
        <f ca="1">VLOOKUP($F308,OFFSET(enemy_skill_triggers!$A$1,0,0,COUNTA(enemy_skill_triggers!$A:$A),MATCH(L$1,enemy_skill_triggers!$1:$1,0)-MATCH($F$1,enemy_skill_triggers!$1:$1,0)+1),MATCH(L$1,enemy_skill_triggers!$1:$1,0)-MATCH($F$1,enemy_skill_triggers!$1:$1,0)+1,FALSE)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8" s="114">
        <f ca="1">VLOOKUP($F308,OFFSET(enemy_skill_triggers!$A$1,0,0,COUNTA(enemy_skill_triggers!$A:$A),MATCH(M$1,enemy_skill_triggers!$1:$1,0)-MATCH($F$1,enemy_skill_triggers!$1:$1,0)+1),MATCH(M$1,enemy_skill_triggers!$1:$1,0)-MATCH($F$1,enemy_skill_triggers!$1:$1,0)+1,FALSE)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8" s="114" t="str">
        <f ca="1">VLOOKUP($F308,OFFSET(enemy_skill_triggers!$A$1,0,0,COUNTA(enemy_skill_triggers!$A:$A),MATCH(N$1,enemy_skill_triggers!$1:$1,0)-MATCH($F$1,enemy_skill_triggers!$1:$1,0)+1),MATCH(N$1,enemy_skill_triggers!$1:$1,0)-MATCH($F$1,enemy_skill_triggers!$1:$1,0)+1,FALSE)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8" s="114">
        <f ca="1">VLOOKUP($F308,OFFSET(enemy_skill_triggers!$A$1,0,0,COUNTA(enemy_skill_triggers!$A:$A),MATCH(O$1,enemy_skill_triggers!$1:$1,0)-MATCH($F$1,enemy_skill_triggers!$1:$1,0)+1),MATCH(O$1,enemy_skill_triggers!$1:$1,0)-MATCH($F$1,enemy_skill_triggers!$1:$1,0)+1,FALSE)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8" s="111"/>
      <c r="Q308" s="111"/>
      <c r="R308" s="111"/>
    </row>
    <row r="309" spans="1:18" ht="21" customHeight="1" x14ac:dyDescent="0.15">
      <c r="A309" s="39" t="str">
        <f t="shared" si="4"/>
        <v>49015025_49015232</v>
      </c>
      <c r="B309" s="106">
        <v>49015025</v>
      </c>
      <c r="C309" s="124">
        <v>49015232</v>
      </c>
      <c r="D309" s="144" t="str">
        <f ca="1">VLOOKUP($C309,OFFSET(enemy_skills!$A$1,0,0,COUNTA(enemy_skills!$A:$A),MATCH(D$1,enemy_skills!$1:$1,0)-MATCH("enemy_skill_id",enemy_skills!$1:$1,0)+1),MATCH(D$1,enemy_skills!$1:$1,0)-MATCH("enemy_skill_id",enemy_skills!$1:$1,0)+1,FALSE)</f>
        <v>もうやりあう気なんかねえよ</v>
      </c>
      <c r="E309" s="144" t="str">
        <f ca="1">VLOOKUP($C309,OFFSET(enemy_skills!$A$1,0,0,COUNTA(enemy_skills!$A:$A),MATCH(E$1,enemy_skills!$1:$1,0)-MATCH("enemy_skill_id",enemy_skills!$1:$1,0)+1),MATCH(E$1,enemy_skills!$1:$1,0)-MATCH("enemy_skill_id",enemy_skills!$1:$1,0)+1,FALSE)</f>
        <v>特定エリアをハートパネルに変換</v>
      </c>
      <c r="F309" s="124">
        <v>49015308</v>
      </c>
      <c r="G309" s="109">
        <f ca="1">VLOOKUP($F309,OFFSET(enemy_skill_triggers!$A$1,0,0,COUNTA(enemy_skill_triggers!$A:$A),MATCH(G$1,enemy_skill_triggers!$1:$1,0)-MATCH($F$1,enemy_skill_triggers!$1:$1,0)+1),MATCH(G$1,enemy_skill_triggers!$1:$1,0)-MATCH($F$1,enemy_skill_triggers!$1:$1,0)+1,FALSE)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9" s="109" t="str">
        <f ca="1">VLOOKUP($F309,OFFSET(enemy_skill_triggers!$A$1,0,0,COUNTA(enemy_skill_triggers!$A:$A),MATCH(H$1,enemy_skill_triggers!$1:$1,0)-MATCH($F$1,enemy_skill_triggers!$1:$1,0)+1),MATCH(H$1,enemy_skill_triggers!$1:$1,0)-MATCH($F$1,enemy_skill_triggers!$1:$1,0)+1,FALSE)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9" s="109">
        <f ca="1">VLOOKUP($F309,OFFSET(enemy_skill_triggers!$A$1,0,0,COUNTA(enemy_skill_triggers!$A:$A),MATCH(I$1,enemy_skill_triggers!$1:$1,0)-MATCH($F$1,enemy_skill_triggers!$1:$1,0)+1),MATCH(I$1,enemy_skill_triggers!$1:$1,0)-MATCH($F$1,enemy_skill_triggers!$1:$1,0)+1,FALSE)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9" s="109" t="str">
        <f ca="1">VLOOKUP($F309,OFFSET(enemy_skill_triggers!$A$1,0,0,COUNTA(enemy_skill_triggers!$A:$A),MATCH(J$1,enemy_skill_triggers!$1:$1,0)-MATCH($F$1,enemy_skill_triggers!$1:$1,0)+1),MATCH(J$1,enemy_skill_triggers!$1:$1,0)-MATCH($F$1,enemy_skill_triggers!$1:$1,0)+1,FALSE)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9" s="109" t="str">
        <f ca="1">VLOOKUP($F309,OFFSET(enemy_skill_triggers!$A$1,0,0,COUNTA(enemy_skill_triggers!$A:$A),MATCH(K$1,enemy_skill_triggers!$1:$1,0)-MATCH($F$1,enemy_skill_triggers!$1:$1,0)+1),MATCH(K$1,enemy_skill_triggers!$1:$1,0)-MATCH($F$1,enemy_skill_triggers!$1:$1,0)+1,FALSE)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9" s="109">
        <f ca="1">VLOOKUP($F309,OFFSET(enemy_skill_triggers!$A$1,0,0,COUNTA(enemy_skill_triggers!$A:$A),MATCH(L$1,enemy_skill_triggers!$1:$1,0)-MATCH($F$1,enemy_skill_triggers!$1:$1,0)+1),MATCH(L$1,enemy_skill_triggers!$1:$1,0)-MATCH($F$1,enemy_skill_triggers!$1:$1,0)+1,FALSE)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9" s="109" t="str">
        <f ca="1">VLOOKUP($F309,OFFSET(enemy_skill_triggers!$A$1,0,0,COUNTA(enemy_skill_triggers!$A:$A),MATCH(M$1,enemy_skill_triggers!$1:$1,0)-MATCH($F$1,enemy_skill_triggers!$1:$1,0)+1),MATCH(M$1,enemy_skill_triggers!$1:$1,0)-MATCH($F$1,enemy_skill_triggers!$1:$1,0)+1,FALSE)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9" s="109" t="str">
        <f ca="1">VLOOKUP($F309,OFFSET(enemy_skill_triggers!$A$1,0,0,COUNTA(enemy_skill_triggers!$A:$A),MATCH(N$1,enemy_skill_triggers!$1:$1,0)-MATCH($F$1,enemy_skill_triggers!$1:$1,0)+1),MATCH(N$1,enemy_skill_triggers!$1:$1,0)-MATCH($F$1,enemy_skill_triggers!$1:$1,0)+1,FALSE)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9" s="109">
        <f ca="1">VLOOKUP($F309,OFFSET(enemy_skill_triggers!$A$1,0,0,COUNTA(enemy_skill_triggers!$A:$A),MATCH(O$1,enemy_skill_triggers!$1:$1,0)-MATCH($F$1,enemy_skill_triggers!$1:$1,0)+1),MATCH(O$1,enemy_skill_triggers!$1:$1,0)-MATCH($F$1,enemy_skill_triggers!$1:$1,0)+1,FALSE)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9" s="106"/>
      <c r="Q309" s="106"/>
      <c r="R309" s="106"/>
    </row>
    <row r="310" spans="1:18" ht="21" customHeight="1" x14ac:dyDescent="0.15">
      <c r="A310" s="39" t="str">
        <f t="shared" si="4"/>
        <v>49015025_49015233</v>
      </c>
      <c r="B310" s="106">
        <v>49015025</v>
      </c>
      <c r="C310" s="124">
        <v>49015233</v>
      </c>
      <c r="D310" s="46" t="str">
        <f ca="1">VLOOKUP($C310,OFFSET(enemy_skills!$A$1,0,0,COUNTA(enemy_skills!$A:$A),MATCH(D$1,enemy_skills!$1:$1,0)-MATCH("enemy_skill_id",enemy_skills!$1:$1,0)+1),MATCH(D$1,enemy_skills!$1:$1,0)-MATCH("enemy_skill_id",enemy_skills!$1:$1,0)+1,FALSE)</f>
        <v>ったく！しつこい！</v>
      </c>
      <c r="E310" s="46" t="str">
        <f ca="1">VLOOKUP($C310,OFFSET(enemy_skills!$A$1,0,0,COUNTA(enemy_skills!$A:$A),MATCH(E$1,enemy_skills!$1:$1,0)-MATCH("enemy_skill_id",enemy_skills!$1:$1,0)+1),MATCH(E$1,enemy_skills!$1:$1,0)-MATCH("enemy_skill_id",enemy_skills!$1:$1,0)+1,FALSE)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10" s="124">
        <v>49015309</v>
      </c>
      <c r="G310" s="48">
        <f ca="1">VLOOKUP($F310,OFFSET(enemy_skill_triggers!$A$1,0,0,COUNTA(enemy_skill_triggers!$A:$A),MATCH(G$1,enemy_skill_triggers!$1:$1,0)-MATCH($F$1,enemy_skill_triggers!$1:$1,0)+1),MATCH(G$1,enemy_skill_triggers!$1:$1,0)-MATCH($F$1,enemy_skill_triggers!$1:$1,0)+1,FALSE)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0" s="48">
        <f ca="1">VLOOKUP($F310,OFFSET(enemy_skill_triggers!$A$1,0,0,COUNTA(enemy_skill_triggers!$A:$A),MATCH(H$1,enemy_skill_triggers!$1:$1,0)-MATCH($F$1,enemy_skill_triggers!$1:$1,0)+1),MATCH(H$1,enemy_skill_triggers!$1:$1,0)-MATCH($F$1,enemy_skill_triggers!$1:$1,0)+1,FALSE)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10" s="48">
        <f ca="1">VLOOKUP($F310,OFFSET(enemy_skill_triggers!$A$1,0,0,COUNTA(enemy_skill_triggers!$A:$A),MATCH(I$1,enemy_skill_triggers!$1:$1,0)-MATCH($F$1,enemy_skill_triggers!$1:$1,0)+1),MATCH(I$1,enemy_skill_triggers!$1:$1,0)-MATCH($F$1,enemy_skill_triggers!$1:$1,0)+1,FALSE)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10" s="48" t="str">
        <f ca="1">VLOOKUP($F310,OFFSET(enemy_skill_triggers!$A$1,0,0,COUNTA(enemy_skill_triggers!$A:$A),MATCH(J$1,enemy_skill_triggers!$1:$1,0)-MATCH($F$1,enemy_skill_triggers!$1:$1,0)+1),MATCH(J$1,enemy_skill_triggers!$1:$1,0)-MATCH($F$1,enemy_skill_triggers!$1:$1,0)+1,FALSE)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0" s="48" t="str">
        <f ca="1">VLOOKUP($F310,OFFSET(enemy_skill_triggers!$A$1,0,0,COUNTA(enemy_skill_triggers!$A:$A),MATCH(K$1,enemy_skill_triggers!$1:$1,0)-MATCH($F$1,enemy_skill_triggers!$1:$1,0)+1),MATCH(K$1,enemy_skill_triggers!$1:$1,0)-MATCH($F$1,enemy_skill_triggers!$1:$1,0)+1,FALSE)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0" s="48" t="str">
        <f ca="1">VLOOKUP($F310,OFFSET(enemy_skill_triggers!$A$1,0,0,COUNTA(enemy_skill_triggers!$A:$A),MATCH(L$1,enemy_skill_triggers!$1:$1,0)-MATCH($F$1,enemy_skill_triggers!$1:$1,0)+1),MATCH(L$1,enemy_skill_triggers!$1:$1,0)-MATCH($F$1,enemy_skill_triggers!$1:$1,0)+1,FALSE)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0" s="48" t="str">
        <f ca="1">VLOOKUP($F310,OFFSET(enemy_skill_triggers!$A$1,0,0,COUNTA(enemy_skill_triggers!$A:$A),MATCH(M$1,enemy_skill_triggers!$1:$1,0)-MATCH($F$1,enemy_skill_triggers!$1:$1,0)+1),MATCH(M$1,enemy_skill_triggers!$1:$1,0)-MATCH($F$1,enemy_skill_triggers!$1:$1,0)+1,FALSE)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0" s="48" t="str">
        <f ca="1">VLOOKUP($F310,OFFSET(enemy_skill_triggers!$A$1,0,0,COUNTA(enemy_skill_triggers!$A:$A),MATCH(N$1,enemy_skill_triggers!$1:$1,0)-MATCH($F$1,enemy_skill_triggers!$1:$1,0)+1),MATCH(N$1,enemy_skill_triggers!$1:$1,0)-MATCH($F$1,enemy_skill_triggers!$1:$1,0)+1,FALSE)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0" s="48">
        <f ca="1">VLOOKUP($F310,OFFSET(enemy_skill_triggers!$A$1,0,0,COUNTA(enemy_skill_triggers!$A:$A),MATCH(O$1,enemy_skill_triggers!$1:$1,0)-MATCH($F$1,enemy_skill_triggers!$1:$1,0)+1),MATCH(O$1,enemy_skill_triggers!$1:$1,0)-MATCH($F$1,enemy_skill_triggers!$1:$1,0)+1,FALSE)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10" s="47"/>
      <c r="Q310" s="47"/>
      <c r="R310" s="47"/>
    </row>
    <row r="311" spans="1:18" ht="21" customHeight="1" x14ac:dyDescent="0.15">
      <c r="A311" s="39" t="str">
        <f t="shared" si="4"/>
        <v>49015025_49015234</v>
      </c>
      <c r="B311" s="106">
        <v>49015025</v>
      </c>
      <c r="C311" s="124">
        <v>49015234</v>
      </c>
      <c r="D311" s="46" t="str">
        <f ca="1">VLOOKUP($C311,OFFSET(enemy_skills!$A$1,0,0,COUNTA(enemy_skills!$A:$A),MATCH(D$1,enemy_skills!$1:$1,0)-MATCH("enemy_skill_id",enemy_skills!$1:$1,0)+1),MATCH(D$1,enemy_skills!$1:$1,0)-MATCH("enemy_skill_id",enemy_skills!$1:$1,0)+1,FALSE)</f>
        <v>嫉妬</v>
      </c>
      <c r="E311" s="46" t="str">
        <f ca="1">VLOOKUP($C311,OFFSET(enemy_skills!$A$1,0,0,COUNTA(enemy_skills!$A:$A),MATCH(E$1,enemy_skills!$1:$1,0)-MATCH("enemy_skill_id",enemy_skills!$1:$1,0)+1),MATCH(E$1,enemy_skills!$1:$1,0)-MATCH("enemy_skill_id",enemy_skills!$1:$1,0)+1,FALSE)</f>
        <v>単体攻撃+_x000D_ランダムで緑の時限式ダメージパネルに最大3個変換</v>
      </c>
      <c r="F311" s="124">
        <v>49015310</v>
      </c>
      <c r="G311" s="48">
        <f ca="1">VLOOKUP($F311,OFFSET(enemy_skill_triggers!$A$1,0,0,COUNTA(enemy_skill_triggers!$A:$A),MATCH(G$1,enemy_skill_triggers!$1:$1,0)-MATCH($F$1,enemy_skill_triggers!$1:$1,0)+1),MATCH(G$1,enemy_skill_triggers!$1:$1,0)-MATCH($F$1,enemy_skill_triggers!$1:$1,0)+1,FALSE)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1" s="48">
        <f ca="1">VLOOKUP($F311,OFFSET(enemy_skill_triggers!$A$1,0,0,COUNTA(enemy_skill_triggers!$A:$A),MATCH(H$1,enemy_skill_triggers!$1:$1,0)-MATCH($F$1,enemy_skill_triggers!$1:$1,0)+1),MATCH(H$1,enemy_skill_triggers!$1:$1,0)-MATCH($F$1,enemy_skill_triggers!$1:$1,0)+1,FALSE)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311" s="48">
        <f ca="1">VLOOKUP($F311,OFFSET(enemy_skill_triggers!$A$1,0,0,COUNTA(enemy_skill_triggers!$A:$A),MATCH(I$1,enemy_skill_triggers!$1:$1,0)-MATCH($F$1,enemy_skill_triggers!$1:$1,0)+1),MATCH(I$1,enemy_skill_triggers!$1:$1,0)-MATCH($F$1,enemy_skill_triggers!$1:$1,0)+1,FALSE)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11" s="48" t="str">
        <f ca="1">VLOOKUP($F311,OFFSET(enemy_skill_triggers!$A$1,0,0,COUNTA(enemy_skill_triggers!$A:$A),MATCH(J$1,enemy_skill_triggers!$1:$1,0)-MATCH($F$1,enemy_skill_triggers!$1:$1,0)+1),MATCH(J$1,enemy_skill_triggers!$1:$1,0)-MATCH($F$1,enemy_skill_triggers!$1:$1,0)+1,FALSE)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1" s="48" t="str">
        <f ca="1">VLOOKUP($F311,OFFSET(enemy_skill_triggers!$A$1,0,0,COUNTA(enemy_skill_triggers!$A:$A),MATCH(K$1,enemy_skill_triggers!$1:$1,0)-MATCH($F$1,enemy_skill_triggers!$1:$1,0)+1),MATCH(K$1,enemy_skill_triggers!$1:$1,0)-MATCH($F$1,enemy_skill_triggers!$1:$1,0)+1,FALSE)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1" s="48" t="str">
        <f ca="1">VLOOKUP($F311,OFFSET(enemy_skill_triggers!$A$1,0,0,COUNTA(enemy_skill_triggers!$A:$A),MATCH(L$1,enemy_skill_triggers!$1:$1,0)-MATCH($F$1,enemy_skill_triggers!$1:$1,0)+1),MATCH(L$1,enemy_skill_triggers!$1:$1,0)-MATCH($F$1,enemy_skill_triggers!$1:$1,0)+1,FALSE)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1" s="48" t="str">
        <f ca="1">VLOOKUP($F311,OFFSET(enemy_skill_triggers!$A$1,0,0,COUNTA(enemy_skill_triggers!$A:$A),MATCH(M$1,enemy_skill_triggers!$1:$1,0)-MATCH($F$1,enemy_skill_triggers!$1:$1,0)+1),MATCH(M$1,enemy_skill_triggers!$1:$1,0)-MATCH($F$1,enemy_skill_triggers!$1:$1,0)+1,FALSE)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1" s="48" t="str">
        <f ca="1">VLOOKUP($F311,OFFSET(enemy_skill_triggers!$A$1,0,0,COUNTA(enemy_skill_triggers!$A:$A),MATCH(N$1,enemy_skill_triggers!$1:$1,0)-MATCH($F$1,enemy_skill_triggers!$1:$1,0)+1),MATCH(N$1,enemy_skill_triggers!$1:$1,0)-MATCH($F$1,enemy_skill_triggers!$1:$1,0)+1,FALSE)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1" s="48">
        <f ca="1">VLOOKUP($F311,OFFSET(enemy_skill_triggers!$A$1,0,0,COUNTA(enemy_skill_triggers!$A:$A),MATCH(O$1,enemy_skill_triggers!$1:$1,0)-MATCH($F$1,enemy_skill_triggers!$1:$1,0)+1),MATCH(O$1,enemy_skill_triggers!$1:$1,0)-MATCH($F$1,enemy_skill_triggers!$1:$1,0)+1,FALSE)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11" s="47"/>
      <c r="Q311" s="47"/>
      <c r="R311" s="47"/>
    </row>
    <row r="312" spans="1:18" ht="21" customHeight="1" x14ac:dyDescent="0.15">
      <c r="A312" s="39" t="str">
        <f t="shared" si="4"/>
        <v>49015025_49015235</v>
      </c>
      <c r="B312" s="106">
        <v>49015025</v>
      </c>
      <c r="C312" s="124">
        <v>49015235</v>
      </c>
      <c r="D312" s="46" t="str">
        <f ca="1">VLOOKUP($C312,OFFSET(enemy_skills!$A$1,0,0,COUNTA(enemy_skills!$A:$A),MATCH(D$1,enemy_skills!$1:$1,0)-MATCH("enemy_skill_id",enemy_skills!$1:$1,0)+1),MATCH(D$1,enemy_skills!$1:$1,0)-MATCH("enemy_skill_id",enemy_skills!$1:$1,0)+1,FALSE)</f>
        <v>人間風情が！</v>
      </c>
      <c r="E312" s="46" t="str">
        <f ca="1">VLOOKUP($C312,OFFSET(enemy_skills!$A$1,0,0,COUNTA(enemy_skills!$A:$A),MATCH(E$1,enemy_skills!$1:$1,0)-MATCH("enemy_skill_id",enemy_skills!$1:$1,0)+1),MATCH(E$1,enemy_skills!$1:$1,0)-MATCH("enemy_skill_id",enemy_skills!$1:$1,0)+1,FALSE)</f>
        <v>単体攻撃+_x000D_特定エリアをお邪魔パネルに変換</v>
      </c>
      <c r="F312" s="124">
        <v>49015311</v>
      </c>
      <c r="G312" s="48">
        <f ca="1">VLOOKUP($F312,OFFSET(enemy_skill_triggers!$A$1,0,0,COUNTA(enemy_skill_triggers!$A:$A),MATCH(G$1,enemy_skill_triggers!$1:$1,0)-MATCH($F$1,enemy_skill_triggers!$1:$1,0)+1),MATCH(G$1,enemy_skill_triggers!$1:$1,0)-MATCH($F$1,enemy_skill_triggers!$1:$1,0)+1,FALSE)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2" s="48">
        <f ca="1">VLOOKUP($F312,OFFSET(enemy_skill_triggers!$A$1,0,0,COUNTA(enemy_skill_triggers!$A:$A),MATCH(H$1,enemy_skill_triggers!$1:$1,0)-MATCH($F$1,enemy_skill_triggers!$1:$1,0)+1),MATCH(H$1,enemy_skill_triggers!$1:$1,0)-MATCH($F$1,enemy_skill_triggers!$1:$1,0)+1,FALSE)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12" s="48">
        <f ca="1">VLOOKUP($F312,OFFSET(enemy_skill_triggers!$A$1,0,0,COUNTA(enemy_skill_triggers!$A:$A),MATCH(I$1,enemy_skill_triggers!$1:$1,0)-MATCH($F$1,enemy_skill_triggers!$1:$1,0)+1),MATCH(I$1,enemy_skill_triggers!$1:$1,0)-MATCH($F$1,enemy_skill_triggers!$1:$1,0)+1,FALSE)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2" s="48" t="str">
        <f ca="1">VLOOKUP($F312,OFFSET(enemy_skill_triggers!$A$1,0,0,COUNTA(enemy_skill_triggers!$A:$A),MATCH(J$1,enemy_skill_triggers!$1:$1,0)-MATCH($F$1,enemy_skill_triggers!$1:$1,0)+1),MATCH(J$1,enemy_skill_triggers!$1:$1,0)-MATCH($F$1,enemy_skill_triggers!$1:$1,0)+1,FALSE)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2" s="48" t="str">
        <f ca="1">VLOOKUP($F312,OFFSET(enemy_skill_triggers!$A$1,0,0,COUNTA(enemy_skill_triggers!$A:$A),MATCH(K$1,enemy_skill_triggers!$1:$1,0)-MATCH($F$1,enemy_skill_triggers!$1:$1,0)+1),MATCH(K$1,enemy_skill_triggers!$1:$1,0)-MATCH($F$1,enemy_skill_triggers!$1:$1,0)+1,FALSE)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2" s="48" t="str">
        <f ca="1">VLOOKUP($F312,OFFSET(enemy_skill_triggers!$A$1,0,0,COUNTA(enemy_skill_triggers!$A:$A),MATCH(L$1,enemy_skill_triggers!$1:$1,0)-MATCH($F$1,enemy_skill_triggers!$1:$1,0)+1),MATCH(L$1,enemy_skill_triggers!$1:$1,0)-MATCH($F$1,enemy_skill_triggers!$1:$1,0)+1,FALSE)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2" s="48" t="str">
        <f ca="1">VLOOKUP($F312,OFFSET(enemy_skill_triggers!$A$1,0,0,COUNTA(enemy_skill_triggers!$A:$A),MATCH(M$1,enemy_skill_triggers!$1:$1,0)-MATCH($F$1,enemy_skill_triggers!$1:$1,0)+1),MATCH(M$1,enemy_skill_triggers!$1:$1,0)-MATCH($F$1,enemy_skill_triggers!$1:$1,0)+1,FALSE)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2" s="48" t="str">
        <f ca="1">VLOOKUP($F312,OFFSET(enemy_skill_triggers!$A$1,0,0,COUNTA(enemy_skill_triggers!$A:$A),MATCH(N$1,enemy_skill_triggers!$1:$1,0)-MATCH($F$1,enemy_skill_triggers!$1:$1,0)+1),MATCH(N$1,enemy_skill_triggers!$1:$1,0)-MATCH($F$1,enemy_skill_triggers!$1:$1,0)+1,FALSE)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2" s="48">
        <f ca="1">VLOOKUP($F312,OFFSET(enemy_skill_triggers!$A$1,0,0,COUNTA(enemy_skill_triggers!$A:$A),MATCH(O$1,enemy_skill_triggers!$1:$1,0)-MATCH($F$1,enemy_skill_triggers!$1:$1,0)+1),MATCH(O$1,enemy_skill_triggers!$1:$1,0)-MATCH($F$1,enemy_skill_triggers!$1:$1,0)+1,FALSE)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2" s="47"/>
      <c r="Q312" s="47"/>
      <c r="R312" s="47"/>
    </row>
    <row r="313" spans="1:18" ht="21" customHeight="1" x14ac:dyDescent="0.15">
      <c r="A313" s="39" t="str">
        <f t="shared" si="4"/>
        <v>49015025_49015236</v>
      </c>
      <c r="B313" s="106">
        <v>49015025</v>
      </c>
      <c r="C313" s="124">
        <v>49015236</v>
      </c>
      <c r="D313" s="46" t="str">
        <f ca="1">VLOOKUP($C313,OFFSET(enemy_skills!$A$1,0,0,COUNTA(enemy_skills!$A:$A),MATCH(D$1,enemy_skills!$1:$1,0)-MATCH("enemy_skill_id",enemy_skills!$1:$1,0)+1),MATCH(D$1,enemy_skills!$1:$1,0)-MATCH("enemy_skill_id",enemy_skills!$1:$1,0)+1,FALSE)</f>
        <v>クソが！クソ虫が！！_x000D_調子にのるんじゃねえ！！！</v>
      </c>
      <c r="E313" s="46" t="str">
        <f ca="1">VLOOKUP($C313,OFFSET(enemy_skills!$A$1,0,0,COUNTA(enemy_skills!$A:$A),MATCH(E$1,enemy_skills!$1:$1,0)-MATCH("enemy_skill_id",enemy_skills!$1:$1,0)+1),MATCH(E$1,enemy_skills!$1:$1,0)-MATCH("enemy_skill_id",enemy_skills!$1:$1,0)+1,FALSE)</f>
        <v>特定エリアをお邪魔パネルと_x000D_緑の時限式ダメージパネルに変換</v>
      </c>
      <c r="F313" s="124">
        <v>49015312</v>
      </c>
      <c r="G313" s="48">
        <f ca="1">VLOOKUP($F313,OFFSET(enemy_skill_triggers!$A$1,0,0,COUNTA(enemy_skill_triggers!$A:$A),MATCH(G$1,enemy_skill_triggers!$1:$1,0)-MATCH($F$1,enemy_skill_triggers!$1:$1,0)+1),MATCH(G$1,enemy_skill_triggers!$1:$1,0)-MATCH($F$1,enemy_skill_triggers!$1:$1,0)+1,FALSE)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3" s="48">
        <f ca="1">VLOOKUP($F313,OFFSET(enemy_skill_triggers!$A$1,0,0,COUNTA(enemy_skill_triggers!$A:$A),MATCH(H$1,enemy_skill_triggers!$1:$1,0)-MATCH($F$1,enemy_skill_triggers!$1:$1,0)+1),MATCH(H$1,enemy_skill_triggers!$1:$1,0)-MATCH($F$1,enemy_skill_triggers!$1:$1,0)+1,FALSE)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13" s="48">
        <f ca="1">VLOOKUP($F313,OFFSET(enemy_skill_triggers!$A$1,0,0,COUNTA(enemy_skill_triggers!$A:$A),MATCH(I$1,enemy_skill_triggers!$1:$1,0)-MATCH($F$1,enemy_skill_triggers!$1:$1,0)+1),MATCH(I$1,enemy_skill_triggers!$1:$1,0)-MATCH($F$1,enemy_skill_triggers!$1:$1,0)+1,FALSE)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3" s="48" t="str">
        <f ca="1">VLOOKUP($F313,OFFSET(enemy_skill_triggers!$A$1,0,0,COUNTA(enemy_skill_triggers!$A:$A),MATCH(J$1,enemy_skill_triggers!$1:$1,0)-MATCH($F$1,enemy_skill_triggers!$1:$1,0)+1),MATCH(J$1,enemy_skill_triggers!$1:$1,0)-MATCH($F$1,enemy_skill_triggers!$1:$1,0)+1,FALSE)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3" s="48" t="str">
        <f ca="1">VLOOKUP($F313,OFFSET(enemy_skill_triggers!$A$1,0,0,COUNTA(enemy_skill_triggers!$A:$A),MATCH(K$1,enemy_skill_triggers!$1:$1,0)-MATCH($F$1,enemy_skill_triggers!$1:$1,0)+1),MATCH(K$1,enemy_skill_triggers!$1:$1,0)-MATCH($F$1,enemy_skill_triggers!$1:$1,0)+1,FALSE)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3" s="48" t="str">
        <f ca="1">VLOOKUP($F313,OFFSET(enemy_skill_triggers!$A$1,0,0,COUNTA(enemy_skill_triggers!$A:$A),MATCH(L$1,enemy_skill_triggers!$1:$1,0)-MATCH($F$1,enemy_skill_triggers!$1:$1,0)+1),MATCH(L$1,enemy_skill_triggers!$1:$1,0)-MATCH($F$1,enemy_skill_triggers!$1:$1,0)+1,FALSE)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3" s="48">
        <f ca="1">VLOOKUP($F313,OFFSET(enemy_skill_triggers!$A$1,0,0,COUNTA(enemy_skill_triggers!$A:$A),MATCH(M$1,enemy_skill_triggers!$1:$1,0)-MATCH($F$1,enemy_skill_triggers!$1:$1,0)+1),MATCH(M$1,enemy_skill_triggers!$1:$1,0)-MATCH($F$1,enemy_skill_triggers!$1:$1,0)+1,FALSE)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13" s="48" t="str">
        <f ca="1">VLOOKUP($F313,OFFSET(enemy_skill_triggers!$A$1,0,0,COUNTA(enemy_skill_triggers!$A:$A),MATCH(N$1,enemy_skill_triggers!$1:$1,0)-MATCH($F$1,enemy_skill_triggers!$1:$1,0)+1),MATCH(N$1,enemy_skill_triggers!$1:$1,0)-MATCH($F$1,enemy_skill_triggers!$1:$1,0)+1,FALSE)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3" s="48">
        <f ca="1">VLOOKUP($F313,OFFSET(enemy_skill_triggers!$A$1,0,0,COUNTA(enemy_skill_triggers!$A:$A),MATCH(O$1,enemy_skill_triggers!$1:$1,0)-MATCH($F$1,enemy_skill_triggers!$1:$1,0)+1),MATCH(O$1,enemy_skill_triggers!$1:$1,0)-MATCH($F$1,enemy_skill_triggers!$1:$1,0)+1,FALSE)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3" s="47"/>
      <c r="Q313" s="47"/>
      <c r="R313" s="47"/>
    </row>
    <row r="314" spans="1:18" ht="21" customHeight="1" x14ac:dyDescent="0.15">
      <c r="A314" s="39" t="str">
        <f t="shared" si="4"/>
        <v>49015025_49015237</v>
      </c>
      <c r="B314" s="106">
        <v>49015025</v>
      </c>
      <c r="C314" s="124">
        <v>49015237</v>
      </c>
      <c r="D314" s="46" t="str">
        <f ca="1">VLOOKUP($C314,OFFSET(enemy_skills!$A$1,0,0,COUNTA(enemy_skills!$A:$A),MATCH(D$1,enemy_skills!$1:$1,0)-MATCH("enemy_skill_id",enemy_skills!$1:$1,0)+1),MATCH(D$1,enemy_skills!$1:$1,0)-MATCH("enemy_skill_id",enemy_skills!$1:$1,0)+1,FALSE)</f>
        <v>下等生物に…</v>
      </c>
      <c r="E314" s="46" t="str">
        <f ca="1">VLOOKUP($C314,OFFSET(enemy_skills!$A$1,0,0,COUNTA(enemy_skills!$A:$A),MATCH(E$1,enemy_skills!$1:$1,0)-MATCH("enemy_skill_id",enemy_skills!$1:$1,0)+1),MATCH(E$1,enemy_skills!$1:$1,0)-MATCH("enemy_skill_id",enemy_skills!$1:$1,0)+1,FALSE)</f>
        <v>やられるとは…</v>
      </c>
      <c r="F314" s="124">
        <v>49015313</v>
      </c>
      <c r="G314" s="48">
        <f ca="1">VLOOKUP($F314,OFFSET(enemy_skill_triggers!$A$1,0,0,COUNTA(enemy_skill_triggers!$A:$A),MATCH(G$1,enemy_skill_triggers!$1:$1,0)-MATCH($F$1,enemy_skill_triggers!$1:$1,0)+1),MATCH(G$1,enemy_skill_triggers!$1:$1,0)-MATCH($F$1,enemy_skill_triggers!$1:$1,0)+1,FALSE)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4" s="48">
        <f ca="1">VLOOKUP($F314,OFFSET(enemy_skill_triggers!$A$1,0,0,COUNTA(enemy_skill_triggers!$A:$A),MATCH(H$1,enemy_skill_triggers!$1:$1,0)-MATCH($F$1,enemy_skill_triggers!$1:$1,0)+1),MATCH(H$1,enemy_skill_triggers!$1:$1,0)-MATCH($F$1,enemy_skill_triggers!$1:$1,0)+1,FALSE)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314" s="48">
        <f ca="1">VLOOKUP($F314,OFFSET(enemy_skill_triggers!$A$1,0,0,COUNTA(enemy_skill_triggers!$A:$A),MATCH(I$1,enemy_skill_triggers!$1:$1,0)-MATCH($F$1,enemy_skill_triggers!$1:$1,0)+1),MATCH(I$1,enemy_skill_triggers!$1:$1,0)-MATCH($F$1,enemy_skill_triggers!$1:$1,0)+1,FALSE)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4" s="48" t="str">
        <f ca="1">VLOOKUP($F314,OFFSET(enemy_skill_triggers!$A$1,0,0,COUNTA(enemy_skill_triggers!$A:$A),MATCH(J$1,enemy_skill_triggers!$1:$1,0)-MATCH($F$1,enemy_skill_triggers!$1:$1,0)+1),MATCH(J$1,enemy_skill_triggers!$1:$1,0)-MATCH($F$1,enemy_skill_triggers!$1:$1,0)+1,FALSE)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4" s="48" t="str">
        <f ca="1">VLOOKUP($F314,OFFSET(enemy_skill_triggers!$A$1,0,0,COUNTA(enemy_skill_triggers!$A:$A),MATCH(K$1,enemy_skill_triggers!$1:$1,0)-MATCH($F$1,enemy_skill_triggers!$1:$1,0)+1),MATCH(K$1,enemy_skill_triggers!$1:$1,0)-MATCH($F$1,enemy_skill_triggers!$1:$1,0)+1,FALSE)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4" s="48">
        <f ca="1">VLOOKUP($F314,OFFSET(enemy_skill_triggers!$A$1,0,0,COUNTA(enemy_skill_triggers!$A:$A),MATCH(L$1,enemy_skill_triggers!$1:$1,0)-MATCH($F$1,enemy_skill_triggers!$1:$1,0)+1),MATCH(L$1,enemy_skill_triggers!$1:$1,0)-MATCH($F$1,enemy_skill_triggers!$1:$1,0)+1,FALSE)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4" s="48" t="str">
        <f ca="1">VLOOKUP($F314,OFFSET(enemy_skill_triggers!$A$1,0,0,COUNTA(enemy_skill_triggers!$A:$A),MATCH(M$1,enemy_skill_triggers!$1:$1,0)-MATCH($F$1,enemy_skill_triggers!$1:$1,0)+1),MATCH(M$1,enemy_skill_triggers!$1:$1,0)-MATCH($F$1,enemy_skill_triggers!$1:$1,0)+1,FALSE)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4" s="48">
        <f ca="1">VLOOKUP($F314,OFFSET(enemy_skill_triggers!$A$1,0,0,COUNTA(enemy_skill_triggers!$A:$A),MATCH(N$1,enemy_skill_triggers!$1:$1,0)-MATCH($F$1,enemy_skill_triggers!$1:$1,0)+1),MATCH(N$1,enemy_skill_triggers!$1:$1,0)-MATCH($F$1,enemy_skill_triggers!$1:$1,0)+1,FALSE)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14" s="48">
        <f ca="1">VLOOKUP($F314,OFFSET(enemy_skill_triggers!$A$1,0,0,COUNTA(enemy_skill_triggers!$A:$A),MATCH(O$1,enemy_skill_triggers!$1:$1,0)-MATCH($F$1,enemy_skill_triggers!$1:$1,0)+1),MATCH(O$1,enemy_skill_triggers!$1:$1,0)-MATCH($F$1,enemy_skill_triggers!$1:$1,0)+1,FALSE)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4" s="47"/>
      <c r="Q314" s="47"/>
      <c r="R314" s="47"/>
    </row>
    <row r="315" spans="1:18" ht="21" customHeight="1" x14ac:dyDescent="0.15">
      <c r="A315" s="39" t="str">
        <f t="shared" si="4"/>
        <v>49015025_49015238</v>
      </c>
      <c r="B315" s="106">
        <v>49015025</v>
      </c>
      <c r="C315" s="124">
        <v>49015238</v>
      </c>
      <c r="D315" s="46" t="str">
        <f ca="1">VLOOKUP($C315,OFFSET(enemy_skills!$A$1,0,0,COUNTA(enemy_skills!$A:$A),MATCH(D$1,enemy_skills!$1:$1,0)-MATCH("enemy_skill_id",enemy_skills!$1:$1,0)+1),MATCH(D$1,enemy_skills!$1:$1,0)-MATCH("enemy_skill_id",enemy_skills!$1:$1,0)+1,FALSE)</f>
        <v>俺が…やられるとは…</v>
      </c>
      <c r="E315" s="46" t="str">
        <f ca="1">VLOOKUP($C315,OFFSET(enemy_skills!$A$1,0,0,COUNTA(enemy_skills!$A:$A),MATCH(E$1,enemy_skills!$1:$1,0)-MATCH("enemy_skill_id",enemy_skills!$1:$1,0)+1),MATCH(E$1,enemy_skills!$1:$1,0)-MATCH("enemy_skill_id",enemy_skills!$1:$1,0)+1,FALSE)</f>
        <v>エドワード…エル…リック…</v>
      </c>
      <c r="F315" s="124">
        <v>49015314</v>
      </c>
      <c r="G315" s="48">
        <f ca="1">VLOOKUP($F315,OFFSET(enemy_skill_triggers!$A$1,0,0,COUNTA(enemy_skill_triggers!$A:$A),MATCH(G$1,enemy_skill_triggers!$1:$1,0)-MATCH($F$1,enemy_skill_triggers!$1:$1,0)+1),MATCH(G$1,enemy_skill_triggers!$1:$1,0)-MATCH($F$1,enemy_skill_triggers!$1:$1,0)+1,FALSE)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5" s="48">
        <f ca="1">VLOOKUP($F315,OFFSET(enemy_skill_triggers!$A$1,0,0,COUNTA(enemy_skill_triggers!$A:$A),MATCH(H$1,enemy_skill_triggers!$1:$1,0)-MATCH($F$1,enemy_skill_triggers!$1:$1,0)+1),MATCH(H$1,enemy_skill_triggers!$1:$1,0)-MATCH($F$1,enemy_skill_triggers!$1:$1,0)+1,FALSE)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15" s="48">
        <f ca="1">VLOOKUP($F315,OFFSET(enemy_skill_triggers!$A$1,0,0,COUNTA(enemy_skill_triggers!$A:$A),MATCH(I$1,enemy_skill_triggers!$1:$1,0)-MATCH($F$1,enemy_skill_triggers!$1:$1,0)+1),MATCH(I$1,enemy_skill_triggers!$1:$1,0)-MATCH($F$1,enemy_skill_triggers!$1:$1,0)+1,FALSE)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5" s="48" t="str">
        <f ca="1">VLOOKUP($F315,OFFSET(enemy_skill_triggers!$A$1,0,0,COUNTA(enemy_skill_triggers!$A:$A),MATCH(J$1,enemy_skill_triggers!$1:$1,0)-MATCH($F$1,enemy_skill_triggers!$1:$1,0)+1),MATCH(J$1,enemy_skill_triggers!$1:$1,0)-MATCH($F$1,enemy_skill_triggers!$1:$1,0)+1,FALSE)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5" s="48" t="str">
        <f ca="1">VLOOKUP($F315,OFFSET(enemy_skill_triggers!$A$1,0,0,COUNTA(enemy_skill_triggers!$A:$A),MATCH(K$1,enemy_skill_triggers!$1:$1,0)-MATCH($F$1,enemy_skill_triggers!$1:$1,0)+1),MATCH(K$1,enemy_skill_triggers!$1:$1,0)-MATCH($F$1,enemy_skill_triggers!$1:$1,0)+1,FALSE)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5" s="48">
        <f ca="1">VLOOKUP($F315,OFFSET(enemy_skill_triggers!$A$1,0,0,COUNTA(enemy_skill_triggers!$A:$A),MATCH(L$1,enemy_skill_triggers!$1:$1,0)-MATCH($F$1,enemy_skill_triggers!$1:$1,0)+1),MATCH(L$1,enemy_skill_triggers!$1:$1,0)-MATCH($F$1,enemy_skill_triggers!$1:$1,0)+1,FALSE)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5" s="48" t="str">
        <f ca="1">VLOOKUP($F315,OFFSET(enemy_skill_triggers!$A$1,0,0,COUNTA(enemy_skill_triggers!$A:$A),MATCH(M$1,enemy_skill_triggers!$1:$1,0)-MATCH($F$1,enemy_skill_triggers!$1:$1,0)+1),MATCH(M$1,enemy_skill_triggers!$1:$1,0)-MATCH($F$1,enemy_skill_triggers!$1:$1,0)+1,FALSE)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5" s="48">
        <f ca="1">VLOOKUP($F315,OFFSET(enemy_skill_triggers!$A$1,0,0,COUNTA(enemy_skill_triggers!$A:$A),MATCH(N$1,enemy_skill_triggers!$1:$1,0)-MATCH($F$1,enemy_skill_triggers!$1:$1,0)+1),MATCH(N$1,enemy_skill_triggers!$1:$1,0)-MATCH($F$1,enemy_skill_triggers!$1:$1,0)+1,FALSE)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315" s="48">
        <f ca="1">VLOOKUP($F315,OFFSET(enemy_skill_triggers!$A$1,0,0,COUNTA(enemy_skill_triggers!$A:$A),MATCH(O$1,enemy_skill_triggers!$1:$1,0)-MATCH($F$1,enemy_skill_triggers!$1:$1,0)+1),MATCH(O$1,enemy_skill_triggers!$1:$1,0)-MATCH($F$1,enemy_skill_triggers!$1:$1,0)+1,FALSE)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5" s="47"/>
      <c r="Q315" s="47"/>
      <c r="R315" s="47"/>
    </row>
    <row r="316" spans="1:18" ht="21" customHeight="1" x14ac:dyDescent="0.15">
      <c r="A316" s="39" t="str">
        <f t="shared" si="4"/>
        <v>49015025_49015238</v>
      </c>
      <c r="B316" s="106">
        <v>49015025</v>
      </c>
      <c r="C316" s="124">
        <v>49015238</v>
      </c>
      <c r="D316" s="46" t="str">
        <f ca="1">VLOOKUP($C316,OFFSET(enemy_skills!$A$1,0,0,COUNTA(enemy_skills!$A:$A),MATCH(D$1,enemy_skills!$1:$1,0)-MATCH("enemy_skill_id",enemy_skills!$1:$1,0)+1),MATCH(D$1,enemy_skills!$1:$1,0)-MATCH("enemy_skill_id",enemy_skills!$1:$1,0)+1,FALSE)</f>
        <v>俺が…やられるとは…</v>
      </c>
      <c r="E316" s="46" t="str">
        <f ca="1">VLOOKUP($C316,OFFSET(enemy_skills!$A$1,0,0,COUNTA(enemy_skills!$A:$A),MATCH(E$1,enemy_skills!$1:$1,0)-MATCH("enemy_skill_id",enemy_skills!$1:$1,0)+1),MATCH(E$1,enemy_skills!$1:$1,0)-MATCH("enemy_skill_id",enemy_skills!$1:$1,0)+1,FALSE)</f>
        <v>エドワード…エル…リック…</v>
      </c>
      <c r="F316" s="124">
        <v>49015315</v>
      </c>
      <c r="G316" s="48">
        <f ca="1">VLOOKUP($F316,OFFSET(enemy_skill_triggers!$A$1,0,0,COUNTA(enemy_skill_triggers!$A:$A),MATCH(G$1,enemy_skill_triggers!$1:$1,0)-MATCH($F$1,enemy_skill_triggers!$1:$1,0)+1),MATCH(G$1,enemy_skill_triggers!$1:$1,0)-MATCH($F$1,enemy_skill_triggers!$1:$1,0)+1,FALSE)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6" s="48">
        <f ca="1">VLOOKUP($F316,OFFSET(enemy_skill_triggers!$A$1,0,0,COUNTA(enemy_skill_triggers!$A:$A),MATCH(H$1,enemy_skill_triggers!$1:$1,0)-MATCH($F$1,enemy_skill_triggers!$1:$1,0)+1),MATCH(H$1,enemy_skill_triggers!$1:$1,0)-MATCH($F$1,enemy_skill_triggers!$1:$1,0)+1,FALSE)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316" s="48">
        <f ca="1">VLOOKUP($F316,OFFSET(enemy_skill_triggers!$A$1,0,0,COUNTA(enemy_skill_triggers!$A:$A),MATCH(I$1,enemy_skill_triggers!$1:$1,0)-MATCH($F$1,enemy_skill_triggers!$1:$1,0)+1),MATCH(I$1,enemy_skill_triggers!$1:$1,0)-MATCH($F$1,enemy_skill_triggers!$1:$1,0)+1,FALSE)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6" s="48" t="str">
        <f ca="1">VLOOKUP($F316,OFFSET(enemy_skill_triggers!$A$1,0,0,COUNTA(enemy_skill_triggers!$A:$A),MATCH(J$1,enemy_skill_triggers!$1:$1,0)-MATCH($F$1,enemy_skill_triggers!$1:$1,0)+1),MATCH(J$1,enemy_skill_triggers!$1:$1,0)-MATCH($F$1,enemy_skill_triggers!$1:$1,0)+1,FALSE)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6" s="48" t="str">
        <f ca="1">VLOOKUP($F316,OFFSET(enemy_skill_triggers!$A$1,0,0,COUNTA(enemy_skill_triggers!$A:$A),MATCH(K$1,enemy_skill_triggers!$1:$1,0)-MATCH($F$1,enemy_skill_triggers!$1:$1,0)+1),MATCH(K$1,enemy_skill_triggers!$1:$1,0)-MATCH($F$1,enemy_skill_triggers!$1:$1,0)+1,FALSE)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6" s="48">
        <f ca="1">VLOOKUP($F316,OFFSET(enemy_skill_triggers!$A$1,0,0,COUNTA(enemy_skill_triggers!$A:$A),MATCH(L$1,enemy_skill_triggers!$1:$1,0)-MATCH($F$1,enemy_skill_triggers!$1:$1,0)+1),MATCH(L$1,enemy_skill_triggers!$1:$1,0)-MATCH($F$1,enemy_skill_triggers!$1:$1,0)+1,FALSE)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6" s="48" t="str">
        <f ca="1">VLOOKUP($F316,OFFSET(enemy_skill_triggers!$A$1,0,0,COUNTA(enemy_skill_triggers!$A:$A),MATCH(M$1,enemy_skill_triggers!$1:$1,0)-MATCH($F$1,enemy_skill_triggers!$1:$1,0)+1),MATCH(M$1,enemy_skill_triggers!$1:$1,0)-MATCH($F$1,enemy_skill_triggers!$1:$1,0)+1,FALSE)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6" s="48">
        <f ca="1">VLOOKUP($F316,OFFSET(enemy_skill_triggers!$A$1,0,0,COUNTA(enemy_skill_triggers!$A:$A),MATCH(N$1,enemy_skill_triggers!$1:$1,0)-MATCH($F$1,enemy_skill_triggers!$1:$1,0)+1),MATCH(N$1,enemy_skill_triggers!$1:$1,0)-MATCH($F$1,enemy_skill_triggers!$1:$1,0)+1,FALSE)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316" s="48">
        <f ca="1">VLOOKUP($F316,OFFSET(enemy_skill_triggers!$A$1,0,0,COUNTA(enemy_skill_triggers!$A:$A),MATCH(O$1,enemy_skill_triggers!$1:$1,0)-MATCH($F$1,enemy_skill_triggers!$1:$1,0)+1),MATCH(O$1,enemy_skill_triggers!$1:$1,0)-MATCH($F$1,enemy_skill_triggers!$1:$1,0)+1,FALSE)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6" s="47"/>
      <c r="Q316" s="47"/>
      <c r="R316" s="47"/>
    </row>
    <row r="317" spans="1:18" ht="21" customHeight="1" x14ac:dyDescent="0.15">
      <c r="A317" s="39" t="str">
        <f t="shared" si="4"/>
        <v>49015025_49015239</v>
      </c>
      <c r="B317" s="106">
        <v>49015025</v>
      </c>
      <c r="C317" s="124">
        <v>49015239</v>
      </c>
      <c r="D317" s="46" t="str">
        <f ca="1">VLOOKUP($C317,OFFSET(enemy_skills!$A$1,0,0,COUNTA(enemy_skills!$A:$A),MATCH(D$1,enemy_skills!$1:$1,0)-MATCH("enemy_skill_id",enemy_skills!$1:$1,0)+1),MATCH(D$1,enemy_skills!$1:$1,0)-MATCH("enemy_skill_id",enemy_skills!$1:$1,0)+1,FALSE)</f>
        <v>殺さないようにしたのが…</v>
      </c>
      <c r="E317" s="46" t="str">
        <f ca="1">VLOOKUP($C317,OFFSET(enemy_skills!$A$1,0,0,COUNTA(enemy_skills!$A:$A),MATCH(E$1,enemy_skills!$1:$1,0)-MATCH("enemy_skill_id",enemy_skills!$1:$1,0)+1),MATCH(E$1,enemy_skills!$1:$1,0)-MATCH("enemy_skill_id",enemy_skills!$1:$1,0)+1,FALSE)</f>
        <v>失敗だったか…</v>
      </c>
      <c r="F317" s="124">
        <v>49015316</v>
      </c>
      <c r="G317" s="48">
        <f ca="1">VLOOKUP($F317,OFFSET(enemy_skill_triggers!$A$1,0,0,COUNTA(enemy_skill_triggers!$A:$A),MATCH(G$1,enemy_skill_triggers!$1:$1,0)-MATCH($F$1,enemy_skill_triggers!$1:$1,0)+1),MATCH(G$1,enemy_skill_triggers!$1:$1,0)-MATCH($F$1,enemy_skill_triggers!$1:$1,0)+1,FALSE)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7" s="48">
        <f ca="1">VLOOKUP($F317,OFFSET(enemy_skill_triggers!$A$1,0,0,COUNTA(enemy_skill_triggers!$A:$A),MATCH(H$1,enemy_skill_triggers!$1:$1,0)-MATCH($F$1,enemy_skill_triggers!$1:$1,0)+1),MATCH(H$1,enemy_skill_triggers!$1:$1,0)-MATCH($F$1,enemy_skill_triggers!$1:$1,0)+1,FALSE)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17" s="48">
        <f ca="1">VLOOKUP($F317,OFFSET(enemy_skill_triggers!$A$1,0,0,COUNTA(enemy_skill_triggers!$A:$A),MATCH(I$1,enemy_skill_triggers!$1:$1,0)-MATCH($F$1,enemy_skill_triggers!$1:$1,0)+1),MATCH(I$1,enemy_skill_triggers!$1:$1,0)-MATCH($F$1,enemy_skill_triggers!$1:$1,0)+1,FALSE)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7" s="48" t="str">
        <f ca="1">VLOOKUP($F317,OFFSET(enemy_skill_triggers!$A$1,0,0,COUNTA(enemy_skill_triggers!$A:$A),MATCH(J$1,enemy_skill_triggers!$1:$1,0)-MATCH($F$1,enemy_skill_triggers!$1:$1,0)+1),MATCH(J$1,enemy_skill_triggers!$1:$1,0)-MATCH($F$1,enemy_skill_triggers!$1:$1,0)+1,FALSE)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7" s="48" t="str">
        <f ca="1">VLOOKUP($F317,OFFSET(enemy_skill_triggers!$A$1,0,0,COUNTA(enemy_skill_triggers!$A:$A),MATCH(K$1,enemy_skill_triggers!$1:$1,0)-MATCH($F$1,enemy_skill_triggers!$1:$1,0)+1),MATCH(K$1,enemy_skill_triggers!$1:$1,0)-MATCH($F$1,enemy_skill_triggers!$1:$1,0)+1,FALSE)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7" s="48">
        <f ca="1">VLOOKUP($F317,OFFSET(enemy_skill_triggers!$A$1,0,0,COUNTA(enemy_skill_triggers!$A:$A),MATCH(L$1,enemy_skill_triggers!$1:$1,0)-MATCH($F$1,enemy_skill_triggers!$1:$1,0)+1),MATCH(L$1,enemy_skill_triggers!$1:$1,0)-MATCH($F$1,enemy_skill_triggers!$1:$1,0)+1,FALSE)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7" s="48" t="str">
        <f ca="1">VLOOKUP($F317,OFFSET(enemy_skill_triggers!$A$1,0,0,COUNTA(enemy_skill_triggers!$A:$A),MATCH(M$1,enemy_skill_triggers!$1:$1,0)-MATCH($F$1,enemy_skill_triggers!$1:$1,0)+1),MATCH(M$1,enemy_skill_triggers!$1:$1,0)-MATCH($F$1,enemy_skill_triggers!$1:$1,0)+1,FALSE)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7" s="48">
        <f ca="1">VLOOKUP($F317,OFFSET(enemy_skill_triggers!$A$1,0,0,COUNTA(enemy_skill_triggers!$A:$A),MATCH(N$1,enemy_skill_triggers!$1:$1,0)-MATCH($F$1,enemy_skill_triggers!$1:$1,0)+1),MATCH(N$1,enemy_skill_triggers!$1:$1,0)-MATCH($F$1,enemy_skill_triggers!$1:$1,0)+1,FALSE)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317" s="48">
        <f ca="1">VLOOKUP($F317,OFFSET(enemy_skill_triggers!$A$1,0,0,COUNTA(enemy_skill_triggers!$A:$A),MATCH(O$1,enemy_skill_triggers!$1:$1,0)-MATCH($F$1,enemy_skill_triggers!$1:$1,0)+1),MATCH(O$1,enemy_skill_triggers!$1:$1,0)-MATCH($F$1,enemy_skill_triggers!$1:$1,0)+1,FALSE)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7" s="47"/>
      <c r="Q317" s="47"/>
      <c r="R317" s="47"/>
    </row>
    <row r="318" spans="1:18" ht="21" customHeight="1" x14ac:dyDescent="0.15">
      <c r="A318" s="39" t="str">
        <f t="shared" si="4"/>
        <v>49015025_49015239</v>
      </c>
      <c r="B318" s="106">
        <v>49015025</v>
      </c>
      <c r="C318" s="124">
        <v>49015239</v>
      </c>
      <c r="D318" s="46" t="str">
        <f ca="1">VLOOKUP($C318,OFFSET(enemy_skills!$A$1,0,0,COUNTA(enemy_skills!$A:$A),MATCH(D$1,enemy_skills!$1:$1,0)-MATCH("enemy_skill_id",enemy_skills!$1:$1,0)+1),MATCH(D$1,enemy_skills!$1:$1,0)-MATCH("enemy_skill_id",enemy_skills!$1:$1,0)+1,FALSE)</f>
        <v>殺さないようにしたのが…</v>
      </c>
      <c r="E318" s="46" t="str">
        <f ca="1">VLOOKUP($C318,OFFSET(enemy_skills!$A$1,0,0,COUNTA(enemy_skills!$A:$A),MATCH(E$1,enemy_skills!$1:$1,0)-MATCH("enemy_skill_id",enemy_skills!$1:$1,0)+1),MATCH(E$1,enemy_skills!$1:$1,0)-MATCH("enemy_skill_id",enemy_skills!$1:$1,0)+1,FALSE)</f>
        <v>失敗だったか…</v>
      </c>
      <c r="F318" s="124">
        <v>49015317</v>
      </c>
      <c r="G318" s="48">
        <f ca="1">VLOOKUP($F318,OFFSET(enemy_skill_triggers!$A$1,0,0,COUNTA(enemy_skill_triggers!$A:$A),MATCH(G$1,enemy_skill_triggers!$1:$1,0)-MATCH($F$1,enemy_skill_triggers!$1:$1,0)+1),MATCH(G$1,enemy_skill_triggers!$1:$1,0)-MATCH($F$1,enemy_skill_triggers!$1:$1,0)+1,FALSE)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8" s="48">
        <f ca="1">VLOOKUP($F318,OFFSET(enemy_skill_triggers!$A$1,0,0,COUNTA(enemy_skill_triggers!$A:$A),MATCH(H$1,enemy_skill_triggers!$1:$1,0)-MATCH($F$1,enemy_skill_triggers!$1:$1,0)+1),MATCH(H$1,enemy_skill_triggers!$1:$1,0)-MATCH($F$1,enemy_skill_triggers!$1:$1,0)+1,FALSE)</f>
        <v>81</v>
      </c>
      <c r="I318" s="48">
        <f ca="1">VLOOKUP($F318,OFFSET(enemy_skill_triggers!$A$1,0,0,COUNTA(enemy_skill_triggers!$A:$A),MATCH(I$1,enemy_skill_triggers!$1:$1,0)-MATCH($F$1,enemy_skill_triggers!$1:$1,0)+1),MATCH(I$1,enemy_skill_triggers!$1:$1,0)-MATCH($F$1,enemy_skill_triggers!$1:$1,0)+1,FALSE)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8" s="48" t="str">
        <f ca="1">VLOOKUP($F318,OFFSET(enemy_skill_triggers!$A$1,0,0,COUNTA(enemy_skill_triggers!$A:$A),MATCH(J$1,enemy_skill_triggers!$1:$1,0)-MATCH($F$1,enemy_skill_triggers!$1:$1,0)+1),MATCH(J$1,enemy_skill_triggers!$1:$1,0)-MATCH($F$1,enemy_skill_triggers!$1:$1,0)+1,FALSE)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8" s="48" t="str">
        <f ca="1">VLOOKUP($F318,OFFSET(enemy_skill_triggers!$A$1,0,0,COUNTA(enemy_skill_triggers!$A:$A),MATCH(K$1,enemy_skill_triggers!$1:$1,0)-MATCH($F$1,enemy_skill_triggers!$1:$1,0)+1),MATCH(K$1,enemy_skill_triggers!$1:$1,0)-MATCH($F$1,enemy_skill_triggers!$1:$1,0)+1,FALSE)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8" s="48">
        <f ca="1">VLOOKUP($F318,OFFSET(enemy_skill_triggers!$A$1,0,0,COUNTA(enemy_skill_triggers!$A:$A),MATCH(L$1,enemy_skill_triggers!$1:$1,0)-MATCH($F$1,enemy_skill_triggers!$1:$1,0)+1),MATCH(L$1,enemy_skill_triggers!$1:$1,0)-MATCH($F$1,enemy_skill_triggers!$1:$1,0)+1,FALSE)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8" s="48" t="str">
        <f ca="1">VLOOKUP($F318,OFFSET(enemy_skill_triggers!$A$1,0,0,COUNTA(enemy_skill_triggers!$A:$A),MATCH(M$1,enemy_skill_triggers!$1:$1,0)-MATCH($F$1,enemy_skill_triggers!$1:$1,0)+1),MATCH(M$1,enemy_skill_triggers!$1:$1,0)-MATCH($F$1,enemy_skill_triggers!$1:$1,0)+1,FALSE)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8" s="48">
        <f ca="1">VLOOKUP($F318,OFFSET(enemy_skill_triggers!$A$1,0,0,COUNTA(enemy_skill_triggers!$A:$A),MATCH(N$1,enemy_skill_triggers!$1:$1,0)-MATCH($F$1,enemy_skill_triggers!$1:$1,0)+1),MATCH(N$1,enemy_skill_triggers!$1:$1,0)-MATCH($F$1,enemy_skill_triggers!$1:$1,0)+1,FALSE)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318" s="48">
        <f ca="1">VLOOKUP($F318,OFFSET(enemy_skill_triggers!$A$1,0,0,COUNTA(enemy_skill_triggers!$A:$A),MATCH(O$1,enemy_skill_triggers!$1:$1,0)-MATCH($F$1,enemy_skill_triggers!$1:$1,0)+1),MATCH(O$1,enemy_skill_triggers!$1:$1,0)-MATCH($F$1,enemy_skill_triggers!$1:$1,0)+1,FALSE)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8" s="47"/>
      <c r="Q318" s="47"/>
      <c r="R318" s="47"/>
    </row>
    <row r="319" spans="1:18" ht="21" customHeight="1" x14ac:dyDescent="0.15">
      <c r="A319" s="39" t="str">
        <f t="shared" ref="A319:A382" si="5">B319&amp;"_"&amp;C319</f>
        <v>49015025_49015240</v>
      </c>
      <c r="B319" s="106">
        <v>49015025</v>
      </c>
      <c r="C319" s="124">
        <v>49015240</v>
      </c>
      <c r="D319" s="46" t="str">
        <f ca="1">VLOOKUP($C319,OFFSET(enemy_skills!$A$1,0,0,COUNTA(enemy_skills!$A:$A),MATCH(D$1,enemy_skills!$1:$1,0)-MATCH("enemy_skill_id",enemy_skills!$1:$1,0)+1),MATCH(D$1,enemy_skills!$1:$1,0)-MATCH("enemy_skill_id",enemy_skills!$1:$1,0)+1,FALSE)</f>
        <v>これが焔の錬金術師の炎…</v>
      </c>
      <c r="E319" s="46" t="str">
        <f ca="1">VLOOKUP($C319,OFFSET(enemy_skills!$A$1,0,0,COUNTA(enemy_skills!$A:$A),MATCH(E$1,enemy_skills!$1:$1,0)-MATCH("enemy_skill_id",enemy_skills!$1:$1,0)+1),MATCH(E$1,enemy_skills!$1:$1,0)-MATCH("enemy_skill_id",enemy_skills!$1:$1,0)+1,FALSE)</f>
        <v>散々燃やしやがって…</v>
      </c>
      <c r="F319" s="124">
        <v>49015318</v>
      </c>
      <c r="G319" s="48">
        <f ca="1">VLOOKUP($F319,OFFSET(enemy_skill_triggers!$A$1,0,0,COUNTA(enemy_skill_triggers!$A:$A),MATCH(G$1,enemy_skill_triggers!$1:$1,0)-MATCH($F$1,enemy_skill_triggers!$1:$1,0)+1),MATCH(G$1,enemy_skill_triggers!$1:$1,0)-MATCH($F$1,enemy_skill_triggers!$1:$1,0)+1,FALSE)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9" s="48">
        <f ca="1">VLOOKUP($F319,OFFSET(enemy_skill_triggers!$A$1,0,0,COUNTA(enemy_skill_triggers!$A:$A),MATCH(H$1,enemy_skill_triggers!$1:$1,0)-MATCH($F$1,enemy_skill_triggers!$1:$1,0)+1),MATCH(H$1,enemy_skill_triggers!$1:$1,0)-MATCH($F$1,enemy_skill_triggers!$1:$1,0)+1,FALSE)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19" s="48">
        <f ca="1">VLOOKUP($F319,OFFSET(enemy_skill_triggers!$A$1,0,0,COUNTA(enemy_skill_triggers!$A:$A),MATCH(I$1,enemy_skill_triggers!$1:$1,0)-MATCH($F$1,enemy_skill_triggers!$1:$1,0)+1),MATCH(I$1,enemy_skill_triggers!$1:$1,0)-MATCH($F$1,enemy_skill_triggers!$1:$1,0)+1,FALSE)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9" s="48" t="str">
        <f ca="1">VLOOKUP($F319,OFFSET(enemy_skill_triggers!$A$1,0,0,COUNTA(enemy_skill_triggers!$A:$A),MATCH(J$1,enemy_skill_triggers!$1:$1,0)-MATCH($F$1,enemy_skill_triggers!$1:$1,0)+1),MATCH(J$1,enemy_skill_triggers!$1:$1,0)-MATCH($F$1,enemy_skill_triggers!$1:$1,0)+1,FALSE)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9" s="48" t="str">
        <f ca="1">VLOOKUP($F319,OFFSET(enemy_skill_triggers!$A$1,0,0,COUNTA(enemy_skill_triggers!$A:$A),MATCH(K$1,enemy_skill_triggers!$1:$1,0)-MATCH($F$1,enemy_skill_triggers!$1:$1,0)+1),MATCH(K$1,enemy_skill_triggers!$1:$1,0)-MATCH($F$1,enemy_skill_triggers!$1:$1,0)+1,FALSE)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9" s="48">
        <f ca="1">VLOOKUP($F319,OFFSET(enemy_skill_triggers!$A$1,0,0,COUNTA(enemy_skill_triggers!$A:$A),MATCH(L$1,enemy_skill_triggers!$1:$1,0)-MATCH($F$1,enemy_skill_triggers!$1:$1,0)+1),MATCH(L$1,enemy_skill_triggers!$1:$1,0)-MATCH($F$1,enemy_skill_triggers!$1:$1,0)+1,FALSE)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9" s="48" t="str">
        <f ca="1">VLOOKUP($F319,OFFSET(enemy_skill_triggers!$A$1,0,0,COUNTA(enemy_skill_triggers!$A:$A),MATCH(M$1,enemy_skill_triggers!$1:$1,0)-MATCH($F$1,enemy_skill_triggers!$1:$1,0)+1),MATCH(M$1,enemy_skill_triggers!$1:$1,0)-MATCH($F$1,enemy_skill_triggers!$1:$1,0)+1,FALSE)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9" s="48">
        <f ca="1">VLOOKUP($F319,OFFSET(enemy_skill_triggers!$A$1,0,0,COUNTA(enemy_skill_triggers!$A:$A),MATCH(N$1,enemy_skill_triggers!$1:$1,0)-MATCH($F$1,enemy_skill_triggers!$1:$1,0)+1),MATCH(N$1,enemy_skill_triggers!$1:$1,0)-MATCH($F$1,enemy_skill_triggers!$1:$1,0)+1,FALSE)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319" s="48">
        <f ca="1">VLOOKUP($F319,OFFSET(enemy_skill_triggers!$A$1,0,0,COUNTA(enemy_skill_triggers!$A:$A),MATCH(O$1,enemy_skill_triggers!$1:$1,0)-MATCH($F$1,enemy_skill_triggers!$1:$1,0)+1),MATCH(O$1,enemy_skill_triggers!$1:$1,0)-MATCH($F$1,enemy_skill_triggers!$1:$1,0)+1,FALSE)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9" s="47"/>
      <c r="Q319" s="47"/>
      <c r="R319" s="47"/>
    </row>
    <row r="320" spans="1:18" ht="21" customHeight="1" x14ac:dyDescent="0.15">
      <c r="A320" s="39" t="str">
        <f t="shared" si="5"/>
        <v>49015025_49015240</v>
      </c>
      <c r="B320" s="106">
        <v>49015025</v>
      </c>
      <c r="C320" s="124">
        <v>49015240</v>
      </c>
      <c r="D320" s="46" t="str">
        <f ca="1">VLOOKUP($C320,OFFSET(enemy_skills!$A$1,0,0,COUNTA(enemy_skills!$A:$A),MATCH(D$1,enemy_skills!$1:$1,0)-MATCH("enemy_skill_id",enemy_skills!$1:$1,0)+1),MATCH(D$1,enemy_skills!$1:$1,0)-MATCH("enemy_skill_id",enemy_skills!$1:$1,0)+1,FALSE)</f>
        <v>これが焔の錬金術師の炎…</v>
      </c>
      <c r="E320" s="46" t="str">
        <f ca="1">VLOOKUP($C320,OFFSET(enemy_skills!$A$1,0,0,COUNTA(enemy_skills!$A:$A),MATCH(E$1,enemy_skills!$1:$1,0)-MATCH("enemy_skill_id",enemy_skills!$1:$1,0)+1),MATCH(E$1,enemy_skills!$1:$1,0)-MATCH("enemy_skill_id",enemy_skills!$1:$1,0)+1,FALSE)</f>
        <v>散々燃やしやがって…</v>
      </c>
      <c r="F320" s="124">
        <v>49015319</v>
      </c>
      <c r="G320" s="48">
        <f ca="1">VLOOKUP($F320,OFFSET(enemy_skill_triggers!$A$1,0,0,COUNTA(enemy_skill_triggers!$A:$A),MATCH(G$1,enemy_skill_triggers!$1:$1,0)-MATCH($F$1,enemy_skill_triggers!$1:$1,0)+1),MATCH(G$1,enemy_skill_triggers!$1:$1,0)-MATCH($F$1,enemy_skill_triggers!$1:$1,0)+1,FALSE)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0" s="48">
        <f ca="1">VLOOKUP($F320,OFFSET(enemy_skill_triggers!$A$1,0,0,COUNTA(enemy_skill_triggers!$A:$A),MATCH(H$1,enemy_skill_triggers!$1:$1,0)-MATCH($F$1,enemy_skill_triggers!$1:$1,0)+1),MATCH(H$1,enemy_skill_triggers!$1:$1,0)-MATCH($F$1,enemy_skill_triggers!$1:$1,0)+1,FALSE)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20" s="48">
        <f ca="1">VLOOKUP($F320,OFFSET(enemy_skill_triggers!$A$1,0,0,COUNTA(enemy_skill_triggers!$A:$A),MATCH(I$1,enemy_skill_triggers!$1:$1,0)-MATCH($F$1,enemy_skill_triggers!$1:$1,0)+1),MATCH(I$1,enemy_skill_triggers!$1:$1,0)-MATCH($F$1,enemy_skill_triggers!$1:$1,0)+1,FALSE)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0" s="48" t="str">
        <f ca="1">VLOOKUP($F320,OFFSET(enemy_skill_triggers!$A$1,0,0,COUNTA(enemy_skill_triggers!$A:$A),MATCH(J$1,enemy_skill_triggers!$1:$1,0)-MATCH($F$1,enemy_skill_triggers!$1:$1,0)+1),MATCH(J$1,enemy_skill_triggers!$1:$1,0)-MATCH($F$1,enemy_skill_triggers!$1:$1,0)+1,FALSE)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0" s="48" t="str">
        <f ca="1">VLOOKUP($F320,OFFSET(enemy_skill_triggers!$A$1,0,0,COUNTA(enemy_skill_triggers!$A:$A),MATCH(K$1,enemy_skill_triggers!$1:$1,0)-MATCH($F$1,enemy_skill_triggers!$1:$1,0)+1),MATCH(K$1,enemy_skill_triggers!$1:$1,0)-MATCH($F$1,enemy_skill_triggers!$1:$1,0)+1,FALSE)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0" s="48">
        <f ca="1">VLOOKUP($F320,OFFSET(enemy_skill_triggers!$A$1,0,0,COUNTA(enemy_skill_triggers!$A:$A),MATCH(L$1,enemy_skill_triggers!$1:$1,0)-MATCH($F$1,enemy_skill_triggers!$1:$1,0)+1),MATCH(L$1,enemy_skill_triggers!$1:$1,0)-MATCH($F$1,enemy_skill_triggers!$1:$1,0)+1,FALSE)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0" s="48" t="str">
        <f ca="1">VLOOKUP($F320,OFFSET(enemy_skill_triggers!$A$1,0,0,COUNTA(enemy_skill_triggers!$A:$A),MATCH(M$1,enemy_skill_triggers!$1:$1,0)-MATCH($F$1,enemy_skill_triggers!$1:$1,0)+1),MATCH(M$1,enemy_skill_triggers!$1:$1,0)-MATCH($F$1,enemy_skill_triggers!$1:$1,0)+1,FALSE)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0" s="48">
        <f ca="1">VLOOKUP($F320,OFFSET(enemy_skill_triggers!$A$1,0,0,COUNTA(enemy_skill_triggers!$A:$A),MATCH(N$1,enemy_skill_triggers!$1:$1,0)-MATCH($F$1,enemy_skill_triggers!$1:$1,0)+1),MATCH(N$1,enemy_skill_triggers!$1:$1,0)-MATCH($F$1,enemy_skill_triggers!$1:$1,0)+1,FALSE)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320" s="48">
        <f ca="1">VLOOKUP($F320,OFFSET(enemy_skill_triggers!$A$1,0,0,COUNTA(enemy_skill_triggers!$A:$A),MATCH(O$1,enemy_skill_triggers!$1:$1,0)-MATCH($F$1,enemy_skill_triggers!$1:$1,0)+1),MATCH(O$1,enemy_skill_triggers!$1:$1,0)-MATCH($F$1,enemy_skill_triggers!$1:$1,0)+1,FALSE)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0" s="47"/>
      <c r="Q320" s="47"/>
      <c r="R320" s="47"/>
    </row>
    <row r="321" spans="1:18" ht="21" customHeight="1" x14ac:dyDescent="0.15">
      <c r="A321" s="39" t="str">
        <f t="shared" si="5"/>
        <v>49015025_49015241</v>
      </c>
      <c r="B321" s="106">
        <v>49015025</v>
      </c>
      <c r="C321" s="124">
        <v>49015241</v>
      </c>
      <c r="D321" s="46" t="str">
        <f ca="1">VLOOKUP($C321,OFFSET(enemy_skills!$A$1,0,0,COUNTA(enemy_skills!$A:$A),MATCH(D$1,enemy_skills!$1:$1,0)-MATCH("enemy_skill_id",enemy_skills!$1:$1,0)+1),MATCH(D$1,enemy_skills!$1:$1,0)-MATCH("enemy_skill_id",enemy_skills!$1:$1,0)+1,FALSE)</f>
        <v>クソが…ストックが切れちまった…</v>
      </c>
      <c r="E321" s="46" t="str">
        <f ca="1">VLOOKUP($C321,OFFSET(enemy_skills!$A$1,0,0,COUNTA(enemy_skills!$A:$A),MATCH(E$1,enemy_skills!$1:$1,0)-MATCH("enemy_skill_id",enemy_skills!$1:$1,0)+1),MATCH(E$1,enemy_skills!$1:$1,0)-MATCH("enemy_skill_id",enemy_skills!$1:$1,0)+1,FALSE)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321" s="124">
        <v>49015320</v>
      </c>
      <c r="G321" s="48">
        <f ca="1">VLOOKUP($F321,OFFSET(enemy_skill_triggers!$A$1,0,0,COUNTA(enemy_skill_triggers!$A:$A),MATCH(G$1,enemy_skill_triggers!$1:$1,0)-MATCH($F$1,enemy_skill_triggers!$1:$1,0)+1),MATCH(G$1,enemy_skill_triggers!$1:$1,0)-MATCH($F$1,enemy_skill_triggers!$1:$1,0)+1,FALSE)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1" s="48">
        <f ca="1">VLOOKUP($F321,OFFSET(enemy_skill_triggers!$A$1,0,0,COUNTA(enemy_skill_triggers!$A:$A),MATCH(H$1,enemy_skill_triggers!$1:$1,0)-MATCH($F$1,enemy_skill_triggers!$1:$1,0)+1),MATCH(H$1,enemy_skill_triggers!$1:$1,0)-MATCH($F$1,enemy_skill_triggers!$1:$1,0)+1,FALSE)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21" s="48">
        <f ca="1">VLOOKUP($F321,OFFSET(enemy_skill_triggers!$A$1,0,0,COUNTA(enemy_skill_triggers!$A:$A),MATCH(I$1,enemy_skill_triggers!$1:$1,0)-MATCH($F$1,enemy_skill_triggers!$1:$1,0)+1),MATCH(I$1,enemy_skill_triggers!$1:$1,0)-MATCH($F$1,enemy_skill_triggers!$1:$1,0)+1,FALSE)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1" s="48" t="str">
        <f ca="1">VLOOKUP($F321,OFFSET(enemy_skill_triggers!$A$1,0,0,COUNTA(enemy_skill_triggers!$A:$A),MATCH(J$1,enemy_skill_triggers!$1:$1,0)-MATCH($F$1,enemy_skill_triggers!$1:$1,0)+1),MATCH(J$1,enemy_skill_triggers!$1:$1,0)-MATCH($F$1,enemy_skill_triggers!$1:$1,0)+1,FALSE)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1" s="48" t="str">
        <f ca="1">VLOOKUP($F321,OFFSET(enemy_skill_triggers!$A$1,0,0,COUNTA(enemy_skill_triggers!$A:$A),MATCH(K$1,enemy_skill_triggers!$1:$1,0)-MATCH($F$1,enemy_skill_triggers!$1:$1,0)+1),MATCH(K$1,enemy_skill_triggers!$1:$1,0)-MATCH($F$1,enemy_skill_triggers!$1:$1,0)+1,FALSE)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1" s="48">
        <f ca="1">VLOOKUP($F321,OFFSET(enemy_skill_triggers!$A$1,0,0,COUNTA(enemy_skill_triggers!$A:$A),MATCH(L$1,enemy_skill_triggers!$1:$1,0)-MATCH($F$1,enemy_skill_triggers!$1:$1,0)+1),MATCH(L$1,enemy_skill_triggers!$1:$1,0)-MATCH($F$1,enemy_skill_triggers!$1:$1,0)+1,FALSE)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1" s="48" t="str">
        <f ca="1">VLOOKUP($F321,OFFSET(enemy_skill_triggers!$A$1,0,0,COUNTA(enemy_skill_triggers!$A:$A),MATCH(M$1,enemy_skill_triggers!$1:$1,0)-MATCH($F$1,enemy_skill_triggers!$1:$1,0)+1),MATCH(M$1,enemy_skill_triggers!$1:$1,0)-MATCH($F$1,enemy_skill_triggers!$1:$1,0)+1,FALSE)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1" s="48">
        <f ca="1">VLOOKUP($F321,OFFSET(enemy_skill_triggers!$A$1,0,0,COUNTA(enemy_skill_triggers!$A:$A),MATCH(N$1,enemy_skill_triggers!$1:$1,0)-MATCH($F$1,enemy_skill_triggers!$1:$1,0)+1),MATCH(N$1,enemy_skill_triggers!$1:$1,0)-MATCH($F$1,enemy_skill_triggers!$1:$1,0)+1,FALSE)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321" s="48">
        <f ca="1">VLOOKUP($F321,OFFSET(enemy_skill_triggers!$A$1,0,0,COUNTA(enemy_skill_triggers!$A:$A),MATCH(O$1,enemy_skill_triggers!$1:$1,0)-MATCH($F$1,enemy_skill_triggers!$1:$1,0)+1),MATCH(O$1,enemy_skill_triggers!$1:$1,0)-MATCH($F$1,enemy_skill_triggers!$1:$1,0)+1,FALSE)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1" s="47"/>
      <c r="Q321" s="47"/>
      <c r="R321" s="47"/>
    </row>
    <row r="322" spans="1:18" ht="21" customHeight="1" x14ac:dyDescent="0.15">
      <c r="A322" s="39" t="str">
        <f t="shared" si="5"/>
        <v>49015025_49015241</v>
      </c>
      <c r="B322" s="106">
        <v>49015025</v>
      </c>
      <c r="C322" s="124">
        <v>49015241</v>
      </c>
      <c r="D322" s="46" t="str">
        <f ca="1">VLOOKUP($C322,OFFSET(enemy_skills!$A$1,0,0,COUNTA(enemy_skills!$A:$A),MATCH(D$1,enemy_skills!$1:$1,0)-MATCH("enemy_skill_id",enemy_skills!$1:$1,0)+1),MATCH(D$1,enemy_skills!$1:$1,0)-MATCH("enemy_skill_id",enemy_skills!$1:$1,0)+1,FALSE)</f>
        <v>クソが…ストックが切れちまった…</v>
      </c>
      <c r="E322" s="46" t="str">
        <f ca="1">VLOOKUP($C322,OFFSET(enemy_skills!$A$1,0,0,COUNTA(enemy_skills!$A:$A),MATCH(E$1,enemy_skills!$1:$1,0)-MATCH("enemy_skill_id",enemy_skills!$1:$1,0)+1),MATCH(E$1,enemy_skills!$1:$1,0)-MATCH("enemy_skill_id",enemy_skills!$1:$1,0)+1,FALSE)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322" s="124">
        <v>49015321</v>
      </c>
      <c r="G322" s="48">
        <f ca="1">VLOOKUP($F322,OFFSET(enemy_skill_triggers!$A$1,0,0,COUNTA(enemy_skill_triggers!$A:$A),MATCH(G$1,enemy_skill_triggers!$1:$1,0)-MATCH($F$1,enemy_skill_triggers!$1:$1,0)+1),MATCH(G$1,enemy_skill_triggers!$1:$1,0)-MATCH($F$1,enemy_skill_triggers!$1:$1,0)+1,FALSE)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2" s="48">
        <f ca="1">VLOOKUP($F322,OFFSET(enemy_skill_triggers!$A$1,0,0,COUNTA(enemy_skill_triggers!$A:$A),MATCH(H$1,enemy_skill_triggers!$1:$1,0)-MATCH($F$1,enemy_skill_triggers!$1:$1,0)+1),MATCH(H$1,enemy_skill_triggers!$1:$1,0)-MATCH($F$1,enemy_skill_triggers!$1:$1,0)+1,FALSE)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322" s="48">
        <f ca="1">VLOOKUP($F322,OFFSET(enemy_skill_triggers!$A$1,0,0,COUNTA(enemy_skill_triggers!$A:$A),MATCH(I$1,enemy_skill_triggers!$1:$1,0)-MATCH($F$1,enemy_skill_triggers!$1:$1,0)+1),MATCH(I$1,enemy_skill_triggers!$1:$1,0)-MATCH($F$1,enemy_skill_triggers!$1:$1,0)+1,FALSE)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2" s="48" t="str">
        <f ca="1">VLOOKUP($F322,OFFSET(enemy_skill_triggers!$A$1,0,0,COUNTA(enemy_skill_triggers!$A:$A),MATCH(J$1,enemy_skill_triggers!$1:$1,0)-MATCH($F$1,enemy_skill_triggers!$1:$1,0)+1),MATCH(J$1,enemy_skill_triggers!$1:$1,0)-MATCH($F$1,enemy_skill_triggers!$1:$1,0)+1,FALSE)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2" s="48" t="str">
        <f ca="1">VLOOKUP($F322,OFFSET(enemy_skill_triggers!$A$1,0,0,COUNTA(enemy_skill_triggers!$A:$A),MATCH(K$1,enemy_skill_triggers!$1:$1,0)-MATCH($F$1,enemy_skill_triggers!$1:$1,0)+1),MATCH(K$1,enemy_skill_triggers!$1:$1,0)-MATCH($F$1,enemy_skill_triggers!$1:$1,0)+1,FALSE)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2" s="48">
        <f ca="1">VLOOKUP($F322,OFFSET(enemy_skill_triggers!$A$1,0,0,COUNTA(enemy_skill_triggers!$A:$A),MATCH(L$1,enemy_skill_triggers!$1:$1,0)-MATCH($F$1,enemy_skill_triggers!$1:$1,0)+1),MATCH(L$1,enemy_skill_triggers!$1:$1,0)-MATCH($F$1,enemy_skill_triggers!$1:$1,0)+1,FALSE)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2" s="48" t="str">
        <f ca="1">VLOOKUP($F322,OFFSET(enemy_skill_triggers!$A$1,0,0,COUNTA(enemy_skill_triggers!$A:$A),MATCH(M$1,enemy_skill_triggers!$1:$1,0)-MATCH($F$1,enemy_skill_triggers!$1:$1,0)+1),MATCH(M$1,enemy_skill_triggers!$1:$1,0)-MATCH($F$1,enemy_skill_triggers!$1:$1,0)+1,FALSE)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2" s="48">
        <f ca="1">VLOOKUP($F322,OFFSET(enemy_skill_triggers!$A$1,0,0,COUNTA(enemy_skill_triggers!$A:$A),MATCH(N$1,enemy_skill_triggers!$1:$1,0)-MATCH($F$1,enemy_skill_triggers!$1:$1,0)+1),MATCH(N$1,enemy_skill_triggers!$1:$1,0)-MATCH($F$1,enemy_skill_triggers!$1:$1,0)+1,FALSE)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322" s="48">
        <f ca="1">VLOOKUP($F322,OFFSET(enemy_skill_triggers!$A$1,0,0,COUNTA(enemy_skill_triggers!$A:$A),MATCH(O$1,enemy_skill_triggers!$1:$1,0)-MATCH($F$1,enemy_skill_triggers!$1:$1,0)+1),MATCH(O$1,enemy_skill_triggers!$1:$1,0)-MATCH($F$1,enemy_skill_triggers!$1:$1,0)+1,FALSE)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2" s="47"/>
      <c r="Q322" s="47"/>
      <c r="R322" s="47"/>
    </row>
    <row r="323" spans="1:18" ht="21" customHeight="1" x14ac:dyDescent="0.15">
      <c r="A323" s="39" t="str">
        <f t="shared" si="5"/>
        <v>49015025_49015242</v>
      </c>
      <c r="B323" s="106">
        <v>49015025</v>
      </c>
      <c r="C323" s="124">
        <v>49015242</v>
      </c>
      <c r="D323" s="46" t="str">
        <f ca="1">VLOOKUP($C323,OFFSET(enemy_skills!$A$1,0,0,COUNTA(enemy_skills!$A:$A),MATCH(D$1,enemy_skills!$1:$1,0)-MATCH("enemy_skill_id",enemy_skills!$1:$1,0)+1),MATCH(D$1,enemy_skills!$1:$1,0)-MATCH("enemy_skill_id",enemy_skills!$1:$1,0)+1,FALSE)</f>
        <v>これだから…人間は…</v>
      </c>
      <c r="E323" s="46" t="str">
        <f ca="1">VLOOKUP($C323,OFFSET(enemy_skills!$A$1,0,0,COUNTA(enemy_skills!$A:$A),MATCH(E$1,enemy_skills!$1:$1,0)-MATCH("enemy_skill_id",enemy_skills!$1:$1,0)+1),MATCH(E$1,enemy_skills!$1:$1,0)-MATCH("enemy_skill_id",enemy_skills!$1:$1,0)+1,FALSE)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323" s="124">
        <v>49015322</v>
      </c>
      <c r="G323" s="48">
        <f ca="1">VLOOKUP($F323,OFFSET(enemy_skill_triggers!$A$1,0,0,COUNTA(enemy_skill_triggers!$A:$A),MATCH(G$1,enemy_skill_triggers!$1:$1,0)-MATCH($F$1,enemy_skill_triggers!$1:$1,0)+1),MATCH(G$1,enemy_skill_triggers!$1:$1,0)-MATCH($F$1,enemy_skill_triggers!$1:$1,0)+1,FALSE)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3" s="48">
        <f ca="1">VLOOKUP($F323,OFFSET(enemy_skill_triggers!$A$1,0,0,COUNTA(enemy_skill_triggers!$A:$A),MATCH(H$1,enemy_skill_triggers!$1:$1,0)-MATCH($F$1,enemy_skill_triggers!$1:$1,0)+1),MATCH(H$1,enemy_skill_triggers!$1:$1,0)-MATCH($F$1,enemy_skill_triggers!$1:$1,0)+1,FALSE)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23" s="48">
        <f ca="1">VLOOKUP($F323,OFFSET(enemy_skill_triggers!$A$1,0,0,COUNTA(enemy_skill_triggers!$A:$A),MATCH(I$1,enemy_skill_triggers!$1:$1,0)-MATCH($F$1,enemy_skill_triggers!$1:$1,0)+1),MATCH(I$1,enemy_skill_triggers!$1:$1,0)-MATCH($F$1,enemy_skill_triggers!$1:$1,0)+1,FALSE)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3" s="48" t="str">
        <f ca="1">VLOOKUP($F323,OFFSET(enemy_skill_triggers!$A$1,0,0,COUNTA(enemy_skill_triggers!$A:$A),MATCH(J$1,enemy_skill_triggers!$1:$1,0)-MATCH($F$1,enemy_skill_triggers!$1:$1,0)+1),MATCH(J$1,enemy_skill_triggers!$1:$1,0)-MATCH($F$1,enemy_skill_triggers!$1:$1,0)+1,FALSE)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3" s="48" t="str">
        <f ca="1">VLOOKUP($F323,OFFSET(enemy_skill_triggers!$A$1,0,0,COUNTA(enemy_skill_triggers!$A:$A),MATCH(K$1,enemy_skill_triggers!$1:$1,0)-MATCH($F$1,enemy_skill_triggers!$1:$1,0)+1),MATCH(K$1,enemy_skill_triggers!$1:$1,0)-MATCH($F$1,enemy_skill_triggers!$1:$1,0)+1,FALSE)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3" s="48">
        <f ca="1">VLOOKUP($F323,OFFSET(enemy_skill_triggers!$A$1,0,0,COUNTA(enemy_skill_triggers!$A:$A),MATCH(L$1,enemy_skill_triggers!$1:$1,0)-MATCH($F$1,enemy_skill_triggers!$1:$1,0)+1),MATCH(L$1,enemy_skill_triggers!$1:$1,0)-MATCH($F$1,enemy_skill_triggers!$1:$1,0)+1,FALSE)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3" s="48" t="str">
        <f ca="1">VLOOKUP($F323,OFFSET(enemy_skill_triggers!$A$1,0,0,COUNTA(enemy_skill_triggers!$A:$A),MATCH(M$1,enemy_skill_triggers!$1:$1,0)-MATCH($F$1,enemy_skill_triggers!$1:$1,0)+1),MATCH(M$1,enemy_skill_triggers!$1:$1,0)-MATCH($F$1,enemy_skill_triggers!$1:$1,0)+1,FALSE)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3" s="48">
        <f ca="1">VLOOKUP($F323,OFFSET(enemy_skill_triggers!$A$1,0,0,COUNTA(enemy_skill_triggers!$A:$A),MATCH(N$1,enemy_skill_triggers!$1:$1,0)-MATCH($F$1,enemy_skill_triggers!$1:$1,0)+1),MATCH(N$1,enemy_skill_triggers!$1:$1,0)-MATCH($F$1,enemy_skill_triggers!$1:$1,0)+1,FALSE)</f>
        <v>1469</v>
      </c>
      <c r="O323" s="48">
        <f ca="1">VLOOKUP($F323,OFFSET(enemy_skill_triggers!$A$1,0,0,COUNTA(enemy_skill_triggers!$A:$A),MATCH(O$1,enemy_skill_triggers!$1:$1,0)-MATCH($F$1,enemy_skill_triggers!$1:$1,0)+1),MATCH(O$1,enemy_skill_triggers!$1:$1,0)-MATCH($F$1,enemy_skill_triggers!$1:$1,0)+1,FALSE)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3" s="47"/>
      <c r="Q323" s="47"/>
      <c r="R323" s="47"/>
    </row>
    <row r="324" spans="1:18" ht="21" customHeight="1" x14ac:dyDescent="0.15">
      <c r="A324" s="39" t="str">
        <f t="shared" si="5"/>
        <v>49015025_49015243</v>
      </c>
      <c r="B324" s="106">
        <v>49015025</v>
      </c>
      <c r="C324" s="124">
        <v>49015243</v>
      </c>
      <c r="D324" s="46" t="str">
        <f ca="1">VLOOKUP($C324,OFFSET(enemy_skills!$A$1,0,0,COUNTA(enemy_skills!$A:$A),MATCH(D$1,enemy_skills!$1:$1,0)-MATCH("enemy_skill_id",enemy_skills!$1:$1,0)+1),MATCH(D$1,enemy_skills!$1:$1,0)-MATCH("enemy_skill_id",enemy_skills!$1:$1,0)+1,FALSE)</f>
        <v>この…傲慢め…</v>
      </c>
      <c r="E324" s="46" t="str">
        <f ca="1">VLOOKUP($C324,OFFSET(enemy_skills!$A$1,0,0,COUNTA(enemy_skills!$A:$A),MATCH(E$1,enemy_skills!$1:$1,0)-MATCH("enemy_skill_id",enemy_skills!$1:$1,0)+1),MATCH(E$1,enemy_skills!$1:$1,0)-MATCH("enemy_skill_id",enemy_skills!$1:$1,0)+1,FALSE)</f>
        <v>俺を食らいやがって…</v>
      </c>
      <c r="F324" s="124">
        <v>49015323</v>
      </c>
      <c r="G324" s="48">
        <f ca="1">VLOOKUP($F324,OFFSET(enemy_skill_triggers!$A$1,0,0,COUNTA(enemy_skill_triggers!$A:$A),MATCH(G$1,enemy_skill_triggers!$1:$1,0)-MATCH($F$1,enemy_skill_triggers!$1:$1,0)+1),MATCH(G$1,enemy_skill_triggers!$1:$1,0)-MATCH($F$1,enemy_skill_triggers!$1:$1,0)+1,FALSE)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4" s="48">
        <f ca="1">VLOOKUP($F324,OFFSET(enemy_skill_triggers!$A$1,0,0,COUNTA(enemy_skill_triggers!$A:$A),MATCH(H$1,enemy_skill_triggers!$1:$1,0)-MATCH($F$1,enemy_skill_triggers!$1:$1,0)+1),MATCH(H$1,enemy_skill_triggers!$1:$1,0)-MATCH($F$1,enemy_skill_triggers!$1:$1,0)+1,FALSE)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24" s="48">
        <f ca="1">VLOOKUP($F324,OFFSET(enemy_skill_triggers!$A$1,0,0,COUNTA(enemy_skill_triggers!$A:$A),MATCH(I$1,enemy_skill_triggers!$1:$1,0)-MATCH($F$1,enemy_skill_triggers!$1:$1,0)+1),MATCH(I$1,enemy_skill_triggers!$1:$1,0)-MATCH($F$1,enemy_skill_triggers!$1:$1,0)+1,FALSE)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4" s="48" t="str">
        <f ca="1">VLOOKUP($F324,OFFSET(enemy_skill_triggers!$A$1,0,0,COUNTA(enemy_skill_triggers!$A:$A),MATCH(J$1,enemy_skill_triggers!$1:$1,0)-MATCH($F$1,enemy_skill_triggers!$1:$1,0)+1),MATCH(J$1,enemy_skill_triggers!$1:$1,0)-MATCH($F$1,enemy_skill_triggers!$1:$1,0)+1,FALSE)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4" s="48" t="str">
        <f ca="1">VLOOKUP($F324,OFFSET(enemy_skill_triggers!$A$1,0,0,COUNTA(enemy_skill_triggers!$A:$A),MATCH(K$1,enemy_skill_triggers!$1:$1,0)-MATCH($F$1,enemy_skill_triggers!$1:$1,0)+1),MATCH(K$1,enemy_skill_triggers!$1:$1,0)-MATCH($F$1,enemy_skill_triggers!$1:$1,0)+1,FALSE)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4" s="48">
        <f ca="1">VLOOKUP($F324,OFFSET(enemy_skill_triggers!$A$1,0,0,COUNTA(enemy_skill_triggers!$A:$A),MATCH(L$1,enemy_skill_triggers!$1:$1,0)-MATCH($F$1,enemy_skill_triggers!$1:$1,0)+1),MATCH(L$1,enemy_skill_triggers!$1:$1,0)-MATCH($F$1,enemy_skill_triggers!$1:$1,0)+1,FALSE)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4" s="48" t="str">
        <f ca="1">VLOOKUP($F324,OFFSET(enemy_skill_triggers!$A$1,0,0,COUNTA(enemy_skill_triggers!$A:$A),MATCH(M$1,enemy_skill_triggers!$1:$1,0)-MATCH($F$1,enemy_skill_triggers!$1:$1,0)+1),MATCH(M$1,enemy_skill_triggers!$1:$1,0)-MATCH($F$1,enemy_skill_triggers!$1:$1,0)+1,FALSE)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4" s="48">
        <f ca="1">VLOOKUP($F324,OFFSET(enemy_skill_triggers!$A$1,0,0,COUNTA(enemy_skill_triggers!$A:$A),MATCH(N$1,enemy_skill_triggers!$1:$1,0)-MATCH($F$1,enemy_skill_triggers!$1:$1,0)+1),MATCH(N$1,enemy_skill_triggers!$1:$1,0)-MATCH($F$1,enemy_skill_triggers!$1:$1,0)+1,FALSE)</f>
        <v>1470</v>
      </c>
      <c r="O324" s="48">
        <f ca="1">VLOOKUP($F324,OFFSET(enemy_skill_triggers!$A$1,0,0,COUNTA(enemy_skill_triggers!$A:$A),MATCH(O$1,enemy_skill_triggers!$1:$1,0)-MATCH($F$1,enemy_skill_triggers!$1:$1,0)+1),MATCH(O$1,enemy_skill_triggers!$1:$1,0)-MATCH($F$1,enemy_skill_triggers!$1:$1,0)+1,FALSE)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4" s="47"/>
      <c r="Q324" s="47"/>
      <c r="R324" s="47"/>
    </row>
    <row r="325" spans="1:18" ht="21" customHeight="1" x14ac:dyDescent="0.15">
      <c r="A325" s="39" t="str">
        <f t="shared" si="5"/>
        <v>49015025_49015244</v>
      </c>
      <c r="B325" s="106">
        <v>49015025</v>
      </c>
      <c r="C325" s="187">
        <v>49015244</v>
      </c>
      <c r="D325" s="46" t="str">
        <f ca="1">VLOOKUP($C325,OFFSET(enemy_skills!$A$1,0,0,COUNTA(enemy_skills!$A:$A),MATCH(D$1,enemy_skills!$1:$1,0)-MATCH("enemy_skill_id",enemy_skills!$1:$1,0)+1),MATCH(D$1,enemy_skills!$1:$1,0)-MATCH("enemy_skill_id",enemy_skills!$1:$1,0)+1,FALSE)</f>
        <v>くそったれめ…</v>
      </c>
      <c r="E325" s="46" t="str">
        <f ca="1">VLOOKUP($C325,OFFSET(enemy_skills!$A$1,0,0,COUNTA(enemy_skills!$A:$A),MATCH(E$1,enemy_skills!$1:$1,0)-MATCH("enemy_skill_id",enemy_skills!$1:$1,0)+1),MATCH(E$1,enemy_skills!$1:$1,0)-MATCH("enemy_skill_id",enemy_skills!$1:$1,0)+1,FALSE)</f>
        <v>ばかすか殺しやがって…</v>
      </c>
      <c r="F325" s="124">
        <v>49015324</v>
      </c>
      <c r="G325" s="48">
        <f ca="1">VLOOKUP($F325,OFFSET(enemy_skill_triggers!$A$1,0,0,COUNTA(enemy_skill_triggers!$A:$A),MATCH(G$1,enemy_skill_triggers!$1:$1,0)-MATCH($F$1,enemy_skill_triggers!$1:$1,0)+1),MATCH(G$1,enemy_skill_triggers!$1:$1,0)-MATCH($F$1,enemy_skill_triggers!$1:$1,0)+1,FALSE)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5" s="48">
        <f ca="1">VLOOKUP($F325,OFFSET(enemy_skill_triggers!$A$1,0,0,COUNTA(enemy_skill_triggers!$A:$A),MATCH(H$1,enemy_skill_triggers!$1:$1,0)-MATCH($F$1,enemy_skill_triggers!$1:$1,0)+1),MATCH(H$1,enemy_skill_triggers!$1:$1,0)-MATCH($F$1,enemy_skill_triggers!$1:$1,0)+1,FALSE)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25" s="48">
        <f ca="1">VLOOKUP($F325,OFFSET(enemy_skill_triggers!$A$1,0,0,COUNTA(enemy_skill_triggers!$A:$A),MATCH(I$1,enemy_skill_triggers!$1:$1,0)-MATCH($F$1,enemy_skill_triggers!$1:$1,0)+1),MATCH(I$1,enemy_skill_triggers!$1:$1,0)-MATCH($F$1,enemy_skill_triggers!$1:$1,0)+1,FALSE)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5" s="48" t="str">
        <f ca="1">VLOOKUP($F325,OFFSET(enemy_skill_triggers!$A$1,0,0,COUNTA(enemy_skill_triggers!$A:$A),MATCH(J$1,enemy_skill_triggers!$1:$1,0)-MATCH($F$1,enemy_skill_triggers!$1:$1,0)+1),MATCH(J$1,enemy_skill_triggers!$1:$1,0)-MATCH($F$1,enemy_skill_triggers!$1:$1,0)+1,FALSE)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5" s="48" t="str">
        <f ca="1">VLOOKUP($F325,OFFSET(enemy_skill_triggers!$A$1,0,0,COUNTA(enemy_skill_triggers!$A:$A),MATCH(K$1,enemy_skill_triggers!$1:$1,0)-MATCH($F$1,enemy_skill_triggers!$1:$1,0)+1),MATCH(K$1,enemy_skill_triggers!$1:$1,0)-MATCH($F$1,enemy_skill_triggers!$1:$1,0)+1,FALSE)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5" s="48">
        <f ca="1">VLOOKUP($F325,OFFSET(enemy_skill_triggers!$A$1,0,0,COUNTA(enemy_skill_triggers!$A:$A),MATCH(L$1,enemy_skill_triggers!$1:$1,0)-MATCH($F$1,enemy_skill_triggers!$1:$1,0)+1),MATCH(L$1,enemy_skill_triggers!$1:$1,0)-MATCH($F$1,enemy_skill_triggers!$1:$1,0)+1,FALSE)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5" s="48" t="str">
        <f ca="1">VLOOKUP($F325,OFFSET(enemy_skill_triggers!$A$1,0,0,COUNTA(enemy_skill_triggers!$A:$A),MATCH(M$1,enemy_skill_triggers!$1:$1,0)-MATCH($F$1,enemy_skill_triggers!$1:$1,0)+1),MATCH(M$1,enemy_skill_triggers!$1:$1,0)-MATCH($F$1,enemy_skill_triggers!$1:$1,0)+1,FALSE)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5" s="48">
        <f ca="1">VLOOKUP($F325,OFFSET(enemy_skill_triggers!$A$1,0,0,COUNTA(enemy_skill_triggers!$A:$A),MATCH(N$1,enemy_skill_triggers!$1:$1,0)-MATCH($F$1,enemy_skill_triggers!$1:$1,0)+1),MATCH(N$1,enemy_skill_triggers!$1:$1,0)-MATCH($F$1,enemy_skill_triggers!$1:$1,0)+1,FALSE)</f>
        <v>1466</v>
      </c>
      <c r="O325" s="48">
        <f ca="1">VLOOKUP($F325,OFFSET(enemy_skill_triggers!$A$1,0,0,COUNTA(enemy_skill_triggers!$A:$A),MATCH(O$1,enemy_skill_triggers!$1:$1,0)-MATCH($F$1,enemy_skill_triggers!$1:$1,0)+1),MATCH(O$1,enemy_skill_triggers!$1:$1,0)-MATCH($F$1,enemy_skill_triggers!$1:$1,0)+1,FALSE)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5" s="129"/>
      <c r="Q325" s="129"/>
      <c r="R325" s="129"/>
    </row>
    <row r="326" spans="1:18" ht="21" customHeight="1" thickBot="1" x14ac:dyDescent="0.2">
      <c r="A326" s="39" t="str">
        <f t="shared" si="5"/>
        <v>49015025_49015244</v>
      </c>
      <c r="B326" s="111">
        <v>49015025</v>
      </c>
      <c r="C326" s="186">
        <v>49015244</v>
      </c>
      <c r="D326" s="145" t="str">
        <f ca="1">VLOOKUP($C326,OFFSET(enemy_skills!$A$1,0,0,COUNTA(enemy_skills!$A:$A),MATCH(D$1,enemy_skills!$1:$1,0)-MATCH("enemy_skill_id",enemy_skills!$1:$1,0)+1),MATCH(D$1,enemy_skills!$1:$1,0)-MATCH("enemy_skill_id",enemy_skills!$1:$1,0)+1,FALSE)</f>
        <v>くそったれめ…</v>
      </c>
      <c r="E326" s="145" t="str">
        <f ca="1">VLOOKUP($C326,OFFSET(enemy_skills!$A$1,0,0,COUNTA(enemy_skills!$A:$A),MATCH(E$1,enemy_skills!$1:$1,0)-MATCH("enemy_skill_id",enemy_skills!$1:$1,0)+1),MATCH(E$1,enemy_skills!$1:$1,0)-MATCH("enemy_skill_id",enemy_skills!$1:$1,0)+1,FALSE)</f>
        <v>ばかすか殺しやがって…</v>
      </c>
      <c r="F326" s="125">
        <v>49015325</v>
      </c>
      <c r="G326" s="114">
        <f ca="1">VLOOKUP($F326,OFFSET(enemy_skill_triggers!$A$1,0,0,COUNTA(enemy_skill_triggers!$A:$A),MATCH(G$1,enemy_skill_triggers!$1:$1,0)-MATCH($F$1,enemy_skill_triggers!$1:$1,0)+1),MATCH(G$1,enemy_skill_triggers!$1:$1,0)-MATCH($F$1,enemy_skill_triggers!$1:$1,0)+1,FALSE)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6" s="114">
        <f ca="1">VLOOKUP($F326,OFFSET(enemy_skill_triggers!$A$1,0,0,COUNTA(enemy_skill_triggers!$A:$A),MATCH(H$1,enemy_skill_triggers!$1:$1,0)-MATCH($F$1,enemy_skill_triggers!$1:$1,0)+1),MATCH(H$1,enemy_skill_triggers!$1:$1,0)-MATCH($F$1,enemy_skill_triggers!$1:$1,0)+1,FALSE)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326" s="114">
        <f ca="1">VLOOKUP($F326,OFFSET(enemy_skill_triggers!$A$1,0,0,COUNTA(enemy_skill_triggers!$A:$A),MATCH(I$1,enemy_skill_triggers!$1:$1,0)-MATCH($F$1,enemy_skill_triggers!$1:$1,0)+1),MATCH(I$1,enemy_skill_triggers!$1:$1,0)-MATCH($F$1,enemy_skill_triggers!$1:$1,0)+1,FALSE)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6" s="114" t="str">
        <f ca="1">VLOOKUP($F326,OFFSET(enemy_skill_triggers!$A$1,0,0,COUNTA(enemy_skill_triggers!$A:$A),MATCH(J$1,enemy_skill_triggers!$1:$1,0)-MATCH($F$1,enemy_skill_triggers!$1:$1,0)+1),MATCH(J$1,enemy_skill_triggers!$1:$1,0)-MATCH($F$1,enemy_skill_triggers!$1:$1,0)+1,FALSE)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6" s="114" t="str">
        <f ca="1">VLOOKUP($F326,OFFSET(enemy_skill_triggers!$A$1,0,0,COUNTA(enemy_skill_triggers!$A:$A),MATCH(K$1,enemy_skill_triggers!$1:$1,0)-MATCH($F$1,enemy_skill_triggers!$1:$1,0)+1),MATCH(K$1,enemy_skill_triggers!$1:$1,0)-MATCH($F$1,enemy_skill_triggers!$1:$1,0)+1,FALSE)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6" s="114">
        <f ca="1">VLOOKUP($F326,OFFSET(enemy_skill_triggers!$A$1,0,0,COUNTA(enemy_skill_triggers!$A:$A),MATCH(L$1,enemy_skill_triggers!$1:$1,0)-MATCH($F$1,enemy_skill_triggers!$1:$1,0)+1),MATCH(L$1,enemy_skill_triggers!$1:$1,0)-MATCH($F$1,enemy_skill_triggers!$1:$1,0)+1,FALSE)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6" s="114" t="str">
        <f ca="1">VLOOKUP($F326,OFFSET(enemy_skill_triggers!$A$1,0,0,COUNTA(enemy_skill_triggers!$A:$A),MATCH(M$1,enemy_skill_triggers!$1:$1,0)-MATCH($F$1,enemy_skill_triggers!$1:$1,0)+1),MATCH(M$1,enemy_skill_triggers!$1:$1,0)-MATCH($F$1,enemy_skill_triggers!$1:$1,0)+1,FALSE)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6" s="114">
        <f ca="1">VLOOKUP($F326,OFFSET(enemy_skill_triggers!$A$1,0,0,COUNTA(enemy_skill_triggers!$A:$A),MATCH(N$1,enemy_skill_triggers!$1:$1,0)-MATCH($F$1,enemy_skill_triggers!$1:$1,0)+1),MATCH(N$1,enemy_skill_triggers!$1:$1,0)-MATCH($F$1,enemy_skill_triggers!$1:$1,0)+1,FALSE)</f>
        <v>1467</v>
      </c>
      <c r="O326" s="114">
        <f ca="1">VLOOKUP($F326,OFFSET(enemy_skill_triggers!$A$1,0,0,COUNTA(enemy_skill_triggers!$A:$A),MATCH(O$1,enemy_skill_triggers!$1:$1,0)-MATCH($F$1,enemy_skill_triggers!$1:$1,0)+1),MATCH(O$1,enemy_skill_triggers!$1:$1,0)-MATCH($F$1,enemy_skill_triggers!$1:$1,0)+1,FALSE)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6" s="111"/>
      <c r="Q326" s="111"/>
      <c r="R326" s="111"/>
    </row>
    <row r="327" spans="1:18" ht="21" customHeight="1" x14ac:dyDescent="0.15">
      <c r="A327" s="39" t="str">
        <f t="shared" si="5"/>
        <v>49015026_49015245</v>
      </c>
      <c r="B327" s="106">
        <v>49015026</v>
      </c>
      <c r="C327" s="126">
        <v>49015245</v>
      </c>
      <c r="D327" s="144" t="str">
        <f ca="1">VLOOKUP($C327,OFFSET(enemy_skills!$A$1,0,0,COUNTA(enemy_skills!$A:$A),MATCH(D$1,enemy_skills!$1:$1,0)-MATCH("enemy_skill_id",enemy_skills!$1:$1,0)+1),MATCH(D$1,enemy_skills!$1:$1,0)-MATCH("enemy_skill_id",enemy_skills!$1:$1,0)+1,FALSE)</f>
        <v>エンヴィーは何をやってるのやら…</v>
      </c>
      <c r="E327" s="144" t="str">
        <f ca="1">VLOOKUP($C327,OFFSET(enemy_skills!$A$1,0,0,COUNTA(enemy_skills!$A:$A),MATCH(E$1,enemy_skills!$1:$1,0)-MATCH("enemy_skill_id",enemy_skills!$1:$1,0)+1),MATCH(E$1,enemy_skills!$1:$1,0)-MATCH("enemy_skill_id",enemy_skills!$1:$1,0)+1,FALSE)</f>
        <v>4ターン暗闇</v>
      </c>
      <c r="F327" s="126">
        <v>49015326</v>
      </c>
      <c r="G327" s="109">
        <f ca="1">VLOOKUP($F327,OFFSET(enemy_skill_triggers!$A$1,0,0,COUNTA(enemy_skill_triggers!$A:$A),MATCH(G$1,enemy_skill_triggers!$1:$1,0)-MATCH($F$1,enemy_skill_triggers!$1:$1,0)+1),MATCH(G$1,enemy_skill_triggers!$1:$1,0)-MATCH($F$1,enemy_skill_triggers!$1:$1,0)+1,FALSE)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7" s="109">
        <f ca="1">VLOOKUP($F327,OFFSET(enemy_skill_triggers!$A$1,0,0,COUNTA(enemy_skill_triggers!$A:$A),MATCH(H$1,enemy_skill_triggers!$1:$1,0)-MATCH($F$1,enemy_skill_triggers!$1:$1,0)+1),MATCH(H$1,enemy_skill_triggers!$1:$1,0)-MATCH($F$1,enemy_skill_triggers!$1:$1,0)+1,FALSE)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327" s="109">
        <f ca="1">VLOOKUP($F327,OFFSET(enemy_skill_triggers!$A$1,0,0,COUNTA(enemy_skill_triggers!$A:$A),MATCH(I$1,enemy_skill_triggers!$1:$1,0)-MATCH($F$1,enemy_skill_triggers!$1:$1,0)+1),MATCH(I$1,enemy_skill_triggers!$1:$1,0)-MATCH($F$1,enemy_skill_triggers!$1:$1,0)+1,FALSE)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7" s="109" t="str">
        <f ca="1">VLOOKUP($F327,OFFSET(enemy_skill_triggers!$A$1,0,0,COUNTA(enemy_skill_triggers!$A:$A),MATCH(J$1,enemy_skill_triggers!$1:$1,0)-MATCH($F$1,enemy_skill_triggers!$1:$1,0)+1),MATCH(J$1,enemy_skill_triggers!$1:$1,0)-MATCH($F$1,enemy_skill_triggers!$1:$1,0)+1,FALSE)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7" s="109" t="str">
        <f ca="1">VLOOKUP($F327,OFFSET(enemy_skill_triggers!$A$1,0,0,COUNTA(enemy_skill_triggers!$A:$A),MATCH(K$1,enemy_skill_triggers!$1:$1,0)-MATCH($F$1,enemy_skill_triggers!$1:$1,0)+1),MATCH(K$1,enemy_skill_triggers!$1:$1,0)-MATCH($F$1,enemy_skill_triggers!$1:$1,0)+1,FALSE)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7" s="109">
        <f ca="1">VLOOKUP($F327,OFFSET(enemy_skill_triggers!$A$1,0,0,COUNTA(enemy_skill_triggers!$A:$A),MATCH(L$1,enemy_skill_triggers!$1:$1,0)-MATCH($F$1,enemy_skill_triggers!$1:$1,0)+1),MATCH(L$1,enemy_skill_triggers!$1:$1,0)-MATCH($F$1,enemy_skill_triggers!$1:$1,0)+1,FALSE)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7" s="109" t="str">
        <f ca="1">VLOOKUP($F327,OFFSET(enemy_skill_triggers!$A$1,0,0,COUNTA(enemy_skill_triggers!$A:$A),MATCH(M$1,enemy_skill_triggers!$1:$1,0)-MATCH($F$1,enemy_skill_triggers!$1:$1,0)+1),MATCH(M$1,enemy_skill_triggers!$1:$1,0)-MATCH($F$1,enemy_skill_triggers!$1:$1,0)+1,FALSE)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7" s="109" t="str">
        <f ca="1">VLOOKUP($F327,OFFSET(enemy_skill_triggers!$A$1,0,0,COUNTA(enemy_skill_triggers!$A:$A),MATCH(N$1,enemy_skill_triggers!$1:$1,0)-MATCH($F$1,enemy_skill_triggers!$1:$1,0)+1),MATCH(N$1,enemy_skill_triggers!$1:$1,0)-MATCH($F$1,enemy_skill_triggers!$1:$1,0)+1,FALSE)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7" s="109">
        <f ca="1">VLOOKUP($F327,OFFSET(enemy_skill_triggers!$A$1,0,0,COUNTA(enemy_skill_triggers!$A:$A),MATCH(O$1,enemy_skill_triggers!$1:$1,0)-MATCH($F$1,enemy_skill_triggers!$1:$1,0)+1),MATCH(O$1,enemy_skill_triggers!$1:$1,0)-MATCH($F$1,enemy_skill_triggers!$1:$1,0)+1,FALSE)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7" s="106"/>
      <c r="Q327" s="106"/>
      <c r="R327" s="106"/>
    </row>
    <row r="328" spans="1:18" ht="21" customHeight="1" x14ac:dyDescent="0.15">
      <c r="A328" s="39" t="str">
        <f t="shared" si="5"/>
        <v>49015026_49015246</v>
      </c>
      <c r="B328" s="106">
        <v>49015026</v>
      </c>
      <c r="C328" s="126">
        <v>49015246</v>
      </c>
      <c r="D328" s="46" t="str">
        <f ca="1">VLOOKUP($C328,OFFSET(enemy_skills!$A$1,0,0,COUNTA(enemy_skills!$A:$A),MATCH(D$1,enemy_skills!$1:$1,0)-MATCH("enemy_skill_id",enemy_skills!$1:$1,0)+1),MATCH(D$1,enemy_skills!$1:$1,0)-MATCH("enemy_skill_id",enemy_skills!$1:$1,0)+1,FALSE)</f>
        <v>やあ小さい錬金術師さん！</v>
      </c>
      <c r="E328" s="46" t="str">
        <f ca="1">VLOOKUP($C328,OFFSET(enemy_skills!$A$1,0,0,COUNTA(enemy_skills!$A:$A),MATCH(E$1,enemy_skills!$1:$1,0)-MATCH("enemy_skill_id",enemy_skills!$1:$1,0)+1),MATCH(E$1,enemy_skills!$1:$1,0)-MATCH("enemy_skill_id",enemy_skills!$1:$1,0)+1,FALSE)</f>
        <v>『お前もチビというか！！』_x000D_【4ターン暗闇】</v>
      </c>
      <c r="F328" s="126">
        <v>49015327</v>
      </c>
      <c r="G328" s="48">
        <f ca="1">VLOOKUP($F328,OFFSET(enemy_skill_triggers!$A$1,0,0,COUNTA(enemy_skill_triggers!$A:$A),MATCH(G$1,enemy_skill_triggers!$1:$1,0)-MATCH($F$1,enemy_skill_triggers!$1:$1,0)+1),MATCH(G$1,enemy_skill_triggers!$1:$1,0)-MATCH($F$1,enemy_skill_triggers!$1:$1,0)+1,FALSE)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8" s="48">
        <f ca="1">VLOOKUP($F328,OFFSET(enemy_skill_triggers!$A$1,0,0,COUNTA(enemy_skill_triggers!$A:$A),MATCH(H$1,enemy_skill_triggers!$1:$1,0)-MATCH($F$1,enemy_skill_triggers!$1:$1,0)+1),MATCH(H$1,enemy_skill_triggers!$1:$1,0)-MATCH($F$1,enemy_skill_triggers!$1:$1,0)+1,FALSE)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28" s="48">
        <f ca="1">VLOOKUP($F328,OFFSET(enemy_skill_triggers!$A$1,0,0,COUNTA(enemy_skill_triggers!$A:$A),MATCH(I$1,enemy_skill_triggers!$1:$1,0)-MATCH($F$1,enemy_skill_triggers!$1:$1,0)+1),MATCH(I$1,enemy_skill_triggers!$1:$1,0)-MATCH($F$1,enemy_skill_triggers!$1:$1,0)+1,FALSE)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8" s="48" t="str">
        <f ca="1">VLOOKUP($F328,OFFSET(enemy_skill_triggers!$A$1,0,0,COUNTA(enemy_skill_triggers!$A:$A),MATCH(J$1,enemy_skill_triggers!$1:$1,0)-MATCH($F$1,enemy_skill_triggers!$1:$1,0)+1),MATCH(J$1,enemy_skill_triggers!$1:$1,0)-MATCH($F$1,enemy_skill_triggers!$1:$1,0)+1,FALSE)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8" s="48" t="str">
        <f ca="1">VLOOKUP($F328,OFFSET(enemy_skill_triggers!$A$1,0,0,COUNTA(enemy_skill_triggers!$A:$A),MATCH(K$1,enemy_skill_triggers!$1:$1,0)-MATCH($F$1,enemy_skill_triggers!$1:$1,0)+1),MATCH(K$1,enemy_skill_triggers!$1:$1,0)-MATCH($F$1,enemy_skill_triggers!$1:$1,0)+1,FALSE)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8" s="48">
        <f ca="1">VLOOKUP($F328,OFFSET(enemy_skill_triggers!$A$1,0,0,COUNTA(enemy_skill_triggers!$A:$A),MATCH(L$1,enemy_skill_triggers!$1:$1,0)-MATCH($F$1,enemy_skill_triggers!$1:$1,0)+1),MATCH(L$1,enemy_skill_triggers!$1:$1,0)-MATCH($F$1,enemy_skill_triggers!$1:$1,0)+1,FALSE)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8" s="48" t="str">
        <f ca="1">VLOOKUP($F328,OFFSET(enemy_skill_triggers!$A$1,0,0,COUNTA(enemy_skill_triggers!$A:$A),MATCH(M$1,enemy_skill_triggers!$1:$1,0)-MATCH($F$1,enemy_skill_triggers!$1:$1,0)+1),MATCH(M$1,enemy_skill_triggers!$1:$1,0)-MATCH($F$1,enemy_skill_triggers!$1:$1,0)+1,FALSE)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8" s="48">
        <f ca="1">VLOOKUP($F328,OFFSET(enemy_skill_triggers!$A$1,0,0,COUNTA(enemy_skill_triggers!$A:$A),MATCH(N$1,enemy_skill_triggers!$1:$1,0)-MATCH($F$1,enemy_skill_triggers!$1:$1,0)+1),MATCH(N$1,enemy_skill_triggers!$1:$1,0)-MATCH($F$1,enemy_skill_triggers!$1:$1,0)+1,FALSE)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328" s="48">
        <f ca="1">VLOOKUP($F328,OFFSET(enemy_skill_triggers!$A$1,0,0,COUNTA(enemy_skill_triggers!$A:$A),MATCH(O$1,enemy_skill_triggers!$1:$1,0)-MATCH($F$1,enemy_skill_triggers!$1:$1,0)+1),MATCH(O$1,enemy_skill_triggers!$1:$1,0)-MATCH($F$1,enemy_skill_triggers!$1:$1,0)+1,FALSE)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8" s="47"/>
      <c r="Q328" s="47"/>
      <c r="R328" s="47"/>
    </row>
    <row r="329" spans="1:18" ht="21" customHeight="1" x14ac:dyDescent="0.15">
      <c r="A329" s="39" t="str">
        <f t="shared" si="5"/>
        <v>49015026_49015246</v>
      </c>
      <c r="B329" s="106">
        <v>49015026</v>
      </c>
      <c r="C329" s="126">
        <v>49015246</v>
      </c>
      <c r="D329" s="46" t="str">
        <f ca="1">VLOOKUP($C329,OFFSET(enemy_skills!$A$1,0,0,COUNTA(enemy_skills!$A:$A),MATCH(D$1,enemy_skills!$1:$1,0)-MATCH("enemy_skill_id",enemy_skills!$1:$1,0)+1),MATCH(D$1,enemy_skills!$1:$1,0)-MATCH("enemy_skill_id",enemy_skills!$1:$1,0)+1,FALSE)</f>
        <v>やあ小さい錬金術師さん！</v>
      </c>
      <c r="E329" s="46" t="str">
        <f ca="1">VLOOKUP($C329,OFFSET(enemy_skills!$A$1,0,0,COUNTA(enemy_skills!$A:$A),MATCH(E$1,enemy_skills!$1:$1,0)-MATCH("enemy_skill_id",enemy_skills!$1:$1,0)+1),MATCH(E$1,enemy_skills!$1:$1,0)-MATCH("enemy_skill_id",enemy_skills!$1:$1,0)+1,FALSE)</f>
        <v>『お前もチビというか！！』_x000D_【4ターン暗闇】</v>
      </c>
      <c r="F329" s="126">
        <v>49015328</v>
      </c>
      <c r="G329" s="48">
        <f ca="1">VLOOKUP($F329,OFFSET(enemy_skill_triggers!$A$1,0,0,COUNTA(enemy_skill_triggers!$A:$A),MATCH(G$1,enemy_skill_triggers!$1:$1,0)-MATCH($F$1,enemy_skill_triggers!$1:$1,0)+1),MATCH(G$1,enemy_skill_triggers!$1:$1,0)-MATCH($F$1,enemy_skill_triggers!$1:$1,0)+1,FALSE)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9" s="48">
        <f ca="1">VLOOKUP($F329,OFFSET(enemy_skill_triggers!$A$1,0,0,COUNTA(enemy_skill_triggers!$A:$A),MATCH(H$1,enemy_skill_triggers!$1:$1,0)-MATCH($F$1,enemy_skill_triggers!$1:$1,0)+1),MATCH(H$1,enemy_skill_triggers!$1:$1,0)-MATCH($F$1,enemy_skill_triggers!$1:$1,0)+1,FALSE)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329" s="48">
        <f ca="1">VLOOKUP($F329,OFFSET(enemy_skill_triggers!$A$1,0,0,COUNTA(enemy_skill_triggers!$A:$A),MATCH(I$1,enemy_skill_triggers!$1:$1,0)-MATCH($F$1,enemy_skill_triggers!$1:$1,0)+1),MATCH(I$1,enemy_skill_triggers!$1:$1,0)-MATCH($F$1,enemy_skill_triggers!$1:$1,0)+1,FALSE)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9" s="48" t="str">
        <f ca="1">VLOOKUP($F329,OFFSET(enemy_skill_triggers!$A$1,0,0,COUNTA(enemy_skill_triggers!$A:$A),MATCH(J$1,enemy_skill_triggers!$1:$1,0)-MATCH($F$1,enemy_skill_triggers!$1:$1,0)+1),MATCH(J$1,enemy_skill_triggers!$1:$1,0)-MATCH($F$1,enemy_skill_triggers!$1:$1,0)+1,FALSE)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9" s="48" t="str">
        <f ca="1">VLOOKUP($F329,OFFSET(enemy_skill_triggers!$A$1,0,0,COUNTA(enemy_skill_triggers!$A:$A),MATCH(K$1,enemy_skill_triggers!$1:$1,0)-MATCH($F$1,enemy_skill_triggers!$1:$1,0)+1),MATCH(K$1,enemy_skill_triggers!$1:$1,0)-MATCH($F$1,enemy_skill_triggers!$1:$1,0)+1,FALSE)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9" s="48">
        <f ca="1">VLOOKUP($F329,OFFSET(enemy_skill_triggers!$A$1,0,0,COUNTA(enemy_skill_triggers!$A:$A),MATCH(L$1,enemy_skill_triggers!$1:$1,0)-MATCH($F$1,enemy_skill_triggers!$1:$1,0)+1),MATCH(L$1,enemy_skill_triggers!$1:$1,0)-MATCH($F$1,enemy_skill_triggers!$1:$1,0)+1,FALSE)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9" s="48" t="str">
        <f ca="1">VLOOKUP($F329,OFFSET(enemy_skill_triggers!$A$1,0,0,COUNTA(enemy_skill_triggers!$A:$A),MATCH(M$1,enemy_skill_triggers!$1:$1,0)-MATCH($F$1,enemy_skill_triggers!$1:$1,0)+1),MATCH(M$1,enemy_skill_triggers!$1:$1,0)-MATCH($F$1,enemy_skill_triggers!$1:$1,0)+1,FALSE)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9" s="48">
        <f ca="1">VLOOKUP($F329,OFFSET(enemy_skill_triggers!$A$1,0,0,COUNTA(enemy_skill_triggers!$A:$A),MATCH(N$1,enemy_skill_triggers!$1:$1,0)-MATCH($F$1,enemy_skill_triggers!$1:$1,0)+1),MATCH(N$1,enemy_skill_triggers!$1:$1,0)-MATCH($F$1,enemy_skill_triggers!$1:$1,0)+1,FALSE)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329" s="48">
        <f ca="1">VLOOKUP($F329,OFFSET(enemy_skill_triggers!$A$1,0,0,COUNTA(enemy_skill_triggers!$A:$A),MATCH(O$1,enemy_skill_triggers!$1:$1,0)-MATCH($F$1,enemy_skill_triggers!$1:$1,0)+1),MATCH(O$1,enemy_skill_triggers!$1:$1,0)-MATCH($F$1,enemy_skill_triggers!$1:$1,0)+1,FALSE)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9" s="47"/>
      <c r="Q329" s="47"/>
      <c r="R329" s="47"/>
    </row>
    <row r="330" spans="1:18" ht="21" customHeight="1" x14ac:dyDescent="0.15">
      <c r="A330" s="39" t="str">
        <f t="shared" si="5"/>
        <v>49015026_49015247</v>
      </c>
      <c r="B330" s="106">
        <v>49015026</v>
      </c>
      <c r="C330" s="126">
        <v>49015247</v>
      </c>
      <c r="D330" s="46" t="str">
        <f ca="1">VLOOKUP($C330,OFFSET(enemy_skills!$A$1,0,0,COUNTA(enemy_skills!$A:$A),MATCH(D$1,enemy_skills!$1:$1,0)-MATCH("enemy_skill_id",enemy_skills!$1:$1,0)+1),MATCH(D$1,enemy_skills!$1:$1,0)-MATCH("enemy_skill_id",enemy_skills!$1:$1,0)+1,FALSE)</f>
        <v>君たち兄弟は大事な人柱だ</v>
      </c>
      <c r="E330" s="46" t="str">
        <f ca="1">VLOOKUP($C330,OFFSET(enemy_skills!$A$1,0,0,COUNTA(enemy_skills!$A:$A),MATCH(E$1,enemy_skills!$1:$1,0)-MATCH("enemy_skill_id",enemy_skills!$1:$1,0)+1),MATCH(E$1,enemy_skills!$1:$1,0)-MATCH("enemy_skill_id",enemy_skills!$1:$1,0)+1,FALSE)</f>
        <v>あまりこちらで目立たないように_x000D_【4ターン暗闇】</v>
      </c>
      <c r="F330" s="126">
        <v>49015329</v>
      </c>
      <c r="G330" s="48">
        <f ca="1">VLOOKUP($F330,OFFSET(enemy_skill_triggers!$A$1,0,0,COUNTA(enemy_skill_triggers!$A:$A),MATCH(G$1,enemy_skill_triggers!$1:$1,0)-MATCH($F$1,enemy_skill_triggers!$1:$1,0)+1),MATCH(G$1,enemy_skill_triggers!$1:$1,0)-MATCH($F$1,enemy_skill_triggers!$1:$1,0)+1,FALSE)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0" s="48">
        <f ca="1">VLOOKUP($F330,OFFSET(enemy_skill_triggers!$A$1,0,0,COUNTA(enemy_skill_triggers!$A:$A),MATCH(H$1,enemy_skill_triggers!$1:$1,0)-MATCH($F$1,enemy_skill_triggers!$1:$1,0)+1),MATCH(H$1,enemy_skill_triggers!$1:$1,0)-MATCH($F$1,enemy_skill_triggers!$1:$1,0)+1,FALSE)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30" s="48">
        <f ca="1">VLOOKUP($F330,OFFSET(enemy_skill_triggers!$A$1,0,0,COUNTA(enemy_skill_triggers!$A:$A),MATCH(I$1,enemy_skill_triggers!$1:$1,0)-MATCH($F$1,enemy_skill_triggers!$1:$1,0)+1),MATCH(I$1,enemy_skill_triggers!$1:$1,0)-MATCH($F$1,enemy_skill_triggers!$1:$1,0)+1,FALSE)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0" s="48" t="str">
        <f ca="1">VLOOKUP($F330,OFFSET(enemy_skill_triggers!$A$1,0,0,COUNTA(enemy_skill_triggers!$A:$A),MATCH(J$1,enemy_skill_triggers!$1:$1,0)-MATCH($F$1,enemy_skill_triggers!$1:$1,0)+1),MATCH(J$1,enemy_skill_triggers!$1:$1,0)-MATCH($F$1,enemy_skill_triggers!$1:$1,0)+1,FALSE)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0" s="48" t="str">
        <f ca="1">VLOOKUP($F330,OFFSET(enemy_skill_triggers!$A$1,0,0,COUNTA(enemy_skill_triggers!$A:$A),MATCH(K$1,enemy_skill_triggers!$1:$1,0)-MATCH($F$1,enemy_skill_triggers!$1:$1,0)+1),MATCH(K$1,enemy_skill_triggers!$1:$1,0)-MATCH($F$1,enemy_skill_triggers!$1:$1,0)+1,FALSE)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0" s="48">
        <f ca="1">VLOOKUP($F330,OFFSET(enemy_skill_triggers!$A$1,0,0,COUNTA(enemy_skill_triggers!$A:$A),MATCH(L$1,enemy_skill_triggers!$1:$1,0)-MATCH($F$1,enemy_skill_triggers!$1:$1,0)+1),MATCH(L$1,enemy_skill_triggers!$1:$1,0)-MATCH($F$1,enemy_skill_triggers!$1:$1,0)+1,FALSE)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0" s="48" t="str">
        <f ca="1">VLOOKUP($F330,OFFSET(enemy_skill_triggers!$A$1,0,0,COUNTA(enemy_skill_triggers!$A:$A),MATCH(M$1,enemy_skill_triggers!$1:$1,0)-MATCH($F$1,enemy_skill_triggers!$1:$1,0)+1),MATCH(M$1,enemy_skill_triggers!$1:$1,0)-MATCH($F$1,enemy_skill_triggers!$1:$1,0)+1,FALSE)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0" s="48">
        <f ca="1">VLOOKUP($F330,OFFSET(enemy_skill_triggers!$A$1,0,0,COUNTA(enemy_skill_triggers!$A:$A),MATCH(N$1,enemy_skill_triggers!$1:$1,0)-MATCH($F$1,enemy_skill_triggers!$1:$1,0)+1),MATCH(N$1,enemy_skill_triggers!$1:$1,0)-MATCH($F$1,enemy_skill_triggers!$1:$1,0)+1,FALSE)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330" s="48">
        <f ca="1">VLOOKUP($F330,OFFSET(enemy_skill_triggers!$A$1,0,0,COUNTA(enemy_skill_triggers!$A:$A),MATCH(O$1,enemy_skill_triggers!$1:$1,0)-MATCH($F$1,enemy_skill_triggers!$1:$1,0)+1),MATCH(O$1,enemy_skill_triggers!$1:$1,0)-MATCH($F$1,enemy_skill_triggers!$1:$1,0)+1,FALSE)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0" s="47"/>
      <c r="Q330" s="47"/>
      <c r="R330" s="47"/>
    </row>
    <row r="331" spans="1:18" ht="21" customHeight="1" x14ac:dyDescent="0.15">
      <c r="A331" s="39" t="str">
        <f t="shared" si="5"/>
        <v>49015026_49015247</v>
      </c>
      <c r="B331" s="106">
        <v>49015026</v>
      </c>
      <c r="C331" s="126">
        <v>49015247</v>
      </c>
      <c r="D331" s="46" t="str">
        <f ca="1">VLOOKUP($C331,OFFSET(enemy_skills!$A$1,0,0,COUNTA(enemy_skills!$A:$A),MATCH(D$1,enemy_skills!$1:$1,0)-MATCH("enemy_skill_id",enemy_skills!$1:$1,0)+1),MATCH(D$1,enemy_skills!$1:$1,0)-MATCH("enemy_skill_id",enemy_skills!$1:$1,0)+1,FALSE)</f>
        <v>君たち兄弟は大事な人柱だ</v>
      </c>
      <c r="E331" s="46" t="str">
        <f ca="1">VLOOKUP($C331,OFFSET(enemy_skills!$A$1,0,0,COUNTA(enemy_skills!$A:$A),MATCH(E$1,enemy_skills!$1:$1,0)-MATCH("enemy_skill_id",enemy_skills!$1:$1,0)+1),MATCH(E$1,enemy_skills!$1:$1,0)-MATCH("enemy_skill_id",enemy_skills!$1:$1,0)+1,FALSE)</f>
        <v>あまりこちらで目立たないように_x000D_【4ターン暗闇】</v>
      </c>
      <c r="F331" s="126">
        <v>49015330</v>
      </c>
      <c r="G331" s="48">
        <f ca="1">VLOOKUP($F331,OFFSET(enemy_skill_triggers!$A$1,0,0,COUNTA(enemy_skill_triggers!$A:$A),MATCH(G$1,enemy_skill_triggers!$1:$1,0)-MATCH($F$1,enemy_skill_triggers!$1:$1,0)+1),MATCH(G$1,enemy_skill_triggers!$1:$1,0)-MATCH($F$1,enemy_skill_triggers!$1:$1,0)+1,FALSE)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1" s="48">
        <f ca="1">VLOOKUP($F331,OFFSET(enemy_skill_triggers!$A$1,0,0,COUNTA(enemy_skill_triggers!$A:$A),MATCH(H$1,enemy_skill_triggers!$1:$1,0)-MATCH($F$1,enemy_skill_triggers!$1:$1,0)+1),MATCH(H$1,enemy_skill_triggers!$1:$1,0)-MATCH($F$1,enemy_skill_triggers!$1:$1,0)+1,FALSE)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331" s="48">
        <f ca="1">VLOOKUP($F331,OFFSET(enemy_skill_triggers!$A$1,0,0,COUNTA(enemy_skill_triggers!$A:$A),MATCH(I$1,enemy_skill_triggers!$1:$1,0)-MATCH($F$1,enemy_skill_triggers!$1:$1,0)+1),MATCH(I$1,enemy_skill_triggers!$1:$1,0)-MATCH($F$1,enemy_skill_triggers!$1:$1,0)+1,FALSE)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1" s="48" t="str">
        <f ca="1">VLOOKUP($F331,OFFSET(enemy_skill_triggers!$A$1,0,0,COUNTA(enemy_skill_triggers!$A:$A),MATCH(J$1,enemy_skill_triggers!$1:$1,0)-MATCH($F$1,enemy_skill_triggers!$1:$1,0)+1),MATCH(J$1,enemy_skill_triggers!$1:$1,0)-MATCH($F$1,enemy_skill_triggers!$1:$1,0)+1,FALSE)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1" s="48" t="str">
        <f ca="1">VLOOKUP($F331,OFFSET(enemy_skill_triggers!$A$1,0,0,COUNTA(enemy_skill_triggers!$A:$A),MATCH(K$1,enemy_skill_triggers!$1:$1,0)-MATCH($F$1,enemy_skill_triggers!$1:$1,0)+1),MATCH(K$1,enemy_skill_triggers!$1:$1,0)-MATCH($F$1,enemy_skill_triggers!$1:$1,0)+1,FALSE)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1" s="48">
        <f ca="1">VLOOKUP($F331,OFFSET(enemy_skill_triggers!$A$1,0,0,COUNTA(enemy_skill_triggers!$A:$A),MATCH(L$1,enemy_skill_triggers!$1:$1,0)-MATCH($F$1,enemy_skill_triggers!$1:$1,0)+1),MATCH(L$1,enemy_skill_triggers!$1:$1,0)-MATCH($F$1,enemy_skill_triggers!$1:$1,0)+1,FALSE)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1" s="48" t="str">
        <f ca="1">VLOOKUP($F331,OFFSET(enemy_skill_triggers!$A$1,0,0,COUNTA(enemy_skill_triggers!$A:$A),MATCH(M$1,enemy_skill_triggers!$1:$1,0)-MATCH($F$1,enemy_skill_triggers!$1:$1,0)+1),MATCH(M$1,enemy_skill_triggers!$1:$1,0)-MATCH($F$1,enemy_skill_triggers!$1:$1,0)+1,FALSE)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1" s="48">
        <f ca="1">VLOOKUP($F331,OFFSET(enemy_skill_triggers!$A$1,0,0,COUNTA(enemy_skill_triggers!$A:$A),MATCH(N$1,enemy_skill_triggers!$1:$1,0)-MATCH($F$1,enemy_skill_triggers!$1:$1,0)+1),MATCH(N$1,enemy_skill_triggers!$1:$1,0)-MATCH($F$1,enemy_skill_triggers!$1:$1,0)+1,FALSE)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331" s="48">
        <f ca="1">VLOOKUP($F331,OFFSET(enemy_skill_triggers!$A$1,0,0,COUNTA(enemy_skill_triggers!$A:$A),MATCH(O$1,enemy_skill_triggers!$1:$1,0)-MATCH($F$1,enemy_skill_triggers!$1:$1,0)+1),MATCH(O$1,enemy_skill_triggers!$1:$1,0)-MATCH($F$1,enemy_skill_triggers!$1:$1,0)+1,FALSE)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1" s="47"/>
      <c r="Q331" s="47"/>
      <c r="R331" s="47"/>
    </row>
    <row r="332" spans="1:18" ht="21" customHeight="1" x14ac:dyDescent="0.15">
      <c r="A332" s="39" t="str">
        <f t="shared" si="5"/>
        <v>49015026_49015248</v>
      </c>
      <c r="B332" s="106">
        <v>49015026</v>
      </c>
      <c r="C332" s="126">
        <v>49015248</v>
      </c>
      <c r="D332" s="46" t="str">
        <f ca="1">VLOOKUP($C332,OFFSET(enemy_skills!$A$1,0,0,COUNTA(enemy_skills!$A:$A),MATCH(D$1,enemy_skills!$1:$1,0)-MATCH("enemy_skill_id",enemy_skills!$1:$1,0)+1),MATCH(D$1,enemy_skills!$1:$1,0)-MATCH("enemy_skill_id",enemy_skills!$1:$1,0)+1,FALSE)</f>
        <v>貴方も人柱候補ですから</v>
      </c>
      <c r="E332" s="46" t="str">
        <f ca="1">VLOOKUP($C332,OFFSET(enemy_skills!$A$1,0,0,COUNTA(enemy_skills!$A:$A),MATCH(E$1,enemy_skills!$1:$1,0)-MATCH("enemy_skill_id",enemy_skills!$1:$1,0)+1),MATCH(E$1,enemy_skills!$1:$1,0)-MATCH("enemy_skill_id",enemy_skills!$1:$1,0)+1,FALSE)</f>
        <v>あまり無茶はしないでもらいたい_x000D_【4ターン暗闇】</v>
      </c>
      <c r="F332" s="126">
        <v>49015331</v>
      </c>
      <c r="G332" s="48">
        <f ca="1">VLOOKUP($F332,OFFSET(enemy_skill_triggers!$A$1,0,0,COUNTA(enemy_skill_triggers!$A:$A),MATCH(G$1,enemy_skill_triggers!$1:$1,0)-MATCH($F$1,enemy_skill_triggers!$1:$1,0)+1),MATCH(G$1,enemy_skill_triggers!$1:$1,0)-MATCH($F$1,enemy_skill_triggers!$1:$1,0)+1,FALSE)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2" s="48">
        <f ca="1">VLOOKUP($F332,OFFSET(enemy_skill_triggers!$A$1,0,0,COUNTA(enemy_skill_triggers!$A:$A),MATCH(H$1,enemy_skill_triggers!$1:$1,0)-MATCH($F$1,enemy_skill_triggers!$1:$1,0)+1),MATCH(H$1,enemy_skill_triggers!$1:$1,0)-MATCH($F$1,enemy_skill_triggers!$1:$1,0)+1,FALSE)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32" s="48">
        <f ca="1">VLOOKUP($F332,OFFSET(enemy_skill_triggers!$A$1,0,0,COUNTA(enemy_skill_triggers!$A:$A),MATCH(I$1,enemy_skill_triggers!$1:$1,0)-MATCH($F$1,enemy_skill_triggers!$1:$1,0)+1),MATCH(I$1,enemy_skill_triggers!$1:$1,0)-MATCH($F$1,enemy_skill_triggers!$1:$1,0)+1,FALSE)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2" s="48" t="str">
        <f ca="1">VLOOKUP($F332,OFFSET(enemy_skill_triggers!$A$1,0,0,COUNTA(enemy_skill_triggers!$A:$A),MATCH(J$1,enemy_skill_triggers!$1:$1,0)-MATCH($F$1,enemy_skill_triggers!$1:$1,0)+1),MATCH(J$1,enemy_skill_triggers!$1:$1,0)-MATCH($F$1,enemy_skill_triggers!$1:$1,0)+1,FALSE)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2" s="48" t="str">
        <f ca="1">VLOOKUP($F332,OFFSET(enemy_skill_triggers!$A$1,0,0,COUNTA(enemy_skill_triggers!$A:$A),MATCH(K$1,enemy_skill_triggers!$1:$1,0)-MATCH($F$1,enemy_skill_triggers!$1:$1,0)+1),MATCH(K$1,enemy_skill_triggers!$1:$1,0)-MATCH($F$1,enemy_skill_triggers!$1:$1,0)+1,FALSE)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2" s="48">
        <f ca="1">VLOOKUP($F332,OFFSET(enemy_skill_triggers!$A$1,0,0,COUNTA(enemy_skill_triggers!$A:$A),MATCH(L$1,enemy_skill_triggers!$1:$1,0)-MATCH($F$1,enemy_skill_triggers!$1:$1,0)+1),MATCH(L$1,enemy_skill_triggers!$1:$1,0)-MATCH($F$1,enemy_skill_triggers!$1:$1,0)+1,FALSE)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2" s="48" t="str">
        <f ca="1">VLOOKUP($F332,OFFSET(enemy_skill_triggers!$A$1,0,0,COUNTA(enemy_skill_triggers!$A:$A),MATCH(M$1,enemy_skill_triggers!$1:$1,0)-MATCH($F$1,enemy_skill_triggers!$1:$1,0)+1),MATCH(M$1,enemy_skill_triggers!$1:$1,0)-MATCH($F$1,enemy_skill_triggers!$1:$1,0)+1,FALSE)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2" s="48">
        <f ca="1">VLOOKUP($F332,OFFSET(enemy_skill_triggers!$A$1,0,0,COUNTA(enemy_skill_triggers!$A:$A),MATCH(N$1,enemy_skill_triggers!$1:$1,0)-MATCH($F$1,enemy_skill_triggers!$1:$1,0)+1),MATCH(N$1,enemy_skill_triggers!$1:$1,0)-MATCH($F$1,enemy_skill_triggers!$1:$1,0)+1,FALSE)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332" s="48">
        <f ca="1">VLOOKUP($F332,OFFSET(enemy_skill_triggers!$A$1,0,0,COUNTA(enemy_skill_triggers!$A:$A),MATCH(O$1,enemy_skill_triggers!$1:$1,0)-MATCH($F$1,enemy_skill_triggers!$1:$1,0)+1),MATCH(O$1,enemy_skill_triggers!$1:$1,0)-MATCH($F$1,enemy_skill_triggers!$1:$1,0)+1,FALSE)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2" s="47"/>
      <c r="Q332" s="47"/>
      <c r="R332" s="47"/>
    </row>
    <row r="333" spans="1:18" ht="21" customHeight="1" x14ac:dyDescent="0.15">
      <c r="A333" s="39" t="str">
        <f t="shared" si="5"/>
        <v>49015026_49015248</v>
      </c>
      <c r="B333" s="106">
        <v>49015026</v>
      </c>
      <c r="C333" s="126">
        <v>49015248</v>
      </c>
      <c r="D333" s="46" t="str">
        <f ca="1">VLOOKUP($C333,OFFSET(enemy_skills!$A$1,0,0,COUNTA(enemy_skills!$A:$A),MATCH(D$1,enemy_skills!$1:$1,0)-MATCH("enemy_skill_id",enemy_skills!$1:$1,0)+1),MATCH(D$1,enemy_skills!$1:$1,0)-MATCH("enemy_skill_id",enemy_skills!$1:$1,0)+1,FALSE)</f>
        <v>貴方も人柱候補ですから</v>
      </c>
      <c r="E333" s="46" t="str">
        <f ca="1">VLOOKUP($C333,OFFSET(enemy_skills!$A$1,0,0,COUNTA(enemy_skills!$A:$A),MATCH(E$1,enemy_skills!$1:$1,0)-MATCH("enemy_skill_id",enemy_skills!$1:$1,0)+1),MATCH(E$1,enemy_skills!$1:$1,0)-MATCH("enemy_skill_id",enemy_skills!$1:$1,0)+1,FALSE)</f>
        <v>あまり無茶はしないでもらいたい_x000D_【4ターン暗闇】</v>
      </c>
      <c r="F333" s="126">
        <v>49015332</v>
      </c>
      <c r="G333" s="48">
        <f ca="1">VLOOKUP($F333,OFFSET(enemy_skill_triggers!$A$1,0,0,COUNTA(enemy_skill_triggers!$A:$A),MATCH(G$1,enemy_skill_triggers!$1:$1,0)-MATCH($F$1,enemy_skill_triggers!$1:$1,0)+1),MATCH(G$1,enemy_skill_triggers!$1:$1,0)-MATCH($F$1,enemy_skill_triggers!$1:$1,0)+1,FALSE)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3" s="48">
        <f ca="1">VLOOKUP($F333,OFFSET(enemy_skill_triggers!$A$1,0,0,COUNTA(enemy_skill_triggers!$A:$A),MATCH(H$1,enemy_skill_triggers!$1:$1,0)-MATCH($F$1,enemy_skill_triggers!$1:$1,0)+1),MATCH(H$1,enemy_skill_triggers!$1:$1,0)-MATCH($F$1,enemy_skill_triggers!$1:$1,0)+1,FALSE)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333" s="48">
        <f ca="1">VLOOKUP($F333,OFFSET(enemy_skill_triggers!$A$1,0,0,COUNTA(enemy_skill_triggers!$A:$A),MATCH(I$1,enemy_skill_triggers!$1:$1,0)-MATCH($F$1,enemy_skill_triggers!$1:$1,0)+1),MATCH(I$1,enemy_skill_triggers!$1:$1,0)-MATCH($F$1,enemy_skill_triggers!$1:$1,0)+1,FALSE)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3" s="48" t="str">
        <f ca="1">VLOOKUP($F333,OFFSET(enemy_skill_triggers!$A$1,0,0,COUNTA(enemy_skill_triggers!$A:$A),MATCH(J$1,enemy_skill_triggers!$1:$1,0)-MATCH($F$1,enemy_skill_triggers!$1:$1,0)+1),MATCH(J$1,enemy_skill_triggers!$1:$1,0)-MATCH($F$1,enemy_skill_triggers!$1:$1,0)+1,FALSE)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3" s="48" t="str">
        <f ca="1">VLOOKUP($F333,OFFSET(enemy_skill_triggers!$A$1,0,0,COUNTA(enemy_skill_triggers!$A:$A),MATCH(K$1,enemy_skill_triggers!$1:$1,0)-MATCH($F$1,enemy_skill_triggers!$1:$1,0)+1),MATCH(K$1,enemy_skill_triggers!$1:$1,0)-MATCH($F$1,enemy_skill_triggers!$1:$1,0)+1,FALSE)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3" s="48">
        <f ca="1">VLOOKUP($F333,OFFSET(enemy_skill_triggers!$A$1,0,0,COUNTA(enemy_skill_triggers!$A:$A),MATCH(L$1,enemy_skill_triggers!$1:$1,0)-MATCH($F$1,enemy_skill_triggers!$1:$1,0)+1),MATCH(L$1,enemy_skill_triggers!$1:$1,0)-MATCH($F$1,enemy_skill_triggers!$1:$1,0)+1,FALSE)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3" s="48" t="str">
        <f ca="1">VLOOKUP($F333,OFFSET(enemy_skill_triggers!$A$1,0,0,COUNTA(enemy_skill_triggers!$A:$A),MATCH(M$1,enemy_skill_triggers!$1:$1,0)-MATCH($F$1,enemy_skill_triggers!$1:$1,0)+1),MATCH(M$1,enemy_skill_triggers!$1:$1,0)-MATCH($F$1,enemy_skill_triggers!$1:$1,0)+1,FALSE)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3" s="48">
        <f ca="1">VLOOKUP($F333,OFFSET(enemy_skill_triggers!$A$1,0,0,COUNTA(enemy_skill_triggers!$A:$A),MATCH(N$1,enemy_skill_triggers!$1:$1,0)-MATCH($F$1,enemy_skill_triggers!$1:$1,0)+1),MATCH(N$1,enemy_skill_triggers!$1:$1,0)-MATCH($F$1,enemy_skill_triggers!$1:$1,0)+1,FALSE)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333" s="48">
        <f ca="1">VLOOKUP($F333,OFFSET(enemy_skill_triggers!$A$1,0,0,COUNTA(enemy_skill_triggers!$A:$A),MATCH(O$1,enemy_skill_triggers!$1:$1,0)-MATCH($F$1,enemy_skill_triggers!$1:$1,0)+1),MATCH(O$1,enemy_skill_triggers!$1:$1,0)-MATCH($F$1,enemy_skill_triggers!$1:$1,0)+1,FALSE)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3" s="47"/>
      <c r="Q333" s="47"/>
      <c r="R333" s="47"/>
    </row>
    <row r="334" spans="1:18" ht="21" customHeight="1" x14ac:dyDescent="0.15">
      <c r="A334" s="39" t="str">
        <f t="shared" si="5"/>
        <v>49015026_49015249</v>
      </c>
      <c r="B334" s="106">
        <v>49015026</v>
      </c>
      <c r="C334" s="126">
        <v>49015249</v>
      </c>
      <c r="D334" s="46" t="str">
        <f ca="1">VLOOKUP($C334,OFFSET(enemy_skills!$A$1,0,0,COUNTA(enemy_skills!$A:$A),MATCH(D$1,enemy_skills!$1:$1,0)-MATCH("enemy_skill_id",enemy_skills!$1:$1,0)+1),MATCH(D$1,enemy_skills!$1:$1,0)-MATCH("enemy_skill_id",enemy_skills!$1:$1,0)+1,FALSE)</f>
        <v>やあホークアイ中尉貴方もいるのですね</v>
      </c>
      <c r="E334" s="46" t="str">
        <f ca="1">VLOOKUP($C334,OFFSET(enemy_skills!$A$1,0,0,COUNTA(enemy_skills!$A:$A),MATCH(E$1,enemy_skills!$1:$1,0)-MATCH("enemy_skill_id",enemy_skills!$1:$1,0)+1),MATCH(E$1,enemy_skills!$1:$1,0)-MATCH("enemy_skill_id",enemy_skills!$1:$1,0)+1,FALSE)</f>
        <v>『奇遇ね、こんな所で会いたくなかったわ』_x000D_【4ターン暗闇】</v>
      </c>
      <c r="F334" s="126">
        <v>49015333</v>
      </c>
      <c r="G334" s="48">
        <f ca="1">VLOOKUP($F334,OFFSET(enemy_skill_triggers!$A$1,0,0,COUNTA(enemy_skill_triggers!$A:$A),MATCH(G$1,enemy_skill_triggers!$1:$1,0)-MATCH($F$1,enemy_skill_triggers!$1:$1,0)+1),MATCH(G$1,enemy_skill_triggers!$1:$1,0)-MATCH($F$1,enemy_skill_triggers!$1:$1,0)+1,FALSE)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4" s="48">
        <f ca="1">VLOOKUP($F334,OFFSET(enemy_skill_triggers!$A$1,0,0,COUNTA(enemy_skill_triggers!$A:$A),MATCH(H$1,enemy_skill_triggers!$1:$1,0)-MATCH($F$1,enemy_skill_triggers!$1:$1,0)+1),MATCH(H$1,enemy_skill_triggers!$1:$1,0)-MATCH($F$1,enemy_skill_triggers!$1:$1,0)+1,FALSE)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4" s="48">
        <f ca="1">VLOOKUP($F334,OFFSET(enemy_skill_triggers!$A$1,0,0,COUNTA(enemy_skill_triggers!$A:$A),MATCH(I$1,enemy_skill_triggers!$1:$1,0)-MATCH($F$1,enemy_skill_triggers!$1:$1,0)+1),MATCH(I$1,enemy_skill_triggers!$1:$1,0)-MATCH($F$1,enemy_skill_triggers!$1:$1,0)+1,FALSE)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4" s="48" t="str">
        <f ca="1">VLOOKUP($F334,OFFSET(enemy_skill_triggers!$A$1,0,0,COUNTA(enemy_skill_triggers!$A:$A),MATCH(J$1,enemy_skill_triggers!$1:$1,0)-MATCH($F$1,enemy_skill_triggers!$1:$1,0)+1),MATCH(J$1,enemy_skill_triggers!$1:$1,0)-MATCH($F$1,enemy_skill_triggers!$1:$1,0)+1,FALSE)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4" s="48" t="str">
        <f ca="1">VLOOKUP($F334,OFFSET(enemy_skill_triggers!$A$1,0,0,COUNTA(enemy_skill_triggers!$A:$A),MATCH(K$1,enemy_skill_triggers!$1:$1,0)-MATCH($F$1,enemy_skill_triggers!$1:$1,0)+1),MATCH(K$1,enemy_skill_triggers!$1:$1,0)-MATCH($F$1,enemy_skill_triggers!$1:$1,0)+1,FALSE)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4" s="48">
        <f ca="1">VLOOKUP($F334,OFFSET(enemy_skill_triggers!$A$1,0,0,COUNTA(enemy_skill_triggers!$A:$A),MATCH(L$1,enemy_skill_triggers!$1:$1,0)-MATCH($F$1,enemy_skill_triggers!$1:$1,0)+1),MATCH(L$1,enemy_skill_triggers!$1:$1,0)-MATCH($F$1,enemy_skill_triggers!$1:$1,0)+1,FALSE)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4" s="48" t="str">
        <f ca="1">VLOOKUP($F334,OFFSET(enemy_skill_triggers!$A$1,0,0,COUNTA(enemy_skill_triggers!$A:$A),MATCH(M$1,enemy_skill_triggers!$1:$1,0)-MATCH($F$1,enemy_skill_triggers!$1:$1,0)+1),MATCH(M$1,enemy_skill_triggers!$1:$1,0)-MATCH($F$1,enemy_skill_triggers!$1:$1,0)+1,FALSE)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4" s="48">
        <f ca="1">VLOOKUP($F334,OFFSET(enemy_skill_triggers!$A$1,0,0,COUNTA(enemy_skill_triggers!$A:$A),MATCH(N$1,enemy_skill_triggers!$1:$1,0)-MATCH($F$1,enemy_skill_triggers!$1:$1,0)+1),MATCH(N$1,enemy_skill_triggers!$1:$1,0)-MATCH($F$1,enemy_skill_triggers!$1:$1,0)+1,FALSE)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334" s="48">
        <f ca="1">VLOOKUP($F334,OFFSET(enemy_skill_triggers!$A$1,0,0,COUNTA(enemy_skill_triggers!$A:$A),MATCH(O$1,enemy_skill_triggers!$1:$1,0)-MATCH($F$1,enemy_skill_triggers!$1:$1,0)+1),MATCH(O$1,enemy_skill_triggers!$1:$1,0)-MATCH($F$1,enemy_skill_triggers!$1:$1,0)+1,FALSE)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4" s="47"/>
      <c r="Q334" s="47"/>
      <c r="R334" s="47"/>
    </row>
    <row r="335" spans="1:18" ht="21" customHeight="1" x14ac:dyDescent="0.15">
      <c r="A335" s="39" t="str">
        <f t="shared" si="5"/>
        <v>49015026_49015249</v>
      </c>
      <c r="B335" s="106">
        <v>49015026</v>
      </c>
      <c r="C335" s="126">
        <v>49015249</v>
      </c>
      <c r="D335" s="46" t="str">
        <f ca="1">VLOOKUP($C335,OFFSET(enemy_skills!$A$1,0,0,COUNTA(enemy_skills!$A:$A),MATCH(D$1,enemy_skills!$1:$1,0)-MATCH("enemy_skill_id",enemy_skills!$1:$1,0)+1),MATCH(D$1,enemy_skills!$1:$1,0)-MATCH("enemy_skill_id",enemy_skills!$1:$1,0)+1,FALSE)</f>
        <v>やあホークアイ中尉貴方もいるのですね</v>
      </c>
      <c r="E335" s="46" t="str">
        <f ca="1">VLOOKUP($C335,OFFSET(enemy_skills!$A$1,0,0,COUNTA(enemy_skills!$A:$A),MATCH(E$1,enemy_skills!$1:$1,0)-MATCH("enemy_skill_id",enemy_skills!$1:$1,0)+1),MATCH(E$1,enemy_skills!$1:$1,0)-MATCH("enemy_skill_id",enemy_skills!$1:$1,0)+1,FALSE)</f>
        <v>『奇遇ね、こんな所で会いたくなかったわ』_x000D_【4ターン暗闇】</v>
      </c>
      <c r="F335" s="126">
        <v>49015334</v>
      </c>
      <c r="G335" s="48">
        <f ca="1">VLOOKUP($F335,OFFSET(enemy_skill_triggers!$A$1,0,0,COUNTA(enemy_skill_triggers!$A:$A),MATCH(G$1,enemy_skill_triggers!$1:$1,0)-MATCH($F$1,enemy_skill_triggers!$1:$1,0)+1),MATCH(G$1,enemy_skill_triggers!$1:$1,0)-MATCH($F$1,enemy_skill_triggers!$1:$1,0)+1,FALSE)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5" s="48">
        <f ca="1">VLOOKUP($F335,OFFSET(enemy_skill_triggers!$A$1,0,0,COUNTA(enemy_skill_triggers!$A:$A),MATCH(H$1,enemy_skill_triggers!$1:$1,0)-MATCH($F$1,enemy_skill_triggers!$1:$1,0)+1),MATCH(H$1,enemy_skill_triggers!$1:$1,0)-MATCH($F$1,enemy_skill_triggers!$1:$1,0)+1,FALSE)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35" s="48">
        <f ca="1">VLOOKUP($F335,OFFSET(enemy_skill_triggers!$A$1,0,0,COUNTA(enemy_skill_triggers!$A:$A),MATCH(I$1,enemy_skill_triggers!$1:$1,0)-MATCH($F$1,enemy_skill_triggers!$1:$1,0)+1),MATCH(I$1,enemy_skill_triggers!$1:$1,0)-MATCH($F$1,enemy_skill_triggers!$1:$1,0)+1,FALSE)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5" s="48" t="str">
        <f ca="1">VLOOKUP($F335,OFFSET(enemy_skill_triggers!$A$1,0,0,COUNTA(enemy_skill_triggers!$A:$A),MATCH(J$1,enemy_skill_triggers!$1:$1,0)-MATCH($F$1,enemy_skill_triggers!$1:$1,0)+1),MATCH(J$1,enemy_skill_triggers!$1:$1,0)-MATCH($F$1,enemy_skill_triggers!$1:$1,0)+1,FALSE)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5" s="48" t="str">
        <f ca="1">VLOOKUP($F335,OFFSET(enemy_skill_triggers!$A$1,0,0,COUNTA(enemy_skill_triggers!$A:$A),MATCH(K$1,enemy_skill_triggers!$1:$1,0)-MATCH($F$1,enemy_skill_triggers!$1:$1,0)+1),MATCH(K$1,enemy_skill_triggers!$1:$1,0)-MATCH($F$1,enemy_skill_triggers!$1:$1,0)+1,FALSE)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5" s="48">
        <f ca="1">VLOOKUP($F335,OFFSET(enemy_skill_triggers!$A$1,0,0,COUNTA(enemy_skill_triggers!$A:$A),MATCH(L$1,enemy_skill_triggers!$1:$1,0)-MATCH($F$1,enemy_skill_triggers!$1:$1,0)+1),MATCH(L$1,enemy_skill_triggers!$1:$1,0)-MATCH($F$1,enemy_skill_triggers!$1:$1,0)+1,FALSE)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5" s="48" t="str">
        <f ca="1">VLOOKUP($F335,OFFSET(enemy_skill_triggers!$A$1,0,0,COUNTA(enemy_skill_triggers!$A:$A),MATCH(M$1,enemy_skill_triggers!$1:$1,0)-MATCH($F$1,enemy_skill_triggers!$1:$1,0)+1),MATCH(M$1,enemy_skill_triggers!$1:$1,0)-MATCH($F$1,enemy_skill_triggers!$1:$1,0)+1,FALSE)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5" s="48">
        <f ca="1">VLOOKUP($F335,OFFSET(enemy_skill_triggers!$A$1,0,0,COUNTA(enemy_skill_triggers!$A:$A),MATCH(N$1,enemy_skill_triggers!$1:$1,0)-MATCH($F$1,enemy_skill_triggers!$1:$1,0)+1),MATCH(N$1,enemy_skill_triggers!$1:$1,0)-MATCH($F$1,enemy_skill_triggers!$1:$1,0)+1,FALSE)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335" s="48">
        <f ca="1">VLOOKUP($F335,OFFSET(enemy_skill_triggers!$A$1,0,0,COUNTA(enemy_skill_triggers!$A:$A),MATCH(O$1,enemy_skill_triggers!$1:$1,0)-MATCH($F$1,enemy_skill_triggers!$1:$1,0)+1),MATCH(O$1,enemy_skill_triggers!$1:$1,0)-MATCH($F$1,enemy_skill_triggers!$1:$1,0)+1,FALSE)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5" s="47"/>
      <c r="Q335" s="47"/>
      <c r="R335" s="47"/>
    </row>
    <row r="336" spans="1:18" ht="21" customHeight="1" x14ac:dyDescent="0.15">
      <c r="A336" s="39" t="str">
        <f t="shared" si="5"/>
        <v>49015026_49015250</v>
      </c>
      <c r="B336" s="106">
        <v>49015026</v>
      </c>
      <c r="C336" s="126">
        <v>49015250</v>
      </c>
      <c r="D336" s="46" t="str">
        <f ca="1">VLOOKUP($C336,OFFSET(enemy_skills!$A$1,0,0,COUNTA(enemy_skills!$A:$A),MATCH(D$1,enemy_skills!$1:$1,0)-MATCH("enemy_skill_id",enemy_skills!$1:$1,0)+1),MATCH(D$1,enemy_skills!$1:$1,0)-MATCH("enemy_skill_id",enemy_skills!$1:$1,0)+1,FALSE)</f>
        <v>こんな所で何をやっているのですか？</v>
      </c>
      <c r="E336" s="46" t="str">
        <f ca="1">VLOOKUP($C336,OFFSET(enemy_skills!$A$1,0,0,COUNTA(enemy_skills!$A:$A),MATCH(E$1,enemy_skills!$1:$1,0)-MATCH("enemy_skill_id",enemy_skills!$1:$1,0)+1),MATCH(E$1,enemy_skills!$1:$1,0)-MATCH("enemy_skill_id",enemy_skills!$1:$1,0)+1,FALSE)</f>
        <v>4ターン暗闇</v>
      </c>
      <c r="F336" s="126">
        <v>49015335</v>
      </c>
      <c r="G336" s="48">
        <f ca="1">VLOOKUP($F336,OFFSET(enemy_skill_triggers!$A$1,0,0,COUNTA(enemy_skill_triggers!$A:$A),MATCH(G$1,enemy_skill_triggers!$1:$1,0)-MATCH($F$1,enemy_skill_triggers!$1:$1,0)+1),MATCH(G$1,enemy_skill_triggers!$1:$1,0)-MATCH($F$1,enemy_skill_triggers!$1:$1,0)+1,FALSE)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6" s="48">
        <f ca="1">VLOOKUP($F336,OFFSET(enemy_skill_triggers!$A$1,0,0,COUNTA(enemy_skill_triggers!$A:$A),MATCH(H$1,enemy_skill_triggers!$1:$1,0)-MATCH($F$1,enemy_skill_triggers!$1:$1,0)+1),MATCH(H$1,enemy_skill_triggers!$1:$1,0)-MATCH($F$1,enemy_skill_triggers!$1:$1,0)+1,FALSE)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36" s="48">
        <f ca="1">VLOOKUP($F336,OFFSET(enemy_skill_triggers!$A$1,0,0,COUNTA(enemy_skill_triggers!$A:$A),MATCH(I$1,enemy_skill_triggers!$1:$1,0)-MATCH($F$1,enemy_skill_triggers!$1:$1,0)+1),MATCH(I$1,enemy_skill_triggers!$1:$1,0)-MATCH($F$1,enemy_skill_triggers!$1:$1,0)+1,FALSE)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6" s="48" t="str">
        <f ca="1">VLOOKUP($F336,OFFSET(enemy_skill_triggers!$A$1,0,0,COUNTA(enemy_skill_triggers!$A:$A),MATCH(J$1,enemy_skill_triggers!$1:$1,0)-MATCH($F$1,enemy_skill_triggers!$1:$1,0)+1),MATCH(J$1,enemy_skill_triggers!$1:$1,0)-MATCH($F$1,enemy_skill_triggers!$1:$1,0)+1,FALSE)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6" s="48" t="str">
        <f ca="1">VLOOKUP($F336,OFFSET(enemy_skill_triggers!$A$1,0,0,COUNTA(enemy_skill_triggers!$A:$A),MATCH(K$1,enemy_skill_triggers!$1:$1,0)-MATCH($F$1,enemy_skill_triggers!$1:$1,0)+1),MATCH(K$1,enemy_skill_triggers!$1:$1,0)-MATCH($F$1,enemy_skill_triggers!$1:$1,0)+1,FALSE)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6" s="48">
        <f ca="1">VLOOKUP($F336,OFFSET(enemy_skill_triggers!$A$1,0,0,COUNTA(enemy_skill_triggers!$A:$A),MATCH(L$1,enemy_skill_triggers!$1:$1,0)-MATCH($F$1,enemy_skill_triggers!$1:$1,0)+1),MATCH(L$1,enemy_skill_triggers!$1:$1,0)-MATCH($F$1,enemy_skill_triggers!$1:$1,0)+1,FALSE)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6" s="48" t="str">
        <f ca="1">VLOOKUP($F336,OFFSET(enemy_skill_triggers!$A$1,0,0,COUNTA(enemy_skill_triggers!$A:$A),MATCH(M$1,enemy_skill_triggers!$1:$1,0)-MATCH($F$1,enemy_skill_triggers!$1:$1,0)+1),MATCH(M$1,enemy_skill_triggers!$1:$1,0)-MATCH($F$1,enemy_skill_triggers!$1:$1,0)+1,FALSE)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6" s="48">
        <f ca="1">VLOOKUP($F336,OFFSET(enemy_skill_triggers!$A$1,0,0,COUNTA(enemy_skill_triggers!$A:$A),MATCH(N$1,enemy_skill_triggers!$1:$1,0)-MATCH($F$1,enemy_skill_triggers!$1:$1,0)+1),MATCH(N$1,enemy_skill_triggers!$1:$1,0)-MATCH($F$1,enemy_skill_triggers!$1:$1,0)+1,FALSE)</f>
        <v>1469</v>
      </c>
      <c r="O336" s="48">
        <f ca="1">VLOOKUP($F336,OFFSET(enemy_skill_triggers!$A$1,0,0,COUNTA(enemy_skill_triggers!$A:$A),MATCH(O$1,enemy_skill_triggers!$1:$1,0)-MATCH($F$1,enemy_skill_triggers!$1:$1,0)+1),MATCH(O$1,enemy_skill_triggers!$1:$1,0)-MATCH($F$1,enemy_skill_triggers!$1:$1,0)+1,FALSE)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6" s="47"/>
      <c r="Q336" s="47"/>
      <c r="R336" s="47"/>
    </row>
    <row r="337" spans="1:18" ht="21" customHeight="1" x14ac:dyDescent="0.15">
      <c r="A337" s="39" t="str">
        <f t="shared" si="5"/>
        <v>49015026_49015251</v>
      </c>
      <c r="B337" s="106">
        <v>49015026</v>
      </c>
      <c r="C337" s="126">
        <v>49015251</v>
      </c>
      <c r="D337" s="46" t="str">
        <f ca="1">VLOOKUP($C337,OFFSET(enemy_skills!$A$1,0,0,COUNTA(enemy_skills!$A:$A),MATCH(D$1,enemy_skills!$1:$1,0)-MATCH("enemy_skill_id",enemy_skills!$1:$1,0)+1),MATCH(D$1,enemy_skills!$1:$1,0)-MATCH("enemy_skill_id",enemy_skills!$1:$1,0)+1,FALSE)</f>
        <v>自分の役割をちゃんと理解しなさい</v>
      </c>
      <c r="E337" s="46" t="str">
        <f ca="1">VLOOKUP($C337,OFFSET(enemy_skills!$A$1,0,0,COUNTA(enemy_skills!$A:$A),MATCH(E$1,enemy_skills!$1:$1,0)-MATCH("enemy_skill_id",enemy_skills!$1:$1,0)+1),MATCH(E$1,enemy_skills!$1:$1,0)-MATCH("enemy_skill_id",enemy_skills!$1:$1,0)+1,FALSE)</f>
        <v>4ターン暗闇</v>
      </c>
      <c r="F337" s="126">
        <v>49015336</v>
      </c>
      <c r="G337" s="48">
        <f ca="1">VLOOKUP($F337,OFFSET(enemy_skill_triggers!$A$1,0,0,COUNTA(enemy_skill_triggers!$A:$A),MATCH(G$1,enemy_skill_triggers!$1:$1,0)-MATCH($F$1,enemy_skill_triggers!$1:$1,0)+1),MATCH(G$1,enemy_skill_triggers!$1:$1,0)-MATCH($F$1,enemy_skill_triggers!$1:$1,0)+1,FALSE)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7" s="48">
        <f ca="1">VLOOKUP($F337,OFFSET(enemy_skill_triggers!$A$1,0,0,COUNTA(enemy_skill_triggers!$A:$A),MATCH(H$1,enemy_skill_triggers!$1:$1,0)-MATCH($F$1,enemy_skill_triggers!$1:$1,0)+1),MATCH(H$1,enemy_skill_triggers!$1:$1,0)-MATCH($F$1,enemy_skill_triggers!$1:$1,0)+1,FALSE)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37" s="48">
        <f ca="1">VLOOKUP($F337,OFFSET(enemy_skill_triggers!$A$1,0,0,COUNTA(enemy_skill_triggers!$A:$A),MATCH(I$1,enemy_skill_triggers!$1:$1,0)-MATCH($F$1,enemy_skill_triggers!$1:$1,0)+1),MATCH(I$1,enemy_skill_triggers!$1:$1,0)-MATCH($F$1,enemy_skill_triggers!$1:$1,0)+1,FALSE)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7" s="48" t="str">
        <f ca="1">VLOOKUP($F337,OFFSET(enemy_skill_triggers!$A$1,0,0,COUNTA(enemy_skill_triggers!$A:$A),MATCH(J$1,enemy_skill_triggers!$1:$1,0)-MATCH($F$1,enemy_skill_triggers!$1:$1,0)+1),MATCH(J$1,enemy_skill_triggers!$1:$1,0)-MATCH($F$1,enemy_skill_triggers!$1:$1,0)+1,FALSE)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7" s="48" t="str">
        <f ca="1">VLOOKUP($F337,OFFSET(enemy_skill_triggers!$A$1,0,0,COUNTA(enemy_skill_triggers!$A:$A),MATCH(K$1,enemy_skill_triggers!$1:$1,0)-MATCH($F$1,enemy_skill_triggers!$1:$1,0)+1),MATCH(K$1,enemy_skill_triggers!$1:$1,0)-MATCH($F$1,enemy_skill_triggers!$1:$1,0)+1,FALSE)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7" s="48">
        <f ca="1">VLOOKUP($F337,OFFSET(enemy_skill_triggers!$A$1,0,0,COUNTA(enemy_skill_triggers!$A:$A),MATCH(L$1,enemy_skill_triggers!$1:$1,0)-MATCH($F$1,enemy_skill_triggers!$1:$1,0)+1),MATCH(L$1,enemy_skill_triggers!$1:$1,0)-MATCH($F$1,enemy_skill_triggers!$1:$1,0)+1,FALSE)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7" s="48" t="str">
        <f ca="1">VLOOKUP($F337,OFFSET(enemy_skill_triggers!$A$1,0,0,COUNTA(enemy_skill_triggers!$A:$A),MATCH(M$1,enemy_skill_triggers!$1:$1,0)-MATCH($F$1,enemy_skill_triggers!$1:$1,0)+1),MATCH(M$1,enemy_skill_triggers!$1:$1,0)-MATCH($F$1,enemy_skill_triggers!$1:$1,0)+1,FALSE)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7" s="48">
        <f ca="1">VLOOKUP($F337,OFFSET(enemy_skill_triggers!$A$1,0,0,COUNTA(enemy_skill_triggers!$A:$A),MATCH(N$1,enemy_skill_triggers!$1:$1,0)-MATCH($F$1,enemy_skill_triggers!$1:$1,0)+1),MATCH(N$1,enemy_skill_triggers!$1:$1,0)-MATCH($F$1,enemy_skill_triggers!$1:$1,0)+1,FALSE)</f>
        <v>1468</v>
      </c>
      <c r="O337" s="48">
        <f ca="1">VLOOKUP($F337,OFFSET(enemy_skill_triggers!$A$1,0,0,COUNTA(enemy_skill_triggers!$A:$A),MATCH(O$1,enemy_skill_triggers!$1:$1,0)-MATCH($F$1,enemy_skill_triggers!$1:$1,0)+1),MATCH(O$1,enemy_skill_triggers!$1:$1,0)-MATCH($F$1,enemy_skill_triggers!$1:$1,0)+1,FALSE)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7" s="47"/>
      <c r="Q337" s="47"/>
      <c r="R337" s="47"/>
    </row>
    <row r="338" spans="1:18" ht="21" customHeight="1" x14ac:dyDescent="0.15">
      <c r="A338" s="39" t="str">
        <f t="shared" si="5"/>
        <v>49015026_49015252</v>
      </c>
      <c r="B338" s="106">
        <v>49015026</v>
      </c>
      <c r="C338" s="126">
        <v>49015252</v>
      </c>
      <c r="D338" s="46" t="str">
        <f ca="1">VLOOKUP($C338,OFFSET(enemy_skills!$A$1,0,0,COUNTA(enemy_skills!$A:$A),MATCH(D$1,enemy_skills!$1:$1,0)-MATCH("enemy_skill_id",enemy_skills!$1:$1,0)+1),MATCH(D$1,enemy_skills!$1:$1,0)-MATCH("enemy_skill_id",enemy_skills!$1:$1,0)+1,FALSE)</f>
        <v>貴方は邪魔です！</v>
      </c>
      <c r="E338" s="46" t="str">
        <f ca="1">VLOOKUP($C338,OFFSET(enemy_skills!$A$1,0,0,COUNTA(enemy_skills!$A:$A),MATCH(E$1,enemy_skills!$1:$1,0)-MATCH("enemy_skill_id",enemy_skills!$1:$1,0)+1),MATCH(E$1,enemy_skills!$1:$1,0)-MATCH("enemy_skill_id",enemy_skills!$1:$1,0)+1,FALSE)</f>
        <v>4ターン暗闇</v>
      </c>
      <c r="F338" s="126">
        <v>49015337</v>
      </c>
      <c r="G338" s="48">
        <f ca="1">VLOOKUP($F338,OFFSET(enemy_skill_triggers!$A$1,0,0,COUNTA(enemy_skill_triggers!$A:$A),MATCH(G$1,enemy_skill_triggers!$1:$1,0)-MATCH($F$1,enemy_skill_triggers!$1:$1,0)+1),MATCH(G$1,enemy_skill_triggers!$1:$1,0)-MATCH($F$1,enemy_skill_triggers!$1:$1,0)+1,FALSE)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8" s="48">
        <f ca="1">VLOOKUP($F338,OFFSET(enemy_skill_triggers!$A$1,0,0,COUNTA(enemy_skill_triggers!$A:$A),MATCH(H$1,enemy_skill_triggers!$1:$1,0)-MATCH($F$1,enemy_skill_triggers!$1:$1,0)+1),MATCH(H$1,enemy_skill_triggers!$1:$1,0)-MATCH($F$1,enemy_skill_triggers!$1:$1,0)+1,FALSE)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38" s="48">
        <f ca="1">VLOOKUP($F338,OFFSET(enemy_skill_triggers!$A$1,0,0,COUNTA(enemy_skill_triggers!$A:$A),MATCH(I$1,enemy_skill_triggers!$1:$1,0)-MATCH($F$1,enemy_skill_triggers!$1:$1,0)+1),MATCH(I$1,enemy_skill_triggers!$1:$1,0)-MATCH($F$1,enemy_skill_triggers!$1:$1,0)+1,FALSE)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8" s="48" t="str">
        <f ca="1">VLOOKUP($F338,OFFSET(enemy_skill_triggers!$A$1,0,0,COUNTA(enemy_skill_triggers!$A:$A),MATCH(J$1,enemy_skill_triggers!$1:$1,0)-MATCH($F$1,enemy_skill_triggers!$1:$1,0)+1),MATCH(J$1,enemy_skill_triggers!$1:$1,0)-MATCH($F$1,enemy_skill_triggers!$1:$1,0)+1,FALSE)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8" s="48" t="str">
        <f ca="1">VLOOKUP($F338,OFFSET(enemy_skill_triggers!$A$1,0,0,COUNTA(enemy_skill_triggers!$A:$A),MATCH(K$1,enemy_skill_triggers!$1:$1,0)-MATCH($F$1,enemy_skill_triggers!$1:$1,0)+1),MATCH(K$1,enemy_skill_triggers!$1:$1,0)-MATCH($F$1,enemy_skill_triggers!$1:$1,0)+1,FALSE)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8" s="48">
        <f ca="1">VLOOKUP($F338,OFFSET(enemy_skill_triggers!$A$1,0,0,COUNTA(enemy_skill_triggers!$A:$A),MATCH(L$1,enemy_skill_triggers!$1:$1,0)-MATCH($F$1,enemy_skill_triggers!$1:$1,0)+1),MATCH(L$1,enemy_skill_triggers!$1:$1,0)-MATCH($F$1,enemy_skill_triggers!$1:$1,0)+1,FALSE)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8" s="48" t="str">
        <f ca="1">VLOOKUP($F338,OFFSET(enemy_skill_triggers!$A$1,0,0,COUNTA(enemy_skill_triggers!$A:$A),MATCH(M$1,enemy_skill_triggers!$1:$1,0)-MATCH($F$1,enemy_skill_triggers!$1:$1,0)+1),MATCH(M$1,enemy_skill_triggers!$1:$1,0)-MATCH($F$1,enemy_skill_triggers!$1:$1,0)+1,FALSE)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8" s="48">
        <f ca="1">VLOOKUP($F338,OFFSET(enemy_skill_triggers!$A$1,0,0,COUNTA(enemy_skill_triggers!$A:$A),MATCH(N$1,enemy_skill_triggers!$1:$1,0)-MATCH($F$1,enemy_skill_triggers!$1:$1,0)+1),MATCH(N$1,enemy_skill_triggers!$1:$1,0)-MATCH($F$1,enemy_skill_triggers!$1:$1,0)+1,FALSE)</f>
        <v>1466</v>
      </c>
      <c r="O338" s="48">
        <f ca="1">VLOOKUP($F338,OFFSET(enemy_skill_triggers!$A$1,0,0,COUNTA(enemy_skill_triggers!$A:$A),MATCH(O$1,enemy_skill_triggers!$1:$1,0)-MATCH($F$1,enemy_skill_triggers!$1:$1,0)+1),MATCH(O$1,enemy_skill_triggers!$1:$1,0)-MATCH($F$1,enemy_skill_triggers!$1:$1,0)+1,FALSE)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8" s="47"/>
      <c r="Q338" s="47"/>
      <c r="R338" s="47"/>
    </row>
    <row r="339" spans="1:18" ht="21" customHeight="1" x14ac:dyDescent="0.15">
      <c r="A339" s="39" t="str">
        <f t="shared" si="5"/>
        <v>49015026_49015252</v>
      </c>
      <c r="B339" s="106">
        <v>49015026</v>
      </c>
      <c r="C339" s="126">
        <v>49015252</v>
      </c>
      <c r="D339" s="46" t="str">
        <f ca="1">VLOOKUP($C339,OFFSET(enemy_skills!$A$1,0,0,COUNTA(enemy_skills!$A:$A),MATCH(D$1,enemy_skills!$1:$1,0)-MATCH("enemy_skill_id",enemy_skills!$1:$1,0)+1),MATCH(D$1,enemy_skills!$1:$1,0)-MATCH("enemy_skill_id",enemy_skills!$1:$1,0)+1,FALSE)</f>
        <v>貴方は邪魔です！</v>
      </c>
      <c r="E339" s="46" t="str">
        <f ca="1">VLOOKUP($C339,OFFSET(enemy_skills!$A$1,0,0,COUNTA(enemy_skills!$A:$A),MATCH(E$1,enemy_skills!$1:$1,0)-MATCH("enemy_skill_id",enemy_skills!$1:$1,0)+1),MATCH(E$1,enemy_skills!$1:$1,0)-MATCH("enemy_skill_id",enemy_skills!$1:$1,0)+1,FALSE)</f>
        <v>4ターン暗闇</v>
      </c>
      <c r="F339" s="126">
        <v>49015338</v>
      </c>
      <c r="G339" s="48">
        <f ca="1">VLOOKUP($F339,OFFSET(enemy_skill_triggers!$A$1,0,0,COUNTA(enemy_skill_triggers!$A:$A),MATCH(G$1,enemy_skill_triggers!$1:$1,0)-MATCH($F$1,enemy_skill_triggers!$1:$1,0)+1),MATCH(G$1,enemy_skill_triggers!$1:$1,0)-MATCH($F$1,enemy_skill_triggers!$1:$1,0)+1,FALSE)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9" s="48">
        <f ca="1">VLOOKUP($F339,OFFSET(enemy_skill_triggers!$A$1,0,0,COUNTA(enemy_skill_triggers!$A:$A),MATCH(H$1,enemy_skill_triggers!$1:$1,0)-MATCH($F$1,enemy_skill_triggers!$1:$1,0)+1),MATCH(H$1,enemy_skill_triggers!$1:$1,0)-MATCH($F$1,enemy_skill_triggers!$1:$1,0)+1,FALSE)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339" s="48">
        <f ca="1">VLOOKUP($F339,OFFSET(enemy_skill_triggers!$A$1,0,0,COUNTA(enemy_skill_triggers!$A:$A),MATCH(I$1,enemy_skill_triggers!$1:$1,0)-MATCH($F$1,enemy_skill_triggers!$1:$1,0)+1),MATCH(I$1,enemy_skill_triggers!$1:$1,0)-MATCH($F$1,enemy_skill_triggers!$1:$1,0)+1,FALSE)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9" s="48" t="str">
        <f ca="1">VLOOKUP($F339,OFFSET(enemy_skill_triggers!$A$1,0,0,COUNTA(enemy_skill_triggers!$A:$A),MATCH(J$1,enemy_skill_triggers!$1:$1,0)-MATCH($F$1,enemy_skill_triggers!$1:$1,0)+1),MATCH(J$1,enemy_skill_triggers!$1:$1,0)-MATCH($F$1,enemy_skill_triggers!$1:$1,0)+1,FALSE)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9" s="48" t="str">
        <f ca="1">VLOOKUP($F339,OFFSET(enemy_skill_triggers!$A$1,0,0,COUNTA(enemy_skill_triggers!$A:$A),MATCH(K$1,enemy_skill_triggers!$1:$1,0)-MATCH($F$1,enemy_skill_triggers!$1:$1,0)+1),MATCH(K$1,enemy_skill_triggers!$1:$1,0)-MATCH($F$1,enemy_skill_triggers!$1:$1,0)+1,FALSE)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9" s="48">
        <f ca="1">VLOOKUP($F339,OFFSET(enemy_skill_triggers!$A$1,0,0,COUNTA(enemy_skill_triggers!$A:$A),MATCH(L$1,enemy_skill_triggers!$1:$1,0)-MATCH($F$1,enemy_skill_triggers!$1:$1,0)+1),MATCH(L$1,enemy_skill_triggers!$1:$1,0)-MATCH($F$1,enemy_skill_triggers!$1:$1,0)+1,FALSE)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9" s="48" t="str">
        <f ca="1">VLOOKUP($F339,OFFSET(enemy_skill_triggers!$A$1,0,0,COUNTA(enemy_skill_triggers!$A:$A),MATCH(M$1,enemy_skill_triggers!$1:$1,0)-MATCH($F$1,enemy_skill_triggers!$1:$1,0)+1),MATCH(M$1,enemy_skill_triggers!$1:$1,0)-MATCH($F$1,enemy_skill_triggers!$1:$1,0)+1,FALSE)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9" s="48">
        <f ca="1">VLOOKUP($F339,OFFSET(enemy_skill_triggers!$A$1,0,0,COUNTA(enemy_skill_triggers!$A:$A),MATCH(N$1,enemy_skill_triggers!$1:$1,0)-MATCH($F$1,enemy_skill_triggers!$1:$1,0)+1),MATCH(N$1,enemy_skill_triggers!$1:$1,0)-MATCH($F$1,enemy_skill_triggers!$1:$1,0)+1,FALSE)</f>
        <v>1467</v>
      </c>
      <c r="O339" s="48">
        <f ca="1">VLOOKUP($F339,OFFSET(enemy_skill_triggers!$A$1,0,0,COUNTA(enemy_skill_triggers!$A:$A),MATCH(O$1,enemy_skill_triggers!$1:$1,0)-MATCH($F$1,enemy_skill_triggers!$1:$1,0)+1),MATCH(O$1,enemy_skill_triggers!$1:$1,0)-MATCH($F$1,enemy_skill_triggers!$1:$1,0)+1,FALSE)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9" s="47"/>
      <c r="Q339" s="47"/>
      <c r="R339" s="47"/>
    </row>
    <row r="340" spans="1:18" ht="21" customHeight="1" x14ac:dyDescent="0.15">
      <c r="A340" s="39" t="str">
        <f t="shared" si="5"/>
        <v>49015026_49015253</v>
      </c>
      <c r="B340" s="106">
        <v>49015026</v>
      </c>
      <c r="C340" s="126">
        <v>49015253</v>
      </c>
      <c r="D340" s="46" t="str">
        <f ca="1">VLOOKUP($C340,OFFSET(enemy_skills!$A$1,0,0,COUNTA(enemy_skills!$A:$A),MATCH(D$1,enemy_skills!$1:$1,0)-MATCH("enemy_skill_id",enemy_skills!$1:$1,0)+1),MATCH(D$1,enemy_skills!$1:$1,0)-MATCH("enemy_skill_id",enemy_skills!$1:$1,0)+1,FALSE)</f>
        <v>暗闇操作術</v>
      </c>
      <c r="E340" s="46" t="str">
        <f ca="1">VLOOKUP($C340,OFFSET(enemy_skills!$A$1,0,0,COUNTA(enemy_skills!$A:$A),MATCH(E$1,enemy_skills!$1:$1,0)-MATCH("enemy_skill_id",enemy_skills!$1:$1,0)+1),MATCH(E$1,enemy_skills!$1:$1,0)-MATCH("enemy_skill_id",enemy_skills!$1:$1,0)+1,FALSE)</f>
        <v>単体攻撃+_x000D_1ターンユニット1体にスキルバインド</v>
      </c>
      <c r="F340" s="126">
        <v>49015339</v>
      </c>
      <c r="G340" s="48">
        <f ca="1">VLOOKUP($F340,OFFSET(enemy_skill_triggers!$A$1,0,0,COUNTA(enemy_skill_triggers!$A:$A),MATCH(G$1,enemy_skill_triggers!$1:$1,0)-MATCH($F$1,enemy_skill_triggers!$1:$1,0)+1),MATCH(G$1,enemy_skill_triggers!$1:$1,0)-MATCH($F$1,enemy_skill_triggers!$1:$1,0)+1,FALSE)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0" s="48">
        <f ca="1">VLOOKUP($F340,OFFSET(enemy_skill_triggers!$A$1,0,0,COUNTA(enemy_skill_triggers!$A:$A),MATCH(H$1,enemy_skill_triggers!$1:$1,0)-MATCH($F$1,enemy_skill_triggers!$1:$1,0)+1),MATCH(H$1,enemy_skill_triggers!$1:$1,0)-MATCH($F$1,enemy_skill_triggers!$1:$1,0)+1,FALSE)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40" s="48">
        <f ca="1">VLOOKUP($F340,OFFSET(enemy_skill_triggers!$A$1,0,0,COUNTA(enemy_skill_triggers!$A:$A),MATCH(I$1,enemy_skill_triggers!$1:$1,0)-MATCH($F$1,enemy_skill_triggers!$1:$1,0)+1),MATCH(I$1,enemy_skill_triggers!$1:$1,0)-MATCH($F$1,enemy_skill_triggers!$1:$1,0)+1,FALSE)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40" s="48" t="str">
        <f ca="1">VLOOKUP($F340,OFFSET(enemy_skill_triggers!$A$1,0,0,COUNTA(enemy_skill_triggers!$A:$A),MATCH(J$1,enemy_skill_triggers!$1:$1,0)-MATCH($F$1,enemy_skill_triggers!$1:$1,0)+1),MATCH(J$1,enemy_skill_triggers!$1:$1,0)-MATCH($F$1,enemy_skill_triggers!$1:$1,0)+1,FALSE)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0" s="48" t="str">
        <f ca="1">VLOOKUP($F340,OFFSET(enemy_skill_triggers!$A$1,0,0,COUNTA(enemy_skill_triggers!$A:$A),MATCH(K$1,enemy_skill_triggers!$1:$1,0)-MATCH($F$1,enemy_skill_triggers!$1:$1,0)+1),MATCH(K$1,enemy_skill_triggers!$1:$1,0)-MATCH($F$1,enemy_skill_triggers!$1:$1,0)+1,FALSE)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0" s="48" t="str">
        <f ca="1">VLOOKUP($F340,OFFSET(enemy_skill_triggers!$A$1,0,0,COUNTA(enemy_skill_triggers!$A:$A),MATCH(L$1,enemy_skill_triggers!$1:$1,0)-MATCH($F$1,enemy_skill_triggers!$1:$1,0)+1),MATCH(L$1,enemy_skill_triggers!$1:$1,0)-MATCH($F$1,enemy_skill_triggers!$1:$1,0)+1,FALSE)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0" s="48" t="str">
        <f ca="1">VLOOKUP($F340,OFFSET(enemy_skill_triggers!$A$1,0,0,COUNTA(enemy_skill_triggers!$A:$A),MATCH(M$1,enemy_skill_triggers!$1:$1,0)-MATCH($F$1,enemy_skill_triggers!$1:$1,0)+1),MATCH(M$1,enemy_skill_triggers!$1:$1,0)-MATCH($F$1,enemy_skill_triggers!$1:$1,0)+1,FALSE)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0" s="48" t="str">
        <f ca="1">VLOOKUP($F340,OFFSET(enemy_skill_triggers!$A$1,0,0,COUNTA(enemy_skill_triggers!$A:$A),MATCH(N$1,enemy_skill_triggers!$1:$1,0)-MATCH($F$1,enemy_skill_triggers!$1:$1,0)+1),MATCH(N$1,enemy_skill_triggers!$1:$1,0)-MATCH($F$1,enemy_skill_triggers!$1:$1,0)+1,FALSE)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0" s="48">
        <f ca="1">VLOOKUP($F340,OFFSET(enemy_skill_triggers!$A$1,0,0,COUNTA(enemy_skill_triggers!$A:$A),MATCH(O$1,enemy_skill_triggers!$1:$1,0)-MATCH($F$1,enemy_skill_triggers!$1:$1,0)+1),MATCH(O$1,enemy_skill_triggers!$1:$1,0)-MATCH($F$1,enemy_skill_triggers!$1:$1,0)+1,FALSE)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40" s="47"/>
      <c r="Q340" s="47"/>
      <c r="R340" s="47"/>
    </row>
    <row r="341" spans="1:18" ht="21" customHeight="1" x14ac:dyDescent="0.15">
      <c r="A341" s="39" t="str">
        <f t="shared" si="5"/>
        <v>49015026_49015254</v>
      </c>
      <c r="B341" s="106">
        <v>49015026</v>
      </c>
      <c r="C341" s="126">
        <v>49015254</v>
      </c>
      <c r="D341" s="46" t="str">
        <f ca="1">VLOOKUP($C341,OFFSET(enemy_skills!$A$1,0,0,COUNTA(enemy_skills!$A:$A),MATCH(D$1,enemy_skills!$1:$1,0)-MATCH("enemy_skill_id",enemy_skills!$1:$1,0)+1),MATCH(D$1,enemy_skills!$1:$1,0)-MATCH("enemy_skill_id",enemy_skills!$1:$1,0)+1,FALSE)</f>
        <v>油断はしませんよ</v>
      </c>
      <c r="E341" s="46" t="str">
        <f ca="1">VLOOKUP($C341,OFFSET(enemy_skills!$A$1,0,0,COUNTA(enemy_skills!$A:$A),MATCH(E$1,enemy_skills!$1:$1,0)-MATCH("enemy_skill_id",enemy_skills!$1:$1,0)+1),MATCH(E$1,enemy_skills!$1:$1,0)-MATCH("enemy_skill_id",enemy_skills!$1:$1,0)+1,FALSE)</f>
        <v>単体攻撃+_x000D_ランダムで赤のダメージパネルに最大2個変換</v>
      </c>
      <c r="F341" s="126">
        <v>49015340</v>
      </c>
      <c r="G341" s="48">
        <f ca="1">VLOOKUP($F341,OFFSET(enemy_skill_triggers!$A$1,0,0,COUNTA(enemy_skill_triggers!$A:$A),MATCH(G$1,enemy_skill_triggers!$1:$1,0)-MATCH($F$1,enemy_skill_triggers!$1:$1,0)+1),MATCH(G$1,enemy_skill_triggers!$1:$1,0)-MATCH($F$1,enemy_skill_triggers!$1:$1,0)+1,FALSE)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1" s="48">
        <f ca="1">VLOOKUP($F341,OFFSET(enemy_skill_triggers!$A$1,0,0,COUNTA(enemy_skill_triggers!$A:$A),MATCH(H$1,enemy_skill_triggers!$1:$1,0)-MATCH($F$1,enemy_skill_triggers!$1:$1,0)+1),MATCH(H$1,enemy_skill_triggers!$1:$1,0)-MATCH($F$1,enemy_skill_triggers!$1:$1,0)+1,FALSE)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41" s="48">
        <f ca="1">VLOOKUP($F341,OFFSET(enemy_skill_triggers!$A$1,0,0,COUNTA(enemy_skill_triggers!$A:$A),MATCH(I$1,enemy_skill_triggers!$1:$1,0)-MATCH($F$1,enemy_skill_triggers!$1:$1,0)+1),MATCH(I$1,enemy_skill_triggers!$1:$1,0)-MATCH($F$1,enemy_skill_triggers!$1:$1,0)+1,FALSE)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1" s="48" t="str">
        <f ca="1">VLOOKUP($F341,OFFSET(enemy_skill_triggers!$A$1,0,0,COUNTA(enemy_skill_triggers!$A:$A),MATCH(J$1,enemy_skill_triggers!$1:$1,0)-MATCH($F$1,enemy_skill_triggers!$1:$1,0)+1),MATCH(J$1,enemy_skill_triggers!$1:$1,0)-MATCH($F$1,enemy_skill_triggers!$1:$1,0)+1,FALSE)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1" s="48" t="str">
        <f ca="1">VLOOKUP($F341,OFFSET(enemy_skill_triggers!$A$1,0,0,COUNTA(enemy_skill_triggers!$A:$A),MATCH(K$1,enemy_skill_triggers!$1:$1,0)-MATCH($F$1,enemy_skill_triggers!$1:$1,0)+1),MATCH(K$1,enemy_skill_triggers!$1:$1,0)-MATCH($F$1,enemy_skill_triggers!$1:$1,0)+1,FALSE)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1" s="48" t="str">
        <f ca="1">VLOOKUP($F341,OFFSET(enemy_skill_triggers!$A$1,0,0,COUNTA(enemy_skill_triggers!$A:$A),MATCH(L$1,enemy_skill_triggers!$1:$1,0)-MATCH($F$1,enemy_skill_triggers!$1:$1,0)+1),MATCH(L$1,enemy_skill_triggers!$1:$1,0)-MATCH($F$1,enemy_skill_triggers!$1:$1,0)+1,FALSE)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1" s="48" t="str">
        <f ca="1">VLOOKUP($F341,OFFSET(enemy_skill_triggers!$A$1,0,0,COUNTA(enemy_skill_triggers!$A:$A),MATCH(M$1,enemy_skill_triggers!$1:$1,0)-MATCH($F$1,enemy_skill_triggers!$1:$1,0)+1),MATCH(M$1,enemy_skill_triggers!$1:$1,0)-MATCH($F$1,enemy_skill_triggers!$1:$1,0)+1,FALSE)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1" s="48" t="str">
        <f ca="1">VLOOKUP($F341,OFFSET(enemy_skill_triggers!$A$1,0,0,COUNTA(enemy_skill_triggers!$A:$A),MATCH(N$1,enemy_skill_triggers!$1:$1,0)-MATCH($F$1,enemy_skill_triggers!$1:$1,0)+1),MATCH(N$1,enemy_skill_triggers!$1:$1,0)-MATCH($F$1,enemy_skill_triggers!$1:$1,0)+1,FALSE)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1" s="48">
        <f ca="1">VLOOKUP($F341,OFFSET(enemy_skill_triggers!$A$1,0,0,COUNTA(enemy_skill_triggers!$A:$A),MATCH(O$1,enemy_skill_triggers!$1:$1,0)-MATCH($F$1,enemy_skill_triggers!$1:$1,0)+1),MATCH(O$1,enemy_skill_triggers!$1:$1,0)-MATCH($F$1,enemy_skill_triggers!$1:$1,0)+1,FALSE)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1" s="47"/>
      <c r="Q341" s="47"/>
      <c r="R341" s="47"/>
    </row>
    <row r="342" spans="1:18" ht="21" customHeight="1" thickBot="1" x14ac:dyDescent="0.2">
      <c r="A342" s="39" t="str">
        <f t="shared" si="5"/>
        <v>49015026_49015255</v>
      </c>
      <c r="B342" s="111">
        <v>49015026</v>
      </c>
      <c r="C342" s="127">
        <v>49015255</v>
      </c>
      <c r="D342" s="145" t="str">
        <f ca="1">VLOOKUP($C342,OFFSET(enemy_skills!$A$1,0,0,COUNTA(enemy_skills!$A:$A),MATCH(D$1,enemy_skills!$1:$1,0)-MATCH("enemy_skill_id",enemy_skills!$1:$1,0)+1),MATCH(D$1,enemy_skills!$1:$1,0)-MATCH("enemy_skill_id",enemy_skills!$1:$1,0)+1,FALSE)</f>
        <v>傲慢</v>
      </c>
      <c r="E342" s="145" t="str">
        <f ca="1">VLOOKUP($C342,OFFSET(enemy_skills!$A$1,0,0,COUNTA(enemy_skills!$A:$A),MATCH(E$1,enemy_skills!$1:$1,0)-MATCH("enemy_skill_id",enemy_skills!$1:$1,0)+1),MATCH(E$1,enemy_skills!$1:$1,0)-MATCH("enemy_skill_id",enemy_skills!$1:$1,0)+1,FALSE)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</v>
      </c>
      <c r="F342" s="127">
        <v>49015341</v>
      </c>
      <c r="G342" s="114">
        <f ca="1">VLOOKUP($F342,OFFSET(enemy_skill_triggers!$A$1,0,0,COUNTA(enemy_skill_triggers!$A:$A),MATCH(G$1,enemy_skill_triggers!$1:$1,0)-MATCH($F$1,enemy_skill_triggers!$1:$1,0)+1),MATCH(G$1,enemy_skill_triggers!$1:$1,0)-MATCH($F$1,enemy_skill_triggers!$1:$1,0)+1,FALSE)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2" s="114">
        <f ca="1">VLOOKUP($F342,OFFSET(enemy_skill_triggers!$A$1,0,0,COUNTA(enemy_skill_triggers!$A:$A),MATCH(H$1,enemy_skill_triggers!$1:$1,0)-MATCH($F$1,enemy_skill_triggers!$1:$1,0)+1),MATCH(H$1,enemy_skill_triggers!$1:$1,0)-MATCH($F$1,enemy_skill_triggers!$1:$1,0)+1,FALSE)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42" s="114">
        <f ca="1">VLOOKUP($F342,OFFSET(enemy_skill_triggers!$A$1,0,0,COUNTA(enemy_skill_triggers!$A:$A),MATCH(I$1,enemy_skill_triggers!$1:$1,0)-MATCH($F$1,enemy_skill_triggers!$1:$1,0)+1),MATCH(I$1,enemy_skill_triggers!$1:$1,0)-MATCH($F$1,enemy_skill_triggers!$1:$1,0)+1,FALSE)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2" s="114" t="str">
        <f ca="1">VLOOKUP($F342,OFFSET(enemy_skill_triggers!$A$1,0,0,COUNTA(enemy_skill_triggers!$A:$A),MATCH(J$1,enemy_skill_triggers!$1:$1,0)-MATCH($F$1,enemy_skill_triggers!$1:$1,0)+1),MATCH(J$1,enemy_skill_triggers!$1:$1,0)-MATCH($F$1,enemy_skill_triggers!$1:$1,0)+1,FALSE)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2" s="114" t="str">
        <f ca="1">VLOOKUP($F342,OFFSET(enemy_skill_triggers!$A$1,0,0,COUNTA(enemy_skill_triggers!$A:$A),MATCH(K$1,enemy_skill_triggers!$1:$1,0)-MATCH($F$1,enemy_skill_triggers!$1:$1,0)+1),MATCH(K$1,enemy_skill_triggers!$1:$1,0)-MATCH($F$1,enemy_skill_triggers!$1:$1,0)+1,FALSE)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2" s="114">
        <f ca="1">VLOOKUP($F342,OFFSET(enemy_skill_triggers!$A$1,0,0,COUNTA(enemy_skill_triggers!$A:$A),MATCH(L$1,enemy_skill_triggers!$1:$1,0)-MATCH($F$1,enemy_skill_triggers!$1:$1,0)+1),MATCH(L$1,enemy_skill_triggers!$1:$1,0)-MATCH($F$1,enemy_skill_triggers!$1:$1,0)+1,FALSE)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2" s="114">
        <f ca="1">VLOOKUP($F342,OFFSET(enemy_skill_triggers!$A$1,0,0,COUNTA(enemy_skill_triggers!$A:$A),MATCH(M$1,enemy_skill_triggers!$1:$1,0)-MATCH($F$1,enemy_skill_triggers!$1:$1,0)+1),MATCH(M$1,enemy_skill_triggers!$1:$1,0)-MATCH($F$1,enemy_skill_triggers!$1:$1,0)+1,FALSE)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42" s="114" t="str">
        <f ca="1">VLOOKUP($F342,OFFSET(enemy_skill_triggers!$A$1,0,0,COUNTA(enemy_skill_triggers!$A:$A),MATCH(N$1,enemy_skill_triggers!$1:$1,0)-MATCH($F$1,enemy_skill_triggers!$1:$1,0)+1),MATCH(N$1,enemy_skill_triggers!$1:$1,0)-MATCH($F$1,enemy_skill_triggers!$1:$1,0)+1,FALSE)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2" s="114">
        <f ca="1">VLOOKUP($F342,OFFSET(enemy_skill_triggers!$A$1,0,0,COUNTA(enemy_skill_triggers!$A:$A),MATCH(O$1,enemy_skill_triggers!$1:$1,0)-MATCH($F$1,enemy_skill_triggers!$1:$1,0)+1),MATCH(O$1,enemy_skill_triggers!$1:$1,0)-MATCH($F$1,enemy_skill_triggers!$1:$1,0)+1,FALSE)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2" s="111"/>
      <c r="Q342" s="111"/>
      <c r="R342" s="111"/>
    </row>
    <row r="343" spans="1:18" ht="21" customHeight="1" x14ac:dyDescent="0.15">
      <c r="A343" s="39" t="str">
        <f t="shared" si="5"/>
        <v>49015027_49015256</v>
      </c>
      <c r="B343" s="106">
        <v>49015027</v>
      </c>
      <c r="C343" s="126">
        <v>49015256</v>
      </c>
      <c r="D343" s="144" t="str">
        <f ca="1">VLOOKUP($C343,OFFSET(enemy_skills!$A$1,0,0,COUNTA(enemy_skills!$A:$A),MATCH(D$1,enemy_skills!$1:$1,0)-MATCH("enemy_skill_id",enemy_skills!$1:$1,0)+1),MATCH(D$1,enemy_skills!$1:$1,0)-MATCH("enemy_skill_id",enemy_skills!$1:$1,0)+1,FALSE)</f>
        <v>無駄なあがきを…</v>
      </c>
      <c r="E343" s="144" t="str">
        <f ca="1">VLOOKUP($C343,OFFSET(enemy_skills!$A$1,0,0,COUNTA(enemy_skills!$A:$A),MATCH(E$1,enemy_skills!$1:$1,0)-MATCH("enemy_skill_id",enemy_skills!$1:$1,0)+1),MATCH(E$1,enemy_skills!$1:$1,0)-MATCH("enemy_skill_id",enemy_skills!$1:$1,0)+1,FALSE)</f>
        <v>4ターン暗闇+_x000D_ランダムで赤のCBPに最大2個変換+_x000D_ランダムで赤のダメージパネルに最大5個変換</v>
      </c>
      <c r="F343" s="126">
        <v>49015342</v>
      </c>
      <c r="G343" s="109">
        <f ca="1">VLOOKUP($F343,OFFSET(enemy_skill_triggers!$A$1,0,0,COUNTA(enemy_skill_triggers!$A:$A),MATCH(G$1,enemy_skill_triggers!$1:$1,0)-MATCH($F$1,enemy_skill_triggers!$1:$1,0)+1),MATCH(G$1,enemy_skill_triggers!$1:$1,0)-MATCH($F$1,enemy_skill_triggers!$1:$1,0)+1,FALSE)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3" s="109" t="str">
        <f ca="1">VLOOKUP($F343,OFFSET(enemy_skill_triggers!$A$1,0,0,COUNTA(enemy_skill_triggers!$A:$A),MATCH(H$1,enemy_skill_triggers!$1:$1,0)-MATCH($F$1,enemy_skill_triggers!$1:$1,0)+1),MATCH(H$1,enemy_skill_triggers!$1:$1,0)-MATCH($F$1,enemy_skill_triggers!$1:$1,0)+1,FALSE)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3" s="109">
        <f ca="1">VLOOKUP($F343,OFFSET(enemy_skill_triggers!$A$1,0,0,COUNTA(enemy_skill_triggers!$A:$A),MATCH(I$1,enemy_skill_triggers!$1:$1,0)-MATCH($F$1,enemy_skill_triggers!$1:$1,0)+1),MATCH(I$1,enemy_skill_triggers!$1:$1,0)-MATCH($F$1,enemy_skill_triggers!$1:$1,0)+1,FALSE)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3" s="109" t="str">
        <f ca="1">VLOOKUP($F343,OFFSET(enemy_skill_triggers!$A$1,0,0,COUNTA(enemy_skill_triggers!$A:$A),MATCH(J$1,enemy_skill_triggers!$1:$1,0)-MATCH($F$1,enemy_skill_triggers!$1:$1,0)+1),MATCH(J$1,enemy_skill_triggers!$1:$1,0)-MATCH($F$1,enemy_skill_triggers!$1:$1,0)+1,FALSE)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3" s="109" t="str">
        <f ca="1">VLOOKUP($F343,OFFSET(enemy_skill_triggers!$A$1,0,0,COUNTA(enemy_skill_triggers!$A:$A),MATCH(K$1,enemy_skill_triggers!$1:$1,0)-MATCH($F$1,enemy_skill_triggers!$1:$1,0)+1),MATCH(K$1,enemy_skill_triggers!$1:$1,0)-MATCH($F$1,enemy_skill_triggers!$1:$1,0)+1,FALSE)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3" s="109">
        <f ca="1">VLOOKUP($F343,OFFSET(enemy_skill_triggers!$A$1,0,0,COUNTA(enemy_skill_triggers!$A:$A),MATCH(L$1,enemy_skill_triggers!$1:$1,0)-MATCH($F$1,enemy_skill_triggers!$1:$1,0)+1),MATCH(L$1,enemy_skill_triggers!$1:$1,0)-MATCH($F$1,enemy_skill_triggers!$1:$1,0)+1,FALSE)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3" s="109" t="str">
        <f ca="1">VLOOKUP($F343,OFFSET(enemy_skill_triggers!$A$1,0,0,COUNTA(enemy_skill_triggers!$A:$A),MATCH(M$1,enemy_skill_triggers!$1:$1,0)-MATCH($F$1,enemy_skill_triggers!$1:$1,0)+1),MATCH(M$1,enemy_skill_triggers!$1:$1,0)-MATCH($F$1,enemy_skill_triggers!$1:$1,0)+1,FALSE)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3" s="109" t="str">
        <f ca="1">VLOOKUP($F343,OFFSET(enemy_skill_triggers!$A$1,0,0,COUNTA(enemy_skill_triggers!$A:$A),MATCH(N$1,enemy_skill_triggers!$1:$1,0)-MATCH($F$1,enemy_skill_triggers!$1:$1,0)+1),MATCH(N$1,enemy_skill_triggers!$1:$1,0)-MATCH($F$1,enemy_skill_triggers!$1:$1,0)+1,FALSE)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3" s="109">
        <f ca="1">VLOOKUP($F343,OFFSET(enemy_skill_triggers!$A$1,0,0,COUNTA(enemy_skill_triggers!$A:$A),MATCH(O$1,enemy_skill_triggers!$1:$1,0)-MATCH($F$1,enemy_skill_triggers!$1:$1,0)+1),MATCH(O$1,enemy_skill_triggers!$1:$1,0)-MATCH($F$1,enemy_skill_triggers!$1:$1,0)+1,FALSE)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3" s="106"/>
      <c r="Q343" s="106"/>
      <c r="R343" s="106"/>
    </row>
    <row r="344" spans="1:18" ht="21" customHeight="1" x14ac:dyDescent="0.15">
      <c r="A344" s="39" t="str">
        <f t="shared" si="5"/>
        <v>49015027_49015257</v>
      </c>
      <c r="B344" s="106">
        <v>49015027</v>
      </c>
      <c r="C344" s="126">
        <v>49015257</v>
      </c>
      <c r="D344" s="46" t="str">
        <f ca="1">VLOOKUP($C344,OFFSET(enemy_skills!$A$1,0,0,COUNTA(enemy_skills!$A:$A),MATCH(D$1,enemy_skills!$1:$1,0)-MATCH("enemy_skill_id",enemy_skills!$1:$1,0)+1),MATCH(D$1,enemy_skills!$1:$1,0)-MATCH("enemy_skill_id",enemy_skills!$1:$1,0)+1,FALSE)</f>
        <v>面白い人たちだ</v>
      </c>
      <c r="E344" s="46" t="str">
        <f ca="1">VLOOKUP($C344,OFFSET(enemy_skills!$A$1,0,0,COUNTA(enemy_skills!$A:$A),MATCH(E$1,enemy_skills!$1:$1,0)-MATCH("enemy_skill_id",enemy_skills!$1:$1,0)+1),MATCH(E$1,enemy_skills!$1:$1,0)-MATCH("enemy_skill_id",enemy_skills!$1:$1,0)+1,FALSE)</f>
        <v>全体攻撃+_x000D_１ターン全ユニットにスキルバインド</v>
      </c>
      <c r="F344" s="126">
        <v>49015343</v>
      </c>
      <c r="G344" s="48">
        <f ca="1">VLOOKUP($F344,OFFSET(enemy_skill_triggers!$A$1,0,0,COUNTA(enemy_skill_triggers!$A:$A),MATCH(G$1,enemy_skill_triggers!$1:$1,0)-MATCH($F$1,enemy_skill_triggers!$1:$1,0)+1),MATCH(G$1,enemy_skill_triggers!$1:$1,0)-MATCH($F$1,enemy_skill_triggers!$1:$1,0)+1,FALSE)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4" s="48">
        <f ca="1">VLOOKUP($F344,OFFSET(enemy_skill_triggers!$A$1,0,0,COUNTA(enemy_skill_triggers!$A:$A),MATCH(H$1,enemy_skill_triggers!$1:$1,0)-MATCH($F$1,enemy_skill_triggers!$1:$1,0)+1),MATCH(H$1,enemy_skill_triggers!$1:$1,0)-MATCH($F$1,enemy_skill_triggers!$1:$1,0)+1,FALSE)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44" s="48">
        <f ca="1">VLOOKUP($F344,OFFSET(enemy_skill_triggers!$A$1,0,0,COUNTA(enemy_skill_triggers!$A:$A),MATCH(I$1,enemy_skill_triggers!$1:$1,0)-MATCH($F$1,enemy_skill_triggers!$1:$1,0)+1),MATCH(I$1,enemy_skill_triggers!$1:$1,0)-MATCH($F$1,enemy_skill_triggers!$1:$1,0)+1,FALSE)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44" s="48" t="str">
        <f ca="1">VLOOKUP($F344,OFFSET(enemy_skill_triggers!$A$1,0,0,COUNTA(enemy_skill_triggers!$A:$A),MATCH(J$1,enemy_skill_triggers!$1:$1,0)-MATCH($F$1,enemy_skill_triggers!$1:$1,0)+1),MATCH(J$1,enemy_skill_triggers!$1:$1,0)-MATCH($F$1,enemy_skill_triggers!$1:$1,0)+1,FALSE)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4" s="48" t="str">
        <f ca="1">VLOOKUP($F344,OFFSET(enemy_skill_triggers!$A$1,0,0,COUNTA(enemy_skill_triggers!$A:$A),MATCH(K$1,enemy_skill_triggers!$1:$1,0)-MATCH($F$1,enemy_skill_triggers!$1:$1,0)+1),MATCH(K$1,enemy_skill_triggers!$1:$1,0)-MATCH($F$1,enemy_skill_triggers!$1:$1,0)+1,FALSE)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4" s="48" t="str">
        <f ca="1">VLOOKUP($F344,OFFSET(enemy_skill_triggers!$A$1,0,0,COUNTA(enemy_skill_triggers!$A:$A),MATCH(L$1,enemy_skill_triggers!$1:$1,0)-MATCH($F$1,enemy_skill_triggers!$1:$1,0)+1),MATCH(L$1,enemy_skill_triggers!$1:$1,0)-MATCH($F$1,enemy_skill_triggers!$1:$1,0)+1,FALSE)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4" s="48" t="str">
        <f ca="1">VLOOKUP($F344,OFFSET(enemy_skill_triggers!$A$1,0,0,COUNTA(enemy_skill_triggers!$A:$A),MATCH(M$1,enemy_skill_triggers!$1:$1,0)-MATCH($F$1,enemy_skill_triggers!$1:$1,0)+1),MATCH(M$1,enemy_skill_triggers!$1:$1,0)-MATCH($F$1,enemy_skill_triggers!$1:$1,0)+1,FALSE)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4" s="48" t="str">
        <f ca="1">VLOOKUP($F344,OFFSET(enemy_skill_triggers!$A$1,0,0,COUNTA(enemy_skill_triggers!$A:$A),MATCH(N$1,enemy_skill_triggers!$1:$1,0)-MATCH($F$1,enemy_skill_triggers!$1:$1,0)+1),MATCH(N$1,enemy_skill_triggers!$1:$1,0)-MATCH($F$1,enemy_skill_triggers!$1:$1,0)+1,FALSE)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4" s="48">
        <f ca="1">VLOOKUP($F344,OFFSET(enemy_skill_triggers!$A$1,0,0,COUNTA(enemy_skill_triggers!$A:$A),MATCH(O$1,enemy_skill_triggers!$1:$1,0)-MATCH($F$1,enemy_skill_triggers!$1:$1,0)+1),MATCH(O$1,enemy_skill_triggers!$1:$1,0)-MATCH($F$1,enemy_skill_triggers!$1:$1,0)+1,FALSE)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44" s="47"/>
      <c r="Q344" s="47"/>
      <c r="R344" s="47"/>
    </row>
    <row r="345" spans="1:18" ht="21" customHeight="1" x14ac:dyDescent="0.15">
      <c r="A345" s="39" t="str">
        <f t="shared" si="5"/>
        <v>49015027_49015258</v>
      </c>
      <c r="B345" s="106">
        <v>49015027</v>
      </c>
      <c r="C345" s="126">
        <v>49015258</v>
      </c>
      <c r="D345" s="46" t="str">
        <f ca="1">VLOOKUP($C345,OFFSET(enemy_skills!$A$1,0,0,COUNTA(enemy_skills!$A:$A),MATCH(D$1,enemy_skills!$1:$1,0)-MATCH("enemy_skill_id",enemy_skills!$1:$1,0)+1),MATCH(D$1,enemy_skills!$1:$1,0)-MATCH("enemy_skill_id",enemy_skills!$1:$1,0)+1,FALSE)</f>
        <v>逃がしませんよ</v>
      </c>
      <c r="E345" s="46" t="str">
        <f ca="1">VLOOKUP($C345,OFFSET(enemy_skills!$A$1,0,0,COUNTA(enemy_skills!$A:$A),MATCH(E$1,enemy_skills!$1:$1,0)-MATCH("enemy_skill_id",enemy_skills!$1:$1,0)+1),MATCH(E$1,enemy_skills!$1:$1,0)-MATCH("enemy_skill_id",enemy_skills!$1:$1,0)+1,FALSE)</f>
        <v>単体攻撃+_x000D_フィーバーゲージ10%減少</v>
      </c>
      <c r="F345" s="126">
        <v>49015344</v>
      </c>
      <c r="G345" s="48">
        <f ca="1">VLOOKUP($F345,OFFSET(enemy_skill_triggers!$A$1,0,0,COUNTA(enemy_skill_triggers!$A:$A),MATCH(G$1,enemy_skill_triggers!$1:$1,0)-MATCH($F$1,enemy_skill_triggers!$1:$1,0)+1),MATCH(G$1,enemy_skill_triggers!$1:$1,0)-MATCH($F$1,enemy_skill_triggers!$1:$1,0)+1,FALSE)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5" s="48">
        <f ca="1">VLOOKUP($F345,OFFSET(enemy_skill_triggers!$A$1,0,0,COUNTA(enemy_skill_triggers!$A:$A),MATCH(H$1,enemy_skill_triggers!$1:$1,0)-MATCH($F$1,enemy_skill_triggers!$1:$1,0)+1),MATCH(H$1,enemy_skill_triggers!$1:$1,0)-MATCH($F$1,enemy_skill_triggers!$1:$1,0)+1,FALSE)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345" s="48">
        <f ca="1">VLOOKUP($F345,OFFSET(enemy_skill_triggers!$A$1,0,0,COUNTA(enemy_skill_triggers!$A:$A),MATCH(I$1,enemy_skill_triggers!$1:$1,0)-MATCH($F$1,enemy_skill_triggers!$1:$1,0)+1),MATCH(I$1,enemy_skill_triggers!$1:$1,0)-MATCH($F$1,enemy_skill_triggers!$1:$1,0)+1,FALSE)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45" s="48" t="str">
        <f ca="1">VLOOKUP($F345,OFFSET(enemy_skill_triggers!$A$1,0,0,COUNTA(enemy_skill_triggers!$A:$A),MATCH(J$1,enemy_skill_triggers!$1:$1,0)-MATCH($F$1,enemy_skill_triggers!$1:$1,0)+1),MATCH(J$1,enemy_skill_triggers!$1:$1,0)-MATCH($F$1,enemy_skill_triggers!$1:$1,0)+1,FALSE)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5" s="48" t="str">
        <f ca="1">VLOOKUP($F345,OFFSET(enemy_skill_triggers!$A$1,0,0,COUNTA(enemy_skill_triggers!$A:$A),MATCH(K$1,enemy_skill_triggers!$1:$1,0)-MATCH($F$1,enemy_skill_triggers!$1:$1,0)+1),MATCH(K$1,enemy_skill_triggers!$1:$1,0)-MATCH($F$1,enemy_skill_triggers!$1:$1,0)+1,FALSE)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5" s="48" t="str">
        <f ca="1">VLOOKUP($F345,OFFSET(enemy_skill_triggers!$A$1,0,0,COUNTA(enemy_skill_triggers!$A:$A),MATCH(L$1,enemy_skill_triggers!$1:$1,0)-MATCH($F$1,enemy_skill_triggers!$1:$1,0)+1),MATCH(L$1,enemy_skill_triggers!$1:$1,0)-MATCH($F$1,enemy_skill_triggers!$1:$1,0)+1,FALSE)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5" s="48" t="str">
        <f ca="1">VLOOKUP($F345,OFFSET(enemy_skill_triggers!$A$1,0,0,COUNTA(enemy_skill_triggers!$A:$A),MATCH(M$1,enemy_skill_triggers!$1:$1,0)-MATCH($F$1,enemy_skill_triggers!$1:$1,0)+1),MATCH(M$1,enemy_skill_triggers!$1:$1,0)-MATCH($F$1,enemy_skill_triggers!$1:$1,0)+1,FALSE)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5" s="48" t="str">
        <f ca="1">VLOOKUP($F345,OFFSET(enemy_skill_triggers!$A$1,0,0,COUNTA(enemy_skill_triggers!$A:$A),MATCH(N$1,enemy_skill_triggers!$1:$1,0)-MATCH($F$1,enemy_skill_triggers!$1:$1,0)+1),MATCH(N$1,enemy_skill_triggers!$1:$1,0)-MATCH($F$1,enemy_skill_triggers!$1:$1,0)+1,FALSE)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5" s="48">
        <f ca="1">VLOOKUP($F345,OFFSET(enemy_skill_triggers!$A$1,0,0,COUNTA(enemy_skill_triggers!$A:$A),MATCH(O$1,enemy_skill_triggers!$1:$1,0)-MATCH($F$1,enemy_skill_triggers!$1:$1,0)+1),MATCH(O$1,enemy_skill_triggers!$1:$1,0)-MATCH($F$1,enemy_skill_triggers!$1:$1,0)+1,FALSE)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45" s="47"/>
      <c r="Q345" s="47"/>
      <c r="R345" s="47"/>
    </row>
    <row r="346" spans="1:18" ht="21" customHeight="1" x14ac:dyDescent="0.15">
      <c r="A346" s="39" t="str">
        <f t="shared" si="5"/>
        <v>49015027_49015259</v>
      </c>
      <c r="B346" s="106">
        <v>49015027</v>
      </c>
      <c r="C346" s="126">
        <v>49015259</v>
      </c>
      <c r="D346" s="46" t="str">
        <f ca="1">VLOOKUP($C346,OFFSET(enemy_skills!$A$1,0,0,COUNTA(enemy_skills!$A:$A),MATCH(D$1,enemy_skills!$1:$1,0)-MATCH("enemy_skill_id",enemy_skills!$1:$1,0)+1),MATCH(D$1,enemy_skills!$1:$1,0)-MATCH("enemy_skill_id",enemy_skills!$1:$1,0)+1,FALSE)</f>
        <v>油断はしませんよ</v>
      </c>
      <c r="E346" s="46" t="str">
        <f ca="1">VLOOKUP($C346,OFFSET(enemy_skills!$A$1,0,0,COUNTA(enemy_skills!$A:$A),MATCH(E$1,enemy_skills!$1:$1,0)-MATCH("enemy_skill_id",enemy_skills!$1:$1,0)+1),MATCH(E$1,enemy_skills!$1:$1,0)-MATCH("enemy_skill_id",enemy_skills!$1:$1,0)+1,FALSE)</f>
        <v>単体攻撃+_x000D_ランダムで赤のダメージパネルに最大2個変換</v>
      </c>
      <c r="F346" s="126">
        <v>49015345</v>
      </c>
      <c r="G346" s="48">
        <f ca="1">VLOOKUP($F346,OFFSET(enemy_skill_triggers!$A$1,0,0,COUNTA(enemy_skill_triggers!$A:$A),MATCH(G$1,enemy_skill_triggers!$1:$1,0)-MATCH($F$1,enemy_skill_triggers!$1:$1,0)+1),MATCH(G$1,enemy_skill_triggers!$1:$1,0)-MATCH($F$1,enemy_skill_triggers!$1:$1,0)+1,FALSE)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6" s="48">
        <f ca="1">VLOOKUP($F346,OFFSET(enemy_skill_triggers!$A$1,0,0,COUNTA(enemy_skill_triggers!$A:$A),MATCH(H$1,enemy_skill_triggers!$1:$1,0)-MATCH($F$1,enemy_skill_triggers!$1:$1,0)+1),MATCH(H$1,enemy_skill_triggers!$1:$1,0)-MATCH($F$1,enemy_skill_triggers!$1:$1,0)+1,FALSE)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46" s="48">
        <f ca="1">VLOOKUP($F346,OFFSET(enemy_skill_triggers!$A$1,0,0,COUNTA(enemy_skill_triggers!$A:$A),MATCH(I$1,enemy_skill_triggers!$1:$1,0)-MATCH($F$1,enemy_skill_triggers!$1:$1,0)+1),MATCH(I$1,enemy_skill_triggers!$1:$1,0)-MATCH($F$1,enemy_skill_triggers!$1:$1,0)+1,FALSE)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6" s="48" t="str">
        <f ca="1">VLOOKUP($F346,OFFSET(enemy_skill_triggers!$A$1,0,0,COUNTA(enemy_skill_triggers!$A:$A),MATCH(J$1,enemy_skill_triggers!$1:$1,0)-MATCH($F$1,enemy_skill_triggers!$1:$1,0)+1),MATCH(J$1,enemy_skill_triggers!$1:$1,0)-MATCH($F$1,enemy_skill_triggers!$1:$1,0)+1,FALSE)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6" s="48" t="str">
        <f ca="1">VLOOKUP($F346,OFFSET(enemy_skill_triggers!$A$1,0,0,COUNTA(enemy_skill_triggers!$A:$A),MATCH(K$1,enemy_skill_triggers!$1:$1,0)-MATCH($F$1,enemy_skill_triggers!$1:$1,0)+1),MATCH(K$1,enemy_skill_triggers!$1:$1,0)-MATCH($F$1,enemy_skill_triggers!$1:$1,0)+1,FALSE)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6" s="48" t="str">
        <f ca="1">VLOOKUP($F346,OFFSET(enemy_skill_triggers!$A$1,0,0,COUNTA(enemy_skill_triggers!$A:$A),MATCH(L$1,enemy_skill_triggers!$1:$1,0)-MATCH($F$1,enemy_skill_triggers!$1:$1,0)+1),MATCH(L$1,enemy_skill_triggers!$1:$1,0)-MATCH($F$1,enemy_skill_triggers!$1:$1,0)+1,FALSE)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6" s="48" t="str">
        <f ca="1">VLOOKUP($F346,OFFSET(enemy_skill_triggers!$A$1,0,0,COUNTA(enemy_skill_triggers!$A:$A),MATCH(M$1,enemy_skill_triggers!$1:$1,0)-MATCH($F$1,enemy_skill_triggers!$1:$1,0)+1),MATCH(M$1,enemy_skill_triggers!$1:$1,0)-MATCH($F$1,enemy_skill_triggers!$1:$1,0)+1,FALSE)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6" s="48" t="str">
        <f ca="1">VLOOKUP($F346,OFFSET(enemy_skill_triggers!$A$1,0,0,COUNTA(enemy_skill_triggers!$A:$A),MATCH(N$1,enemy_skill_triggers!$1:$1,0)-MATCH($F$1,enemy_skill_triggers!$1:$1,0)+1),MATCH(N$1,enemy_skill_triggers!$1:$1,0)-MATCH($F$1,enemy_skill_triggers!$1:$1,0)+1,FALSE)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6" s="48">
        <f ca="1">VLOOKUP($F346,OFFSET(enemy_skill_triggers!$A$1,0,0,COUNTA(enemy_skill_triggers!$A:$A),MATCH(O$1,enemy_skill_triggers!$1:$1,0)-MATCH($F$1,enemy_skill_triggers!$1:$1,0)+1),MATCH(O$1,enemy_skill_triggers!$1:$1,0)-MATCH($F$1,enemy_skill_triggers!$1:$1,0)+1,FALSE)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6" s="47"/>
      <c r="Q346" s="47"/>
      <c r="R346" s="47"/>
    </row>
    <row r="347" spans="1:18" ht="21" customHeight="1" x14ac:dyDescent="0.15">
      <c r="A347" s="39" t="str">
        <f t="shared" si="5"/>
        <v>49015027_49015260</v>
      </c>
      <c r="B347" s="106">
        <v>49015027</v>
      </c>
      <c r="C347" s="126">
        <v>49015260</v>
      </c>
      <c r="D347" s="46" t="str">
        <f ca="1">VLOOKUP($C347,OFFSET(enemy_skills!$A$1,0,0,COUNTA(enemy_skills!$A:$A),MATCH(D$1,enemy_skills!$1:$1,0)-MATCH("enemy_skill_id",enemy_skills!$1:$1,0)+1),MATCH(D$1,enemy_skills!$1:$1,0)-MATCH("enemy_skill_id",enemy_skills!$1:$1,0)+1,FALSE)</f>
        <v>傲慢</v>
      </c>
      <c r="E347" s="46" t="str">
        <f ca="1">VLOOKUP($C347,OFFSET(enemy_skills!$A$1,0,0,COUNTA(enemy_skills!$A:$A),MATCH(E$1,enemy_skills!$1:$1,0)-MATCH("enemy_skill_id",enemy_skills!$1:$1,0)+1),MATCH(E$1,enemy_skills!$1:$1,0)-MATCH("enemy_skill_id",enemy_skills!$1:$1,0)+1,FALSE)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</v>
      </c>
      <c r="F347" s="126">
        <v>49015346</v>
      </c>
      <c r="G347" s="48">
        <f ca="1">VLOOKUP($F347,OFFSET(enemy_skill_triggers!$A$1,0,0,COUNTA(enemy_skill_triggers!$A:$A),MATCH(G$1,enemy_skill_triggers!$1:$1,0)-MATCH($F$1,enemy_skill_triggers!$1:$1,0)+1),MATCH(G$1,enemy_skill_triggers!$1:$1,0)-MATCH($F$1,enemy_skill_triggers!$1:$1,0)+1,FALSE)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7" s="48">
        <f ca="1">VLOOKUP($F347,OFFSET(enemy_skill_triggers!$A$1,0,0,COUNTA(enemy_skill_triggers!$A:$A),MATCH(H$1,enemy_skill_triggers!$1:$1,0)-MATCH($F$1,enemy_skill_triggers!$1:$1,0)+1),MATCH(H$1,enemy_skill_triggers!$1:$1,0)-MATCH($F$1,enemy_skill_triggers!$1:$1,0)+1,FALSE)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47" s="48">
        <f ca="1">VLOOKUP($F347,OFFSET(enemy_skill_triggers!$A$1,0,0,COUNTA(enemy_skill_triggers!$A:$A),MATCH(I$1,enemy_skill_triggers!$1:$1,0)-MATCH($F$1,enemy_skill_triggers!$1:$1,0)+1),MATCH(I$1,enemy_skill_triggers!$1:$1,0)-MATCH($F$1,enemy_skill_triggers!$1:$1,0)+1,FALSE)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7" s="48" t="str">
        <f ca="1">VLOOKUP($F347,OFFSET(enemy_skill_triggers!$A$1,0,0,COUNTA(enemy_skill_triggers!$A:$A),MATCH(J$1,enemy_skill_triggers!$1:$1,0)-MATCH($F$1,enemy_skill_triggers!$1:$1,0)+1),MATCH(J$1,enemy_skill_triggers!$1:$1,0)-MATCH($F$1,enemy_skill_triggers!$1:$1,0)+1,FALSE)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7" s="48" t="str">
        <f ca="1">VLOOKUP($F347,OFFSET(enemy_skill_triggers!$A$1,0,0,COUNTA(enemy_skill_triggers!$A:$A),MATCH(K$1,enemy_skill_triggers!$1:$1,0)-MATCH($F$1,enemy_skill_triggers!$1:$1,0)+1),MATCH(K$1,enemy_skill_triggers!$1:$1,0)-MATCH($F$1,enemy_skill_triggers!$1:$1,0)+1,FALSE)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7" s="48">
        <f ca="1">VLOOKUP($F347,OFFSET(enemy_skill_triggers!$A$1,0,0,COUNTA(enemy_skill_triggers!$A:$A),MATCH(L$1,enemy_skill_triggers!$1:$1,0)-MATCH($F$1,enemy_skill_triggers!$1:$1,0)+1),MATCH(L$1,enemy_skill_triggers!$1:$1,0)-MATCH($F$1,enemy_skill_triggers!$1:$1,0)+1,FALSE)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47" s="48">
        <f ca="1">VLOOKUP($F347,OFFSET(enemy_skill_triggers!$A$1,0,0,COUNTA(enemy_skill_triggers!$A:$A),MATCH(M$1,enemy_skill_triggers!$1:$1,0)-MATCH($F$1,enemy_skill_triggers!$1:$1,0)+1),MATCH(M$1,enemy_skill_triggers!$1:$1,0)-MATCH($F$1,enemy_skill_triggers!$1:$1,0)+1,FALSE)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47" s="48" t="str">
        <f ca="1">VLOOKUP($F347,OFFSET(enemy_skill_triggers!$A$1,0,0,COUNTA(enemy_skill_triggers!$A:$A),MATCH(N$1,enemy_skill_triggers!$1:$1,0)-MATCH($F$1,enemy_skill_triggers!$1:$1,0)+1),MATCH(N$1,enemy_skill_triggers!$1:$1,0)-MATCH($F$1,enemy_skill_triggers!$1:$1,0)+1,FALSE)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7" s="48">
        <f ca="1">VLOOKUP($F347,OFFSET(enemy_skill_triggers!$A$1,0,0,COUNTA(enemy_skill_triggers!$A:$A),MATCH(O$1,enemy_skill_triggers!$1:$1,0)-MATCH($F$1,enemy_skill_triggers!$1:$1,0)+1),MATCH(O$1,enemy_skill_triggers!$1:$1,0)-MATCH($F$1,enemy_skill_triggers!$1:$1,0)+1,FALSE)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7" s="47"/>
      <c r="Q347" s="47"/>
      <c r="R347" s="47"/>
    </row>
    <row r="348" spans="1:18" ht="21" customHeight="1" x14ac:dyDescent="0.15">
      <c r="A348" s="39" t="str">
        <f t="shared" si="5"/>
        <v>49015027_49015261</v>
      </c>
      <c r="B348" s="106">
        <v>49015027</v>
      </c>
      <c r="C348" s="126">
        <v>49015261</v>
      </c>
      <c r="D348" s="46" t="str">
        <f ca="1">VLOOKUP($C348,OFFSET(enemy_skills!$A$1,0,0,COUNTA(enemy_skills!$A:$A),MATCH(D$1,enemy_skills!$1:$1,0)-MATCH("enemy_skill_id",enemy_skills!$1:$1,0)+1),MATCH(D$1,enemy_skills!$1:$1,0)-MATCH("enemy_skill_id",enemy_skills!$1:$1,0)+1,FALSE)</f>
        <v>這い寄る暗闇</v>
      </c>
      <c r="E348" s="46" t="str">
        <f ca="1">VLOOKUP($C348,OFFSET(enemy_skills!$A$1,0,0,COUNTA(enemy_skills!$A:$A),MATCH(E$1,enemy_skills!$1:$1,0)-MATCH("enemy_skill_id",enemy_skills!$1:$1,0)+1),MATCH(E$1,enemy_skills!$1:$1,0)-MATCH("enemy_skill_id",enemy_skills!$1:$1,0)+1,FALSE)</f>
        <v>残りHPの20%ダメージ！</v>
      </c>
      <c r="F348" s="126">
        <v>49015347</v>
      </c>
      <c r="G348" s="48">
        <f ca="1">VLOOKUP($F348,OFFSET(enemy_skill_triggers!$A$1,0,0,COUNTA(enemy_skill_triggers!$A:$A),MATCH(G$1,enemy_skill_triggers!$1:$1,0)-MATCH($F$1,enemy_skill_triggers!$1:$1,0)+1),MATCH(G$1,enemy_skill_triggers!$1:$1,0)-MATCH($F$1,enemy_skill_triggers!$1:$1,0)+1,FALSE)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8" s="48">
        <f ca="1">VLOOKUP($F348,OFFSET(enemy_skill_triggers!$A$1,0,0,COUNTA(enemy_skill_triggers!$A:$A),MATCH(H$1,enemy_skill_triggers!$1:$1,0)-MATCH($F$1,enemy_skill_triggers!$1:$1,0)+1),MATCH(H$1,enemy_skill_triggers!$1:$1,0)-MATCH($F$1,enemy_skill_triggers!$1:$1,0)+1,FALSE)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48" s="48">
        <f ca="1">VLOOKUP($F348,OFFSET(enemy_skill_triggers!$A$1,0,0,COUNTA(enemy_skill_triggers!$A:$A),MATCH(I$1,enemy_skill_triggers!$1:$1,0)-MATCH($F$1,enemy_skill_triggers!$1:$1,0)+1),MATCH(I$1,enemy_skill_triggers!$1:$1,0)-MATCH($F$1,enemy_skill_triggers!$1:$1,0)+1,FALSE)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8" s="48" t="str">
        <f ca="1">VLOOKUP($F348,OFFSET(enemy_skill_triggers!$A$1,0,0,COUNTA(enemy_skill_triggers!$A:$A),MATCH(J$1,enemy_skill_triggers!$1:$1,0)-MATCH($F$1,enemy_skill_triggers!$1:$1,0)+1),MATCH(J$1,enemy_skill_triggers!$1:$1,0)-MATCH($F$1,enemy_skill_triggers!$1:$1,0)+1,FALSE)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8" s="48" t="str">
        <f ca="1">VLOOKUP($F348,OFFSET(enemy_skill_triggers!$A$1,0,0,COUNTA(enemy_skill_triggers!$A:$A),MATCH(K$1,enemy_skill_triggers!$1:$1,0)-MATCH($F$1,enemy_skill_triggers!$1:$1,0)+1),MATCH(K$1,enemy_skill_triggers!$1:$1,0)-MATCH($F$1,enemy_skill_triggers!$1:$1,0)+1,FALSE)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8" s="48" t="str">
        <f ca="1">VLOOKUP($F348,OFFSET(enemy_skill_triggers!$A$1,0,0,COUNTA(enemy_skill_triggers!$A:$A),MATCH(L$1,enemy_skill_triggers!$1:$1,0)-MATCH($F$1,enemy_skill_triggers!$1:$1,0)+1),MATCH(L$1,enemy_skill_triggers!$1:$1,0)-MATCH($F$1,enemy_skill_triggers!$1:$1,0)+1,FALSE)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8" s="48">
        <f ca="1">VLOOKUP($F348,OFFSET(enemy_skill_triggers!$A$1,0,0,COUNTA(enemy_skill_triggers!$A:$A),MATCH(M$1,enemy_skill_triggers!$1:$1,0)-MATCH($F$1,enemy_skill_triggers!$1:$1,0)+1),MATCH(M$1,enemy_skill_triggers!$1:$1,0)-MATCH($F$1,enemy_skill_triggers!$1:$1,0)+1,FALSE)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48" s="48" t="str">
        <f ca="1">VLOOKUP($F348,OFFSET(enemy_skill_triggers!$A$1,0,0,COUNTA(enemy_skill_triggers!$A:$A),MATCH(N$1,enemy_skill_triggers!$1:$1,0)-MATCH($F$1,enemy_skill_triggers!$1:$1,0)+1),MATCH(N$1,enemy_skill_triggers!$1:$1,0)-MATCH($F$1,enemy_skill_triggers!$1:$1,0)+1,FALSE)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8" s="48">
        <f ca="1">VLOOKUP($F348,OFFSET(enemy_skill_triggers!$A$1,0,0,COUNTA(enemy_skill_triggers!$A:$A),MATCH(O$1,enemy_skill_triggers!$1:$1,0)-MATCH($F$1,enemy_skill_triggers!$1:$1,0)+1),MATCH(O$1,enemy_skill_triggers!$1:$1,0)-MATCH($F$1,enemy_skill_triggers!$1:$1,0)+1,FALSE)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8" s="47"/>
      <c r="Q348" s="47"/>
      <c r="R348" s="47"/>
    </row>
    <row r="349" spans="1:18" ht="21" customHeight="1" x14ac:dyDescent="0.15">
      <c r="A349" s="39" t="str">
        <f t="shared" si="5"/>
        <v>49015027_49015262</v>
      </c>
      <c r="B349" s="106">
        <v>49015027</v>
      </c>
      <c r="C349" s="126">
        <v>49015262</v>
      </c>
      <c r="D349" s="46" t="str">
        <f ca="1">VLOOKUP($C349,OFFSET(enemy_skills!$A$1,0,0,COUNTA(enemy_skills!$A:$A),MATCH(D$1,enemy_skills!$1:$1,0)-MATCH("enemy_skill_id",enemy_skills!$1:$1,0)+1),MATCH(D$1,enemy_skills!$1:$1,0)-MATCH("enemy_skill_id",enemy_skills!$1:$1,0)+1,FALSE)</f>
        <v>約束の日が…</v>
      </c>
      <c r="E349" s="46" t="str">
        <f ca="1">VLOOKUP($C349,OFFSET(enemy_skills!$A$1,0,0,COUNTA(enemy_skills!$A:$A),MATCH(E$1,enemy_skills!$1:$1,0)-MATCH("enemy_skill_id",enemy_skills!$1:$1,0)+1),MATCH(E$1,enemy_skills!$1:$1,0)-MATCH("enemy_skill_id",enemy_skills!$1:$1,0)+1,FALSE)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349" s="126">
        <v>49015348</v>
      </c>
      <c r="G349" s="48">
        <f ca="1">VLOOKUP($F349,OFFSET(enemy_skill_triggers!$A$1,0,0,COUNTA(enemy_skill_triggers!$A:$A),MATCH(G$1,enemy_skill_triggers!$1:$1,0)-MATCH($F$1,enemy_skill_triggers!$1:$1,0)+1),MATCH(G$1,enemy_skill_triggers!$1:$1,0)-MATCH($F$1,enemy_skill_triggers!$1:$1,0)+1,FALSE)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9" s="48">
        <f ca="1">VLOOKUP($F349,OFFSET(enemy_skill_triggers!$A$1,0,0,COUNTA(enemy_skill_triggers!$A:$A),MATCH(H$1,enemy_skill_triggers!$1:$1,0)-MATCH($F$1,enemy_skill_triggers!$1:$1,0)+1),MATCH(H$1,enemy_skill_triggers!$1:$1,0)-MATCH($F$1,enemy_skill_triggers!$1:$1,0)+1,FALSE)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349" s="48">
        <f ca="1">VLOOKUP($F349,OFFSET(enemy_skill_triggers!$A$1,0,0,COUNTA(enemy_skill_triggers!$A:$A),MATCH(I$1,enemy_skill_triggers!$1:$1,0)-MATCH($F$1,enemy_skill_triggers!$1:$1,0)+1),MATCH(I$1,enemy_skill_triggers!$1:$1,0)-MATCH($F$1,enemy_skill_triggers!$1:$1,0)+1,FALSE)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9" s="48" t="str">
        <f ca="1">VLOOKUP($F349,OFFSET(enemy_skill_triggers!$A$1,0,0,COUNTA(enemy_skill_triggers!$A:$A),MATCH(J$1,enemy_skill_triggers!$1:$1,0)-MATCH($F$1,enemy_skill_triggers!$1:$1,0)+1),MATCH(J$1,enemy_skill_triggers!$1:$1,0)-MATCH($F$1,enemy_skill_triggers!$1:$1,0)+1,FALSE)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9" s="48" t="str">
        <f ca="1">VLOOKUP($F349,OFFSET(enemy_skill_triggers!$A$1,0,0,COUNTA(enemy_skill_triggers!$A:$A),MATCH(K$1,enemy_skill_triggers!$1:$1,0)-MATCH($F$1,enemy_skill_triggers!$1:$1,0)+1),MATCH(K$1,enemy_skill_triggers!$1:$1,0)-MATCH($F$1,enemy_skill_triggers!$1:$1,0)+1,FALSE)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9" s="48">
        <f ca="1">VLOOKUP($F349,OFFSET(enemy_skill_triggers!$A$1,0,0,COUNTA(enemy_skill_triggers!$A:$A),MATCH(L$1,enemy_skill_triggers!$1:$1,0)-MATCH($F$1,enemy_skill_triggers!$1:$1,0)+1),MATCH(L$1,enemy_skill_triggers!$1:$1,0)-MATCH($F$1,enemy_skill_triggers!$1:$1,0)+1,FALSE)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49" s="48" t="str">
        <f ca="1">VLOOKUP($F349,OFFSET(enemy_skill_triggers!$A$1,0,0,COUNTA(enemy_skill_triggers!$A:$A),MATCH(M$1,enemy_skill_triggers!$1:$1,0)-MATCH($F$1,enemy_skill_triggers!$1:$1,0)+1),MATCH(M$1,enemy_skill_triggers!$1:$1,0)-MATCH($F$1,enemy_skill_triggers!$1:$1,0)+1,FALSE)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9" s="48">
        <f ca="1">VLOOKUP($F349,OFFSET(enemy_skill_triggers!$A$1,0,0,COUNTA(enemy_skill_triggers!$A:$A),MATCH(N$1,enemy_skill_triggers!$1:$1,0)-MATCH($F$1,enemy_skill_triggers!$1:$1,0)+1),MATCH(N$1,enemy_skill_triggers!$1:$1,0)-MATCH($F$1,enemy_skill_triggers!$1:$1,0)+1,FALSE)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49" s="48">
        <f ca="1">VLOOKUP($F349,OFFSET(enemy_skill_triggers!$A$1,0,0,COUNTA(enemy_skill_triggers!$A:$A),MATCH(O$1,enemy_skill_triggers!$1:$1,0)-MATCH($F$1,enemy_skill_triggers!$1:$1,0)+1),MATCH(O$1,enemy_skill_triggers!$1:$1,0)-MATCH($F$1,enemy_skill_triggers!$1:$1,0)+1,FALSE)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9" s="47"/>
      <c r="Q349" s="47"/>
      <c r="R349" s="47"/>
    </row>
    <row r="350" spans="1:18" ht="21" customHeight="1" x14ac:dyDescent="0.15">
      <c r="A350" s="39" t="str">
        <f t="shared" si="5"/>
        <v>49015027_49015263</v>
      </c>
      <c r="B350" s="106">
        <v>49015027</v>
      </c>
      <c r="C350" s="126">
        <v>49015263</v>
      </c>
      <c r="D350" s="46" t="str">
        <f ca="1">VLOOKUP($C350,OFFSET(enemy_skills!$A$1,0,0,COUNTA(enemy_skills!$A:$A),MATCH(D$1,enemy_skills!$1:$1,0)-MATCH("enemy_skill_id",enemy_skills!$1:$1,0)+1),MATCH(D$1,enemy_skills!$1:$1,0)-MATCH("enemy_skill_id",enemy_skills!$1:$1,0)+1,FALSE)</f>
        <v>侮りすぎました…</v>
      </c>
      <c r="E350" s="46" t="str">
        <f ca="1">VLOOKUP($C350,OFFSET(enemy_skills!$A$1,0,0,COUNTA(enemy_skills!$A:$A),MATCH(E$1,enemy_skills!$1:$1,0)-MATCH("enemy_skill_id",enemy_skills!$1:$1,0)+1),MATCH(E$1,enemy_skills!$1:$1,0)-MATCH("enemy_skill_id",enemy_skills!$1:$1,0)+1,FALSE)</f>
        <v>さすが…人柱…</v>
      </c>
      <c r="F350" s="126">
        <v>49015349</v>
      </c>
      <c r="G350" s="48">
        <f ca="1">VLOOKUP($F350,OFFSET(enemy_skill_triggers!$A$1,0,0,COUNTA(enemy_skill_triggers!$A:$A),MATCH(G$1,enemy_skill_triggers!$1:$1,0)-MATCH($F$1,enemy_skill_triggers!$1:$1,0)+1),MATCH(G$1,enemy_skill_triggers!$1:$1,0)-MATCH($F$1,enemy_skill_triggers!$1:$1,0)+1,FALSE)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0" s="48">
        <f ca="1">VLOOKUP($F350,OFFSET(enemy_skill_triggers!$A$1,0,0,COUNTA(enemy_skill_triggers!$A:$A),MATCH(H$1,enemy_skill_triggers!$1:$1,0)-MATCH($F$1,enemy_skill_triggers!$1:$1,0)+1),MATCH(H$1,enemy_skill_triggers!$1:$1,0)-MATCH($F$1,enemy_skill_triggers!$1:$1,0)+1,FALSE)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50" s="48">
        <f ca="1">VLOOKUP($F350,OFFSET(enemy_skill_triggers!$A$1,0,0,COUNTA(enemy_skill_triggers!$A:$A),MATCH(I$1,enemy_skill_triggers!$1:$1,0)-MATCH($F$1,enemy_skill_triggers!$1:$1,0)+1),MATCH(I$1,enemy_skill_triggers!$1:$1,0)-MATCH($F$1,enemy_skill_triggers!$1:$1,0)+1,FALSE)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0" s="48" t="str">
        <f ca="1">VLOOKUP($F350,OFFSET(enemy_skill_triggers!$A$1,0,0,COUNTA(enemy_skill_triggers!$A:$A),MATCH(J$1,enemy_skill_triggers!$1:$1,0)-MATCH($F$1,enemy_skill_triggers!$1:$1,0)+1),MATCH(J$1,enemy_skill_triggers!$1:$1,0)-MATCH($F$1,enemy_skill_triggers!$1:$1,0)+1,FALSE)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0" s="48" t="str">
        <f ca="1">VLOOKUP($F350,OFFSET(enemy_skill_triggers!$A$1,0,0,COUNTA(enemy_skill_triggers!$A:$A),MATCH(K$1,enemy_skill_triggers!$1:$1,0)-MATCH($F$1,enemy_skill_triggers!$1:$1,0)+1),MATCH(K$1,enemy_skill_triggers!$1:$1,0)-MATCH($F$1,enemy_skill_triggers!$1:$1,0)+1,FALSE)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0" s="48">
        <f ca="1">VLOOKUP($F350,OFFSET(enemy_skill_triggers!$A$1,0,0,COUNTA(enemy_skill_triggers!$A:$A),MATCH(L$1,enemy_skill_triggers!$1:$1,0)-MATCH($F$1,enemy_skill_triggers!$1:$1,0)+1),MATCH(L$1,enemy_skill_triggers!$1:$1,0)-MATCH($F$1,enemy_skill_triggers!$1:$1,0)+1,FALSE)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50" s="48" t="str">
        <f ca="1">VLOOKUP($F350,OFFSET(enemy_skill_triggers!$A$1,0,0,COUNTA(enemy_skill_triggers!$A:$A),MATCH(M$1,enemy_skill_triggers!$1:$1,0)-MATCH($F$1,enemy_skill_triggers!$1:$1,0)+1),MATCH(M$1,enemy_skill_triggers!$1:$1,0)-MATCH($F$1,enemy_skill_triggers!$1:$1,0)+1,FALSE)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0" s="48">
        <f ca="1">VLOOKUP($F350,OFFSET(enemy_skill_triggers!$A$1,0,0,COUNTA(enemy_skill_triggers!$A:$A),MATCH(N$1,enemy_skill_triggers!$1:$1,0)-MATCH($F$1,enemy_skill_triggers!$1:$1,0)+1),MATCH(N$1,enemy_skill_triggers!$1:$1,0)-MATCH($F$1,enemy_skill_triggers!$1:$1,0)+1,FALSE)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350" s="48">
        <f ca="1">VLOOKUP($F350,OFFSET(enemy_skill_triggers!$A$1,0,0,COUNTA(enemy_skill_triggers!$A:$A),MATCH(O$1,enemy_skill_triggers!$1:$1,0)-MATCH($F$1,enemy_skill_triggers!$1:$1,0)+1),MATCH(O$1,enemy_skill_triggers!$1:$1,0)-MATCH($F$1,enemy_skill_triggers!$1:$1,0)+1,FALSE)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0" s="47"/>
      <c r="Q350" s="47"/>
      <c r="R350" s="47"/>
    </row>
    <row r="351" spans="1:18" ht="21" customHeight="1" x14ac:dyDescent="0.15">
      <c r="A351" s="39" t="str">
        <f t="shared" si="5"/>
        <v>49015027_49015263</v>
      </c>
      <c r="B351" s="106">
        <v>49015027</v>
      </c>
      <c r="C351" s="126">
        <v>49015263</v>
      </c>
      <c r="D351" s="46" t="str">
        <f ca="1">VLOOKUP($C351,OFFSET(enemy_skills!$A$1,0,0,COUNTA(enemy_skills!$A:$A),MATCH(D$1,enemy_skills!$1:$1,0)-MATCH("enemy_skill_id",enemy_skills!$1:$1,0)+1),MATCH(D$1,enemy_skills!$1:$1,0)-MATCH("enemy_skill_id",enemy_skills!$1:$1,0)+1,FALSE)</f>
        <v>侮りすぎました…</v>
      </c>
      <c r="E351" s="46" t="str">
        <f ca="1">VLOOKUP($C351,OFFSET(enemy_skills!$A$1,0,0,COUNTA(enemy_skills!$A:$A),MATCH(E$1,enemy_skills!$1:$1,0)-MATCH("enemy_skill_id",enemy_skills!$1:$1,0)+1),MATCH(E$1,enemy_skills!$1:$1,0)-MATCH("enemy_skill_id",enemy_skills!$1:$1,0)+1,FALSE)</f>
        <v>さすが…人柱…</v>
      </c>
      <c r="F351" s="126">
        <v>49015350</v>
      </c>
      <c r="G351" s="48">
        <f ca="1">VLOOKUP($F351,OFFSET(enemy_skill_triggers!$A$1,0,0,COUNTA(enemy_skill_triggers!$A:$A),MATCH(G$1,enemy_skill_triggers!$1:$1,0)-MATCH($F$1,enemy_skill_triggers!$1:$1,0)+1),MATCH(G$1,enemy_skill_triggers!$1:$1,0)-MATCH($F$1,enemy_skill_triggers!$1:$1,0)+1,FALSE)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1" s="48">
        <f ca="1">VLOOKUP($F351,OFFSET(enemy_skill_triggers!$A$1,0,0,COUNTA(enemy_skill_triggers!$A:$A),MATCH(H$1,enemy_skill_triggers!$1:$1,0)-MATCH($F$1,enemy_skill_triggers!$1:$1,0)+1),MATCH(H$1,enemy_skill_triggers!$1:$1,0)-MATCH($F$1,enemy_skill_triggers!$1:$1,0)+1,FALSE)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351" s="48">
        <f ca="1">VLOOKUP($F351,OFFSET(enemy_skill_triggers!$A$1,0,0,COUNTA(enemy_skill_triggers!$A:$A),MATCH(I$1,enemy_skill_triggers!$1:$1,0)-MATCH($F$1,enemy_skill_triggers!$1:$1,0)+1),MATCH(I$1,enemy_skill_triggers!$1:$1,0)-MATCH($F$1,enemy_skill_triggers!$1:$1,0)+1,FALSE)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1" s="48" t="str">
        <f ca="1">VLOOKUP($F351,OFFSET(enemy_skill_triggers!$A$1,0,0,COUNTA(enemy_skill_triggers!$A:$A),MATCH(J$1,enemy_skill_triggers!$1:$1,0)-MATCH($F$1,enemy_skill_triggers!$1:$1,0)+1),MATCH(J$1,enemy_skill_triggers!$1:$1,0)-MATCH($F$1,enemy_skill_triggers!$1:$1,0)+1,FALSE)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1" s="48" t="str">
        <f ca="1">VLOOKUP($F351,OFFSET(enemy_skill_triggers!$A$1,0,0,COUNTA(enemy_skill_triggers!$A:$A),MATCH(K$1,enemy_skill_triggers!$1:$1,0)-MATCH($F$1,enemy_skill_triggers!$1:$1,0)+1),MATCH(K$1,enemy_skill_triggers!$1:$1,0)-MATCH($F$1,enemy_skill_triggers!$1:$1,0)+1,FALSE)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1" s="48">
        <f ca="1">VLOOKUP($F351,OFFSET(enemy_skill_triggers!$A$1,0,0,COUNTA(enemy_skill_triggers!$A:$A),MATCH(L$1,enemy_skill_triggers!$1:$1,0)-MATCH($F$1,enemy_skill_triggers!$1:$1,0)+1),MATCH(L$1,enemy_skill_triggers!$1:$1,0)-MATCH($F$1,enemy_skill_triggers!$1:$1,0)+1,FALSE)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51" s="48" t="str">
        <f ca="1">VLOOKUP($F351,OFFSET(enemy_skill_triggers!$A$1,0,0,COUNTA(enemy_skill_triggers!$A:$A),MATCH(M$1,enemy_skill_triggers!$1:$1,0)-MATCH($F$1,enemy_skill_triggers!$1:$1,0)+1),MATCH(M$1,enemy_skill_triggers!$1:$1,0)-MATCH($F$1,enemy_skill_triggers!$1:$1,0)+1,FALSE)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1" s="48">
        <f ca="1">VLOOKUP($F351,OFFSET(enemy_skill_triggers!$A$1,0,0,COUNTA(enemy_skill_triggers!$A:$A),MATCH(N$1,enemy_skill_triggers!$1:$1,0)-MATCH($F$1,enemy_skill_triggers!$1:$1,0)+1),MATCH(N$1,enemy_skill_triggers!$1:$1,0)-MATCH($F$1,enemy_skill_triggers!$1:$1,0)+1,FALSE)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351" s="48">
        <f ca="1">VLOOKUP($F351,OFFSET(enemy_skill_triggers!$A$1,0,0,COUNTA(enemy_skill_triggers!$A:$A),MATCH(O$1,enemy_skill_triggers!$1:$1,0)-MATCH($F$1,enemy_skill_triggers!$1:$1,0)+1),MATCH(O$1,enemy_skill_triggers!$1:$1,0)-MATCH($F$1,enemy_skill_triggers!$1:$1,0)+1,FALSE)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1" s="47"/>
      <c r="Q351" s="47"/>
      <c r="R351" s="47"/>
    </row>
    <row r="352" spans="1:18" ht="21" customHeight="1" x14ac:dyDescent="0.15">
      <c r="A352" s="39" t="str">
        <f t="shared" si="5"/>
        <v>49015027_49015264</v>
      </c>
      <c r="B352" s="106">
        <v>49015027</v>
      </c>
      <c r="C352" s="126">
        <v>49015264</v>
      </c>
      <c r="D352" s="46" t="str">
        <f ca="1">VLOOKUP($C352,OFFSET(enemy_skills!$A$1,0,0,COUNTA(enemy_skills!$A:$A),MATCH(D$1,enemy_skills!$1:$1,0)-MATCH("enemy_skill_id",enemy_skills!$1:$1,0)+1),MATCH(D$1,enemy_skills!$1:$1,0)-MATCH("enemy_skill_id",enemy_skills!$1:$1,0)+1,FALSE)</f>
        <v>貴方たち人間は足掻き続けますか…</v>
      </c>
      <c r="E352" s="46" t="str">
        <f ca="1">VLOOKUP($C352,OFFSET(enemy_skills!$A$1,0,0,COUNTA(enemy_skills!$A:$A),MATCH(E$1,enemy_skills!$1:$1,0)-MATCH("enemy_skill_id",enemy_skills!$1:$1,0)+1),MATCH(E$1,enemy_skills!$1:$1,0)-MATCH("enemy_skill_id",enemy_skills!$1:$1,0)+1,FALSE)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352" s="126">
        <v>49015351</v>
      </c>
      <c r="G352" s="48">
        <f ca="1">VLOOKUP($F352,OFFSET(enemy_skill_triggers!$A$1,0,0,COUNTA(enemy_skill_triggers!$A:$A),MATCH(G$1,enemy_skill_triggers!$1:$1,0)-MATCH($F$1,enemy_skill_triggers!$1:$1,0)+1),MATCH(G$1,enemy_skill_triggers!$1:$1,0)-MATCH($F$1,enemy_skill_triggers!$1:$1,0)+1,FALSE)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2" s="48">
        <f ca="1">VLOOKUP($F352,OFFSET(enemy_skill_triggers!$A$1,0,0,COUNTA(enemy_skill_triggers!$A:$A),MATCH(H$1,enemy_skill_triggers!$1:$1,0)-MATCH($F$1,enemy_skill_triggers!$1:$1,0)+1),MATCH(H$1,enemy_skill_triggers!$1:$1,0)-MATCH($F$1,enemy_skill_triggers!$1:$1,0)+1,FALSE)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52" s="48">
        <f ca="1">VLOOKUP($F352,OFFSET(enemy_skill_triggers!$A$1,0,0,COUNTA(enemy_skill_triggers!$A:$A),MATCH(I$1,enemy_skill_triggers!$1:$1,0)-MATCH($F$1,enemy_skill_triggers!$1:$1,0)+1),MATCH(I$1,enemy_skill_triggers!$1:$1,0)-MATCH($F$1,enemy_skill_triggers!$1:$1,0)+1,FALSE)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2" s="48" t="str">
        <f ca="1">VLOOKUP($F352,OFFSET(enemy_skill_triggers!$A$1,0,0,COUNTA(enemy_skill_triggers!$A:$A),MATCH(J$1,enemy_skill_triggers!$1:$1,0)-MATCH($F$1,enemy_skill_triggers!$1:$1,0)+1),MATCH(J$1,enemy_skill_triggers!$1:$1,0)-MATCH($F$1,enemy_skill_triggers!$1:$1,0)+1,FALSE)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2" s="48" t="str">
        <f ca="1">VLOOKUP($F352,OFFSET(enemy_skill_triggers!$A$1,0,0,COUNTA(enemy_skill_triggers!$A:$A),MATCH(K$1,enemy_skill_triggers!$1:$1,0)-MATCH($F$1,enemy_skill_triggers!$1:$1,0)+1),MATCH(K$1,enemy_skill_triggers!$1:$1,0)-MATCH($F$1,enemy_skill_triggers!$1:$1,0)+1,FALSE)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2" s="48">
        <f ca="1">VLOOKUP($F352,OFFSET(enemy_skill_triggers!$A$1,0,0,COUNTA(enemy_skill_triggers!$A:$A),MATCH(L$1,enemy_skill_triggers!$1:$1,0)-MATCH($F$1,enemy_skill_triggers!$1:$1,0)+1),MATCH(L$1,enemy_skill_triggers!$1:$1,0)-MATCH($F$1,enemy_skill_triggers!$1:$1,0)+1,FALSE)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52" s="48" t="str">
        <f ca="1">VLOOKUP($F352,OFFSET(enemy_skill_triggers!$A$1,0,0,COUNTA(enemy_skill_triggers!$A:$A),MATCH(M$1,enemy_skill_triggers!$1:$1,0)-MATCH($F$1,enemy_skill_triggers!$1:$1,0)+1),MATCH(M$1,enemy_skill_triggers!$1:$1,0)-MATCH($F$1,enemy_skill_triggers!$1:$1,0)+1,FALSE)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2" s="48">
        <f ca="1">VLOOKUP($F352,OFFSET(enemy_skill_triggers!$A$1,0,0,COUNTA(enemy_skill_triggers!$A:$A),MATCH(N$1,enemy_skill_triggers!$1:$1,0)-MATCH($F$1,enemy_skill_triggers!$1:$1,0)+1),MATCH(N$1,enemy_skill_triggers!$1:$1,0)-MATCH($F$1,enemy_skill_triggers!$1:$1,0)+1,FALSE)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352" s="48">
        <f ca="1">VLOOKUP($F352,OFFSET(enemy_skill_triggers!$A$1,0,0,COUNTA(enemy_skill_triggers!$A:$A),MATCH(O$1,enemy_skill_triggers!$1:$1,0)-MATCH($F$1,enemy_skill_triggers!$1:$1,0)+1),MATCH(O$1,enemy_skill_triggers!$1:$1,0)-MATCH($F$1,enemy_skill_triggers!$1:$1,0)+1,FALSE)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2" s="47"/>
      <c r="Q352" s="47"/>
      <c r="R352" s="47"/>
    </row>
    <row r="353" spans="1:18" ht="21" customHeight="1" x14ac:dyDescent="0.15">
      <c r="A353" s="39" t="str">
        <f t="shared" si="5"/>
        <v>49015027_49015264</v>
      </c>
      <c r="B353" s="106">
        <v>49015027</v>
      </c>
      <c r="C353" s="126">
        <v>49015264</v>
      </c>
      <c r="D353" s="46" t="str">
        <f ca="1">VLOOKUP($C353,OFFSET(enemy_skills!$A$1,0,0,COUNTA(enemy_skills!$A:$A),MATCH(D$1,enemy_skills!$1:$1,0)-MATCH("enemy_skill_id",enemy_skills!$1:$1,0)+1),MATCH(D$1,enemy_skills!$1:$1,0)-MATCH("enemy_skill_id",enemy_skills!$1:$1,0)+1,FALSE)</f>
        <v>貴方たち人間は足掻き続けますか…</v>
      </c>
      <c r="E353" s="46" t="str">
        <f ca="1">VLOOKUP($C353,OFFSET(enemy_skills!$A$1,0,0,COUNTA(enemy_skills!$A:$A),MATCH(E$1,enemy_skills!$1:$1,0)-MATCH("enemy_skill_id",enemy_skills!$1:$1,0)+1),MATCH(E$1,enemy_skills!$1:$1,0)-MATCH("enemy_skill_id",enemy_skills!$1:$1,0)+1,FALSE)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353" s="126">
        <v>49015352</v>
      </c>
      <c r="G353" s="48">
        <f ca="1">VLOOKUP($F353,OFFSET(enemy_skill_triggers!$A$1,0,0,COUNTA(enemy_skill_triggers!$A:$A),MATCH(G$1,enemy_skill_triggers!$1:$1,0)-MATCH($F$1,enemy_skill_triggers!$1:$1,0)+1),MATCH(G$1,enemy_skill_triggers!$1:$1,0)-MATCH($F$1,enemy_skill_triggers!$1:$1,0)+1,FALSE)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3" s="48">
        <f ca="1">VLOOKUP($F353,OFFSET(enemy_skill_triggers!$A$1,0,0,COUNTA(enemy_skill_triggers!$A:$A),MATCH(H$1,enemy_skill_triggers!$1:$1,0)-MATCH($F$1,enemy_skill_triggers!$1:$1,0)+1),MATCH(H$1,enemy_skill_triggers!$1:$1,0)-MATCH($F$1,enemy_skill_triggers!$1:$1,0)+1,FALSE)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353" s="48">
        <f ca="1">VLOOKUP($F353,OFFSET(enemy_skill_triggers!$A$1,0,0,COUNTA(enemy_skill_triggers!$A:$A),MATCH(I$1,enemy_skill_triggers!$1:$1,0)-MATCH($F$1,enemy_skill_triggers!$1:$1,0)+1),MATCH(I$1,enemy_skill_triggers!$1:$1,0)-MATCH($F$1,enemy_skill_triggers!$1:$1,0)+1,FALSE)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3" s="48" t="str">
        <f ca="1">VLOOKUP($F353,OFFSET(enemy_skill_triggers!$A$1,0,0,COUNTA(enemy_skill_triggers!$A:$A),MATCH(J$1,enemy_skill_triggers!$1:$1,0)-MATCH($F$1,enemy_skill_triggers!$1:$1,0)+1),MATCH(J$1,enemy_skill_triggers!$1:$1,0)-MATCH($F$1,enemy_skill_triggers!$1:$1,0)+1,FALSE)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3" s="48" t="str">
        <f ca="1">VLOOKUP($F353,OFFSET(enemy_skill_triggers!$A$1,0,0,COUNTA(enemy_skill_triggers!$A:$A),MATCH(K$1,enemy_skill_triggers!$1:$1,0)-MATCH($F$1,enemy_skill_triggers!$1:$1,0)+1),MATCH(K$1,enemy_skill_triggers!$1:$1,0)-MATCH($F$1,enemy_skill_triggers!$1:$1,0)+1,FALSE)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3" s="48">
        <f ca="1">VLOOKUP($F353,OFFSET(enemy_skill_triggers!$A$1,0,0,COUNTA(enemy_skill_triggers!$A:$A),MATCH(L$1,enemy_skill_triggers!$1:$1,0)-MATCH($F$1,enemy_skill_triggers!$1:$1,0)+1),MATCH(L$1,enemy_skill_triggers!$1:$1,0)-MATCH($F$1,enemy_skill_triggers!$1:$1,0)+1,FALSE)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53" s="48" t="str">
        <f ca="1">VLOOKUP($F353,OFFSET(enemy_skill_triggers!$A$1,0,0,COUNTA(enemy_skill_triggers!$A:$A),MATCH(M$1,enemy_skill_triggers!$1:$1,0)-MATCH($F$1,enemy_skill_triggers!$1:$1,0)+1),MATCH(M$1,enemy_skill_triggers!$1:$1,0)-MATCH($F$1,enemy_skill_triggers!$1:$1,0)+1,FALSE)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3" s="48">
        <f ca="1">VLOOKUP($F353,OFFSET(enemy_skill_triggers!$A$1,0,0,COUNTA(enemy_skill_triggers!$A:$A),MATCH(N$1,enemy_skill_triggers!$1:$1,0)-MATCH($F$1,enemy_skill_triggers!$1:$1,0)+1),MATCH(N$1,enemy_skill_triggers!$1:$1,0)-MATCH($F$1,enemy_skill_triggers!$1:$1,0)+1,FALSE)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353" s="48">
        <f ca="1">VLOOKUP($F353,OFFSET(enemy_skill_triggers!$A$1,0,0,COUNTA(enemy_skill_triggers!$A:$A),MATCH(O$1,enemy_skill_triggers!$1:$1,0)-MATCH($F$1,enemy_skill_triggers!$1:$1,0)+1),MATCH(O$1,enemy_skill_triggers!$1:$1,0)-MATCH($F$1,enemy_skill_triggers!$1:$1,0)+1,FALSE)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3" s="47"/>
      <c r="Q353" s="47"/>
      <c r="R353" s="47"/>
    </row>
    <row r="354" spans="1:18" ht="21" customHeight="1" x14ac:dyDescent="0.15">
      <c r="A354" s="39" t="str">
        <f t="shared" si="5"/>
        <v>49015027_49015265</v>
      </c>
      <c r="B354" s="106">
        <v>49015027</v>
      </c>
      <c r="C354" s="126">
        <v>49015265</v>
      </c>
      <c r="D354" s="46" t="str">
        <f ca="1">VLOOKUP($C354,OFFSET(enemy_skills!$A$1,0,0,COUNTA(enemy_skills!$A:$A),MATCH(D$1,enemy_skills!$1:$1,0)-MATCH("enemy_skill_id",enemy_skills!$1:$1,0)+1),MATCH(D$1,enemy_skills!$1:$1,0)-MATCH("enemy_skill_id",enemy_skills!$1:$1,0)+1,FALSE)</f>
        <v>手加減を…しすぎましたね…</v>
      </c>
      <c r="E354" s="46" t="str">
        <f ca="1">VLOOKUP($C354,OFFSET(enemy_skills!$A$1,0,0,COUNTA(enemy_skills!$A:$A),MATCH(E$1,enemy_skills!$1:$1,0)-MATCH("enemy_skill_id",enemy_skills!$1:$1,0)+1),MATCH(E$1,enemy_skills!$1:$1,0)-MATCH("enemy_skill_id",enemy_skills!$1:$1,0)+1,FALSE)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354" s="126">
        <v>49015353</v>
      </c>
      <c r="G354" s="48">
        <f ca="1">VLOOKUP($F354,OFFSET(enemy_skill_triggers!$A$1,0,0,COUNTA(enemy_skill_triggers!$A:$A),MATCH(G$1,enemy_skill_triggers!$1:$1,0)-MATCH($F$1,enemy_skill_triggers!$1:$1,0)+1),MATCH(G$1,enemy_skill_triggers!$1:$1,0)-MATCH($F$1,enemy_skill_triggers!$1:$1,0)+1,FALSE)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4" s="48">
        <f ca="1">VLOOKUP($F354,OFFSET(enemy_skill_triggers!$A$1,0,0,COUNTA(enemy_skill_triggers!$A:$A),MATCH(H$1,enemy_skill_triggers!$1:$1,0)-MATCH($F$1,enemy_skill_triggers!$1:$1,0)+1),MATCH(H$1,enemy_skill_triggers!$1:$1,0)-MATCH($F$1,enemy_skill_triggers!$1:$1,0)+1,FALSE)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54" s="48">
        <f ca="1">VLOOKUP($F354,OFFSET(enemy_skill_triggers!$A$1,0,0,COUNTA(enemy_skill_triggers!$A:$A),MATCH(I$1,enemy_skill_triggers!$1:$1,0)-MATCH($F$1,enemy_skill_triggers!$1:$1,0)+1),MATCH(I$1,enemy_skill_triggers!$1:$1,0)-MATCH($F$1,enemy_skill_triggers!$1:$1,0)+1,FALSE)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4" s="48" t="str">
        <f ca="1">VLOOKUP($F354,OFFSET(enemy_skill_triggers!$A$1,0,0,COUNTA(enemy_skill_triggers!$A:$A),MATCH(J$1,enemy_skill_triggers!$1:$1,0)-MATCH($F$1,enemy_skill_triggers!$1:$1,0)+1),MATCH(J$1,enemy_skill_triggers!$1:$1,0)-MATCH($F$1,enemy_skill_triggers!$1:$1,0)+1,FALSE)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4" s="48" t="str">
        <f ca="1">VLOOKUP($F354,OFFSET(enemy_skill_triggers!$A$1,0,0,COUNTA(enemy_skill_triggers!$A:$A),MATCH(K$1,enemy_skill_triggers!$1:$1,0)-MATCH($F$1,enemy_skill_triggers!$1:$1,0)+1),MATCH(K$1,enemy_skill_triggers!$1:$1,0)-MATCH($F$1,enemy_skill_triggers!$1:$1,0)+1,FALSE)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4" s="48">
        <f ca="1">VLOOKUP($F354,OFFSET(enemy_skill_triggers!$A$1,0,0,COUNTA(enemy_skill_triggers!$A:$A),MATCH(L$1,enemy_skill_triggers!$1:$1,0)-MATCH($F$1,enemy_skill_triggers!$1:$1,0)+1),MATCH(L$1,enemy_skill_triggers!$1:$1,0)-MATCH($F$1,enemy_skill_triggers!$1:$1,0)+1,FALSE)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54" s="48" t="str">
        <f ca="1">VLOOKUP($F354,OFFSET(enemy_skill_triggers!$A$1,0,0,COUNTA(enemy_skill_triggers!$A:$A),MATCH(M$1,enemy_skill_triggers!$1:$1,0)-MATCH($F$1,enemy_skill_triggers!$1:$1,0)+1),MATCH(M$1,enemy_skill_triggers!$1:$1,0)-MATCH($F$1,enemy_skill_triggers!$1:$1,0)+1,FALSE)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4" s="48">
        <f ca="1">VLOOKUP($F354,OFFSET(enemy_skill_triggers!$A$1,0,0,COUNTA(enemy_skill_triggers!$A:$A),MATCH(N$1,enemy_skill_triggers!$1:$1,0)-MATCH($F$1,enemy_skill_triggers!$1:$1,0)+1),MATCH(N$1,enemy_skill_triggers!$1:$1,0)-MATCH($F$1,enemy_skill_triggers!$1:$1,0)+1,FALSE)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354" s="48">
        <f ca="1">VLOOKUP($F354,OFFSET(enemy_skill_triggers!$A$1,0,0,COUNTA(enemy_skill_triggers!$A:$A),MATCH(O$1,enemy_skill_triggers!$1:$1,0)-MATCH($F$1,enemy_skill_triggers!$1:$1,0)+1),MATCH(O$1,enemy_skill_triggers!$1:$1,0)-MATCH($F$1,enemy_skill_triggers!$1:$1,0)+1,FALSE)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4" s="47"/>
      <c r="Q354" s="47"/>
      <c r="R354" s="47"/>
    </row>
    <row r="355" spans="1:18" ht="21" customHeight="1" x14ac:dyDescent="0.15">
      <c r="A355" s="39" t="str">
        <f t="shared" si="5"/>
        <v>49015027_49015265</v>
      </c>
      <c r="B355" s="106">
        <v>49015027</v>
      </c>
      <c r="C355" s="126">
        <v>49015265</v>
      </c>
      <c r="D355" s="46" t="str">
        <f ca="1">VLOOKUP($C355,OFFSET(enemy_skills!$A$1,0,0,COUNTA(enemy_skills!$A:$A),MATCH(D$1,enemy_skills!$1:$1,0)-MATCH("enemy_skill_id",enemy_skills!$1:$1,0)+1),MATCH(D$1,enemy_skills!$1:$1,0)-MATCH("enemy_skill_id",enemy_skills!$1:$1,0)+1,FALSE)</f>
        <v>手加減を…しすぎましたね…</v>
      </c>
      <c r="E355" s="46" t="str">
        <f ca="1">VLOOKUP($C355,OFFSET(enemy_skills!$A$1,0,0,COUNTA(enemy_skills!$A:$A),MATCH(E$1,enemy_skills!$1:$1,0)-MATCH("enemy_skill_id",enemy_skills!$1:$1,0)+1),MATCH(E$1,enemy_skills!$1:$1,0)-MATCH("enemy_skill_id",enemy_skills!$1:$1,0)+1,FALSE)</f>
        <v>（表示しない）</v>
      </c>
      <c r="F355" s="126">
        <v>49015354</v>
      </c>
      <c r="G355" s="48">
        <f ca="1">VLOOKUP($F355,OFFSET(enemy_skill_triggers!$A$1,0,0,COUNTA(enemy_skill_triggers!$A:$A),MATCH(G$1,enemy_skill_triggers!$1:$1,0)-MATCH($F$1,enemy_skill_triggers!$1:$1,0)+1),MATCH(G$1,enemy_skill_triggers!$1:$1,0)-MATCH($F$1,enemy_skill_triggers!$1:$1,0)+1,FALSE)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5" s="48">
        <f ca="1">VLOOKUP($F355,OFFSET(enemy_skill_triggers!$A$1,0,0,COUNTA(enemy_skill_triggers!$A:$A),MATCH(H$1,enemy_skill_triggers!$1:$1,0)-MATCH($F$1,enemy_skill_triggers!$1:$1,0)+1),MATCH(H$1,enemy_skill_triggers!$1:$1,0)-MATCH($F$1,enemy_skill_triggers!$1:$1,0)+1,FALSE)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355" s="48">
        <f ca="1">VLOOKUP($F355,OFFSET(enemy_skill_triggers!$A$1,0,0,COUNTA(enemy_skill_triggers!$A:$A),MATCH(I$1,enemy_skill_triggers!$1:$1,0)-MATCH($F$1,enemy_skill_triggers!$1:$1,0)+1),MATCH(I$1,enemy_skill_triggers!$1:$1,0)-MATCH($F$1,enemy_skill_triggers!$1:$1,0)+1,FALSE)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5" s="48" t="str">
        <f ca="1">VLOOKUP($F355,OFFSET(enemy_skill_triggers!$A$1,0,0,COUNTA(enemy_skill_triggers!$A:$A),MATCH(J$1,enemy_skill_triggers!$1:$1,0)-MATCH($F$1,enemy_skill_triggers!$1:$1,0)+1),MATCH(J$1,enemy_skill_triggers!$1:$1,0)-MATCH($F$1,enemy_skill_triggers!$1:$1,0)+1,FALSE)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5" s="48" t="str">
        <f ca="1">VLOOKUP($F355,OFFSET(enemy_skill_triggers!$A$1,0,0,COUNTA(enemy_skill_triggers!$A:$A),MATCH(K$1,enemy_skill_triggers!$1:$1,0)-MATCH($F$1,enemy_skill_triggers!$1:$1,0)+1),MATCH(K$1,enemy_skill_triggers!$1:$1,0)-MATCH($F$1,enemy_skill_triggers!$1:$1,0)+1,FALSE)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5" s="48">
        <f ca="1">VLOOKUP($F355,OFFSET(enemy_skill_triggers!$A$1,0,0,COUNTA(enemy_skill_triggers!$A:$A),MATCH(L$1,enemy_skill_triggers!$1:$1,0)-MATCH($F$1,enemy_skill_triggers!$1:$1,0)+1),MATCH(L$1,enemy_skill_triggers!$1:$1,0)-MATCH($F$1,enemy_skill_triggers!$1:$1,0)+1,FALSE)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55" s="48" t="str">
        <f ca="1">VLOOKUP($F355,OFFSET(enemy_skill_triggers!$A$1,0,0,COUNTA(enemy_skill_triggers!$A:$A),MATCH(M$1,enemy_skill_triggers!$1:$1,0)-MATCH($F$1,enemy_skill_triggers!$1:$1,0)+1),MATCH(M$1,enemy_skill_triggers!$1:$1,0)-MATCH($F$1,enemy_skill_triggers!$1:$1,0)+1,FALSE)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5" s="48">
        <f ca="1">VLOOKUP($F355,OFFSET(enemy_skill_triggers!$A$1,0,0,COUNTA(enemy_skill_triggers!$A:$A),MATCH(N$1,enemy_skill_triggers!$1:$1,0)-MATCH($F$1,enemy_skill_triggers!$1:$1,0)+1),MATCH(N$1,enemy_skill_triggers!$1:$1,0)-MATCH($F$1,enemy_skill_triggers!$1:$1,0)+1,FALSE)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355" s="48">
        <f ca="1">VLOOKUP($F355,OFFSET(enemy_skill_triggers!$A$1,0,0,COUNTA(enemy_skill_triggers!$A:$A),MATCH(O$1,enemy_skill_triggers!$1:$1,0)-MATCH($F$1,enemy_skill_triggers!$1:$1,0)+1),MATCH(O$1,enemy_skill_triggers!$1:$1,0)-MATCH($F$1,enemy_skill_triggers!$1:$1,0)+1,FALSE)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5" s="47"/>
      <c r="Q355" s="47"/>
      <c r="R355" s="47"/>
    </row>
    <row r="356" spans="1:18" ht="21" customHeight="1" x14ac:dyDescent="0.15">
      <c r="A356" s="39" t="str">
        <f t="shared" si="5"/>
        <v>49015027_49015266</v>
      </c>
      <c r="B356" s="106">
        <v>49015027</v>
      </c>
      <c r="C356" s="126">
        <v>49015266</v>
      </c>
      <c r="D356" s="46" t="str">
        <f ca="1">VLOOKUP($C356,OFFSET(enemy_skills!$A$1,0,0,COUNTA(enemy_skills!$A:$A),MATCH(D$1,enemy_skills!$1:$1,0)-MATCH("enemy_skill_id",enemy_skills!$1:$1,0)+1),MATCH(D$1,enemy_skills!$1:$1,0)-MATCH("enemy_skill_id",enemy_skills!$1:$1,0)+1,FALSE)</f>
        <v>貴方にやられるとは…</v>
      </c>
      <c r="E356" s="46" t="str">
        <f ca="1">VLOOKUP($C356,OFFSET(enemy_skills!$A$1,0,0,COUNTA(enemy_skills!$A:$A),MATCH(E$1,enemy_skills!$1:$1,0)-MATCH("enemy_skill_id",enemy_skills!$1:$1,0)+1),MATCH(E$1,enemy_skills!$1:$1,0)-MATCH("enemy_skill_id",enemy_skills!$1:$1,0)+1,FALSE)</f>
        <v>やはり…仲間に…</v>
      </c>
      <c r="F356" s="126">
        <v>49015355</v>
      </c>
      <c r="G356" s="48">
        <f ca="1">VLOOKUP($F356,OFFSET(enemy_skill_triggers!$A$1,0,0,COUNTA(enemy_skill_triggers!$A:$A),MATCH(G$1,enemy_skill_triggers!$1:$1,0)-MATCH($F$1,enemy_skill_triggers!$1:$1,0)+1),MATCH(G$1,enemy_skill_triggers!$1:$1,0)-MATCH($F$1,enemy_skill_triggers!$1:$1,0)+1,FALSE)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6" s="48">
        <f ca="1">VLOOKUP($F356,OFFSET(enemy_skill_triggers!$A$1,0,0,COUNTA(enemy_skill_triggers!$A:$A),MATCH(H$1,enemy_skill_triggers!$1:$1,0)-MATCH($F$1,enemy_skill_triggers!$1:$1,0)+1),MATCH(H$1,enemy_skill_triggers!$1:$1,0)-MATCH($F$1,enemy_skill_triggers!$1:$1,0)+1,FALSE)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56" s="48">
        <f ca="1">VLOOKUP($F356,OFFSET(enemy_skill_triggers!$A$1,0,0,COUNTA(enemy_skill_triggers!$A:$A),MATCH(I$1,enemy_skill_triggers!$1:$1,0)-MATCH($F$1,enemy_skill_triggers!$1:$1,0)+1),MATCH(I$1,enemy_skill_triggers!$1:$1,0)-MATCH($F$1,enemy_skill_triggers!$1:$1,0)+1,FALSE)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6" s="48" t="str">
        <f ca="1">VLOOKUP($F356,OFFSET(enemy_skill_triggers!$A$1,0,0,COUNTA(enemy_skill_triggers!$A:$A),MATCH(J$1,enemy_skill_triggers!$1:$1,0)-MATCH($F$1,enemy_skill_triggers!$1:$1,0)+1),MATCH(J$1,enemy_skill_triggers!$1:$1,0)-MATCH($F$1,enemy_skill_triggers!$1:$1,0)+1,FALSE)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6" s="48" t="str">
        <f ca="1">VLOOKUP($F356,OFFSET(enemy_skill_triggers!$A$1,0,0,COUNTA(enemy_skill_triggers!$A:$A),MATCH(K$1,enemy_skill_triggers!$1:$1,0)-MATCH($F$1,enemy_skill_triggers!$1:$1,0)+1),MATCH(K$1,enemy_skill_triggers!$1:$1,0)-MATCH($F$1,enemy_skill_triggers!$1:$1,0)+1,FALSE)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6" s="48">
        <f ca="1">VLOOKUP($F356,OFFSET(enemy_skill_triggers!$A$1,0,0,COUNTA(enemy_skill_triggers!$A:$A),MATCH(L$1,enemy_skill_triggers!$1:$1,0)-MATCH($F$1,enemy_skill_triggers!$1:$1,0)+1),MATCH(L$1,enemy_skill_triggers!$1:$1,0)-MATCH($F$1,enemy_skill_triggers!$1:$1,0)+1,FALSE)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56" s="48" t="str">
        <f ca="1">VLOOKUP($F356,OFFSET(enemy_skill_triggers!$A$1,0,0,COUNTA(enemy_skill_triggers!$A:$A),MATCH(M$1,enemy_skill_triggers!$1:$1,0)-MATCH($F$1,enemy_skill_triggers!$1:$1,0)+1),MATCH(M$1,enemy_skill_triggers!$1:$1,0)-MATCH($F$1,enemy_skill_triggers!$1:$1,0)+1,FALSE)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6" s="48">
        <f ca="1">VLOOKUP($F356,OFFSET(enemy_skill_triggers!$A$1,0,0,COUNTA(enemy_skill_triggers!$A:$A),MATCH(N$1,enemy_skill_triggers!$1:$1,0)-MATCH($F$1,enemy_skill_triggers!$1:$1,0)+1),MATCH(N$1,enemy_skill_triggers!$1:$1,0)-MATCH($F$1,enemy_skill_triggers!$1:$1,0)+1,FALSE)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356" s="48">
        <f ca="1">VLOOKUP($F356,OFFSET(enemy_skill_triggers!$A$1,0,0,COUNTA(enemy_skill_triggers!$A:$A),MATCH(O$1,enemy_skill_triggers!$1:$1,0)-MATCH($F$1,enemy_skill_triggers!$1:$1,0)+1),MATCH(O$1,enemy_skill_triggers!$1:$1,0)-MATCH($F$1,enemy_skill_triggers!$1:$1,0)+1,FALSE)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6" s="47"/>
      <c r="Q356" s="47"/>
      <c r="R356" s="47"/>
    </row>
    <row r="357" spans="1:18" ht="21" customHeight="1" x14ac:dyDescent="0.15">
      <c r="A357" s="39" t="str">
        <f t="shared" si="5"/>
        <v>49015027_49015266</v>
      </c>
      <c r="B357" s="106">
        <v>49015027</v>
      </c>
      <c r="C357" s="126">
        <v>49015266</v>
      </c>
      <c r="D357" s="46" t="str">
        <f ca="1">VLOOKUP($C357,OFFSET(enemy_skills!$A$1,0,0,COUNTA(enemy_skills!$A:$A),MATCH(D$1,enemy_skills!$1:$1,0)-MATCH("enemy_skill_id",enemy_skills!$1:$1,0)+1),MATCH(D$1,enemy_skills!$1:$1,0)-MATCH("enemy_skill_id",enemy_skills!$1:$1,0)+1,FALSE)</f>
        <v>貴方にやられるとは…</v>
      </c>
      <c r="E357" s="46" t="str">
        <f ca="1">VLOOKUP($C357,OFFSET(enemy_skills!$A$1,0,0,COUNTA(enemy_skills!$A:$A),MATCH(E$1,enemy_skills!$1:$1,0)-MATCH("enemy_skill_id",enemy_skills!$1:$1,0)+1),MATCH(E$1,enemy_skills!$1:$1,0)-MATCH("enemy_skill_id",enemy_skills!$1:$1,0)+1,FALSE)</f>
        <v>やはり…仲間に…</v>
      </c>
      <c r="F357" s="126">
        <v>49015356</v>
      </c>
      <c r="G357" s="48">
        <f ca="1">VLOOKUP($F357,OFFSET(enemy_skill_triggers!$A$1,0,0,COUNTA(enemy_skill_triggers!$A:$A),MATCH(G$1,enemy_skill_triggers!$1:$1,0)-MATCH($F$1,enemy_skill_triggers!$1:$1,0)+1),MATCH(G$1,enemy_skill_triggers!$1:$1,0)-MATCH($F$1,enemy_skill_triggers!$1:$1,0)+1,FALSE)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7" s="48">
        <f ca="1">VLOOKUP($F357,OFFSET(enemy_skill_triggers!$A$1,0,0,COUNTA(enemy_skill_triggers!$A:$A),MATCH(H$1,enemy_skill_triggers!$1:$1,0)-MATCH($F$1,enemy_skill_triggers!$1:$1,0)+1),MATCH(H$1,enemy_skill_triggers!$1:$1,0)-MATCH($F$1,enemy_skill_triggers!$1:$1,0)+1,FALSE)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57" s="48">
        <f ca="1">VLOOKUP($F357,OFFSET(enemy_skill_triggers!$A$1,0,0,COUNTA(enemy_skill_triggers!$A:$A),MATCH(I$1,enemy_skill_triggers!$1:$1,0)-MATCH($F$1,enemy_skill_triggers!$1:$1,0)+1),MATCH(I$1,enemy_skill_triggers!$1:$1,0)-MATCH($F$1,enemy_skill_triggers!$1:$1,0)+1,FALSE)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7" s="48" t="str">
        <f ca="1">VLOOKUP($F357,OFFSET(enemy_skill_triggers!$A$1,0,0,COUNTA(enemy_skill_triggers!$A:$A),MATCH(J$1,enemy_skill_triggers!$1:$1,0)-MATCH($F$1,enemy_skill_triggers!$1:$1,0)+1),MATCH(J$1,enemy_skill_triggers!$1:$1,0)-MATCH($F$1,enemy_skill_triggers!$1:$1,0)+1,FALSE)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7" s="48" t="str">
        <f ca="1">VLOOKUP($F357,OFFSET(enemy_skill_triggers!$A$1,0,0,COUNTA(enemy_skill_triggers!$A:$A),MATCH(K$1,enemy_skill_triggers!$1:$1,0)-MATCH($F$1,enemy_skill_triggers!$1:$1,0)+1),MATCH(K$1,enemy_skill_triggers!$1:$1,0)-MATCH($F$1,enemy_skill_triggers!$1:$1,0)+1,FALSE)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7" s="48">
        <f ca="1">VLOOKUP($F357,OFFSET(enemy_skill_triggers!$A$1,0,0,COUNTA(enemy_skill_triggers!$A:$A),MATCH(L$1,enemy_skill_triggers!$1:$1,0)-MATCH($F$1,enemy_skill_triggers!$1:$1,0)+1),MATCH(L$1,enemy_skill_triggers!$1:$1,0)-MATCH($F$1,enemy_skill_triggers!$1:$1,0)+1,FALSE)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57" s="48" t="str">
        <f ca="1">VLOOKUP($F357,OFFSET(enemy_skill_triggers!$A$1,0,0,COUNTA(enemy_skill_triggers!$A:$A),MATCH(M$1,enemy_skill_triggers!$1:$1,0)-MATCH($F$1,enemy_skill_triggers!$1:$1,0)+1),MATCH(M$1,enemy_skill_triggers!$1:$1,0)-MATCH($F$1,enemy_skill_triggers!$1:$1,0)+1,FALSE)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7" s="48">
        <f ca="1">VLOOKUP($F357,OFFSET(enemy_skill_triggers!$A$1,0,0,COUNTA(enemy_skill_triggers!$A:$A),MATCH(N$1,enemy_skill_triggers!$1:$1,0)-MATCH($F$1,enemy_skill_triggers!$1:$1,0)+1),MATCH(N$1,enemy_skill_triggers!$1:$1,0)-MATCH($F$1,enemy_skill_triggers!$1:$1,0)+1,FALSE)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357" s="48">
        <f ca="1">VLOOKUP($F357,OFFSET(enemy_skill_triggers!$A$1,0,0,COUNTA(enemy_skill_triggers!$A:$A),MATCH(O$1,enemy_skill_triggers!$1:$1,0)-MATCH($F$1,enemy_skill_triggers!$1:$1,0)+1),MATCH(O$1,enemy_skill_triggers!$1:$1,0)-MATCH($F$1,enemy_skill_triggers!$1:$1,0)+1,FALSE)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7" s="47"/>
      <c r="Q357" s="47"/>
      <c r="R357" s="47"/>
    </row>
    <row r="358" spans="1:18" ht="21" customHeight="1" x14ac:dyDescent="0.15">
      <c r="A358" s="39" t="str">
        <f t="shared" si="5"/>
        <v>49015027_49015267</v>
      </c>
      <c r="B358" s="106">
        <v>49015027</v>
      </c>
      <c r="C358" s="126">
        <v>49015267</v>
      </c>
      <c r="D358" s="46" t="str">
        <f ca="1">VLOOKUP($C358,OFFSET(enemy_skills!$A$1,0,0,COUNTA(enemy_skills!$A:$A),MATCH(D$1,enemy_skills!$1:$1,0)-MATCH("enemy_skill_id",enemy_skills!$1:$1,0)+1),MATCH(D$1,enemy_skills!$1:$1,0)-MATCH("enemy_skill_id",enemy_skills!$1:$1,0)+1,FALSE)</f>
        <v>ラース…人間に加担すると…</v>
      </c>
      <c r="E358" s="46" t="str">
        <f ca="1">VLOOKUP($C358,OFFSET(enemy_skills!$A$1,0,0,COUNTA(enemy_skills!$A:$A),MATCH(E$1,enemy_skills!$1:$1,0)-MATCH("enemy_skill_id",enemy_skills!$1:$1,0)+1),MATCH(E$1,enemy_skills!$1:$1,0)-MATCH("enemy_skill_id",enemy_skills!$1:$1,0)+1,FALSE)</f>
        <v>私達を…裏切るというのですか…</v>
      </c>
      <c r="F358" s="126">
        <v>49015357</v>
      </c>
      <c r="G358" s="48">
        <f ca="1">VLOOKUP($F358,OFFSET(enemy_skill_triggers!$A$1,0,0,COUNTA(enemy_skill_triggers!$A:$A),MATCH(G$1,enemy_skill_triggers!$1:$1,0)-MATCH($F$1,enemy_skill_triggers!$1:$1,0)+1),MATCH(G$1,enemy_skill_triggers!$1:$1,0)-MATCH($F$1,enemy_skill_triggers!$1:$1,0)+1,FALSE)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8" s="48">
        <f ca="1">VLOOKUP($F358,OFFSET(enemy_skill_triggers!$A$1,0,0,COUNTA(enemy_skill_triggers!$A:$A),MATCH(H$1,enemy_skill_triggers!$1:$1,0)-MATCH($F$1,enemy_skill_triggers!$1:$1,0)+1),MATCH(H$1,enemy_skill_triggers!$1:$1,0)-MATCH($F$1,enemy_skill_triggers!$1:$1,0)+1,FALSE)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58" s="48">
        <f ca="1">VLOOKUP($F358,OFFSET(enemy_skill_triggers!$A$1,0,0,COUNTA(enemy_skill_triggers!$A:$A),MATCH(I$1,enemy_skill_triggers!$1:$1,0)-MATCH($F$1,enemy_skill_triggers!$1:$1,0)+1),MATCH(I$1,enemy_skill_triggers!$1:$1,0)-MATCH($F$1,enemy_skill_triggers!$1:$1,0)+1,FALSE)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8" s="48" t="str">
        <f ca="1">VLOOKUP($F358,OFFSET(enemy_skill_triggers!$A$1,0,0,COUNTA(enemy_skill_triggers!$A:$A),MATCH(J$1,enemy_skill_triggers!$1:$1,0)-MATCH($F$1,enemy_skill_triggers!$1:$1,0)+1),MATCH(J$1,enemy_skill_triggers!$1:$1,0)-MATCH($F$1,enemy_skill_triggers!$1:$1,0)+1,FALSE)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8" s="48" t="str">
        <f ca="1">VLOOKUP($F358,OFFSET(enemy_skill_triggers!$A$1,0,0,COUNTA(enemy_skill_triggers!$A:$A),MATCH(K$1,enemy_skill_triggers!$1:$1,0)-MATCH($F$1,enemy_skill_triggers!$1:$1,0)+1),MATCH(K$1,enemy_skill_triggers!$1:$1,0)-MATCH($F$1,enemy_skill_triggers!$1:$1,0)+1,FALSE)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8" s="48">
        <f ca="1">VLOOKUP($F358,OFFSET(enemy_skill_triggers!$A$1,0,0,COUNTA(enemy_skill_triggers!$A:$A),MATCH(L$1,enemy_skill_triggers!$1:$1,0)-MATCH($F$1,enemy_skill_triggers!$1:$1,0)+1),MATCH(L$1,enemy_skill_triggers!$1:$1,0)-MATCH($F$1,enemy_skill_triggers!$1:$1,0)+1,FALSE)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58" s="48" t="str">
        <f ca="1">VLOOKUP($F358,OFFSET(enemy_skill_triggers!$A$1,0,0,COUNTA(enemy_skill_triggers!$A:$A),MATCH(M$1,enemy_skill_triggers!$1:$1,0)-MATCH($F$1,enemy_skill_triggers!$1:$1,0)+1),MATCH(M$1,enemy_skill_triggers!$1:$1,0)-MATCH($F$1,enemy_skill_triggers!$1:$1,0)+1,FALSE)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8" s="48">
        <f ca="1">VLOOKUP($F358,OFFSET(enemy_skill_triggers!$A$1,0,0,COUNTA(enemy_skill_triggers!$A:$A),MATCH(N$1,enemy_skill_triggers!$1:$1,0)-MATCH($F$1,enemy_skill_triggers!$1:$1,0)+1),MATCH(N$1,enemy_skill_triggers!$1:$1,0)-MATCH($F$1,enemy_skill_triggers!$1:$1,0)+1,FALSE)</f>
        <v>1469</v>
      </c>
      <c r="O358" s="48">
        <f ca="1">VLOOKUP($F358,OFFSET(enemy_skill_triggers!$A$1,0,0,COUNTA(enemy_skill_triggers!$A:$A),MATCH(O$1,enemy_skill_triggers!$1:$1,0)-MATCH($F$1,enemy_skill_triggers!$1:$1,0)+1),MATCH(O$1,enemy_skill_triggers!$1:$1,0)-MATCH($F$1,enemy_skill_triggers!$1:$1,0)+1,FALSE)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8" s="47"/>
      <c r="Q358" s="47"/>
      <c r="R358" s="47"/>
    </row>
    <row r="359" spans="1:18" ht="21" customHeight="1" x14ac:dyDescent="0.15">
      <c r="A359" s="39" t="str">
        <f t="shared" si="5"/>
        <v>49015027_49015268</v>
      </c>
      <c r="B359" s="106">
        <v>49015027</v>
      </c>
      <c r="C359" s="126">
        <v>49015268</v>
      </c>
      <c r="D359" s="46" t="str">
        <f ca="1">VLOOKUP($C359,OFFSET(enemy_skills!$A$1,0,0,COUNTA(enemy_skills!$A:$A),MATCH(D$1,enemy_skills!$1:$1,0)-MATCH("enemy_skill_id",enemy_skills!$1:$1,0)+1),MATCH(D$1,enemy_skills!$1:$1,0)-MATCH("enemy_skill_id",enemy_skills!$1:$1,0)+1,FALSE)</f>
        <v>父上が…なんというか…</v>
      </c>
      <c r="E359" s="46" t="str">
        <f ca="1">VLOOKUP($C359,OFFSET(enemy_skills!$A$1,0,0,COUNTA(enemy_skills!$A:$A),MATCH(E$1,enemy_skills!$1:$1,0)-MATCH("enemy_skill_id",enemy_skills!$1:$1,0)+1),MATCH(E$1,enemy_skills!$1:$1,0)-MATCH("enemy_skill_id",enemy_skills!$1:$1,0)+1,FALSE)</f>
        <v>私に…嫉妬したのか…？</v>
      </c>
      <c r="F359" s="126">
        <v>49015358</v>
      </c>
      <c r="G359" s="48">
        <f ca="1">VLOOKUP($F359,OFFSET(enemy_skill_triggers!$A$1,0,0,COUNTA(enemy_skill_triggers!$A:$A),MATCH(G$1,enemy_skill_triggers!$1:$1,0)-MATCH($F$1,enemy_skill_triggers!$1:$1,0)+1),MATCH(G$1,enemy_skill_triggers!$1:$1,0)-MATCH($F$1,enemy_skill_triggers!$1:$1,0)+1,FALSE)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9" s="48">
        <f ca="1">VLOOKUP($F359,OFFSET(enemy_skill_triggers!$A$1,0,0,COUNTA(enemy_skill_triggers!$A:$A),MATCH(H$1,enemy_skill_triggers!$1:$1,0)-MATCH($F$1,enemy_skill_triggers!$1:$1,0)+1),MATCH(H$1,enemy_skill_triggers!$1:$1,0)-MATCH($F$1,enemy_skill_triggers!$1:$1,0)+1,FALSE)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59" s="48">
        <f ca="1">VLOOKUP($F359,OFFSET(enemy_skill_triggers!$A$1,0,0,COUNTA(enemy_skill_triggers!$A:$A),MATCH(I$1,enemy_skill_triggers!$1:$1,0)-MATCH($F$1,enemy_skill_triggers!$1:$1,0)+1),MATCH(I$1,enemy_skill_triggers!$1:$1,0)-MATCH($F$1,enemy_skill_triggers!$1:$1,0)+1,FALSE)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9" s="48" t="str">
        <f ca="1">VLOOKUP($F359,OFFSET(enemy_skill_triggers!$A$1,0,0,COUNTA(enemy_skill_triggers!$A:$A),MATCH(J$1,enemy_skill_triggers!$1:$1,0)-MATCH($F$1,enemy_skill_triggers!$1:$1,0)+1),MATCH(J$1,enemy_skill_triggers!$1:$1,0)-MATCH($F$1,enemy_skill_triggers!$1:$1,0)+1,FALSE)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9" s="48" t="str">
        <f ca="1">VLOOKUP($F359,OFFSET(enemy_skill_triggers!$A$1,0,0,COUNTA(enemy_skill_triggers!$A:$A),MATCH(K$1,enemy_skill_triggers!$1:$1,0)-MATCH($F$1,enemy_skill_triggers!$1:$1,0)+1),MATCH(K$1,enemy_skill_triggers!$1:$1,0)-MATCH($F$1,enemy_skill_triggers!$1:$1,0)+1,FALSE)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9" s="48">
        <f ca="1">VLOOKUP($F359,OFFSET(enemy_skill_triggers!$A$1,0,0,COUNTA(enemy_skill_triggers!$A:$A),MATCH(L$1,enemy_skill_triggers!$1:$1,0)-MATCH($F$1,enemy_skill_triggers!$1:$1,0)+1),MATCH(L$1,enemy_skill_triggers!$1:$1,0)-MATCH($F$1,enemy_skill_triggers!$1:$1,0)+1,FALSE)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59" s="48" t="str">
        <f ca="1">VLOOKUP($F359,OFFSET(enemy_skill_triggers!$A$1,0,0,COUNTA(enemy_skill_triggers!$A:$A),MATCH(M$1,enemy_skill_triggers!$1:$1,0)-MATCH($F$1,enemy_skill_triggers!$1:$1,0)+1),MATCH(M$1,enemy_skill_triggers!$1:$1,0)-MATCH($F$1,enemy_skill_triggers!$1:$1,0)+1,FALSE)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9" s="48">
        <f ca="1">VLOOKUP($F359,OFFSET(enemy_skill_triggers!$A$1,0,0,COUNTA(enemy_skill_triggers!$A:$A),MATCH(N$1,enemy_skill_triggers!$1:$1,0)-MATCH($F$1,enemy_skill_triggers!$1:$1,0)+1),MATCH(N$1,enemy_skill_triggers!$1:$1,0)-MATCH($F$1,enemy_skill_triggers!$1:$1,0)+1,FALSE)</f>
        <v>1468</v>
      </c>
      <c r="O359" s="48">
        <f ca="1">VLOOKUP($F359,OFFSET(enemy_skill_triggers!$A$1,0,0,COUNTA(enemy_skill_triggers!$A:$A),MATCH(O$1,enemy_skill_triggers!$1:$1,0)-MATCH($F$1,enemy_skill_triggers!$1:$1,0)+1),MATCH(O$1,enemy_skill_triggers!$1:$1,0)-MATCH($F$1,enemy_skill_triggers!$1:$1,0)+1,FALSE)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9" s="47"/>
      <c r="Q359" s="47"/>
      <c r="R359" s="47"/>
    </row>
    <row r="360" spans="1:18" ht="21" customHeight="1" x14ac:dyDescent="0.15">
      <c r="A360" s="39" t="str">
        <f t="shared" si="5"/>
        <v>49015027_49015269</v>
      </c>
      <c r="B360" s="106">
        <v>49015027</v>
      </c>
      <c r="C360" s="135">
        <v>49015269</v>
      </c>
      <c r="D360" s="46" t="str">
        <f ca="1">VLOOKUP($C360,OFFSET(enemy_skills!$A$1,0,0,COUNTA(enemy_skills!$A:$A),MATCH(D$1,enemy_skills!$1:$1,0)-MATCH("enemy_skill_id",enemy_skills!$1:$1,0)+1),MATCH(D$1,enemy_skills!$1:$1,0)-MATCH("enemy_skill_id",enemy_skills!$1:$1,0)+1,FALSE)</f>
        <v>約束の日のために…</v>
      </c>
      <c r="E360" s="46" t="str">
        <f ca="1">VLOOKUP($C360,OFFSET(enemy_skills!$A$1,0,0,COUNTA(enemy_skills!$A:$A),MATCH(E$1,enemy_skills!$1:$1,0)-MATCH("enemy_skill_id",enemy_skills!$1:$1,0)+1),MATCH(E$1,enemy_skills!$1:$1,0)-MATCH("enemy_skill_id",enemy_skills!$1:$1,0)+1,FALSE)</f>
        <v>こんなところで…やられるわけには…</v>
      </c>
      <c r="F360" s="126">
        <v>49015359</v>
      </c>
      <c r="G360" s="48">
        <f ca="1">VLOOKUP($F360,OFFSET(enemy_skill_triggers!$A$1,0,0,COUNTA(enemy_skill_triggers!$A:$A),MATCH(G$1,enemy_skill_triggers!$1:$1,0)-MATCH($F$1,enemy_skill_triggers!$1:$1,0)+1),MATCH(G$1,enemy_skill_triggers!$1:$1,0)-MATCH($F$1,enemy_skill_triggers!$1:$1,0)+1,FALSE)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0" s="48">
        <f ca="1">VLOOKUP($F360,OFFSET(enemy_skill_triggers!$A$1,0,0,COUNTA(enemy_skill_triggers!$A:$A),MATCH(H$1,enemy_skill_triggers!$1:$1,0)-MATCH($F$1,enemy_skill_triggers!$1:$1,0)+1),MATCH(H$1,enemy_skill_triggers!$1:$1,0)-MATCH($F$1,enemy_skill_triggers!$1:$1,0)+1,FALSE)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60" s="48">
        <f ca="1">VLOOKUP($F360,OFFSET(enemy_skill_triggers!$A$1,0,0,COUNTA(enemy_skill_triggers!$A:$A),MATCH(I$1,enemy_skill_triggers!$1:$1,0)-MATCH($F$1,enemy_skill_triggers!$1:$1,0)+1),MATCH(I$1,enemy_skill_triggers!$1:$1,0)-MATCH($F$1,enemy_skill_triggers!$1:$1,0)+1,FALSE)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0" s="48" t="str">
        <f ca="1">VLOOKUP($F360,OFFSET(enemy_skill_triggers!$A$1,0,0,COUNTA(enemy_skill_triggers!$A:$A),MATCH(J$1,enemy_skill_triggers!$1:$1,0)-MATCH($F$1,enemy_skill_triggers!$1:$1,0)+1),MATCH(J$1,enemy_skill_triggers!$1:$1,0)-MATCH($F$1,enemy_skill_triggers!$1:$1,0)+1,FALSE)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0" s="48" t="str">
        <f ca="1">VLOOKUP($F360,OFFSET(enemy_skill_triggers!$A$1,0,0,COUNTA(enemy_skill_triggers!$A:$A),MATCH(K$1,enemy_skill_triggers!$1:$1,0)-MATCH($F$1,enemy_skill_triggers!$1:$1,0)+1),MATCH(K$1,enemy_skill_triggers!$1:$1,0)-MATCH($F$1,enemy_skill_triggers!$1:$1,0)+1,FALSE)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0" s="48">
        <f ca="1">VLOOKUP($F360,OFFSET(enemy_skill_triggers!$A$1,0,0,COUNTA(enemy_skill_triggers!$A:$A),MATCH(L$1,enemy_skill_triggers!$1:$1,0)-MATCH($F$1,enemy_skill_triggers!$1:$1,0)+1),MATCH(L$1,enemy_skill_triggers!$1:$1,0)-MATCH($F$1,enemy_skill_triggers!$1:$1,0)+1,FALSE)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60" s="48" t="str">
        <f ca="1">VLOOKUP($F360,OFFSET(enemy_skill_triggers!$A$1,0,0,COUNTA(enemy_skill_triggers!$A:$A),MATCH(M$1,enemy_skill_triggers!$1:$1,0)-MATCH($F$1,enemy_skill_triggers!$1:$1,0)+1),MATCH(M$1,enemy_skill_triggers!$1:$1,0)-MATCH($F$1,enemy_skill_triggers!$1:$1,0)+1,FALSE)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0" s="48">
        <f ca="1">VLOOKUP($F360,OFFSET(enemy_skill_triggers!$A$1,0,0,COUNTA(enemy_skill_triggers!$A:$A),MATCH(N$1,enemy_skill_triggers!$1:$1,0)-MATCH($F$1,enemy_skill_triggers!$1:$1,0)+1),MATCH(N$1,enemy_skill_triggers!$1:$1,0)-MATCH($F$1,enemy_skill_triggers!$1:$1,0)+1,FALSE)</f>
        <v>1466</v>
      </c>
      <c r="O360" s="48">
        <f ca="1">VLOOKUP($F360,OFFSET(enemy_skill_triggers!$A$1,0,0,COUNTA(enemy_skill_triggers!$A:$A),MATCH(O$1,enemy_skill_triggers!$1:$1,0)-MATCH($F$1,enemy_skill_triggers!$1:$1,0)+1),MATCH(O$1,enemy_skill_triggers!$1:$1,0)-MATCH($F$1,enemy_skill_triggers!$1:$1,0)+1,FALSE)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0" s="129"/>
      <c r="Q360" s="129"/>
      <c r="R360" s="129"/>
    </row>
    <row r="361" spans="1:18" ht="21" customHeight="1" thickBot="1" x14ac:dyDescent="0.2">
      <c r="A361" s="39" t="str">
        <f t="shared" si="5"/>
        <v>49015027_49015269</v>
      </c>
      <c r="B361" s="111">
        <v>49015027</v>
      </c>
      <c r="C361" s="127">
        <v>49015269</v>
      </c>
      <c r="D361" s="145" t="str">
        <f ca="1">VLOOKUP($C361,OFFSET(enemy_skills!$A$1,0,0,COUNTA(enemy_skills!$A:$A),MATCH(D$1,enemy_skills!$1:$1,0)-MATCH("enemy_skill_id",enemy_skills!$1:$1,0)+1),MATCH(D$1,enemy_skills!$1:$1,0)-MATCH("enemy_skill_id",enemy_skills!$1:$1,0)+1,FALSE)</f>
        <v>約束の日のために…</v>
      </c>
      <c r="E361" s="145" t="str">
        <f ca="1">VLOOKUP($C361,OFFSET(enemy_skills!$A$1,0,0,COUNTA(enemy_skills!$A:$A),MATCH(E$1,enemy_skills!$1:$1,0)-MATCH("enemy_skill_id",enemy_skills!$1:$1,0)+1),MATCH(E$1,enemy_skills!$1:$1,0)-MATCH("enemy_skill_id",enemy_skills!$1:$1,0)+1,FALSE)</f>
        <v>こんなところで…やられるわけには…</v>
      </c>
      <c r="F361" s="127">
        <v>49015360</v>
      </c>
      <c r="G361" s="114">
        <f ca="1">VLOOKUP($F361,OFFSET(enemy_skill_triggers!$A$1,0,0,COUNTA(enemy_skill_triggers!$A:$A),MATCH(G$1,enemy_skill_triggers!$1:$1,0)-MATCH($F$1,enemy_skill_triggers!$1:$1,0)+1),MATCH(G$1,enemy_skill_triggers!$1:$1,0)-MATCH($F$1,enemy_skill_triggers!$1:$1,0)+1,FALSE)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1" s="114">
        <f ca="1">VLOOKUP($F361,OFFSET(enemy_skill_triggers!$A$1,0,0,COUNTA(enemy_skill_triggers!$A:$A),MATCH(H$1,enemy_skill_triggers!$1:$1,0)-MATCH($F$1,enemy_skill_triggers!$1:$1,0)+1),MATCH(H$1,enemy_skill_triggers!$1:$1,0)-MATCH($F$1,enemy_skill_triggers!$1:$1,0)+1,FALSE)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361" s="114">
        <f ca="1">VLOOKUP($F361,OFFSET(enemy_skill_triggers!$A$1,0,0,COUNTA(enemy_skill_triggers!$A:$A),MATCH(I$1,enemy_skill_triggers!$1:$1,0)-MATCH($F$1,enemy_skill_triggers!$1:$1,0)+1),MATCH(I$1,enemy_skill_triggers!$1:$1,0)-MATCH($F$1,enemy_skill_triggers!$1:$1,0)+1,FALSE)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1" s="114" t="str">
        <f ca="1">VLOOKUP($F361,OFFSET(enemy_skill_triggers!$A$1,0,0,COUNTA(enemy_skill_triggers!$A:$A),MATCH(J$1,enemy_skill_triggers!$1:$1,0)-MATCH($F$1,enemy_skill_triggers!$1:$1,0)+1),MATCH(J$1,enemy_skill_triggers!$1:$1,0)-MATCH($F$1,enemy_skill_triggers!$1:$1,0)+1,FALSE)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1" s="114" t="str">
        <f ca="1">VLOOKUP($F361,OFFSET(enemy_skill_triggers!$A$1,0,0,COUNTA(enemy_skill_triggers!$A:$A),MATCH(K$1,enemy_skill_triggers!$1:$1,0)-MATCH($F$1,enemy_skill_triggers!$1:$1,0)+1),MATCH(K$1,enemy_skill_triggers!$1:$1,0)-MATCH($F$1,enemy_skill_triggers!$1:$1,0)+1,FALSE)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1" s="114">
        <f ca="1">VLOOKUP($F361,OFFSET(enemy_skill_triggers!$A$1,0,0,COUNTA(enemy_skill_triggers!$A:$A),MATCH(L$1,enemy_skill_triggers!$1:$1,0)-MATCH($F$1,enemy_skill_triggers!$1:$1,0)+1),MATCH(L$1,enemy_skill_triggers!$1:$1,0)-MATCH($F$1,enemy_skill_triggers!$1:$1,0)+1,FALSE)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61" s="114" t="str">
        <f ca="1">VLOOKUP($F361,OFFSET(enemy_skill_triggers!$A$1,0,0,COUNTA(enemy_skill_triggers!$A:$A),MATCH(M$1,enemy_skill_triggers!$1:$1,0)-MATCH($F$1,enemy_skill_triggers!$1:$1,0)+1),MATCH(M$1,enemy_skill_triggers!$1:$1,0)-MATCH($F$1,enemy_skill_triggers!$1:$1,0)+1,FALSE)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1" s="114">
        <f ca="1">VLOOKUP($F361,OFFSET(enemy_skill_triggers!$A$1,0,0,COUNTA(enemy_skill_triggers!$A:$A),MATCH(N$1,enemy_skill_triggers!$1:$1,0)-MATCH($F$1,enemy_skill_triggers!$1:$1,0)+1),MATCH(N$1,enemy_skill_triggers!$1:$1,0)-MATCH($F$1,enemy_skill_triggers!$1:$1,0)+1,FALSE)</f>
        <v>1467</v>
      </c>
      <c r="O361" s="114">
        <f ca="1">VLOOKUP($F361,OFFSET(enemy_skill_triggers!$A$1,0,0,COUNTA(enemy_skill_triggers!$A:$A),MATCH(O$1,enemy_skill_triggers!$1:$1,0)-MATCH($F$1,enemy_skill_triggers!$1:$1,0)+1),MATCH(O$1,enemy_skill_triggers!$1:$1,0)-MATCH($F$1,enemy_skill_triggers!$1:$1,0)+1,FALSE)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1" s="111"/>
      <c r="Q361" s="111"/>
      <c r="R361" s="111"/>
    </row>
    <row r="362" spans="1:18" ht="21" customHeight="1" x14ac:dyDescent="0.15">
      <c r="A362" s="39" t="str">
        <f t="shared" si="5"/>
        <v>49015028_49015270</v>
      </c>
      <c r="B362" s="106">
        <v>49015028</v>
      </c>
      <c r="C362" s="138">
        <v>49015270</v>
      </c>
      <c r="D362" s="144" t="str">
        <f ca="1">VLOOKUP($C362,OFFSET(enemy_skills!$A$1,0,0,COUNTA(enemy_skills!$A:$A),MATCH(D$1,enemy_skills!$1:$1,0)-MATCH("enemy_skill_id",enemy_skills!$1:$1,0)+1),MATCH(D$1,enemy_skills!$1:$1,0)-MATCH("enemy_skill_id",enemy_skills!$1:$1,0)+1,FALSE)</f>
        <v>そこをどけ</v>
      </c>
      <c r="E362" s="144" t="str">
        <f ca="1">VLOOKUP($C362,OFFSET(enemy_skills!$A$1,0,0,COUNTA(enemy_skills!$A:$A),MATCH(E$1,enemy_skills!$1:$1,0)-MATCH("enemy_skill_id",enemy_skills!$1:$1,0)+1),MATCH(E$1,enemy_skills!$1:$1,0)-MATCH("enemy_skill_id",enemy_skills!$1:$1,0)+1,FALSE)</f>
        <v>邪魔するものは排除する</v>
      </c>
      <c r="F362" s="138">
        <v>49015361</v>
      </c>
      <c r="G362" s="109">
        <f ca="1">VLOOKUP($F362,OFFSET(enemy_skill_triggers!$A$1,0,0,COUNTA(enemy_skill_triggers!$A:$A),MATCH(G$1,enemy_skill_triggers!$1:$1,0)-MATCH($F$1,enemy_skill_triggers!$1:$1,0)+1),MATCH(G$1,enemy_skill_triggers!$1:$1,0)-MATCH($F$1,enemy_skill_triggers!$1:$1,0)+1,FALSE)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2" s="109">
        <f ca="1">VLOOKUP($F362,OFFSET(enemy_skill_triggers!$A$1,0,0,COUNTA(enemy_skill_triggers!$A:$A),MATCH(H$1,enemy_skill_triggers!$1:$1,0)-MATCH($F$1,enemy_skill_triggers!$1:$1,0)+1),MATCH(H$1,enemy_skill_triggers!$1:$1,0)-MATCH($F$1,enemy_skill_triggers!$1:$1,0)+1,FALSE)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362" s="109">
        <f ca="1">VLOOKUP($F362,OFFSET(enemy_skill_triggers!$A$1,0,0,COUNTA(enemy_skill_triggers!$A:$A),MATCH(I$1,enemy_skill_triggers!$1:$1,0)-MATCH($F$1,enemy_skill_triggers!$1:$1,0)+1),MATCH(I$1,enemy_skill_triggers!$1:$1,0)-MATCH($F$1,enemy_skill_triggers!$1:$1,0)+1,FALSE)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2" s="109" t="str">
        <f ca="1">VLOOKUP($F362,OFFSET(enemy_skill_triggers!$A$1,0,0,COUNTA(enemy_skill_triggers!$A:$A),MATCH(J$1,enemy_skill_triggers!$1:$1,0)-MATCH($F$1,enemy_skill_triggers!$1:$1,0)+1),MATCH(J$1,enemy_skill_triggers!$1:$1,0)-MATCH($F$1,enemy_skill_triggers!$1:$1,0)+1,FALSE)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2" s="109" t="str">
        <f ca="1">VLOOKUP($F362,OFFSET(enemy_skill_triggers!$A$1,0,0,COUNTA(enemy_skill_triggers!$A:$A),MATCH(K$1,enemy_skill_triggers!$1:$1,0)-MATCH($F$1,enemy_skill_triggers!$1:$1,0)+1),MATCH(K$1,enemy_skill_triggers!$1:$1,0)-MATCH($F$1,enemy_skill_triggers!$1:$1,0)+1,FALSE)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2" s="109">
        <f ca="1">VLOOKUP($F362,OFFSET(enemy_skill_triggers!$A$1,0,0,COUNTA(enemy_skill_triggers!$A:$A),MATCH(L$1,enemy_skill_triggers!$1:$1,0)-MATCH($F$1,enemy_skill_triggers!$1:$1,0)+1),MATCH(L$1,enemy_skill_triggers!$1:$1,0)-MATCH($F$1,enemy_skill_triggers!$1:$1,0)+1,FALSE)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2" s="109" t="str">
        <f ca="1">VLOOKUP($F362,OFFSET(enemy_skill_triggers!$A$1,0,0,COUNTA(enemy_skill_triggers!$A:$A),MATCH(M$1,enemy_skill_triggers!$1:$1,0)-MATCH($F$1,enemy_skill_triggers!$1:$1,0)+1),MATCH(M$1,enemy_skill_triggers!$1:$1,0)-MATCH($F$1,enemy_skill_triggers!$1:$1,0)+1,FALSE)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2" s="109" t="str">
        <f ca="1">VLOOKUP($F362,OFFSET(enemy_skill_triggers!$A$1,0,0,COUNTA(enemy_skill_triggers!$A:$A),MATCH(N$1,enemy_skill_triggers!$1:$1,0)-MATCH($F$1,enemy_skill_triggers!$1:$1,0)+1),MATCH(N$1,enemy_skill_triggers!$1:$1,0)-MATCH($F$1,enemy_skill_triggers!$1:$1,0)+1,FALSE)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2" s="109">
        <f ca="1">VLOOKUP($F362,OFFSET(enemy_skill_triggers!$A$1,0,0,COUNTA(enemy_skill_triggers!$A:$A),MATCH(O$1,enemy_skill_triggers!$1:$1,0)-MATCH($F$1,enemy_skill_triggers!$1:$1,0)+1),MATCH(O$1,enemy_skill_triggers!$1:$1,0)-MATCH($F$1,enemy_skill_triggers!$1:$1,0)+1,FALSE)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2" s="106"/>
      <c r="Q362" s="106"/>
      <c r="R362" s="106"/>
    </row>
    <row r="363" spans="1:18" ht="21" customHeight="1" x14ac:dyDescent="0.15">
      <c r="A363" s="39" t="str">
        <f t="shared" si="5"/>
        <v>49015028_49015271</v>
      </c>
      <c r="B363" s="106">
        <v>49015028</v>
      </c>
      <c r="C363" s="138">
        <v>49015271</v>
      </c>
      <c r="D363" s="46" t="str">
        <f ca="1">VLOOKUP($C363,OFFSET(enemy_skills!$A$1,0,0,COUNTA(enemy_skills!$A:$A),MATCH(D$1,enemy_skills!$1:$1,0)-MATCH("enemy_skill_id",enemy_skills!$1:$1,0)+1),MATCH(D$1,enemy_skills!$1:$1,0)-MATCH("enemy_skill_id",enemy_skills!$1:$1,0)+1,FALSE)</f>
        <v>なんという僥倖！_x000D_このような世界で会えるとは！</v>
      </c>
      <c r="E363" s="46" t="str">
        <f ca="1">VLOOKUP($C363,OFFSET(enemy_skills!$A$1,0,0,COUNTA(enemy_skills!$A:$A),MATCH(E$1,enemy_skills!$1:$1,0)-MATCH("enemy_skill_id",enemy_skills!$1:$1,0)+1),MATCH(E$1,enemy_skills!$1:$1,0)-MATCH("enemy_skill_id",enemy_skills!$1:$1,0)+1,FALSE)</f>
        <v>【エドは黄パネルを錬成し始めた！】</v>
      </c>
      <c r="F363" s="138">
        <v>49015362</v>
      </c>
      <c r="G363" s="48">
        <f ca="1">VLOOKUP($F363,OFFSET(enemy_skill_triggers!$A$1,0,0,COUNTA(enemy_skill_triggers!$A:$A),MATCH(G$1,enemy_skill_triggers!$1:$1,0)-MATCH($F$1,enemy_skill_triggers!$1:$1,0)+1),MATCH(G$1,enemy_skill_triggers!$1:$1,0)-MATCH($F$1,enemy_skill_triggers!$1:$1,0)+1,FALSE)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3" s="48">
        <f ca="1">VLOOKUP($F363,OFFSET(enemy_skill_triggers!$A$1,0,0,COUNTA(enemy_skill_triggers!$A:$A),MATCH(H$1,enemy_skill_triggers!$1:$1,0)-MATCH($F$1,enemy_skill_triggers!$1:$1,0)+1),MATCH(H$1,enemy_skill_triggers!$1:$1,0)-MATCH($F$1,enemy_skill_triggers!$1:$1,0)+1,FALSE)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63" s="48">
        <f ca="1">VLOOKUP($F363,OFFSET(enemy_skill_triggers!$A$1,0,0,COUNTA(enemy_skill_triggers!$A:$A),MATCH(I$1,enemy_skill_triggers!$1:$1,0)-MATCH($F$1,enemy_skill_triggers!$1:$1,0)+1),MATCH(I$1,enemy_skill_triggers!$1:$1,0)-MATCH($F$1,enemy_skill_triggers!$1:$1,0)+1,FALSE)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3" s="48" t="str">
        <f ca="1">VLOOKUP($F363,OFFSET(enemy_skill_triggers!$A$1,0,0,COUNTA(enemy_skill_triggers!$A:$A),MATCH(J$1,enemy_skill_triggers!$1:$1,0)-MATCH($F$1,enemy_skill_triggers!$1:$1,0)+1),MATCH(J$1,enemy_skill_triggers!$1:$1,0)-MATCH($F$1,enemy_skill_triggers!$1:$1,0)+1,FALSE)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3" s="48" t="str">
        <f ca="1">VLOOKUP($F363,OFFSET(enemy_skill_triggers!$A$1,0,0,COUNTA(enemy_skill_triggers!$A:$A),MATCH(K$1,enemy_skill_triggers!$1:$1,0)-MATCH($F$1,enemy_skill_triggers!$1:$1,0)+1),MATCH(K$1,enemy_skill_triggers!$1:$1,0)-MATCH($F$1,enemy_skill_triggers!$1:$1,0)+1,FALSE)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3" s="48">
        <f ca="1">VLOOKUP($F363,OFFSET(enemy_skill_triggers!$A$1,0,0,COUNTA(enemy_skill_triggers!$A:$A),MATCH(L$1,enemy_skill_triggers!$1:$1,0)-MATCH($F$1,enemy_skill_triggers!$1:$1,0)+1),MATCH(L$1,enemy_skill_triggers!$1:$1,0)-MATCH($F$1,enemy_skill_triggers!$1:$1,0)+1,FALSE)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3" s="48" t="str">
        <f ca="1">VLOOKUP($F363,OFFSET(enemy_skill_triggers!$A$1,0,0,COUNTA(enemy_skill_triggers!$A:$A),MATCH(M$1,enemy_skill_triggers!$1:$1,0)-MATCH($F$1,enemy_skill_triggers!$1:$1,0)+1),MATCH(M$1,enemy_skill_triggers!$1:$1,0)-MATCH($F$1,enemy_skill_triggers!$1:$1,0)+1,FALSE)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3" s="48">
        <f ca="1">VLOOKUP($F363,OFFSET(enemy_skill_triggers!$A$1,0,0,COUNTA(enemy_skill_triggers!$A:$A),MATCH(N$1,enemy_skill_triggers!$1:$1,0)-MATCH($F$1,enemy_skill_triggers!$1:$1,0)+1),MATCH(N$1,enemy_skill_triggers!$1:$1,0)-MATCH($F$1,enemy_skill_triggers!$1:$1,0)+1,FALSE)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363" s="48">
        <f ca="1">VLOOKUP($F363,OFFSET(enemy_skill_triggers!$A$1,0,0,COUNTA(enemy_skill_triggers!$A:$A),MATCH(O$1,enemy_skill_triggers!$1:$1,0)-MATCH($F$1,enemy_skill_triggers!$1:$1,0)+1),MATCH(O$1,enemy_skill_triggers!$1:$1,0)-MATCH($F$1,enemy_skill_triggers!$1:$1,0)+1,FALSE)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3" s="47"/>
      <c r="Q363" s="47"/>
      <c r="R363" s="47"/>
    </row>
    <row r="364" spans="1:18" ht="21" customHeight="1" x14ac:dyDescent="0.15">
      <c r="A364" s="39" t="str">
        <f t="shared" si="5"/>
        <v>49015028_49015271</v>
      </c>
      <c r="B364" s="106">
        <v>49015028</v>
      </c>
      <c r="C364" s="138">
        <v>49015271</v>
      </c>
      <c r="D364" s="46" t="str">
        <f ca="1">VLOOKUP($C364,OFFSET(enemy_skills!$A$1,0,0,COUNTA(enemy_skills!$A:$A),MATCH(D$1,enemy_skills!$1:$1,0)-MATCH("enemy_skill_id",enemy_skills!$1:$1,0)+1),MATCH(D$1,enemy_skills!$1:$1,0)-MATCH("enemy_skill_id",enemy_skills!$1:$1,0)+1,FALSE)</f>
        <v>なんという僥倖！_x000D_このような世界で会えるとは！</v>
      </c>
      <c r="E364" s="46" t="str">
        <f ca="1">VLOOKUP($C364,OFFSET(enemy_skills!$A$1,0,0,COUNTA(enemy_skills!$A:$A),MATCH(E$1,enemy_skills!$1:$1,0)-MATCH("enemy_skill_id",enemy_skills!$1:$1,0)+1),MATCH(E$1,enemy_skills!$1:$1,0)-MATCH("enemy_skill_id",enemy_skills!$1:$1,0)+1,FALSE)</f>
        <v>【エドは黄パネルを錬成し始めた！】</v>
      </c>
      <c r="F364" s="138">
        <v>49015363</v>
      </c>
      <c r="G364" s="48">
        <f ca="1">VLOOKUP($F364,OFFSET(enemy_skill_triggers!$A$1,0,0,COUNTA(enemy_skill_triggers!$A:$A),MATCH(G$1,enemy_skill_triggers!$1:$1,0)-MATCH($F$1,enemy_skill_triggers!$1:$1,0)+1),MATCH(G$1,enemy_skill_triggers!$1:$1,0)-MATCH($F$1,enemy_skill_triggers!$1:$1,0)+1,FALSE)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4" s="48">
        <f ca="1">VLOOKUP($F364,OFFSET(enemy_skill_triggers!$A$1,0,0,COUNTA(enemy_skill_triggers!$A:$A),MATCH(H$1,enemy_skill_triggers!$1:$1,0)-MATCH($F$1,enemy_skill_triggers!$1:$1,0)+1),MATCH(H$1,enemy_skill_triggers!$1:$1,0)-MATCH($F$1,enemy_skill_triggers!$1:$1,0)+1,FALSE)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64" s="48">
        <f ca="1">VLOOKUP($F364,OFFSET(enemy_skill_triggers!$A$1,0,0,COUNTA(enemy_skill_triggers!$A:$A),MATCH(I$1,enemy_skill_triggers!$1:$1,0)-MATCH($F$1,enemy_skill_triggers!$1:$1,0)+1),MATCH(I$1,enemy_skill_triggers!$1:$1,0)-MATCH($F$1,enemy_skill_triggers!$1:$1,0)+1,FALSE)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4" s="48" t="str">
        <f ca="1">VLOOKUP($F364,OFFSET(enemy_skill_triggers!$A$1,0,0,COUNTA(enemy_skill_triggers!$A:$A),MATCH(J$1,enemy_skill_triggers!$1:$1,0)-MATCH($F$1,enemy_skill_triggers!$1:$1,0)+1),MATCH(J$1,enemy_skill_triggers!$1:$1,0)-MATCH($F$1,enemy_skill_triggers!$1:$1,0)+1,FALSE)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4" s="48" t="str">
        <f ca="1">VLOOKUP($F364,OFFSET(enemy_skill_triggers!$A$1,0,0,COUNTA(enemy_skill_triggers!$A:$A),MATCH(K$1,enemy_skill_triggers!$1:$1,0)-MATCH($F$1,enemy_skill_triggers!$1:$1,0)+1),MATCH(K$1,enemy_skill_triggers!$1:$1,0)-MATCH($F$1,enemy_skill_triggers!$1:$1,0)+1,FALSE)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4" s="48">
        <f ca="1">VLOOKUP($F364,OFFSET(enemy_skill_triggers!$A$1,0,0,COUNTA(enemy_skill_triggers!$A:$A),MATCH(L$1,enemy_skill_triggers!$1:$1,0)-MATCH($F$1,enemy_skill_triggers!$1:$1,0)+1),MATCH(L$1,enemy_skill_triggers!$1:$1,0)-MATCH($F$1,enemy_skill_triggers!$1:$1,0)+1,FALSE)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4" s="48" t="str">
        <f ca="1">VLOOKUP($F364,OFFSET(enemy_skill_triggers!$A$1,0,0,COUNTA(enemy_skill_triggers!$A:$A),MATCH(M$1,enemy_skill_triggers!$1:$1,0)-MATCH($F$1,enemy_skill_triggers!$1:$1,0)+1),MATCH(M$1,enemy_skill_triggers!$1:$1,0)-MATCH($F$1,enemy_skill_triggers!$1:$1,0)+1,FALSE)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4" s="48">
        <f ca="1">VLOOKUP($F364,OFFSET(enemy_skill_triggers!$A$1,0,0,COUNTA(enemy_skill_triggers!$A:$A),MATCH(N$1,enemy_skill_triggers!$1:$1,0)-MATCH($F$1,enemy_skill_triggers!$1:$1,0)+1),MATCH(N$1,enemy_skill_triggers!$1:$1,0)-MATCH($F$1,enemy_skill_triggers!$1:$1,0)+1,FALSE)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364" s="48">
        <f ca="1">VLOOKUP($F364,OFFSET(enemy_skill_triggers!$A$1,0,0,COUNTA(enemy_skill_triggers!$A:$A),MATCH(O$1,enemy_skill_triggers!$1:$1,0)-MATCH($F$1,enemy_skill_triggers!$1:$1,0)+1),MATCH(O$1,enemy_skill_triggers!$1:$1,0)-MATCH($F$1,enemy_skill_triggers!$1:$1,0)+1,FALSE)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4" s="47"/>
      <c r="Q364" s="47"/>
      <c r="R364" s="47"/>
    </row>
    <row r="365" spans="1:18" ht="21" customHeight="1" x14ac:dyDescent="0.15">
      <c r="A365" s="39" t="str">
        <f t="shared" si="5"/>
        <v>49015028_49015272</v>
      </c>
      <c r="B365" s="106">
        <v>49015028</v>
      </c>
      <c r="C365" s="138">
        <v>49015272</v>
      </c>
      <c r="D365" s="46" t="str">
        <f ca="1">VLOOKUP($C365,OFFSET(enemy_skills!$A$1,0,0,COUNTA(enemy_skills!$A:$A),MATCH(D$1,enemy_skills!$1:$1,0)-MATCH("enemy_skill_id",enemy_skills!$1:$1,0)+1),MATCH(D$1,enemy_skills!$1:$1,0)-MATCH("enemy_skill_id",enemy_skills!$1:$1,0)+1,FALSE)</f>
        <v>貴様一人か？</v>
      </c>
      <c r="E365" s="46" t="str">
        <f ca="1">VLOOKUP($C365,OFFSET(enemy_skills!$A$1,0,0,COUNTA(enemy_skills!$A:$A),MATCH(E$1,enemy_skills!$1:$1,0)-MATCH("enemy_skill_id",enemy_skills!$1:$1,0)+1),MATCH(E$1,enemy_skills!$1:$1,0)-MATCH("enemy_skill_id",enemy_skills!$1:$1,0)+1,FALSE)</f>
        <v>鋼の錬金術師はどうした？</v>
      </c>
      <c r="F365" s="138">
        <v>49015364</v>
      </c>
      <c r="G365" s="48">
        <f ca="1">VLOOKUP($F365,OFFSET(enemy_skill_triggers!$A$1,0,0,COUNTA(enemy_skill_triggers!$A:$A),MATCH(G$1,enemy_skill_triggers!$1:$1,0)-MATCH($F$1,enemy_skill_triggers!$1:$1,0)+1),MATCH(G$1,enemy_skill_triggers!$1:$1,0)-MATCH($F$1,enemy_skill_triggers!$1:$1,0)+1,FALSE)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5" s="48">
        <f ca="1">VLOOKUP($F365,OFFSET(enemy_skill_triggers!$A$1,0,0,COUNTA(enemy_skill_triggers!$A:$A),MATCH(H$1,enemy_skill_triggers!$1:$1,0)-MATCH($F$1,enemy_skill_triggers!$1:$1,0)+1),MATCH(H$1,enemy_skill_triggers!$1:$1,0)-MATCH($F$1,enemy_skill_triggers!$1:$1,0)+1,FALSE)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65" s="48">
        <f ca="1">VLOOKUP($F365,OFFSET(enemy_skill_triggers!$A$1,0,0,COUNTA(enemy_skill_triggers!$A:$A),MATCH(I$1,enemy_skill_triggers!$1:$1,0)-MATCH($F$1,enemy_skill_triggers!$1:$1,0)+1),MATCH(I$1,enemy_skill_triggers!$1:$1,0)-MATCH($F$1,enemy_skill_triggers!$1:$1,0)+1,FALSE)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5" s="48" t="str">
        <f ca="1">VLOOKUP($F365,OFFSET(enemy_skill_triggers!$A$1,0,0,COUNTA(enemy_skill_triggers!$A:$A),MATCH(J$1,enemy_skill_triggers!$1:$1,0)-MATCH($F$1,enemy_skill_triggers!$1:$1,0)+1),MATCH(J$1,enemy_skill_triggers!$1:$1,0)-MATCH($F$1,enemy_skill_triggers!$1:$1,0)+1,FALSE)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5" s="48" t="str">
        <f ca="1">VLOOKUP($F365,OFFSET(enemy_skill_triggers!$A$1,0,0,COUNTA(enemy_skill_triggers!$A:$A),MATCH(K$1,enemy_skill_triggers!$1:$1,0)-MATCH($F$1,enemy_skill_triggers!$1:$1,0)+1),MATCH(K$1,enemy_skill_triggers!$1:$1,0)-MATCH($F$1,enemy_skill_triggers!$1:$1,0)+1,FALSE)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5" s="48">
        <f ca="1">VLOOKUP($F365,OFFSET(enemy_skill_triggers!$A$1,0,0,COUNTA(enemy_skill_triggers!$A:$A),MATCH(L$1,enemy_skill_triggers!$1:$1,0)-MATCH($F$1,enemy_skill_triggers!$1:$1,0)+1),MATCH(L$1,enemy_skill_triggers!$1:$1,0)-MATCH($F$1,enemy_skill_triggers!$1:$1,0)+1,FALSE)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5" s="48" t="str">
        <f ca="1">VLOOKUP($F365,OFFSET(enemy_skill_triggers!$A$1,0,0,COUNTA(enemy_skill_triggers!$A:$A),MATCH(M$1,enemy_skill_triggers!$1:$1,0)-MATCH($F$1,enemy_skill_triggers!$1:$1,0)+1),MATCH(M$1,enemy_skill_triggers!$1:$1,0)-MATCH($F$1,enemy_skill_triggers!$1:$1,0)+1,FALSE)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5" s="48">
        <f ca="1">VLOOKUP($F365,OFFSET(enemy_skill_triggers!$A$1,0,0,COUNTA(enemy_skill_triggers!$A:$A),MATCH(N$1,enemy_skill_triggers!$1:$1,0)-MATCH($F$1,enemy_skill_triggers!$1:$1,0)+1),MATCH(N$1,enemy_skill_triggers!$1:$1,0)-MATCH($F$1,enemy_skill_triggers!$1:$1,0)+1,FALSE)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365" s="48">
        <f ca="1">VLOOKUP($F365,OFFSET(enemy_skill_triggers!$A$1,0,0,COUNTA(enemy_skill_triggers!$A:$A),MATCH(O$1,enemy_skill_triggers!$1:$1,0)-MATCH($F$1,enemy_skill_triggers!$1:$1,0)+1),MATCH(O$1,enemy_skill_triggers!$1:$1,0)-MATCH($F$1,enemy_skill_triggers!$1:$1,0)+1,FALSE)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5" s="47"/>
      <c r="Q365" s="47"/>
      <c r="R365" s="47"/>
    </row>
    <row r="366" spans="1:18" ht="21" customHeight="1" x14ac:dyDescent="0.15">
      <c r="A366" s="39" t="str">
        <f t="shared" si="5"/>
        <v>49015028_49015272</v>
      </c>
      <c r="B366" s="106">
        <v>49015028</v>
      </c>
      <c r="C366" s="138">
        <v>49015272</v>
      </c>
      <c r="D366" s="46" t="str">
        <f ca="1">VLOOKUP($C366,OFFSET(enemy_skills!$A$1,0,0,COUNTA(enemy_skills!$A:$A),MATCH(D$1,enemy_skills!$1:$1,0)-MATCH("enemy_skill_id",enemy_skills!$1:$1,0)+1),MATCH(D$1,enemy_skills!$1:$1,0)-MATCH("enemy_skill_id",enemy_skills!$1:$1,0)+1,FALSE)</f>
        <v>貴様一人か？</v>
      </c>
      <c r="E366" s="46" t="str">
        <f ca="1">VLOOKUP($C366,OFFSET(enemy_skills!$A$1,0,0,COUNTA(enemy_skills!$A:$A),MATCH(E$1,enemy_skills!$1:$1,0)-MATCH("enemy_skill_id",enemy_skills!$1:$1,0)+1),MATCH(E$1,enemy_skills!$1:$1,0)-MATCH("enemy_skill_id",enemy_skills!$1:$1,0)+1,FALSE)</f>
        <v>鋼の錬金術師はどうした？</v>
      </c>
      <c r="F366" s="138">
        <v>49015365</v>
      </c>
      <c r="G366" s="48">
        <f ca="1">VLOOKUP($F366,OFFSET(enemy_skill_triggers!$A$1,0,0,COUNTA(enemy_skill_triggers!$A:$A),MATCH(G$1,enemy_skill_triggers!$1:$1,0)-MATCH($F$1,enemy_skill_triggers!$1:$1,0)+1),MATCH(G$1,enemy_skill_triggers!$1:$1,0)-MATCH($F$1,enemy_skill_triggers!$1:$1,0)+1,FALSE)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6" s="48">
        <f ca="1">VLOOKUP($F366,OFFSET(enemy_skill_triggers!$A$1,0,0,COUNTA(enemy_skill_triggers!$A:$A),MATCH(H$1,enemy_skill_triggers!$1:$1,0)-MATCH($F$1,enemy_skill_triggers!$1:$1,0)+1),MATCH(H$1,enemy_skill_triggers!$1:$1,0)-MATCH($F$1,enemy_skill_triggers!$1:$1,0)+1,FALSE)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366" s="48">
        <f ca="1">VLOOKUP($F366,OFFSET(enemy_skill_triggers!$A$1,0,0,COUNTA(enemy_skill_triggers!$A:$A),MATCH(I$1,enemy_skill_triggers!$1:$1,0)-MATCH($F$1,enemy_skill_triggers!$1:$1,0)+1),MATCH(I$1,enemy_skill_triggers!$1:$1,0)-MATCH($F$1,enemy_skill_triggers!$1:$1,0)+1,FALSE)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6" s="48" t="str">
        <f ca="1">VLOOKUP($F366,OFFSET(enemy_skill_triggers!$A$1,0,0,COUNTA(enemy_skill_triggers!$A:$A),MATCH(J$1,enemy_skill_triggers!$1:$1,0)-MATCH($F$1,enemy_skill_triggers!$1:$1,0)+1),MATCH(J$1,enemy_skill_triggers!$1:$1,0)-MATCH($F$1,enemy_skill_triggers!$1:$1,0)+1,FALSE)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6" s="48" t="str">
        <f ca="1">VLOOKUP($F366,OFFSET(enemy_skill_triggers!$A$1,0,0,COUNTA(enemy_skill_triggers!$A:$A),MATCH(K$1,enemy_skill_triggers!$1:$1,0)-MATCH($F$1,enemy_skill_triggers!$1:$1,0)+1),MATCH(K$1,enemy_skill_triggers!$1:$1,0)-MATCH($F$1,enemy_skill_triggers!$1:$1,0)+1,FALSE)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6" s="48">
        <f ca="1">VLOOKUP($F366,OFFSET(enemy_skill_triggers!$A$1,0,0,COUNTA(enemy_skill_triggers!$A:$A),MATCH(L$1,enemy_skill_triggers!$1:$1,0)-MATCH($F$1,enemy_skill_triggers!$1:$1,0)+1),MATCH(L$1,enemy_skill_triggers!$1:$1,0)-MATCH($F$1,enemy_skill_triggers!$1:$1,0)+1,FALSE)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6" s="48" t="str">
        <f ca="1">VLOOKUP($F366,OFFSET(enemy_skill_triggers!$A$1,0,0,COUNTA(enemy_skill_triggers!$A:$A),MATCH(M$1,enemy_skill_triggers!$1:$1,0)-MATCH($F$1,enemy_skill_triggers!$1:$1,0)+1),MATCH(M$1,enemy_skill_triggers!$1:$1,0)-MATCH($F$1,enemy_skill_triggers!$1:$1,0)+1,FALSE)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6" s="48">
        <f ca="1">VLOOKUP($F366,OFFSET(enemy_skill_triggers!$A$1,0,0,COUNTA(enemy_skill_triggers!$A:$A),MATCH(N$1,enemy_skill_triggers!$1:$1,0)-MATCH($F$1,enemy_skill_triggers!$1:$1,0)+1),MATCH(N$1,enemy_skill_triggers!$1:$1,0)-MATCH($F$1,enemy_skill_triggers!$1:$1,0)+1,FALSE)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366" s="48">
        <f ca="1">VLOOKUP($F366,OFFSET(enemy_skill_triggers!$A$1,0,0,COUNTA(enemy_skill_triggers!$A:$A),MATCH(O$1,enemy_skill_triggers!$1:$1,0)-MATCH($F$1,enemy_skill_triggers!$1:$1,0)+1),MATCH(O$1,enemy_skill_triggers!$1:$1,0)-MATCH($F$1,enemy_skill_triggers!$1:$1,0)+1,FALSE)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6" s="47"/>
      <c r="Q366" s="47"/>
      <c r="R366" s="47"/>
    </row>
    <row r="367" spans="1:18" ht="21" customHeight="1" x14ac:dyDescent="0.15">
      <c r="A367" s="39" t="str">
        <f t="shared" si="5"/>
        <v>49015028_49015273</v>
      </c>
      <c r="B367" s="106">
        <v>49015028</v>
      </c>
      <c r="C367" s="138">
        <v>49015273</v>
      </c>
      <c r="D367" s="46" t="str">
        <f ca="1">VLOOKUP($C367,OFFSET(enemy_skills!$A$1,0,0,COUNTA(enemy_skills!$A:$A),MATCH(D$1,enemy_skills!$1:$1,0)-MATCH("enemy_skill_id",enemy_skills!$1:$1,0)+1),MATCH(D$1,enemy_skills!$1:$1,0)-MATCH("enemy_skill_id",enemy_skills!$1:$1,0)+1,FALSE)</f>
        <v>貴様の業火にやられた同胞の恨み！</v>
      </c>
      <c r="E367" s="46" t="str">
        <f ca="1">VLOOKUP($C367,OFFSET(enemy_skills!$A$1,0,0,COUNTA(enemy_skills!$A:$A),MATCH(E$1,enemy_skills!$1:$1,0)-MATCH("enemy_skill_id",enemy_skills!$1:$1,0)+1),MATCH(E$1,enemy_skills!$1:$1,0)-MATCH("enemy_skill_id",enemy_skills!$1:$1,0)+1,FALSE)</f>
        <v>思い知らせてくれる！</v>
      </c>
      <c r="F367" s="138">
        <v>49015366</v>
      </c>
      <c r="G367" s="48">
        <f ca="1">VLOOKUP($F367,OFFSET(enemy_skill_triggers!$A$1,0,0,COUNTA(enemy_skill_triggers!$A:$A),MATCH(G$1,enemy_skill_triggers!$1:$1,0)-MATCH($F$1,enemy_skill_triggers!$1:$1,0)+1),MATCH(G$1,enemy_skill_triggers!$1:$1,0)-MATCH($F$1,enemy_skill_triggers!$1:$1,0)+1,FALSE)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7" s="48">
        <f ca="1">VLOOKUP($F367,OFFSET(enemy_skill_triggers!$A$1,0,0,COUNTA(enemy_skill_triggers!$A:$A),MATCH(H$1,enemy_skill_triggers!$1:$1,0)-MATCH($F$1,enemy_skill_triggers!$1:$1,0)+1),MATCH(H$1,enemy_skill_triggers!$1:$1,0)-MATCH($F$1,enemy_skill_triggers!$1:$1,0)+1,FALSE)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67" s="48">
        <f ca="1">VLOOKUP($F367,OFFSET(enemy_skill_triggers!$A$1,0,0,COUNTA(enemy_skill_triggers!$A:$A),MATCH(I$1,enemy_skill_triggers!$1:$1,0)-MATCH($F$1,enemy_skill_triggers!$1:$1,0)+1),MATCH(I$1,enemy_skill_triggers!$1:$1,0)-MATCH($F$1,enemy_skill_triggers!$1:$1,0)+1,FALSE)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7" s="48" t="str">
        <f ca="1">VLOOKUP($F367,OFFSET(enemy_skill_triggers!$A$1,0,0,COUNTA(enemy_skill_triggers!$A:$A),MATCH(J$1,enemy_skill_triggers!$1:$1,0)-MATCH($F$1,enemy_skill_triggers!$1:$1,0)+1),MATCH(J$1,enemy_skill_triggers!$1:$1,0)-MATCH($F$1,enemy_skill_triggers!$1:$1,0)+1,FALSE)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7" s="48" t="str">
        <f ca="1">VLOOKUP($F367,OFFSET(enemy_skill_triggers!$A$1,0,0,COUNTA(enemy_skill_triggers!$A:$A),MATCH(K$1,enemy_skill_triggers!$1:$1,0)-MATCH($F$1,enemy_skill_triggers!$1:$1,0)+1),MATCH(K$1,enemy_skill_triggers!$1:$1,0)-MATCH($F$1,enemy_skill_triggers!$1:$1,0)+1,FALSE)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7" s="48">
        <f ca="1">VLOOKUP($F367,OFFSET(enemy_skill_triggers!$A$1,0,0,COUNTA(enemy_skill_triggers!$A:$A),MATCH(L$1,enemy_skill_triggers!$1:$1,0)-MATCH($F$1,enemy_skill_triggers!$1:$1,0)+1),MATCH(L$1,enemy_skill_triggers!$1:$1,0)-MATCH($F$1,enemy_skill_triggers!$1:$1,0)+1,FALSE)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7" s="48" t="str">
        <f ca="1">VLOOKUP($F367,OFFSET(enemy_skill_triggers!$A$1,0,0,COUNTA(enemy_skill_triggers!$A:$A),MATCH(M$1,enemy_skill_triggers!$1:$1,0)-MATCH($F$1,enemy_skill_triggers!$1:$1,0)+1),MATCH(M$1,enemy_skill_triggers!$1:$1,0)-MATCH($F$1,enemy_skill_triggers!$1:$1,0)+1,FALSE)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7" s="48">
        <f ca="1">VLOOKUP($F367,OFFSET(enemy_skill_triggers!$A$1,0,0,COUNTA(enemy_skill_triggers!$A:$A),MATCH(N$1,enemy_skill_triggers!$1:$1,0)-MATCH($F$1,enemy_skill_triggers!$1:$1,0)+1),MATCH(N$1,enemy_skill_triggers!$1:$1,0)-MATCH($F$1,enemy_skill_triggers!$1:$1,0)+1,FALSE)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367" s="48">
        <f ca="1">VLOOKUP($F367,OFFSET(enemy_skill_triggers!$A$1,0,0,COUNTA(enemy_skill_triggers!$A:$A),MATCH(O$1,enemy_skill_triggers!$1:$1,0)-MATCH($F$1,enemy_skill_triggers!$1:$1,0)+1),MATCH(O$1,enemy_skill_triggers!$1:$1,0)-MATCH($F$1,enemy_skill_triggers!$1:$1,0)+1,FALSE)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7" s="47"/>
      <c r="Q367" s="47"/>
      <c r="R367" s="47"/>
    </row>
    <row r="368" spans="1:18" ht="21" customHeight="1" x14ac:dyDescent="0.15">
      <c r="A368" s="39" t="str">
        <f t="shared" si="5"/>
        <v>49015028_49015273</v>
      </c>
      <c r="B368" s="106">
        <v>49015028</v>
      </c>
      <c r="C368" s="138">
        <v>49015273</v>
      </c>
      <c r="D368" s="46" t="str">
        <f ca="1">VLOOKUP($C368,OFFSET(enemy_skills!$A$1,0,0,COUNTA(enemy_skills!$A:$A),MATCH(D$1,enemy_skills!$1:$1,0)-MATCH("enemy_skill_id",enemy_skills!$1:$1,0)+1),MATCH(D$1,enemy_skills!$1:$1,0)-MATCH("enemy_skill_id",enemy_skills!$1:$1,0)+1,FALSE)</f>
        <v>貴様の業火にやられた同胞の恨み！</v>
      </c>
      <c r="E368" s="46" t="str">
        <f ca="1">VLOOKUP($C368,OFFSET(enemy_skills!$A$1,0,0,COUNTA(enemy_skills!$A:$A),MATCH(E$1,enemy_skills!$1:$1,0)-MATCH("enemy_skill_id",enemy_skills!$1:$1,0)+1),MATCH(E$1,enemy_skills!$1:$1,0)-MATCH("enemy_skill_id",enemy_skills!$1:$1,0)+1,FALSE)</f>
        <v>思い知らせてくれる！</v>
      </c>
      <c r="F368" s="138">
        <v>49015367</v>
      </c>
      <c r="G368" s="48">
        <f ca="1">VLOOKUP($F368,OFFSET(enemy_skill_triggers!$A$1,0,0,COUNTA(enemy_skill_triggers!$A:$A),MATCH(G$1,enemy_skill_triggers!$1:$1,0)-MATCH($F$1,enemy_skill_triggers!$1:$1,0)+1),MATCH(G$1,enemy_skill_triggers!$1:$1,0)-MATCH($F$1,enemy_skill_triggers!$1:$1,0)+1,FALSE)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8" s="48">
        <f ca="1">VLOOKUP($F368,OFFSET(enemy_skill_triggers!$A$1,0,0,COUNTA(enemy_skill_triggers!$A:$A),MATCH(H$1,enemy_skill_triggers!$1:$1,0)-MATCH($F$1,enemy_skill_triggers!$1:$1,0)+1),MATCH(H$1,enemy_skill_triggers!$1:$1,0)-MATCH($F$1,enemy_skill_triggers!$1:$1,0)+1,FALSE)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368" s="48">
        <f ca="1">VLOOKUP($F368,OFFSET(enemy_skill_triggers!$A$1,0,0,COUNTA(enemy_skill_triggers!$A:$A),MATCH(I$1,enemy_skill_triggers!$1:$1,0)-MATCH($F$1,enemy_skill_triggers!$1:$1,0)+1),MATCH(I$1,enemy_skill_triggers!$1:$1,0)-MATCH($F$1,enemy_skill_triggers!$1:$1,0)+1,FALSE)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8" s="48" t="str">
        <f ca="1">VLOOKUP($F368,OFFSET(enemy_skill_triggers!$A$1,0,0,COUNTA(enemy_skill_triggers!$A:$A),MATCH(J$1,enemy_skill_triggers!$1:$1,0)-MATCH($F$1,enemy_skill_triggers!$1:$1,0)+1),MATCH(J$1,enemy_skill_triggers!$1:$1,0)-MATCH($F$1,enemy_skill_triggers!$1:$1,0)+1,FALSE)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8" s="48" t="str">
        <f ca="1">VLOOKUP($F368,OFFSET(enemy_skill_triggers!$A$1,0,0,COUNTA(enemy_skill_triggers!$A:$A),MATCH(K$1,enemy_skill_triggers!$1:$1,0)-MATCH($F$1,enemy_skill_triggers!$1:$1,0)+1),MATCH(K$1,enemy_skill_triggers!$1:$1,0)-MATCH($F$1,enemy_skill_triggers!$1:$1,0)+1,FALSE)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8" s="48">
        <f ca="1">VLOOKUP($F368,OFFSET(enemy_skill_triggers!$A$1,0,0,COUNTA(enemy_skill_triggers!$A:$A),MATCH(L$1,enemy_skill_triggers!$1:$1,0)-MATCH($F$1,enemy_skill_triggers!$1:$1,0)+1),MATCH(L$1,enemy_skill_triggers!$1:$1,0)-MATCH($F$1,enemy_skill_triggers!$1:$1,0)+1,FALSE)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8" s="48" t="str">
        <f ca="1">VLOOKUP($F368,OFFSET(enemy_skill_triggers!$A$1,0,0,COUNTA(enemy_skill_triggers!$A:$A),MATCH(M$1,enemy_skill_triggers!$1:$1,0)-MATCH($F$1,enemy_skill_triggers!$1:$1,0)+1),MATCH(M$1,enemy_skill_triggers!$1:$1,0)-MATCH($F$1,enemy_skill_triggers!$1:$1,0)+1,FALSE)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8" s="48">
        <f ca="1">VLOOKUP($F368,OFFSET(enemy_skill_triggers!$A$1,0,0,COUNTA(enemy_skill_triggers!$A:$A),MATCH(N$1,enemy_skill_triggers!$1:$1,0)-MATCH($F$1,enemy_skill_triggers!$1:$1,0)+1),MATCH(N$1,enemy_skill_triggers!$1:$1,0)-MATCH($F$1,enemy_skill_triggers!$1:$1,0)+1,FALSE)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368" s="48">
        <f ca="1">VLOOKUP($F368,OFFSET(enemy_skill_triggers!$A$1,0,0,COUNTA(enemy_skill_triggers!$A:$A),MATCH(O$1,enemy_skill_triggers!$1:$1,0)-MATCH($F$1,enemy_skill_triggers!$1:$1,0)+1),MATCH(O$1,enemy_skill_triggers!$1:$1,0)-MATCH($F$1,enemy_skill_triggers!$1:$1,0)+1,FALSE)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8" s="47"/>
      <c r="Q368" s="47"/>
      <c r="R368" s="47"/>
    </row>
    <row r="369" spans="1:18" ht="21" customHeight="1" x14ac:dyDescent="0.15">
      <c r="A369" s="39" t="str">
        <f t="shared" si="5"/>
        <v>49015028_49015274</v>
      </c>
      <c r="B369" s="106">
        <v>49015028</v>
      </c>
      <c r="C369" s="138">
        <v>49015274</v>
      </c>
      <c r="D369" s="46" t="str">
        <f ca="1">VLOOKUP($C369,OFFSET(enemy_skills!$A$1,0,0,COUNTA(enemy_skills!$A:$A),MATCH(D$1,enemy_skills!$1:$1,0)-MATCH("enemy_skill_id",enemy_skills!$1:$1,0)+1),MATCH(D$1,enemy_skills!$1:$1,0)-MATCH("enemy_skill_id",enemy_skills!$1:$1,0)+1,FALSE)</f>
        <v>貴様が鷹の目か！</v>
      </c>
      <c r="E369" s="46" t="str">
        <f ca="1">VLOOKUP($C369,OFFSET(enemy_skills!$A$1,0,0,COUNTA(enemy_skills!$A:$A),MATCH(E$1,enemy_skills!$1:$1,0)-MATCH("enemy_skill_id",enemy_skills!$1:$1,0)+1),MATCH(E$1,enemy_skills!$1:$1,0)-MATCH("enemy_skill_id",enemy_skills!$1:$1,0)+1,FALSE)</f>
        <v>貴様に撃たれた同胞の恨み思い知れ！</v>
      </c>
      <c r="F369" s="138">
        <v>49015368</v>
      </c>
      <c r="G369" s="48">
        <f ca="1">VLOOKUP($F369,OFFSET(enemy_skill_triggers!$A$1,0,0,COUNTA(enemy_skill_triggers!$A:$A),MATCH(G$1,enemy_skill_triggers!$1:$1,0)-MATCH($F$1,enemy_skill_triggers!$1:$1,0)+1),MATCH(G$1,enemy_skill_triggers!$1:$1,0)-MATCH($F$1,enemy_skill_triggers!$1:$1,0)+1,FALSE)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9" s="48">
        <f ca="1">VLOOKUP($F369,OFFSET(enemy_skill_triggers!$A$1,0,0,COUNTA(enemy_skill_triggers!$A:$A),MATCH(H$1,enemy_skill_triggers!$1:$1,0)-MATCH($F$1,enemy_skill_triggers!$1:$1,0)+1),MATCH(H$1,enemy_skill_triggers!$1:$1,0)-MATCH($F$1,enemy_skill_triggers!$1:$1,0)+1,FALSE)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69" s="48">
        <f ca="1">VLOOKUP($F369,OFFSET(enemy_skill_triggers!$A$1,0,0,COUNTA(enemy_skill_triggers!$A:$A),MATCH(I$1,enemy_skill_triggers!$1:$1,0)-MATCH($F$1,enemy_skill_triggers!$1:$1,0)+1),MATCH(I$1,enemy_skill_triggers!$1:$1,0)-MATCH($F$1,enemy_skill_triggers!$1:$1,0)+1,FALSE)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9" s="48" t="str">
        <f ca="1">VLOOKUP($F369,OFFSET(enemy_skill_triggers!$A$1,0,0,COUNTA(enemy_skill_triggers!$A:$A),MATCH(J$1,enemy_skill_triggers!$1:$1,0)-MATCH($F$1,enemy_skill_triggers!$1:$1,0)+1),MATCH(J$1,enemy_skill_triggers!$1:$1,0)-MATCH($F$1,enemy_skill_triggers!$1:$1,0)+1,FALSE)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9" s="48" t="str">
        <f ca="1">VLOOKUP($F369,OFFSET(enemy_skill_triggers!$A$1,0,0,COUNTA(enemy_skill_triggers!$A:$A),MATCH(K$1,enemy_skill_triggers!$1:$1,0)-MATCH($F$1,enemy_skill_triggers!$1:$1,0)+1),MATCH(K$1,enemy_skill_triggers!$1:$1,0)-MATCH($F$1,enemy_skill_triggers!$1:$1,0)+1,FALSE)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9" s="48">
        <f ca="1">VLOOKUP($F369,OFFSET(enemy_skill_triggers!$A$1,0,0,COUNTA(enemy_skill_triggers!$A:$A),MATCH(L$1,enemy_skill_triggers!$1:$1,0)-MATCH($F$1,enemy_skill_triggers!$1:$1,0)+1),MATCH(L$1,enemy_skill_triggers!$1:$1,0)-MATCH($F$1,enemy_skill_triggers!$1:$1,0)+1,FALSE)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9" s="48" t="str">
        <f ca="1">VLOOKUP($F369,OFFSET(enemy_skill_triggers!$A$1,0,0,COUNTA(enemy_skill_triggers!$A:$A),MATCH(M$1,enemy_skill_triggers!$1:$1,0)-MATCH($F$1,enemy_skill_triggers!$1:$1,0)+1),MATCH(M$1,enemy_skill_triggers!$1:$1,0)-MATCH($F$1,enemy_skill_triggers!$1:$1,0)+1,FALSE)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9" s="48">
        <f ca="1">VLOOKUP($F369,OFFSET(enemy_skill_triggers!$A$1,0,0,COUNTA(enemy_skill_triggers!$A:$A),MATCH(N$1,enemy_skill_triggers!$1:$1,0)-MATCH($F$1,enemy_skill_triggers!$1:$1,0)+1),MATCH(N$1,enemy_skill_triggers!$1:$1,0)-MATCH($F$1,enemy_skill_triggers!$1:$1,0)+1,FALSE)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369" s="48">
        <f ca="1">VLOOKUP($F369,OFFSET(enemy_skill_triggers!$A$1,0,0,COUNTA(enemy_skill_triggers!$A:$A),MATCH(O$1,enemy_skill_triggers!$1:$1,0)-MATCH($F$1,enemy_skill_triggers!$1:$1,0)+1),MATCH(O$1,enemy_skill_triggers!$1:$1,0)-MATCH($F$1,enemy_skill_triggers!$1:$1,0)+1,FALSE)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9" s="47"/>
      <c r="Q369" s="47"/>
      <c r="R369" s="47"/>
    </row>
    <row r="370" spans="1:18" ht="21" customHeight="1" x14ac:dyDescent="0.15">
      <c r="A370" s="39" t="str">
        <f t="shared" si="5"/>
        <v>49015028_49015274</v>
      </c>
      <c r="B370" s="106">
        <v>49015028</v>
      </c>
      <c r="C370" s="138">
        <v>49015274</v>
      </c>
      <c r="D370" s="46" t="str">
        <f ca="1">VLOOKUP($C370,OFFSET(enemy_skills!$A$1,0,0,COUNTA(enemy_skills!$A:$A),MATCH(D$1,enemy_skills!$1:$1,0)-MATCH("enemy_skill_id",enemy_skills!$1:$1,0)+1),MATCH(D$1,enemy_skills!$1:$1,0)-MATCH("enemy_skill_id",enemy_skills!$1:$1,0)+1,FALSE)</f>
        <v>貴様が鷹の目か！</v>
      </c>
      <c r="E370" s="46" t="str">
        <f ca="1">VLOOKUP($C370,OFFSET(enemy_skills!$A$1,0,0,COUNTA(enemy_skills!$A:$A),MATCH(E$1,enemy_skills!$1:$1,0)-MATCH("enemy_skill_id",enemy_skills!$1:$1,0)+1),MATCH(E$1,enemy_skills!$1:$1,0)-MATCH("enemy_skill_id",enemy_skills!$1:$1,0)+1,FALSE)</f>
        <v>貴様に撃たれた同胞の恨み思い知れ！</v>
      </c>
      <c r="F370" s="138">
        <v>49015369</v>
      </c>
      <c r="G370" s="48">
        <f ca="1">VLOOKUP($F370,OFFSET(enemy_skill_triggers!$A$1,0,0,COUNTA(enemy_skill_triggers!$A:$A),MATCH(G$1,enemy_skill_triggers!$1:$1,0)-MATCH($F$1,enemy_skill_triggers!$1:$1,0)+1),MATCH(G$1,enemy_skill_triggers!$1:$1,0)-MATCH($F$1,enemy_skill_triggers!$1:$1,0)+1,FALSE)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0" s="48">
        <f ca="1">VLOOKUP($F370,OFFSET(enemy_skill_triggers!$A$1,0,0,COUNTA(enemy_skill_triggers!$A:$A),MATCH(H$1,enemy_skill_triggers!$1:$1,0)-MATCH($F$1,enemy_skill_triggers!$1:$1,0)+1),MATCH(H$1,enemy_skill_triggers!$1:$1,0)-MATCH($F$1,enemy_skill_triggers!$1:$1,0)+1,FALSE)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370" s="48">
        <f ca="1">VLOOKUP($F370,OFFSET(enemy_skill_triggers!$A$1,0,0,COUNTA(enemy_skill_triggers!$A:$A),MATCH(I$1,enemy_skill_triggers!$1:$1,0)-MATCH($F$1,enemy_skill_triggers!$1:$1,0)+1),MATCH(I$1,enemy_skill_triggers!$1:$1,0)-MATCH($F$1,enemy_skill_triggers!$1:$1,0)+1,FALSE)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0" s="48" t="str">
        <f ca="1">VLOOKUP($F370,OFFSET(enemy_skill_triggers!$A$1,0,0,COUNTA(enemy_skill_triggers!$A:$A),MATCH(J$1,enemy_skill_triggers!$1:$1,0)-MATCH($F$1,enemy_skill_triggers!$1:$1,0)+1),MATCH(J$1,enemy_skill_triggers!$1:$1,0)-MATCH($F$1,enemy_skill_triggers!$1:$1,0)+1,FALSE)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0" s="48" t="str">
        <f ca="1">VLOOKUP($F370,OFFSET(enemy_skill_triggers!$A$1,0,0,COUNTA(enemy_skill_triggers!$A:$A),MATCH(K$1,enemy_skill_triggers!$1:$1,0)-MATCH($F$1,enemy_skill_triggers!$1:$1,0)+1),MATCH(K$1,enemy_skill_triggers!$1:$1,0)-MATCH($F$1,enemy_skill_triggers!$1:$1,0)+1,FALSE)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0" s="48">
        <f ca="1">VLOOKUP($F370,OFFSET(enemy_skill_triggers!$A$1,0,0,COUNTA(enemy_skill_triggers!$A:$A),MATCH(L$1,enemy_skill_triggers!$1:$1,0)-MATCH($F$1,enemy_skill_triggers!$1:$1,0)+1),MATCH(L$1,enemy_skill_triggers!$1:$1,0)-MATCH($F$1,enemy_skill_triggers!$1:$1,0)+1,FALSE)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0" s="48" t="str">
        <f ca="1">VLOOKUP($F370,OFFSET(enemy_skill_triggers!$A$1,0,0,COUNTA(enemy_skill_triggers!$A:$A),MATCH(M$1,enemy_skill_triggers!$1:$1,0)-MATCH($F$1,enemy_skill_triggers!$1:$1,0)+1),MATCH(M$1,enemy_skill_triggers!$1:$1,0)-MATCH($F$1,enemy_skill_triggers!$1:$1,0)+1,FALSE)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0" s="48">
        <f ca="1">VLOOKUP($F370,OFFSET(enemy_skill_triggers!$A$1,0,0,COUNTA(enemy_skill_triggers!$A:$A),MATCH(N$1,enemy_skill_triggers!$1:$1,0)-MATCH($F$1,enemy_skill_triggers!$1:$1,0)+1),MATCH(N$1,enemy_skill_triggers!$1:$1,0)-MATCH($F$1,enemy_skill_triggers!$1:$1,0)+1,FALSE)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370" s="48">
        <f ca="1">VLOOKUP($F370,OFFSET(enemy_skill_triggers!$A$1,0,0,COUNTA(enemy_skill_triggers!$A:$A),MATCH(O$1,enemy_skill_triggers!$1:$1,0)-MATCH($F$1,enemy_skill_triggers!$1:$1,0)+1),MATCH(O$1,enemy_skill_triggers!$1:$1,0)-MATCH($F$1,enemy_skill_triggers!$1:$1,0)+1,FALSE)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0" s="47"/>
      <c r="Q370" s="47"/>
      <c r="R370" s="47"/>
    </row>
    <row r="371" spans="1:18" ht="21" customHeight="1" x14ac:dyDescent="0.15">
      <c r="A371" s="39" t="str">
        <f t="shared" si="5"/>
        <v>49015028_49015275</v>
      </c>
      <c r="B371" s="106">
        <v>49015028</v>
      </c>
      <c r="C371" s="138">
        <v>49015275</v>
      </c>
      <c r="D371" s="46" t="str">
        <f ca="1">VLOOKUP($C371,OFFSET(enemy_skills!$A$1,0,0,COUNTA(enemy_skills!$A:$A),MATCH(D$1,enemy_skills!$1:$1,0)-MATCH("enemy_skill_id",enemy_skills!$1:$1,0)+1),MATCH(D$1,enemy_skills!$1:$1,0)-MATCH("enemy_skill_id",enemy_skills!$1:$1,0)+1,FALSE)</f>
        <v>我らイシュヴァールの恨み！_x000D_思い知るが良いキング・ブラッドレイ！</v>
      </c>
      <c r="E371" s="46" t="str">
        <f ca="1">VLOOKUP($C371,OFFSET(enemy_skills!$A$1,0,0,COUNTA(enemy_skills!$A:$A),MATCH(E$1,enemy_skills!$1:$1,0)-MATCH("enemy_skill_id",enemy_skills!$1:$1,0)+1),MATCH(E$1,enemy_skills!$1:$1,0)-MATCH("enemy_skill_id",enemy_skills!$1:$1,0)+1,FALSE)</f>
        <v>『復讐鬼が！面白い！！』</v>
      </c>
      <c r="F371" s="138">
        <v>49015370</v>
      </c>
      <c r="G371" s="48">
        <f ca="1">VLOOKUP($F371,OFFSET(enemy_skill_triggers!$A$1,0,0,COUNTA(enemy_skill_triggers!$A:$A),MATCH(G$1,enemy_skill_triggers!$1:$1,0)-MATCH($F$1,enemy_skill_triggers!$1:$1,0)+1),MATCH(G$1,enemy_skill_triggers!$1:$1,0)-MATCH($F$1,enemy_skill_triggers!$1:$1,0)+1,FALSE)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1" s="48">
        <f ca="1">VLOOKUP($F371,OFFSET(enemy_skill_triggers!$A$1,0,0,COUNTA(enemy_skill_triggers!$A:$A),MATCH(H$1,enemy_skill_triggers!$1:$1,0)-MATCH($F$1,enemy_skill_triggers!$1:$1,0)+1),MATCH(H$1,enemy_skill_triggers!$1:$1,0)-MATCH($F$1,enemy_skill_triggers!$1:$1,0)+1,FALSE)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71" s="48">
        <f ca="1">VLOOKUP($F371,OFFSET(enemy_skill_triggers!$A$1,0,0,COUNTA(enemy_skill_triggers!$A:$A),MATCH(I$1,enemy_skill_triggers!$1:$1,0)-MATCH($F$1,enemy_skill_triggers!$1:$1,0)+1),MATCH(I$1,enemy_skill_triggers!$1:$1,0)-MATCH($F$1,enemy_skill_triggers!$1:$1,0)+1,FALSE)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1" s="48" t="str">
        <f ca="1">VLOOKUP($F371,OFFSET(enemy_skill_triggers!$A$1,0,0,COUNTA(enemy_skill_triggers!$A:$A),MATCH(J$1,enemy_skill_triggers!$1:$1,0)-MATCH($F$1,enemy_skill_triggers!$1:$1,0)+1),MATCH(J$1,enemy_skill_triggers!$1:$1,0)-MATCH($F$1,enemy_skill_triggers!$1:$1,0)+1,FALSE)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1" s="48" t="str">
        <f ca="1">VLOOKUP($F371,OFFSET(enemy_skill_triggers!$A$1,0,0,COUNTA(enemy_skill_triggers!$A:$A),MATCH(K$1,enemy_skill_triggers!$1:$1,0)-MATCH($F$1,enemy_skill_triggers!$1:$1,0)+1),MATCH(K$1,enemy_skill_triggers!$1:$1,0)-MATCH($F$1,enemy_skill_triggers!$1:$1,0)+1,FALSE)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1" s="48">
        <f ca="1">VLOOKUP($F371,OFFSET(enemy_skill_triggers!$A$1,0,0,COUNTA(enemy_skill_triggers!$A:$A),MATCH(L$1,enemy_skill_triggers!$1:$1,0)-MATCH($F$1,enemy_skill_triggers!$1:$1,0)+1),MATCH(L$1,enemy_skill_triggers!$1:$1,0)-MATCH($F$1,enemy_skill_triggers!$1:$1,0)+1,FALSE)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1" s="48" t="str">
        <f ca="1">VLOOKUP($F371,OFFSET(enemy_skill_triggers!$A$1,0,0,COUNTA(enemy_skill_triggers!$A:$A),MATCH(M$1,enemy_skill_triggers!$1:$1,0)-MATCH($F$1,enemy_skill_triggers!$1:$1,0)+1),MATCH(M$1,enemy_skill_triggers!$1:$1,0)-MATCH($F$1,enemy_skill_triggers!$1:$1,0)+1,FALSE)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1" s="48">
        <f ca="1">VLOOKUP($F371,OFFSET(enemy_skill_triggers!$A$1,0,0,COUNTA(enemy_skill_triggers!$A:$A),MATCH(N$1,enemy_skill_triggers!$1:$1,0)-MATCH($F$1,enemy_skill_triggers!$1:$1,0)+1),MATCH(N$1,enemy_skill_triggers!$1:$1,0)-MATCH($F$1,enemy_skill_triggers!$1:$1,0)+1,FALSE)</f>
        <v>1469</v>
      </c>
      <c r="O371" s="48">
        <f ca="1">VLOOKUP($F371,OFFSET(enemy_skill_triggers!$A$1,0,0,COUNTA(enemy_skill_triggers!$A:$A),MATCH(O$1,enemy_skill_triggers!$1:$1,0)-MATCH($F$1,enemy_skill_triggers!$1:$1,0)+1),MATCH(O$1,enemy_skill_triggers!$1:$1,0)-MATCH($F$1,enemy_skill_triggers!$1:$1,0)+1,FALSE)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1" s="47"/>
      <c r="Q371" s="47"/>
      <c r="R371" s="47"/>
    </row>
    <row r="372" spans="1:18" ht="21" customHeight="1" x14ac:dyDescent="0.15">
      <c r="A372" s="39" t="str">
        <f t="shared" si="5"/>
        <v>49015028_49015276</v>
      </c>
      <c r="B372" s="106">
        <v>49015028</v>
      </c>
      <c r="C372" s="138">
        <v>49015276</v>
      </c>
      <c r="D372" s="46" t="str">
        <f ca="1">VLOOKUP($C372,OFFSET(enemy_skills!$A$1,0,0,COUNTA(enemy_skills!$A:$A),MATCH(D$1,enemy_skills!$1:$1,0)-MATCH("enemy_skill_id",enemy_skills!$1:$1,0)+1),MATCH(D$1,enemy_skills!$1:$1,0)-MATCH("enemy_skill_id",enemy_skills!$1:$1,0)+1,FALSE)</f>
        <v>姿を変える奇妙なものよ！</v>
      </c>
      <c r="E372" s="46" t="str">
        <f ca="1">VLOOKUP($C372,OFFSET(enemy_skills!$A$1,0,0,COUNTA(enemy_skills!$A:$A),MATCH(E$1,enemy_skills!$1:$1,0)-MATCH("enemy_skill_id",enemy_skills!$1:$1,0)+1),MATCH(E$1,enemy_skills!$1:$1,0)-MATCH("enemy_skill_id",enemy_skills!$1:$1,0)+1,FALSE)</f>
        <v>安息も救いも与えられぬものと思え！</v>
      </c>
      <c r="F372" s="138">
        <v>49015371</v>
      </c>
      <c r="G372" s="48">
        <f ca="1">VLOOKUP($F372,OFFSET(enemy_skill_triggers!$A$1,0,0,COUNTA(enemy_skill_triggers!$A:$A),MATCH(G$1,enemy_skill_triggers!$1:$1,0)-MATCH($F$1,enemy_skill_triggers!$1:$1,0)+1),MATCH(G$1,enemy_skill_triggers!$1:$1,0)-MATCH($F$1,enemy_skill_triggers!$1:$1,0)+1,FALSE)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2" s="48">
        <f ca="1">VLOOKUP($F372,OFFSET(enemy_skill_triggers!$A$1,0,0,COUNTA(enemy_skill_triggers!$A:$A),MATCH(H$1,enemy_skill_triggers!$1:$1,0)-MATCH($F$1,enemy_skill_triggers!$1:$1,0)+1),MATCH(H$1,enemy_skill_triggers!$1:$1,0)-MATCH($F$1,enemy_skill_triggers!$1:$1,0)+1,FALSE)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72" s="48">
        <f ca="1">VLOOKUP($F372,OFFSET(enemy_skill_triggers!$A$1,0,0,COUNTA(enemy_skill_triggers!$A:$A),MATCH(I$1,enemy_skill_triggers!$1:$1,0)-MATCH($F$1,enemy_skill_triggers!$1:$1,0)+1),MATCH(I$1,enemy_skill_triggers!$1:$1,0)-MATCH($F$1,enemy_skill_triggers!$1:$1,0)+1,FALSE)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2" s="48" t="str">
        <f ca="1">VLOOKUP($F372,OFFSET(enemy_skill_triggers!$A$1,0,0,COUNTA(enemy_skill_triggers!$A:$A),MATCH(J$1,enemy_skill_triggers!$1:$1,0)-MATCH($F$1,enemy_skill_triggers!$1:$1,0)+1),MATCH(J$1,enemy_skill_triggers!$1:$1,0)-MATCH($F$1,enemy_skill_triggers!$1:$1,0)+1,FALSE)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2" s="48" t="str">
        <f ca="1">VLOOKUP($F372,OFFSET(enemy_skill_triggers!$A$1,0,0,COUNTA(enemy_skill_triggers!$A:$A),MATCH(K$1,enemy_skill_triggers!$1:$1,0)-MATCH($F$1,enemy_skill_triggers!$1:$1,0)+1),MATCH(K$1,enemy_skill_triggers!$1:$1,0)-MATCH($F$1,enemy_skill_triggers!$1:$1,0)+1,FALSE)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2" s="48">
        <f ca="1">VLOOKUP($F372,OFFSET(enemy_skill_triggers!$A$1,0,0,COUNTA(enemy_skill_triggers!$A:$A),MATCH(L$1,enemy_skill_triggers!$1:$1,0)-MATCH($F$1,enemy_skill_triggers!$1:$1,0)+1),MATCH(L$1,enemy_skill_triggers!$1:$1,0)-MATCH($F$1,enemy_skill_triggers!$1:$1,0)+1,FALSE)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2" s="48" t="str">
        <f ca="1">VLOOKUP($F372,OFFSET(enemy_skill_triggers!$A$1,0,0,COUNTA(enemy_skill_triggers!$A:$A),MATCH(M$1,enemy_skill_triggers!$1:$1,0)-MATCH($F$1,enemy_skill_triggers!$1:$1,0)+1),MATCH(M$1,enemy_skill_triggers!$1:$1,0)-MATCH($F$1,enemy_skill_triggers!$1:$1,0)+1,FALSE)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2" s="48">
        <f ca="1">VLOOKUP($F372,OFFSET(enemy_skill_triggers!$A$1,0,0,COUNTA(enemy_skill_triggers!$A:$A),MATCH(N$1,enemy_skill_triggers!$1:$1,0)-MATCH($F$1,enemy_skill_triggers!$1:$1,0)+1),MATCH(N$1,enemy_skill_triggers!$1:$1,0)-MATCH($F$1,enemy_skill_triggers!$1:$1,0)+1,FALSE)</f>
        <v>1468</v>
      </c>
      <c r="O372" s="48">
        <f ca="1">VLOOKUP($F372,OFFSET(enemy_skill_triggers!$A$1,0,0,COUNTA(enemy_skill_triggers!$A:$A),MATCH(O$1,enemy_skill_triggers!$1:$1,0)-MATCH($F$1,enemy_skill_triggers!$1:$1,0)+1),MATCH(O$1,enemy_skill_triggers!$1:$1,0)-MATCH($F$1,enemy_skill_triggers!$1:$1,0)+1,FALSE)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2" s="47"/>
      <c r="Q372" s="47"/>
      <c r="R372" s="47"/>
    </row>
    <row r="373" spans="1:18" ht="21" customHeight="1" x14ac:dyDescent="0.15">
      <c r="A373" s="39" t="str">
        <f t="shared" si="5"/>
        <v>49015028_49015277</v>
      </c>
      <c r="B373" s="47">
        <v>49015028</v>
      </c>
      <c r="C373" s="136">
        <v>49015277</v>
      </c>
      <c r="D373" s="46" t="str">
        <f ca="1">VLOOKUP($C373,OFFSET(enemy_skills!$A$1,0,0,COUNTA(enemy_skills!$A:$A),MATCH(D$1,enemy_skills!$1:$1,0)-MATCH("enemy_skill_id",enemy_skills!$1:$1,0)+1),MATCH(D$1,enemy_skills!$1:$1,0)-MATCH("enemy_skill_id",enemy_skills!$1:$1,0)+1,FALSE)</f>
        <v>なんだ貴様</v>
      </c>
      <c r="E373" s="46" t="str">
        <f ca="1">VLOOKUP($C373,OFFSET(enemy_skills!$A$1,0,0,COUNTA(enemy_skills!$A:$A),MATCH(E$1,enemy_skills!$1:$1,0)-MATCH("enemy_skill_id",enemy_skills!$1:$1,0)+1),MATCH(E$1,enemy_skills!$1:$1,0)-MATCH("enemy_skill_id",enemy_skills!$1:$1,0)+1,FALSE)</f>
        <v>…子供か？</v>
      </c>
      <c r="F373" s="138">
        <v>49015372</v>
      </c>
      <c r="G373" s="48">
        <f ca="1">VLOOKUP($F373,OFFSET(enemy_skill_triggers!$A$1,0,0,COUNTA(enemy_skill_triggers!$A:$A),MATCH(G$1,enemy_skill_triggers!$1:$1,0)-MATCH($F$1,enemy_skill_triggers!$1:$1,0)+1),MATCH(G$1,enemy_skill_triggers!$1:$1,0)-MATCH($F$1,enemy_skill_triggers!$1:$1,0)+1,FALSE)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3" s="48">
        <f ca="1">VLOOKUP($F373,OFFSET(enemy_skill_triggers!$A$1,0,0,COUNTA(enemy_skill_triggers!$A:$A),MATCH(H$1,enemy_skill_triggers!$1:$1,0)-MATCH($F$1,enemy_skill_triggers!$1:$1,0)+1),MATCH(H$1,enemy_skill_triggers!$1:$1,0)-MATCH($F$1,enemy_skill_triggers!$1:$1,0)+1,FALSE)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73" s="48">
        <f ca="1">VLOOKUP($F373,OFFSET(enemy_skill_triggers!$A$1,0,0,COUNTA(enemy_skill_triggers!$A:$A),MATCH(I$1,enemy_skill_triggers!$1:$1,0)-MATCH($F$1,enemy_skill_triggers!$1:$1,0)+1),MATCH(I$1,enemy_skill_triggers!$1:$1,0)-MATCH($F$1,enemy_skill_triggers!$1:$1,0)+1,FALSE)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3" s="48" t="str">
        <f ca="1">VLOOKUP($F373,OFFSET(enemy_skill_triggers!$A$1,0,0,COUNTA(enemy_skill_triggers!$A:$A),MATCH(J$1,enemy_skill_triggers!$1:$1,0)-MATCH($F$1,enemy_skill_triggers!$1:$1,0)+1),MATCH(J$1,enemy_skill_triggers!$1:$1,0)-MATCH($F$1,enemy_skill_triggers!$1:$1,0)+1,FALSE)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3" s="48" t="str">
        <f ca="1">VLOOKUP($F373,OFFSET(enemy_skill_triggers!$A$1,0,0,COUNTA(enemy_skill_triggers!$A:$A),MATCH(K$1,enemy_skill_triggers!$1:$1,0)-MATCH($F$1,enemy_skill_triggers!$1:$1,0)+1),MATCH(K$1,enemy_skill_triggers!$1:$1,0)-MATCH($F$1,enemy_skill_triggers!$1:$1,0)+1,FALSE)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3" s="48">
        <f ca="1">VLOOKUP($F373,OFFSET(enemy_skill_triggers!$A$1,0,0,COUNTA(enemy_skill_triggers!$A:$A),MATCH(L$1,enemy_skill_triggers!$1:$1,0)-MATCH($F$1,enemy_skill_triggers!$1:$1,0)+1),MATCH(L$1,enemy_skill_triggers!$1:$1,0)-MATCH($F$1,enemy_skill_triggers!$1:$1,0)+1,FALSE)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3" s="48" t="str">
        <f ca="1">VLOOKUP($F373,OFFSET(enemy_skill_triggers!$A$1,0,0,COUNTA(enemy_skill_triggers!$A:$A),MATCH(M$1,enemy_skill_triggers!$1:$1,0)-MATCH($F$1,enemy_skill_triggers!$1:$1,0)+1),MATCH(M$1,enemy_skill_triggers!$1:$1,0)-MATCH($F$1,enemy_skill_triggers!$1:$1,0)+1,FALSE)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3" s="48">
        <f ca="1">VLOOKUP($F373,OFFSET(enemy_skill_triggers!$A$1,0,0,COUNTA(enemy_skill_triggers!$A:$A),MATCH(N$1,enemy_skill_triggers!$1:$1,0)-MATCH($F$1,enemy_skill_triggers!$1:$1,0)+1),MATCH(N$1,enemy_skill_triggers!$1:$1,0)-MATCH($F$1,enemy_skill_triggers!$1:$1,0)+1,FALSE)</f>
        <v>1470</v>
      </c>
      <c r="O373" s="48">
        <f ca="1">VLOOKUP($F373,OFFSET(enemy_skill_triggers!$A$1,0,0,COUNTA(enemy_skill_triggers!$A:$A),MATCH(O$1,enemy_skill_triggers!$1:$1,0)-MATCH($F$1,enemy_skill_triggers!$1:$1,0)+1),MATCH(O$1,enemy_skill_triggers!$1:$1,0)-MATCH($F$1,enemy_skill_triggers!$1:$1,0)+1,FALSE)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3" s="47"/>
      <c r="Q373" s="47"/>
      <c r="R373" s="47"/>
    </row>
    <row r="374" spans="1:18" ht="21" customHeight="1" x14ac:dyDescent="0.15">
      <c r="A374" s="39" t="str">
        <f t="shared" si="5"/>
        <v>49015028_49015278</v>
      </c>
      <c r="B374" s="106">
        <v>49015028</v>
      </c>
      <c r="C374" s="138">
        <v>49015278</v>
      </c>
      <c r="D374" s="46" t="str">
        <f ca="1">VLOOKUP($C374,OFFSET(enemy_skills!$A$1,0,0,COUNTA(enemy_skills!$A:$A),MATCH(D$1,enemy_skills!$1:$1,0)-MATCH("enemy_skill_id",enemy_skills!$1:$1,0)+1),MATCH(D$1,enemy_skills!$1:$1,0)-MATCH("enemy_skill_id",enemy_skills!$1:$1,0)+1,FALSE)</f>
        <v>分解</v>
      </c>
      <c r="E374" s="46" t="str">
        <f ca="1">VLOOKUP($C374,OFFSET(enemy_skills!$A$1,0,0,COUNTA(enemy_skills!$A:$A),MATCH(E$1,enemy_skills!$1:$1,0)-MATCH("enemy_skill_id",enemy_skills!$1:$1,0)+1),MATCH(E$1,enemy_skills!$1:$1,0)-MATCH("enemy_skill_id",enemy_skills!$1:$1,0)+1,FALSE)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374" s="138">
        <v>49015373</v>
      </c>
      <c r="G374" s="48">
        <f ca="1">VLOOKUP($F374,OFFSET(enemy_skill_triggers!$A$1,0,0,COUNTA(enemy_skill_triggers!$A:$A),MATCH(G$1,enemy_skill_triggers!$1:$1,0)-MATCH($F$1,enemy_skill_triggers!$1:$1,0)+1),MATCH(G$1,enemy_skill_triggers!$1:$1,0)-MATCH($F$1,enemy_skill_triggers!$1:$1,0)+1,FALSE)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4" s="48">
        <f ca="1">VLOOKUP($F374,OFFSET(enemy_skill_triggers!$A$1,0,0,COUNTA(enemy_skill_triggers!$A:$A),MATCH(H$1,enemy_skill_triggers!$1:$1,0)-MATCH($F$1,enemy_skill_triggers!$1:$1,0)+1),MATCH(H$1,enemy_skill_triggers!$1:$1,0)-MATCH($F$1,enemy_skill_triggers!$1:$1,0)+1,FALSE)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74" s="48">
        <f ca="1">VLOOKUP($F374,OFFSET(enemy_skill_triggers!$A$1,0,0,COUNTA(enemy_skill_triggers!$A:$A),MATCH(I$1,enemy_skill_triggers!$1:$1,0)-MATCH($F$1,enemy_skill_triggers!$1:$1,0)+1),MATCH(I$1,enemy_skill_triggers!$1:$1,0)-MATCH($F$1,enemy_skill_triggers!$1:$1,0)+1,FALSE)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74" s="48" t="str">
        <f ca="1">VLOOKUP($F374,OFFSET(enemy_skill_triggers!$A$1,0,0,COUNTA(enemy_skill_triggers!$A:$A),MATCH(J$1,enemy_skill_triggers!$1:$1,0)-MATCH($F$1,enemy_skill_triggers!$1:$1,0)+1),MATCH(J$1,enemy_skill_triggers!$1:$1,0)-MATCH($F$1,enemy_skill_triggers!$1:$1,0)+1,FALSE)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4" s="48" t="str">
        <f ca="1">VLOOKUP($F374,OFFSET(enemy_skill_triggers!$A$1,0,0,COUNTA(enemy_skill_triggers!$A:$A),MATCH(K$1,enemy_skill_triggers!$1:$1,0)-MATCH($F$1,enemy_skill_triggers!$1:$1,0)+1),MATCH(K$1,enemy_skill_triggers!$1:$1,0)-MATCH($F$1,enemy_skill_triggers!$1:$1,0)+1,FALSE)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4" s="48" t="str">
        <f ca="1">VLOOKUP($F374,OFFSET(enemy_skill_triggers!$A$1,0,0,COUNTA(enemy_skill_triggers!$A:$A),MATCH(L$1,enemy_skill_triggers!$1:$1,0)-MATCH($F$1,enemy_skill_triggers!$1:$1,0)+1),MATCH(L$1,enemy_skill_triggers!$1:$1,0)-MATCH($F$1,enemy_skill_triggers!$1:$1,0)+1,FALSE)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4" s="48" t="str">
        <f ca="1">VLOOKUP($F374,OFFSET(enemy_skill_triggers!$A$1,0,0,COUNTA(enemy_skill_triggers!$A:$A),MATCH(M$1,enemy_skill_triggers!$1:$1,0)-MATCH($F$1,enemy_skill_triggers!$1:$1,0)+1),MATCH(M$1,enemy_skill_triggers!$1:$1,0)-MATCH($F$1,enemy_skill_triggers!$1:$1,0)+1,FALSE)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4" s="48" t="str">
        <f ca="1">VLOOKUP($F374,OFFSET(enemy_skill_triggers!$A$1,0,0,COUNTA(enemy_skill_triggers!$A:$A),MATCH(N$1,enemy_skill_triggers!$1:$1,0)-MATCH($F$1,enemy_skill_triggers!$1:$1,0)+1),MATCH(N$1,enemy_skill_triggers!$1:$1,0)-MATCH($F$1,enemy_skill_triggers!$1:$1,0)+1,FALSE)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4" s="48">
        <f ca="1">VLOOKUP($F374,OFFSET(enemy_skill_triggers!$A$1,0,0,COUNTA(enemy_skill_triggers!$A:$A),MATCH(O$1,enemy_skill_triggers!$1:$1,0)-MATCH($F$1,enemy_skill_triggers!$1:$1,0)+1),MATCH(O$1,enemy_skill_triggers!$1:$1,0)-MATCH($F$1,enemy_skill_triggers!$1:$1,0)+1,FALSE)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74" s="47"/>
      <c r="Q374" s="47"/>
      <c r="R374" s="47"/>
    </row>
    <row r="375" spans="1:18" ht="21" customHeight="1" thickBot="1" x14ac:dyDescent="0.2">
      <c r="A375" s="39" t="str">
        <f t="shared" si="5"/>
        <v>49015028_49015279</v>
      </c>
      <c r="B375" s="111">
        <v>49015028</v>
      </c>
      <c r="C375" s="137">
        <v>49015279</v>
      </c>
      <c r="D375" s="145" t="str">
        <f ca="1">VLOOKUP($C375,OFFSET(enemy_skills!$A$1,0,0,COUNTA(enemy_skills!$A:$A),MATCH(D$1,enemy_skills!$1:$1,0)-MATCH("enemy_skill_id",enemy_skills!$1:$1,0)+1),MATCH(D$1,enemy_skills!$1:$1,0)-MATCH("enemy_skill_id",enemy_skills!$1:$1,0)+1,FALSE)</f>
        <v>これも神の加護か！</v>
      </c>
      <c r="E375" s="145" t="str">
        <f ca="1">VLOOKUP($C375,OFFSET(enemy_skills!$A$1,0,0,COUNTA(enemy_skills!$A:$A),MATCH(E$1,enemy_skills!$1:$1,0)-MATCH("enemy_skill_id",enemy_skills!$1:$1,0)+1),MATCH(E$1,enemy_skills!$1:$1,0)-MATCH("enemy_skill_id",enemy_skills!$1:$1,0)+1,FALSE)</f>
        <v>単体攻撃+_x000D_ランダムでお邪魔パネルに最大2個変換</v>
      </c>
      <c r="F375" s="155">
        <v>49015374</v>
      </c>
      <c r="G375" s="114">
        <f ca="1">VLOOKUP($F375,OFFSET(enemy_skill_triggers!$A$1,0,0,COUNTA(enemy_skill_triggers!$A:$A),MATCH(G$1,enemy_skill_triggers!$1:$1,0)-MATCH($F$1,enemy_skill_triggers!$1:$1,0)+1),MATCH(G$1,enemy_skill_triggers!$1:$1,0)-MATCH($F$1,enemy_skill_triggers!$1:$1,0)+1,FALSE)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5" s="114">
        <f ca="1">VLOOKUP($F375,OFFSET(enemy_skill_triggers!$A$1,0,0,COUNTA(enemy_skill_triggers!$A:$A),MATCH(H$1,enemy_skill_triggers!$1:$1,0)-MATCH($F$1,enemy_skill_triggers!$1:$1,0)+1),MATCH(H$1,enemy_skill_triggers!$1:$1,0)-MATCH($F$1,enemy_skill_triggers!$1:$1,0)+1,FALSE)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75" s="114">
        <f ca="1">VLOOKUP($F375,OFFSET(enemy_skill_triggers!$A$1,0,0,COUNTA(enemy_skill_triggers!$A:$A),MATCH(I$1,enemy_skill_triggers!$1:$1,0)-MATCH($F$1,enemy_skill_triggers!$1:$1,0)+1),MATCH(I$1,enemy_skill_triggers!$1:$1,0)-MATCH($F$1,enemy_skill_triggers!$1:$1,0)+1,FALSE)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5" s="114" t="str">
        <f ca="1">VLOOKUP($F375,OFFSET(enemy_skill_triggers!$A$1,0,0,COUNTA(enemy_skill_triggers!$A:$A),MATCH(J$1,enemy_skill_triggers!$1:$1,0)-MATCH($F$1,enemy_skill_triggers!$1:$1,0)+1),MATCH(J$1,enemy_skill_triggers!$1:$1,0)-MATCH($F$1,enemy_skill_triggers!$1:$1,0)+1,FALSE)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5" s="114" t="str">
        <f ca="1">VLOOKUP($F375,OFFSET(enemy_skill_triggers!$A$1,0,0,COUNTA(enemy_skill_triggers!$A:$A),MATCH(K$1,enemy_skill_triggers!$1:$1,0)-MATCH($F$1,enemy_skill_triggers!$1:$1,0)+1),MATCH(K$1,enemy_skill_triggers!$1:$1,0)-MATCH($F$1,enemy_skill_triggers!$1:$1,0)+1,FALSE)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5" s="114" t="str">
        <f ca="1">VLOOKUP($F375,OFFSET(enemy_skill_triggers!$A$1,0,0,COUNTA(enemy_skill_triggers!$A:$A),MATCH(L$1,enemy_skill_triggers!$1:$1,0)-MATCH($F$1,enemy_skill_triggers!$1:$1,0)+1),MATCH(L$1,enemy_skill_triggers!$1:$1,0)-MATCH($F$1,enemy_skill_triggers!$1:$1,0)+1,FALSE)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5" s="114" t="str">
        <f ca="1">VLOOKUP($F375,OFFSET(enemy_skill_triggers!$A$1,0,0,COUNTA(enemy_skill_triggers!$A:$A),MATCH(M$1,enemy_skill_triggers!$1:$1,0)-MATCH($F$1,enemy_skill_triggers!$1:$1,0)+1),MATCH(M$1,enemy_skill_triggers!$1:$1,0)-MATCH($F$1,enemy_skill_triggers!$1:$1,0)+1,FALSE)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5" s="114" t="str">
        <f ca="1">VLOOKUP($F375,OFFSET(enemy_skill_triggers!$A$1,0,0,COUNTA(enemy_skill_triggers!$A:$A),MATCH(N$1,enemy_skill_triggers!$1:$1,0)-MATCH($F$1,enemy_skill_triggers!$1:$1,0)+1),MATCH(N$1,enemy_skill_triggers!$1:$1,0)-MATCH($F$1,enemy_skill_triggers!$1:$1,0)+1,FALSE)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5" s="114">
        <f ca="1">VLOOKUP($F375,OFFSET(enemy_skill_triggers!$A$1,0,0,COUNTA(enemy_skill_triggers!$A:$A),MATCH(O$1,enemy_skill_triggers!$1:$1,0)-MATCH($F$1,enemy_skill_triggers!$1:$1,0)+1),MATCH(O$1,enemy_skill_triggers!$1:$1,0)-MATCH($F$1,enemy_skill_triggers!$1:$1,0)+1,FALSE)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5" s="111"/>
      <c r="Q375" s="111"/>
      <c r="R375" s="111"/>
    </row>
    <row r="376" spans="1:18" ht="21" customHeight="1" x14ac:dyDescent="0.15">
      <c r="A376" s="39" t="str">
        <f t="shared" si="5"/>
        <v>49015029_49015280</v>
      </c>
      <c r="B376" s="142">
        <v>49015029</v>
      </c>
      <c r="C376" s="138">
        <v>49015280</v>
      </c>
      <c r="D376" s="144" t="str">
        <f ca="1">VLOOKUP($C376,OFFSET(enemy_skills!$A$1,0,0,COUNTA(enemy_skills!$A:$A),MATCH(D$1,enemy_skills!$1:$1,0)-MATCH("enemy_skill_id",enemy_skills!$1:$1,0)+1),MATCH(D$1,enemy_skills!$1:$1,0)-MATCH("enemy_skill_id",enemy_skills!$1:$1,0)+1,FALSE)</f>
        <v>破壊させてもらう！</v>
      </c>
      <c r="E376" s="144" t="str">
        <f ca="1">VLOOKUP($C376,OFFSET(enemy_skills!$A$1,0,0,COUNTA(enemy_skills!$A:$A),MATCH(E$1,enemy_skills!$1:$1,0)-MATCH("enemy_skill_id",enemy_skills!$1:$1,0)+1),MATCH(E$1,enemy_skills!$1:$1,0)-MATCH("enemy_skill_id",enemy_skills!$1:$1,0)+1,FALSE)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76" s="138">
        <v>49015375</v>
      </c>
      <c r="G376" s="109">
        <f ca="1">VLOOKUP($F376,OFFSET(enemy_skill_triggers!$A$1,0,0,COUNTA(enemy_skill_triggers!$A:$A),MATCH(G$1,enemy_skill_triggers!$1:$1,0)-MATCH($F$1,enemy_skill_triggers!$1:$1,0)+1),MATCH(G$1,enemy_skill_triggers!$1:$1,0)-MATCH($F$1,enemy_skill_triggers!$1:$1,0)+1,FALSE)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6" s="109" t="str">
        <f ca="1">VLOOKUP($F376,OFFSET(enemy_skill_triggers!$A$1,0,0,COUNTA(enemy_skill_triggers!$A:$A),MATCH(H$1,enemy_skill_triggers!$1:$1,0)-MATCH($F$1,enemy_skill_triggers!$1:$1,0)+1),MATCH(H$1,enemy_skill_triggers!$1:$1,0)-MATCH($F$1,enemy_skill_triggers!$1:$1,0)+1,FALSE)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6" s="109">
        <f ca="1">VLOOKUP($F376,OFFSET(enemy_skill_triggers!$A$1,0,0,COUNTA(enemy_skill_triggers!$A:$A),MATCH(I$1,enemy_skill_triggers!$1:$1,0)-MATCH($F$1,enemy_skill_triggers!$1:$1,0)+1),MATCH(I$1,enemy_skill_triggers!$1:$1,0)-MATCH($F$1,enemy_skill_triggers!$1:$1,0)+1,FALSE)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6" s="109" t="str">
        <f ca="1">VLOOKUP($F376,OFFSET(enemy_skill_triggers!$A$1,0,0,COUNTA(enemy_skill_triggers!$A:$A),MATCH(J$1,enemy_skill_triggers!$1:$1,0)-MATCH($F$1,enemy_skill_triggers!$1:$1,0)+1),MATCH(J$1,enemy_skill_triggers!$1:$1,0)-MATCH($F$1,enemy_skill_triggers!$1:$1,0)+1,FALSE)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6" s="109" t="str">
        <f ca="1">VLOOKUP($F376,OFFSET(enemy_skill_triggers!$A$1,0,0,COUNTA(enemy_skill_triggers!$A:$A),MATCH(K$1,enemy_skill_triggers!$1:$1,0)-MATCH($F$1,enemy_skill_triggers!$1:$1,0)+1),MATCH(K$1,enemy_skill_triggers!$1:$1,0)-MATCH($F$1,enemy_skill_triggers!$1:$1,0)+1,FALSE)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6" s="109">
        <f ca="1">VLOOKUP($F376,OFFSET(enemy_skill_triggers!$A$1,0,0,COUNTA(enemy_skill_triggers!$A:$A),MATCH(L$1,enemy_skill_triggers!$1:$1,0)-MATCH($F$1,enemy_skill_triggers!$1:$1,0)+1),MATCH(L$1,enemy_skill_triggers!$1:$1,0)-MATCH($F$1,enemy_skill_triggers!$1:$1,0)+1,FALSE)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6" s="109" t="str">
        <f ca="1">VLOOKUP($F376,OFFSET(enemy_skill_triggers!$A$1,0,0,COUNTA(enemy_skill_triggers!$A:$A),MATCH(M$1,enemy_skill_triggers!$1:$1,0)-MATCH($F$1,enemy_skill_triggers!$1:$1,0)+1),MATCH(M$1,enemy_skill_triggers!$1:$1,0)-MATCH($F$1,enemy_skill_triggers!$1:$1,0)+1,FALSE)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6" s="109" t="str">
        <f ca="1">VLOOKUP($F376,OFFSET(enemy_skill_triggers!$A$1,0,0,COUNTA(enemy_skill_triggers!$A:$A),MATCH(N$1,enemy_skill_triggers!$1:$1,0)-MATCH($F$1,enemy_skill_triggers!$1:$1,0)+1),MATCH(N$1,enemy_skill_triggers!$1:$1,0)-MATCH($F$1,enemy_skill_triggers!$1:$1,0)+1,FALSE)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6" s="109">
        <f ca="1">VLOOKUP($F376,OFFSET(enemy_skill_triggers!$A$1,0,0,COUNTA(enemy_skill_triggers!$A:$A),MATCH(O$1,enemy_skill_triggers!$1:$1,0)-MATCH($F$1,enemy_skill_triggers!$1:$1,0)+1),MATCH(O$1,enemy_skill_triggers!$1:$1,0)-MATCH($F$1,enemy_skill_triggers!$1:$1,0)+1,FALSE)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6" s="106"/>
      <c r="Q376" s="106"/>
      <c r="R376" s="106"/>
    </row>
    <row r="377" spans="1:18" ht="21" customHeight="1" x14ac:dyDescent="0.15">
      <c r="A377" s="39" t="str">
        <f t="shared" si="5"/>
        <v>49015029_49015281</v>
      </c>
      <c r="B377" s="47">
        <v>49015029</v>
      </c>
      <c r="C377" s="136">
        <v>49015281</v>
      </c>
      <c r="D377" s="46" t="str">
        <f ca="1">VLOOKUP($C377,OFFSET(enemy_skills!$A$1,0,0,COUNTA(enemy_skills!$A:$A),MATCH(D$1,enemy_skills!$1:$1,0)-MATCH("enemy_skill_id",enemy_skills!$1:$1,0)+1),MATCH(D$1,enemy_skills!$1:$1,0)-MATCH("enemy_skill_id",enemy_skills!$1:$1,0)+1,FALSE)</f>
        <v>破壊の右腕</v>
      </c>
      <c r="E377" s="46" t="str">
        <f ca="1">VLOOKUP($C377,OFFSET(enemy_skills!$A$1,0,0,COUNTA(enemy_skills!$A:$A),MATCH(E$1,enemy_skills!$1:$1,0)-MATCH("enemy_skill_id",enemy_skills!$1:$1,0)+1),MATCH(E$1,enemy_skills!$1:$1,0)-MATCH("enemy_skill_id",enemy_skills!$1:$1,0)+1,FALSE)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77" s="138">
        <v>49015376</v>
      </c>
      <c r="G377" s="48">
        <f ca="1">VLOOKUP($F377,OFFSET(enemy_skill_triggers!$A$1,0,0,COUNTA(enemy_skill_triggers!$A:$A),MATCH(G$1,enemy_skill_triggers!$1:$1,0)-MATCH($F$1,enemy_skill_triggers!$1:$1,0)+1),MATCH(G$1,enemy_skill_triggers!$1:$1,0)-MATCH($F$1,enemy_skill_triggers!$1:$1,0)+1,FALSE)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7" s="48">
        <f ca="1">VLOOKUP($F377,OFFSET(enemy_skill_triggers!$A$1,0,0,COUNTA(enemy_skill_triggers!$A:$A),MATCH(H$1,enemy_skill_triggers!$1:$1,0)-MATCH($F$1,enemy_skill_triggers!$1:$1,0)+1),MATCH(H$1,enemy_skill_triggers!$1:$1,0)-MATCH($F$1,enemy_skill_triggers!$1:$1,0)+1,FALSE)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77" s="48">
        <f ca="1">VLOOKUP($F377,OFFSET(enemy_skill_triggers!$A$1,0,0,COUNTA(enemy_skill_triggers!$A:$A),MATCH(I$1,enemy_skill_triggers!$1:$1,0)-MATCH($F$1,enemy_skill_triggers!$1:$1,0)+1),MATCH(I$1,enemy_skill_triggers!$1:$1,0)-MATCH($F$1,enemy_skill_triggers!$1:$1,0)+1,FALSE)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77" s="48" t="str">
        <f ca="1">VLOOKUP($F377,OFFSET(enemy_skill_triggers!$A$1,0,0,COUNTA(enemy_skill_triggers!$A:$A),MATCH(J$1,enemy_skill_triggers!$1:$1,0)-MATCH($F$1,enemy_skill_triggers!$1:$1,0)+1),MATCH(J$1,enemy_skill_triggers!$1:$1,0)-MATCH($F$1,enemy_skill_triggers!$1:$1,0)+1,FALSE)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7" s="48" t="str">
        <f ca="1">VLOOKUP($F377,OFFSET(enemy_skill_triggers!$A$1,0,0,COUNTA(enemy_skill_triggers!$A:$A),MATCH(K$1,enemy_skill_triggers!$1:$1,0)-MATCH($F$1,enemy_skill_triggers!$1:$1,0)+1),MATCH(K$1,enemy_skill_triggers!$1:$1,0)-MATCH($F$1,enemy_skill_triggers!$1:$1,0)+1,FALSE)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7" s="48" t="str">
        <f ca="1">VLOOKUP($F377,OFFSET(enemy_skill_triggers!$A$1,0,0,COUNTA(enemy_skill_triggers!$A:$A),MATCH(L$1,enemy_skill_triggers!$1:$1,0)-MATCH($F$1,enemy_skill_triggers!$1:$1,0)+1),MATCH(L$1,enemy_skill_triggers!$1:$1,0)-MATCH($F$1,enemy_skill_triggers!$1:$1,0)+1,FALSE)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7" s="48" t="str">
        <f ca="1">VLOOKUP($F377,OFFSET(enemy_skill_triggers!$A$1,0,0,COUNTA(enemy_skill_triggers!$A:$A),MATCH(M$1,enemy_skill_triggers!$1:$1,0)-MATCH($F$1,enemy_skill_triggers!$1:$1,0)+1),MATCH(M$1,enemy_skill_triggers!$1:$1,0)-MATCH($F$1,enemy_skill_triggers!$1:$1,0)+1,FALSE)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7" s="48" t="str">
        <f ca="1">VLOOKUP($F377,OFFSET(enemy_skill_triggers!$A$1,0,0,COUNTA(enemy_skill_triggers!$A:$A),MATCH(N$1,enemy_skill_triggers!$1:$1,0)-MATCH($F$1,enemy_skill_triggers!$1:$1,0)+1),MATCH(N$1,enemy_skill_triggers!$1:$1,0)-MATCH($F$1,enemy_skill_triggers!$1:$1,0)+1,FALSE)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7" s="48">
        <f ca="1">VLOOKUP($F377,OFFSET(enemy_skill_triggers!$A$1,0,0,COUNTA(enemy_skill_triggers!$A:$A),MATCH(O$1,enemy_skill_triggers!$1:$1,0)-MATCH($F$1,enemy_skill_triggers!$1:$1,0)+1),MATCH(O$1,enemy_skill_triggers!$1:$1,0)-MATCH($F$1,enemy_skill_triggers!$1:$1,0)+1,FALSE)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77" s="47"/>
      <c r="Q377" s="47"/>
      <c r="R377" s="47"/>
    </row>
    <row r="378" spans="1:18" ht="21" customHeight="1" x14ac:dyDescent="0.15">
      <c r="A378" s="39" t="str">
        <f t="shared" si="5"/>
        <v>49015029_49015282</v>
      </c>
      <c r="B378" s="47">
        <v>49015029</v>
      </c>
      <c r="C378" s="136">
        <v>49015282</v>
      </c>
      <c r="D378" s="46" t="str">
        <f ca="1">VLOOKUP($C378,OFFSET(enemy_skills!$A$1,0,0,COUNTA(enemy_skills!$A:$A),MATCH(D$1,enemy_skills!$1:$1,0)-MATCH("enemy_skill_id",enemy_skills!$1:$1,0)+1),MATCH(D$1,enemy_skills!$1:$1,0)-MATCH("enemy_skill_id",enemy_skills!$1:$1,0)+1,FALSE)</f>
        <v>これも神の加護か！</v>
      </c>
      <c r="E378" s="46" t="str">
        <f ca="1">VLOOKUP($C378,OFFSET(enemy_skills!$A$1,0,0,COUNTA(enemy_skills!$A:$A),MATCH(E$1,enemy_skills!$1:$1,0)-MATCH("enemy_skill_id",enemy_skills!$1:$1,0)+1),MATCH(E$1,enemy_skills!$1:$1,0)-MATCH("enemy_skill_id",enemy_skills!$1:$1,0)+1,FALSE)</f>
        <v>単体攻撃+_x000D_ランダムでお邪魔パネルに最大2個変換</v>
      </c>
      <c r="F378" s="138">
        <v>49015377</v>
      </c>
      <c r="G378" s="48">
        <f ca="1">VLOOKUP($F378,OFFSET(enemy_skill_triggers!$A$1,0,0,COUNTA(enemy_skill_triggers!$A:$A),MATCH(G$1,enemy_skill_triggers!$1:$1,0)-MATCH($F$1,enemy_skill_triggers!$1:$1,0)+1),MATCH(G$1,enemy_skill_triggers!$1:$1,0)-MATCH($F$1,enemy_skill_triggers!$1:$1,0)+1,FALSE)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8" s="48">
        <f ca="1">VLOOKUP($F378,OFFSET(enemy_skill_triggers!$A$1,0,0,COUNTA(enemy_skill_triggers!$A:$A),MATCH(H$1,enemy_skill_triggers!$1:$1,0)-MATCH($F$1,enemy_skill_triggers!$1:$1,0)+1),MATCH(H$1,enemy_skill_triggers!$1:$1,0)-MATCH($F$1,enemy_skill_triggers!$1:$1,0)+1,FALSE)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78" s="48">
        <f ca="1">VLOOKUP($F378,OFFSET(enemy_skill_triggers!$A$1,0,0,COUNTA(enemy_skill_triggers!$A:$A),MATCH(I$1,enemy_skill_triggers!$1:$1,0)-MATCH($F$1,enemy_skill_triggers!$1:$1,0)+1),MATCH(I$1,enemy_skill_triggers!$1:$1,0)-MATCH($F$1,enemy_skill_triggers!$1:$1,0)+1,FALSE)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8" s="48" t="str">
        <f ca="1">VLOOKUP($F378,OFFSET(enemy_skill_triggers!$A$1,0,0,COUNTA(enemy_skill_triggers!$A:$A),MATCH(J$1,enemy_skill_triggers!$1:$1,0)-MATCH($F$1,enemy_skill_triggers!$1:$1,0)+1),MATCH(J$1,enemy_skill_triggers!$1:$1,0)-MATCH($F$1,enemy_skill_triggers!$1:$1,0)+1,FALSE)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8" s="48" t="str">
        <f ca="1">VLOOKUP($F378,OFFSET(enemy_skill_triggers!$A$1,0,0,COUNTA(enemy_skill_triggers!$A:$A),MATCH(K$1,enemy_skill_triggers!$1:$1,0)-MATCH($F$1,enemy_skill_triggers!$1:$1,0)+1),MATCH(K$1,enemy_skill_triggers!$1:$1,0)-MATCH($F$1,enemy_skill_triggers!$1:$1,0)+1,FALSE)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8" s="48" t="str">
        <f ca="1">VLOOKUP($F378,OFFSET(enemy_skill_triggers!$A$1,0,0,COUNTA(enemy_skill_triggers!$A:$A),MATCH(L$1,enemy_skill_triggers!$1:$1,0)-MATCH($F$1,enemy_skill_triggers!$1:$1,0)+1),MATCH(L$1,enemy_skill_triggers!$1:$1,0)-MATCH($F$1,enemy_skill_triggers!$1:$1,0)+1,FALSE)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8" s="48" t="str">
        <f ca="1">VLOOKUP($F378,OFFSET(enemy_skill_triggers!$A$1,0,0,COUNTA(enemy_skill_triggers!$A:$A),MATCH(M$1,enemy_skill_triggers!$1:$1,0)-MATCH($F$1,enemy_skill_triggers!$1:$1,0)+1),MATCH(M$1,enemy_skill_triggers!$1:$1,0)-MATCH($F$1,enemy_skill_triggers!$1:$1,0)+1,FALSE)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8" s="48" t="str">
        <f ca="1">VLOOKUP($F378,OFFSET(enemy_skill_triggers!$A$1,0,0,COUNTA(enemy_skill_triggers!$A:$A),MATCH(N$1,enemy_skill_triggers!$1:$1,0)-MATCH($F$1,enemy_skill_triggers!$1:$1,0)+1),MATCH(N$1,enemy_skill_triggers!$1:$1,0)-MATCH($F$1,enemy_skill_triggers!$1:$1,0)+1,FALSE)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8" s="48">
        <f ca="1">VLOOKUP($F378,OFFSET(enemy_skill_triggers!$A$1,0,0,COUNTA(enemy_skill_triggers!$A:$A),MATCH(O$1,enemy_skill_triggers!$1:$1,0)-MATCH($F$1,enemy_skill_triggers!$1:$1,0)+1),MATCH(O$1,enemy_skill_triggers!$1:$1,0)-MATCH($F$1,enemy_skill_triggers!$1:$1,0)+1,FALSE)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8" s="47"/>
      <c r="Q378" s="47"/>
      <c r="R378" s="47"/>
    </row>
    <row r="379" spans="1:18" ht="21" customHeight="1" thickBot="1" x14ac:dyDescent="0.2">
      <c r="A379" s="39" t="str">
        <f t="shared" si="5"/>
        <v>49015029_49015283</v>
      </c>
      <c r="B379" s="213">
        <v>49015029</v>
      </c>
      <c r="C379" s="155">
        <v>49015283</v>
      </c>
      <c r="D379" s="145" t="str">
        <f ca="1">VLOOKUP($C379,OFFSET(enemy_skills!$A$1,0,0,COUNTA(enemy_skills!$A:$A),MATCH(D$1,enemy_skills!$1:$1,0)-MATCH("enemy_skill_id",enemy_skills!$1:$1,0)+1),MATCH(D$1,enemy_skills!$1:$1,0)-MATCH("enemy_skill_id",enemy_skills!$1:$1,0)+1,FALSE)</f>
        <v>分解</v>
      </c>
      <c r="E379" s="145" t="str">
        <f ca="1">VLOOKUP($C379,OFFSET(enemy_skills!$A$1,0,0,COUNTA(enemy_skills!$A:$A),MATCH(E$1,enemy_skills!$1:$1,0)-MATCH("enemy_skill_id",enemy_skills!$1:$1,0)+1),MATCH(E$1,enemy_skills!$1:$1,0)-MATCH("enemy_skill_id",enemy_skills!$1:$1,0)+1,FALSE)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379" s="137">
        <v>49015378</v>
      </c>
      <c r="G379" s="114">
        <f ca="1">VLOOKUP($F379,OFFSET(enemy_skill_triggers!$A$1,0,0,COUNTA(enemy_skill_triggers!$A:$A),MATCH(G$1,enemy_skill_triggers!$1:$1,0)-MATCH($F$1,enemy_skill_triggers!$1:$1,0)+1),MATCH(G$1,enemy_skill_triggers!$1:$1,0)-MATCH($F$1,enemy_skill_triggers!$1:$1,0)+1,FALSE)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9" s="114">
        <f ca="1">VLOOKUP($F379,OFFSET(enemy_skill_triggers!$A$1,0,0,COUNTA(enemy_skill_triggers!$A:$A),MATCH(H$1,enemy_skill_triggers!$1:$1,0)-MATCH($F$1,enemy_skill_triggers!$1:$1,0)+1),MATCH(H$1,enemy_skill_triggers!$1:$1,0)-MATCH($F$1,enemy_skill_triggers!$1:$1,0)+1,FALSE)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79" s="114">
        <f ca="1">VLOOKUP($F379,OFFSET(enemy_skill_triggers!$A$1,0,0,COUNTA(enemy_skill_triggers!$A:$A),MATCH(I$1,enemy_skill_triggers!$1:$1,0)-MATCH($F$1,enemy_skill_triggers!$1:$1,0)+1),MATCH(I$1,enemy_skill_triggers!$1:$1,0)-MATCH($F$1,enemy_skill_triggers!$1:$1,0)+1,FALSE)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9" s="114" t="str">
        <f ca="1">VLOOKUP($F379,OFFSET(enemy_skill_triggers!$A$1,0,0,COUNTA(enemy_skill_triggers!$A:$A),MATCH(J$1,enemy_skill_triggers!$1:$1,0)-MATCH($F$1,enemy_skill_triggers!$1:$1,0)+1),MATCH(J$1,enemy_skill_triggers!$1:$1,0)-MATCH($F$1,enemy_skill_triggers!$1:$1,0)+1,FALSE)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9" s="114" t="str">
        <f ca="1">VLOOKUP($F379,OFFSET(enemy_skill_triggers!$A$1,0,0,COUNTA(enemy_skill_triggers!$A:$A),MATCH(K$1,enemy_skill_triggers!$1:$1,0)-MATCH($F$1,enemy_skill_triggers!$1:$1,0)+1),MATCH(K$1,enemy_skill_triggers!$1:$1,0)-MATCH($F$1,enemy_skill_triggers!$1:$1,0)+1,FALSE)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9" s="114" t="str">
        <f ca="1">VLOOKUP($F379,OFFSET(enemy_skill_triggers!$A$1,0,0,COUNTA(enemy_skill_triggers!$A:$A),MATCH(L$1,enemy_skill_triggers!$1:$1,0)-MATCH($F$1,enemy_skill_triggers!$1:$1,0)+1),MATCH(L$1,enemy_skill_triggers!$1:$1,0)-MATCH($F$1,enemy_skill_triggers!$1:$1,0)+1,FALSE)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9" s="114">
        <f ca="1">VLOOKUP($F379,OFFSET(enemy_skill_triggers!$A$1,0,0,COUNTA(enemy_skill_triggers!$A:$A),MATCH(M$1,enemy_skill_triggers!$1:$1,0)-MATCH($F$1,enemy_skill_triggers!$1:$1,0)+1),MATCH(M$1,enemy_skill_triggers!$1:$1,0)-MATCH($F$1,enemy_skill_triggers!$1:$1,0)+1,FALSE)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79" s="114" t="str">
        <f ca="1">VLOOKUP($F379,OFFSET(enemy_skill_triggers!$A$1,0,0,COUNTA(enemy_skill_triggers!$A:$A),MATCH(N$1,enemy_skill_triggers!$1:$1,0)-MATCH($F$1,enemy_skill_triggers!$1:$1,0)+1),MATCH(N$1,enemy_skill_triggers!$1:$1,0)-MATCH($F$1,enemy_skill_triggers!$1:$1,0)+1,FALSE)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9" s="114">
        <f ca="1">VLOOKUP($F379,OFFSET(enemy_skill_triggers!$A$1,0,0,COUNTA(enemy_skill_triggers!$A:$A),MATCH(O$1,enemy_skill_triggers!$1:$1,0)-MATCH($F$1,enemy_skill_triggers!$1:$1,0)+1),MATCH(O$1,enemy_skill_triggers!$1:$1,0)-MATCH($F$1,enemy_skill_triggers!$1:$1,0)+1,FALSE)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9" s="111"/>
      <c r="Q379" s="111"/>
      <c r="R379" s="111"/>
    </row>
    <row r="380" spans="1:18" ht="21" customHeight="1" x14ac:dyDescent="0.15">
      <c r="A380" s="39" t="str">
        <f t="shared" si="5"/>
        <v>49015030_49015284</v>
      </c>
      <c r="B380" s="106">
        <v>49015030</v>
      </c>
      <c r="C380" s="138">
        <v>49015284</v>
      </c>
      <c r="D380" s="144" t="str">
        <f ca="1">VLOOKUP($C380,OFFSET(enemy_skills!$A$1,0,0,COUNTA(enemy_skills!$A:$A),MATCH(D$1,enemy_skills!$1:$1,0)-MATCH("enemy_skill_id",enemy_skills!$1:$1,0)+1),MATCH(D$1,enemy_skills!$1:$1,0)-MATCH("enemy_skill_id",enemy_skills!$1:$1,0)+1,FALSE)</f>
        <v>神の名の下に</v>
      </c>
      <c r="E380" s="144" t="str">
        <f ca="1">VLOOKUP($C380,OFFSET(enemy_skills!$A$1,0,0,COUNTA(enemy_skills!$A:$A),MATCH(E$1,enemy_skills!$1:$1,0)-MATCH("enemy_skill_id",enemy_skills!$1:$1,0)+1),MATCH(E$1,enemy_skills!$1:$1,0)-MATCH("enemy_skill_id",enemy_skills!$1:$1,0)+1,FALSE)</f>
        <v>裁きを受けるがよい！</v>
      </c>
      <c r="F380" s="138">
        <v>49015379</v>
      </c>
      <c r="G380" s="109">
        <f ca="1">VLOOKUP($F380,OFFSET(enemy_skill_triggers!$A$1,0,0,COUNTA(enemy_skill_triggers!$A:$A),MATCH(G$1,enemy_skill_triggers!$1:$1,0)-MATCH($F$1,enemy_skill_triggers!$1:$1,0)+1),MATCH(G$1,enemy_skill_triggers!$1:$1,0)-MATCH($F$1,enemy_skill_triggers!$1:$1,0)+1,FALSE)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0" s="109" t="str">
        <f ca="1">VLOOKUP($F380,OFFSET(enemy_skill_triggers!$A$1,0,0,COUNTA(enemy_skill_triggers!$A:$A),MATCH(H$1,enemy_skill_triggers!$1:$1,0)-MATCH($F$1,enemy_skill_triggers!$1:$1,0)+1),MATCH(H$1,enemy_skill_triggers!$1:$1,0)-MATCH($F$1,enemy_skill_triggers!$1:$1,0)+1,FALSE)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0" s="109">
        <f ca="1">VLOOKUP($F380,OFFSET(enemy_skill_triggers!$A$1,0,0,COUNTA(enemy_skill_triggers!$A:$A),MATCH(I$1,enemy_skill_triggers!$1:$1,0)-MATCH($F$1,enemy_skill_triggers!$1:$1,0)+1),MATCH(I$1,enemy_skill_triggers!$1:$1,0)-MATCH($F$1,enemy_skill_triggers!$1:$1,0)+1,FALSE)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0" s="109" t="str">
        <f ca="1">VLOOKUP($F380,OFFSET(enemy_skill_triggers!$A$1,0,0,COUNTA(enemy_skill_triggers!$A:$A),MATCH(J$1,enemy_skill_triggers!$1:$1,0)-MATCH($F$1,enemy_skill_triggers!$1:$1,0)+1),MATCH(J$1,enemy_skill_triggers!$1:$1,0)-MATCH($F$1,enemy_skill_triggers!$1:$1,0)+1,FALSE)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0" s="109" t="str">
        <f ca="1">VLOOKUP($F380,OFFSET(enemy_skill_triggers!$A$1,0,0,COUNTA(enemy_skill_triggers!$A:$A),MATCH(K$1,enemy_skill_triggers!$1:$1,0)-MATCH($F$1,enemy_skill_triggers!$1:$1,0)+1),MATCH(K$1,enemy_skill_triggers!$1:$1,0)-MATCH($F$1,enemy_skill_triggers!$1:$1,0)+1,FALSE)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0" s="109">
        <f ca="1">VLOOKUP($F380,OFFSET(enemy_skill_triggers!$A$1,0,0,COUNTA(enemy_skill_triggers!$A:$A),MATCH(L$1,enemy_skill_triggers!$1:$1,0)-MATCH($F$1,enemy_skill_triggers!$1:$1,0)+1),MATCH(L$1,enemy_skill_triggers!$1:$1,0)-MATCH($F$1,enemy_skill_triggers!$1:$1,0)+1,FALSE)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0" s="109" t="str">
        <f ca="1">VLOOKUP($F380,OFFSET(enemy_skill_triggers!$A$1,0,0,COUNTA(enemy_skill_triggers!$A:$A),MATCH(M$1,enemy_skill_triggers!$1:$1,0)-MATCH($F$1,enemy_skill_triggers!$1:$1,0)+1),MATCH(M$1,enemy_skill_triggers!$1:$1,0)-MATCH($F$1,enemy_skill_triggers!$1:$1,0)+1,FALSE)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0" s="109" t="str">
        <f ca="1">VLOOKUP($F380,OFFSET(enemy_skill_triggers!$A$1,0,0,COUNTA(enemy_skill_triggers!$A:$A),MATCH(N$1,enemy_skill_triggers!$1:$1,0)-MATCH($F$1,enemy_skill_triggers!$1:$1,0)+1),MATCH(N$1,enemy_skill_triggers!$1:$1,0)-MATCH($F$1,enemy_skill_triggers!$1:$1,0)+1,FALSE)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0" s="109">
        <f ca="1">VLOOKUP($F380,OFFSET(enemy_skill_triggers!$A$1,0,0,COUNTA(enemy_skill_triggers!$A:$A),MATCH(O$1,enemy_skill_triggers!$1:$1,0)-MATCH($F$1,enemy_skill_triggers!$1:$1,0)+1),MATCH(O$1,enemy_skill_triggers!$1:$1,0)-MATCH($F$1,enemy_skill_triggers!$1:$1,0)+1,FALSE)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0" s="106"/>
      <c r="Q380" s="106"/>
      <c r="R380" s="106"/>
    </row>
    <row r="381" spans="1:18" ht="21" customHeight="1" x14ac:dyDescent="0.15">
      <c r="A381" s="39" t="str">
        <f t="shared" si="5"/>
        <v>49015030_49015285</v>
      </c>
      <c r="B381" s="47">
        <v>49015030</v>
      </c>
      <c r="C381" s="136">
        <v>49015285</v>
      </c>
      <c r="D381" s="46" t="str">
        <f ca="1">VLOOKUP($C381,OFFSET(enemy_skills!$A$1,0,0,COUNTA(enemy_skills!$A:$A),MATCH(D$1,enemy_skills!$1:$1,0)-MATCH("enemy_skill_id",enemy_skills!$1:$1,0)+1),MATCH(D$1,enemy_skills!$1:$1,0)-MATCH("enemy_skill_id",enemy_skills!$1:$1,0)+1,FALSE)</f>
        <v>分解</v>
      </c>
      <c r="E381" s="46" t="str">
        <f ca="1">VLOOKUP($C381,OFFSET(enemy_skills!$A$1,0,0,COUNTA(enemy_skills!$A:$A),MATCH(E$1,enemy_skills!$1:$1,0)-MATCH("enemy_skill_id",enemy_skills!$1:$1,0)+1),MATCH(E$1,enemy_skills!$1:$1,0)-MATCH("enemy_skill_id",enemy_skills!$1:$1,0)+1,FALSE)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381" s="138">
        <v>49015380</v>
      </c>
      <c r="G381" s="48">
        <f ca="1">VLOOKUP($F381,OFFSET(enemy_skill_triggers!$A$1,0,0,COUNTA(enemy_skill_triggers!$A:$A),MATCH(G$1,enemy_skill_triggers!$1:$1,0)-MATCH($F$1,enemy_skill_triggers!$1:$1,0)+1),MATCH(G$1,enemy_skill_triggers!$1:$1,0)-MATCH($F$1,enemy_skill_triggers!$1:$1,0)+1,FALSE)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1" s="48">
        <f ca="1">VLOOKUP($F381,OFFSET(enemy_skill_triggers!$A$1,0,0,COUNTA(enemy_skill_triggers!$A:$A),MATCH(H$1,enemy_skill_triggers!$1:$1,0)-MATCH($F$1,enemy_skill_triggers!$1:$1,0)+1),MATCH(H$1,enemy_skill_triggers!$1:$1,0)-MATCH($F$1,enemy_skill_triggers!$1:$1,0)+1,FALSE)</f>
        <v>25</v>
      </c>
      <c r="I381" s="48">
        <f ca="1">VLOOKUP($F381,OFFSET(enemy_skill_triggers!$A$1,0,0,COUNTA(enemy_skill_triggers!$A:$A),MATCH(I$1,enemy_skill_triggers!$1:$1,0)-MATCH($F$1,enemy_skill_triggers!$1:$1,0)+1),MATCH(I$1,enemy_skill_triggers!$1:$1,0)-MATCH($F$1,enemy_skill_triggers!$1:$1,0)+1,FALSE)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81" s="48" t="str">
        <f ca="1">VLOOKUP($F381,OFFSET(enemy_skill_triggers!$A$1,0,0,COUNTA(enemy_skill_triggers!$A:$A),MATCH(J$1,enemy_skill_triggers!$1:$1,0)-MATCH($F$1,enemy_skill_triggers!$1:$1,0)+1),MATCH(J$1,enemy_skill_triggers!$1:$1,0)-MATCH($F$1,enemy_skill_triggers!$1:$1,0)+1,FALSE)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1" s="48" t="str">
        <f ca="1">VLOOKUP($F381,OFFSET(enemy_skill_triggers!$A$1,0,0,COUNTA(enemy_skill_triggers!$A:$A),MATCH(K$1,enemy_skill_triggers!$1:$1,0)-MATCH($F$1,enemy_skill_triggers!$1:$1,0)+1),MATCH(K$1,enemy_skill_triggers!$1:$1,0)-MATCH($F$1,enemy_skill_triggers!$1:$1,0)+1,FALSE)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1" s="48" t="str">
        <f ca="1">VLOOKUP($F381,OFFSET(enemy_skill_triggers!$A$1,0,0,COUNTA(enemy_skill_triggers!$A:$A),MATCH(L$1,enemy_skill_triggers!$1:$1,0)-MATCH($F$1,enemy_skill_triggers!$1:$1,0)+1),MATCH(L$1,enemy_skill_triggers!$1:$1,0)-MATCH($F$1,enemy_skill_triggers!$1:$1,0)+1,FALSE)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1" s="48" t="str">
        <f ca="1">VLOOKUP($F381,OFFSET(enemy_skill_triggers!$A$1,0,0,COUNTA(enemy_skill_triggers!$A:$A),MATCH(M$1,enemy_skill_triggers!$1:$1,0)-MATCH($F$1,enemy_skill_triggers!$1:$1,0)+1),MATCH(M$1,enemy_skill_triggers!$1:$1,0)-MATCH($F$1,enemy_skill_triggers!$1:$1,0)+1,FALSE)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1" s="48" t="str">
        <f ca="1">VLOOKUP($F381,OFFSET(enemy_skill_triggers!$A$1,0,0,COUNTA(enemy_skill_triggers!$A:$A),MATCH(N$1,enemy_skill_triggers!$1:$1,0)-MATCH($F$1,enemy_skill_triggers!$1:$1,0)+1),MATCH(N$1,enemy_skill_triggers!$1:$1,0)-MATCH($F$1,enemy_skill_triggers!$1:$1,0)+1,FALSE)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1" s="48">
        <f ca="1">VLOOKUP($F381,OFFSET(enemy_skill_triggers!$A$1,0,0,COUNTA(enemy_skill_triggers!$A:$A),MATCH(O$1,enemy_skill_triggers!$1:$1,0)-MATCH($F$1,enemy_skill_triggers!$1:$1,0)+1),MATCH(O$1,enemy_skill_triggers!$1:$1,0)-MATCH($F$1,enemy_skill_triggers!$1:$1,0)+1,FALSE)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81" s="47"/>
      <c r="Q381" s="47"/>
      <c r="R381" s="47"/>
    </row>
    <row r="382" spans="1:18" ht="21" customHeight="1" x14ac:dyDescent="0.15">
      <c r="A382" s="39" t="str">
        <f t="shared" si="5"/>
        <v>49015030_49015286</v>
      </c>
      <c r="B382" s="47">
        <v>49015030</v>
      </c>
      <c r="C382" s="136">
        <v>49015286</v>
      </c>
      <c r="D382" s="46" t="str">
        <f ca="1">VLOOKUP($C382,OFFSET(enemy_skills!$A$1,0,0,COUNTA(enemy_skills!$A:$A),MATCH(D$1,enemy_skills!$1:$1,0)-MATCH("enemy_skill_id",enemy_skills!$1:$1,0)+1),MATCH(D$1,enemy_skills!$1:$1,0)-MATCH("enemy_skill_id",enemy_skills!$1:$1,0)+1,FALSE)</f>
        <v>神に祈る間をやろう</v>
      </c>
      <c r="E382" s="46" t="str">
        <f ca="1">VLOOKUP($C382,OFFSET(enemy_skills!$A$1,0,0,COUNTA(enemy_skills!$A:$A),MATCH(E$1,enemy_skills!$1:$1,0)-MATCH("enemy_skill_id",enemy_skills!$1:$1,0)+1),MATCH(E$1,enemy_skills!$1:$1,0)-MATCH("enemy_skill_id",enemy_skills!$1:$1,0)+1,FALSE)</f>
        <v>残りHPの10％ダメージ！+_x000D_ランダムでお邪魔パネルに最大2個変換</v>
      </c>
      <c r="F382" s="138">
        <v>49015381</v>
      </c>
      <c r="G382" s="48">
        <f ca="1">VLOOKUP($F382,OFFSET(enemy_skill_triggers!$A$1,0,0,COUNTA(enemy_skill_triggers!$A:$A),MATCH(G$1,enemy_skill_triggers!$1:$1,0)-MATCH($F$1,enemy_skill_triggers!$1:$1,0)+1),MATCH(G$1,enemy_skill_triggers!$1:$1,0)-MATCH($F$1,enemy_skill_triggers!$1:$1,0)+1,FALSE)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2" s="48">
        <f ca="1">VLOOKUP($F382,OFFSET(enemy_skill_triggers!$A$1,0,0,COUNTA(enemy_skill_triggers!$A:$A),MATCH(H$1,enemy_skill_triggers!$1:$1,0)-MATCH($F$1,enemy_skill_triggers!$1:$1,0)+1),MATCH(H$1,enemy_skill_triggers!$1:$1,0)-MATCH($F$1,enemy_skill_triggers!$1:$1,0)+1,FALSE)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382" s="48">
        <f ca="1">VLOOKUP($F382,OFFSET(enemy_skill_triggers!$A$1,0,0,COUNTA(enemy_skill_triggers!$A:$A),MATCH(I$1,enemy_skill_triggers!$1:$1,0)-MATCH($F$1,enemy_skill_triggers!$1:$1,0)+1),MATCH(I$1,enemy_skill_triggers!$1:$1,0)-MATCH($F$1,enemy_skill_triggers!$1:$1,0)+1,FALSE)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2" s="48" t="str">
        <f ca="1">VLOOKUP($F382,OFFSET(enemy_skill_triggers!$A$1,0,0,COUNTA(enemy_skill_triggers!$A:$A),MATCH(J$1,enemy_skill_triggers!$1:$1,0)-MATCH($F$1,enemy_skill_triggers!$1:$1,0)+1),MATCH(J$1,enemy_skill_triggers!$1:$1,0)-MATCH($F$1,enemy_skill_triggers!$1:$1,0)+1,FALSE)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2" s="48" t="str">
        <f ca="1">VLOOKUP($F382,OFFSET(enemy_skill_triggers!$A$1,0,0,COUNTA(enemy_skill_triggers!$A:$A),MATCH(K$1,enemy_skill_triggers!$1:$1,0)-MATCH($F$1,enemy_skill_triggers!$1:$1,0)+1),MATCH(K$1,enemy_skill_triggers!$1:$1,0)-MATCH($F$1,enemy_skill_triggers!$1:$1,0)+1,FALSE)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2" s="48" t="str">
        <f ca="1">VLOOKUP($F382,OFFSET(enemy_skill_triggers!$A$1,0,0,COUNTA(enemy_skill_triggers!$A:$A),MATCH(L$1,enemy_skill_triggers!$1:$1,0)-MATCH($F$1,enemy_skill_triggers!$1:$1,0)+1),MATCH(L$1,enemy_skill_triggers!$1:$1,0)-MATCH($F$1,enemy_skill_triggers!$1:$1,0)+1,FALSE)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2" s="48" t="str">
        <f ca="1">VLOOKUP($F382,OFFSET(enemy_skill_triggers!$A$1,0,0,COUNTA(enemy_skill_triggers!$A:$A),MATCH(M$1,enemy_skill_triggers!$1:$1,0)-MATCH($F$1,enemy_skill_triggers!$1:$1,0)+1),MATCH(M$1,enemy_skill_triggers!$1:$1,0)-MATCH($F$1,enemy_skill_triggers!$1:$1,0)+1,FALSE)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2" s="48" t="str">
        <f ca="1">VLOOKUP($F382,OFFSET(enemy_skill_triggers!$A$1,0,0,COUNTA(enemy_skill_triggers!$A:$A),MATCH(N$1,enemy_skill_triggers!$1:$1,0)-MATCH($F$1,enemy_skill_triggers!$1:$1,0)+1),MATCH(N$1,enemy_skill_triggers!$1:$1,0)-MATCH($F$1,enemy_skill_triggers!$1:$1,0)+1,FALSE)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2" s="48">
        <f ca="1">VLOOKUP($F382,OFFSET(enemy_skill_triggers!$A$1,0,0,COUNTA(enemy_skill_triggers!$A:$A),MATCH(O$1,enemy_skill_triggers!$1:$1,0)-MATCH($F$1,enemy_skill_triggers!$1:$1,0)+1),MATCH(O$1,enemy_skill_triggers!$1:$1,0)-MATCH($F$1,enemy_skill_triggers!$1:$1,0)+1,FALSE)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2" s="47"/>
      <c r="Q382" s="47"/>
      <c r="R382" s="47"/>
    </row>
    <row r="383" spans="1:18" ht="21" customHeight="1" x14ac:dyDescent="0.15">
      <c r="A383" s="39" t="str">
        <f t="shared" ref="A383:A394" si="6">B383&amp;"_"&amp;C383</f>
        <v>49015030_49015287</v>
      </c>
      <c r="B383" s="106">
        <v>49015030</v>
      </c>
      <c r="C383" s="138">
        <v>49015287</v>
      </c>
      <c r="D383" s="46" t="str">
        <f ca="1">VLOOKUP($C383,OFFSET(enemy_skills!$A$1,0,0,COUNTA(enemy_skills!$A:$A),MATCH(D$1,enemy_skills!$1:$1,0)-MATCH("enemy_skill_id",enemy_skills!$1:$1,0)+1),MATCH(D$1,enemy_skills!$1:$1,0)-MATCH("enemy_skill_id",enemy_skills!$1:$1,0)+1,FALSE)</f>
        <v>同胞たちよ、すまぬ…</v>
      </c>
      <c r="E383" s="46" t="str">
        <f ca="1">VLOOKUP($C383,OFFSET(enemy_skills!$A$1,0,0,COUNTA(enemy_skills!$A:$A),MATCH(E$1,enemy_skills!$1:$1,0)-MATCH("enemy_skill_id",enemy_skills!$1:$1,0)+1),MATCH(E$1,enemy_skills!$1:$1,0)-MATCH("enemy_skill_id",enemy_skills!$1:$1,0)+1,FALSE)</f>
        <v>畜生の道のまま堕ちるか…</v>
      </c>
      <c r="F383" s="138">
        <v>49015382</v>
      </c>
      <c r="G383" s="48">
        <f ca="1">VLOOKUP($F383,OFFSET(enemy_skill_triggers!$A$1,0,0,COUNTA(enemy_skill_triggers!$A:$A),MATCH(G$1,enemy_skill_triggers!$1:$1,0)-MATCH($F$1,enemy_skill_triggers!$1:$1,0)+1),MATCH(G$1,enemy_skill_triggers!$1:$1,0)-MATCH($F$1,enemy_skill_triggers!$1:$1,0)+1,FALSE)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3" s="48">
        <f ca="1">VLOOKUP($F383,OFFSET(enemy_skill_triggers!$A$1,0,0,COUNTA(enemy_skill_triggers!$A:$A),MATCH(H$1,enemy_skill_triggers!$1:$1,0)-MATCH($F$1,enemy_skill_triggers!$1:$1,0)+1),MATCH(H$1,enemy_skill_triggers!$1:$1,0)-MATCH($F$1,enemy_skill_triggers!$1:$1,0)+1,FALSE)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383" s="48">
        <f ca="1">VLOOKUP($F383,OFFSET(enemy_skill_triggers!$A$1,0,0,COUNTA(enemy_skill_triggers!$A:$A),MATCH(I$1,enemy_skill_triggers!$1:$1,0)-MATCH($F$1,enemy_skill_triggers!$1:$1,0)+1),MATCH(I$1,enemy_skill_triggers!$1:$1,0)-MATCH($F$1,enemy_skill_triggers!$1:$1,0)+1,FALSE)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3" s="48" t="str">
        <f ca="1">VLOOKUP($F383,OFFSET(enemy_skill_triggers!$A$1,0,0,COUNTA(enemy_skill_triggers!$A:$A),MATCH(J$1,enemy_skill_triggers!$1:$1,0)-MATCH($F$1,enemy_skill_triggers!$1:$1,0)+1),MATCH(J$1,enemy_skill_triggers!$1:$1,0)-MATCH($F$1,enemy_skill_triggers!$1:$1,0)+1,FALSE)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3" s="48" t="str">
        <f ca="1">VLOOKUP($F383,OFFSET(enemy_skill_triggers!$A$1,0,0,COUNTA(enemy_skill_triggers!$A:$A),MATCH(K$1,enemy_skill_triggers!$1:$1,0)-MATCH($F$1,enemy_skill_triggers!$1:$1,0)+1),MATCH(K$1,enemy_skill_triggers!$1:$1,0)-MATCH($F$1,enemy_skill_triggers!$1:$1,0)+1,FALSE)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3" s="48">
        <f ca="1">VLOOKUP($F383,OFFSET(enemy_skill_triggers!$A$1,0,0,COUNTA(enemy_skill_triggers!$A:$A),MATCH(L$1,enemy_skill_triggers!$1:$1,0)-MATCH($F$1,enemy_skill_triggers!$1:$1,0)+1),MATCH(L$1,enemy_skill_triggers!$1:$1,0)-MATCH($F$1,enemy_skill_triggers!$1:$1,0)+1,FALSE)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83" s="48" t="str">
        <f ca="1">VLOOKUP($F383,OFFSET(enemy_skill_triggers!$A$1,0,0,COUNTA(enemy_skill_triggers!$A:$A),MATCH(M$1,enemy_skill_triggers!$1:$1,0)-MATCH($F$1,enemy_skill_triggers!$1:$1,0)+1),MATCH(M$1,enemy_skill_triggers!$1:$1,0)-MATCH($F$1,enemy_skill_triggers!$1:$1,0)+1,FALSE)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3" s="48">
        <f ca="1">VLOOKUP($F383,OFFSET(enemy_skill_triggers!$A$1,0,0,COUNTA(enemy_skill_triggers!$A:$A),MATCH(N$1,enemy_skill_triggers!$1:$1,0)-MATCH($F$1,enemy_skill_triggers!$1:$1,0)+1),MATCH(N$1,enemy_skill_triggers!$1:$1,0)-MATCH($F$1,enemy_skill_triggers!$1:$1,0)+1,FALSE)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83" s="48">
        <f ca="1">VLOOKUP($F383,OFFSET(enemy_skill_triggers!$A$1,0,0,COUNTA(enemy_skill_triggers!$A:$A),MATCH(O$1,enemy_skill_triggers!$1:$1,0)-MATCH($F$1,enemy_skill_triggers!$1:$1,0)+1),MATCH(O$1,enemy_skill_triggers!$1:$1,0)-MATCH($F$1,enemy_skill_triggers!$1:$1,0)+1,FALSE)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3" s="47"/>
      <c r="Q383" s="47"/>
      <c r="R383" s="47"/>
    </row>
    <row r="384" spans="1:18" ht="21" customHeight="1" x14ac:dyDescent="0.15">
      <c r="A384" s="39" t="str">
        <f t="shared" si="6"/>
        <v>49015030_49015288</v>
      </c>
      <c r="B384" s="106">
        <v>49015030</v>
      </c>
      <c r="C384" s="138">
        <v>49015288</v>
      </c>
      <c r="D384" s="46" t="str">
        <f ca="1">VLOOKUP($C384,OFFSET(enemy_skills!$A$1,0,0,COUNTA(enemy_skills!$A:$A),MATCH(D$1,enemy_skills!$1:$1,0)-MATCH("enemy_skill_id",enemy_skills!$1:$1,0)+1),MATCH(D$1,enemy_skills!$1:$1,0)-MATCH("enemy_skill_id",enemy_skills!$1:$1,0)+1,FALSE)</f>
        <v>国家の犬め…</v>
      </c>
      <c r="E384" s="46" t="str">
        <f ca="1">VLOOKUP($C384,OFFSET(enemy_skills!$A$1,0,0,COUNTA(enemy_skills!$A:$A),MATCH(E$1,enemy_skills!$1:$1,0)-MATCH("enemy_skill_id",enemy_skills!$1:$1,0)+1),MATCH(E$1,enemy_skills!$1:$1,0)-MATCH("enemy_skill_id",enemy_skills!$1:$1,0)+1,FALSE)</f>
        <v>神よ…兄者よ…</v>
      </c>
      <c r="F384" s="138">
        <v>49015383</v>
      </c>
      <c r="G384" s="48">
        <f ca="1">VLOOKUP($F384,OFFSET(enemy_skill_triggers!$A$1,0,0,COUNTA(enemy_skill_triggers!$A:$A),MATCH(G$1,enemy_skill_triggers!$1:$1,0)-MATCH($F$1,enemy_skill_triggers!$1:$1,0)+1),MATCH(G$1,enemy_skill_triggers!$1:$1,0)-MATCH($F$1,enemy_skill_triggers!$1:$1,0)+1,FALSE)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4" s="48">
        <f ca="1">VLOOKUP($F384,OFFSET(enemy_skill_triggers!$A$1,0,0,COUNTA(enemy_skill_triggers!$A:$A),MATCH(H$1,enemy_skill_triggers!$1:$1,0)-MATCH($F$1,enemy_skill_triggers!$1:$1,0)+1),MATCH(H$1,enemy_skill_triggers!$1:$1,0)-MATCH($F$1,enemy_skill_triggers!$1:$1,0)+1,FALSE)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84" s="48">
        <f ca="1">VLOOKUP($F384,OFFSET(enemy_skill_triggers!$A$1,0,0,COUNTA(enemy_skill_triggers!$A:$A),MATCH(I$1,enemy_skill_triggers!$1:$1,0)-MATCH($F$1,enemy_skill_triggers!$1:$1,0)+1),MATCH(I$1,enemy_skill_triggers!$1:$1,0)-MATCH($F$1,enemy_skill_triggers!$1:$1,0)+1,FALSE)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4" s="48" t="str">
        <f ca="1">VLOOKUP($F384,OFFSET(enemy_skill_triggers!$A$1,0,0,COUNTA(enemy_skill_triggers!$A:$A),MATCH(J$1,enemy_skill_triggers!$1:$1,0)-MATCH($F$1,enemy_skill_triggers!$1:$1,0)+1),MATCH(J$1,enemy_skill_triggers!$1:$1,0)-MATCH($F$1,enemy_skill_triggers!$1:$1,0)+1,FALSE)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4" s="48" t="str">
        <f ca="1">VLOOKUP($F384,OFFSET(enemy_skill_triggers!$A$1,0,0,COUNTA(enemy_skill_triggers!$A:$A),MATCH(K$1,enemy_skill_triggers!$1:$1,0)-MATCH($F$1,enemy_skill_triggers!$1:$1,0)+1),MATCH(K$1,enemy_skill_triggers!$1:$1,0)-MATCH($F$1,enemy_skill_triggers!$1:$1,0)+1,FALSE)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4" s="48">
        <f ca="1">VLOOKUP($F384,OFFSET(enemy_skill_triggers!$A$1,0,0,COUNTA(enemy_skill_triggers!$A:$A),MATCH(L$1,enemy_skill_triggers!$1:$1,0)-MATCH($F$1,enemy_skill_triggers!$1:$1,0)+1),MATCH(L$1,enemy_skill_triggers!$1:$1,0)-MATCH($F$1,enemy_skill_triggers!$1:$1,0)+1,FALSE)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84" s="48" t="str">
        <f ca="1">VLOOKUP($F384,OFFSET(enemy_skill_triggers!$A$1,0,0,COUNTA(enemy_skill_triggers!$A:$A),MATCH(M$1,enemy_skill_triggers!$1:$1,0)-MATCH($F$1,enemy_skill_triggers!$1:$1,0)+1),MATCH(M$1,enemy_skill_triggers!$1:$1,0)-MATCH($F$1,enemy_skill_triggers!$1:$1,0)+1,FALSE)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4" s="48">
        <f ca="1">VLOOKUP($F384,OFFSET(enemy_skill_triggers!$A$1,0,0,COUNTA(enemy_skill_triggers!$A:$A),MATCH(N$1,enemy_skill_triggers!$1:$1,0)-MATCH($F$1,enemy_skill_triggers!$1:$1,0)+1),MATCH(N$1,enemy_skill_triggers!$1:$1,0)-MATCH($F$1,enemy_skill_triggers!$1:$1,0)+1,FALSE)</f>
        <v>1462</v>
      </c>
      <c r="O384" s="48">
        <f ca="1">VLOOKUP($F384,OFFSET(enemy_skill_triggers!$A$1,0,0,COUNTA(enemy_skill_triggers!$A:$A),MATCH(O$1,enemy_skill_triggers!$1:$1,0)-MATCH($F$1,enemy_skill_triggers!$1:$1,0)+1),MATCH(O$1,enemy_skill_triggers!$1:$1,0)-MATCH($F$1,enemy_skill_triggers!$1:$1,0)+1,FALSE)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4" s="47"/>
      <c r="Q384" s="47"/>
      <c r="R384" s="47"/>
    </row>
    <row r="385" spans="1:18" ht="21" customHeight="1" x14ac:dyDescent="0.15">
      <c r="A385" s="39" t="str">
        <f t="shared" si="6"/>
        <v>49015030_49015288</v>
      </c>
      <c r="B385" s="106">
        <v>49015030</v>
      </c>
      <c r="C385" s="138">
        <v>49015288</v>
      </c>
      <c r="D385" s="46" t="str">
        <f ca="1">VLOOKUP($C385,OFFSET(enemy_skills!$A$1,0,0,COUNTA(enemy_skills!$A:$A),MATCH(D$1,enemy_skills!$1:$1,0)-MATCH("enemy_skill_id",enemy_skills!$1:$1,0)+1),MATCH(D$1,enemy_skills!$1:$1,0)-MATCH("enemy_skill_id",enemy_skills!$1:$1,0)+1,FALSE)</f>
        <v>国家の犬め…</v>
      </c>
      <c r="E385" s="46" t="str">
        <f ca="1">VLOOKUP($C385,OFFSET(enemy_skills!$A$1,0,0,COUNTA(enemy_skills!$A:$A),MATCH(E$1,enemy_skills!$1:$1,0)-MATCH("enemy_skill_id",enemy_skills!$1:$1,0)+1),MATCH(E$1,enemy_skills!$1:$1,0)-MATCH("enemy_skill_id",enemy_skills!$1:$1,0)+1,FALSE)</f>
        <v>神よ…兄者よ…</v>
      </c>
      <c r="F385" s="138">
        <v>49015384</v>
      </c>
      <c r="G385" s="48">
        <f ca="1">VLOOKUP($F385,OFFSET(enemy_skill_triggers!$A$1,0,0,COUNTA(enemy_skill_triggers!$A:$A),MATCH(G$1,enemy_skill_triggers!$1:$1,0)-MATCH($F$1,enemy_skill_triggers!$1:$1,0)+1),MATCH(G$1,enemy_skill_triggers!$1:$1,0)-MATCH($F$1,enemy_skill_triggers!$1:$1,0)+1,FALSE)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5" s="48">
        <f ca="1">VLOOKUP($F385,OFFSET(enemy_skill_triggers!$A$1,0,0,COUNTA(enemy_skill_triggers!$A:$A),MATCH(H$1,enemy_skill_triggers!$1:$1,0)-MATCH($F$1,enemy_skill_triggers!$1:$1,0)+1),MATCH(H$1,enemy_skill_triggers!$1:$1,0)-MATCH($F$1,enemy_skill_triggers!$1:$1,0)+1,FALSE)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85" s="48">
        <f ca="1">VLOOKUP($F385,OFFSET(enemy_skill_triggers!$A$1,0,0,COUNTA(enemy_skill_triggers!$A:$A),MATCH(I$1,enemy_skill_triggers!$1:$1,0)-MATCH($F$1,enemy_skill_triggers!$1:$1,0)+1),MATCH(I$1,enemy_skill_triggers!$1:$1,0)-MATCH($F$1,enemy_skill_triggers!$1:$1,0)+1,FALSE)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5" s="48" t="str">
        <f ca="1">VLOOKUP($F385,OFFSET(enemy_skill_triggers!$A$1,0,0,COUNTA(enemy_skill_triggers!$A:$A),MATCH(J$1,enemy_skill_triggers!$1:$1,0)-MATCH($F$1,enemy_skill_triggers!$1:$1,0)+1),MATCH(J$1,enemy_skill_triggers!$1:$1,0)-MATCH($F$1,enemy_skill_triggers!$1:$1,0)+1,FALSE)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5" s="48" t="str">
        <f ca="1">VLOOKUP($F385,OFFSET(enemy_skill_triggers!$A$1,0,0,COUNTA(enemy_skill_triggers!$A:$A),MATCH(K$1,enemy_skill_triggers!$1:$1,0)-MATCH($F$1,enemy_skill_triggers!$1:$1,0)+1),MATCH(K$1,enemy_skill_triggers!$1:$1,0)-MATCH($F$1,enemy_skill_triggers!$1:$1,0)+1,FALSE)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5" s="48">
        <f ca="1">VLOOKUP($F385,OFFSET(enemy_skill_triggers!$A$1,0,0,COUNTA(enemy_skill_triggers!$A:$A),MATCH(L$1,enemy_skill_triggers!$1:$1,0)-MATCH($F$1,enemy_skill_triggers!$1:$1,0)+1),MATCH(L$1,enemy_skill_triggers!$1:$1,0)-MATCH($F$1,enemy_skill_triggers!$1:$1,0)+1,FALSE)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85" s="48" t="str">
        <f ca="1">VLOOKUP($F385,OFFSET(enemy_skill_triggers!$A$1,0,0,COUNTA(enemy_skill_triggers!$A:$A),MATCH(M$1,enemy_skill_triggers!$1:$1,0)-MATCH($F$1,enemy_skill_triggers!$1:$1,0)+1),MATCH(M$1,enemy_skill_triggers!$1:$1,0)-MATCH($F$1,enemy_skill_triggers!$1:$1,0)+1,FALSE)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5" s="48">
        <f ca="1">VLOOKUP($F385,OFFSET(enemy_skill_triggers!$A$1,0,0,COUNTA(enemy_skill_triggers!$A:$A),MATCH(N$1,enemy_skill_triggers!$1:$1,0)-MATCH($F$1,enemy_skill_triggers!$1:$1,0)+1),MATCH(N$1,enemy_skill_triggers!$1:$1,0)-MATCH($F$1,enemy_skill_triggers!$1:$1,0)+1,FALSE)</f>
        <v>1463</v>
      </c>
      <c r="O385" s="48">
        <f ca="1">VLOOKUP($F385,OFFSET(enemy_skill_triggers!$A$1,0,0,COUNTA(enemy_skill_triggers!$A:$A),MATCH(O$1,enemy_skill_triggers!$1:$1,0)-MATCH($F$1,enemy_skill_triggers!$1:$1,0)+1),MATCH(O$1,enemy_skill_triggers!$1:$1,0)-MATCH($F$1,enemy_skill_triggers!$1:$1,0)+1,FALSE)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5" s="47"/>
      <c r="Q385" s="47"/>
      <c r="R385" s="47"/>
    </row>
    <row r="386" spans="1:18" ht="21" customHeight="1" x14ac:dyDescent="0.15">
      <c r="A386" s="39" t="str">
        <f t="shared" si="6"/>
        <v>49015030_49015289</v>
      </c>
      <c r="B386" s="106">
        <v>49015030</v>
      </c>
      <c r="C386" s="138">
        <v>49015289</v>
      </c>
      <c r="D386" s="46" t="str">
        <f ca="1">VLOOKUP($C386,OFFSET(enemy_skills!$A$1,0,0,COUNTA(enemy_skills!$A:$A),MATCH(D$1,enemy_skills!$1:$1,0)-MATCH("enemy_skill_id",enemy_skills!$1:$1,0)+1),MATCH(D$1,enemy_skills!$1:$1,0)-MATCH("enemy_skill_id",enemy_skills!$1:$1,0)+1,FALSE)</f>
        <v>貴様たち錬金術師は…</v>
      </c>
      <c r="E386" s="46" t="str">
        <f ca="1">VLOOKUP($C386,OFFSET(enemy_skills!$A$1,0,0,COUNTA(enemy_skills!$A:$A),MATCH(E$1,enemy_skills!$1:$1,0)-MATCH("enemy_skill_id",enemy_skills!$1:$1,0)+1),MATCH(E$1,enemy_skills!$1:$1,0)-MATCH("enemy_skill_id",enemy_skills!$1:$1,0)+1,FALSE)</f>
        <v>悲劇ばかり生み出す…</v>
      </c>
      <c r="F386" s="138">
        <v>49015385</v>
      </c>
      <c r="G386" s="48">
        <f ca="1">VLOOKUP($F386,OFFSET(enemy_skill_triggers!$A$1,0,0,COUNTA(enemy_skill_triggers!$A:$A),MATCH(G$1,enemy_skill_triggers!$1:$1,0)-MATCH($F$1,enemy_skill_triggers!$1:$1,0)+1),MATCH(G$1,enemy_skill_triggers!$1:$1,0)-MATCH($F$1,enemy_skill_triggers!$1:$1,0)+1,FALSE)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6" s="48">
        <f ca="1">VLOOKUP($F386,OFFSET(enemy_skill_triggers!$A$1,0,0,COUNTA(enemy_skill_triggers!$A:$A),MATCH(H$1,enemy_skill_triggers!$1:$1,0)-MATCH($F$1,enemy_skill_triggers!$1:$1,0)+1),MATCH(H$1,enemy_skill_triggers!$1:$1,0)-MATCH($F$1,enemy_skill_triggers!$1:$1,0)+1,FALSE)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86" s="48">
        <f ca="1">VLOOKUP($F386,OFFSET(enemy_skill_triggers!$A$1,0,0,COUNTA(enemy_skill_triggers!$A:$A),MATCH(I$1,enemy_skill_triggers!$1:$1,0)-MATCH($F$1,enemy_skill_triggers!$1:$1,0)+1),MATCH(I$1,enemy_skill_triggers!$1:$1,0)-MATCH($F$1,enemy_skill_triggers!$1:$1,0)+1,FALSE)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6" s="48" t="str">
        <f ca="1">VLOOKUP($F386,OFFSET(enemy_skill_triggers!$A$1,0,0,COUNTA(enemy_skill_triggers!$A:$A),MATCH(J$1,enemy_skill_triggers!$1:$1,0)-MATCH($F$1,enemy_skill_triggers!$1:$1,0)+1),MATCH(J$1,enemy_skill_triggers!$1:$1,0)-MATCH($F$1,enemy_skill_triggers!$1:$1,0)+1,FALSE)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6" s="48" t="str">
        <f ca="1">VLOOKUP($F386,OFFSET(enemy_skill_triggers!$A$1,0,0,COUNTA(enemy_skill_triggers!$A:$A),MATCH(K$1,enemy_skill_triggers!$1:$1,0)-MATCH($F$1,enemy_skill_triggers!$1:$1,0)+1),MATCH(K$1,enemy_skill_triggers!$1:$1,0)-MATCH($F$1,enemy_skill_triggers!$1:$1,0)+1,FALSE)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6" s="48">
        <f ca="1">VLOOKUP($F386,OFFSET(enemy_skill_triggers!$A$1,0,0,COUNTA(enemy_skill_triggers!$A:$A),MATCH(L$1,enemy_skill_triggers!$1:$1,0)-MATCH($F$1,enemy_skill_triggers!$1:$1,0)+1),MATCH(L$1,enemy_skill_triggers!$1:$1,0)-MATCH($F$1,enemy_skill_triggers!$1:$1,0)+1,FALSE)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86" s="48" t="str">
        <f ca="1">VLOOKUP($F386,OFFSET(enemy_skill_triggers!$A$1,0,0,COUNTA(enemy_skill_triggers!$A:$A),MATCH(M$1,enemy_skill_triggers!$1:$1,0)-MATCH($F$1,enemy_skill_triggers!$1:$1,0)+1),MATCH(M$1,enemy_skill_triggers!$1:$1,0)-MATCH($F$1,enemy_skill_triggers!$1:$1,0)+1,FALSE)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6" s="48">
        <f ca="1">VLOOKUP($F386,OFFSET(enemy_skill_triggers!$A$1,0,0,COUNTA(enemy_skill_triggers!$A:$A),MATCH(N$1,enemy_skill_triggers!$1:$1,0)-MATCH($F$1,enemy_skill_triggers!$1:$1,0)+1),MATCH(N$1,enemy_skill_triggers!$1:$1,0)-MATCH($F$1,enemy_skill_triggers!$1:$1,0)+1,FALSE)</f>
        <v>1464</v>
      </c>
      <c r="O386" s="48">
        <f ca="1">VLOOKUP($F386,OFFSET(enemy_skill_triggers!$A$1,0,0,COUNTA(enemy_skill_triggers!$A:$A),MATCH(O$1,enemy_skill_triggers!$1:$1,0)-MATCH($F$1,enemy_skill_triggers!$1:$1,0)+1),MATCH(O$1,enemy_skill_triggers!$1:$1,0)-MATCH($F$1,enemy_skill_triggers!$1:$1,0)+1,FALSE)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6" s="47"/>
      <c r="Q386" s="47"/>
      <c r="R386" s="47"/>
    </row>
    <row r="387" spans="1:18" ht="21" customHeight="1" x14ac:dyDescent="0.15">
      <c r="A387" s="39" t="str">
        <f t="shared" si="6"/>
        <v>49015030_49015289</v>
      </c>
      <c r="B387" s="106">
        <v>49015030</v>
      </c>
      <c r="C387" s="138">
        <v>49015289</v>
      </c>
      <c r="D387" s="46" t="str">
        <f ca="1">VLOOKUP($C387,OFFSET(enemy_skills!$A$1,0,0,COUNTA(enemy_skills!$A:$A),MATCH(D$1,enemy_skills!$1:$1,0)-MATCH("enemy_skill_id",enemy_skills!$1:$1,0)+1),MATCH(D$1,enemy_skills!$1:$1,0)-MATCH("enemy_skill_id",enemy_skills!$1:$1,0)+1,FALSE)</f>
        <v>貴様たち錬金術師は…</v>
      </c>
      <c r="E387" s="46" t="str">
        <f ca="1">VLOOKUP($C387,OFFSET(enemy_skills!$A$1,0,0,COUNTA(enemy_skills!$A:$A),MATCH(E$1,enemy_skills!$1:$1,0)-MATCH("enemy_skill_id",enemy_skills!$1:$1,0)+1),MATCH(E$1,enemy_skills!$1:$1,0)-MATCH("enemy_skill_id",enemy_skills!$1:$1,0)+1,FALSE)</f>
        <v>悲劇ばかり生み出す…</v>
      </c>
      <c r="F387" s="138">
        <v>49015386</v>
      </c>
      <c r="G387" s="48">
        <f ca="1">VLOOKUP($F387,OFFSET(enemy_skill_triggers!$A$1,0,0,COUNTA(enemy_skill_triggers!$A:$A),MATCH(G$1,enemy_skill_triggers!$1:$1,0)-MATCH($F$1,enemy_skill_triggers!$1:$1,0)+1),MATCH(G$1,enemy_skill_triggers!$1:$1,0)-MATCH($F$1,enemy_skill_triggers!$1:$1,0)+1,FALSE)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7" s="48">
        <f ca="1">VLOOKUP($F387,OFFSET(enemy_skill_triggers!$A$1,0,0,COUNTA(enemy_skill_triggers!$A:$A),MATCH(H$1,enemy_skill_triggers!$1:$1,0)-MATCH($F$1,enemy_skill_triggers!$1:$1,0)+1),MATCH(H$1,enemy_skill_triggers!$1:$1,0)-MATCH($F$1,enemy_skill_triggers!$1:$1,0)+1,FALSE)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387" s="48">
        <f ca="1">VLOOKUP($F387,OFFSET(enemy_skill_triggers!$A$1,0,0,COUNTA(enemy_skill_triggers!$A:$A),MATCH(I$1,enemy_skill_triggers!$1:$1,0)-MATCH($F$1,enemy_skill_triggers!$1:$1,0)+1),MATCH(I$1,enemy_skill_triggers!$1:$1,0)-MATCH($F$1,enemy_skill_triggers!$1:$1,0)+1,FALSE)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7" s="48" t="str">
        <f ca="1">VLOOKUP($F387,OFFSET(enemy_skill_triggers!$A$1,0,0,COUNTA(enemy_skill_triggers!$A:$A),MATCH(J$1,enemy_skill_triggers!$1:$1,0)-MATCH($F$1,enemy_skill_triggers!$1:$1,0)+1),MATCH(J$1,enemy_skill_triggers!$1:$1,0)-MATCH($F$1,enemy_skill_triggers!$1:$1,0)+1,FALSE)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7" s="48" t="str">
        <f ca="1">VLOOKUP($F387,OFFSET(enemy_skill_triggers!$A$1,0,0,COUNTA(enemy_skill_triggers!$A:$A),MATCH(K$1,enemy_skill_triggers!$1:$1,0)-MATCH($F$1,enemy_skill_triggers!$1:$1,0)+1),MATCH(K$1,enemy_skill_triggers!$1:$1,0)-MATCH($F$1,enemy_skill_triggers!$1:$1,0)+1,FALSE)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7" s="48">
        <f ca="1">VLOOKUP($F387,OFFSET(enemy_skill_triggers!$A$1,0,0,COUNTA(enemy_skill_triggers!$A:$A),MATCH(L$1,enemy_skill_triggers!$1:$1,0)-MATCH($F$1,enemy_skill_triggers!$1:$1,0)+1),MATCH(L$1,enemy_skill_triggers!$1:$1,0)-MATCH($F$1,enemy_skill_triggers!$1:$1,0)+1,FALSE)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87" s="48" t="str">
        <f ca="1">VLOOKUP($F387,OFFSET(enemy_skill_triggers!$A$1,0,0,COUNTA(enemy_skill_triggers!$A:$A),MATCH(M$1,enemy_skill_triggers!$1:$1,0)-MATCH($F$1,enemy_skill_triggers!$1:$1,0)+1),MATCH(M$1,enemy_skill_triggers!$1:$1,0)-MATCH($F$1,enemy_skill_triggers!$1:$1,0)+1,FALSE)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7" s="48">
        <f ca="1">VLOOKUP($F387,OFFSET(enemy_skill_triggers!$A$1,0,0,COUNTA(enemy_skill_triggers!$A:$A),MATCH(N$1,enemy_skill_triggers!$1:$1,0)-MATCH($F$1,enemy_skill_triggers!$1:$1,0)+1),MATCH(N$1,enemy_skill_triggers!$1:$1,0)-MATCH($F$1,enemy_skill_triggers!$1:$1,0)+1,FALSE)</f>
        <v>1465</v>
      </c>
      <c r="O387" s="48">
        <f ca="1">VLOOKUP($F387,OFFSET(enemy_skill_triggers!$A$1,0,0,COUNTA(enemy_skill_triggers!$A:$A),MATCH(O$1,enemy_skill_triggers!$1:$1,0)-MATCH($F$1,enemy_skill_triggers!$1:$1,0)+1),MATCH(O$1,enemy_skill_triggers!$1:$1,0)-MATCH($F$1,enemy_skill_triggers!$1:$1,0)+1,FALSE)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7" s="47"/>
      <c r="Q387" s="47"/>
      <c r="R387" s="47"/>
    </row>
    <row r="388" spans="1:18" ht="21" customHeight="1" x14ac:dyDescent="0.15">
      <c r="A388" s="39" t="str">
        <f t="shared" si="6"/>
        <v>49015030_49015290</v>
      </c>
      <c r="B388" s="106">
        <v>49015030</v>
      </c>
      <c r="C388" s="138">
        <v>49015290</v>
      </c>
      <c r="D388" s="46" t="str">
        <f ca="1">VLOOKUP($C388,OFFSET(enemy_skills!$A$1,0,0,COUNTA(enemy_skills!$A:$A),MATCH(D$1,enemy_skills!$1:$1,0)-MATCH("enemy_skill_id",enemy_skills!$1:$1,0)+1),MATCH(D$1,enemy_skills!$1:$1,0)-MATCH("enemy_skill_id",enemy_skills!$1:$1,0)+1,FALSE)</f>
        <v>焔の錬金術師！貴様の…</v>
      </c>
      <c r="E388" s="46" t="str">
        <f ca="1">VLOOKUP($C388,OFFSET(enemy_skills!$A$1,0,0,COUNTA(enemy_skills!$A:$A),MATCH(E$1,enemy_skills!$1:$1,0)-MATCH("enemy_skill_id",enemy_skills!$1:$1,0)+1),MATCH(E$1,enemy_skills!$1:$1,0)-MATCH("enemy_skill_id",enemy_skills!$1:$1,0)+1,FALSE)</f>
        <v>貴様の業火忘れんぞ！</v>
      </c>
      <c r="F388" s="138">
        <v>49015387</v>
      </c>
      <c r="G388" s="48">
        <f ca="1">VLOOKUP($F388,OFFSET(enemy_skill_triggers!$A$1,0,0,COUNTA(enemy_skill_triggers!$A:$A),MATCH(G$1,enemy_skill_triggers!$1:$1,0)-MATCH($F$1,enemy_skill_triggers!$1:$1,0)+1),MATCH(G$1,enemy_skill_triggers!$1:$1,0)-MATCH($F$1,enemy_skill_triggers!$1:$1,0)+1,FALSE)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8" s="48">
        <f ca="1">VLOOKUP($F388,OFFSET(enemy_skill_triggers!$A$1,0,0,COUNTA(enemy_skill_triggers!$A:$A),MATCH(H$1,enemy_skill_triggers!$1:$1,0)-MATCH($F$1,enemy_skill_triggers!$1:$1,0)+1),MATCH(H$1,enemy_skill_triggers!$1:$1,0)-MATCH($F$1,enemy_skill_triggers!$1:$1,0)+1,FALSE)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88" s="48">
        <f ca="1">VLOOKUP($F388,OFFSET(enemy_skill_triggers!$A$1,0,0,COUNTA(enemy_skill_triggers!$A:$A),MATCH(I$1,enemy_skill_triggers!$1:$1,0)-MATCH($F$1,enemy_skill_triggers!$1:$1,0)+1),MATCH(I$1,enemy_skill_triggers!$1:$1,0)-MATCH($F$1,enemy_skill_triggers!$1:$1,0)+1,FALSE)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8" s="48" t="str">
        <f ca="1">VLOOKUP($F388,OFFSET(enemy_skill_triggers!$A$1,0,0,COUNTA(enemy_skill_triggers!$A:$A),MATCH(J$1,enemy_skill_triggers!$1:$1,0)-MATCH($F$1,enemy_skill_triggers!$1:$1,0)+1),MATCH(J$1,enemy_skill_triggers!$1:$1,0)-MATCH($F$1,enemy_skill_triggers!$1:$1,0)+1,FALSE)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8" s="48" t="str">
        <f ca="1">VLOOKUP($F388,OFFSET(enemy_skill_triggers!$A$1,0,0,COUNTA(enemy_skill_triggers!$A:$A),MATCH(K$1,enemy_skill_triggers!$1:$1,0)-MATCH($F$1,enemy_skill_triggers!$1:$1,0)+1),MATCH(K$1,enemy_skill_triggers!$1:$1,0)-MATCH($F$1,enemy_skill_triggers!$1:$1,0)+1,FALSE)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8" s="48">
        <f ca="1">VLOOKUP($F388,OFFSET(enemy_skill_triggers!$A$1,0,0,COUNTA(enemy_skill_triggers!$A:$A),MATCH(L$1,enemy_skill_triggers!$1:$1,0)-MATCH($F$1,enemy_skill_triggers!$1:$1,0)+1),MATCH(L$1,enemy_skill_triggers!$1:$1,0)-MATCH($F$1,enemy_skill_triggers!$1:$1,0)+1,FALSE)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88" s="48" t="str">
        <f ca="1">VLOOKUP($F388,OFFSET(enemy_skill_triggers!$A$1,0,0,COUNTA(enemy_skill_triggers!$A:$A),MATCH(M$1,enemy_skill_triggers!$1:$1,0)-MATCH($F$1,enemy_skill_triggers!$1:$1,0)+1),MATCH(M$1,enemy_skill_triggers!$1:$1,0)-MATCH($F$1,enemy_skill_triggers!$1:$1,0)+1,FALSE)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8" s="48">
        <f ca="1">VLOOKUP($F388,OFFSET(enemy_skill_triggers!$A$1,0,0,COUNTA(enemy_skill_triggers!$A:$A),MATCH(N$1,enemy_skill_triggers!$1:$1,0)-MATCH($F$1,enemy_skill_triggers!$1:$1,0)+1),MATCH(N$1,enemy_skill_triggers!$1:$1,0)-MATCH($F$1,enemy_skill_triggers!$1:$1,0)+1,FALSE)</f>
        <v>1458</v>
      </c>
      <c r="O388" s="48">
        <f ca="1">VLOOKUP($F388,OFFSET(enemy_skill_triggers!$A$1,0,0,COUNTA(enemy_skill_triggers!$A:$A),MATCH(O$1,enemy_skill_triggers!$1:$1,0)-MATCH($F$1,enemy_skill_triggers!$1:$1,0)+1),MATCH(O$1,enemy_skill_triggers!$1:$1,0)-MATCH($F$1,enemy_skill_triggers!$1:$1,0)+1,FALSE)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8" s="47"/>
      <c r="Q388" s="47"/>
      <c r="R388" s="47"/>
    </row>
    <row r="389" spans="1:18" ht="21" customHeight="1" x14ac:dyDescent="0.15">
      <c r="A389" s="39" t="str">
        <f t="shared" si="6"/>
        <v>49015030_49015290</v>
      </c>
      <c r="B389" s="106">
        <v>49015030</v>
      </c>
      <c r="C389" s="138">
        <v>49015290</v>
      </c>
      <c r="D389" s="46" t="str">
        <f ca="1">VLOOKUP($C389,OFFSET(enemy_skills!$A$1,0,0,COUNTA(enemy_skills!$A:$A),MATCH(D$1,enemy_skills!$1:$1,0)-MATCH("enemy_skill_id",enemy_skills!$1:$1,0)+1),MATCH(D$1,enemy_skills!$1:$1,0)-MATCH("enemy_skill_id",enemy_skills!$1:$1,0)+1,FALSE)</f>
        <v>焔の錬金術師！貴様の…</v>
      </c>
      <c r="E389" s="46" t="str">
        <f ca="1">VLOOKUP($C389,OFFSET(enemy_skills!$A$1,0,0,COUNTA(enemy_skills!$A:$A),MATCH(E$1,enemy_skills!$1:$1,0)-MATCH("enemy_skill_id",enemy_skills!$1:$1,0)+1),MATCH(E$1,enemy_skills!$1:$1,0)-MATCH("enemy_skill_id",enemy_skills!$1:$1,0)+1,FALSE)</f>
        <v>貴様の業火忘れんぞ！</v>
      </c>
      <c r="F389" s="138">
        <v>49015388</v>
      </c>
      <c r="G389" s="48">
        <f ca="1">VLOOKUP($F389,OFFSET(enemy_skill_triggers!$A$1,0,0,COUNTA(enemy_skill_triggers!$A:$A),MATCH(G$1,enemy_skill_triggers!$1:$1,0)-MATCH($F$1,enemy_skill_triggers!$1:$1,0)+1),MATCH(G$1,enemy_skill_triggers!$1:$1,0)-MATCH($F$1,enemy_skill_triggers!$1:$1,0)+1,FALSE)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9" s="48">
        <f ca="1">VLOOKUP($F389,OFFSET(enemy_skill_triggers!$A$1,0,0,COUNTA(enemy_skill_triggers!$A:$A),MATCH(H$1,enemy_skill_triggers!$1:$1,0)-MATCH($F$1,enemy_skill_triggers!$1:$1,0)+1),MATCH(H$1,enemy_skill_triggers!$1:$1,0)-MATCH($F$1,enemy_skill_triggers!$1:$1,0)+1,FALSE)</f>
        <v>71</v>
      </c>
      <c r="I389" s="48">
        <f ca="1">VLOOKUP($F389,OFFSET(enemy_skill_triggers!$A$1,0,0,COUNTA(enemy_skill_triggers!$A:$A),MATCH(I$1,enemy_skill_triggers!$1:$1,0)-MATCH($F$1,enemy_skill_triggers!$1:$1,0)+1),MATCH(I$1,enemy_skill_triggers!$1:$1,0)-MATCH($F$1,enemy_skill_triggers!$1:$1,0)+1,FALSE)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9" s="48" t="str">
        <f ca="1">VLOOKUP($F389,OFFSET(enemy_skill_triggers!$A$1,0,0,COUNTA(enemy_skill_triggers!$A:$A),MATCH(J$1,enemy_skill_triggers!$1:$1,0)-MATCH($F$1,enemy_skill_triggers!$1:$1,0)+1),MATCH(J$1,enemy_skill_triggers!$1:$1,0)-MATCH($F$1,enemy_skill_triggers!$1:$1,0)+1,FALSE)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9" s="48" t="str">
        <f ca="1">VLOOKUP($F389,OFFSET(enemy_skill_triggers!$A$1,0,0,COUNTA(enemy_skill_triggers!$A:$A),MATCH(K$1,enemy_skill_triggers!$1:$1,0)-MATCH($F$1,enemy_skill_triggers!$1:$1,0)+1),MATCH(K$1,enemy_skill_triggers!$1:$1,0)-MATCH($F$1,enemy_skill_triggers!$1:$1,0)+1,FALSE)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9" s="48">
        <f ca="1">VLOOKUP($F389,OFFSET(enemy_skill_triggers!$A$1,0,0,COUNTA(enemy_skill_triggers!$A:$A),MATCH(L$1,enemy_skill_triggers!$1:$1,0)-MATCH($F$1,enemy_skill_triggers!$1:$1,0)+1),MATCH(L$1,enemy_skill_triggers!$1:$1,0)-MATCH($F$1,enemy_skill_triggers!$1:$1,0)+1,FALSE)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89" s="48" t="str">
        <f ca="1">VLOOKUP($F389,OFFSET(enemy_skill_triggers!$A$1,0,0,COUNTA(enemy_skill_triggers!$A:$A),MATCH(M$1,enemy_skill_triggers!$1:$1,0)-MATCH($F$1,enemy_skill_triggers!$1:$1,0)+1),MATCH(M$1,enemy_skill_triggers!$1:$1,0)-MATCH($F$1,enemy_skill_triggers!$1:$1,0)+1,FALSE)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9" s="48">
        <f ca="1">VLOOKUP($F389,OFFSET(enemy_skill_triggers!$A$1,0,0,COUNTA(enemy_skill_triggers!$A:$A),MATCH(N$1,enemy_skill_triggers!$1:$1,0)-MATCH($F$1,enemy_skill_triggers!$1:$1,0)+1),MATCH(N$1,enemy_skill_triggers!$1:$1,0)-MATCH($F$1,enemy_skill_triggers!$1:$1,0)+1,FALSE)</f>
        <v>1459</v>
      </c>
      <c r="O389" s="48">
        <f ca="1">VLOOKUP($F389,OFFSET(enemy_skill_triggers!$A$1,0,0,COUNTA(enemy_skill_triggers!$A:$A),MATCH(O$1,enemy_skill_triggers!$1:$1,0)-MATCH($F$1,enemy_skill_triggers!$1:$1,0)+1),MATCH(O$1,enemy_skill_triggers!$1:$1,0)-MATCH($F$1,enemy_skill_triggers!$1:$1,0)+1,FALSE)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9" s="47"/>
      <c r="Q389" s="47"/>
      <c r="R389" s="47"/>
    </row>
    <row r="390" spans="1:18" ht="21" customHeight="1" x14ac:dyDescent="0.15">
      <c r="A390" s="39" t="str">
        <f t="shared" si="6"/>
        <v>49015030_49015291</v>
      </c>
      <c r="B390" s="106">
        <v>49015030</v>
      </c>
      <c r="C390" s="138">
        <v>49015291</v>
      </c>
      <c r="D390" s="46" t="str">
        <f ca="1">VLOOKUP($C390,OFFSET(enemy_skills!$A$1,0,0,COUNTA(enemy_skills!$A:$A),MATCH(D$1,enemy_skills!$1:$1,0)-MATCH("enemy_skill_id",enemy_skills!$1:$1,0)+1),MATCH(D$1,enemy_skills!$1:$1,0)-MATCH("enemy_skill_id",enemy_skills!$1:$1,0)+1,FALSE)</f>
        <v>俺の…志半ばで…</v>
      </c>
      <c r="E390" s="46" t="str">
        <f ca="1">VLOOKUP($C390,OFFSET(enemy_skills!$A$1,0,0,COUNTA(enemy_skills!$A:$A),MATCH(E$1,enemy_skills!$1:$1,0)-MATCH("enemy_skill_id",enemy_skills!$1:$1,0)+1),MATCH(E$1,enemy_skills!$1:$1,0)-MATCH("enemy_skill_id",enemy_skills!$1:$1,0)+1,FALSE)</f>
        <v>同胞のように撃たれるというのか…</v>
      </c>
      <c r="F390" s="138">
        <v>49015389</v>
      </c>
      <c r="G390" s="48">
        <f ca="1">VLOOKUP($F390,OFFSET(enemy_skill_triggers!$A$1,0,0,COUNTA(enemy_skill_triggers!$A:$A),MATCH(G$1,enemy_skill_triggers!$1:$1,0)-MATCH($F$1,enemy_skill_triggers!$1:$1,0)+1),MATCH(G$1,enemy_skill_triggers!$1:$1,0)-MATCH($F$1,enemy_skill_triggers!$1:$1,0)+1,FALSE)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0" s="48">
        <f ca="1">VLOOKUP($F390,OFFSET(enemy_skill_triggers!$A$1,0,0,COUNTA(enemy_skill_triggers!$A:$A),MATCH(H$1,enemy_skill_triggers!$1:$1,0)-MATCH($F$1,enemy_skill_triggers!$1:$1,0)+1),MATCH(H$1,enemy_skill_triggers!$1:$1,0)-MATCH($F$1,enemy_skill_triggers!$1:$1,0)+1,FALSE)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90" s="48">
        <f ca="1">VLOOKUP($F390,OFFSET(enemy_skill_triggers!$A$1,0,0,COUNTA(enemy_skill_triggers!$A:$A),MATCH(I$1,enemy_skill_triggers!$1:$1,0)-MATCH($F$1,enemy_skill_triggers!$1:$1,0)+1),MATCH(I$1,enemy_skill_triggers!$1:$1,0)-MATCH($F$1,enemy_skill_triggers!$1:$1,0)+1,FALSE)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0" s="48" t="str">
        <f ca="1">VLOOKUP($F390,OFFSET(enemy_skill_triggers!$A$1,0,0,COUNTA(enemy_skill_triggers!$A:$A),MATCH(J$1,enemy_skill_triggers!$1:$1,0)-MATCH($F$1,enemy_skill_triggers!$1:$1,0)+1),MATCH(J$1,enemy_skill_triggers!$1:$1,0)-MATCH($F$1,enemy_skill_triggers!$1:$1,0)+1,FALSE)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0" s="48" t="str">
        <f ca="1">VLOOKUP($F390,OFFSET(enemy_skill_triggers!$A$1,0,0,COUNTA(enemy_skill_triggers!$A:$A),MATCH(K$1,enemy_skill_triggers!$1:$1,0)-MATCH($F$1,enemy_skill_triggers!$1:$1,0)+1),MATCH(K$1,enemy_skill_triggers!$1:$1,0)-MATCH($F$1,enemy_skill_triggers!$1:$1,0)+1,FALSE)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0" s="48">
        <f ca="1">VLOOKUP($F390,OFFSET(enemy_skill_triggers!$A$1,0,0,COUNTA(enemy_skill_triggers!$A:$A),MATCH(L$1,enemy_skill_triggers!$1:$1,0)-MATCH($F$1,enemy_skill_triggers!$1:$1,0)+1),MATCH(L$1,enemy_skill_triggers!$1:$1,0)-MATCH($F$1,enemy_skill_triggers!$1:$1,0)+1,FALSE)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90" s="48" t="str">
        <f ca="1">VLOOKUP($F390,OFFSET(enemy_skill_triggers!$A$1,0,0,COUNTA(enemy_skill_triggers!$A:$A),MATCH(M$1,enemy_skill_triggers!$1:$1,0)-MATCH($F$1,enemy_skill_triggers!$1:$1,0)+1),MATCH(M$1,enemy_skill_triggers!$1:$1,0)-MATCH($F$1,enemy_skill_triggers!$1:$1,0)+1,FALSE)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0" s="48">
        <f ca="1">VLOOKUP($F390,OFFSET(enemy_skill_triggers!$A$1,0,0,COUNTA(enemy_skill_triggers!$A:$A),MATCH(N$1,enemy_skill_triggers!$1:$1,0)-MATCH($F$1,enemy_skill_triggers!$1:$1,0)+1),MATCH(N$1,enemy_skill_triggers!$1:$1,0)-MATCH($F$1,enemy_skill_triggers!$1:$1,0)+1,FALSE)</f>
        <v>1460</v>
      </c>
      <c r="O390" s="48">
        <f ca="1">VLOOKUP($F390,OFFSET(enemy_skill_triggers!$A$1,0,0,COUNTA(enemy_skill_triggers!$A:$A),MATCH(O$1,enemy_skill_triggers!$1:$1,0)-MATCH($F$1,enemy_skill_triggers!$1:$1,0)+1),MATCH(O$1,enemy_skill_triggers!$1:$1,0)-MATCH($F$1,enemy_skill_triggers!$1:$1,0)+1,FALSE)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0" s="47"/>
      <c r="Q390" s="47"/>
      <c r="R390" s="47"/>
    </row>
    <row r="391" spans="1:18" ht="21" customHeight="1" x14ac:dyDescent="0.15">
      <c r="A391" s="39" t="str">
        <f t="shared" si="6"/>
        <v>49015030_49015291</v>
      </c>
      <c r="B391" s="106">
        <v>49015030</v>
      </c>
      <c r="C391" s="138">
        <v>49015291</v>
      </c>
      <c r="D391" s="46" t="str">
        <f ca="1">VLOOKUP($C391,OFFSET(enemy_skills!$A$1,0,0,COUNTA(enemy_skills!$A:$A),MATCH(D$1,enemy_skills!$1:$1,0)-MATCH("enemy_skill_id",enemy_skills!$1:$1,0)+1),MATCH(D$1,enemy_skills!$1:$1,0)-MATCH("enemy_skill_id",enemy_skills!$1:$1,0)+1,FALSE)</f>
        <v>俺の…志半ばで…</v>
      </c>
      <c r="E391" s="46" t="str">
        <f ca="1">VLOOKUP($C391,OFFSET(enemy_skills!$A$1,0,0,COUNTA(enemy_skills!$A:$A),MATCH(E$1,enemy_skills!$1:$1,0)-MATCH("enemy_skill_id",enemy_skills!$1:$1,0)+1),MATCH(E$1,enemy_skills!$1:$1,0)-MATCH("enemy_skill_id",enemy_skills!$1:$1,0)+1,FALSE)</f>
        <v>同胞のように撃たれるというのか…</v>
      </c>
      <c r="F391" s="138">
        <v>49015390</v>
      </c>
      <c r="G391" s="48">
        <f ca="1">VLOOKUP($F391,OFFSET(enemy_skill_triggers!$A$1,0,0,COUNTA(enemy_skill_triggers!$A:$A),MATCH(G$1,enemy_skill_triggers!$1:$1,0)-MATCH($F$1,enemy_skill_triggers!$1:$1,0)+1),MATCH(G$1,enemy_skill_triggers!$1:$1,0)-MATCH($F$1,enemy_skill_triggers!$1:$1,0)+1,FALSE)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1" s="48">
        <f ca="1">VLOOKUP($F391,OFFSET(enemy_skill_triggers!$A$1,0,0,COUNTA(enemy_skill_triggers!$A:$A),MATCH(H$1,enemy_skill_triggers!$1:$1,0)-MATCH($F$1,enemy_skill_triggers!$1:$1,0)+1),MATCH(H$1,enemy_skill_triggers!$1:$1,0)-MATCH($F$1,enemy_skill_triggers!$1:$1,0)+1,FALSE)</f>
        <v>61</v>
      </c>
      <c r="I391" s="48">
        <f ca="1">VLOOKUP($F391,OFFSET(enemy_skill_triggers!$A$1,0,0,COUNTA(enemy_skill_triggers!$A:$A),MATCH(I$1,enemy_skill_triggers!$1:$1,0)-MATCH($F$1,enemy_skill_triggers!$1:$1,0)+1),MATCH(I$1,enemy_skill_triggers!$1:$1,0)-MATCH($F$1,enemy_skill_triggers!$1:$1,0)+1,FALSE)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1" s="48" t="str">
        <f ca="1">VLOOKUP($F391,OFFSET(enemy_skill_triggers!$A$1,0,0,COUNTA(enemy_skill_triggers!$A:$A),MATCH(J$1,enemy_skill_triggers!$1:$1,0)-MATCH($F$1,enemy_skill_triggers!$1:$1,0)+1),MATCH(J$1,enemy_skill_triggers!$1:$1,0)-MATCH($F$1,enemy_skill_triggers!$1:$1,0)+1,FALSE)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1" s="48" t="str">
        <f ca="1">VLOOKUP($F391,OFFSET(enemy_skill_triggers!$A$1,0,0,COUNTA(enemy_skill_triggers!$A:$A),MATCH(K$1,enemy_skill_triggers!$1:$1,0)-MATCH($F$1,enemy_skill_triggers!$1:$1,0)+1),MATCH(K$1,enemy_skill_triggers!$1:$1,0)-MATCH($F$1,enemy_skill_triggers!$1:$1,0)+1,FALSE)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1" s="48">
        <f ca="1">VLOOKUP($F391,OFFSET(enemy_skill_triggers!$A$1,0,0,COUNTA(enemy_skill_triggers!$A:$A),MATCH(L$1,enemy_skill_triggers!$1:$1,0)-MATCH($F$1,enemy_skill_triggers!$1:$1,0)+1),MATCH(L$1,enemy_skill_triggers!$1:$1,0)-MATCH($F$1,enemy_skill_triggers!$1:$1,0)+1,FALSE)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91" s="48" t="str">
        <f ca="1">VLOOKUP($F391,OFFSET(enemy_skill_triggers!$A$1,0,0,COUNTA(enemy_skill_triggers!$A:$A),MATCH(M$1,enemy_skill_triggers!$1:$1,0)-MATCH($F$1,enemy_skill_triggers!$1:$1,0)+1),MATCH(M$1,enemy_skill_triggers!$1:$1,0)-MATCH($F$1,enemy_skill_triggers!$1:$1,0)+1,FALSE)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1" s="48">
        <f ca="1">VLOOKUP($F391,OFFSET(enemy_skill_triggers!$A$1,0,0,COUNTA(enemy_skill_triggers!$A:$A),MATCH(N$1,enemy_skill_triggers!$1:$1,0)-MATCH($F$1,enemy_skill_triggers!$1:$1,0)+1),MATCH(N$1,enemy_skill_triggers!$1:$1,0)-MATCH($F$1,enemy_skill_triggers!$1:$1,0)+1,FALSE)</f>
        <v>1461</v>
      </c>
      <c r="O391" s="48">
        <f ca="1">VLOOKUP($F391,OFFSET(enemy_skill_triggers!$A$1,0,0,COUNTA(enemy_skill_triggers!$A:$A),MATCH(O$1,enemy_skill_triggers!$1:$1,0)-MATCH($F$1,enemy_skill_triggers!$1:$1,0)+1),MATCH(O$1,enemy_skill_triggers!$1:$1,0)-MATCH($F$1,enemy_skill_triggers!$1:$1,0)+1,FALSE)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1" s="47"/>
      <c r="Q391" s="47"/>
      <c r="R391" s="47"/>
    </row>
    <row r="392" spans="1:18" ht="21" customHeight="1" x14ac:dyDescent="0.15">
      <c r="A392" s="39" t="str">
        <f t="shared" si="6"/>
        <v>49015030_49015292</v>
      </c>
      <c r="B392" s="106">
        <v>49015030</v>
      </c>
      <c r="C392" s="138">
        <v>49015292</v>
      </c>
      <c r="D392" s="46" t="str">
        <f ca="1">VLOOKUP($C392,OFFSET(enemy_skills!$A$1,0,0,COUNTA(enemy_skills!$A:$A),MATCH(D$1,enemy_skills!$1:$1,0)-MATCH("enemy_skill_id",enemy_skills!$1:$1,0)+1),MATCH(D$1,enemy_skills!$1:$1,0)-MATCH("enemy_skill_id",enemy_skills!$1:$1,0)+1,FALSE)</f>
        <v>我らの恨み…晴らすことかなわず…</v>
      </c>
      <c r="E392" s="46" t="str">
        <f ca="1">VLOOKUP($C392,OFFSET(enemy_skills!$A$1,0,0,COUNTA(enemy_skills!$A:$A),MATCH(E$1,enemy_skills!$1:$1,0)-MATCH("enemy_skill_id",enemy_skills!$1:$1,0)+1),MATCH(E$1,enemy_skills!$1:$1,0)-MATCH("enemy_skill_id",enemy_skills!$1:$1,0)+1,FALSE)</f>
        <v>俺も兄者の元に…</v>
      </c>
      <c r="F392" s="138">
        <v>49015391</v>
      </c>
      <c r="G392" s="48">
        <f ca="1">VLOOKUP($F392,OFFSET(enemy_skill_triggers!$A$1,0,0,COUNTA(enemy_skill_triggers!$A:$A),MATCH(G$1,enemy_skill_triggers!$1:$1,0)-MATCH($F$1,enemy_skill_triggers!$1:$1,0)+1),MATCH(G$1,enemy_skill_triggers!$1:$1,0)-MATCH($F$1,enemy_skill_triggers!$1:$1,0)+1,FALSE)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2" s="48">
        <f ca="1">VLOOKUP($F392,OFFSET(enemy_skill_triggers!$A$1,0,0,COUNTA(enemy_skill_triggers!$A:$A),MATCH(H$1,enemy_skill_triggers!$1:$1,0)-MATCH($F$1,enemy_skill_triggers!$1:$1,0)+1),MATCH(H$1,enemy_skill_triggers!$1:$1,0)-MATCH($F$1,enemy_skill_triggers!$1:$1,0)+1,FALSE)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92" s="48">
        <f ca="1">VLOOKUP($F392,OFFSET(enemy_skill_triggers!$A$1,0,0,COUNTA(enemy_skill_triggers!$A:$A),MATCH(I$1,enemy_skill_triggers!$1:$1,0)-MATCH($F$1,enemy_skill_triggers!$1:$1,0)+1),MATCH(I$1,enemy_skill_triggers!$1:$1,0)-MATCH($F$1,enemy_skill_triggers!$1:$1,0)+1,FALSE)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2" s="48" t="str">
        <f ca="1">VLOOKUP($F392,OFFSET(enemy_skill_triggers!$A$1,0,0,COUNTA(enemy_skill_triggers!$A:$A),MATCH(J$1,enemy_skill_triggers!$1:$1,0)-MATCH($F$1,enemy_skill_triggers!$1:$1,0)+1),MATCH(J$1,enemy_skill_triggers!$1:$1,0)-MATCH($F$1,enemy_skill_triggers!$1:$1,0)+1,FALSE)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2" s="48" t="str">
        <f ca="1">VLOOKUP($F392,OFFSET(enemy_skill_triggers!$A$1,0,0,COUNTA(enemy_skill_triggers!$A:$A),MATCH(K$1,enemy_skill_triggers!$1:$1,0)-MATCH($F$1,enemy_skill_triggers!$1:$1,0)+1),MATCH(K$1,enemy_skill_triggers!$1:$1,0)-MATCH($F$1,enemy_skill_triggers!$1:$1,0)+1,FALSE)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2" s="48">
        <f ca="1">VLOOKUP($F392,OFFSET(enemy_skill_triggers!$A$1,0,0,COUNTA(enemy_skill_triggers!$A:$A),MATCH(L$1,enemy_skill_triggers!$1:$1,0)-MATCH($F$1,enemy_skill_triggers!$1:$1,0)+1),MATCH(L$1,enemy_skill_triggers!$1:$1,0)-MATCH($F$1,enemy_skill_triggers!$1:$1,0)+1,FALSE)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92" s="48" t="str">
        <f ca="1">VLOOKUP($F392,OFFSET(enemy_skill_triggers!$A$1,0,0,COUNTA(enemy_skill_triggers!$A:$A),MATCH(M$1,enemy_skill_triggers!$1:$1,0)-MATCH($F$1,enemy_skill_triggers!$1:$1,0)+1),MATCH(M$1,enemy_skill_triggers!$1:$1,0)-MATCH($F$1,enemy_skill_triggers!$1:$1,0)+1,FALSE)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2" s="48">
        <f ca="1">VLOOKUP($F392,OFFSET(enemy_skill_triggers!$A$1,0,0,COUNTA(enemy_skill_triggers!$A:$A),MATCH(N$1,enemy_skill_triggers!$1:$1,0)-MATCH($F$1,enemy_skill_triggers!$1:$1,0)+1),MATCH(N$1,enemy_skill_triggers!$1:$1,0)-MATCH($F$1,enemy_skill_triggers!$1:$1,0)+1,FALSE)</f>
        <v>1469</v>
      </c>
      <c r="O392" s="48">
        <f ca="1">VLOOKUP($F392,OFFSET(enemy_skill_triggers!$A$1,0,0,COUNTA(enemy_skill_triggers!$A:$A),MATCH(O$1,enemy_skill_triggers!$1:$1,0)-MATCH($F$1,enemy_skill_triggers!$1:$1,0)+1),MATCH(O$1,enemy_skill_triggers!$1:$1,0)-MATCH($F$1,enemy_skill_triggers!$1:$1,0)+1,FALSE)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2" s="47"/>
      <c r="Q392" s="47"/>
      <c r="R392" s="47"/>
    </row>
    <row r="393" spans="1:18" ht="21" customHeight="1" x14ac:dyDescent="0.15">
      <c r="A393" s="39" t="str">
        <f t="shared" si="6"/>
        <v>49015030_49015293</v>
      </c>
      <c r="B393" s="106">
        <v>49015030</v>
      </c>
      <c r="C393" s="138">
        <v>49015293</v>
      </c>
      <c r="D393" s="46" t="str">
        <f ca="1">VLOOKUP($C393,OFFSET(enemy_skills!$A$1,0,0,COUNTA(enemy_skills!$A:$A),MATCH(D$1,enemy_skills!$1:$1,0)-MATCH("enemy_skill_id",enemy_skills!$1:$1,0)+1),MATCH(D$1,enemy_skills!$1:$1,0)-MATCH("enemy_skill_id",enemy_skills!$1:$1,0)+1,FALSE)</f>
        <v>イシュヴァールの同胞たちよ…</v>
      </c>
      <c r="E393" s="46" t="str">
        <f ca="1">VLOOKUP($C393,OFFSET(enemy_skills!$A$1,0,0,COUNTA(enemy_skills!$A:$A),MATCH(E$1,enemy_skills!$1:$1,0)-MATCH("enemy_skill_id",enemy_skills!$1:$1,0)+1),MATCH(E$1,enemy_skills!$1:$1,0)-MATCH("enemy_skill_id",enemy_skills!$1:$1,0)+1,FALSE)</f>
        <v>今…向かいます…</v>
      </c>
      <c r="F393" s="138">
        <v>49015392</v>
      </c>
      <c r="G393" s="48">
        <f ca="1">VLOOKUP($F393,OFFSET(enemy_skill_triggers!$A$1,0,0,COUNTA(enemy_skill_triggers!$A:$A),MATCH(G$1,enemy_skill_triggers!$1:$1,0)-MATCH($F$1,enemy_skill_triggers!$1:$1,0)+1),MATCH(G$1,enemy_skill_triggers!$1:$1,0)-MATCH($F$1,enemy_skill_triggers!$1:$1,0)+1,FALSE)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3" s="48">
        <f ca="1">VLOOKUP($F393,OFFSET(enemy_skill_triggers!$A$1,0,0,COUNTA(enemy_skill_triggers!$A:$A),MATCH(H$1,enemy_skill_triggers!$1:$1,0)-MATCH($F$1,enemy_skill_triggers!$1:$1,0)+1),MATCH(H$1,enemy_skill_triggers!$1:$1,0)-MATCH($F$1,enemy_skill_triggers!$1:$1,0)+1,FALSE)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93" s="48">
        <f ca="1">VLOOKUP($F393,OFFSET(enemy_skill_triggers!$A$1,0,0,COUNTA(enemy_skill_triggers!$A:$A),MATCH(I$1,enemy_skill_triggers!$1:$1,0)-MATCH($F$1,enemy_skill_triggers!$1:$1,0)+1),MATCH(I$1,enemy_skill_triggers!$1:$1,0)-MATCH($F$1,enemy_skill_triggers!$1:$1,0)+1,FALSE)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3" s="48" t="str">
        <f ca="1">VLOOKUP($F393,OFFSET(enemy_skill_triggers!$A$1,0,0,COUNTA(enemy_skill_triggers!$A:$A),MATCH(J$1,enemy_skill_triggers!$1:$1,0)-MATCH($F$1,enemy_skill_triggers!$1:$1,0)+1),MATCH(J$1,enemy_skill_triggers!$1:$1,0)-MATCH($F$1,enemy_skill_triggers!$1:$1,0)+1,FALSE)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3" s="48" t="str">
        <f ca="1">VLOOKUP($F393,OFFSET(enemy_skill_triggers!$A$1,0,0,COUNTA(enemy_skill_triggers!$A:$A),MATCH(K$1,enemy_skill_triggers!$1:$1,0)-MATCH($F$1,enemy_skill_triggers!$1:$1,0)+1),MATCH(K$1,enemy_skill_triggers!$1:$1,0)-MATCH($F$1,enemy_skill_triggers!$1:$1,0)+1,FALSE)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3" s="48">
        <f ca="1">VLOOKUP($F393,OFFSET(enemy_skill_triggers!$A$1,0,0,COUNTA(enemy_skill_triggers!$A:$A),MATCH(L$1,enemy_skill_triggers!$1:$1,0)-MATCH($F$1,enemy_skill_triggers!$1:$1,0)+1),MATCH(L$1,enemy_skill_triggers!$1:$1,0)-MATCH($F$1,enemy_skill_triggers!$1:$1,0)+1,FALSE)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93" s="48" t="str">
        <f ca="1">VLOOKUP($F393,OFFSET(enemy_skill_triggers!$A$1,0,0,COUNTA(enemy_skill_triggers!$A:$A),MATCH(M$1,enemy_skill_triggers!$1:$1,0)-MATCH($F$1,enemy_skill_triggers!$1:$1,0)+1),MATCH(M$1,enemy_skill_triggers!$1:$1,0)-MATCH($F$1,enemy_skill_triggers!$1:$1,0)+1,FALSE)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3" s="48">
        <f ca="1">VLOOKUP($F393,OFFSET(enemy_skill_triggers!$A$1,0,0,COUNTA(enemy_skill_triggers!$A:$A),MATCH(N$1,enemy_skill_triggers!$1:$1,0)-MATCH($F$1,enemy_skill_triggers!$1:$1,0)+1),MATCH(N$1,enemy_skill_triggers!$1:$1,0)-MATCH($F$1,enemy_skill_triggers!$1:$1,0)+1,FALSE)</f>
        <v>1468</v>
      </c>
      <c r="O393" s="48">
        <f ca="1">VLOOKUP($F393,OFFSET(enemy_skill_triggers!$A$1,0,0,COUNTA(enemy_skill_triggers!$A:$A),MATCH(O$1,enemy_skill_triggers!$1:$1,0)-MATCH($F$1,enemy_skill_triggers!$1:$1,0)+1),MATCH(O$1,enemy_skill_triggers!$1:$1,0)-MATCH($F$1,enemy_skill_triggers!$1:$1,0)+1,FALSE)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3" s="47"/>
      <c r="Q393" s="47"/>
      <c r="R393" s="47"/>
    </row>
    <row r="394" spans="1:18" ht="21" customHeight="1" x14ac:dyDescent="0.15">
      <c r="A394" s="39" t="str">
        <f t="shared" si="6"/>
        <v>49015030_49015294</v>
      </c>
      <c r="B394" s="106">
        <v>49015030</v>
      </c>
      <c r="C394" s="138">
        <v>49015294</v>
      </c>
      <c r="D394" s="46" t="str">
        <f ca="1">VLOOKUP($C394,OFFSET(enemy_skills!$A$1,0,0,COUNTA(enemy_skills!$A:$A),MATCH(D$1,enemy_skills!$1:$1,0)-MATCH("enemy_skill_id",enemy_skills!$1:$1,0)+1),MATCH(D$1,enemy_skills!$1:$1,0)-MATCH("enemy_skill_id",enemy_skills!$1:$1,0)+1,FALSE)</f>
        <v>ホムンクルスとは…</v>
      </c>
      <c r="E394" s="46" t="str">
        <f ca="1">VLOOKUP($C394,OFFSET(enemy_skills!$A$1,0,0,COUNTA(enemy_skills!$A:$A),MATCH(E$1,enemy_skills!$1:$1,0)-MATCH("enemy_skill_id",enemy_skills!$1:$1,0)+1),MATCH(E$1,enemy_skills!$1:$1,0)-MATCH("enemy_skill_id",enemy_skills!$1:$1,0)+1,FALSE)</f>
        <v>俺もまだ修練が足りんということか…</v>
      </c>
      <c r="F394" s="136">
        <v>49015393</v>
      </c>
      <c r="G394" s="48">
        <f ca="1">VLOOKUP($F394,OFFSET(enemy_skill_triggers!$A$1,0,0,COUNTA(enemy_skill_triggers!$A:$A),MATCH(G$1,enemy_skill_triggers!$1:$1,0)-MATCH($F$1,enemy_skill_triggers!$1:$1,0)+1),MATCH(G$1,enemy_skill_triggers!$1:$1,0)-MATCH($F$1,enemy_skill_triggers!$1:$1,0)+1,FALSE)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4" s="48">
        <f ca="1">VLOOKUP($F394,OFFSET(enemy_skill_triggers!$A$1,0,0,COUNTA(enemy_skill_triggers!$A:$A),MATCH(H$1,enemy_skill_triggers!$1:$1,0)-MATCH($F$1,enemy_skill_triggers!$1:$1,0)+1),MATCH(H$1,enemy_skill_triggers!$1:$1,0)-MATCH($F$1,enemy_skill_triggers!$1:$1,0)+1,FALSE)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94" s="48">
        <f ca="1">VLOOKUP($F394,OFFSET(enemy_skill_triggers!$A$1,0,0,COUNTA(enemy_skill_triggers!$A:$A),MATCH(I$1,enemy_skill_triggers!$1:$1,0)-MATCH($F$1,enemy_skill_triggers!$1:$1,0)+1),MATCH(I$1,enemy_skill_triggers!$1:$1,0)-MATCH($F$1,enemy_skill_triggers!$1:$1,0)+1,FALSE)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4" s="48" t="str">
        <f ca="1">VLOOKUP($F394,OFFSET(enemy_skill_triggers!$A$1,0,0,COUNTA(enemy_skill_triggers!$A:$A),MATCH(J$1,enemy_skill_triggers!$1:$1,0)-MATCH($F$1,enemy_skill_triggers!$1:$1,0)+1),MATCH(J$1,enemy_skill_triggers!$1:$1,0)-MATCH($F$1,enemy_skill_triggers!$1:$1,0)+1,FALSE)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4" s="48" t="str">
        <f ca="1">VLOOKUP($F394,OFFSET(enemy_skill_triggers!$A$1,0,0,COUNTA(enemy_skill_triggers!$A:$A),MATCH(K$1,enemy_skill_triggers!$1:$1,0)-MATCH($F$1,enemy_skill_triggers!$1:$1,0)+1),MATCH(K$1,enemy_skill_triggers!$1:$1,0)-MATCH($F$1,enemy_skill_triggers!$1:$1,0)+1,FALSE)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4" s="48">
        <f ca="1">VLOOKUP($F394,OFFSET(enemy_skill_triggers!$A$1,0,0,COUNTA(enemy_skill_triggers!$A:$A),MATCH(L$1,enemy_skill_triggers!$1:$1,0)-MATCH($F$1,enemy_skill_triggers!$1:$1,0)+1),MATCH(L$1,enemy_skill_triggers!$1:$1,0)-MATCH($F$1,enemy_skill_triggers!$1:$1,0)+1,FALSE)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94" s="48" t="str">
        <f ca="1">VLOOKUP($F394,OFFSET(enemy_skill_triggers!$A$1,0,0,COUNTA(enemy_skill_triggers!$A:$A),MATCH(M$1,enemy_skill_triggers!$1:$1,0)-MATCH($F$1,enemy_skill_triggers!$1:$1,0)+1),MATCH(M$1,enemy_skill_triggers!$1:$1,0)-MATCH($F$1,enemy_skill_triggers!$1:$1,0)+1,FALSE)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4" s="48">
        <f ca="1">VLOOKUP($F394,OFFSET(enemy_skill_triggers!$A$1,0,0,COUNTA(enemy_skill_triggers!$A:$A),MATCH(N$1,enemy_skill_triggers!$1:$1,0)-MATCH($F$1,enemy_skill_triggers!$1:$1,0)+1),MATCH(N$1,enemy_skill_triggers!$1:$1,0)-MATCH($F$1,enemy_skill_triggers!$1:$1,0)+1,FALSE)</f>
        <v>1470</v>
      </c>
      <c r="O394" s="48">
        <f ca="1">VLOOKUP($F394,OFFSET(enemy_skill_triggers!$A$1,0,0,COUNTA(enemy_skill_triggers!$A:$A),MATCH(O$1,enemy_skill_triggers!$1:$1,0)-MATCH($F$1,enemy_skill_triggers!$1:$1,0)+1),MATCH(O$1,enemy_skill_triggers!$1:$1,0)-MATCH($F$1,enemy_skill_triggers!$1:$1,0)+1,FALSE)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4" s="47"/>
      <c r="Q394" s="47"/>
      <c r="R394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0"/>
  <sheetViews>
    <sheetView workbookViewId="0">
      <selection activeCell="D31" sqref="D3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2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6">
        <v>49015</v>
      </c>
      <c r="B2" s="56">
        <v>3</v>
      </c>
      <c r="C2" s="71" t="str">
        <f t="shared" ref="C2:C18" si="0">A2&amp; "_"&amp;B2</f>
        <v>49015_3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6">
        <v>1</v>
      </c>
      <c r="F2" s="56" t="s">
        <v>577</v>
      </c>
      <c r="G2" s="56">
        <v>1466</v>
      </c>
      <c r="H2" s="56">
        <v>1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400</v>
      </c>
      <c r="Q2" s="56" t="s">
        <v>169</v>
      </c>
      <c r="R2" s="56" t="s">
        <v>170</v>
      </c>
    </row>
    <row r="3" spans="1:18" x14ac:dyDescent="0.15">
      <c r="A3" s="56">
        <v>49015</v>
      </c>
      <c r="B3" s="56">
        <v>3</v>
      </c>
      <c r="C3" s="71" t="str">
        <f t="shared" si="0"/>
        <v>49015_3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2</v>
      </c>
      <c r="F3" s="56" t="s">
        <v>577</v>
      </c>
      <c r="G3" s="56">
        <v>342</v>
      </c>
      <c r="H3" s="56">
        <v>1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130</v>
      </c>
      <c r="Q3" s="56" t="s">
        <v>169</v>
      </c>
      <c r="R3" s="56" t="s">
        <v>170</v>
      </c>
    </row>
    <row r="4" spans="1:18" x14ac:dyDescent="0.15">
      <c r="A4" s="56">
        <v>49015</v>
      </c>
      <c r="B4" s="56">
        <v>3</v>
      </c>
      <c r="C4" s="71" t="str">
        <f t="shared" si="0"/>
        <v>49015_3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3</v>
      </c>
      <c r="F4" s="56" t="s">
        <v>577</v>
      </c>
      <c r="G4" s="56">
        <v>352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120</v>
      </c>
      <c r="Q4" s="56" t="s">
        <v>169</v>
      </c>
      <c r="R4" s="56" t="s">
        <v>170</v>
      </c>
    </row>
    <row r="5" spans="1:18" x14ac:dyDescent="0.15">
      <c r="A5" s="56">
        <v>49015</v>
      </c>
      <c r="B5" s="56">
        <v>3</v>
      </c>
      <c r="C5" s="71" t="str">
        <f t="shared" si="0"/>
        <v>49015_3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6">
        <v>4</v>
      </c>
      <c r="F5" s="56" t="s">
        <v>577</v>
      </c>
      <c r="G5" s="56">
        <v>607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100</v>
      </c>
      <c r="Q5" s="56" t="s">
        <v>169</v>
      </c>
      <c r="R5" s="56" t="s">
        <v>170</v>
      </c>
    </row>
    <row r="6" spans="1:18" x14ac:dyDescent="0.15">
      <c r="A6" s="56">
        <v>49015</v>
      </c>
      <c r="B6" s="56">
        <v>3</v>
      </c>
      <c r="C6" s="71" t="str">
        <f t="shared" si="0"/>
        <v>49015_3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5</v>
      </c>
      <c r="F6" s="56" t="s">
        <v>577</v>
      </c>
      <c r="G6" s="56">
        <v>608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100</v>
      </c>
      <c r="Q6" s="56" t="s">
        <v>169</v>
      </c>
      <c r="R6" s="56" t="s">
        <v>170</v>
      </c>
    </row>
    <row r="7" spans="1:18" x14ac:dyDescent="0.15">
      <c r="A7" s="56">
        <v>49015</v>
      </c>
      <c r="B7" s="56">
        <v>3</v>
      </c>
      <c r="C7" s="71" t="str">
        <f t="shared" si="0"/>
        <v>49015_3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6</v>
      </c>
      <c r="F7" s="56" t="s">
        <v>577</v>
      </c>
      <c r="G7" s="56">
        <v>609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100</v>
      </c>
      <c r="Q7" s="56" t="s">
        <v>169</v>
      </c>
      <c r="R7" s="56" t="s">
        <v>170</v>
      </c>
    </row>
    <row r="8" spans="1:18" ht="16" thickBot="1" x14ac:dyDescent="0.2">
      <c r="A8" s="210">
        <v>49015</v>
      </c>
      <c r="B8" s="210">
        <v>3</v>
      </c>
      <c r="C8" s="214" t="str">
        <f t="shared" si="0"/>
        <v>49015_3</v>
      </c>
      <c r="D8" s="183" t="str">
        <f ca="1">VLOOKUP($C8,OFFSET([2]stages!$A$1,0,0,COUNTA([2]stages!$A:$A),MATCH(D$1,[2]stages!$2:$2,0)-MATCH($C$1,[2]stages!$2:$2,0)+1),MATCH(D$1,[2]stages!$2:$2,0)-MATCH($C$1,[2]stages!$2:$2,0)+1,FALSE)</f>
        <v>everyone</v>
      </c>
      <c r="E8" s="210">
        <v>7</v>
      </c>
      <c r="F8" s="210" t="s">
        <v>577</v>
      </c>
      <c r="G8" s="210">
        <v>125</v>
      </c>
      <c r="H8" s="210">
        <v>1</v>
      </c>
      <c r="I8" s="210">
        <v>1</v>
      </c>
      <c r="J8" s="210">
        <v>1</v>
      </c>
      <c r="K8" s="210">
        <v>0</v>
      </c>
      <c r="L8" s="210">
        <v>0</v>
      </c>
      <c r="M8" s="210">
        <v>0</v>
      </c>
      <c r="N8" s="210">
        <v>0</v>
      </c>
      <c r="O8" s="210">
        <v>1</v>
      </c>
      <c r="P8" s="210">
        <v>50</v>
      </c>
      <c r="Q8" s="210" t="s">
        <v>169</v>
      </c>
      <c r="R8" s="210" t="s">
        <v>170</v>
      </c>
    </row>
    <row r="9" spans="1:18" x14ac:dyDescent="0.15">
      <c r="A9" s="200">
        <v>49015</v>
      </c>
      <c r="B9" s="200">
        <v>2</v>
      </c>
      <c r="C9" s="215" t="str">
        <f t="shared" si="0"/>
        <v>49015_2</v>
      </c>
      <c r="D9" s="175" t="str">
        <f ca="1">VLOOKUP($C9,OFFSET([2]stages!$A$1,0,0,COUNTA([2]stages!$A:$A),MATCH(D$1,[2]stages!$2:$2,0)-MATCH($C$1,[2]stages!$2:$2,0)+1),MATCH(D$1,[2]stages!$2:$2,0)-MATCH($C$1,[2]stages!$2:$2,0)+1,FALSE)</f>
        <v>everyone</v>
      </c>
      <c r="E9" s="200">
        <v>8</v>
      </c>
      <c r="F9" s="200" t="s">
        <v>168</v>
      </c>
      <c r="G9" s="200">
        <v>6500</v>
      </c>
      <c r="H9" s="200" t="s">
        <v>88</v>
      </c>
      <c r="I9" s="200">
        <v>1</v>
      </c>
      <c r="J9" s="200">
        <v>1</v>
      </c>
      <c r="K9" s="200">
        <v>0</v>
      </c>
      <c r="L9" s="200">
        <v>0</v>
      </c>
      <c r="M9" s="200">
        <v>0</v>
      </c>
      <c r="N9" s="200">
        <v>0</v>
      </c>
      <c r="O9" s="200">
        <v>1</v>
      </c>
      <c r="P9" s="200">
        <v>150</v>
      </c>
      <c r="Q9" s="200" t="s">
        <v>169</v>
      </c>
      <c r="R9" s="200" t="s">
        <v>170</v>
      </c>
    </row>
    <row r="10" spans="1:18" x14ac:dyDescent="0.15">
      <c r="A10" s="56">
        <v>49015</v>
      </c>
      <c r="B10" s="200">
        <v>2</v>
      </c>
      <c r="C10" s="71" t="str">
        <f t="shared" si="0"/>
        <v>49015_2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6">
        <v>9</v>
      </c>
      <c r="F10" s="56" t="s">
        <v>578</v>
      </c>
      <c r="G10" s="56">
        <v>25</v>
      </c>
      <c r="H10" s="56" t="s">
        <v>88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56">
        <v>150</v>
      </c>
      <c r="Q10" s="56" t="s">
        <v>169</v>
      </c>
      <c r="R10" s="56" t="s">
        <v>170</v>
      </c>
    </row>
    <row r="11" spans="1:18" x14ac:dyDescent="0.15">
      <c r="A11" s="56">
        <v>49015</v>
      </c>
      <c r="B11" s="200">
        <v>2</v>
      </c>
      <c r="C11" s="71" t="str">
        <f t="shared" si="0"/>
        <v>49015_2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6">
        <v>10</v>
      </c>
      <c r="F11" s="56" t="s">
        <v>577</v>
      </c>
      <c r="G11" s="56">
        <v>1466</v>
      </c>
      <c r="H11" s="56">
        <v>1</v>
      </c>
      <c r="I11" s="56">
        <v>1</v>
      </c>
      <c r="J11" s="56">
        <v>1</v>
      </c>
      <c r="K11" s="56">
        <v>0</v>
      </c>
      <c r="L11" s="56">
        <v>0</v>
      </c>
      <c r="M11" s="56">
        <v>0</v>
      </c>
      <c r="N11" s="56">
        <v>0</v>
      </c>
      <c r="O11" s="56">
        <v>1</v>
      </c>
      <c r="P11" s="56">
        <v>250</v>
      </c>
      <c r="Q11" s="56" t="s">
        <v>169</v>
      </c>
      <c r="R11" s="56" t="s">
        <v>170</v>
      </c>
    </row>
    <row r="12" spans="1:18" x14ac:dyDescent="0.15">
      <c r="A12" s="56">
        <v>49015</v>
      </c>
      <c r="B12" s="200">
        <v>2</v>
      </c>
      <c r="C12" s="71" t="str">
        <f t="shared" si="0"/>
        <v>49015_2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6">
        <v>11</v>
      </c>
      <c r="F12" s="56" t="s">
        <v>577</v>
      </c>
      <c r="G12" s="56">
        <v>340</v>
      </c>
      <c r="H12" s="56">
        <v>1</v>
      </c>
      <c r="I12" s="56">
        <v>1</v>
      </c>
      <c r="J12" s="56">
        <v>1</v>
      </c>
      <c r="K12" s="56">
        <v>0</v>
      </c>
      <c r="L12" s="56">
        <v>0</v>
      </c>
      <c r="M12" s="56">
        <v>0</v>
      </c>
      <c r="N12" s="56">
        <v>0</v>
      </c>
      <c r="O12" s="56">
        <v>1</v>
      </c>
      <c r="P12" s="56">
        <v>28</v>
      </c>
      <c r="Q12" s="56" t="s">
        <v>169</v>
      </c>
      <c r="R12" s="56" t="s">
        <v>170</v>
      </c>
    </row>
    <row r="13" spans="1:18" x14ac:dyDescent="0.15">
      <c r="A13" s="56">
        <v>49015</v>
      </c>
      <c r="B13" s="200">
        <v>2</v>
      </c>
      <c r="C13" s="71" t="str">
        <f t="shared" si="0"/>
        <v>49015_2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6">
        <v>12</v>
      </c>
      <c r="F13" s="56" t="s">
        <v>577</v>
      </c>
      <c r="G13" s="56">
        <v>341</v>
      </c>
      <c r="H13" s="56">
        <v>1</v>
      </c>
      <c r="I13" s="56">
        <v>1</v>
      </c>
      <c r="J13" s="56">
        <v>1</v>
      </c>
      <c r="K13" s="56">
        <v>0</v>
      </c>
      <c r="L13" s="56">
        <v>0</v>
      </c>
      <c r="M13" s="56">
        <v>0</v>
      </c>
      <c r="N13" s="56">
        <v>0</v>
      </c>
      <c r="O13" s="56">
        <v>1</v>
      </c>
      <c r="P13" s="56">
        <v>56</v>
      </c>
      <c r="Q13" s="56" t="s">
        <v>169</v>
      </c>
      <c r="R13" s="56" t="s">
        <v>170</v>
      </c>
    </row>
    <row r="14" spans="1:18" x14ac:dyDescent="0.15">
      <c r="A14" s="56">
        <v>49015</v>
      </c>
      <c r="B14" s="200">
        <v>2</v>
      </c>
      <c r="C14" s="71" t="str">
        <f t="shared" si="0"/>
        <v>49015_2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6">
        <v>13</v>
      </c>
      <c r="F14" s="56" t="s">
        <v>577</v>
      </c>
      <c r="G14" s="56">
        <v>342</v>
      </c>
      <c r="H14" s="56">
        <v>1</v>
      </c>
      <c r="I14" s="56">
        <v>1</v>
      </c>
      <c r="J14" s="56">
        <v>1</v>
      </c>
      <c r="K14" s="56">
        <v>0</v>
      </c>
      <c r="L14" s="56">
        <v>0</v>
      </c>
      <c r="M14" s="56">
        <v>0</v>
      </c>
      <c r="N14" s="56">
        <v>0</v>
      </c>
      <c r="O14" s="56">
        <v>1</v>
      </c>
      <c r="P14" s="56">
        <v>56</v>
      </c>
      <c r="Q14" s="56" t="s">
        <v>169</v>
      </c>
      <c r="R14" s="56" t="s">
        <v>170</v>
      </c>
    </row>
    <row r="15" spans="1:18" x14ac:dyDescent="0.15">
      <c r="A15" s="56">
        <v>49015</v>
      </c>
      <c r="B15" s="200">
        <v>2</v>
      </c>
      <c r="C15" s="71" t="str">
        <f t="shared" si="0"/>
        <v>49015_2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6">
        <v>14</v>
      </c>
      <c r="F15" s="56" t="s">
        <v>577</v>
      </c>
      <c r="G15" s="56">
        <v>352</v>
      </c>
      <c r="H15" s="56">
        <v>1</v>
      </c>
      <c r="I15" s="56">
        <v>1</v>
      </c>
      <c r="J15" s="56">
        <v>1</v>
      </c>
      <c r="K15" s="56">
        <v>0</v>
      </c>
      <c r="L15" s="56">
        <v>0</v>
      </c>
      <c r="M15" s="56">
        <v>0</v>
      </c>
      <c r="N15" s="56">
        <v>0</v>
      </c>
      <c r="O15" s="56">
        <v>1</v>
      </c>
      <c r="P15" s="56">
        <v>150</v>
      </c>
      <c r="Q15" s="56" t="s">
        <v>169</v>
      </c>
      <c r="R15" s="56" t="s">
        <v>170</v>
      </c>
    </row>
    <row r="16" spans="1:18" x14ac:dyDescent="0.15">
      <c r="A16" s="56">
        <v>49015</v>
      </c>
      <c r="B16" s="200">
        <v>2</v>
      </c>
      <c r="C16" s="71" t="str">
        <f t="shared" si="0"/>
        <v>49015_2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6">
        <v>15</v>
      </c>
      <c r="F16" s="200" t="s">
        <v>577</v>
      </c>
      <c r="G16" s="200">
        <v>121</v>
      </c>
      <c r="H16" s="200">
        <v>1</v>
      </c>
      <c r="I16" s="200">
        <v>1</v>
      </c>
      <c r="J16" s="200">
        <v>1</v>
      </c>
      <c r="K16" s="200">
        <v>0</v>
      </c>
      <c r="L16" s="200">
        <v>0</v>
      </c>
      <c r="M16" s="200">
        <v>0</v>
      </c>
      <c r="N16" s="200">
        <v>0</v>
      </c>
      <c r="O16" s="200">
        <v>1</v>
      </c>
      <c r="P16" s="200">
        <v>50</v>
      </c>
      <c r="Q16" s="56" t="s">
        <v>169</v>
      </c>
      <c r="R16" s="56" t="s">
        <v>170</v>
      </c>
    </row>
    <row r="17" spans="1:18" x14ac:dyDescent="0.15">
      <c r="A17" s="56">
        <v>49015</v>
      </c>
      <c r="B17" s="56">
        <v>2</v>
      </c>
      <c r="C17" s="71" t="str">
        <f t="shared" si="0"/>
        <v>49015_2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6">
        <v>16</v>
      </c>
      <c r="F17" s="56" t="s">
        <v>577</v>
      </c>
      <c r="G17" s="56">
        <v>122</v>
      </c>
      <c r="H17" s="56">
        <v>1</v>
      </c>
      <c r="I17" s="56">
        <v>1</v>
      </c>
      <c r="J17" s="56">
        <v>1</v>
      </c>
      <c r="K17" s="56">
        <v>0</v>
      </c>
      <c r="L17" s="56">
        <v>0</v>
      </c>
      <c r="M17" s="56">
        <v>0</v>
      </c>
      <c r="N17" s="56">
        <v>0</v>
      </c>
      <c r="O17" s="56">
        <v>1</v>
      </c>
      <c r="P17" s="56">
        <v>50</v>
      </c>
      <c r="Q17" s="56" t="s">
        <v>169</v>
      </c>
      <c r="R17" s="56" t="s">
        <v>170</v>
      </c>
    </row>
    <row r="18" spans="1:18" x14ac:dyDescent="0.15">
      <c r="A18" s="56">
        <v>49015</v>
      </c>
      <c r="B18" s="56">
        <v>2</v>
      </c>
      <c r="C18" s="71" t="str">
        <f t="shared" si="0"/>
        <v>49015_2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6">
        <v>17</v>
      </c>
      <c r="F18" s="56" t="s">
        <v>577</v>
      </c>
      <c r="G18" s="56">
        <v>123</v>
      </c>
      <c r="H18" s="56">
        <v>1</v>
      </c>
      <c r="I18" s="56">
        <v>1</v>
      </c>
      <c r="J18" s="56">
        <v>1</v>
      </c>
      <c r="K18" s="56">
        <v>0</v>
      </c>
      <c r="L18" s="56">
        <v>0</v>
      </c>
      <c r="M18" s="56">
        <v>0</v>
      </c>
      <c r="N18" s="56">
        <v>0</v>
      </c>
      <c r="O18" s="56">
        <v>1</v>
      </c>
      <c r="P18" s="56">
        <v>50</v>
      </c>
      <c r="Q18" s="56" t="s">
        <v>169</v>
      </c>
      <c r="R18" s="56" t="s">
        <v>170</v>
      </c>
    </row>
    <row r="19" spans="1:18" ht="16" thickBot="1" x14ac:dyDescent="0.2">
      <c r="A19" s="210">
        <v>49015</v>
      </c>
      <c r="B19" s="218">
        <v>2</v>
      </c>
      <c r="C19" s="216" t="str">
        <f t="shared" ref="C19:C29" si="1">A19&amp; "_"&amp;B19</f>
        <v>49015_2</v>
      </c>
      <c r="D19" s="217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218">
        <v>18</v>
      </c>
      <c r="F19" s="218" t="s">
        <v>577</v>
      </c>
      <c r="G19" s="218">
        <v>125</v>
      </c>
      <c r="H19" s="218">
        <v>1</v>
      </c>
      <c r="I19" s="218">
        <v>1</v>
      </c>
      <c r="J19" s="218">
        <v>1</v>
      </c>
      <c r="K19" s="218">
        <v>0</v>
      </c>
      <c r="L19" s="218">
        <v>0</v>
      </c>
      <c r="M19" s="218">
        <v>0</v>
      </c>
      <c r="N19" s="218">
        <v>0</v>
      </c>
      <c r="O19" s="218">
        <v>1</v>
      </c>
      <c r="P19" s="218">
        <v>10</v>
      </c>
      <c r="Q19" s="218" t="s">
        <v>169</v>
      </c>
      <c r="R19" s="218" t="s">
        <v>170</v>
      </c>
    </row>
    <row r="20" spans="1:18" x14ac:dyDescent="0.15">
      <c r="A20" s="200">
        <v>49015</v>
      </c>
      <c r="B20" s="200">
        <v>1</v>
      </c>
      <c r="C20" s="215" t="str">
        <f t="shared" si="1"/>
        <v>49015_1</v>
      </c>
      <c r="D20" s="175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200">
        <v>19</v>
      </c>
      <c r="F20" s="200" t="s">
        <v>168</v>
      </c>
      <c r="G20" s="200">
        <v>5000</v>
      </c>
      <c r="H20" s="200" t="s">
        <v>88</v>
      </c>
      <c r="I20" s="200">
        <v>1</v>
      </c>
      <c r="J20" s="200">
        <v>1</v>
      </c>
      <c r="K20" s="200">
        <v>0</v>
      </c>
      <c r="L20" s="200">
        <v>0</v>
      </c>
      <c r="M20" s="200">
        <v>0</v>
      </c>
      <c r="N20" s="200">
        <v>0</v>
      </c>
      <c r="O20" s="200">
        <v>1</v>
      </c>
      <c r="P20" s="200">
        <v>250</v>
      </c>
      <c r="Q20" s="200" t="s">
        <v>169</v>
      </c>
      <c r="R20" s="200" t="s">
        <v>170</v>
      </c>
    </row>
    <row r="21" spans="1:18" x14ac:dyDescent="0.15">
      <c r="A21" s="56">
        <v>49015</v>
      </c>
      <c r="B21" s="200">
        <v>1</v>
      </c>
      <c r="C21" s="71" t="str">
        <f t="shared" si="1"/>
        <v>49015_1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200">
        <v>20</v>
      </c>
      <c r="F21" s="56" t="s">
        <v>578</v>
      </c>
      <c r="G21" s="56">
        <v>25</v>
      </c>
      <c r="H21" s="56" t="s">
        <v>88</v>
      </c>
      <c r="I21" s="56">
        <v>1</v>
      </c>
      <c r="J21" s="56">
        <v>1</v>
      </c>
      <c r="K21" s="56">
        <v>0</v>
      </c>
      <c r="L21" s="56">
        <v>0</v>
      </c>
      <c r="M21" s="56">
        <v>0</v>
      </c>
      <c r="N21" s="56">
        <v>0</v>
      </c>
      <c r="O21" s="56">
        <v>1</v>
      </c>
      <c r="P21" s="56">
        <v>200</v>
      </c>
      <c r="Q21" s="56" t="s">
        <v>169</v>
      </c>
      <c r="R21" s="56" t="s">
        <v>170</v>
      </c>
    </row>
    <row r="22" spans="1:18" x14ac:dyDescent="0.15">
      <c r="A22" s="56">
        <v>49015</v>
      </c>
      <c r="B22" s="200">
        <v>1</v>
      </c>
      <c r="C22" s="71" t="str">
        <f t="shared" si="1"/>
        <v>49015_1</v>
      </c>
      <c r="D22" s="18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200">
        <v>21</v>
      </c>
      <c r="F22" s="56" t="s">
        <v>577</v>
      </c>
      <c r="G22" s="56">
        <v>1466</v>
      </c>
      <c r="H22" s="56">
        <v>1</v>
      </c>
      <c r="I22" s="56">
        <v>1</v>
      </c>
      <c r="J22" s="56">
        <v>1</v>
      </c>
      <c r="K22" s="56">
        <v>0</v>
      </c>
      <c r="L22" s="56">
        <v>0</v>
      </c>
      <c r="M22" s="56">
        <v>0</v>
      </c>
      <c r="N22" s="56">
        <v>0</v>
      </c>
      <c r="O22" s="56">
        <v>1</v>
      </c>
      <c r="P22" s="56">
        <v>100</v>
      </c>
      <c r="Q22" s="56" t="s">
        <v>169</v>
      </c>
      <c r="R22" s="56" t="s">
        <v>170</v>
      </c>
    </row>
    <row r="23" spans="1:18" x14ac:dyDescent="0.15">
      <c r="A23" s="56">
        <v>49015</v>
      </c>
      <c r="B23" s="200">
        <v>1</v>
      </c>
      <c r="C23" s="71" t="str">
        <f t="shared" si="1"/>
        <v>49015_1</v>
      </c>
      <c r="D23" s="18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200">
        <v>22</v>
      </c>
      <c r="F23" s="56" t="s">
        <v>577</v>
      </c>
      <c r="G23" s="56">
        <v>340</v>
      </c>
      <c r="H23" s="56">
        <v>1</v>
      </c>
      <c r="I23" s="56">
        <v>1</v>
      </c>
      <c r="J23" s="56">
        <v>1</v>
      </c>
      <c r="K23" s="56">
        <v>0</v>
      </c>
      <c r="L23" s="56">
        <v>0</v>
      </c>
      <c r="M23" s="56">
        <v>0</v>
      </c>
      <c r="N23" s="56">
        <v>0</v>
      </c>
      <c r="O23" s="56">
        <v>1</v>
      </c>
      <c r="P23" s="56">
        <v>56</v>
      </c>
      <c r="Q23" s="56" t="s">
        <v>169</v>
      </c>
      <c r="R23" s="56" t="s">
        <v>170</v>
      </c>
    </row>
    <row r="24" spans="1:18" x14ac:dyDescent="0.15">
      <c r="A24" s="56">
        <v>49015</v>
      </c>
      <c r="B24" s="200">
        <v>1</v>
      </c>
      <c r="C24" s="71" t="str">
        <f t="shared" si="1"/>
        <v>49015_1</v>
      </c>
      <c r="D24" s="18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200">
        <v>23</v>
      </c>
      <c r="F24" s="56" t="s">
        <v>577</v>
      </c>
      <c r="G24" s="56">
        <v>341</v>
      </c>
      <c r="H24" s="56">
        <v>1</v>
      </c>
      <c r="I24" s="56">
        <v>1</v>
      </c>
      <c r="J24" s="56">
        <v>1</v>
      </c>
      <c r="K24" s="56">
        <v>0</v>
      </c>
      <c r="L24" s="56">
        <v>0</v>
      </c>
      <c r="M24" s="56">
        <v>0</v>
      </c>
      <c r="N24" s="56">
        <v>0</v>
      </c>
      <c r="O24" s="56">
        <v>1</v>
      </c>
      <c r="P24" s="56">
        <v>56</v>
      </c>
      <c r="Q24" s="56" t="s">
        <v>169</v>
      </c>
      <c r="R24" s="56" t="s">
        <v>170</v>
      </c>
    </row>
    <row r="25" spans="1:18" x14ac:dyDescent="0.15">
      <c r="A25" s="56">
        <v>49015</v>
      </c>
      <c r="B25" s="200">
        <v>1</v>
      </c>
      <c r="C25" s="71" t="str">
        <f t="shared" si="1"/>
        <v>49015_1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200">
        <v>24</v>
      </c>
      <c r="F25" s="56" t="s">
        <v>577</v>
      </c>
      <c r="G25" s="56">
        <v>342</v>
      </c>
      <c r="H25" s="56">
        <v>1</v>
      </c>
      <c r="I25" s="56">
        <v>1</v>
      </c>
      <c r="J25" s="56">
        <v>1</v>
      </c>
      <c r="K25" s="56">
        <v>0</v>
      </c>
      <c r="L25" s="56">
        <v>0</v>
      </c>
      <c r="M25" s="56">
        <v>0</v>
      </c>
      <c r="N25" s="56">
        <v>0</v>
      </c>
      <c r="O25" s="56">
        <v>1</v>
      </c>
      <c r="P25" s="56">
        <v>28</v>
      </c>
      <c r="Q25" s="56" t="s">
        <v>169</v>
      </c>
      <c r="R25" s="56" t="s">
        <v>170</v>
      </c>
    </row>
    <row r="26" spans="1:18" x14ac:dyDescent="0.15">
      <c r="A26" s="56">
        <v>49015</v>
      </c>
      <c r="B26" s="200">
        <v>1</v>
      </c>
      <c r="C26" s="71" t="str">
        <f t="shared" si="1"/>
        <v>49015_1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200">
        <v>25</v>
      </c>
      <c r="F26" s="56" t="s">
        <v>577</v>
      </c>
      <c r="G26" s="56">
        <v>352</v>
      </c>
      <c r="H26" s="56">
        <v>1</v>
      </c>
      <c r="I26" s="56">
        <v>1</v>
      </c>
      <c r="J26" s="56">
        <v>1</v>
      </c>
      <c r="K26" s="56">
        <v>0</v>
      </c>
      <c r="L26" s="56">
        <v>0</v>
      </c>
      <c r="M26" s="56">
        <v>0</v>
      </c>
      <c r="N26" s="56">
        <v>0</v>
      </c>
      <c r="O26" s="56">
        <v>1</v>
      </c>
      <c r="P26" s="56">
        <v>150</v>
      </c>
      <c r="Q26" s="56" t="s">
        <v>169</v>
      </c>
      <c r="R26" s="56" t="s">
        <v>170</v>
      </c>
    </row>
    <row r="27" spans="1:18" x14ac:dyDescent="0.15">
      <c r="A27" s="56">
        <v>49015</v>
      </c>
      <c r="B27" s="200">
        <v>1</v>
      </c>
      <c r="C27" s="71" t="str">
        <f t="shared" si="1"/>
        <v>49015_1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200">
        <v>26</v>
      </c>
      <c r="F27" s="200" t="s">
        <v>577</v>
      </c>
      <c r="G27" s="200">
        <v>121</v>
      </c>
      <c r="H27" s="200">
        <v>1</v>
      </c>
      <c r="I27" s="200">
        <v>1</v>
      </c>
      <c r="J27" s="200">
        <v>1</v>
      </c>
      <c r="K27" s="200">
        <v>0</v>
      </c>
      <c r="L27" s="200">
        <v>0</v>
      </c>
      <c r="M27" s="200">
        <v>0</v>
      </c>
      <c r="N27" s="200">
        <v>0</v>
      </c>
      <c r="O27" s="200">
        <v>1</v>
      </c>
      <c r="P27" s="200">
        <v>50</v>
      </c>
      <c r="Q27" s="56" t="s">
        <v>169</v>
      </c>
      <c r="R27" s="56" t="s">
        <v>170</v>
      </c>
    </row>
    <row r="28" spans="1:18" x14ac:dyDescent="0.15">
      <c r="A28" s="56">
        <v>49015</v>
      </c>
      <c r="B28" s="56">
        <v>1</v>
      </c>
      <c r="C28" s="71" t="str">
        <f t="shared" si="1"/>
        <v>49015_1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200">
        <v>27</v>
      </c>
      <c r="F28" s="56" t="s">
        <v>577</v>
      </c>
      <c r="G28" s="56">
        <v>122</v>
      </c>
      <c r="H28" s="56">
        <v>1</v>
      </c>
      <c r="I28" s="56">
        <v>1</v>
      </c>
      <c r="J28" s="56">
        <v>1</v>
      </c>
      <c r="K28" s="56">
        <v>0</v>
      </c>
      <c r="L28" s="56">
        <v>0</v>
      </c>
      <c r="M28" s="56">
        <v>0</v>
      </c>
      <c r="N28" s="56">
        <v>0</v>
      </c>
      <c r="O28" s="56">
        <v>1</v>
      </c>
      <c r="P28" s="56">
        <v>50</v>
      </c>
      <c r="Q28" s="56" t="s">
        <v>169</v>
      </c>
      <c r="R28" s="56" t="s">
        <v>170</v>
      </c>
    </row>
    <row r="29" spans="1:18" x14ac:dyDescent="0.15">
      <c r="A29" s="56">
        <v>49015</v>
      </c>
      <c r="B29" s="56">
        <v>1</v>
      </c>
      <c r="C29" s="71" t="str">
        <f t="shared" si="1"/>
        <v>49015_1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200">
        <v>28</v>
      </c>
      <c r="F29" s="56" t="s">
        <v>577</v>
      </c>
      <c r="G29" s="56">
        <v>123</v>
      </c>
      <c r="H29" s="56">
        <v>1</v>
      </c>
      <c r="I29" s="56">
        <v>1</v>
      </c>
      <c r="J29" s="56">
        <v>1</v>
      </c>
      <c r="K29" s="56">
        <v>0</v>
      </c>
      <c r="L29" s="56">
        <v>0</v>
      </c>
      <c r="M29" s="56">
        <v>0</v>
      </c>
      <c r="N29" s="56">
        <v>0</v>
      </c>
      <c r="O29" s="56">
        <v>1</v>
      </c>
      <c r="P29" s="56">
        <v>50</v>
      </c>
      <c r="Q29" s="56" t="s">
        <v>169</v>
      </c>
      <c r="R29" s="56" t="s">
        <v>170</v>
      </c>
    </row>
    <row r="30" spans="1:18" ht="16" thickBot="1" x14ac:dyDescent="0.2">
      <c r="A30" s="210">
        <v>49015</v>
      </c>
      <c r="B30" s="218">
        <v>1</v>
      </c>
      <c r="C30" s="216" t="str">
        <f t="shared" ref="C30" si="2">A30&amp; "_"&amp;B30</f>
        <v>49015_1</v>
      </c>
      <c r="D30" s="217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210">
        <v>29</v>
      </c>
      <c r="F30" s="218" t="s">
        <v>577</v>
      </c>
      <c r="G30" s="218">
        <v>125</v>
      </c>
      <c r="H30" s="218">
        <v>1</v>
      </c>
      <c r="I30" s="218">
        <v>1</v>
      </c>
      <c r="J30" s="218">
        <v>1</v>
      </c>
      <c r="K30" s="218">
        <v>0</v>
      </c>
      <c r="L30" s="218">
        <v>0</v>
      </c>
      <c r="M30" s="218">
        <v>0</v>
      </c>
      <c r="N30" s="218">
        <v>0</v>
      </c>
      <c r="O30" s="218">
        <v>1</v>
      </c>
      <c r="P30" s="218">
        <v>10</v>
      </c>
      <c r="Q30" s="218" t="s">
        <v>169</v>
      </c>
      <c r="R30" s="218" t="s">
        <v>170</v>
      </c>
    </row>
  </sheetData>
  <phoneticPr fontId="5"/>
  <dataValidations count="1">
    <dataValidation type="list" allowBlank="1" showInputMessage="1" showErrorMessage="1" sqref="F2:F30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187</v>
      </c>
      <c r="B1" s="73" t="s">
        <v>188</v>
      </c>
      <c r="C1" s="77" t="s">
        <v>189</v>
      </c>
      <c r="D1" s="77" t="s">
        <v>33</v>
      </c>
      <c r="E1" s="73" t="s">
        <v>190</v>
      </c>
      <c r="F1" s="77" t="s">
        <v>191</v>
      </c>
      <c r="G1" s="77" t="s">
        <v>33</v>
      </c>
      <c r="H1" s="73" t="s">
        <v>192</v>
      </c>
      <c r="I1" s="91" t="s">
        <v>194</v>
      </c>
      <c r="J1" s="79" t="s">
        <v>126</v>
      </c>
      <c r="K1" s="78" t="s">
        <v>186</v>
      </c>
      <c r="L1" s="92" t="s">
        <v>185</v>
      </c>
      <c r="M1" s="80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46"/>
  <sheetViews>
    <sheetView showGridLines="0" zoomScale="110" zoomScaleNormal="110" zoomScalePageLayoutView="110" workbookViewId="0">
      <pane ySplit="1" topLeftCell="A30" activePane="bottomLeft" state="frozen"/>
      <selection pane="bottomLeft" activeCell="M35" sqref="M35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187</v>
      </c>
      <c r="B1" s="73" t="s">
        <v>150</v>
      </c>
      <c r="C1" s="77" t="s">
        <v>189</v>
      </c>
      <c r="D1" s="77" t="s">
        <v>33</v>
      </c>
      <c r="E1" s="73" t="s">
        <v>190</v>
      </c>
      <c r="F1" s="77" t="s">
        <v>18</v>
      </c>
      <c r="G1" s="77" t="s">
        <v>33</v>
      </c>
      <c r="H1" s="73" t="s">
        <v>192</v>
      </c>
      <c r="I1" s="89" t="s">
        <v>193</v>
      </c>
      <c r="J1" s="91" t="s">
        <v>194</v>
      </c>
      <c r="K1" s="79" t="s">
        <v>126</v>
      </c>
      <c r="L1" s="78" t="s">
        <v>186</v>
      </c>
      <c r="M1" s="92" t="s">
        <v>185</v>
      </c>
      <c r="N1" s="80" t="s">
        <v>195</v>
      </c>
    </row>
    <row r="2" spans="1:14" ht="56" x14ac:dyDescent="0.15">
      <c r="A2" s="81" t="s">
        <v>196</v>
      </c>
      <c r="B2" s="82">
        <f>floors!$C$2</f>
        <v>49015</v>
      </c>
      <c r="C2" s="83" t="str">
        <f ca="1">VLOOKUP($B2,OFFSET([2]quests!$A$1,0,0,COUNTA([2]quests!$A:$A),MATCH(C$1,[2]quests!$1:$1,0)-MATCH($B$1,[2]quests!$1:$1,0)+1),MATCH(C$1,[2]quests!$1:$1,0)-MATCH($B$1,[2]quests!$1:$1,0)+1,FALSE)</f>
        <v>スカー襲来！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コラボ降臨11</v>
      </c>
      <c r="E2" s="84">
        <v>3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【ウィザード級】スカー襲来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コラボ降臨11</v>
      </c>
      <c r="H2" s="85">
        <v>1</v>
      </c>
      <c r="I2" s="90">
        <f t="shared" ref="I2:I46" si="0">ROW()-1</f>
        <v>1</v>
      </c>
      <c r="J2" s="86" t="str">
        <f t="shared" ref="J2:J16" si="1">B2&amp;TEXT(I2,"00")</f>
        <v>4901501</v>
      </c>
      <c r="K2" s="84" t="s">
        <v>197</v>
      </c>
      <c r="L2" s="87" t="s">
        <v>252</v>
      </c>
      <c r="M2" s="150" t="s">
        <v>487</v>
      </c>
      <c r="N2" s="56" t="s">
        <v>198</v>
      </c>
    </row>
    <row r="3" spans="1:14" ht="70" x14ac:dyDescent="0.15">
      <c r="A3" s="81" t="s">
        <v>196</v>
      </c>
      <c r="B3" s="82">
        <f>floors!$C$2</f>
        <v>49015</v>
      </c>
      <c r="C3" s="83" t="str">
        <f ca="1">VLOOKUP($B3,OFFSET([2]quests!$A$1,0,0,COUNTA([2]quests!$A:$A),MATCH(C$1,[2]quests!$1:$1,0)-MATCH($B$1,[2]quests!$1:$1,0)+1),MATCH(C$1,[2]quests!$1:$1,0)-MATCH($B$1,[2]quests!$1:$1,0)+1,FALSE)</f>
        <v>スカー襲来！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コラボ降臨11</v>
      </c>
      <c r="E3" s="84">
        <v>3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【ウィザード級】スカー襲来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コラボ降臨11</v>
      </c>
      <c r="H3" s="85">
        <v>1</v>
      </c>
      <c r="I3" s="90">
        <f t="shared" si="0"/>
        <v>2</v>
      </c>
      <c r="J3" s="86" t="str">
        <f t="shared" si="1"/>
        <v>4901502</v>
      </c>
      <c r="K3" s="84" t="s">
        <v>127</v>
      </c>
      <c r="L3" s="87" t="s">
        <v>252</v>
      </c>
      <c r="M3" s="150" t="s">
        <v>469</v>
      </c>
      <c r="N3" s="56" t="s">
        <v>198</v>
      </c>
    </row>
    <row r="4" spans="1:14" ht="70" x14ac:dyDescent="0.15">
      <c r="A4" s="81" t="s">
        <v>196</v>
      </c>
      <c r="B4" s="82">
        <f>floors!$C$2</f>
        <v>49015</v>
      </c>
      <c r="C4" s="83" t="str">
        <f ca="1">VLOOKUP($B4,OFFSET([2]quests!$A$1,0,0,COUNTA([2]quests!$A:$A),MATCH(C$1,[2]quests!$1:$1,0)-MATCH($B$1,[2]quests!$1:$1,0)+1),MATCH(C$1,[2]quests!$1:$1,0)-MATCH($B$1,[2]quests!$1:$1,0)+1,FALSE)</f>
        <v>スカー襲来！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コラボ降臨11</v>
      </c>
      <c r="E4" s="84">
        <v>3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【ウィザード級】スカー襲来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コラボ降臨11</v>
      </c>
      <c r="H4" s="85">
        <v>2</v>
      </c>
      <c r="I4" s="90">
        <f t="shared" si="0"/>
        <v>3</v>
      </c>
      <c r="J4" s="86" t="str">
        <f t="shared" si="1"/>
        <v>4901503</v>
      </c>
      <c r="K4" s="84" t="s">
        <v>127</v>
      </c>
      <c r="L4" s="87" t="s">
        <v>252</v>
      </c>
      <c r="M4" s="150" t="s">
        <v>470</v>
      </c>
      <c r="N4" s="56" t="s">
        <v>198</v>
      </c>
    </row>
    <row r="5" spans="1:14" ht="70" x14ac:dyDescent="0.15">
      <c r="A5" s="81" t="s">
        <v>196</v>
      </c>
      <c r="B5" s="82">
        <f>floors!$C$2</f>
        <v>49015</v>
      </c>
      <c r="C5" s="83" t="str">
        <f ca="1">VLOOKUP($B5,OFFSET([2]quests!$A$1,0,0,COUNTA([2]quests!$A:$A),MATCH(C$1,[2]quests!$1:$1,0)-MATCH($B$1,[2]quests!$1:$1,0)+1),MATCH(C$1,[2]quests!$1:$1,0)-MATCH($B$1,[2]quests!$1:$1,0)+1,FALSE)</f>
        <v>スカー襲来！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コラボ降臨11</v>
      </c>
      <c r="E5" s="84">
        <v>3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【ウィザード級】スカー襲来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コラボ降臨11</v>
      </c>
      <c r="H5" s="85">
        <v>2</v>
      </c>
      <c r="I5" s="90">
        <f t="shared" si="0"/>
        <v>4</v>
      </c>
      <c r="J5" s="86" t="str">
        <f t="shared" si="1"/>
        <v>4901504</v>
      </c>
      <c r="K5" s="84" t="s">
        <v>127</v>
      </c>
      <c r="L5" s="87" t="s">
        <v>252</v>
      </c>
      <c r="M5" s="150" t="s">
        <v>579</v>
      </c>
      <c r="N5" s="56" t="s">
        <v>198</v>
      </c>
    </row>
    <row r="6" spans="1:14" ht="56" x14ac:dyDescent="0.15">
      <c r="A6" s="81" t="s">
        <v>196</v>
      </c>
      <c r="B6" s="82">
        <f>floors!$C$2</f>
        <v>49015</v>
      </c>
      <c r="C6" s="83" t="str">
        <f ca="1">VLOOKUP($B6,OFFSET([2]quests!$A$1,0,0,COUNTA([2]quests!$A:$A),MATCH(C$1,[2]quests!$1:$1,0)-MATCH($B$1,[2]quests!$1:$1,0)+1),MATCH(C$1,[2]quests!$1:$1,0)-MATCH($B$1,[2]quests!$1:$1,0)+1,FALSE)</f>
        <v>スカー襲来！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コラボ降臨11</v>
      </c>
      <c r="E6" s="84">
        <v>3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【ウィザード級】スカー襲来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コラボ降臨11</v>
      </c>
      <c r="H6" s="85">
        <v>2</v>
      </c>
      <c r="I6" s="90">
        <f t="shared" si="0"/>
        <v>5</v>
      </c>
      <c r="J6" s="86" t="str">
        <f t="shared" si="1"/>
        <v>4901505</v>
      </c>
      <c r="K6" s="84" t="s">
        <v>127</v>
      </c>
      <c r="L6" s="87" t="s">
        <v>252</v>
      </c>
      <c r="M6" s="150" t="s">
        <v>471</v>
      </c>
      <c r="N6" s="56" t="s">
        <v>198</v>
      </c>
    </row>
    <row r="7" spans="1:14" ht="42" x14ac:dyDescent="0.15">
      <c r="A7" s="81" t="s">
        <v>196</v>
      </c>
      <c r="B7" s="82">
        <f>floors!$C$2</f>
        <v>49015</v>
      </c>
      <c r="C7" s="83" t="str">
        <f ca="1">VLOOKUP($B7,OFFSET([2]quests!$A$1,0,0,COUNTA([2]quests!$A:$A),MATCH(C$1,[2]quests!$1:$1,0)-MATCH($B$1,[2]quests!$1:$1,0)+1),MATCH(C$1,[2]quests!$1:$1,0)-MATCH($B$1,[2]quests!$1:$1,0)+1,FALSE)</f>
        <v>スカー襲来！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コラボ降臨11</v>
      </c>
      <c r="E7" s="84">
        <v>3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【ウィザード級】スカー襲来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コラボ降臨11</v>
      </c>
      <c r="H7" s="85">
        <v>3</v>
      </c>
      <c r="I7" s="90">
        <f t="shared" si="0"/>
        <v>6</v>
      </c>
      <c r="J7" s="86" t="str">
        <f t="shared" si="1"/>
        <v>4901506</v>
      </c>
      <c r="K7" s="84" t="s">
        <v>127</v>
      </c>
      <c r="L7" s="87" t="s">
        <v>252</v>
      </c>
      <c r="M7" s="150" t="s">
        <v>572</v>
      </c>
      <c r="N7" s="56" t="s">
        <v>198</v>
      </c>
    </row>
    <row r="8" spans="1:14" ht="42" x14ac:dyDescent="0.15">
      <c r="A8" s="81" t="s">
        <v>196</v>
      </c>
      <c r="B8" s="82">
        <f>floors!$C$2</f>
        <v>49015</v>
      </c>
      <c r="C8" s="83" t="str">
        <f ca="1">VLOOKUP($B8,OFFSET([2]quests!$A$1,0,0,COUNTA([2]quests!$A:$A),MATCH(C$1,[2]quests!$1:$1,0)-MATCH($B$1,[2]quests!$1:$1,0)+1),MATCH(C$1,[2]quests!$1:$1,0)-MATCH($B$1,[2]quests!$1:$1,0)+1,FALSE)</f>
        <v>スカー襲来！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コラボ降臨11</v>
      </c>
      <c r="E8" s="84">
        <v>3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【ウィザード級】スカー襲来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コラボ降臨11</v>
      </c>
      <c r="H8" s="85">
        <v>3</v>
      </c>
      <c r="I8" s="90">
        <f t="shared" si="0"/>
        <v>7</v>
      </c>
      <c r="J8" s="86" t="str">
        <f t="shared" si="1"/>
        <v>4901507</v>
      </c>
      <c r="K8" s="84" t="s">
        <v>127</v>
      </c>
      <c r="L8" s="87" t="s">
        <v>252</v>
      </c>
      <c r="M8" s="150" t="s">
        <v>472</v>
      </c>
      <c r="N8" s="56" t="s">
        <v>198</v>
      </c>
    </row>
    <row r="9" spans="1:14" ht="70" x14ac:dyDescent="0.15">
      <c r="A9" s="81" t="s">
        <v>196</v>
      </c>
      <c r="B9" s="82">
        <f>floors!$C$2</f>
        <v>49015</v>
      </c>
      <c r="C9" s="83" t="str">
        <f ca="1">VLOOKUP($B9,OFFSET([2]quests!$A$1,0,0,COUNTA([2]quests!$A:$A),MATCH(C$1,[2]quests!$1:$1,0)-MATCH($B$1,[2]quests!$1:$1,0)+1),MATCH(C$1,[2]quests!$1:$1,0)-MATCH($B$1,[2]quests!$1:$1,0)+1,FALSE)</f>
        <v>スカー襲来！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コラボ降臨11</v>
      </c>
      <c r="E9" s="84">
        <v>3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【ウィザード級】スカー襲来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コラボ降臨11</v>
      </c>
      <c r="H9" s="85">
        <v>4</v>
      </c>
      <c r="I9" s="90">
        <f t="shared" si="0"/>
        <v>8</v>
      </c>
      <c r="J9" s="86" t="str">
        <f t="shared" si="1"/>
        <v>4901508</v>
      </c>
      <c r="K9" s="84" t="s">
        <v>127</v>
      </c>
      <c r="L9" s="87" t="s">
        <v>252</v>
      </c>
      <c r="M9" s="150" t="s">
        <v>488</v>
      </c>
      <c r="N9" s="56" t="s">
        <v>198</v>
      </c>
    </row>
    <row r="10" spans="1:14" ht="56" x14ac:dyDescent="0.15">
      <c r="A10" s="81" t="s">
        <v>196</v>
      </c>
      <c r="B10" s="82">
        <f>floors!$C$2</f>
        <v>49015</v>
      </c>
      <c r="C10" s="83" t="str">
        <f ca="1">VLOOKUP($B10,OFFSET([2]quests!$A$1,0,0,COUNTA([2]quests!$A:$A),MATCH(C$1,[2]quests!$1:$1,0)-MATCH($B$1,[2]quests!$1:$1,0)+1),MATCH(C$1,[2]quests!$1:$1,0)-MATCH($B$1,[2]quests!$1:$1,0)+1,FALSE)</f>
        <v>スカー襲来！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コラボ降臨11</v>
      </c>
      <c r="E10" s="84">
        <v>3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【ウィザード級】スカー襲来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コラボ降臨11</v>
      </c>
      <c r="H10" s="85">
        <v>4</v>
      </c>
      <c r="I10" s="90">
        <f t="shared" si="0"/>
        <v>9</v>
      </c>
      <c r="J10" s="86" t="str">
        <f t="shared" si="1"/>
        <v>4901509</v>
      </c>
      <c r="K10" s="84" t="s">
        <v>127</v>
      </c>
      <c r="L10" s="87" t="s">
        <v>252</v>
      </c>
      <c r="M10" s="150" t="s">
        <v>473</v>
      </c>
      <c r="N10" s="56" t="s">
        <v>198</v>
      </c>
    </row>
    <row r="11" spans="1:14" ht="70" x14ac:dyDescent="0.15">
      <c r="A11" s="81" t="s">
        <v>196</v>
      </c>
      <c r="B11" s="82">
        <f>floors!$C$2</f>
        <v>49015</v>
      </c>
      <c r="C11" s="83" t="str">
        <f ca="1">VLOOKUP($B11,OFFSET([2]quests!$A$1,0,0,COUNTA([2]quests!$A:$A),MATCH(C$1,[2]quests!$1:$1,0)-MATCH($B$1,[2]quests!$1:$1,0)+1),MATCH(C$1,[2]quests!$1:$1,0)-MATCH($B$1,[2]quests!$1:$1,0)+1,FALSE)</f>
        <v>スカー襲来！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コラボ降臨11</v>
      </c>
      <c r="E11" s="84">
        <v>3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【ウィザード級】スカー襲来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コラボ降臨11</v>
      </c>
      <c r="H11" s="85">
        <v>4</v>
      </c>
      <c r="I11" s="90">
        <f t="shared" si="0"/>
        <v>10</v>
      </c>
      <c r="J11" s="86" t="str">
        <f t="shared" si="1"/>
        <v>4901510</v>
      </c>
      <c r="K11" s="84" t="s">
        <v>127</v>
      </c>
      <c r="L11" s="87" t="s">
        <v>252</v>
      </c>
      <c r="M11" s="150" t="s">
        <v>474</v>
      </c>
      <c r="N11" s="56" t="s">
        <v>198</v>
      </c>
    </row>
    <row r="12" spans="1:14" ht="70" x14ac:dyDescent="0.15">
      <c r="A12" s="81" t="s">
        <v>403</v>
      </c>
      <c r="B12" s="82">
        <f>floors!$C$2</f>
        <v>49015</v>
      </c>
      <c r="C12" s="83" t="str">
        <f ca="1">VLOOKUP($B12,OFFSET([2]quests!$A$1,0,0,COUNTA([2]quests!$A:$A),MATCH(C$1,[2]quests!$1:$1,0)-MATCH($B$1,[2]quests!$1:$1,0)+1),MATCH(C$1,[2]quests!$1:$1,0)-MATCH($B$1,[2]quests!$1:$1,0)+1,FALSE)</f>
        <v>スカー襲来！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コラボ降臨11</v>
      </c>
      <c r="E12" s="84">
        <v>3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【ウィザード級】スカー襲来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コラボ降臨11</v>
      </c>
      <c r="H12" s="85">
        <v>0</v>
      </c>
      <c r="I12" s="90">
        <f t="shared" si="0"/>
        <v>11</v>
      </c>
      <c r="J12" s="86" t="str">
        <f t="shared" si="1"/>
        <v>4901511</v>
      </c>
      <c r="K12" s="84" t="s">
        <v>127</v>
      </c>
      <c r="L12" s="151" t="s">
        <v>398</v>
      </c>
      <c r="M12" s="150" t="s">
        <v>484</v>
      </c>
      <c r="N12" s="56" t="s">
        <v>198</v>
      </c>
    </row>
    <row r="13" spans="1:14" ht="56" x14ac:dyDescent="0.15">
      <c r="A13" s="81" t="s">
        <v>403</v>
      </c>
      <c r="B13" s="82">
        <f>floors!$C$2</f>
        <v>49015</v>
      </c>
      <c r="C13" s="83" t="str">
        <f ca="1">VLOOKUP($B13,OFFSET([2]quests!$A$1,0,0,COUNTA([2]quests!$A:$A),MATCH(C$1,[2]quests!$1:$1,0)-MATCH($B$1,[2]quests!$1:$1,0)+1),MATCH(C$1,[2]quests!$1:$1,0)-MATCH($B$1,[2]quests!$1:$1,0)+1,FALSE)</f>
        <v>スカー襲来！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コラボ降臨11</v>
      </c>
      <c r="E13" s="84">
        <v>3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【ウィザード級】スカー襲来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コラボ降臨11</v>
      </c>
      <c r="H13" s="85">
        <v>0</v>
      </c>
      <c r="I13" s="90">
        <f t="shared" si="0"/>
        <v>12</v>
      </c>
      <c r="J13" s="86" t="str">
        <f t="shared" si="1"/>
        <v>4901512</v>
      </c>
      <c r="K13" s="84" t="s">
        <v>127</v>
      </c>
      <c r="L13" s="87" t="s">
        <v>399</v>
      </c>
      <c r="M13" s="150" t="s">
        <v>482</v>
      </c>
      <c r="N13" s="56" t="s">
        <v>198</v>
      </c>
    </row>
    <row r="14" spans="1:14" ht="70" x14ac:dyDescent="0.15">
      <c r="A14" s="81" t="s">
        <v>403</v>
      </c>
      <c r="B14" s="82">
        <f>floors!$C$2</f>
        <v>49015</v>
      </c>
      <c r="C14" s="83" t="str">
        <f ca="1">VLOOKUP($B14,OFFSET([2]quests!$A$1,0,0,COUNTA([2]quests!$A:$A),MATCH(C$1,[2]quests!$1:$1,0)-MATCH($B$1,[2]quests!$1:$1,0)+1),MATCH(C$1,[2]quests!$1:$1,0)-MATCH($B$1,[2]quests!$1:$1,0)+1,FALSE)</f>
        <v>スカー襲来！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コラボ降臨11</v>
      </c>
      <c r="E14" s="84">
        <v>3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【ウィザード級】スカー襲来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コラボ降臨11</v>
      </c>
      <c r="H14" s="85">
        <v>0</v>
      </c>
      <c r="I14" s="90">
        <f t="shared" si="0"/>
        <v>13</v>
      </c>
      <c r="J14" s="86" t="str">
        <f t="shared" si="1"/>
        <v>4901513</v>
      </c>
      <c r="K14" s="84" t="s">
        <v>127</v>
      </c>
      <c r="L14" s="87" t="s">
        <v>400</v>
      </c>
      <c r="M14" s="150" t="s">
        <v>485</v>
      </c>
      <c r="N14" s="56" t="s">
        <v>198</v>
      </c>
    </row>
    <row r="15" spans="1:14" ht="56" x14ac:dyDescent="0.15">
      <c r="A15" s="81" t="s">
        <v>403</v>
      </c>
      <c r="B15" s="82">
        <f>floors!$C$2</f>
        <v>49015</v>
      </c>
      <c r="C15" s="83" t="str">
        <f ca="1">VLOOKUP($B15,OFFSET([2]quests!$A$1,0,0,COUNTA([2]quests!$A:$A),MATCH(C$1,[2]quests!$1:$1,0)-MATCH($B$1,[2]quests!$1:$1,0)+1),MATCH(C$1,[2]quests!$1:$1,0)-MATCH($B$1,[2]quests!$1:$1,0)+1,FALSE)</f>
        <v>スカー襲来！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コラボ降臨11</v>
      </c>
      <c r="E15" s="84">
        <v>3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【ウィザード級】スカー襲来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コラボ降臨11</v>
      </c>
      <c r="H15" s="85">
        <v>0</v>
      </c>
      <c r="I15" s="90">
        <f t="shared" si="0"/>
        <v>14</v>
      </c>
      <c r="J15" s="86" t="str">
        <f t="shared" si="1"/>
        <v>4901514</v>
      </c>
      <c r="K15" s="84" t="s">
        <v>127</v>
      </c>
      <c r="L15" s="87" t="s">
        <v>401</v>
      </c>
      <c r="M15" s="150" t="s">
        <v>486</v>
      </c>
      <c r="N15" s="56" t="s">
        <v>198</v>
      </c>
    </row>
    <row r="16" spans="1:14" ht="71" thickBot="1" x14ac:dyDescent="0.2">
      <c r="A16" s="201" t="s">
        <v>403</v>
      </c>
      <c r="B16" s="202">
        <f>floors!$C$2</f>
        <v>49015</v>
      </c>
      <c r="C16" s="203" t="str">
        <f ca="1">VLOOKUP($B16,OFFSET([2]quests!$A$1,0,0,COUNTA([2]quests!$A:$A),MATCH(C$1,[2]quests!$1:$1,0)-MATCH($B$1,[2]quests!$1:$1,0)+1),MATCH(C$1,[2]quests!$1:$1,0)-MATCH($B$1,[2]quests!$1:$1,0)+1,FALSE)</f>
        <v>スカー襲来！</v>
      </c>
      <c r="D16" s="203" t="str">
        <f ca="1">VLOOKUP($B16,OFFSET([2]quests!$A$1,0,0,COUNTA([2]quests!$A:$A),MATCH(D$1,[2]quests!$1:$1,0)-MATCH($B$1,[2]quests!$1:$1,0)+1),MATCH(D$1,[2]quests!$1:$1,0)-MATCH($B$1,[2]quests!$1:$1,0)+1,FALSE)</f>
        <v>コラボ降臨11</v>
      </c>
      <c r="E16" s="204">
        <v>3</v>
      </c>
      <c r="F16" s="203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【ウィザード級】スカー襲来</v>
      </c>
      <c r="G16" s="203" t="str">
        <f ca="1">VLOOKUP($B16&amp;"_"&amp;$E16,OFFSET([2]stages!$A$1,0,0,COUNTA([2]stages!$A:$A),MATCH(G$1,[2]stages!$2:$2,0)-MATCH("temp_stage",[2]stages!$2:$2,0)+1),MATCH(G$1,[2]stages!$2:$2,0)-MATCH("temp_stage",[2]stages!$2:$2,0)+1,FALSE)</f>
        <v>コラボ降臨11</v>
      </c>
      <c r="H16" s="205">
        <v>0</v>
      </c>
      <c r="I16" s="206">
        <f t="shared" si="0"/>
        <v>15</v>
      </c>
      <c r="J16" s="207" t="str">
        <f t="shared" si="1"/>
        <v>4901515</v>
      </c>
      <c r="K16" s="204" t="s">
        <v>127</v>
      </c>
      <c r="L16" s="208" t="s">
        <v>402</v>
      </c>
      <c r="M16" s="209" t="s">
        <v>483</v>
      </c>
      <c r="N16" s="210" t="s">
        <v>198</v>
      </c>
    </row>
    <row r="17" spans="1:14" ht="56" x14ac:dyDescent="0.15">
      <c r="A17" s="194" t="s">
        <v>196</v>
      </c>
      <c r="B17" s="195">
        <f>floors!$C$2</f>
        <v>49015</v>
      </c>
      <c r="C17" s="83" t="str">
        <f ca="1">VLOOKUP($B17,OFFSET([2]quests!$A$1,0,0,COUNTA([2]quests!$A:$A),MATCH(C$1,[2]quests!$1:$1,0)-MATCH($B$1,[2]quests!$1:$1,0)+1),MATCH(C$1,[2]quests!$1:$1,0)-MATCH($B$1,[2]quests!$1:$1,0)+1,FALSE)</f>
        <v>スカー襲来！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コラボ降臨11</v>
      </c>
      <c r="E17" s="196">
        <v>2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【超級】スカー襲来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コラボ降臨11</v>
      </c>
      <c r="H17" s="85">
        <v>1</v>
      </c>
      <c r="I17" s="197">
        <f t="shared" si="0"/>
        <v>16</v>
      </c>
      <c r="J17" s="198" t="str">
        <f t="shared" ref="J17:J46" si="2">B17&amp;TEXT(I17,"00")</f>
        <v>4901516</v>
      </c>
      <c r="K17" s="196" t="s">
        <v>127</v>
      </c>
      <c r="L17" s="199" t="s">
        <v>252</v>
      </c>
      <c r="M17" s="150" t="s">
        <v>487</v>
      </c>
      <c r="N17" s="200" t="s">
        <v>198</v>
      </c>
    </row>
    <row r="18" spans="1:14" ht="70" x14ac:dyDescent="0.15">
      <c r="A18" s="81" t="s">
        <v>196</v>
      </c>
      <c r="B18" s="82">
        <f>floors!$C$2</f>
        <v>49015</v>
      </c>
      <c r="C18" s="83" t="str">
        <f ca="1">VLOOKUP($B18,OFFSET([2]quests!$A$1,0,0,COUNTA([2]quests!$A:$A),MATCH(C$1,[2]quests!$1:$1,0)-MATCH($B$1,[2]quests!$1:$1,0)+1),MATCH(C$1,[2]quests!$1:$1,0)-MATCH($B$1,[2]quests!$1:$1,0)+1,FALSE)</f>
        <v>スカー襲来！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コラボ降臨11</v>
      </c>
      <c r="E18" s="196">
        <v>2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【超級】スカー襲来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コラボ降臨11</v>
      </c>
      <c r="H18" s="85">
        <v>1</v>
      </c>
      <c r="I18" s="90">
        <f t="shared" si="0"/>
        <v>17</v>
      </c>
      <c r="J18" s="86" t="str">
        <f t="shared" si="2"/>
        <v>4901517</v>
      </c>
      <c r="K18" s="84" t="s">
        <v>127</v>
      </c>
      <c r="L18" s="87" t="s">
        <v>252</v>
      </c>
      <c r="M18" s="150" t="s">
        <v>469</v>
      </c>
      <c r="N18" s="56" t="s">
        <v>198</v>
      </c>
    </row>
    <row r="19" spans="1:14" ht="70" x14ac:dyDescent="0.15">
      <c r="A19" s="81" t="s">
        <v>196</v>
      </c>
      <c r="B19" s="82">
        <f>floors!$C$2</f>
        <v>49015</v>
      </c>
      <c r="C19" s="83" t="str">
        <f ca="1">VLOOKUP($B19,OFFSET([2]quests!$A$1,0,0,COUNTA([2]quests!$A:$A),MATCH(C$1,[2]quests!$1:$1,0)-MATCH($B$1,[2]quests!$1:$1,0)+1),MATCH(C$1,[2]quests!$1:$1,0)-MATCH($B$1,[2]quests!$1:$1,0)+1,FALSE)</f>
        <v>スカー襲来！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コラボ降臨11</v>
      </c>
      <c r="E19" s="196">
        <v>2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【超級】スカー襲来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コラボ降臨11</v>
      </c>
      <c r="H19" s="85">
        <v>2</v>
      </c>
      <c r="I19" s="90">
        <f t="shared" si="0"/>
        <v>18</v>
      </c>
      <c r="J19" s="86" t="str">
        <f t="shared" si="2"/>
        <v>4901518</v>
      </c>
      <c r="K19" s="84" t="s">
        <v>127</v>
      </c>
      <c r="L19" s="87" t="s">
        <v>252</v>
      </c>
      <c r="M19" s="150" t="s">
        <v>470</v>
      </c>
      <c r="N19" s="56" t="s">
        <v>198</v>
      </c>
    </row>
    <row r="20" spans="1:14" ht="70" x14ac:dyDescent="0.15">
      <c r="A20" s="81" t="s">
        <v>196</v>
      </c>
      <c r="B20" s="82">
        <f>floors!$C$2</f>
        <v>49015</v>
      </c>
      <c r="C20" s="83" t="str">
        <f ca="1">VLOOKUP($B20,OFFSET([2]quests!$A$1,0,0,COUNTA([2]quests!$A:$A),MATCH(C$1,[2]quests!$1:$1,0)-MATCH($B$1,[2]quests!$1:$1,0)+1),MATCH(C$1,[2]quests!$1:$1,0)-MATCH($B$1,[2]quests!$1:$1,0)+1,FALSE)</f>
        <v>スカー襲来！</v>
      </c>
      <c r="D20" s="83" t="str">
        <f ca="1">VLOOKUP($B20,OFFSET([2]quests!$A$1,0,0,COUNTA([2]quests!$A:$A),MATCH(D$1,[2]quests!$1:$1,0)-MATCH($B$1,[2]quests!$1:$1,0)+1),MATCH(D$1,[2]quests!$1:$1,0)-MATCH($B$1,[2]quests!$1:$1,0)+1,FALSE)</f>
        <v>コラボ降臨11</v>
      </c>
      <c r="E20" s="196">
        <v>2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【超級】スカー襲来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コラボ降臨11</v>
      </c>
      <c r="H20" s="85">
        <v>2</v>
      </c>
      <c r="I20" s="90">
        <f t="shared" si="0"/>
        <v>19</v>
      </c>
      <c r="J20" s="86" t="str">
        <f t="shared" si="2"/>
        <v>4901519</v>
      </c>
      <c r="K20" s="84" t="s">
        <v>127</v>
      </c>
      <c r="L20" s="87" t="s">
        <v>252</v>
      </c>
      <c r="M20" s="150" t="s">
        <v>579</v>
      </c>
      <c r="N20" s="56" t="s">
        <v>198</v>
      </c>
    </row>
    <row r="21" spans="1:14" ht="56" x14ac:dyDescent="0.15">
      <c r="A21" s="81" t="s">
        <v>196</v>
      </c>
      <c r="B21" s="82">
        <f>floors!$C$2</f>
        <v>49015</v>
      </c>
      <c r="C21" s="83" t="str">
        <f ca="1">VLOOKUP($B21,OFFSET([2]quests!$A$1,0,0,COUNTA([2]quests!$A:$A),MATCH(C$1,[2]quests!$1:$1,0)-MATCH($B$1,[2]quests!$1:$1,0)+1),MATCH(C$1,[2]quests!$1:$1,0)-MATCH($B$1,[2]quests!$1:$1,0)+1,FALSE)</f>
        <v>スカー襲来！</v>
      </c>
      <c r="D21" s="83" t="str">
        <f ca="1">VLOOKUP($B21,OFFSET([2]quests!$A$1,0,0,COUNTA([2]quests!$A:$A),MATCH(D$1,[2]quests!$1:$1,0)-MATCH($B$1,[2]quests!$1:$1,0)+1),MATCH(D$1,[2]quests!$1:$1,0)-MATCH($B$1,[2]quests!$1:$1,0)+1,FALSE)</f>
        <v>コラボ降臨11</v>
      </c>
      <c r="E21" s="196">
        <v>2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【超級】スカー襲来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コラボ降臨11</v>
      </c>
      <c r="H21" s="85">
        <v>2</v>
      </c>
      <c r="I21" s="90">
        <f t="shared" si="0"/>
        <v>20</v>
      </c>
      <c r="J21" s="86" t="str">
        <f t="shared" si="2"/>
        <v>4901520</v>
      </c>
      <c r="K21" s="84" t="s">
        <v>127</v>
      </c>
      <c r="L21" s="87" t="s">
        <v>252</v>
      </c>
      <c r="M21" s="150" t="s">
        <v>471</v>
      </c>
      <c r="N21" s="56" t="s">
        <v>198</v>
      </c>
    </row>
    <row r="22" spans="1:14" ht="42" x14ac:dyDescent="0.15">
      <c r="A22" s="81" t="s">
        <v>196</v>
      </c>
      <c r="B22" s="82">
        <f>floors!$C$2</f>
        <v>49015</v>
      </c>
      <c r="C22" s="83" t="str">
        <f ca="1">VLOOKUP($B22,OFFSET([2]quests!$A$1,0,0,COUNTA([2]quests!$A:$A),MATCH(C$1,[2]quests!$1:$1,0)-MATCH($B$1,[2]quests!$1:$1,0)+1),MATCH(C$1,[2]quests!$1:$1,0)-MATCH($B$1,[2]quests!$1:$1,0)+1,FALSE)</f>
        <v>スカー襲来！</v>
      </c>
      <c r="D22" s="83" t="str">
        <f ca="1">VLOOKUP($B22,OFFSET([2]quests!$A$1,0,0,COUNTA([2]quests!$A:$A),MATCH(D$1,[2]quests!$1:$1,0)-MATCH($B$1,[2]quests!$1:$1,0)+1),MATCH(D$1,[2]quests!$1:$1,0)-MATCH($B$1,[2]quests!$1:$1,0)+1,FALSE)</f>
        <v>コラボ降臨11</v>
      </c>
      <c r="E22" s="196">
        <v>2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【超級】スカー襲来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コラボ降臨11</v>
      </c>
      <c r="H22" s="85">
        <v>3</v>
      </c>
      <c r="I22" s="90">
        <f t="shared" si="0"/>
        <v>21</v>
      </c>
      <c r="J22" s="86" t="str">
        <f t="shared" si="2"/>
        <v>4901521</v>
      </c>
      <c r="K22" s="84" t="s">
        <v>127</v>
      </c>
      <c r="L22" s="87" t="s">
        <v>252</v>
      </c>
      <c r="M22" s="150" t="s">
        <v>572</v>
      </c>
      <c r="N22" s="56" t="s">
        <v>198</v>
      </c>
    </row>
    <row r="23" spans="1:14" ht="42" x14ac:dyDescent="0.15">
      <c r="A23" s="81" t="s">
        <v>196</v>
      </c>
      <c r="B23" s="82">
        <f>floors!$C$2</f>
        <v>49015</v>
      </c>
      <c r="C23" s="83" t="str">
        <f ca="1">VLOOKUP($B23,OFFSET([2]quests!$A$1,0,0,COUNTA([2]quests!$A:$A),MATCH(C$1,[2]quests!$1:$1,0)-MATCH($B$1,[2]quests!$1:$1,0)+1),MATCH(C$1,[2]quests!$1:$1,0)-MATCH($B$1,[2]quests!$1:$1,0)+1,FALSE)</f>
        <v>スカー襲来！</v>
      </c>
      <c r="D23" s="83" t="str">
        <f ca="1">VLOOKUP($B23,OFFSET([2]quests!$A$1,0,0,COUNTA([2]quests!$A:$A),MATCH(D$1,[2]quests!$1:$1,0)-MATCH($B$1,[2]quests!$1:$1,0)+1),MATCH(D$1,[2]quests!$1:$1,0)-MATCH($B$1,[2]quests!$1:$1,0)+1,FALSE)</f>
        <v>コラボ降臨11</v>
      </c>
      <c r="E23" s="196">
        <v>2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【超級】スカー襲来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コラボ降臨11</v>
      </c>
      <c r="H23" s="85">
        <v>3</v>
      </c>
      <c r="I23" s="90">
        <f t="shared" si="0"/>
        <v>22</v>
      </c>
      <c r="J23" s="86" t="str">
        <f t="shared" si="2"/>
        <v>4901522</v>
      </c>
      <c r="K23" s="84" t="s">
        <v>127</v>
      </c>
      <c r="L23" s="87" t="s">
        <v>252</v>
      </c>
      <c r="M23" s="150" t="s">
        <v>472</v>
      </c>
      <c r="N23" s="56" t="s">
        <v>198</v>
      </c>
    </row>
    <row r="24" spans="1:14" ht="70" x14ac:dyDescent="0.15">
      <c r="A24" s="81" t="s">
        <v>196</v>
      </c>
      <c r="B24" s="82">
        <f>floors!$C$2</f>
        <v>49015</v>
      </c>
      <c r="C24" s="83" t="str">
        <f ca="1">VLOOKUP($B24,OFFSET([2]quests!$A$1,0,0,COUNTA([2]quests!$A:$A),MATCH(C$1,[2]quests!$1:$1,0)-MATCH($B$1,[2]quests!$1:$1,0)+1),MATCH(C$1,[2]quests!$1:$1,0)-MATCH($B$1,[2]quests!$1:$1,0)+1,FALSE)</f>
        <v>スカー襲来！</v>
      </c>
      <c r="D24" s="83" t="str">
        <f ca="1">VLOOKUP($B24,OFFSET([2]quests!$A$1,0,0,COUNTA([2]quests!$A:$A),MATCH(D$1,[2]quests!$1:$1,0)-MATCH($B$1,[2]quests!$1:$1,0)+1),MATCH(D$1,[2]quests!$1:$1,0)-MATCH($B$1,[2]quests!$1:$1,0)+1,FALSE)</f>
        <v>コラボ降臨11</v>
      </c>
      <c r="E24" s="196">
        <v>2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【超級】スカー襲来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コラボ降臨11</v>
      </c>
      <c r="H24" s="85">
        <v>4</v>
      </c>
      <c r="I24" s="90">
        <f t="shared" si="0"/>
        <v>23</v>
      </c>
      <c r="J24" s="86" t="str">
        <f t="shared" si="2"/>
        <v>4901523</v>
      </c>
      <c r="K24" s="84" t="s">
        <v>127</v>
      </c>
      <c r="L24" s="87" t="s">
        <v>252</v>
      </c>
      <c r="M24" s="150" t="s">
        <v>488</v>
      </c>
      <c r="N24" s="56" t="s">
        <v>198</v>
      </c>
    </row>
    <row r="25" spans="1:14" ht="56" x14ac:dyDescent="0.15">
      <c r="A25" s="81" t="s">
        <v>196</v>
      </c>
      <c r="B25" s="82">
        <f>floors!$C$2</f>
        <v>49015</v>
      </c>
      <c r="C25" s="83" t="str">
        <f ca="1">VLOOKUP($B25,OFFSET([2]quests!$A$1,0,0,COUNTA([2]quests!$A:$A),MATCH(C$1,[2]quests!$1:$1,0)-MATCH($B$1,[2]quests!$1:$1,0)+1),MATCH(C$1,[2]quests!$1:$1,0)-MATCH($B$1,[2]quests!$1:$1,0)+1,FALSE)</f>
        <v>スカー襲来！</v>
      </c>
      <c r="D25" s="83" t="str">
        <f ca="1">VLOOKUP($B25,OFFSET([2]quests!$A$1,0,0,COUNTA([2]quests!$A:$A),MATCH(D$1,[2]quests!$1:$1,0)-MATCH($B$1,[2]quests!$1:$1,0)+1),MATCH(D$1,[2]quests!$1:$1,0)-MATCH($B$1,[2]quests!$1:$1,0)+1,FALSE)</f>
        <v>コラボ降臨11</v>
      </c>
      <c r="E25" s="196">
        <v>2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【超級】スカー襲来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コラボ降臨11</v>
      </c>
      <c r="H25" s="85">
        <v>4</v>
      </c>
      <c r="I25" s="90">
        <f t="shared" si="0"/>
        <v>24</v>
      </c>
      <c r="J25" s="86" t="str">
        <f t="shared" si="2"/>
        <v>4901524</v>
      </c>
      <c r="K25" s="84" t="s">
        <v>127</v>
      </c>
      <c r="L25" s="87" t="s">
        <v>252</v>
      </c>
      <c r="M25" s="150" t="s">
        <v>473</v>
      </c>
      <c r="N25" s="56" t="s">
        <v>198</v>
      </c>
    </row>
    <row r="26" spans="1:14" ht="70" x14ac:dyDescent="0.15">
      <c r="A26" s="81" t="s">
        <v>196</v>
      </c>
      <c r="B26" s="82">
        <f>floors!$C$2</f>
        <v>49015</v>
      </c>
      <c r="C26" s="83" t="str">
        <f ca="1">VLOOKUP($B26,OFFSET([2]quests!$A$1,0,0,COUNTA([2]quests!$A:$A),MATCH(C$1,[2]quests!$1:$1,0)-MATCH($B$1,[2]quests!$1:$1,0)+1),MATCH(C$1,[2]quests!$1:$1,0)-MATCH($B$1,[2]quests!$1:$1,0)+1,FALSE)</f>
        <v>スカー襲来！</v>
      </c>
      <c r="D26" s="83" t="str">
        <f ca="1">VLOOKUP($B26,OFFSET([2]quests!$A$1,0,0,COUNTA([2]quests!$A:$A),MATCH(D$1,[2]quests!$1:$1,0)-MATCH($B$1,[2]quests!$1:$1,0)+1),MATCH(D$1,[2]quests!$1:$1,0)-MATCH($B$1,[2]quests!$1:$1,0)+1,FALSE)</f>
        <v>コラボ降臨11</v>
      </c>
      <c r="E26" s="196">
        <v>2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【超級】スカー襲来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コラボ降臨11</v>
      </c>
      <c r="H26" s="85">
        <v>4</v>
      </c>
      <c r="I26" s="90">
        <f t="shared" si="0"/>
        <v>25</v>
      </c>
      <c r="J26" s="86" t="str">
        <f t="shared" si="2"/>
        <v>4901525</v>
      </c>
      <c r="K26" s="84" t="s">
        <v>127</v>
      </c>
      <c r="L26" s="87" t="s">
        <v>252</v>
      </c>
      <c r="M26" s="150" t="s">
        <v>474</v>
      </c>
      <c r="N26" s="56" t="s">
        <v>198</v>
      </c>
    </row>
    <row r="27" spans="1:14" ht="70" x14ac:dyDescent="0.15">
      <c r="A27" s="81" t="s">
        <v>403</v>
      </c>
      <c r="B27" s="82">
        <f>floors!$C$2</f>
        <v>49015</v>
      </c>
      <c r="C27" s="83" t="str">
        <f ca="1">VLOOKUP($B27,OFFSET([2]quests!$A$1,0,0,COUNTA([2]quests!$A:$A),MATCH(C$1,[2]quests!$1:$1,0)-MATCH($B$1,[2]quests!$1:$1,0)+1),MATCH(C$1,[2]quests!$1:$1,0)-MATCH($B$1,[2]quests!$1:$1,0)+1,FALSE)</f>
        <v>スカー襲来！</v>
      </c>
      <c r="D27" s="83" t="str">
        <f ca="1">VLOOKUP($B27,OFFSET([2]quests!$A$1,0,0,COUNTA([2]quests!$A:$A),MATCH(D$1,[2]quests!$1:$1,0)-MATCH($B$1,[2]quests!$1:$1,0)+1),MATCH(D$1,[2]quests!$1:$1,0)-MATCH($B$1,[2]quests!$1:$1,0)+1,FALSE)</f>
        <v>コラボ降臨11</v>
      </c>
      <c r="E27" s="196">
        <v>2</v>
      </c>
      <c r="F27" s="83" t="str">
        <f ca="1">VLOOKUP($B27&amp;"_"&amp;$E27,OFFSET([2]stages!$A$1,0,0,COUNTA([2]stages!$A:$A),MATCH(F$1,[2]stages!$2:$2,0)-MATCH("temp_stage",[2]stages!$2:$2,0)+1),MATCH(F$1,[2]stages!$2:$2,0)-MATCH("temp_stage",[2]stages!$2:$2,0)+1,FALSE)</f>
        <v>【超級】スカー襲来</v>
      </c>
      <c r="G27" s="83" t="str">
        <f ca="1">VLOOKUP($B27&amp;"_"&amp;$E27,OFFSET([2]stages!$A$1,0,0,COUNTA([2]stages!$A:$A),MATCH(G$1,[2]stages!$2:$2,0)-MATCH("temp_stage",[2]stages!$2:$2,0)+1),MATCH(G$1,[2]stages!$2:$2,0)-MATCH("temp_stage",[2]stages!$2:$2,0)+1,FALSE)</f>
        <v>コラボ降臨11</v>
      </c>
      <c r="H27" s="85">
        <v>0</v>
      </c>
      <c r="I27" s="90">
        <f t="shared" si="0"/>
        <v>26</v>
      </c>
      <c r="J27" s="86" t="str">
        <f t="shared" si="2"/>
        <v>4901526</v>
      </c>
      <c r="K27" s="84" t="s">
        <v>127</v>
      </c>
      <c r="L27" s="151" t="s">
        <v>398</v>
      </c>
      <c r="M27" s="150" t="s">
        <v>484</v>
      </c>
      <c r="N27" s="56" t="s">
        <v>198</v>
      </c>
    </row>
    <row r="28" spans="1:14" ht="56" x14ac:dyDescent="0.15">
      <c r="A28" s="81" t="s">
        <v>403</v>
      </c>
      <c r="B28" s="82">
        <f>floors!$C$2</f>
        <v>49015</v>
      </c>
      <c r="C28" s="83" t="str">
        <f ca="1">VLOOKUP($B28,OFFSET([2]quests!$A$1,0,0,COUNTA([2]quests!$A:$A),MATCH(C$1,[2]quests!$1:$1,0)-MATCH($B$1,[2]quests!$1:$1,0)+1),MATCH(C$1,[2]quests!$1:$1,0)-MATCH($B$1,[2]quests!$1:$1,0)+1,FALSE)</f>
        <v>スカー襲来！</v>
      </c>
      <c r="D28" s="83" t="str">
        <f ca="1">VLOOKUP($B28,OFFSET([2]quests!$A$1,0,0,COUNTA([2]quests!$A:$A),MATCH(D$1,[2]quests!$1:$1,0)-MATCH($B$1,[2]quests!$1:$1,0)+1),MATCH(D$1,[2]quests!$1:$1,0)-MATCH($B$1,[2]quests!$1:$1,0)+1,FALSE)</f>
        <v>コラボ降臨11</v>
      </c>
      <c r="E28" s="196">
        <v>2</v>
      </c>
      <c r="F28" s="83" t="str">
        <f ca="1">VLOOKUP($B28&amp;"_"&amp;$E28,OFFSET([2]stages!$A$1,0,0,COUNTA([2]stages!$A:$A),MATCH(F$1,[2]stages!$2:$2,0)-MATCH("temp_stage",[2]stages!$2:$2,0)+1),MATCH(F$1,[2]stages!$2:$2,0)-MATCH("temp_stage",[2]stages!$2:$2,0)+1,FALSE)</f>
        <v>【超級】スカー襲来</v>
      </c>
      <c r="G28" s="83" t="str">
        <f ca="1">VLOOKUP($B28&amp;"_"&amp;$E28,OFFSET([2]stages!$A$1,0,0,COUNTA([2]stages!$A:$A),MATCH(G$1,[2]stages!$2:$2,0)-MATCH("temp_stage",[2]stages!$2:$2,0)+1),MATCH(G$1,[2]stages!$2:$2,0)-MATCH("temp_stage",[2]stages!$2:$2,0)+1,FALSE)</f>
        <v>コラボ降臨11</v>
      </c>
      <c r="H28" s="85">
        <v>0</v>
      </c>
      <c r="I28" s="90">
        <f t="shared" si="0"/>
        <v>27</v>
      </c>
      <c r="J28" s="86" t="str">
        <f t="shared" si="2"/>
        <v>4901527</v>
      </c>
      <c r="K28" s="84" t="s">
        <v>127</v>
      </c>
      <c r="L28" s="87" t="s">
        <v>399</v>
      </c>
      <c r="M28" s="150" t="s">
        <v>482</v>
      </c>
      <c r="N28" s="56" t="s">
        <v>198</v>
      </c>
    </row>
    <row r="29" spans="1:14" ht="70" x14ac:dyDescent="0.15">
      <c r="A29" s="81" t="s">
        <v>403</v>
      </c>
      <c r="B29" s="82">
        <f>floors!$C$2</f>
        <v>49015</v>
      </c>
      <c r="C29" s="83" t="str">
        <f ca="1">VLOOKUP($B29,OFFSET([2]quests!$A$1,0,0,COUNTA([2]quests!$A:$A),MATCH(C$1,[2]quests!$1:$1,0)-MATCH($B$1,[2]quests!$1:$1,0)+1),MATCH(C$1,[2]quests!$1:$1,0)-MATCH($B$1,[2]quests!$1:$1,0)+1,FALSE)</f>
        <v>スカー襲来！</v>
      </c>
      <c r="D29" s="83" t="str">
        <f ca="1">VLOOKUP($B29,OFFSET([2]quests!$A$1,0,0,COUNTA([2]quests!$A:$A),MATCH(D$1,[2]quests!$1:$1,0)-MATCH($B$1,[2]quests!$1:$1,0)+1),MATCH(D$1,[2]quests!$1:$1,0)-MATCH($B$1,[2]quests!$1:$1,0)+1,FALSE)</f>
        <v>コラボ降臨11</v>
      </c>
      <c r="E29" s="196">
        <v>2</v>
      </c>
      <c r="F29" s="83" t="str">
        <f ca="1">VLOOKUP($B29&amp;"_"&amp;$E29,OFFSET([2]stages!$A$1,0,0,COUNTA([2]stages!$A:$A),MATCH(F$1,[2]stages!$2:$2,0)-MATCH("temp_stage",[2]stages!$2:$2,0)+1),MATCH(F$1,[2]stages!$2:$2,0)-MATCH("temp_stage",[2]stages!$2:$2,0)+1,FALSE)</f>
        <v>【超級】スカー襲来</v>
      </c>
      <c r="G29" s="83" t="str">
        <f ca="1">VLOOKUP($B29&amp;"_"&amp;$E29,OFFSET([2]stages!$A$1,0,0,COUNTA([2]stages!$A:$A),MATCH(G$1,[2]stages!$2:$2,0)-MATCH("temp_stage",[2]stages!$2:$2,0)+1),MATCH(G$1,[2]stages!$2:$2,0)-MATCH("temp_stage",[2]stages!$2:$2,0)+1,FALSE)</f>
        <v>コラボ降臨11</v>
      </c>
      <c r="H29" s="85">
        <v>0</v>
      </c>
      <c r="I29" s="90">
        <f t="shared" si="0"/>
        <v>28</v>
      </c>
      <c r="J29" s="86" t="str">
        <f t="shared" si="2"/>
        <v>4901528</v>
      </c>
      <c r="K29" s="84" t="s">
        <v>127</v>
      </c>
      <c r="L29" s="87" t="s">
        <v>400</v>
      </c>
      <c r="M29" s="150" t="s">
        <v>485</v>
      </c>
      <c r="N29" s="56" t="s">
        <v>198</v>
      </c>
    </row>
    <row r="30" spans="1:14" ht="56" x14ac:dyDescent="0.15">
      <c r="A30" s="81" t="s">
        <v>403</v>
      </c>
      <c r="B30" s="82">
        <f>floors!$C$2</f>
        <v>49015</v>
      </c>
      <c r="C30" s="83" t="str">
        <f ca="1">VLOOKUP($B30,OFFSET([2]quests!$A$1,0,0,COUNTA([2]quests!$A:$A),MATCH(C$1,[2]quests!$1:$1,0)-MATCH($B$1,[2]quests!$1:$1,0)+1),MATCH(C$1,[2]quests!$1:$1,0)-MATCH($B$1,[2]quests!$1:$1,0)+1,FALSE)</f>
        <v>スカー襲来！</v>
      </c>
      <c r="D30" s="83" t="str">
        <f ca="1">VLOOKUP($B30,OFFSET([2]quests!$A$1,0,0,COUNTA([2]quests!$A:$A),MATCH(D$1,[2]quests!$1:$1,0)-MATCH($B$1,[2]quests!$1:$1,0)+1),MATCH(D$1,[2]quests!$1:$1,0)-MATCH($B$1,[2]quests!$1:$1,0)+1,FALSE)</f>
        <v>コラボ降臨11</v>
      </c>
      <c r="E30" s="196">
        <v>2</v>
      </c>
      <c r="F30" s="83" t="str">
        <f ca="1">VLOOKUP($B30&amp;"_"&amp;$E30,OFFSET([2]stages!$A$1,0,0,COUNTA([2]stages!$A:$A),MATCH(F$1,[2]stages!$2:$2,0)-MATCH("temp_stage",[2]stages!$2:$2,0)+1),MATCH(F$1,[2]stages!$2:$2,0)-MATCH("temp_stage",[2]stages!$2:$2,0)+1,FALSE)</f>
        <v>【超級】スカー襲来</v>
      </c>
      <c r="G30" s="83" t="str">
        <f ca="1">VLOOKUP($B30&amp;"_"&amp;$E30,OFFSET([2]stages!$A$1,0,0,COUNTA([2]stages!$A:$A),MATCH(G$1,[2]stages!$2:$2,0)-MATCH("temp_stage",[2]stages!$2:$2,0)+1),MATCH(G$1,[2]stages!$2:$2,0)-MATCH("temp_stage",[2]stages!$2:$2,0)+1,FALSE)</f>
        <v>コラボ降臨11</v>
      </c>
      <c r="H30" s="85">
        <v>0</v>
      </c>
      <c r="I30" s="90">
        <f t="shared" si="0"/>
        <v>29</v>
      </c>
      <c r="J30" s="86" t="str">
        <f t="shared" si="2"/>
        <v>4901529</v>
      </c>
      <c r="K30" s="84" t="s">
        <v>127</v>
      </c>
      <c r="L30" s="87" t="s">
        <v>401</v>
      </c>
      <c r="M30" s="150" t="s">
        <v>486</v>
      </c>
      <c r="N30" s="56" t="s">
        <v>198</v>
      </c>
    </row>
    <row r="31" spans="1:14" ht="71" thickBot="1" x14ac:dyDescent="0.2">
      <c r="A31" s="201" t="s">
        <v>403</v>
      </c>
      <c r="B31" s="202">
        <f>floors!$C$2</f>
        <v>49015</v>
      </c>
      <c r="C31" s="203" t="str">
        <f ca="1">VLOOKUP($B31,OFFSET([2]quests!$A$1,0,0,COUNTA([2]quests!$A:$A),MATCH(C$1,[2]quests!$1:$1,0)-MATCH($B$1,[2]quests!$1:$1,0)+1),MATCH(C$1,[2]quests!$1:$1,0)-MATCH($B$1,[2]quests!$1:$1,0)+1,FALSE)</f>
        <v>スカー襲来！</v>
      </c>
      <c r="D31" s="203" t="str">
        <f ca="1">VLOOKUP($B31,OFFSET([2]quests!$A$1,0,0,COUNTA([2]quests!$A:$A),MATCH(D$1,[2]quests!$1:$1,0)-MATCH($B$1,[2]quests!$1:$1,0)+1),MATCH(D$1,[2]quests!$1:$1,0)-MATCH($B$1,[2]quests!$1:$1,0)+1,FALSE)</f>
        <v>コラボ降臨11</v>
      </c>
      <c r="E31" s="204">
        <v>2</v>
      </c>
      <c r="F31" s="203" t="str">
        <f ca="1">VLOOKUP($B31&amp;"_"&amp;$E31,OFFSET([2]stages!$A$1,0,0,COUNTA([2]stages!$A:$A),MATCH(F$1,[2]stages!$2:$2,0)-MATCH("temp_stage",[2]stages!$2:$2,0)+1),MATCH(F$1,[2]stages!$2:$2,0)-MATCH("temp_stage",[2]stages!$2:$2,0)+1,FALSE)</f>
        <v>【超級】スカー襲来</v>
      </c>
      <c r="G31" s="203" t="str">
        <f ca="1">VLOOKUP($B31&amp;"_"&amp;$E31,OFFSET([2]stages!$A$1,0,0,COUNTA([2]stages!$A:$A),MATCH(G$1,[2]stages!$2:$2,0)-MATCH("temp_stage",[2]stages!$2:$2,0)+1),MATCH(G$1,[2]stages!$2:$2,0)-MATCH("temp_stage",[2]stages!$2:$2,0)+1,FALSE)</f>
        <v>コラボ降臨11</v>
      </c>
      <c r="H31" s="205">
        <v>0</v>
      </c>
      <c r="I31" s="206">
        <f t="shared" si="0"/>
        <v>30</v>
      </c>
      <c r="J31" s="207" t="str">
        <f t="shared" si="2"/>
        <v>4901530</v>
      </c>
      <c r="K31" s="204" t="s">
        <v>127</v>
      </c>
      <c r="L31" s="208" t="s">
        <v>402</v>
      </c>
      <c r="M31" s="209" t="s">
        <v>483</v>
      </c>
      <c r="N31" s="210" t="s">
        <v>198</v>
      </c>
    </row>
    <row r="32" spans="1:14" ht="56" x14ac:dyDescent="0.15">
      <c r="A32" s="194" t="s">
        <v>196</v>
      </c>
      <c r="B32" s="195">
        <f>floors!$C$2</f>
        <v>49015</v>
      </c>
      <c r="C32" s="83" t="str">
        <f ca="1">VLOOKUP($B32,OFFSET([2]quests!$A$1,0,0,COUNTA([2]quests!$A:$A),MATCH(C$1,[2]quests!$1:$1,0)-MATCH($B$1,[2]quests!$1:$1,0)+1),MATCH(C$1,[2]quests!$1:$1,0)-MATCH($B$1,[2]quests!$1:$1,0)+1,FALSE)</f>
        <v>スカー襲来！</v>
      </c>
      <c r="D32" s="83" t="str">
        <f ca="1">VLOOKUP($B32,OFFSET([2]quests!$A$1,0,0,COUNTA([2]quests!$A:$A),MATCH(D$1,[2]quests!$1:$1,0)-MATCH($B$1,[2]quests!$1:$1,0)+1),MATCH(D$1,[2]quests!$1:$1,0)-MATCH($B$1,[2]quests!$1:$1,0)+1,FALSE)</f>
        <v>コラボ降臨11</v>
      </c>
      <c r="E32" s="196">
        <v>1</v>
      </c>
      <c r="F32" s="83" t="str">
        <f ca="1">VLOOKUP($B32&amp;"_"&amp;$E32,OFFSET([2]stages!$A$1,0,0,COUNTA([2]stages!$A:$A),MATCH(F$1,[2]stages!$2:$2,0)-MATCH("temp_stage",[2]stages!$2:$2,0)+1),MATCH(F$1,[2]stages!$2:$2,0)-MATCH("temp_stage",[2]stages!$2:$2,0)+1,FALSE)</f>
        <v>【上級】スカー襲来</v>
      </c>
      <c r="G32" s="83" t="str">
        <f ca="1">VLOOKUP($B32&amp;"_"&amp;$E32,OFFSET([2]stages!$A$1,0,0,COUNTA([2]stages!$A:$A),MATCH(G$1,[2]stages!$2:$2,0)-MATCH("temp_stage",[2]stages!$2:$2,0)+1),MATCH(G$1,[2]stages!$2:$2,0)-MATCH("temp_stage",[2]stages!$2:$2,0)+1,FALSE)</f>
        <v>コラボ降臨11</v>
      </c>
      <c r="H32" s="85">
        <v>1</v>
      </c>
      <c r="I32" s="197">
        <f t="shared" si="0"/>
        <v>31</v>
      </c>
      <c r="J32" s="198" t="str">
        <f t="shared" si="2"/>
        <v>4901531</v>
      </c>
      <c r="K32" s="196" t="s">
        <v>127</v>
      </c>
      <c r="L32" s="199" t="s">
        <v>252</v>
      </c>
      <c r="M32" s="150" t="s">
        <v>487</v>
      </c>
      <c r="N32" s="200" t="s">
        <v>198</v>
      </c>
    </row>
    <row r="33" spans="1:14" ht="70" x14ac:dyDescent="0.15">
      <c r="A33" s="81" t="s">
        <v>196</v>
      </c>
      <c r="B33" s="82">
        <f>floors!$C$2</f>
        <v>49015</v>
      </c>
      <c r="C33" s="83" t="str">
        <f ca="1">VLOOKUP($B33,OFFSET([2]quests!$A$1,0,0,COUNTA([2]quests!$A:$A),MATCH(C$1,[2]quests!$1:$1,0)-MATCH($B$1,[2]quests!$1:$1,0)+1),MATCH(C$1,[2]quests!$1:$1,0)-MATCH($B$1,[2]quests!$1:$1,0)+1,FALSE)</f>
        <v>スカー襲来！</v>
      </c>
      <c r="D33" s="83" t="str">
        <f ca="1">VLOOKUP($B33,OFFSET([2]quests!$A$1,0,0,COUNTA([2]quests!$A:$A),MATCH(D$1,[2]quests!$1:$1,0)-MATCH($B$1,[2]quests!$1:$1,0)+1),MATCH(D$1,[2]quests!$1:$1,0)-MATCH($B$1,[2]quests!$1:$1,0)+1,FALSE)</f>
        <v>コラボ降臨11</v>
      </c>
      <c r="E33" s="196">
        <v>1</v>
      </c>
      <c r="F33" s="83" t="str">
        <f ca="1">VLOOKUP($B33&amp;"_"&amp;$E33,OFFSET([2]stages!$A$1,0,0,COUNTA([2]stages!$A:$A),MATCH(F$1,[2]stages!$2:$2,0)-MATCH("temp_stage",[2]stages!$2:$2,0)+1),MATCH(F$1,[2]stages!$2:$2,0)-MATCH("temp_stage",[2]stages!$2:$2,0)+1,FALSE)</f>
        <v>【上級】スカー襲来</v>
      </c>
      <c r="G33" s="83" t="str">
        <f ca="1">VLOOKUP($B33&amp;"_"&amp;$E33,OFFSET([2]stages!$A$1,0,0,COUNTA([2]stages!$A:$A),MATCH(G$1,[2]stages!$2:$2,0)-MATCH("temp_stage",[2]stages!$2:$2,0)+1),MATCH(G$1,[2]stages!$2:$2,0)-MATCH("temp_stage",[2]stages!$2:$2,0)+1,FALSE)</f>
        <v>コラボ降臨11</v>
      </c>
      <c r="H33" s="85">
        <v>1</v>
      </c>
      <c r="I33" s="90">
        <f t="shared" si="0"/>
        <v>32</v>
      </c>
      <c r="J33" s="86" t="str">
        <f t="shared" si="2"/>
        <v>4901532</v>
      </c>
      <c r="K33" s="84" t="s">
        <v>127</v>
      </c>
      <c r="L33" s="87" t="s">
        <v>252</v>
      </c>
      <c r="M33" s="150" t="s">
        <v>469</v>
      </c>
      <c r="N33" s="56" t="s">
        <v>198</v>
      </c>
    </row>
    <row r="34" spans="1:14" ht="70" x14ac:dyDescent="0.15">
      <c r="A34" s="81" t="s">
        <v>196</v>
      </c>
      <c r="B34" s="82">
        <f>floors!$C$2</f>
        <v>49015</v>
      </c>
      <c r="C34" s="83" t="str">
        <f ca="1">VLOOKUP($B34,OFFSET([2]quests!$A$1,0,0,COUNTA([2]quests!$A:$A),MATCH(C$1,[2]quests!$1:$1,0)-MATCH($B$1,[2]quests!$1:$1,0)+1),MATCH(C$1,[2]quests!$1:$1,0)-MATCH($B$1,[2]quests!$1:$1,0)+1,FALSE)</f>
        <v>スカー襲来！</v>
      </c>
      <c r="D34" s="83" t="str">
        <f ca="1">VLOOKUP($B34,OFFSET([2]quests!$A$1,0,0,COUNTA([2]quests!$A:$A),MATCH(D$1,[2]quests!$1:$1,0)-MATCH($B$1,[2]quests!$1:$1,0)+1),MATCH(D$1,[2]quests!$1:$1,0)-MATCH($B$1,[2]quests!$1:$1,0)+1,FALSE)</f>
        <v>コラボ降臨11</v>
      </c>
      <c r="E34" s="196">
        <v>1</v>
      </c>
      <c r="F34" s="83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【上級】スカー襲来</v>
      </c>
      <c r="G34" s="83" t="str">
        <f ca="1">VLOOKUP($B34&amp;"_"&amp;$E34,OFFSET([2]stages!$A$1,0,0,COUNTA([2]stages!$A:$A),MATCH(G$1,[2]stages!$2:$2,0)-MATCH("temp_stage",[2]stages!$2:$2,0)+1),MATCH(G$1,[2]stages!$2:$2,0)-MATCH("temp_stage",[2]stages!$2:$2,0)+1,FALSE)</f>
        <v>コラボ降臨11</v>
      </c>
      <c r="H34" s="85">
        <v>2</v>
      </c>
      <c r="I34" s="90">
        <f t="shared" si="0"/>
        <v>33</v>
      </c>
      <c r="J34" s="86" t="str">
        <f t="shared" si="2"/>
        <v>4901533</v>
      </c>
      <c r="K34" s="84" t="s">
        <v>127</v>
      </c>
      <c r="L34" s="87" t="s">
        <v>252</v>
      </c>
      <c r="M34" s="150" t="s">
        <v>470</v>
      </c>
      <c r="N34" s="56" t="s">
        <v>198</v>
      </c>
    </row>
    <row r="35" spans="1:14" ht="70" x14ac:dyDescent="0.15">
      <c r="A35" s="81" t="s">
        <v>196</v>
      </c>
      <c r="B35" s="82">
        <f>floors!$C$2</f>
        <v>49015</v>
      </c>
      <c r="C35" s="83" t="str">
        <f ca="1">VLOOKUP($B35,OFFSET([2]quests!$A$1,0,0,COUNTA([2]quests!$A:$A),MATCH(C$1,[2]quests!$1:$1,0)-MATCH($B$1,[2]quests!$1:$1,0)+1),MATCH(C$1,[2]quests!$1:$1,0)-MATCH($B$1,[2]quests!$1:$1,0)+1,FALSE)</f>
        <v>スカー襲来！</v>
      </c>
      <c r="D35" s="83" t="str">
        <f ca="1">VLOOKUP($B35,OFFSET([2]quests!$A$1,0,0,COUNTA([2]quests!$A:$A),MATCH(D$1,[2]quests!$1:$1,0)-MATCH($B$1,[2]quests!$1:$1,0)+1),MATCH(D$1,[2]quests!$1:$1,0)-MATCH($B$1,[2]quests!$1:$1,0)+1,FALSE)</f>
        <v>コラボ降臨11</v>
      </c>
      <c r="E35" s="196">
        <v>1</v>
      </c>
      <c r="F35" s="83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【上級】スカー襲来</v>
      </c>
      <c r="G35" s="83" t="str">
        <f ca="1">VLOOKUP($B35&amp;"_"&amp;$E35,OFFSET([2]stages!$A$1,0,0,COUNTA([2]stages!$A:$A),MATCH(G$1,[2]stages!$2:$2,0)-MATCH("temp_stage",[2]stages!$2:$2,0)+1),MATCH(G$1,[2]stages!$2:$2,0)-MATCH("temp_stage",[2]stages!$2:$2,0)+1,FALSE)</f>
        <v>コラボ降臨11</v>
      </c>
      <c r="H35" s="85">
        <v>2</v>
      </c>
      <c r="I35" s="90">
        <f t="shared" si="0"/>
        <v>34</v>
      </c>
      <c r="J35" s="86" t="str">
        <f t="shared" si="2"/>
        <v>4901534</v>
      </c>
      <c r="K35" s="84" t="s">
        <v>127</v>
      </c>
      <c r="L35" s="87" t="s">
        <v>252</v>
      </c>
      <c r="M35" s="150" t="s">
        <v>579</v>
      </c>
      <c r="N35" s="56" t="s">
        <v>198</v>
      </c>
    </row>
    <row r="36" spans="1:14" ht="56" x14ac:dyDescent="0.15">
      <c r="A36" s="81" t="s">
        <v>196</v>
      </c>
      <c r="B36" s="82">
        <f>floors!$C$2</f>
        <v>49015</v>
      </c>
      <c r="C36" s="83" t="str">
        <f ca="1">VLOOKUP($B36,OFFSET([2]quests!$A$1,0,0,COUNTA([2]quests!$A:$A),MATCH(C$1,[2]quests!$1:$1,0)-MATCH($B$1,[2]quests!$1:$1,0)+1),MATCH(C$1,[2]quests!$1:$1,0)-MATCH($B$1,[2]quests!$1:$1,0)+1,FALSE)</f>
        <v>スカー襲来！</v>
      </c>
      <c r="D36" s="83" t="str">
        <f ca="1">VLOOKUP($B36,OFFSET([2]quests!$A$1,0,0,COUNTA([2]quests!$A:$A),MATCH(D$1,[2]quests!$1:$1,0)-MATCH($B$1,[2]quests!$1:$1,0)+1),MATCH(D$1,[2]quests!$1:$1,0)-MATCH($B$1,[2]quests!$1:$1,0)+1,FALSE)</f>
        <v>コラボ降臨11</v>
      </c>
      <c r="E36" s="196">
        <v>1</v>
      </c>
      <c r="F36" s="83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【上級】スカー襲来</v>
      </c>
      <c r="G36" s="83" t="str">
        <f ca="1">VLOOKUP($B36&amp;"_"&amp;$E36,OFFSET([2]stages!$A$1,0,0,COUNTA([2]stages!$A:$A),MATCH(G$1,[2]stages!$2:$2,0)-MATCH("temp_stage",[2]stages!$2:$2,0)+1),MATCH(G$1,[2]stages!$2:$2,0)-MATCH("temp_stage",[2]stages!$2:$2,0)+1,FALSE)</f>
        <v>コラボ降臨11</v>
      </c>
      <c r="H36" s="85">
        <v>2</v>
      </c>
      <c r="I36" s="90">
        <f t="shared" si="0"/>
        <v>35</v>
      </c>
      <c r="J36" s="86" t="str">
        <f t="shared" si="2"/>
        <v>4901535</v>
      </c>
      <c r="K36" s="84" t="s">
        <v>127</v>
      </c>
      <c r="L36" s="87" t="s">
        <v>252</v>
      </c>
      <c r="M36" s="150" t="s">
        <v>471</v>
      </c>
      <c r="N36" s="56" t="s">
        <v>198</v>
      </c>
    </row>
    <row r="37" spans="1:14" ht="42" x14ac:dyDescent="0.15">
      <c r="A37" s="81" t="s">
        <v>196</v>
      </c>
      <c r="B37" s="82">
        <f>floors!$C$2</f>
        <v>49015</v>
      </c>
      <c r="C37" s="83" t="str">
        <f ca="1">VLOOKUP($B37,OFFSET([2]quests!$A$1,0,0,COUNTA([2]quests!$A:$A),MATCH(C$1,[2]quests!$1:$1,0)-MATCH($B$1,[2]quests!$1:$1,0)+1),MATCH(C$1,[2]quests!$1:$1,0)-MATCH($B$1,[2]quests!$1:$1,0)+1,FALSE)</f>
        <v>スカー襲来！</v>
      </c>
      <c r="D37" s="83" t="str">
        <f ca="1">VLOOKUP($B37,OFFSET([2]quests!$A$1,0,0,COUNTA([2]quests!$A:$A),MATCH(D$1,[2]quests!$1:$1,0)-MATCH($B$1,[2]quests!$1:$1,0)+1),MATCH(D$1,[2]quests!$1:$1,0)-MATCH($B$1,[2]quests!$1:$1,0)+1,FALSE)</f>
        <v>コラボ降臨11</v>
      </c>
      <c r="E37" s="196">
        <v>1</v>
      </c>
      <c r="F37" s="83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【上級】スカー襲来</v>
      </c>
      <c r="G37" s="83" t="str">
        <f ca="1">VLOOKUP($B37&amp;"_"&amp;$E37,OFFSET([2]stages!$A$1,0,0,COUNTA([2]stages!$A:$A),MATCH(G$1,[2]stages!$2:$2,0)-MATCH("temp_stage",[2]stages!$2:$2,0)+1),MATCH(G$1,[2]stages!$2:$2,0)-MATCH("temp_stage",[2]stages!$2:$2,0)+1,FALSE)</f>
        <v>コラボ降臨11</v>
      </c>
      <c r="H37" s="85">
        <v>3</v>
      </c>
      <c r="I37" s="90">
        <f t="shared" si="0"/>
        <v>36</v>
      </c>
      <c r="J37" s="86" t="str">
        <f t="shared" si="2"/>
        <v>4901536</v>
      </c>
      <c r="K37" s="84" t="s">
        <v>127</v>
      </c>
      <c r="L37" s="87" t="s">
        <v>252</v>
      </c>
      <c r="M37" s="150" t="s">
        <v>572</v>
      </c>
      <c r="N37" s="56" t="s">
        <v>198</v>
      </c>
    </row>
    <row r="38" spans="1:14" ht="42" x14ac:dyDescent="0.15">
      <c r="A38" s="81" t="s">
        <v>196</v>
      </c>
      <c r="B38" s="82">
        <f>floors!$C$2</f>
        <v>49015</v>
      </c>
      <c r="C38" s="83" t="str">
        <f ca="1">VLOOKUP($B38,OFFSET([2]quests!$A$1,0,0,COUNTA([2]quests!$A:$A),MATCH(C$1,[2]quests!$1:$1,0)-MATCH($B$1,[2]quests!$1:$1,0)+1),MATCH(C$1,[2]quests!$1:$1,0)-MATCH($B$1,[2]quests!$1:$1,0)+1,FALSE)</f>
        <v>スカー襲来！</v>
      </c>
      <c r="D38" s="83" t="str">
        <f ca="1">VLOOKUP($B38,OFFSET([2]quests!$A$1,0,0,COUNTA([2]quests!$A:$A),MATCH(D$1,[2]quests!$1:$1,0)-MATCH($B$1,[2]quests!$1:$1,0)+1),MATCH(D$1,[2]quests!$1:$1,0)-MATCH($B$1,[2]quests!$1:$1,0)+1,FALSE)</f>
        <v>コラボ降臨11</v>
      </c>
      <c r="E38" s="196">
        <v>1</v>
      </c>
      <c r="F38" s="83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【上級】スカー襲来</v>
      </c>
      <c r="G38" s="83" t="str">
        <f ca="1">VLOOKUP($B38&amp;"_"&amp;$E38,OFFSET([2]stages!$A$1,0,0,COUNTA([2]stages!$A:$A),MATCH(G$1,[2]stages!$2:$2,0)-MATCH("temp_stage",[2]stages!$2:$2,0)+1),MATCH(G$1,[2]stages!$2:$2,0)-MATCH("temp_stage",[2]stages!$2:$2,0)+1,FALSE)</f>
        <v>コラボ降臨11</v>
      </c>
      <c r="H38" s="85">
        <v>3</v>
      </c>
      <c r="I38" s="90">
        <f t="shared" si="0"/>
        <v>37</v>
      </c>
      <c r="J38" s="86" t="str">
        <f t="shared" si="2"/>
        <v>4901537</v>
      </c>
      <c r="K38" s="84" t="s">
        <v>127</v>
      </c>
      <c r="L38" s="87" t="s">
        <v>252</v>
      </c>
      <c r="M38" s="150" t="s">
        <v>472</v>
      </c>
      <c r="N38" s="56" t="s">
        <v>198</v>
      </c>
    </row>
    <row r="39" spans="1:14" ht="70" x14ac:dyDescent="0.15">
      <c r="A39" s="81" t="s">
        <v>196</v>
      </c>
      <c r="B39" s="82">
        <f>floors!$C$2</f>
        <v>49015</v>
      </c>
      <c r="C39" s="83" t="str">
        <f ca="1">VLOOKUP($B39,OFFSET([2]quests!$A$1,0,0,COUNTA([2]quests!$A:$A),MATCH(C$1,[2]quests!$1:$1,0)-MATCH($B$1,[2]quests!$1:$1,0)+1),MATCH(C$1,[2]quests!$1:$1,0)-MATCH($B$1,[2]quests!$1:$1,0)+1,FALSE)</f>
        <v>スカー襲来！</v>
      </c>
      <c r="D39" s="83" t="str">
        <f ca="1">VLOOKUP($B39,OFFSET([2]quests!$A$1,0,0,COUNTA([2]quests!$A:$A),MATCH(D$1,[2]quests!$1:$1,0)-MATCH($B$1,[2]quests!$1:$1,0)+1),MATCH(D$1,[2]quests!$1:$1,0)-MATCH($B$1,[2]quests!$1:$1,0)+1,FALSE)</f>
        <v>コラボ降臨11</v>
      </c>
      <c r="E39" s="196">
        <v>1</v>
      </c>
      <c r="F39" s="83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【上級】スカー襲来</v>
      </c>
      <c r="G39" s="83" t="str">
        <f ca="1">VLOOKUP($B39&amp;"_"&amp;$E39,OFFSET([2]stages!$A$1,0,0,COUNTA([2]stages!$A:$A),MATCH(G$1,[2]stages!$2:$2,0)-MATCH("temp_stage",[2]stages!$2:$2,0)+1),MATCH(G$1,[2]stages!$2:$2,0)-MATCH("temp_stage",[2]stages!$2:$2,0)+1,FALSE)</f>
        <v>コラボ降臨11</v>
      </c>
      <c r="H39" s="85">
        <v>4</v>
      </c>
      <c r="I39" s="90">
        <f t="shared" si="0"/>
        <v>38</v>
      </c>
      <c r="J39" s="86" t="str">
        <f t="shared" si="2"/>
        <v>4901538</v>
      </c>
      <c r="K39" s="84" t="s">
        <v>127</v>
      </c>
      <c r="L39" s="87" t="s">
        <v>252</v>
      </c>
      <c r="M39" s="150" t="s">
        <v>488</v>
      </c>
      <c r="N39" s="56" t="s">
        <v>198</v>
      </c>
    </row>
    <row r="40" spans="1:14" ht="56" x14ac:dyDescent="0.15">
      <c r="A40" s="81" t="s">
        <v>196</v>
      </c>
      <c r="B40" s="82">
        <f>floors!$C$2</f>
        <v>49015</v>
      </c>
      <c r="C40" s="83" t="str">
        <f ca="1">VLOOKUP($B40,OFFSET([2]quests!$A$1,0,0,COUNTA([2]quests!$A:$A),MATCH(C$1,[2]quests!$1:$1,0)-MATCH($B$1,[2]quests!$1:$1,0)+1),MATCH(C$1,[2]quests!$1:$1,0)-MATCH($B$1,[2]quests!$1:$1,0)+1,FALSE)</f>
        <v>スカー襲来！</v>
      </c>
      <c r="D40" s="83" t="str">
        <f ca="1">VLOOKUP($B40,OFFSET([2]quests!$A$1,0,0,COUNTA([2]quests!$A:$A),MATCH(D$1,[2]quests!$1:$1,0)-MATCH($B$1,[2]quests!$1:$1,0)+1),MATCH(D$1,[2]quests!$1:$1,0)-MATCH($B$1,[2]quests!$1:$1,0)+1,FALSE)</f>
        <v>コラボ降臨11</v>
      </c>
      <c r="E40" s="196">
        <v>1</v>
      </c>
      <c r="F40" s="83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【上級】スカー襲来</v>
      </c>
      <c r="G40" s="83" t="str">
        <f ca="1">VLOOKUP($B40&amp;"_"&amp;$E40,OFFSET([2]stages!$A$1,0,0,COUNTA([2]stages!$A:$A),MATCH(G$1,[2]stages!$2:$2,0)-MATCH("temp_stage",[2]stages!$2:$2,0)+1),MATCH(G$1,[2]stages!$2:$2,0)-MATCH("temp_stage",[2]stages!$2:$2,0)+1,FALSE)</f>
        <v>コラボ降臨11</v>
      </c>
      <c r="H40" s="85">
        <v>4</v>
      </c>
      <c r="I40" s="90">
        <f t="shared" si="0"/>
        <v>39</v>
      </c>
      <c r="J40" s="86" t="str">
        <f t="shared" si="2"/>
        <v>4901539</v>
      </c>
      <c r="K40" s="84" t="s">
        <v>127</v>
      </c>
      <c r="L40" s="87" t="s">
        <v>252</v>
      </c>
      <c r="M40" s="150" t="s">
        <v>473</v>
      </c>
      <c r="N40" s="56" t="s">
        <v>198</v>
      </c>
    </row>
    <row r="41" spans="1:14" ht="70" x14ac:dyDescent="0.15">
      <c r="A41" s="81" t="s">
        <v>196</v>
      </c>
      <c r="B41" s="82">
        <f>floors!$C$2</f>
        <v>49015</v>
      </c>
      <c r="C41" s="83" t="str">
        <f ca="1">VLOOKUP($B41,OFFSET([2]quests!$A$1,0,0,COUNTA([2]quests!$A:$A),MATCH(C$1,[2]quests!$1:$1,0)-MATCH($B$1,[2]quests!$1:$1,0)+1),MATCH(C$1,[2]quests!$1:$1,0)-MATCH($B$1,[2]quests!$1:$1,0)+1,FALSE)</f>
        <v>スカー襲来！</v>
      </c>
      <c r="D41" s="83" t="str">
        <f ca="1">VLOOKUP($B41,OFFSET([2]quests!$A$1,0,0,COUNTA([2]quests!$A:$A),MATCH(D$1,[2]quests!$1:$1,0)-MATCH($B$1,[2]quests!$1:$1,0)+1),MATCH(D$1,[2]quests!$1:$1,0)-MATCH($B$1,[2]quests!$1:$1,0)+1,FALSE)</f>
        <v>コラボ降臨11</v>
      </c>
      <c r="E41" s="196">
        <v>1</v>
      </c>
      <c r="F41" s="83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【上級】スカー襲来</v>
      </c>
      <c r="G41" s="83" t="str">
        <f ca="1">VLOOKUP($B41&amp;"_"&amp;$E41,OFFSET([2]stages!$A$1,0,0,COUNTA([2]stages!$A:$A),MATCH(G$1,[2]stages!$2:$2,0)-MATCH("temp_stage",[2]stages!$2:$2,0)+1),MATCH(G$1,[2]stages!$2:$2,0)-MATCH("temp_stage",[2]stages!$2:$2,0)+1,FALSE)</f>
        <v>コラボ降臨11</v>
      </c>
      <c r="H41" s="85">
        <v>4</v>
      </c>
      <c r="I41" s="90">
        <f t="shared" si="0"/>
        <v>40</v>
      </c>
      <c r="J41" s="86" t="str">
        <f t="shared" si="2"/>
        <v>4901540</v>
      </c>
      <c r="K41" s="84" t="s">
        <v>127</v>
      </c>
      <c r="L41" s="87" t="s">
        <v>252</v>
      </c>
      <c r="M41" s="150" t="s">
        <v>474</v>
      </c>
      <c r="N41" s="56" t="s">
        <v>198</v>
      </c>
    </row>
    <row r="42" spans="1:14" ht="70" x14ac:dyDescent="0.15">
      <c r="A42" s="81" t="s">
        <v>403</v>
      </c>
      <c r="B42" s="82">
        <f>floors!$C$2</f>
        <v>49015</v>
      </c>
      <c r="C42" s="83" t="str">
        <f ca="1">VLOOKUP($B42,OFFSET([2]quests!$A$1,0,0,COUNTA([2]quests!$A:$A),MATCH(C$1,[2]quests!$1:$1,0)-MATCH($B$1,[2]quests!$1:$1,0)+1),MATCH(C$1,[2]quests!$1:$1,0)-MATCH($B$1,[2]quests!$1:$1,0)+1,FALSE)</f>
        <v>スカー襲来！</v>
      </c>
      <c r="D42" s="83" t="str">
        <f ca="1">VLOOKUP($B42,OFFSET([2]quests!$A$1,0,0,COUNTA([2]quests!$A:$A),MATCH(D$1,[2]quests!$1:$1,0)-MATCH($B$1,[2]quests!$1:$1,0)+1),MATCH(D$1,[2]quests!$1:$1,0)-MATCH($B$1,[2]quests!$1:$1,0)+1,FALSE)</f>
        <v>コラボ降臨11</v>
      </c>
      <c r="E42" s="196">
        <v>1</v>
      </c>
      <c r="F42" s="83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【上級】スカー襲来</v>
      </c>
      <c r="G42" s="83" t="str">
        <f ca="1">VLOOKUP($B42&amp;"_"&amp;$E42,OFFSET([2]stages!$A$1,0,0,COUNTA([2]stages!$A:$A),MATCH(G$1,[2]stages!$2:$2,0)-MATCH("temp_stage",[2]stages!$2:$2,0)+1),MATCH(G$1,[2]stages!$2:$2,0)-MATCH("temp_stage",[2]stages!$2:$2,0)+1,FALSE)</f>
        <v>コラボ降臨11</v>
      </c>
      <c r="H42" s="85">
        <v>0</v>
      </c>
      <c r="I42" s="90">
        <f t="shared" si="0"/>
        <v>41</v>
      </c>
      <c r="J42" s="86" t="str">
        <f t="shared" si="2"/>
        <v>4901541</v>
      </c>
      <c r="K42" s="84" t="s">
        <v>127</v>
      </c>
      <c r="L42" s="151" t="s">
        <v>398</v>
      </c>
      <c r="M42" s="150" t="s">
        <v>484</v>
      </c>
      <c r="N42" s="56" t="s">
        <v>198</v>
      </c>
    </row>
    <row r="43" spans="1:14" ht="56" x14ac:dyDescent="0.15">
      <c r="A43" s="81" t="s">
        <v>403</v>
      </c>
      <c r="B43" s="82">
        <f>floors!$C$2</f>
        <v>49015</v>
      </c>
      <c r="C43" s="83" t="str">
        <f ca="1">VLOOKUP($B43,OFFSET([2]quests!$A$1,0,0,COUNTA([2]quests!$A:$A),MATCH(C$1,[2]quests!$1:$1,0)-MATCH($B$1,[2]quests!$1:$1,0)+1),MATCH(C$1,[2]quests!$1:$1,0)-MATCH($B$1,[2]quests!$1:$1,0)+1,FALSE)</f>
        <v>スカー襲来！</v>
      </c>
      <c r="D43" s="83" t="str">
        <f ca="1">VLOOKUP($B43,OFFSET([2]quests!$A$1,0,0,COUNTA([2]quests!$A:$A),MATCH(D$1,[2]quests!$1:$1,0)-MATCH($B$1,[2]quests!$1:$1,0)+1),MATCH(D$1,[2]quests!$1:$1,0)-MATCH($B$1,[2]quests!$1:$1,0)+1,FALSE)</f>
        <v>コラボ降臨11</v>
      </c>
      <c r="E43" s="196">
        <v>1</v>
      </c>
      <c r="F43" s="83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【上級】スカー襲来</v>
      </c>
      <c r="G43" s="83" t="str">
        <f ca="1">VLOOKUP($B43&amp;"_"&amp;$E43,OFFSET([2]stages!$A$1,0,0,COUNTA([2]stages!$A:$A),MATCH(G$1,[2]stages!$2:$2,0)-MATCH("temp_stage",[2]stages!$2:$2,0)+1),MATCH(G$1,[2]stages!$2:$2,0)-MATCH("temp_stage",[2]stages!$2:$2,0)+1,FALSE)</f>
        <v>コラボ降臨11</v>
      </c>
      <c r="H43" s="85">
        <v>0</v>
      </c>
      <c r="I43" s="90">
        <f t="shared" si="0"/>
        <v>42</v>
      </c>
      <c r="J43" s="86" t="str">
        <f t="shared" si="2"/>
        <v>4901542</v>
      </c>
      <c r="K43" s="84" t="s">
        <v>127</v>
      </c>
      <c r="L43" s="87" t="s">
        <v>399</v>
      </c>
      <c r="M43" s="150" t="s">
        <v>482</v>
      </c>
      <c r="N43" s="56" t="s">
        <v>198</v>
      </c>
    </row>
    <row r="44" spans="1:14" ht="70" x14ac:dyDescent="0.15">
      <c r="A44" s="81" t="s">
        <v>403</v>
      </c>
      <c r="B44" s="82">
        <f>floors!$C$2</f>
        <v>49015</v>
      </c>
      <c r="C44" s="83" t="str">
        <f ca="1">VLOOKUP($B44,OFFSET([2]quests!$A$1,0,0,COUNTA([2]quests!$A:$A),MATCH(C$1,[2]quests!$1:$1,0)-MATCH($B$1,[2]quests!$1:$1,0)+1),MATCH(C$1,[2]quests!$1:$1,0)-MATCH($B$1,[2]quests!$1:$1,0)+1,FALSE)</f>
        <v>スカー襲来！</v>
      </c>
      <c r="D44" s="83" t="str">
        <f ca="1">VLOOKUP($B44,OFFSET([2]quests!$A$1,0,0,COUNTA([2]quests!$A:$A),MATCH(D$1,[2]quests!$1:$1,0)-MATCH($B$1,[2]quests!$1:$1,0)+1),MATCH(D$1,[2]quests!$1:$1,0)-MATCH($B$1,[2]quests!$1:$1,0)+1,FALSE)</f>
        <v>コラボ降臨11</v>
      </c>
      <c r="E44" s="196">
        <v>1</v>
      </c>
      <c r="F44" s="83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【上級】スカー襲来</v>
      </c>
      <c r="G44" s="83" t="str">
        <f ca="1">VLOOKUP($B44&amp;"_"&amp;$E44,OFFSET([2]stages!$A$1,0,0,COUNTA([2]stages!$A:$A),MATCH(G$1,[2]stages!$2:$2,0)-MATCH("temp_stage",[2]stages!$2:$2,0)+1),MATCH(G$1,[2]stages!$2:$2,0)-MATCH("temp_stage",[2]stages!$2:$2,0)+1,FALSE)</f>
        <v>コラボ降臨11</v>
      </c>
      <c r="H44" s="85">
        <v>0</v>
      </c>
      <c r="I44" s="90">
        <f t="shared" si="0"/>
        <v>43</v>
      </c>
      <c r="J44" s="86" t="str">
        <f t="shared" si="2"/>
        <v>4901543</v>
      </c>
      <c r="K44" s="84" t="s">
        <v>127</v>
      </c>
      <c r="L44" s="87" t="s">
        <v>400</v>
      </c>
      <c r="M44" s="150" t="s">
        <v>485</v>
      </c>
      <c r="N44" s="56" t="s">
        <v>198</v>
      </c>
    </row>
    <row r="45" spans="1:14" ht="56" x14ac:dyDescent="0.15">
      <c r="A45" s="81" t="s">
        <v>403</v>
      </c>
      <c r="B45" s="82">
        <f>floors!$C$2</f>
        <v>49015</v>
      </c>
      <c r="C45" s="83" t="str">
        <f ca="1">VLOOKUP($B45,OFFSET([2]quests!$A$1,0,0,COUNTA([2]quests!$A:$A),MATCH(C$1,[2]quests!$1:$1,0)-MATCH($B$1,[2]quests!$1:$1,0)+1),MATCH(C$1,[2]quests!$1:$1,0)-MATCH($B$1,[2]quests!$1:$1,0)+1,FALSE)</f>
        <v>スカー襲来！</v>
      </c>
      <c r="D45" s="83" t="str">
        <f ca="1">VLOOKUP($B45,OFFSET([2]quests!$A$1,0,0,COUNTA([2]quests!$A:$A),MATCH(D$1,[2]quests!$1:$1,0)-MATCH($B$1,[2]quests!$1:$1,0)+1),MATCH(D$1,[2]quests!$1:$1,0)-MATCH($B$1,[2]quests!$1:$1,0)+1,FALSE)</f>
        <v>コラボ降臨11</v>
      </c>
      <c r="E45" s="196">
        <v>1</v>
      </c>
      <c r="F45" s="83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【上級】スカー襲来</v>
      </c>
      <c r="G45" s="83" t="str">
        <f ca="1">VLOOKUP($B45&amp;"_"&amp;$E45,OFFSET([2]stages!$A$1,0,0,COUNTA([2]stages!$A:$A),MATCH(G$1,[2]stages!$2:$2,0)-MATCH("temp_stage",[2]stages!$2:$2,0)+1),MATCH(G$1,[2]stages!$2:$2,0)-MATCH("temp_stage",[2]stages!$2:$2,0)+1,FALSE)</f>
        <v>コラボ降臨11</v>
      </c>
      <c r="H45" s="85">
        <v>0</v>
      </c>
      <c r="I45" s="90">
        <f t="shared" si="0"/>
        <v>44</v>
      </c>
      <c r="J45" s="86" t="str">
        <f t="shared" si="2"/>
        <v>4901544</v>
      </c>
      <c r="K45" s="84" t="s">
        <v>127</v>
      </c>
      <c r="L45" s="87" t="s">
        <v>401</v>
      </c>
      <c r="M45" s="150" t="s">
        <v>486</v>
      </c>
      <c r="N45" s="56" t="s">
        <v>198</v>
      </c>
    </row>
    <row r="46" spans="1:14" ht="71" thickBot="1" x14ac:dyDescent="0.2">
      <c r="A46" s="81" t="s">
        <v>403</v>
      </c>
      <c r="B46" s="82">
        <f>floors!$C$2</f>
        <v>49015</v>
      </c>
      <c r="C46" s="83" t="str">
        <f ca="1">VLOOKUP($B46,OFFSET([2]quests!$A$1,0,0,COUNTA([2]quests!$A:$A),MATCH(C$1,[2]quests!$1:$1,0)-MATCH($B$1,[2]quests!$1:$1,0)+1),MATCH(C$1,[2]quests!$1:$1,0)-MATCH($B$1,[2]quests!$1:$1,0)+1,FALSE)</f>
        <v>スカー襲来！</v>
      </c>
      <c r="D46" s="83" t="str">
        <f ca="1">VLOOKUP($B46,OFFSET([2]quests!$A$1,0,0,COUNTA([2]quests!$A:$A),MATCH(D$1,[2]quests!$1:$1,0)-MATCH($B$1,[2]quests!$1:$1,0)+1),MATCH(D$1,[2]quests!$1:$1,0)-MATCH($B$1,[2]quests!$1:$1,0)+1,FALSE)</f>
        <v>コラボ降臨11</v>
      </c>
      <c r="E46" s="196">
        <v>1</v>
      </c>
      <c r="F46" s="83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【上級】スカー襲来</v>
      </c>
      <c r="G46" s="83" t="str">
        <f ca="1">VLOOKUP($B46&amp;"_"&amp;$E46,OFFSET([2]stages!$A$1,0,0,COUNTA([2]stages!$A:$A),MATCH(G$1,[2]stages!$2:$2,0)-MATCH("temp_stage",[2]stages!$2:$2,0)+1),MATCH(G$1,[2]stages!$2:$2,0)-MATCH("temp_stage",[2]stages!$2:$2,0)+1,FALSE)</f>
        <v>コラボ降臨11</v>
      </c>
      <c r="H46" s="85">
        <v>0</v>
      </c>
      <c r="I46" s="90">
        <f t="shared" si="0"/>
        <v>45</v>
      </c>
      <c r="J46" s="86" t="str">
        <f t="shared" si="2"/>
        <v>4901545</v>
      </c>
      <c r="K46" s="84" t="s">
        <v>127</v>
      </c>
      <c r="L46" s="87" t="s">
        <v>402</v>
      </c>
      <c r="M46" s="209" t="s">
        <v>483</v>
      </c>
      <c r="N46" s="56" t="s">
        <v>198</v>
      </c>
    </row>
  </sheetData>
  <phoneticPr fontId="5"/>
  <dataValidations count="1">
    <dataValidation type="list" allowBlank="1" showInputMessage="1" showErrorMessage="1" sqref="A2:A4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G2" sqref="G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210</v>
      </c>
      <c r="B1" s="95" t="s">
        <v>211</v>
      </c>
      <c r="C1" s="77" t="s">
        <v>212</v>
      </c>
      <c r="D1" s="77" t="s">
        <v>33</v>
      </c>
      <c r="E1" s="95" t="s">
        <v>213</v>
      </c>
      <c r="F1" s="77" t="s">
        <v>214</v>
      </c>
      <c r="G1" s="77" t="s">
        <v>33</v>
      </c>
      <c r="H1" s="95" t="s">
        <v>215</v>
      </c>
      <c r="I1" s="95" t="s">
        <v>216</v>
      </c>
      <c r="J1" s="95" t="s">
        <v>217</v>
      </c>
      <c r="K1" s="73" t="s">
        <v>218</v>
      </c>
      <c r="L1" s="73" t="s">
        <v>219</v>
      </c>
      <c r="M1" s="73" t="s">
        <v>156</v>
      </c>
      <c r="N1" s="77" t="s">
        <v>16</v>
      </c>
      <c r="O1" s="73" t="s">
        <v>220</v>
      </c>
      <c r="P1" s="73" t="s">
        <v>56</v>
      </c>
      <c r="Q1" s="73" t="s">
        <v>221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222</v>
      </c>
      <c r="X1" s="73" t="s">
        <v>223</v>
      </c>
    </row>
    <row r="2" spans="1:24" x14ac:dyDescent="0.15">
      <c r="A2" s="96" t="str">
        <f>B2&amp;"_"&amp;E2&amp;"_"&amp;H2&amp;"_"&amp;I2&amp;"_"&amp;J2</f>
        <v>49015_3_everyone_full_member_1</v>
      </c>
      <c r="B2" s="82">
        <v>49015</v>
      </c>
      <c r="C2" s="83" t="str">
        <f ca="1">VLOOKUP($B2,OFFSET([2]quests!$A$1,0,0,COUNTA([2]quests!$A:$A),MATCH(C$1,[2]quests!$1:$1,0)-MATCH($B$1,[2]quests!$1:$1,0)+1),MATCH(C$1,[2]quests!$1:$1,0)-MATCH($B$1,[2]quests!$1:$1,0)+1,FALSE)</f>
        <v>スカー襲来！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コラボ降臨11</v>
      </c>
      <c r="E2" s="84">
        <v>3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【ウィザード級】スカー襲来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コラボ降臨11</v>
      </c>
      <c r="H2" s="85" t="s">
        <v>224</v>
      </c>
      <c r="I2" s="84" t="s">
        <v>573</v>
      </c>
      <c r="J2" s="84">
        <v>1</v>
      </c>
      <c r="K2" s="84">
        <v>1000</v>
      </c>
      <c r="L2" s="84" t="s">
        <v>225</v>
      </c>
      <c r="M2" s="84">
        <v>1466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スカー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226</v>
      </c>
      <c r="X2" s="99" t="s">
        <v>227</v>
      </c>
    </row>
    <row r="3" spans="1:24" x14ac:dyDescent="0.15">
      <c r="A3" s="96" t="str">
        <f>B3&amp;"_"&amp;E3&amp;"_"&amp;H3&amp;"_"&amp;I3&amp;"_"&amp;J3</f>
        <v>49015_3_everyone_no_continue_1</v>
      </c>
      <c r="B3" s="82">
        <v>49015</v>
      </c>
      <c r="C3" s="83" t="str">
        <f ca="1">VLOOKUP($B3,OFFSET([2]quests!$A$1,0,0,COUNTA([2]quests!$A:$A),MATCH(C$1,[2]quests!$1:$1,0)-MATCH($B$1,[2]quests!$1:$1,0)+1),MATCH(C$1,[2]quests!$1:$1,0)-MATCH($B$1,[2]quests!$1:$1,0)+1,FALSE)</f>
        <v>スカー襲来！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コラボ降臨11</v>
      </c>
      <c r="E3" s="84">
        <v>3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【ウィザード級】スカー襲来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コラボ降臨11</v>
      </c>
      <c r="H3" s="85" t="s">
        <v>224</v>
      </c>
      <c r="I3" s="84" t="s">
        <v>228</v>
      </c>
      <c r="J3" s="84">
        <v>1</v>
      </c>
      <c r="K3" s="84">
        <v>1000</v>
      </c>
      <c r="L3" s="84" t="s">
        <v>225</v>
      </c>
      <c r="M3" s="84">
        <v>1466</v>
      </c>
      <c r="N3" s="97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スカー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8" t="s">
        <v>226</v>
      </c>
      <c r="X3" s="99" t="s">
        <v>227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2017-05-22T08:26:16Z</dcterms:modified>
</cp:coreProperties>
</file>