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 codeName="{00000000-0000-0000-0000-000000000000}"/>
  <workbookPr codeName="ThisWorkbook" autoCompressPictures="0"/>
  <bookViews>
    <workbookView xWindow="0" yWindow="0" windowWidth="25600" windowHeight="14080" tabRatio="740" firstSheet="3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enemy_habitat_S!$B$1:$Y$3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1" l="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G2" i="10"/>
  <c r="H2" i="10"/>
  <c r="I2" i="10"/>
  <c r="J2" i="10"/>
  <c r="K2" i="10"/>
  <c r="L2" i="10"/>
  <c r="M2" i="10"/>
  <c r="M12" i="10"/>
  <c r="M22" i="10"/>
  <c r="M32" i="10"/>
  <c r="M42" i="10"/>
  <c r="M52" i="10"/>
  <c r="M62" i="10"/>
  <c r="N62" i="10"/>
  <c r="Q62" i="10"/>
  <c r="P62" i="10"/>
  <c r="R62" i="10"/>
  <c r="O62" i="10"/>
  <c r="S62" i="10"/>
  <c r="N52" i="10"/>
  <c r="Q52" i="10"/>
  <c r="P52" i="10"/>
  <c r="R52" i="10"/>
  <c r="O52" i="10"/>
  <c r="S52" i="10"/>
  <c r="N42" i="10"/>
  <c r="Q42" i="10"/>
  <c r="P42" i="10"/>
  <c r="R42" i="10"/>
  <c r="O42" i="10"/>
  <c r="S42" i="10"/>
  <c r="N32" i="10"/>
  <c r="Q32" i="10"/>
  <c r="P32" i="10"/>
  <c r="R32" i="10"/>
  <c r="O32" i="10"/>
  <c r="S32" i="10"/>
  <c r="N22" i="10"/>
  <c r="Q22" i="10"/>
  <c r="P22" i="10"/>
  <c r="R22" i="10"/>
  <c r="O22" i="10"/>
  <c r="S22" i="10"/>
  <c r="N12" i="10"/>
  <c r="Q12" i="10"/>
  <c r="P12" i="10"/>
  <c r="R12" i="10"/>
  <c r="O12" i="10"/>
  <c r="S12" i="10"/>
  <c r="N2" i="10"/>
  <c r="O2" i="10"/>
  <c r="P2" i="10"/>
  <c r="Q2" i="10"/>
  <c r="R2" i="10"/>
  <c r="S2" i="10"/>
  <c r="T2" i="10"/>
  <c r="U2" i="10"/>
  <c r="V2" i="10"/>
  <c r="W2" i="10"/>
  <c r="X2" i="10"/>
  <c r="Y2" i="10"/>
  <c r="G3" i="10"/>
  <c r="H3" i="10"/>
  <c r="I3" i="10"/>
  <c r="J3" i="10"/>
  <c r="K3" i="10"/>
  <c r="L3" i="10"/>
  <c r="M3" i="10"/>
  <c r="M13" i="10"/>
  <c r="M23" i="10"/>
  <c r="M33" i="10"/>
  <c r="M43" i="10"/>
  <c r="M53" i="10"/>
  <c r="M63" i="10"/>
  <c r="N63" i="10"/>
  <c r="Q63" i="10"/>
  <c r="P63" i="10"/>
  <c r="R63" i="10"/>
  <c r="O63" i="10"/>
  <c r="S63" i="10"/>
  <c r="N53" i="10"/>
  <c r="Q53" i="10"/>
  <c r="P53" i="10"/>
  <c r="R53" i="10"/>
  <c r="O53" i="10"/>
  <c r="S53" i="10"/>
  <c r="N43" i="10"/>
  <c r="Q43" i="10"/>
  <c r="P43" i="10"/>
  <c r="R43" i="10"/>
  <c r="O43" i="10"/>
  <c r="S43" i="10"/>
  <c r="N33" i="10"/>
  <c r="Q33" i="10"/>
  <c r="P33" i="10"/>
  <c r="R33" i="10"/>
  <c r="O33" i="10"/>
  <c r="S33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M24" i="10"/>
  <c r="M34" i="10"/>
  <c r="M44" i="10"/>
  <c r="M54" i="10"/>
  <c r="M64" i="10"/>
  <c r="N64" i="10"/>
  <c r="Q64" i="10"/>
  <c r="P64" i="10"/>
  <c r="R64" i="10"/>
  <c r="O64" i="10"/>
  <c r="S64" i="10"/>
  <c r="N54" i="10"/>
  <c r="Q54" i="10"/>
  <c r="P54" i="10"/>
  <c r="R54" i="10"/>
  <c r="O54" i="10"/>
  <c r="S54" i="10"/>
  <c r="N44" i="10"/>
  <c r="Q44" i="10"/>
  <c r="P44" i="10"/>
  <c r="R44" i="10"/>
  <c r="O44" i="10"/>
  <c r="S44" i="10"/>
  <c r="N34" i="10"/>
  <c r="Q34" i="10"/>
  <c r="P34" i="10"/>
  <c r="R34" i="10"/>
  <c r="O34" i="10"/>
  <c r="S3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M25" i="10"/>
  <c r="M35" i="10"/>
  <c r="M45" i="10"/>
  <c r="M55" i="10"/>
  <c r="M65" i="10"/>
  <c r="N65" i="10"/>
  <c r="Q65" i="10"/>
  <c r="P65" i="10"/>
  <c r="R65" i="10"/>
  <c r="O65" i="10"/>
  <c r="S65" i="10"/>
  <c r="N55" i="10"/>
  <c r="Q55" i="10"/>
  <c r="P55" i="10"/>
  <c r="R55" i="10"/>
  <c r="O55" i="10"/>
  <c r="S55" i="10"/>
  <c r="N45" i="10"/>
  <c r="Q45" i="10"/>
  <c r="P45" i="10"/>
  <c r="R45" i="10"/>
  <c r="O45" i="10"/>
  <c r="S45" i="10"/>
  <c r="N35" i="10"/>
  <c r="Q35" i="10"/>
  <c r="P35" i="10"/>
  <c r="R35" i="10"/>
  <c r="O35" i="10"/>
  <c r="S3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M26" i="10"/>
  <c r="M36" i="10"/>
  <c r="M46" i="10"/>
  <c r="M56" i="10"/>
  <c r="M66" i="10"/>
  <c r="N66" i="10"/>
  <c r="Q66" i="10"/>
  <c r="P66" i="10"/>
  <c r="R66" i="10"/>
  <c r="O66" i="10"/>
  <c r="S66" i="10"/>
  <c r="N56" i="10"/>
  <c r="Q56" i="10"/>
  <c r="P56" i="10"/>
  <c r="R56" i="10"/>
  <c r="O56" i="10"/>
  <c r="S56" i="10"/>
  <c r="N46" i="10"/>
  <c r="Q46" i="10"/>
  <c r="P46" i="10"/>
  <c r="R46" i="10"/>
  <c r="O46" i="10"/>
  <c r="S46" i="10"/>
  <c r="N36" i="10"/>
  <c r="Q36" i="10"/>
  <c r="P36" i="10"/>
  <c r="R36" i="10"/>
  <c r="O36" i="10"/>
  <c r="S3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9" i="10"/>
  <c r="H9" i="10"/>
  <c r="I9" i="10"/>
  <c r="J9" i="10"/>
  <c r="K9" i="10"/>
  <c r="L9" i="10"/>
  <c r="M9" i="10"/>
  <c r="M19" i="10"/>
  <c r="M29" i="10"/>
  <c r="M39" i="10"/>
  <c r="M49" i="10"/>
  <c r="M59" i="10"/>
  <c r="N59" i="10"/>
  <c r="Q59" i="10"/>
  <c r="P59" i="10"/>
  <c r="R59" i="10"/>
  <c r="O59" i="10"/>
  <c r="S59" i="10"/>
  <c r="N49" i="10"/>
  <c r="Q49" i="10"/>
  <c r="P49" i="10"/>
  <c r="R49" i="10"/>
  <c r="O49" i="10"/>
  <c r="S49" i="10"/>
  <c r="N39" i="10"/>
  <c r="Q39" i="10"/>
  <c r="P39" i="10"/>
  <c r="R39" i="10"/>
  <c r="O39" i="10"/>
  <c r="S39" i="10"/>
  <c r="N29" i="10"/>
  <c r="Q29" i="10"/>
  <c r="P29" i="10"/>
  <c r="R29" i="10"/>
  <c r="O29" i="10"/>
  <c r="S2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M30" i="10"/>
  <c r="M40" i="10"/>
  <c r="M50" i="10"/>
  <c r="M60" i="10"/>
  <c r="N60" i="10"/>
  <c r="Q60" i="10"/>
  <c r="P60" i="10"/>
  <c r="R60" i="10"/>
  <c r="O60" i="10"/>
  <c r="S60" i="10"/>
  <c r="N50" i="10"/>
  <c r="Q50" i="10"/>
  <c r="P50" i="10"/>
  <c r="R50" i="10"/>
  <c r="O50" i="10"/>
  <c r="S50" i="10"/>
  <c r="N40" i="10"/>
  <c r="Q40" i="10"/>
  <c r="P40" i="10"/>
  <c r="R40" i="10"/>
  <c r="O40" i="10"/>
  <c r="S40" i="10"/>
  <c r="N30" i="10"/>
  <c r="Q30" i="10"/>
  <c r="P30" i="10"/>
  <c r="R30" i="10"/>
  <c r="O30" i="10"/>
  <c r="S3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M31" i="10"/>
  <c r="M41" i="10"/>
  <c r="M51" i="10"/>
  <c r="M61" i="10"/>
  <c r="N61" i="10"/>
  <c r="Q61" i="10"/>
  <c r="P61" i="10"/>
  <c r="R61" i="10"/>
  <c r="O61" i="10"/>
  <c r="S61" i="10"/>
  <c r="N51" i="10"/>
  <c r="Q51" i="10"/>
  <c r="P51" i="10"/>
  <c r="R51" i="10"/>
  <c r="O51" i="10"/>
  <c r="S51" i="10"/>
  <c r="N41" i="10"/>
  <c r="Q41" i="10"/>
  <c r="P41" i="10"/>
  <c r="R41" i="10"/>
  <c r="O41" i="10"/>
  <c r="S41" i="10"/>
  <c r="N31" i="10"/>
  <c r="Q31" i="10"/>
  <c r="P31" i="10"/>
  <c r="R31" i="10"/>
  <c r="O31" i="10"/>
  <c r="S3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J60" i="11"/>
  <c r="O25" i="9"/>
  <c r="N25" i="9"/>
  <c r="M25" i="9"/>
  <c r="L25" i="9"/>
  <c r="K25" i="9"/>
  <c r="J25" i="9"/>
  <c r="I25" i="9"/>
  <c r="H25" i="9"/>
  <c r="G25" i="9"/>
  <c r="E25" i="9"/>
  <c r="D25" i="9"/>
  <c r="A25" i="9"/>
  <c r="J59" i="11"/>
  <c r="O24" i="9"/>
  <c r="N24" i="9"/>
  <c r="M24" i="9"/>
  <c r="L24" i="9"/>
  <c r="K24" i="9"/>
  <c r="J24" i="9"/>
  <c r="I24" i="9"/>
  <c r="H24" i="9"/>
  <c r="G24" i="9"/>
  <c r="E24" i="9"/>
  <c r="D24" i="9"/>
  <c r="A24" i="9"/>
  <c r="J58" i="11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J49" i="11"/>
  <c r="O19" i="9"/>
  <c r="N19" i="9"/>
  <c r="M19" i="9"/>
  <c r="L19" i="9"/>
  <c r="K19" i="9"/>
  <c r="J19" i="9"/>
  <c r="I19" i="9"/>
  <c r="H19" i="9"/>
  <c r="G19" i="9"/>
  <c r="E19" i="9"/>
  <c r="D19" i="9"/>
  <c r="A19" i="9"/>
  <c r="J48" i="11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J39" i="11"/>
  <c r="O16" i="9"/>
  <c r="N16" i="9"/>
  <c r="M16" i="9"/>
  <c r="L16" i="9"/>
  <c r="K16" i="9"/>
  <c r="J16" i="9"/>
  <c r="I16" i="9"/>
  <c r="H16" i="9"/>
  <c r="G16" i="9"/>
  <c r="E16" i="9"/>
  <c r="D16" i="9"/>
  <c r="A16" i="9"/>
  <c r="J38" i="11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J33" i="11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J27" i="11"/>
  <c r="O11" i="9"/>
  <c r="N11" i="9"/>
  <c r="M11" i="9"/>
  <c r="L11" i="9"/>
  <c r="K11" i="9"/>
  <c r="J11" i="9"/>
  <c r="I11" i="9"/>
  <c r="H11" i="9"/>
  <c r="G11" i="9"/>
  <c r="E11" i="9"/>
  <c r="D11" i="9"/>
  <c r="A11" i="9"/>
  <c r="J25" i="11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J23" i="11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J19" i="11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J17" i="11"/>
  <c r="O4" i="9"/>
  <c r="N4" i="9"/>
  <c r="M4" i="9"/>
  <c r="L4" i="9"/>
  <c r="K4" i="9"/>
  <c r="J4" i="9"/>
  <c r="I4" i="9"/>
  <c r="H4" i="9"/>
  <c r="G4" i="9"/>
  <c r="E4" i="9"/>
  <c r="D4" i="9"/>
  <c r="A4" i="9"/>
  <c r="J12" i="11"/>
  <c r="O3" i="9"/>
  <c r="N3" i="9"/>
  <c r="M3" i="9"/>
  <c r="L3" i="9"/>
  <c r="K3" i="9"/>
  <c r="J3" i="9"/>
  <c r="I3" i="9"/>
  <c r="H3" i="9"/>
  <c r="G3" i="9"/>
  <c r="E3" i="9"/>
  <c r="D3" i="9"/>
  <c r="A3" i="9"/>
  <c r="J8" i="11"/>
  <c r="O2" i="9"/>
  <c r="N2" i="9"/>
  <c r="M2" i="9"/>
  <c r="L2" i="9"/>
  <c r="K2" i="9"/>
  <c r="J2" i="9"/>
  <c r="I2" i="9"/>
  <c r="H2" i="9"/>
  <c r="G2" i="9"/>
  <c r="E2" i="9"/>
  <c r="D2" i="9"/>
  <c r="A2" i="9"/>
  <c r="J66" i="11"/>
  <c r="J65" i="11"/>
  <c r="J64" i="11"/>
  <c r="J63" i="11"/>
  <c r="J62" i="11"/>
  <c r="J61" i="11"/>
  <c r="J57" i="11"/>
  <c r="J56" i="11"/>
  <c r="J55" i="11"/>
  <c r="J54" i="11"/>
  <c r="J53" i="11"/>
  <c r="J52" i="11"/>
  <c r="J51" i="11"/>
  <c r="J50" i="11"/>
  <c r="J47" i="11"/>
  <c r="J46" i="11"/>
  <c r="J45" i="11"/>
  <c r="J44" i="11"/>
  <c r="J43" i="11"/>
  <c r="J42" i="11"/>
  <c r="J41" i="11"/>
  <c r="J40" i="11"/>
  <c r="J37" i="11"/>
  <c r="J36" i="11"/>
  <c r="J35" i="11"/>
  <c r="J34" i="11"/>
  <c r="J32" i="11"/>
  <c r="J31" i="11"/>
  <c r="J30" i="11"/>
  <c r="J29" i="11"/>
  <c r="J28" i="11"/>
  <c r="J26" i="11"/>
  <c r="J24" i="11"/>
  <c r="J22" i="11"/>
  <c r="J21" i="11"/>
  <c r="J20" i="11"/>
  <c r="J18" i="11"/>
  <c r="J16" i="11"/>
  <c r="J15" i="11"/>
  <c r="J14" i="11"/>
  <c r="J13" i="11"/>
  <c r="J11" i="11"/>
  <c r="J10" i="11"/>
  <c r="J9" i="11"/>
  <c r="J7" i="11"/>
  <c r="J6" i="11"/>
  <c r="J5" i="11"/>
  <c r="J4" i="11"/>
  <c r="J3" i="11"/>
  <c r="T66" i="10"/>
  <c r="W66" i="10"/>
  <c r="V66" i="10"/>
  <c r="X66" i="10"/>
  <c r="U66" i="10"/>
  <c r="Y66" i="10"/>
  <c r="G66" i="10"/>
  <c r="J66" i="10"/>
  <c r="I66" i="10"/>
  <c r="K66" i="10"/>
  <c r="H66" i="10"/>
  <c r="L66" i="10"/>
  <c r="T65" i="10"/>
  <c r="W65" i="10"/>
  <c r="V65" i="10"/>
  <c r="X65" i="10"/>
  <c r="U65" i="10"/>
  <c r="Y65" i="10"/>
  <c r="G65" i="10"/>
  <c r="J65" i="10"/>
  <c r="I65" i="10"/>
  <c r="K65" i="10"/>
  <c r="H65" i="10"/>
  <c r="L65" i="10"/>
  <c r="T64" i="10"/>
  <c r="W64" i="10"/>
  <c r="V64" i="10"/>
  <c r="X64" i="10"/>
  <c r="U64" i="10"/>
  <c r="Y64" i="10"/>
  <c r="G64" i="10"/>
  <c r="J64" i="10"/>
  <c r="I64" i="10"/>
  <c r="K64" i="10"/>
  <c r="H64" i="10"/>
  <c r="L64" i="10"/>
  <c r="T63" i="10"/>
  <c r="W63" i="10"/>
  <c r="V63" i="10"/>
  <c r="X63" i="10"/>
  <c r="U63" i="10"/>
  <c r="Y63" i="10"/>
  <c r="G63" i="10"/>
  <c r="J63" i="10"/>
  <c r="I63" i="10"/>
  <c r="K63" i="10"/>
  <c r="H63" i="10"/>
  <c r="L63" i="10"/>
  <c r="T62" i="10"/>
  <c r="W62" i="10"/>
  <c r="V62" i="10"/>
  <c r="X62" i="10"/>
  <c r="U62" i="10"/>
  <c r="Y62" i="10"/>
  <c r="G62" i="10"/>
  <c r="J62" i="10"/>
  <c r="I62" i="10"/>
  <c r="K62" i="10"/>
  <c r="H62" i="10"/>
  <c r="L62" i="10"/>
  <c r="T61" i="10"/>
  <c r="W61" i="10"/>
  <c r="V61" i="10"/>
  <c r="X61" i="10"/>
  <c r="U61" i="10"/>
  <c r="Y61" i="10"/>
  <c r="G61" i="10"/>
  <c r="J61" i="10"/>
  <c r="I61" i="10"/>
  <c r="K61" i="10"/>
  <c r="H61" i="10"/>
  <c r="L61" i="10"/>
  <c r="T60" i="10"/>
  <c r="W60" i="10"/>
  <c r="V60" i="10"/>
  <c r="X60" i="10"/>
  <c r="U60" i="10"/>
  <c r="Y60" i="10"/>
  <c r="G60" i="10"/>
  <c r="J60" i="10"/>
  <c r="I60" i="10"/>
  <c r="K60" i="10"/>
  <c r="H60" i="10"/>
  <c r="L60" i="10"/>
  <c r="T59" i="10"/>
  <c r="W59" i="10"/>
  <c r="V59" i="10"/>
  <c r="X59" i="10"/>
  <c r="U59" i="10"/>
  <c r="Y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T56" i="10"/>
  <c r="W56" i="10"/>
  <c r="V56" i="10"/>
  <c r="X56" i="10"/>
  <c r="U56" i="10"/>
  <c r="Y56" i="10"/>
  <c r="G56" i="10"/>
  <c r="J56" i="10"/>
  <c r="I56" i="10"/>
  <c r="K56" i="10"/>
  <c r="H56" i="10"/>
  <c r="L56" i="10"/>
  <c r="T55" i="10"/>
  <c r="W55" i="10"/>
  <c r="V55" i="10"/>
  <c r="X55" i="10"/>
  <c r="U55" i="10"/>
  <c r="Y55" i="10"/>
  <c r="G55" i="10"/>
  <c r="J55" i="10"/>
  <c r="I55" i="10"/>
  <c r="K55" i="10"/>
  <c r="H55" i="10"/>
  <c r="L55" i="10"/>
  <c r="T54" i="10"/>
  <c r="W54" i="10"/>
  <c r="V54" i="10"/>
  <c r="X54" i="10"/>
  <c r="U54" i="10"/>
  <c r="Y54" i="10"/>
  <c r="G54" i="10"/>
  <c r="J54" i="10"/>
  <c r="I54" i="10"/>
  <c r="K54" i="10"/>
  <c r="H54" i="10"/>
  <c r="L54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T52" i="10"/>
  <c r="W52" i="10"/>
  <c r="V52" i="10"/>
  <c r="X52" i="10"/>
  <c r="U52" i="10"/>
  <c r="Y52" i="10"/>
  <c r="G52" i="10"/>
  <c r="J52" i="10"/>
  <c r="I52" i="10"/>
  <c r="K52" i="10"/>
  <c r="H52" i="10"/>
  <c r="L52" i="10"/>
  <c r="T51" i="10"/>
  <c r="W51" i="10"/>
  <c r="V51" i="10"/>
  <c r="X51" i="10"/>
  <c r="U51" i="10"/>
  <c r="Y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T49" i="10"/>
  <c r="W49" i="10"/>
  <c r="V49" i="10"/>
  <c r="X49" i="10"/>
  <c r="U49" i="10"/>
  <c r="Y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T45" i="10"/>
  <c r="W45" i="10"/>
  <c r="V45" i="10"/>
  <c r="X45" i="10"/>
  <c r="U45" i="10"/>
  <c r="Y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T40" i="10"/>
  <c r="W40" i="10"/>
  <c r="V40" i="10"/>
  <c r="X40" i="10"/>
  <c r="U40" i="10"/>
  <c r="Y40" i="10"/>
  <c r="G40" i="10"/>
  <c r="J40" i="10"/>
  <c r="I40" i="10"/>
  <c r="K40" i="10"/>
  <c r="H40" i="10"/>
  <c r="L40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T36" i="10"/>
  <c r="W36" i="10"/>
  <c r="V36" i="10"/>
  <c r="X36" i="10"/>
  <c r="U36" i="10"/>
  <c r="Y36" i="10"/>
  <c r="G36" i="10"/>
  <c r="J36" i="10"/>
  <c r="I36" i="10"/>
  <c r="K36" i="10"/>
  <c r="H36" i="10"/>
  <c r="L36" i="10"/>
  <c r="T35" i="10"/>
  <c r="W35" i="10"/>
  <c r="V35" i="10"/>
  <c r="X35" i="10"/>
  <c r="U35" i="10"/>
  <c r="Y35" i="10"/>
  <c r="G35" i="10"/>
  <c r="J35" i="10"/>
  <c r="I35" i="10"/>
  <c r="K35" i="10"/>
  <c r="H35" i="10"/>
  <c r="L35" i="10"/>
  <c r="T34" i="10"/>
  <c r="W34" i="10"/>
  <c r="V34" i="10"/>
  <c r="X34" i="10"/>
  <c r="U34" i="10"/>
  <c r="Y34" i="10"/>
  <c r="G34" i="10"/>
  <c r="J34" i="10"/>
  <c r="I34" i="10"/>
  <c r="K34" i="10"/>
  <c r="H34" i="10"/>
  <c r="L34" i="10"/>
  <c r="T33" i="10"/>
  <c r="W33" i="10"/>
  <c r="V33" i="10"/>
  <c r="X33" i="10"/>
  <c r="U33" i="10"/>
  <c r="Y33" i="10"/>
  <c r="G33" i="10"/>
  <c r="J33" i="10"/>
  <c r="I33" i="10"/>
  <c r="K33" i="10"/>
  <c r="H33" i="10"/>
  <c r="L33" i="10"/>
  <c r="T32" i="10"/>
  <c r="W32" i="10"/>
  <c r="V32" i="10"/>
  <c r="X32" i="10"/>
  <c r="U32" i="10"/>
  <c r="Y32" i="10"/>
  <c r="G32" i="10"/>
  <c r="J32" i="10"/>
  <c r="I32" i="10"/>
  <c r="K32" i="10"/>
  <c r="H32" i="10"/>
  <c r="L32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T30" i="10"/>
  <c r="W30" i="10"/>
  <c r="V30" i="10"/>
  <c r="X30" i="10"/>
  <c r="U30" i="10"/>
  <c r="Y30" i="10"/>
  <c r="G30" i="10"/>
  <c r="J30" i="10"/>
  <c r="I30" i="10"/>
  <c r="K30" i="10"/>
  <c r="H30" i="10"/>
  <c r="L30" i="10"/>
  <c r="T29" i="10"/>
  <c r="W29" i="10"/>
  <c r="V29" i="10"/>
  <c r="X29" i="10"/>
  <c r="U29" i="10"/>
  <c r="Y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T23" i="10"/>
  <c r="W23" i="10"/>
  <c r="V23" i="10"/>
  <c r="X23" i="10"/>
  <c r="U23" i="10"/>
  <c r="Y23" i="10"/>
  <c r="G23" i="10"/>
  <c r="J23" i="10"/>
  <c r="I23" i="10"/>
  <c r="K23" i="10"/>
  <c r="H23" i="10"/>
  <c r="L23" i="10"/>
  <c r="T22" i="10"/>
  <c r="W22" i="10"/>
  <c r="V22" i="10"/>
  <c r="X22" i="10"/>
  <c r="U22" i="10"/>
  <c r="Y22" i="10"/>
  <c r="G22" i="10"/>
  <c r="J22" i="10"/>
  <c r="I22" i="10"/>
  <c r="K22" i="10"/>
  <c r="H22" i="10"/>
  <c r="L22" i="10"/>
  <c r="T21" i="10"/>
  <c r="W21" i="10"/>
  <c r="V21" i="10"/>
  <c r="X21" i="10"/>
  <c r="U21" i="10"/>
  <c r="Y21" i="10"/>
  <c r="G21" i="10"/>
  <c r="J21" i="10"/>
  <c r="I21" i="10"/>
  <c r="K21" i="10"/>
  <c r="H21" i="10"/>
  <c r="L21" i="10"/>
  <c r="T20" i="10"/>
  <c r="W20" i="10"/>
  <c r="V20" i="10"/>
  <c r="X20" i="10"/>
  <c r="U20" i="10"/>
  <c r="Y20" i="10"/>
  <c r="G20" i="10"/>
  <c r="J20" i="10"/>
  <c r="I20" i="10"/>
  <c r="K20" i="10"/>
  <c r="H20" i="10"/>
  <c r="L20" i="10"/>
  <c r="T19" i="10"/>
  <c r="W19" i="10"/>
  <c r="V19" i="10"/>
  <c r="X19" i="10"/>
  <c r="U19" i="10"/>
  <c r="Y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T16" i="10"/>
  <c r="W16" i="10"/>
  <c r="V16" i="10"/>
  <c r="X16" i="10"/>
  <c r="U16" i="10"/>
  <c r="Y16" i="10"/>
  <c r="G16" i="10"/>
  <c r="J16" i="10"/>
  <c r="I16" i="10"/>
  <c r="K16" i="10"/>
  <c r="H16" i="10"/>
  <c r="L16" i="10"/>
  <c r="T15" i="10"/>
  <c r="W15" i="10"/>
  <c r="V15" i="10"/>
  <c r="X15" i="10"/>
  <c r="U15" i="10"/>
  <c r="Y15" i="10"/>
  <c r="G15" i="10"/>
  <c r="J15" i="10"/>
  <c r="I15" i="10"/>
  <c r="K15" i="10"/>
  <c r="H15" i="10"/>
  <c r="L15" i="10"/>
  <c r="T14" i="10"/>
  <c r="W14" i="10"/>
  <c r="V14" i="10"/>
  <c r="X14" i="10"/>
  <c r="U14" i="10"/>
  <c r="Y14" i="10"/>
  <c r="G14" i="10"/>
  <c r="J14" i="10"/>
  <c r="I14" i="10"/>
  <c r="K14" i="10"/>
  <c r="H14" i="10"/>
  <c r="L14" i="10"/>
  <c r="T13" i="10"/>
  <c r="W13" i="10"/>
  <c r="V13" i="10"/>
  <c r="X13" i="10"/>
  <c r="U13" i="10"/>
  <c r="Y13" i="10"/>
  <c r="G13" i="10"/>
  <c r="J13" i="10"/>
  <c r="I13" i="10"/>
  <c r="K13" i="10"/>
  <c r="H13" i="10"/>
  <c r="L13" i="10"/>
  <c r="T12" i="10"/>
  <c r="W12" i="10"/>
  <c r="V12" i="10"/>
  <c r="X12" i="10"/>
  <c r="U12" i="10"/>
  <c r="Y12" i="10"/>
  <c r="G12" i="10"/>
  <c r="J12" i="10"/>
  <c r="I12" i="10"/>
  <c r="K12" i="10"/>
  <c r="H12" i="10"/>
  <c r="L12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W2" i="7"/>
  <c r="R2" i="7"/>
  <c r="Q2" i="7"/>
  <c r="P2" i="7"/>
  <c r="O2" i="7"/>
  <c r="N2" i="7"/>
  <c r="H2" i="7"/>
  <c r="G2" i="2"/>
  <c r="A2" i="2"/>
  <c r="G3" i="2"/>
  <c r="A3" i="2"/>
  <c r="G4" i="2"/>
  <c r="A4" i="2"/>
  <c r="G5" i="2"/>
  <c r="A5" i="2"/>
  <c r="J2" i="7"/>
  <c r="I2" i="7"/>
  <c r="D2" i="7"/>
  <c r="F2" i="7"/>
  <c r="E2" i="7"/>
  <c r="A2" i="7"/>
  <c r="Y4" i="7"/>
  <c r="W4" i="7"/>
  <c r="R4" i="7"/>
  <c r="Q4" i="7"/>
  <c r="P4" i="7"/>
  <c r="O4" i="7"/>
  <c r="N4" i="7"/>
  <c r="H4" i="7"/>
  <c r="J4" i="7"/>
  <c r="I4" i="7"/>
  <c r="D4" i="7"/>
  <c r="F4" i="7"/>
  <c r="E4" i="7"/>
  <c r="A4" i="7"/>
  <c r="AB7" i="1"/>
  <c r="AD7" i="1"/>
  <c r="AG7" i="1"/>
  <c r="AE7" i="1"/>
  <c r="AC7" i="1"/>
  <c r="AA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5" i="1"/>
  <c r="AD5" i="1"/>
  <c r="AG5" i="1"/>
  <c r="AE5" i="1"/>
  <c r="AC5" i="1"/>
  <c r="AA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3" i="1"/>
  <c r="AD3" i="1"/>
  <c r="AG3" i="1"/>
  <c r="AE3" i="1"/>
  <c r="AC3" i="1"/>
  <c r="AA3" i="1"/>
  <c r="V3" i="1"/>
  <c r="Q3" i="1"/>
  <c r="P3" i="1"/>
  <c r="O3" i="1"/>
  <c r="N3" i="1"/>
  <c r="M3" i="1"/>
  <c r="H3" i="1"/>
  <c r="J3" i="1"/>
  <c r="I3" i="1"/>
  <c r="D3" i="1"/>
  <c r="F3" i="1"/>
  <c r="E3" i="1"/>
  <c r="A3" i="1"/>
  <c r="H5" i="2"/>
  <c r="E5" i="2"/>
  <c r="D5" i="2"/>
  <c r="H2" i="1"/>
  <c r="H4" i="1"/>
  <c r="H6" i="1"/>
  <c r="H8" i="1"/>
  <c r="B5" i="2"/>
  <c r="H4" i="2"/>
  <c r="E4" i="2"/>
  <c r="D4" i="2"/>
  <c r="B4" i="2"/>
  <c r="H3" i="2"/>
  <c r="E3" i="2"/>
  <c r="D3" i="2"/>
  <c r="B3" i="2"/>
  <c r="AB8" i="1"/>
  <c r="AD8" i="1"/>
  <c r="AG8" i="1"/>
  <c r="AE8" i="1"/>
  <c r="AC8" i="1"/>
  <c r="V8" i="1"/>
  <c r="Q8" i="1"/>
  <c r="P8" i="1"/>
  <c r="O8" i="1"/>
  <c r="N8" i="1"/>
  <c r="M8" i="1"/>
  <c r="J8" i="1"/>
  <c r="I8" i="1"/>
  <c r="D8" i="1"/>
  <c r="F8" i="1"/>
  <c r="E8" i="1"/>
  <c r="A8" i="1"/>
  <c r="AB6" i="1"/>
  <c r="AD6" i="1"/>
  <c r="AG6" i="1"/>
  <c r="AE6" i="1"/>
  <c r="AC6" i="1"/>
  <c r="AA6" i="1"/>
  <c r="V6" i="1"/>
  <c r="Q6" i="1"/>
  <c r="P6" i="1"/>
  <c r="O6" i="1"/>
  <c r="N6" i="1"/>
  <c r="M6" i="1"/>
  <c r="J6" i="1"/>
  <c r="I6" i="1"/>
  <c r="D6" i="1"/>
  <c r="F6" i="1"/>
  <c r="E6" i="1"/>
  <c r="A6" i="1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C4" i="16"/>
  <c r="C5" i="16"/>
  <c r="C6" i="16"/>
  <c r="C7" i="16"/>
  <c r="C8" i="16"/>
  <c r="C9" i="16"/>
  <c r="C3" i="16"/>
  <c r="E9" i="16"/>
  <c r="W3" i="7"/>
  <c r="V2" i="1"/>
  <c r="R3" i="7"/>
  <c r="Q3" i="7"/>
  <c r="P3" i="7"/>
  <c r="O3" i="7"/>
  <c r="N3" i="7"/>
  <c r="AB4" i="1"/>
  <c r="AE4" i="1"/>
  <c r="AD4" i="1"/>
  <c r="AC4" i="1"/>
  <c r="AB2" i="1"/>
  <c r="AE2" i="1"/>
  <c r="AD2" i="1"/>
  <c r="AC2" i="1"/>
  <c r="AA2" i="1"/>
  <c r="V4" i="1"/>
  <c r="Q4" i="1"/>
  <c r="P4" i="1"/>
  <c r="O4" i="1"/>
  <c r="N4" i="1"/>
  <c r="M4" i="1"/>
  <c r="Q2" i="1"/>
  <c r="P2" i="1"/>
  <c r="O2" i="1"/>
  <c r="N2" i="1"/>
  <c r="M2" i="1"/>
  <c r="AG2" i="1"/>
  <c r="H3" i="7"/>
  <c r="J3" i="7"/>
  <c r="E8" i="16"/>
  <c r="E7" i="16"/>
  <c r="E6" i="16"/>
  <c r="E5" i="16"/>
  <c r="E4" i="16"/>
  <c r="E3" i="16"/>
  <c r="E2" i="16"/>
  <c r="A4" i="1"/>
  <c r="A2" i="1"/>
  <c r="AG4" i="1"/>
  <c r="J4" i="1"/>
  <c r="I4" i="1"/>
  <c r="D4" i="1"/>
  <c r="F4" i="1"/>
  <c r="E4" i="1"/>
  <c r="A3" i="7"/>
  <c r="I3" i="7"/>
  <c r="D3" i="7"/>
  <c r="F3" i="7"/>
  <c r="E3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<sst xmlns="http://schemas.openxmlformats.org/spreadsheetml/2006/main" count="1043" uniqueCount="299">
  <si>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</si>
  <si>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</si>
  <si>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</si>
  <si>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</si>
  <si>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</si>
  <si>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</si>
  <si>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</si>
  <si>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</si>
  <si>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</si>
  <si>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</si>
  <si>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</si>
  <si>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</si>
  <si>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</si>
  <si>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</si>
  <si>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</si>
  <si>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</si>
  <si>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</si>
  <si>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</si>
  <si>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</si>
  <si>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</si>
  <si>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</si>
  <si>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</si>
  <si>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</si>
  <si>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</si>
  <si>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</si>
  <si>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</si>
  <si>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</si>
  <si>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</si>
  <si>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</si>
  <si>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</si>
  <si>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</si>
  <si>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</si>
  <si>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</si>
  <si>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</si>
  <si>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</si>
  <si>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</si>
  <si>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</si>
  <si>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</si>
  <si>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</si>
  <si>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</si>
  <si>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</si>
  <si>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</si>
  <si>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</si>
  <si>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</si>
  <si>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</si>
  <si>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</si>
  <si>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</si>
  <si>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</si>
  <si>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</si>
  <si>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</si>
  <si>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</si>
  <si>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</si>
  <si>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</si>
  <si>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</si>
  <si>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</si>
  <si>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</si>
  <si>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</si>
  <si>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</si>
  <si>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</si>
  <si>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</si>
  <si>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</si>
  <si>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</si>
  <si>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</si>
  <si>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</si>
  <si>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</si>
  <si>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</si>
  <si>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</si>
  <si>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</si>
  <si>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</si>
  <si>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</si>
  <si>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</si>
  <si>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</si>
  <si>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</si>
  <si>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</si>
  <si>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</si>
  <si>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</si>
  <si>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</si>
  <si>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</si>
  <si>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</si>
  <si>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</si>
  <si>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</si>
  <si>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</si>
  <si>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</si>
  <si>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</si>
  <si>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</si>
  <si>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</si>
  <si>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</si>
  <si>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</si>
  <si>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</si>
  <si>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</si>
  <si>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</si>
  <si>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</si>
  <si>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</si>
  <si>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</si>
  <si>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</si>
  <si>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</si>
  <si>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</si>
  <si>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</si>
  <si>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</si>
  <si>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</si>
  <si>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</si>
  <si>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</si>
  <si>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</si>
  <si>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</si>
  <si>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</si>
  <si>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</si>
  <si>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</si>
  <si>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</si>
  <si>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</si>
  <si>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</si>
  <si>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</si>
  <si>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</si>
  <si>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</si>
  <si>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</si>
  <si>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</si>
  <si>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</si>
  <si>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</si>
  <si>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</si>
  <si>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</si>
  <si>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</si>
  <si>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</si>
  <si>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</si>
  <si>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</si>
  <si>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</si>
  <si>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</si>
  <si>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</si>
  <si>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</si>
  <si>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</si>
  <si>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</si>
  <si>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</si>
  <si>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</si>
  <si>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</si>
  <si>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</si>
  <si>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</si>
  <si>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</si>
  <si>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</si>
  <si>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</si>
  <si>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</si>
  <si>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</si>
  <si>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</si>
  <si>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</si>
  <si>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</si>
  <si>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</si>
  <si>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</si>
  <si>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</si>
  <si>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</si>
  <si>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</si>
  <si>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</si>
  <si>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</si>
  <si>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</si>
  <si>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</si>
  <si>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</si>
  <si>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</si>
  <si>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</si>
  <si>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</si>
  <si>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</si>
  <si>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</si>
  <si>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</si>
  <si>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</si>
  <si>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</si>
  <si>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</si>
  <si>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</si>
  <si>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</si>
  <si>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</si>
  <si>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</si>
  <si>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</si>
  <si>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</si>
  <si>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</si>
  <si>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</si>
  <si>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</si>
  <si>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</si>
  <si>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</si>
  <si>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</si>
  <si>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</si>
  <si>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</si>
  <si>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</si>
  <si>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</si>
  <si>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</si>
  <si>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</si>
  <si>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</si>
  <si>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</si>
  <si>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</si>
  <si>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</si>
  <si>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</si>
  <si>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</si>
  <si>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</si>
  <si>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</si>
  <si>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</si>
  <si>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</si>
  <si>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</si>
  <si>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</si>
  <si>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</si>
  <si>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</si>
  <si>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</si>
  <si>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</si>
  <si>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</si>
  <si>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</si>
  <si>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</si>
  <si>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</si>
  <si>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</si>
  <si>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</si>
  <si>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</si>
  <si>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</si>
  <si>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</si>
  <si>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</si>
  <si>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</si>
  <si>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</si>
  <si>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</si>
  <si>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</si>
  <si>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</si>
  <si>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</si>
  <si>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</si>
  <si>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</si>
  <si>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</si>
  <si>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</si>
  <si>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[effect:nothing]</t>
    <phoneticPr fontId="5"/>
  </si>
  <si>
    <t>ショウイン</t>
    <phoneticPr fontId="5"/>
  </si>
  <si>
    <t>予備枠</t>
    <rPh sb="0" eb="2">
      <t>ヨb</t>
    </rPh>
    <rPh sb="2" eb="3">
      <t>ワk</t>
    </rPh>
    <phoneticPr fontId="5"/>
  </si>
  <si>
    <t>ニムダ</t>
    <phoneticPr fontId="5"/>
  </si>
  <si>
    <t>マイ</t>
    <phoneticPr fontId="5"/>
  </si>
  <si>
    <t>土方歳三1</t>
    <rPh sb="0" eb="4">
      <t>ヒジカt</t>
    </rPh>
    <phoneticPr fontId="5"/>
  </si>
  <si>
    <t>土方歳三2</t>
    <rPh sb="0" eb="4">
      <t>ヒジカt</t>
    </rPh>
    <phoneticPr fontId="5"/>
  </si>
  <si>
    <t>ガンテツ</t>
    <phoneticPr fontId="5"/>
  </si>
  <si>
    <t>メリッサ</t>
    <phoneticPr fontId="5"/>
  </si>
  <si>
    <t>鬼1</t>
    <rPh sb="0" eb="1">
      <t>オン</t>
    </rPh>
    <phoneticPr fontId="5"/>
  </si>
  <si>
    <t>鬼2</t>
    <rPh sb="0" eb="1">
      <t>オン</t>
    </rPh>
    <phoneticPr fontId="5"/>
  </si>
  <si>
    <t>鬼3</t>
    <rPh sb="0" eb="1">
      <t>オン</t>
    </rPh>
    <phoneticPr fontId="5"/>
  </si>
  <si>
    <t>連続攻撃</t>
    <rPh sb="0" eb="4">
      <t>レンゾk</t>
    </rPh>
    <phoneticPr fontId="5"/>
  </si>
  <si>
    <t>連続攻撃</t>
    <rPh sb="0" eb="2">
      <t>レンゾk</t>
    </rPh>
    <rPh sb="2" eb="4">
      <t>キョウリョk</t>
    </rPh>
    <phoneticPr fontId="5"/>
  </si>
  <si>
    <t>クリティカル攻撃</t>
    <rPh sb="6" eb="8">
      <t>コウゲk</t>
    </rPh>
    <phoneticPr fontId="5"/>
  </si>
  <si>
    <t>全体攻撃</t>
    <rPh sb="0" eb="4">
      <t>ゼン</t>
    </rPh>
    <phoneticPr fontId="5"/>
  </si>
  <si>
    <t>ゴッドキラー</t>
    <phoneticPr fontId="5"/>
  </si>
  <si>
    <t>null</t>
    <phoneticPr fontId="5"/>
  </si>
  <si>
    <t>[effect:enhance_enemy, target:myself, turn:5, status:defense, val:2000, calc:add, animation:enemy_enhance_defense]</t>
    <phoneticPr fontId="5"/>
  </si>
  <si>
    <t>[effect:rush, count:4, val:0.35]</t>
    <phoneticPr fontId="5"/>
  </si>
  <si>
    <t>[effect:critical, val:1.5]</t>
    <phoneticPr fontId="5"/>
  </si>
  <si>
    <t xml:space="preserve">[effect:spread, val:0.3]    </t>
    <phoneticPr fontId="5"/>
  </si>
  <si>
    <t>[effect:enhance_enemy, target:myself, turn:5, status:defense, val:2000, calc:add, animation:enemy_enhance_defense]</t>
    <phoneticPr fontId="5"/>
  </si>
  <si>
    <t>[effect:charge, status:attack, val:1]</t>
    <phoneticPr fontId="5"/>
  </si>
  <si>
    <t>[effect:remove_enhancement, target:unit_all, target_effect:enhance, target_type:buff, animation:frozen_wave]</t>
    <phoneticPr fontId="5"/>
  </si>
  <si>
    <t>[effect:damage_anti_tribe, target:unit_all, tribe:god, val1:0.7, val2:0.2]</t>
    <phoneticPr fontId="5"/>
  </si>
  <si>
    <t>[effect:tolerance, target:myself, turn:-1, tolerance_effect:virus, count:-1],[effect:tolerance, target:myself, turn:-1, tolerance_effect:sleep, count:-1],[effect:tolerance, target:myself, turn:-1, tolerance_effect:hungup, count:-1, animation:enemy_tolerance],[effect:virus, turn:-1, rate:1, val:0.05, animation:enemy_virus]</t>
    <phoneticPr fontId="5"/>
  </si>
  <si>
    <t>[effect:tolerance, target:myself, turn:-1, tolerance_effect:virus, count:-1],[effect:tolerance, target:myself, turn:-1, tolerance_effect:sleep, count:-1],[effect:tolerance, target:myself, turn:-1, tolerance_effect:hungup, count:-1, animation:enemy_tolerance],[effect:virus, turn:-1, rate:1, val:0.15, animation:enemy_virus]</t>
    <phoneticPr fontId="5"/>
  </si>
  <si>
    <t>[effect:virus, turn:-1, rate:1, val:0.05, animation:enemy_virus]</t>
    <phoneticPr fontId="5"/>
  </si>
  <si>
    <t>[effect:break_attack, val:0.1, lowest_val:3000, count:-1, block:block_green, target:unit_one]</t>
    <phoneticPr fontId="5"/>
  </si>
  <si>
    <t>[effect:break_attack, val:0.1, lowest_val:4000, count:-1, block:block_green, target:unit_one]</t>
    <phoneticPr fontId="5"/>
  </si>
  <si>
    <t>[effect:break_attack, val:0.1, lowest_val:5000, count:-1, block:block_green, target:unit_one]</t>
    <phoneticPr fontId="5"/>
  </si>
  <si>
    <t>[effect:damage_anti_tribe, target:unit_all, tribe:god, val1:0.7, val2:0.3]</t>
    <phoneticPr fontId="5"/>
  </si>
  <si>
    <t>[effect:enhance_enemy, target:myself, turn:3, status:attack, val:1.2, calc:mul, animation:enemy_enhance_attack]</t>
    <phoneticPr fontId="5"/>
  </si>
  <si>
    <t>[effect:rush, count:4, val:0.3]</t>
    <phoneticPr fontId="5"/>
  </si>
  <si>
    <t>超拡散アタック</t>
    <rPh sb="0" eb="3">
      <t>チョ</t>
    </rPh>
    <phoneticPr fontId="5"/>
  </si>
  <si>
    <t>セキュリティウォール</t>
    <phoneticPr fontId="5"/>
  </si>
  <si>
    <t>5ターンの間防御アップ</t>
    <rPh sb="5" eb="6">
      <t>ア</t>
    </rPh>
    <rPh sb="6" eb="11">
      <t>カイマk</t>
    </rPh>
    <phoneticPr fontId="5"/>
  </si>
  <si>
    <t>一点集中</t>
    <rPh sb="0" eb="2">
      <t>イッテン</t>
    </rPh>
    <rPh sb="2" eb="4">
      <t>シュウチュウ</t>
    </rPh>
    <phoneticPr fontId="7"/>
  </si>
  <si>
    <t>次のターン強力な攻撃</t>
    <rPh sb="0" eb="1">
      <t>ツギ</t>
    </rPh>
    <rPh sb="5" eb="7">
      <t>キョウリョク</t>
    </rPh>
    <rPh sb="8" eb="10">
      <t>コウゲキ</t>
    </rPh>
    <phoneticPr fontId="5"/>
  </si>
  <si>
    <t>鬼神一閃</t>
    <rPh sb="0" eb="4">
      <t>キs</t>
    </rPh>
    <phoneticPr fontId="5"/>
  </si>
  <si>
    <t>種族ゴッドに対して大ダメージ</t>
    <rPh sb="0" eb="2">
      <t>sy</t>
    </rPh>
    <rPh sb="6" eb="9">
      <t>タイs</t>
    </rPh>
    <rPh sb="9" eb="14">
      <t>ダ</t>
    </rPh>
    <phoneticPr fontId="5"/>
  </si>
  <si>
    <t>護りの構え</t>
    <rPh sb="0" eb="3">
      <t>マモリ</t>
    </rPh>
    <rPh sb="3" eb="5">
      <t>カm</t>
    </rPh>
    <phoneticPr fontId="5"/>
  </si>
  <si>
    <t>攻めの構え</t>
    <rPh sb="0" eb="5">
      <t>セメン</t>
    </rPh>
    <phoneticPr fontId="5"/>
  </si>
  <si>
    <t>返し刀の構え</t>
    <rPh sb="0" eb="2">
      <t>カ</t>
    </rPh>
    <rPh sb="2" eb="3">
      <t>カタナ</t>
    </rPh>
    <rPh sb="4" eb="6">
      <t>カマ</t>
    </rPh>
    <phoneticPr fontId="5"/>
  </si>
  <si>
    <t>熱々焼きゴテ</t>
    <rPh sb="0" eb="2">
      <t>アツアツ</t>
    </rPh>
    <rPh sb="2" eb="6">
      <t>ヤキ</t>
    </rPh>
    <phoneticPr fontId="5"/>
  </si>
  <si>
    <t>無形絶剣</t>
    <rPh sb="0" eb="2">
      <t>ムk</t>
    </rPh>
    <rPh sb="2" eb="4">
      <t>ゼt</t>
    </rPh>
    <phoneticPr fontId="5"/>
  </si>
  <si>
    <t>[effect:enhance_enemy, target:myself, turn:3, status:attack, val:1.2, calc:mul, animation:enemy_enhance_attack]</t>
    <phoneticPr fontId="5"/>
  </si>
  <si>
    <t>侵食性ウィルス</t>
    <rPh sb="0" eb="3">
      <t>シン</t>
    </rPh>
    <phoneticPr fontId="5"/>
  </si>
  <si>
    <t>紅の一閃</t>
    <rPh sb="0" eb="2">
      <t>クレナイン</t>
    </rPh>
    <rPh sb="2" eb="4">
      <t>イッセン</t>
    </rPh>
    <phoneticPr fontId="5"/>
  </si>
  <si>
    <t>闘気侵食</t>
    <rPh sb="0" eb="2">
      <t>トウキ</t>
    </rPh>
    <rPh sb="2" eb="4">
      <t>シン</t>
    </rPh>
    <phoneticPr fontId="5"/>
  </si>
  <si>
    <t>解除するまで毎ターンダメージを受ける</t>
    <phoneticPr fontId="5"/>
  </si>
  <si>
    <t>開幕状態異常耐性＋解除するまで毎ターンダメージを受ける</t>
    <rPh sb="0" eb="2">
      <t>カイマk</t>
    </rPh>
    <rPh sb="2" eb="8">
      <t>ジョ</t>
    </rPh>
    <phoneticPr fontId="5"/>
  </si>
  <si>
    <t>無双連撃</t>
    <rPh sb="0" eb="4">
      <t>ムソ</t>
    </rPh>
    <phoneticPr fontId="5"/>
  </si>
  <si>
    <t>振舞い酒</t>
    <rPh sb="0" eb="2">
      <t>フルマ</t>
    </rPh>
    <phoneticPr fontId="5"/>
  </si>
  <si>
    <t>神をも斬り裂く太刀</t>
    <rPh sb="0" eb="1">
      <t>キs</t>
    </rPh>
    <rPh sb="3" eb="5">
      <t>kiri</t>
    </rPh>
    <rPh sb="5" eb="7">
      <t>キr</t>
    </rPh>
    <rPh sb="7" eb="9">
      <t>タチ</t>
    </rPh>
    <phoneticPr fontId="5"/>
  </si>
  <si>
    <t>酔虎斬刀</t>
    <rPh sb="0" eb="2">
      <t>スイコ</t>
    </rPh>
    <rPh sb="2" eb="4">
      <t>ザン</t>
    </rPh>
    <phoneticPr fontId="5"/>
  </si>
  <si>
    <t>[effect:tolerance, target:myself, turn:-1, tolerance_effect:virus, count:-1],[effect:tolerance, target:myself, turn:-1, tolerance_effect:sleep, count:-1],[effect:tolerance, target:myself, turn:-1, tolerance_effect:hungup, count:-1, animation:enemy_tolerance],[effect:enhance_enemy, target:myself, turn:5, status:defense, val:2000, calc:add, animation:enemy_enhance_defense],[effect:fix_speed, target:myself, turn:1]</t>
    <phoneticPr fontId="5"/>
  </si>
  <si>
    <t>闘気充実</t>
    <rPh sb="0" eb="2">
      <t>トウキ</t>
    </rPh>
    <rPh sb="2" eb="4">
      <t>10j</t>
    </rPh>
    <phoneticPr fontId="5"/>
  </si>
  <si>
    <t>闘気爆発</t>
    <rPh sb="0" eb="4">
      <t>ト</t>
    </rPh>
    <phoneticPr fontId="5"/>
  </si>
  <si>
    <t>3ターンの間攻撃力アップ</t>
    <rPh sb="5" eb="6">
      <t>ア</t>
    </rPh>
    <rPh sb="6" eb="9">
      <t>コウゲk</t>
    </rPh>
    <phoneticPr fontId="5"/>
  </si>
  <si>
    <t>ステータスアップ効果を解除</t>
    <rPh sb="8" eb="11">
      <t>コウk</t>
    </rPh>
    <rPh sb="11" eb="13">
      <t>カ</t>
    </rPh>
    <phoneticPr fontId="5"/>
  </si>
  <si>
    <t>緑パネルを破壊して攻撃</t>
    <rPh sb="0" eb="1">
      <t>ミドr</t>
    </rPh>
    <rPh sb="5" eb="7">
      <t>ハカ</t>
    </rPh>
    <rPh sb="9" eb="11">
      <t>コウゲk</t>
    </rPh>
    <phoneticPr fontId="5"/>
  </si>
  <si>
    <t>参の太刀</t>
    <rPh sb="0" eb="1">
      <t>サン</t>
    </rPh>
    <rPh sb="2" eb="4">
      <t>タチ</t>
    </rPh>
    <phoneticPr fontId="5"/>
  </si>
  <si>
    <t>[effect:rush, count:3, val:0.4]</t>
    <phoneticPr fontId="5"/>
  </si>
  <si>
    <t>null</t>
    <phoneticPr fontId="5"/>
  </si>
  <si>
    <t>link</t>
    <phoneticPr fontId="5"/>
  </si>
  <si>
    <t>unit</t>
    <phoneticPr fontId="5"/>
  </si>
  <si>
    <t>最大で味方2体にスリープ</t>
    <rPh sb="0" eb="2">
      <t>サイダ</t>
    </rPh>
    <rPh sb="3" eb="8">
      <t>ミカt</t>
    </rPh>
    <phoneticPr fontId="5"/>
  </si>
  <si>
    <t>スリープ状態のユニットに対して大ダメージ</t>
    <rPh sb="12" eb="15">
      <t>タイs</t>
    </rPh>
    <phoneticPr fontId="5"/>
  </si>
  <si>
    <t>状態異常耐性＋解除するまで毎ターンダメージを受ける</t>
    <rPh sb="0" eb="6">
      <t>ジョ</t>
    </rPh>
    <phoneticPr fontId="5"/>
  </si>
  <si>
    <t>状態異常耐性＋5ターンの間防御力アップ</t>
    <rPh sb="0" eb="6">
      <t>カ</t>
    </rPh>
    <rPh sb="12" eb="13">
      <t>ア</t>
    </rPh>
    <rPh sb="13" eb="15">
      <t>ボ</t>
    </rPh>
    <rPh sb="15" eb="16">
      <t>リョk</t>
    </rPh>
    <phoneticPr fontId="5"/>
  </si>
  <si>
    <t xml:space="preserve">[effect:damage_anti_abnormal, target:unit_all, target_effect01:sleep, val1:0.5, val2:0.1]    </t>
    <phoneticPr fontId="5"/>
  </si>
  <si>
    <t>[effect:sleep, target:unit_one, turn:2, rate:0.75],[effect:sleep, target:unit_one, turn:2, rate:0.75]</t>
    <phoneticPr fontId="5"/>
  </si>
  <si>
    <t>土方歳三はHPが一定以下になると
強力な攻撃を行ってきます
フィーバーを使って倒し切りましょう</t>
    <phoneticPr fontId="5"/>
  </si>
  <si>
    <t>ウィルスは毎ターンダメージを受けます
ウィルス解除のスキルを持つユニットを
連れて行くと役に立つでしょう</t>
    <phoneticPr fontId="5"/>
  </si>
  <si>
    <t>ヨミは種族ゴッドに対して大ダメージの
攻撃を行ってきます。
大ダメージを受けてしまう場合は
ユニットの構成を変えてみましょう</t>
    <phoneticPr fontId="5"/>
  </si>
  <si>
    <t>ヨミは一定のHPを切ると緑パネル破壊攻撃で
大ダメージを与えてきます
緑パネルの処理に気をつけましょう</t>
    <rPh sb="16" eb="21">
      <t>ハカ</t>
    </rPh>
    <phoneticPr fontId="5"/>
  </si>
  <si>
    <t>[effect:tolerance, target:myself, turn:-1, tolerance_effect:virus, count:-1],[effect:tolerance, target:myself, turn:-1, tolerance_effect:sleep, count:-1],[effect:tolerance, target:myself, turn:-1, tolerance_effect:hungup, count:-1, animation:enemy_tolerance],[effect:enemy_counter, target:myself, invoke_condition:unit_all, counter_target:attacker, turn:1, val:1.5, animation:enemy_counter]</t>
    <phoneticPr fontId="5"/>
  </si>
  <si>
    <t>開幕状態異常耐性＋1ターンカウンター</t>
    <rPh sb="0" eb="2">
      <t>カ</t>
    </rPh>
    <rPh sb="2" eb="6">
      <t>ジョ</t>
    </rPh>
    <rPh sb="6" eb="8">
      <t>タイセ</t>
    </rPh>
    <phoneticPr fontId="5"/>
  </si>
  <si>
    <t>真剣勝負よ！</t>
    <rPh sb="0" eb="4">
      <t>シンケンショウb</t>
    </rPh>
    <phoneticPr fontId="5"/>
  </si>
  <si>
    <t>まだまだ終わらないわ！</t>
    <rPh sb="4" eb="10">
      <t>オワラン</t>
    </rPh>
    <phoneticPr fontId="5"/>
  </si>
  <si>
    <t>こっちから行くわよ！</t>
    <rPh sb="5" eb="10">
      <t>イk</t>
    </rPh>
    <phoneticPr fontId="5"/>
  </si>
  <si>
    <t>これで終わらせてやるわ…！</t>
    <rPh sb="3" eb="13">
      <t>オワラs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</si>
</sst>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90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38" fontId="16" fillId="0" borderId="7" xfId="628" applyFont="1" applyFill="1" applyBorder="1" applyAlignment="1">
      <alignment wrapText="1"/>
    </xf>
    <xf numFmtId="0" fontId="16" fillId="0" borderId="0" xfId="0" applyFont="1" applyAlignment="1">
      <alignment wrapText="1"/>
    </xf>
  </cellXfs>
  <cellStyles count="902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無題1" xfId="43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11230</v>
          </cell>
        </row>
        <row r="78">
          <cell r="A78">
            <v>12001</v>
          </cell>
        </row>
        <row r="79">
          <cell r="A79">
            <v>12002</v>
          </cell>
        </row>
        <row r="80">
          <cell r="A80">
            <v>12003</v>
          </cell>
        </row>
        <row r="81">
          <cell r="A81">
            <v>12004</v>
          </cell>
        </row>
        <row r="82">
          <cell r="A82">
            <v>13001</v>
          </cell>
        </row>
        <row r="83">
          <cell r="A83">
            <v>14001</v>
          </cell>
        </row>
        <row r="84">
          <cell r="A84">
            <v>14002</v>
          </cell>
        </row>
        <row r="85">
          <cell r="A85">
            <v>14003</v>
          </cell>
        </row>
        <row r="86">
          <cell r="A86">
            <v>14004</v>
          </cell>
        </row>
        <row r="87">
          <cell r="A87">
            <v>14005</v>
          </cell>
        </row>
        <row r="88">
          <cell r="A88">
            <v>14006</v>
          </cell>
        </row>
        <row r="89">
          <cell r="A89">
            <v>15027</v>
          </cell>
        </row>
        <row r="90">
          <cell r="A90">
            <v>15028</v>
          </cell>
        </row>
        <row r="91">
          <cell r="A91">
            <v>15029</v>
          </cell>
        </row>
        <row r="92">
          <cell r="A92">
            <v>15030</v>
          </cell>
        </row>
        <row r="93">
          <cell r="A93">
            <v>15031</v>
          </cell>
        </row>
        <row r="94">
          <cell r="A94">
            <v>20001</v>
          </cell>
        </row>
        <row r="95">
          <cell r="A95">
            <v>20002</v>
          </cell>
        </row>
        <row r="96">
          <cell r="A96">
            <v>20003</v>
          </cell>
        </row>
        <row r="97">
          <cell r="A97">
            <v>20004</v>
          </cell>
        </row>
        <row r="98">
          <cell r="A98">
            <v>20005</v>
          </cell>
        </row>
        <row r="99">
          <cell r="A99">
            <v>20006</v>
          </cell>
        </row>
        <row r="100">
          <cell r="A100">
            <v>20007</v>
          </cell>
        </row>
        <row r="101">
          <cell r="A101">
            <v>20008</v>
          </cell>
        </row>
        <row r="102">
          <cell r="A102">
            <v>20009</v>
          </cell>
        </row>
        <row r="103">
          <cell r="A103">
            <v>20010</v>
          </cell>
        </row>
        <row r="104">
          <cell r="A104">
            <v>20011</v>
          </cell>
        </row>
        <row r="105">
          <cell r="A105">
            <v>20012</v>
          </cell>
        </row>
        <row r="106">
          <cell r="A106">
            <v>30001</v>
          </cell>
        </row>
        <row r="107">
          <cell r="A107">
            <v>30002</v>
          </cell>
        </row>
        <row r="108">
          <cell r="A108">
            <v>30003</v>
          </cell>
        </row>
        <row r="109">
          <cell r="A109">
            <v>30004</v>
          </cell>
        </row>
        <row r="110">
          <cell r="A110">
            <v>30005</v>
          </cell>
        </row>
        <row r="111">
          <cell r="A111">
            <v>30006</v>
          </cell>
        </row>
        <row r="112">
          <cell r="A112">
            <v>30007</v>
          </cell>
        </row>
        <row r="113">
          <cell r="A113">
            <v>30008</v>
          </cell>
        </row>
        <row r="114">
          <cell r="A114">
            <v>30009</v>
          </cell>
        </row>
        <row r="115">
          <cell r="A115">
            <v>30010</v>
          </cell>
        </row>
        <row r="116">
          <cell r="A116">
            <v>30011</v>
          </cell>
        </row>
        <row r="117">
          <cell r="A117">
            <v>30012</v>
          </cell>
        </row>
        <row r="118">
          <cell r="A118">
            <v>30013</v>
          </cell>
        </row>
        <row r="119">
          <cell r="A119">
            <v>30014</v>
          </cell>
        </row>
        <row r="120">
          <cell r="A120">
            <v>30015</v>
          </cell>
        </row>
        <row r="121">
          <cell r="A121">
            <v>30016</v>
          </cell>
        </row>
        <row r="122">
          <cell r="A122">
            <v>30017</v>
          </cell>
        </row>
        <row r="123">
          <cell r="A123">
            <v>30018</v>
          </cell>
        </row>
        <row r="124">
          <cell r="A124">
            <v>30019</v>
          </cell>
        </row>
        <row r="125">
          <cell r="A125">
            <v>30020</v>
          </cell>
        </row>
        <row r="126">
          <cell r="A126">
            <v>30021</v>
          </cell>
        </row>
        <row r="127">
          <cell r="A127">
            <v>30022</v>
          </cell>
        </row>
        <row r="128">
          <cell r="A128">
            <v>30023</v>
          </cell>
        </row>
        <row r="129">
          <cell r="A129">
            <v>30024</v>
          </cell>
        </row>
        <row r="130">
          <cell r="A130">
            <v>30025</v>
          </cell>
        </row>
        <row r="131">
          <cell r="A131">
            <v>30026</v>
          </cell>
        </row>
        <row r="132">
          <cell r="A132">
            <v>30027</v>
          </cell>
        </row>
        <row r="133">
          <cell r="A133">
            <v>30028</v>
          </cell>
        </row>
        <row r="134">
          <cell r="A134">
            <v>30029</v>
          </cell>
        </row>
        <row r="135">
          <cell r="A135">
            <v>30030</v>
          </cell>
        </row>
        <row r="136">
          <cell r="A136">
            <v>30031</v>
          </cell>
        </row>
        <row r="137">
          <cell r="A137">
            <v>30032</v>
          </cell>
        </row>
        <row r="138">
          <cell r="A138">
            <v>39001</v>
          </cell>
        </row>
        <row r="139">
          <cell r="A139">
            <v>40001</v>
          </cell>
        </row>
        <row r="140">
          <cell r="A140">
            <v>40002</v>
          </cell>
        </row>
        <row r="141">
          <cell r="A141">
            <v>40003</v>
          </cell>
        </row>
        <row r="142">
          <cell r="A142">
            <v>40004</v>
          </cell>
        </row>
        <row r="143">
          <cell r="A143">
            <v>40005</v>
          </cell>
        </row>
        <row r="144">
          <cell r="A144">
            <v>40006</v>
          </cell>
        </row>
        <row r="145">
          <cell r="A145">
            <v>40007</v>
          </cell>
        </row>
        <row r="146">
          <cell r="A146">
            <v>40008</v>
          </cell>
        </row>
        <row r="147">
          <cell r="A147">
            <v>40009</v>
          </cell>
        </row>
        <row r="148">
          <cell r="A148">
            <v>40010</v>
          </cell>
        </row>
        <row r="149">
          <cell r="A149">
            <v>40011</v>
          </cell>
        </row>
        <row r="150">
          <cell r="A150">
            <v>40012</v>
          </cell>
        </row>
        <row r="151">
          <cell r="A151">
            <v>40013</v>
          </cell>
        </row>
        <row r="152">
          <cell r="A152">
            <v>40014</v>
          </cell>
        </row>
        <row r="153">
          <cell r="A153">
            <v>49001</v>
          </cell>
        </row>
        <row r="154">
          <cell r="A154">
            <v>50001</v>
          </cell>
        </row>
        <row r="155">
          <cell r="A155">
            <v>50002</v>
          </cell>
        </row>
        <row r="156">
          <cell r="A156">
            <v>60001</v>
          </cell>
        </row>
        <row r="157">
          <cell r="A157">
            <v>65535</v>
          </cell>
        </row>
        <row r="158">
          <cell r="A158">
            <v>60021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3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11002_1</v>
          </cell>
          <cell r="B199">
            <v>3</v>
          </cell>
          <cell r="C199">
            <v>11002</v>
          </cell>
          <cell r="D199" t="str">
            <v>【火曜限定】 赤の素材</v>
          </cell>
          <cell r="E199" t="str">
            <v>火曜クエスト</v>
          </cell>
          <cell r="F199">
            <v>1</v>
          </cell>
          <cell r="G199" t="str">
            <v>ja</v>
          </cell>
          <cell r="H199" t="str">
            <v xml:space="preserve">【初級】火のチェシャ猫 </v>
          </cell>
          <cell r="I199" t="str">
            <v>初級</v>
          </cell>
          <cell r="J199">
            <v>101</v>
          </cell>
          <cell r="K199">
            <v>8</v>
          </cell>
          <cell r="L199">
            <v>240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102</v>
          </cell>
          <cell r="AD199">
            <v>6</v>
          </cell>
          <cell r="AE199" t="str">
            <v>everyone</v>
          </cell>
        </row>
        <row r="200">
          <cell r="A200" t="str">
            <v>11002_2</v>
          </cell>
          <cell r="B200">
            <v>3</v>
          </cell>
          <cell r="C200">
            <v>11002</v>
          </cell>
          <cell r="D200" t="str">
            <v>【火曜限定】 赤の素材</v>
          </cell>
          <cell r="E200" t="str">
            <v>火曜クエスト</v>
          </cell>
          <cell r="F200">
            <v>2</v>
          </cell>
          <cell r="G200" t="str">
            <v>ja</v>
          </cell>
          <cell r="H200" t="str">
            <v xml:space="preserve">【中級】火のウサギ </v>
          </cell>
          <cell r="I200" t="str">
            <v>中級</v>
          </cell>
          <cell r="J200">
            <v>102</v>
          </cell>
          <cell r="K200">
            <v>15</v>
          </cell>
          <cell r="L200">
            <v>525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102</v>
          </cell>
          <cell r="AD200">
            <v>6</v>
          </cell>
          <cell r="AE200" t="str">
            <v>everyone</v>
          </cell>
        </row>
        <row r="201">
          <cell r="A201" t="str">
            <v>11002_3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3</v>
          </cell>
          <cell r="G201" t="str">
            <v>ja</v>
          </cell>
          <cell r="H201" t="str">
            <v xml:space="preserve">【上級】火のイモムシ </v>
          </cell>
          <cell r="I201" t="str">
            <v>上級</v>
          </cell>
          <cell r="J201">
            <v>103</v>
          </cell>
          <cell r="K201">
            <v>20</v>
          </cell>
          <cell r="L201">
            <v>860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11003_1</v>
          </cell>
          <cell r="B202">
            <v>3</v>
          </cell>
          <cell r="C202">
            <v>11003</v>
          </cell>
          <cell r="D202" t="str">
            <v>【水曜限定】 青の素材</v>
          </cell>
          <cell r="E202" t="str">
            <v>水曜クエスト</v>
          </cell>
          <cell r="F202">
            <v>1</v>
          </cell>
          <cell r="G202" t="str">
            <v>ja</v>
          </cell>
          <cell r="H202" t="str">
            <v>【初級】水のチェシャ猫</v>
          </cell>
          <cell r="I202" t="str">
            <v>初級</v>
          </cell>
          <cell r="J202">
            <v>109</v>
          </cell>
          <cell r="K202">
            <v>8</v>
          </cell>
          <cell r="L202">
            <v>240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103</v>
          </cell>
          <cell r="AD202">
            <v>6</v>
          </cell>
          <cell r="AE202" t="str">
            <v>everyone</v>
          </cell>
        </row>
        <row r="203">
          <cell r="A203" t="str">
            <v>11003_2</v>
          </cell>
          <cell r="B203">
            <v>3</v>
          </cell>
          <cell r="C203">
            <v>11003</v>
          </cell>
          <cell r="D203" t="str">
            <v>【水曜限定】 青の素材</v>
          </cell>
          <cell r="E203" t="str">
            <v>水曜クエスト</v>
          </cell>
          <cell r="F203">
            <v>2</v>
          </cell>
          <cell r="G203" t="str">
            <v>ja</v>
          </cell>
          <cell r="H203" t="str">
            <v xml:space="preserve">【中級】水のウサギ </v>
          </cell>
          <cell r="I203" t="str">
            <v>中級</v>
          </cell>
          <cell r="J203">
            <v>110</v>
          </cell>
          <cell r="K203">
            <v>15</v>
          </cell>
          <cell r="L203">
            <v>525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103</v>
          </cell>
          <cell r="AD203">
            <v>6</v>
          </cell>
          <cell r="AE203" t="str">
            <v>everyone</v>
          </cell>
        </row>
        <row r="204">
          <cell r="A204" t="str">
            <v>11003_3</v>
          </cell>
          <cell r="B204">
            <v>3</v>
          </cell>
          <cell r="C204">
            <v>11003</v>
          </cell>
          <cell r="D204" t="str">
            <v>【水曜限定】 青の素材</v>
          </cell>
          <cell r="E204" t="str">
            <v>水曜クエスト</v>
          </cell>
          <cell r="F204">
            <v>3</v>
          </cell>
          <cell r="G204" t="str">
            <v>ja</v>
          </cell>
          <cell r="H204" t="str">
            <v>【上級】水のイモムシ</v>
          </cell>
          <cell r="I204" t="str">
            <v>上級</v>
          </cell>
          <cell r="J204">
            <v>111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103</v>
          </cell>
          <cell r="AD204">
            <v>6</v>
          </cell>
          <cell r="AE204" t="str">
            <v>everyone</v>
          </cell>
        </row>
        <row r="205">
          <cell r="A205" t="str">
            <v>11004_1</v>
          </cell>
          <cell r="B205">
            <v>3</v>
          </cell>
          <cell r="C205">
            <v>11004</v>
          </cell>
          <cell r="D205" t="str">
            <v>【木曜限定】 緑の素材</v>
          </cell>
          <cell r="E205" t="str">
            <v>木曜クエスト</v>
          </cell>
          <cell r="F205">
            <v>1</v>
          </cell>
          <cell r="G205" t="str">
            <v>ja</v>
          </cell>
          <cell r="H205" t="str">
            <v xml:space="preserve">【初級】樹のチェシャ猫 </v>
          </cell>
          <cell r="I205" t="str">
            <v>初級</v>
          </cell>
          <cell r="J205">
            <v>105</v>
          </cell>
          <cell r="K205">
            <v>8</v>
          </cell>
          <cell r="L205">
            <v>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104</v>
          </cell>
          <cell r="AD205">
            <v>6</v>
          </cell>
          <cell r="AE205" t="str">
            <v>everyone</v>
          </cell>
        </row>
        <row r="206">
          <cell r="A206" t="str">
            <v>11004_2</v>
          </cell>
          <cell r="B206">
            <v>3</v>
          </cell>
          <cell r="C206">
            <v>11004</v>
          </cell>
          <cell r="D206" t="str">
            <v>【木曜限定】 緑の素材</v>
          </cell>
          <cell r="E206" t="str">
            <v>木曜クエスト</v>
          </cell>
          <cell r="F206">
            <v>2</v>
          </cell>
          <cell r="G206" t="str">
            <v>ja</v>
          </cell>
          <cell r="H206" t="str">
            <v>【中級】樹のウサギ</v>
          </cell>
          <cell r="I206" t="str">
            <v>中級</v>
          </cell>
          <cell r="J206">
            <v>106</v>
          </cell>
          <cell r="K206">
            <v>15</v>
          </cell>
          <cell r="L206">
            <v>525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104</v>
          </cell>
          <cell r="AD206">
            <v>6</v>
          </cell>
          <cell r="AE206" t="str">
            <v>everyone</v>
          </cell>
        </row>
        <row r="207">
          <cell r="A207" t="str">
            <v>11004_3</v>
          </cell>
          <cell r="B207">
            <v>3</v>
          </cell>
          <cell r="C207">
            <v>11004</v>
          </cell>
          <cell r="D207" t="str">
            <v>【木曜限定】 緑の素材</v>
          </cell>
          <cell r="E207" t="str">
            <v>木曜クエスト</v>
          </cell>
          <cell r="F207">
            <v>3</v>
          </cell>
          <cell r="G207" t="str">
            <v>ja</v>
          </cell>
          <cell r="H207" t="str">
            <v xml:space="preserve">【上級】樹のイモムシ </v>
          </cell>
          <cell r="I207" t="str">
            <v>上級</v>
          </cell>
          <cell r="J207">
            <v>107</v>
          </cell>
          <cell r="K207">
            <v>20</v>
          </cell>
          <cell r="L207">
            <v>860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104</v>
          </cell>
          <cell r="AD207">
            <v>6</v>
          </cell>
          <cell r="AE207" t="str">
            <v>everyone</v>
          </cell>
        </row>
        <row r="208">
          <cell r="A208" t="str">
            <v>11005_1</v>
          </cell>
          <cell r="B208">
            <v>3</v>
          </cell>
          <cell r="C208">
            <v>11005</v>
          </cell>
          <cell r="D208" t="str">
            <v>【金曜限定】 帽子屋を追え！</v>
          </cell>
          <cell r="E208" t="str">
            <v>金曜クエスト</v>
          </cell>
          <cell r="F208">
            <v>1</v>
          </cell>
          <cell r="G208" t="str">
            <v>ja</v>
          </cell>
          <cell r="H208" t="str">
            <v xml:space="preserve">【超級】火の帽子屋 </v>
          </cell>
          <cell r="I208" t="str">
            <v>赤R5</v>
          </cell>
          <cell r="J208">
            <v>104</v>
          </cell>
          <cell r="K208">
            <v>30</v>
          </cell>
          <cell r="L208">
            <v>1400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102</v>
          </cell>
          <cell r="AD208">
            <v>6</v>
          </cell>
          <cell r="AE208" t="str">
            <v>everyone</v>
          </cell>
        </row>
        <row r="209">
          <cell r="A209" t="str">
            <v>11005_2</v>
          </cell>
          <cell r="B209">
            <v>3</v>
          </cell>
          <cell r="C209">
            <v>11005</v>
          </cell>
          <cell r="D209" t="str">
            <v>【金曜限定】 帽子屋を追え！</v>
          </cell>
          <cell r="E209" t="str">
            <v>金曜クエスト</v>
          </cell>
          <cell r="F209">
            <v>2</v>
          </cell>
          <cell r="G209" t="str">
            <v>ja</v>
          </cell>
          <cell r="H209" t="str">
            <v xml:space="preserve">【超級】樹の帽子屋 </v>
          </cell>
          <cell r="I209" t="str">
            <v>緑R5</v>
          </cell>
          <cell r="J209">
            <v>108</v>
          </cell>
          <cell r="K209">
            <v>30</v>
          </cell>
          <cell r="L209">
            <v>1400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104</v>
          </cell>
          <cell r="AD209">
            <v>6</v>
          </cell>
          <cell r="AE209" t="str">
            <v>everyone</v>
          </cell>
        </row>
        <row r="210">
          <cell r="A210" t="str">
            <v>11005_3</v>
          </cell>
          <cell r="B210">
            <v>3</v>
          </cell>
          <cell r="C210">
            <v>11005</v>
          </cell>
          <cell r="D210" t="str">
            <v>【金曜限定】 帽子屋を追え！</v>
          </cell>
          <cell r="E210" t="str">
            <v>金曜クエスト</v>
          </cell>
          <cell r="F210">
            <v>3</v>
          </cell>
          <cell r="G210" t="str">
            <v>ja</v>
          </cell>
          <cell r="H210" t="str">
            <v xml:space="preserve">【超級】水の帽子屋 </v>
          </cell>
          <cell r="I210" t="str">
            <v>青R5</v>
          </cell>
          <cell r="J210">
            <v>112</v>
          </cell>
          <cell r="K210">
            <v>30</v>
          </cell>
          <cell r="L210">
            <v>1400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11005_4</v>
          </cell>
          <cell r="B211">
            <v>3</v>
          </cell>
          <cell r="C211">
            <v>11005</v>
          </cell>
          <cell r="D211" t="str">
            <v>【金曜限定】 帽子屋を追え！</v>
          </cell>
          <cell r="E211" t="str">
            <v>金曜クエスト</v>
          </cell>
          <cell r="F211">
            <v>4</v>
          </cell>
          <cell r="G211" t="str">
            <v>ja</v>
          </cell>
          <cell r="H211" t="str">
            <v>【超級】雷の帽子屋</v>
          </cell>
          <cell r="I211" t="str">
            <v>黄R5</v>
          </cell>
          <cell r="J211">
            <v>116</v>
          </cell>
          <cell r="K211">
            <v>30</v>
          </cell>
          <cell r="L211">
            <v>1400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101</v>
          </cell>
          <cell r="AD211">
            <v>6</v>
          </cell>
          <cell r="AE211" t="str">
            <v>everyone</v>
          </cell>
        </row>
        <row r="212">
          <cell r="A212" t="str">
            <v>11006_1</v>
          </cell>
          <cell r="B212">
            <v>3</v>
          </cell>
          <cell r="C212">
            <v>11006</v>
          </cell>
          <cell r="D212" t="str">
            <v>【土日限定】 ゴールドカジノ</v>
          </cell>
          <cell r="E212" t="str">
            <v>土日クエスト</v>
          </cell>
          <cell r="F212">
            <v>1</v>
          </cell>
          <cell r="G212" t="str">
            <v>ja</v>
          </cell>
          <cell r="H212" t="str">
            <v>【初級】ゴールドカジノ</v>
          </cell>
          <cell r="I212" t="str">
            <v>初級</v>
          </cell>
          <cell r="J212">
            <v>117</v>
          </cell>
          <cell r="K212">
            <v>8</v>
          </cell>
          <cell r="L212">
            <v>140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105</v>
          </cell>
          <cell r="AD212">
            <v>6</v>
          </cell>
          <cell r="AE212" t="str">
            <v>everyone</v>
          </cell>
        </row>
        <row r="213">
          <cell r="A213" t="str">
            <v>11006_2</v>
          </cell>
          <cell r="B213">
            <v>3</v>
          </cell>
          <cell r="C213">
            <v>11006</v>
          </cell>
          <cell r="D213" t="str">
            <v>【土日限定】 ゴールドカジノ</v>
          </cell>
          <cell r="E213" t="str">
            <v>土日クエスト</v>
          </cell>
          <cell r="F213">
            <v>2</v>
          </cell>
          <cell r="G213" t="str">
            <v>ja</v>
          </cell>
          <cell r="H213" t="str">
            <v xml:space="preserve">【中級】ゴールドカジノ </v>
          </cell>
          <cell r="I213" t="str">
            <v>中級</v>
          </cell>
          <cell r="J213">
            <v>118</v>
          </cell>
          <cell r="K213">
            <v>15</v>
          </cell>
          <cell r="L213">
            <v>350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105</v>
          </cell>
          <cell r="AD213">
            <v>6</v>
          </cell>
          <cell r="AE213" t="str">
            <v>everyone</v>
          </cell>
        </row>
        <row r="214">
          <cell r="A214" t="str">
            <v>11006_3</v>
          </cell>
          <cell r="B214">
            <v>3</v>
          </cell>
          <cell r="C214">
            <v>11006</v>
          </cell>
          <cell r="D214" t="str">
            <v>【土日限定】 ゴールドカジノ</v>
          </cell>
          <cell r="E214" t="str">
            <v>土日クエスト</v>
          </cell>
          <cell r="F214">
            <v>3</v>
          </cell>
          <cell r="G214" t="str">
            <v>ja</v>
          </cell>
          <cell r="H214" t="str">
            <v xml:space="preserve">【上級】ゴールドカジノ </v>
          </cell>
          <cell r="I214" t="str">
            <v>上級</v>
          </cell>
          <cell r="J214">
            <v>119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105</v>
          </cell>
          <cell r="AD214">
            <v>6</v>
          </cell>
          <cell r="AE214" t="str">
            <v>everyone</v>
          </cell>
        </row>
        <row r="215">
          <cell r="A215" t="str">
            <v>11101_1</v>
          </cell>
          <cell r="B215">
            <v>3</v>
          </cell>
          <cell r="C215">
            <v>11101</v>
          </cell>
          <cell r="D215" t="str">
            <v>【マルチ専用】 黄の素材</v>
          </cell>
          <cell r="E215" t="str">
            <v>月曜クエスト</v>
          </cell>
          <cell r="F215">
            <v>1</v>
          </cell>
          <cell r="G215" t="str">
            <v>ja</v>
          </cell>
          <cell r="H215" t="str">
            <v>【初級】雷のチェシャ猫</v>
          </cell>
          <cell r="I215" t="str">
            <v>初級</v>
          </cell>
          <cell r="J215">
            <v>113</v>
          </cell>
          <cell r="K215">
            <v>8</v>
          </cell>
          <cell r="L215">
            <v>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101</v>
          </cell>
          <cell r="AD215">
            <v>6</v>
          </cell>
          <cell r="AE215" t="str">
            <v>multionly</v>
          </cell>
        </row>
        <row r="216">
          <cell r="A216" t="str">
            <v>11101_2</v>
          </cell>
          <cell r="B216">
            <v>3</v>
          </cell>
          <cell r="C216">
            <v>11101</v>
          </cell>
          <cell r="D216" t="str">
            <v>【マルチ専用】 黄の素材</v>
          </cell>
          <cell r="E216" t="str">
            <v>月曜クエスト</v>
          </cell>
          <cell r="F216">
            <v>2</v>
          </cell>
          <cell r="G216" t="str">
            <v>ja</v>
          </cell>
          <cell r="H216" t="str">
            <v xml:space="preserve">【中級】雷のウサギ </v>
          </cell>
          <cell r="I216" t="str">
            <v>中級</v>
          </cell>
          <cell r="J216">
            <v>114</v>
          </cell>
          <cell r="K216">
            <v>15</v>
          </cell>
          <cell r="L216">
            <v>525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101</v>
          </cell>
          <cell r="AD216">
            <v>6</v>
          </cell>
          <cell r="AE216" t="str">
            <v>multionly</v>
          </cell>
        </row>
        <row r="217">
          <cell r="A217" t="str">
            <v>11101_3</v>
          </cell>
          <cell r="B217">
            <v>3</v>
          </cell>
          <cell r="C217">
            <v>11101</v>
          </cell>
          <cell r="D217" t="str">
            <v>【マルチ専用】 黄の素材</v>
          </cell>
          <cell r="E217" t="str">
            <v>月曜クエスト</v>
          </cell>
          <cell r="F217">
            <v>3</v>
          </cell>
          <cell r="G217" t="str">
            <v>ja</v>
          </cell>
          <cell r="H217" t="str">
            <v>【上級】雷のイモムシ</v>
          </cell>
          <cell r="I217" t="str">
            <v>上級</v>
          </cell>
          <cell r="J217">
            <v>115</v>
          </cell>
          <cell r="K217">
            <v>20</v>
          </cell>
          <cell r="L217">
            <v>860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101</v>
          </cell>
          <cell r="AD217">
            <v>6</v>
          </cell>
          <cell r="AE217" t="str">
            <v>multionly</v>
          </cell>
        </row>
        <row r="218">
          <cell r="A218" t="str">
            <v>11102_1</v>
          </cell>
          <cell r="B218">
            <v>3</v>
          </cell>
          <cell r="C218">
            <v>11102</v>
          </cell>
          <cell r="D218" t="str">
            <v>【マルチ専用】 赤の素材</v>
          </cell>
          <cell r="E218" t="str">
            <v>火曜クエスト</v>
          </cell>
          <cell r="F218">
            <v>1</v>
          </cell>
          <cell r="G218" t="str">
            <v>ja</v>
          </cell>
          <cell r="H218" t="str">
            <v xml:space="preserve">【初級】火のチェシャ猫 </v>
          </cell>
          <cell r="I218" t="str">
            <v>初級</v>
          </cell>
          <cell r="J218">
            <v>101</v>
          </cell>
          <cell r="K218">
            <v>8</v>
          </cell>
          <cell r="L218">
            <v>240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102</v>
          </cell>
          <cell r="AD218">
            <v>6</v>
          </cell>
          <cell r="AE218" t="str">
            <v>multionly</v>
          </cell>
        </row>
        <row r="219">
          <cell r="A219" t="str">
            <v>11102_2</v>
          </cell>
          <cell r="B219">
            <v>3</v>
          </cell>
          <cell r="C219">
            <v>11102</v>
          </cell>
          <cell r="D219" t="str">
            <v>【マルチ専用】 赤の素材</v>
          </cell>
          <cell r="E219" t="str">
            <v>火曜クエスト</v>
          </cell>
          <cell r="F219">
            <v>2</v>
          </cell>
          <cell r="G219" t="str">
            <v>ja</v>
          </cell>
          <cell r="H219" t="str">
            <v xml:space="preserve">【中級】火のウサギ </v>
          </cell>
          <cell r="I219" t="str">
            <v>中級</v>
          </cell>
          <cell r="J219">
            <v>102</v>
          </cell>
          <cell r="K219">
            <v>15</v>
          </cell>
          <cell r="L219">
            <v>525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102</v>
          </cell>
          <cell r="AD219">
            <v>6</v>
          </cell>
          <cell r="AE219" t="str">
            <v>multionly</v>
          </cell>
        </row>
        <row r="220">
          <cell r="A220" t="str">
            <v>11102_3</v>
          </cell>
          <cell r="B220">
            <v>3</v>
          </cell>
          <cell r="C220">
            <v>11102</v>
          </cell>
          <cell r="D220" t="str">
            <v>【マルチ専用】 赤の素材</v>
          </cell>
          <cell r="E220" t="str">
            <v>火曜クエスト</v>
          </cell>
          <cell r="F220">
            <v>3</v>
          </cell>
          <cell r="G220" t="str">
            <v>ja</v>
          </cell>
          <cell r="H220" t="str">
            <v xml:space="preserve">【上級】火のイモムシ </v>
          </cell>
          <cell r="I220" t="str">
            <v>上級</v>
          </cell>
          <cell r="J220">
            <v>103</v>
          </cell>
          <cell r="K220">
            <v>20</v>
          </cell>
          <cell r="L220">
            <v>860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102</v>
          </cell>
          <cell r="AD220">
            <v>6</v>
          </cell>
          <cell r="AE220" t="str">
            <v>multionly</v>
          </cell>
        </row>
        <row r="221">
          <cell r="A221" t="str">
            <v>11103_1</v>
          </cell>
          <cell r="B221">
            <v>3</v>
          </cell>
          <cell r="C221">
            <v>11103</v>
          </cell>
          <cell r="D221" t="str">
            <v>【マルチ専用】 青の素材</v>
          </cell>
          <cell r="E221" t="str">
            <v>水曜クエスト</v>
          </cell>
          <cell r="F221">
            <v>1</v>
          </cell>
          <cell r="G221" t="str">
            <v>ja</v>
          </cell>
          <cell r="H221" t="str">
            <v>【初級】水のチェシャ猫</v>
          </cell>
          <cell r="I221" t="str">
            <v>初級</v>
          </cell>
          <cell r="J221">
            <v>109</v>
          </cell>
          <cell r="K221">
            <v>8</v>
          </cell>
          <cell r="L221">
            <v>240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1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103</v>
          </cell>
          <cell r="AD221">
            <v>6</v>
          </cell>
          <cell r="AE221" t="str">
            <v>multionly</v>
          </cell>
        </row>
        <row r="222">
          <cell r="A222" t="str">
            <v>11103_2</v>
          </cell>
          <cell r="B222">
            <v>3</v>
          </cell>
          <cell r="C222">
            <v>11103</v>
          </cell>
          <cell r="D222" t="str">
            <v>【マルチ専用】 青の素材</v>
          </cell>
          <cell r="E222" t="str">
            <v>水曜クエスト</v>
          </cell>
          <cell r="F222">
            <v>2</v>
          </cell>
          <cell r="G222" t="str">
            <v>ja</v>
          </cell>
          <cell r="H222" t="str">
            <v xml:space="preserve">【中級】水のウサギ </v>
          </cell>
          <cell r="I222" t="str">
            <v>中級</v>
          </cell>
          <cell r="J222">
            <v>110</v>
          </cell>
          <cell r="K222">
            <v>15</v>
          </cell>
          <cell r="L222">
            <v>525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1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103</v>
          </cell>
          <cell r="AD222">
            <v>6</v>
          </cell>
          <cell r="AE222" t="str">
            <v>multionly</v>
          </cell>
        </row>
        <row r="223">
          <cell r="A223" t="str">
            <v>11103_3</v>
          </cell>
          <cell r="B223">
            <v>3</v>
          </cell>
          <cell r="C223">
            <v>11103</v>
          </cell>
          <cell r="D223" t="str">
            <v>【マルチ専用】 青の素材</v>
          </cell>
          <cell r="E223" t="str">
            <v>水曜クエスト</v>
          </cell>
          <cell r="F223">
            <v>3</v>
          </cell>
          <cell r="G223" t="str">
            <v>ja</v>
          </cell>
          <cell r="H223" t="str">
            <v xml:space="preserve">【上級】水のイモムシ </v>
          </cell>
          <cell r="I223" t="str">
            <v>上級</v>
          </cell>
          <cell r="J223">
            <v>111</v>
          </cell>
          <cell r="K223">
            <v>20</v>
          </cell>
          <cell r="L223">
            <v>860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103</v>
          </cell>
          <cell r="AD223">
            <v>6</v>
          </cell>
          <cell r="AE223" t="str">
            <v>multionly</v>
          </cell>
        </row>
        <row r="224">
          <cell r="A224" t="str">
            <v>11104_1</v>
          </cell>
          <cell r="B224">
            <v>3</v>
          </cell>
          <cell r="C224">
            <v>11104</v>
          </cell>
          <cell r="D224" t="str">
            <v>【マルチ専用】 緑の素材</v>
          </cell>
          <cell r="E224" t="str">
            <v>木曜クエスト</v>
          </cell>
          <cell r="F224">
            <v>1</v>
          </cell>
          <cell r="G224" t="str">
            <v>ja</v>
          </cell>
          <cell r="H224" t="str">
            <v xml:space="preserve">【初級】樹のチェシャ猫 </v>
          </cell>
          <cell r="I224" t="str">
            <v>初級</v>
          </cell>
          <cell r="J224">
            <v>105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multionly</v>
          </cell>
        </row>
        <row r="225">
          <cell r="A225" t="str">
            <v>11104_2</v>
          </cell>
          <cell r="B225">
            <v>3</v>
          </cell>
          <cell r="C225">
            <v>11104</v>
          </cell>
          <cell r="D225" t="str">
            <v>【マルチ専用】 緑の素材</v>
          </cell>
          <cell r="E225" t="str">
            <v>木曜クエスト</v>
          </cell>
          <cell r="F225">
            <v>2</v>
          </cell>
          <cell r="G225" t="str">
            <v>ja</v>
          </cell>
          <cell r="H225" t="str">
            <v xml:space="preserve">【中級】樹のウサギ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multionly</v>
          </cell>
        </row>
        <row r="226">
          <cell r="A226" t="str">
            <v>11104_3</v>
          </cell>
          <cell r="B226">
            <v>3</v>
          </cell>
          <cell r="C226">
            <v>11104</v>
          </cell>
          <cell r="D226" t="str">
            <v>【マルチ専用】 緑の素材</v>
          </cell>
          <cell r="E226" t="str">
            <v>木曜クエスト</v>
          </cell>
          <cell r="F226">
            <v>3</v>
          </cell>
          <cell r="G226" t="str">
            <v>ja</v>
          </cell>
          <cell r="H226" t="str">
            <v>【上級】樹のイモムシ</v>
          </cell>
          <cell r="I226" t="str">
            <v>上級</v>
          </cell>
          <cell r="J226">
            <v>107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multionly</v>
          </cell>
        </row>
        <row r="227">
          <cell r="A227" t="str">
            <v>11105_1</v>
          </cell>
          <cell r="B227">
            <v>3</v>
          </cell>
          <cell r="C227">
            <v>11105</v>
          </cell>
          <cell r="D227" t="str">
            <v>【マルチ専用】 帽子屋を追え！</v>
          </cell>
          <cell r="E227" t="str">
            <v>金曜クエスト</v>
          </cell>
          <cell r="F227">
            <v>1</v>
          </cell>
          <cell r="G227" t="str">
            <v>ja</v>
          </cell>
          <cell r="H227" t="str">
            <v xml:space="preserve">【超級】火の帽子屋 </v>
          </cell>
          <cell r="I227" t="str">
            <v>赤R5</v>
          </cell>
          <cell r="J227">
            <v>104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multionly</v>
          </cell>
        </row>
        <row r="228">
          <cell r="A228" t="str">
            <v>11105_2</v>
          </cell>
          <cell r="B228">
            <v>3</v>
          </cell>
          <cell r="C228">
            <v>11105</v>
          </cell>
          <cell r="D228" t="str">
            <v>【マルチ専用】 帽子屋を追え！</v>
          </cell>
          <cell r="E228" t="str">
            <v>金曜クエスト</v>
          </cell>
          <cell r="F228">
            <v>2</v>
          </cell>
          <cell r="G228" t="str">
            <v>ja</v>
          </cell>
          <cell r="H228" t="str">
            <v>【超級】樹の帽子屋</v>
          </cell>
          <cell r="I228" t="str">
            <v>緑R5</v>
          </cell>
          <cell r="J228">
            <v>108</v>
          </cell>
          <cell r="K228">
            <v>30</v>
          </cell>
          <cell r="L228">
            <v>1400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multionly</v>
          </cell>
        </row>
        <row r="229">
          <cell r="A229" t="str">
            <v>11105_3</v>
          </cell>
          <cell r="B229">
            <v>3</v>
          </cell>
          <cell r="C229">
            <v>11105</v>
          </cell>
          <cell r="D229" t="str">
            <v>【マルチ専用】 帽子屋を追え！</v>
          </cell>
          <cell r="E229" t="str">
            <v>金曜クエスト</v>
          </cell>
          <cell r="F229">
            <v>3</v>
          </cell>
          <cell r="G229" t="str">
            <v>ja</v>
          </cell>
          <cell r="H229" t="str">
            <v xml:space="preserve">【超級】水の帽子屋 </v>
          </cell>
          <cell r="I229" t="str">
            <v>青R5</v>
          </cell>
          <cell r="J229">
            <v>112</v>
          </cell>
          <cell r="K229">
            <v>30</v>
          </cell>
          <cell r="L229">
            <v>1400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multionly</v>
          </cell>
        </row>
        <row r="230">
          <cell r="A230" t="str">
            <v>11105_4</v>
          </cell>
          <cell r="B230">
            <v>3</v>
          </cell>
          <cell r="C230">
            <v>11105</v>
          </cell>
          <cell r="D230" t="str">
            <v>【マルチ専用】 帽子屋を追え！</v>
          </cell>
          <cell r="E230" t="str">
            <v>金曜クエスト</v>
          </cell>
          <cell r="F230">
            <v>4</v>
          </cell>
          <cell r="G230" t="str">
            <v>ja</v>
          </cell>
          <cell r="H230" t="str">
            <v xml:space="preserve">【超級】雷の帽子屋 </v>
          </cell>
          <cell r="I230" t="str">
            <v>黄R5</v>
          </cell>
          <cell r="J230">
            <v>116</v>
          </cell>
          <cell r="K230">
            <v>30</v>
          </cell>
          <cell r="L230">
            <v>1400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multionly</v>
          </cell>
        </row>
        <row r="231">
          <cell r="A231" t="str">
            <v>11106_1</v>
          </cell>
          <cell r="B231">
            <v>0</v>
          </cell>
          <cell r="C231">
            <v>11106</v>
          </cell>
          <cell r="D231" t="str">
            <v>【キャンペーン限定】 ゴールドカジノ</v>
          </cell>
          <cell r="E231" t="str">
            <v>土日クエスト1</v>
          </cell>
          <cell r="F231">
            <v>1</v>
          </cell>
          <cell r="G231" t="str">
            <v>ja</v>
          </cell>
          <cell r="H231" t="str">
            <v xml:space="preserve">【初級】ゴールドカジノ </v>
          </cell>
          <cell r="I231" t="str">
            <v>初級</v>
          </cell>
          <cell r="J231">
            <v>117</v>
          </cell>
          <cell r="K231">
            <v>8</v>
          </cell>
          <cell r="L231">
            <v>140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105</v>
          </cell>
          <cell r="AD231">
            <v>6</v>
          </cell>
          <cell r="AE231" t="str">
            <v>everyone</v>
          </cell>
        </row>
        <row r="232">
          <cell r="A232" t="str">
            <v>11106_2</v>
          </cell>
          <cell r="B232">
            <v>0</v>
          </cell>
          <cell r="C232">
            <v>11106</v>
          </cell>
          <cell r="D232" t="str">
            <v>【キャンペーン限定】 ゴールドカジノ</v>
          </cell>
          <cell r="E232" t="str">
            <v>土日クエスト1</v>
          </cell>
          <cell r="F232">
            <v>2</v>
          </cell>
          <cell r="G232" t="str">
            <v>ja</v>
          </cell>
          <cell r="H232" t="str">
            <v xml:space="preserve">【中級】ゴールドカジノ </v>
          </cell>
          <cell r="I232" t="str">
            <v>中級</v>
          </cell>
          <cell r="J232">
            <v>118</v>
          </cell>
          <cell r="K232">
            <v>15</v>
          </cell>
          <cell r="L232">
            <v>350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105</v>
          </cell>
          <cell r="AD232">
            <v>6</v>
          </cell>
          <cell r="AE232" t="str">
            <v>everyone</v>
          </cell>
        </row>
        <row r="233">
          <cell r="A233" t="str">
            <v>11106_3</v>
          </cell>
          <cell r="B233">
            <v>0</v>
          </cell>
          <cell r="C233">
            <v>11106</v>
          </cell>
          <cell r="D233" t="str">
            <v>【キャンペーン限定】 ゴールドカジノ</v>
          </cell>
          <cell r="E233" t="str">
            <v>土日クエスト1</v>
          </cell>
          <cell r="F233">
            <v>3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20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everyone</v>
          </cell>
        </row>
        <row r="234">
          <cell r="A234" t="str">
            <v>11206_1</v>
          </cell>
          <cell r="B234">
            <v>0</v>
          </cell>
          <cell r="C234">
            <v>11206</v>
          </cell>
          <cell r="D234" t="str">
            <v>【キャンペーン限定】 ゴールドカジノ</v>
          </cell>
          <cell r="E234" t="str">
            <v>土日クエスト2</v>
          </cell>
          <cell r="F234">
            <v>1</v>
          </cell>
          <cell r="G234" t="str">
            <v>ja</v>
          </cell>
          <cell r="H234" t="str">
            <v>【初級】ゴールドカジノ</v>
          </cell>
          <cell r="I234" t="str">
            <v>初級</v>
          </cell>
          <cell r="J234">
            <v>117</v>
          </cell>
          <cell r="K234">
            <v>8</v>
          </cell>
          <cell r="L234">
            <v>140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everyone</v>
          </cell>
        </row>
        <row r="235">
          <cell r="A235" t="str">
            <v>11206_2</v>
          </cell>
          <cell r="B235">
            <v>0</v>
          </cell>
          <cell r="C235">
            <v>11206</v>
          </cell>
          <cell r="D235" t="str">
            <v>【キャンペーン限定】 ゴールドカジノ</v>
          </cell>
          <cell r="E235" t="str">
            <v>土日クエスト2</v>
          </cell>
          <cell r="F235">
            <v>2</v>
          </cell>
          <cell r="G235" t="str">
            <v>ja</v>
          </cell>
          <cell r="H235" t="str">
            <v xml:space="preserve">【中級】ゴールドカジノ </v>
          </cell>
          <cell r="I235" t="str">
            <v>中級</v>
          </cell>
          <cell r="J235">
            <v>118</v>
          </cell>
          <cell r="K235">
            <v>15</v>
          </cell>
          <cell r="L235">
            <v>350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11206_3</v>
          </cell>
          <cell r="B236">
            <v>0</v>
          </cell>
          <cell r="C236">
            <v>11206</v>
          </cell>
          <cell r="D236" t="str">
            <v>【キャンペーン限定】 ゴールドカジノ</v>
          </cell>
          <cell r="E236" t="str">
            <v>土日クエスト2</v>
          </cell>
          <cell r="F236">
            <v>3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11016_1</v>
          </cell>
          <cell r="B237">
            <v>3</v>
          </cell>
          <cell r="C237">
            <v>11016</v>
          </cell>
          <cell r="D237" t="str">
            <v>【マルチ専用1/2】 ゴールドカジノ</v>
          </cell>
          <cell r="E237" t="str">
            <v>土日クエスト1</v>
          </cell>
          <cell r="F237">
            <v>1</v>
          </cell>
          <cell r="G237" t="str">
            <v>ja</v>
          </cell>
          <cell r="H237" t="str">
            <v xml:space="preserve">【上級】ゴールドカジノ </v>
          </cell>
          <cell r="I237" t="str">
            <v>上級</v>
          </cell>
          <cell r="J237">
            <v>119</v>
          </cell>
          <cell r="K237">
            <v>10</v>
          </cell>
          <cell r="L237">
            <v>860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105</v>
          </cell>
          <cell r="AD237">
            <v>6</v>
          </cell>
          <cell r="AE237" t="str">
            <v>multionly</v>
          </cell>
        </row>
        <row r="238">
          <cell r="A238" t="str">
            <v>11207_1</v>
          </cell>
          <cell r="B238">
            <v>3</v>
          </cell>
          <cell r="C238">
            <v>11207</v>
          </cell>
          <cell r="D238" t="str">
            <v>果実達の大宴会</v>
          </cell>
          <cell r="E238">
            <v>0</v>
          </cell>
          <cell r="F238">
            <v>1</v>
          </cell>
          <cell r="G238" t="str">
            <v>ja</v>
          </cell>
          <cell r="H238" t="str">
            <v>【上級】果実達の大宴会</v>
          </cell>
          <cell r="I238" t="str">
            <v>ボーナス</v>
          </cell>
          <cell r="J238" t="str">
            <v>NULL</v>
          </cell>
          <cell r="K238">
            <v>20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21</v>
          </cell>
          <cell r="AD238">
            <v>6</v>
          </cell>
          <cell r="AE238" t="str">
            <v>singleonly</v>
          </cell>
        </row>
        <row r="239">
          <cell r="A239" t="str">
            <v>11207_2</v>
          </cell>
          <cell r="B239">
            <v>3</v>
          </cell>
          <cell r="C239">
            <v>11207</v>
          </cell>
          <cell r="D239" t="str">
            <v>果実達の大宴会</v>
          </cell>
          <cell r="E239">
            <v>0</v>
          </cell>
          <cell r="F239">
            <v>2</v>
          </cell>
          <cell r="G239" t="str">
            <v>ja</v>
          </cell>
          <cell r="H239" t="str">
            <v>【超級】果実達の大宴会</v>
          </cell>
          <cell r="I239" t="str">
            <v>ボーナス</v>
          </cell>
          <cell r="J239">
            <v>125</v>
          </cell>
          <cell r="K239">
            <v>40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21</v>
          </cell>
          <cell r="AD239">
            <v>6</v>
          </cell>
          <cell r="AE239" t="str">
            <v>singleonly</v>
          </cell>
        </row>
        <row r="240">
          <cell r="A240" t="str">
            <v>11208_1</v>
          </cell>
          <cell r="B240">
            <v>0</v>
          </cell>
          <cell r="C240">
            <v>11208</v>
          </cell>
          <cell r="D240" t="str">
            <v>果実達の大宴会</v>
          </cell>
          <cell r="E240">
            <v>0</v>
          </cell>
          <cell r="F240">
            <v>1</v>
          </cell>
          <cell r="G240" t="str">
            <v>ja</v>
          </cell>
          <cell r="H240" t="str">
            <v>【上級】果実達の大宴会</v>
          </cell>
          <cell r="I240" t="str">
            <v>ボーナス</v>
          </cell>
          <cell r="J240" t="str">
            <v>NULL</v>
          </cell>
          <cell r="K240">
            <v>20</v>
          </cell>
          <cell r="L240">
            <v>525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21</v>
          </cell>
          <cell r="AD240">
            <v>6</v>
          </cell>
          <cell r="AE240" t="str">
            <v>singleonly</v>
          </cell>
        </row>
        <row r="241">
          <cell r="A241" t="str">
            <v>11208_2</v>
          </cell>
          <cell r="B241">
            <v>0</v>
          </cell>
          <cell r="C241">
            <v>11208</v>
          </cell>
          <cell r="D241" t="str">
            <v>果実達の大宴会</v>
          </cell>
          <cell r="E241">
            <v>0</v>
          </cell>
          <cell r="F241">
            <v>2</v>
          </cell>
          <cell r="G241" t="str">
            <v>ja</v>
          </cell>
          <cell r="H241" t="str">
            <v>【超級】果実達の大宴会</v>
          </cell>
          <cell r="I241" t="str">
            <v>ボーナス</v>
          </cell>
          <cell r="J241">
            <v>125</v>
          </cell>
          <cell r="K241">
            <v>40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21</v>
          </cell>
          <cell r="AD241">
            <v>6</v>
          </cell>
          <cell r="AE241" t="str">
            <v>singleonly</v>
          </cell>
        </row>
        <row r="242">
          <cell r="A242" t="str">
            <v>11209_1</v>
          </cell>
          <cell r="B242">
            <v>3</v>
          </cell>
          <cell r="C242">
            <v>11209</v>
          </cell>
          <cell r="D242" t="str">
            <v>スタートダッシュキャンペーンクエスト</v>
          </cell>
          <cell r="E242" t="str">
            <v>スタートダッシュキャンペーンクエスト</v>
          </cell>
          <cell r="F242">
            <v>1</v>
          </cell>
          <cell r="G242" t="str">
            <v>ja</v>
          </cell>
          <cell r="H242" t="str">
            <v>【初級】メタルダックを捕獲せよ！</v>
          </cell>
          <cell r="I242" t="str">
            <v>経験値ゲリラ</v>
          </cell>
          <cell r="J242">
            <v>334</v>
          </cell>
          <cell r="K242">
            <v>8</v>
          </cell>
          <cell r="L242">
            <v>140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201</v>
          </cell>
          <cell r="AD242">
            <v>6</v>
          </cell>
          <cell r="AE242" t="str">
            <v>everyone</v>
          </cell>
        </row>
        <row r="243">
          <cell r="A243" t="str">
            <v>11209_2</v>
          </cell>
          <cell r="B243">
            <v>3</v>
          </cell>
          <cell r="C243">
            <v>11209</v>
          </cell>
          <cell r="D243" t="str">
            <v>スタートダッシュキャンペーンクエスト</v>
          </cell>
          <cell r="E243" t="str">
            <v>スタートダッシュキャンペーンクエスト</v>
          </cell>
          <cell r="F243">
            <v>2</v>
          </cell>
          <cell r="G243" t="str">
            <v>ja</v>
          </cell>
          <cell r="H243" t="str">
            <v xml:space="preserve">【初級】ゴールドカジノ </v>
          </cell>
          <cell r="I243" t="str">
            <v>初級</v>
          </cell>
          <cell r="J243">
            <v>117</v>
          </cell>
          <cell r="K243">
            <v>8</v>
          </cell>
          <cell r="L243">
            <v>140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105</v>
          </cell>
          <cell r="AD243">
            <v>6</v>
          </cell>
          <cell r="AE243" t="str">
            <v>everyone</v>
          </cell>
        </row>
        <row r="244">
          <cell r="A244" t="str">
            <v>11210_1</v>
          </cell>
          <cell r="B244">
            <v>0</v>
          </cell>
          <cell r="C244">
            <v>11210</v>
          </cell>
          <cell r="D244" t="str">
            <v>100万DL記念★育成ブースト！</v>
          </cell>
          <cell r="E244" t="str">
            <v>ゲリラ【超級】</v>
          </cell>
          <cell r="F244">
            <v>1</v>
          </cell>
          <cell r="G244" t="str">
            <v>ja</v>
          </cell>
          <cell r="H244" t="str">
            <v>【超級】雷のジェントルを追え！</v>
          </cell>
          <cell r="I244" t="str">
            <v>超級ゲリラ</v>
          </cell>
          <cell r="J244">
            <v>347</v>
          </cell>
          <cell r="K244">
            <v>40</v>
          </cell>
          <cell r="L244">
            <v>500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12</v>
          </cell>
          <cell r="AD244">
            <v>6</v>
          </cell>
          <cell r="AE244" t="str">
            <v>singleonly</v>
          </cell>
        </row>
        <row r="245">
          <cell r="A245" t="str">
            <v>11210_2</v>
          </cell>
          <cell r="B245">
            <v>0</v>
          </cell>
          <cell r="C245">
            <v>11210</v>
          </cell>
          <cell r="D245" t="str">
            <v>100万DL記念★育成ブースト！</v>
          </cell>
          <cell r="E245" t="str">
            <v>ゲリラ【超級】</v>
          </cell>
          <cell r="F245">
            <v>2</v>
          </cell>
          <cell r="G245" t="str">
            <v>ja</v>
          </cell>
          <cell r="H245" t="str">
            <v>【超級】水のジェントルを追え！</v>
          </cell>
          <cell r="I245" t="str">
            <v>超級ゲリラ</v>
          </cell>
          <cell r="J245">
            <v>343</v>
          </cell>
          <cell r="K245">
            <v>40</v>
          </cell>
          <cell r="L245">
            <v>500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5</v>
          </cell>
          <cell r="AD245">
            <v>6</v>
          </cell>
          <cell r="AE245" t="str">
            <v>singleonly</v>
          </cell>
        </row>
        <row r="246">
          <cell r="A246" t="str">
            <v>11210_3</v>
          </cell>
          <cell r="B246">
            <v>0</v>
          </cell>
          <cell r="C246">
            <v>11210</v>
          </cell>
          <cell r="D246" t="str">
            <v>100万DL記念★育成ブースト！</v>
          </cell>
          <cell r="E246" t="str">
            <v>ゲリラ【超級】</v>
          </cell>
          <cell r="F246">
            <v>3</v>
          </cell>
          <cell r="G246" t="str">
            <v>ja</v>
          </cell>
          <cell r="H246" t="str">
            <v>【超級】森のジェントルを追え！</v>
          </cell>
          <cell r="I246" t="str">
            <v>超級ゲリラ</v>
          </cell>
          <cell r="J246">
            <v>339</v>
          </cell>
          <cell r="K246">
            <v>40</v>
          </cell>
          <cell r="L246">
            <v>500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7</v>
          </cell>
          <cell r="AD246">
            <v>6</v>
          </cell>
          <cell r="AE246" t="str">
            <v>singleonly</v>
          </cell>
        </row>
        <row r="247">
          <cell r="A247" t="str">
            <v>11210_4</v>
          </cell>
          <cell r="B247">
            <v>0</v>
          </cell>
          <cell r="C247">
            <v>11210</v>
          </cell>
          <cell r="D247" t="str">
            <v>100万DL記念★育成ブースト！</v>
          </cell>
          <cell r="E247" t="str">
            <v>ゲリラ【超級】</v>
          </cell>
          <cell r="F247">
            <v>4</v>
          </cell>
          <cell r="G247" t="str">
            <v>ja</v>
          </cell>
          <cell r="H247" t="str">
            <v>【超級】炎のジェントルを追え！</v>
          </cell>
          <cell r="I247" t="str">
            <v>超級ゲリラ</v>
          </cell>
          <cell r="J247">
            <v>335</v>
          </cell>
          <cell r="K247">
            <v>40</v>
          </cell>
          <cell r="L247">
            <v>500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</v>
          </cell>
          <cell r="AD247">
            <v>6</v>
          </cell>
          <cell r="AE247" t="str">
            <v>singleonly</v>
          </cell>
        </row>
        <row r="248">
          <cell r="A248" t="str">
            <v>11211_1</v>
          </cell>
          <cell r="B248">
            <v>0</v>
          </cell>
          <cell r="C248">
            <v>11211</v>
          </cell>
          <cell r="D248" t="str">
            <v>※欠番</v>
          </cell>
          <cell r="E248" t="str">
            <v>【超級】ゲリラ※欠番</v>
          </cell>
          <cell r="F248">
            <v>1</v>
          </cell>
          <cell r="G248" t="str">
            <v>ja</v>
          </cell>
          <cell r="H248" t="str">
            <v>【超級】雷のジェントルを追え！</v>
          </cell>
          <cell r="I248" t="str">
            <v>超級ゲリラ ※一時利用</v>
          </cell>
          <cell r="J248">
            <v>347</v>
          </cell>
          <cell r="K248">
            <v>40</v>
          </cell>
          <cell r="L248">
            <v>500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12</v>
          </cell>
          <cell r="AD248">
            <v>6</v>
          </cell>
          <cell r="AE248" t="str">
            <v>singleonly</v>
          </cell>
        </row>
        <row r="249">
          <cell r="A249" t="str">
            <v>11211_2</v>
          </cell>
          <cell r="B249">
            <v>0</v>
          </cell>
          <cell r="C249">
            <v>11211</v>
          </cell>
          <cell r="D249" t="str">
            <v>※欠番</v>
          </cell>
          <cell r="E249" t="str">
            <v>【超級】ゲリラ※欠番</v>
          </cell>
          <cell r="F249">
            <v>2</v>
          </cell>
          <cell r="G249" t="str">
            <v>ja</v>
          </cell>
          <cell r="H249" t="str">
            <v>【超級】水のジェントルを追え！</v>
          </cell>
          <cell r="I249" t="str">
            <v>超級ゲリラ ※一時利用</v>
          </cell>
          <cell r="J249">
            <v>343</v>
          </cell>
          <cell r="K249">
            <v>40</v>
          </cell>
          <cell r="L249">
            <v>500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5</v>
          </cell>
          <cell r="AD249">
            <v>6</v>
          </cell>
          <cell r="AE249" t="str">
            <v>singleonly</v>
          </cell>
        </row>
        <row r="250">
          <cell r="A250" t="str">
            <v>11211_3</v>
          </cell>
          <cell r="B250">
            <v>0</v>
          </cell>
          <cell r="C250">
            <v>11211</v>
          </cell>
          <cell r="D250" t="str">
            <v>※欠番</v>
          </cell>
          <cell r="E250" t="str">
            <v>【超級】ゲリラ※欠番</v>
          </cell>
          <cell r="F250">
            <v>3</v>
          </cell>
          <cell r="G250" t="str">
            <v>ja</v>
          </cell>
          <cell r="H250" t="str">
            <v>【超級】森のジェントルを追え！</v>
          </cell>
          <cell r="I250" t="str">
            <v>超級ゲリラ ※一時利用</v>
          </cell>
          <cell r="J250">
            <v>339</v>
          </cell>
          <cell r="K250">
            <v>40</v>
          </cell>
          <cell r="L250">
            <v>500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7</v>
          </cell>
          <cell r="AD250">
            <v>6</v>
          </cell>
          <cell r="AE250" t="str">
            <v>singleonly</v>
          </cell>
        </row>
        <row r="251">
          <cell r="A251" t="str">
            <v>11211_4</v>
          </cell>
          <cell r="B251">
            <v>0</v>
          </cell>
          <cell r="C251">
            <v>11211</v>
          </cell>
          <cell r="D251" t="str">
            <v>※欠番</v>
          </cell>
          <cell r="E251" t="str">
            <v>【超級】ゲリラ※欠番</v>
          </cell>
          <cell r="F251">
            <v>4</v>
          </cell>
          <cell r="G251" t="str">
            <v>ja</v>
          </cell>
          <cell r="H251" t="str">
            <v>【超級】炎のジェントルを追え！</v>
          </cell>
          <cell r="I251" t="str">
            <v>超級ゲリラ ※一時利用</v>
          </cell>
          <cell r="J251">
            <v>335</v>
          </cell>
          <cell r="K251">
            <v>40</v>
          </cell>
          <cell r="L251">
            <v>500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</v>
          </cell>
          <cell r="AD251">
            <v>6</v>
          </cell>
          <cell r="AE251" t="str">
            <v>singleonly</v>
          </cell>
        </row>
        <row r="252">
          <cell r="A252" t="str">
            <v>11212_1</v>
          </cell>
          <cell r="B252">
            <v>0</v>
          </cell>
          <cell r="C252">
            <v>11212</v>
          </cell>
          <cell r="D252" t="str">
            <v>100万DL記念★特別クエスト</v>
          </cell>
          <cell r="E252" t="str">
            <v>100万DL記念★特別クエスト</v>
          </cell>
          <cell r="F252">
            <v>1</v>
          </cell>
          <cell r="G252" t="str">
            <v>ja</v>
          </cell>
          <cell r="H252" t="str">
            <v>ミリオンダックより愛をこめて</v>
          </cell>
          <cell r="I252" t="str">
            <v>100万DL記念限定クエスト</v>
          </cell>
          <cell r="J252">
            <v>97</v>
          </cell>
          <cell r="K252">
            <v>1</v>
          </cell>
          <cell r="L252">
            <v>100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once</v>
          </cell>
          <cell r="AC252">
            <v>1</v>
          </cell>
          <cell r="AD252">
            <v>6</v>
          </cell>
          <cell r="AE252" t="str">
            <v>singleonly</v>
          </cell>
        </row>
        <row r="253">
          <cell r="A253" t="str">
            <v>11213_1</v>
          </cell>
          <cell r="B253">
            <v>0</v>
          </cell>
          <cell r="C253">
            <v>11213</v>
          </cell>
          <cell r="D253" t="str">
            <v>クエスト名</v>
          </cell>
          <cell r="E253" t="str">
            <v>【超級】カジノ</v>
          </cell>
          <cell r="F253">
            <v>1</v>
          </cell>
          <cell r="G253" t="str">
            <v>ja</v>
          </cell>
          <cell r="H253" t="str">
            <v xml:space="preserve">【超級】ゴールドカジノ </v>
          </cell>
          <cell r="I253" t="str">
            <v>超級カジノ</v>
          </cell>
          <cell r="J253">
            <v>119</v>
          </cell>
          <cell r="K253">
            <v>30</v>
          </cell>
          <cell r="L253">
            <v>777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everyone</v>
          </cell>
        </row>
        <row r="254">
          <cell r="A254" t="str">
            <v>11214_1</v>
          </cell>
          <cell r="B254">
            <v>0</v>
          </cell>
          <cell r="C254">
            <v>11214</v>
          </cell>
          <cell r="D254" t="str">
            <v>プロメテウスの恋</v>
          </cell>
          <cell r="E254" t="str">
            <v>2015年クリスマスクエスト</v>
          </cell>
          <cell r="F254">
            <v>1</v>
          </cell>
          <cell r="G254" t="str">
            <v>ja</v>
          </cell>
          <cell r="H254" t="str">
            <v>【ストーリー前編】勢いまかせ</v>
          </cell>
          <cell r="I254" t="str">
            <v>2015年クリスマスクエスト</v>
          </cell>
          <cell r="J254">
            <v>202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character</v>
          </cell>
          <cell r="T254" t="str">
            <v>520,521,522,523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</v>
          </cell>
          <cell r="AD254">
            <v>6</v>
          </cell>
          <cell r="AE254" t="str">
            <v>singleonly</v>
          </cell>
        </row>
        <row r="255">
          <cell r="A255" t="str">
            <v>11214_2</v>
          </cell>
          <cell r="B255">
            <v>0</v>
          </cell>
          <cell r="C255">
            <v>11214</v>
          </cell>
          <cell r="D255" t="str">
            <v>プロメテウスの恋</v>
          </cell>
          <cell r="E255" t="str">
            <v>2015年クリスマスクエスト</v>
          </cell>
          <cell r="F255">
            <v>2</v>
          </cell>
          <cell r="G255" t="str">
            <v>ja</v>
          </cell>
          <cell r="H255" t="str">
            <v>【ストーリー中編】恋の奥義</v>
          </cell>
          <cell r="I255" t="str">
            <v>2015年クリスマスクエスト</v>
          </cell>
          <cell r="J255">
            <v>202</v>
          </cell>
          <cell r="K255">
            <v>1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>
            <v>11214</v>
          </cell>
          <cell r="V255">
            <v>1</v>
          </cell>
          <cell r="W255" t="str">
            <v>【ストーリー前編】勢いまかせ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105</v>
          </cell>
          <cell r="AD255">
            <v>6</v>
          </cell>
          <cell r="AE255" t="str">
            <v>singleonly</v>
          </cell>
        </row>
        <row r="256">
          <cell r="A256" t="str">
            <v>11214_3</v>
          </cell>
          <cell r="B256">
            <v>0</v>
          </cell>
          <cell r="C256">
            <v>11214</v>
          </cell>
          <cell r="D256" t="str">
            <v>プロメテウスの恋</v>
          </cell>
          <cell r="E256" t="str">
            <v>2015年クリスマスクエスト</v>
          </cell>
          <cell r="F256">
            <v>3</v>
          </cell>
          <cell r="G256" t="str">
            <v>ja</v>
          </cell>
          <cell r="H256" t="str">
            <v>【ストーリー後編】フィーバーの力</v>
          </cell>
          <cell r="I256" t="str">
            <v>2015年クリスマスクエスト</v>
          </cell>
          <cell r="J256">
            <v>202</v>
          </cell>
          <cell r="K256">
            <v>1</v>
          </cell>
          <cell r="L256">
            <v>2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character</v>
          </cell>
          <cell r="T256" t="str">
            <v>520,521,522,523</v>
          </cell>
          <cell r="U256">
            <v>11214</v>
          </cell>
          <cell r="V256">
            <v>1</v>
          </cell>
          <cell r="W256" t="str">
            <v>【ストーリー前編】勢いまかせ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105</v>
          </cell>
          <cell r="AD256">
            <v>6</v>
          </cell>
          <cell r="AE256" t="str">
            <v>singleonly</v>
          </cell>
        </row>
        <row r="257">
          <cell r="A257" t="str">
            <v>11215_1</v>
          </cell>
          <cell r="B257">
            <v>0</v>
          </cell>
          <cell r="C257">
            <v>11215</v>
          </cell>
          <cell r="D257" t="str">
            <v>【マルチ】サンタダックを捕獲せよ！</v>
          </cell>
          <cell r="E257" t="str">
            <v>2015年クリスマスゲリラクエスト</v>
          </cell>
          <cell r="F257">
            <v>1</v>
          </cell>
          <cell r="G257" t="str">
            <v>ja</v>
          </cell>
          <cell r="H257" t="str">
            <v>【上級】サンタダックを捕獲せよ！</v>
          </cell>
          <cell r="I257" t="str">
            <v>2015年クリスマスゲリラクエスト</v>
          </cell>
          <cell r="J257">
            <v>520</v>
          </cell>
          <cell r="K257">
            <v>10</v>
          </cell>
          <cell r="L257">
            <v>350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multionly</v>
          </cell>
        </row>
        <row r="258">
          <cell r="A258" t="str">
            <v>11216_1</v>
          </cell>
          <cell r="B258">
            <v>0</v>
          </cell>
          <cell r="C258">
            <v>11216</v>
          </cell>
          <cell r="D258" t="str">
            <v>年越し★特別クエスト</v>
          </cell>
          <cell r="E258" t="str">
            <v>2015年年越しクエスト</v>
          </cell>
          <cell r="F258">
            <v>1</v>
          </cell>
          <cell r="G258" t="str">
            <v>ja</v>
          </cell>
          <cell r="H258" t="str">
            <v>【上級】年を越える宴（ハートなし）</v>
          </cell>
          <cell r="I258" t="str">
            <v>2015年年忘れクエスト</v>
          </cell>
          <cell r="J258">
            <v>377</v>
          </cell>
          <cell r="K258">
            <v>10</v>
          </cell>
          <cell r="L258">
            <v>350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901</v>
          </cell>
          <cell r="AD258">
            <v>6</v>
          </cell>
          <cell r="AE258" t="str">
            <v>multionly</v>
          </cell>
        </row>
        <row r="259">
          <cell r="A259" t="str">
            <v>11217_1</v>
          </cell>
          <cell r="B259">
            <v>0</v>
          </cell>
          <cell r="C259">
            <v>11217</v>
          </cell>
          <cell r="D259" t="str">
            <v>年明け★特別クエスト</v>
          </cell>
          <cell r="E259" t="str">
            <v>2016年あけおめクエスト</v>
          </cell>
          <cell r="F259">
            <v>1</v>
          </cell>
          <cell r="G259" t="str">
            <v>ja</v>
          </cell>
          <cell r="H259" t="str">
            <v>あけおめダックのお年玉</v>
          </cell>
          <cell r="I259" t="str">
            <v>2016年あけおめクエスト</v>
          </cell>
          <cell r="J259">
            <v>524</v>
          </cell>
          <cell r="K259">
            <v>1</v>
          </cell>
          <cell r="L259">
            <v>2016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polygon</v>
          </cell>
          <cell r="T259">
            <v>1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once</v>
          </cell>
          <cell r="AC259">
            <v>2</v>
          </cell>
          <cell r="AD259">
            <v>6</v>
          </cell>
          <cell r="AE259" t="str">
            <v>singleonly</v>
          </cell>
        </row>
        <row r="260">
          <cell r="A260" t="str">
            <v>11218_1</v>
          </cell>
          <cell r="B260">
            <v>3</v>
          </cell>
          <cell r="C260">
            <v>11218</v>
          </cell>
          <cell r="D260" t="str">
            <v>バレンタイン★特別クエスト</v>
          </cell>
          <cell r="E260" t="str">
            <v>2016年バレンタインクエスト</v>
          </cell>
          <cell r="F260">
            <v>1</v>
          </cell>
          <cell r="G260" t="str">
            <v>ja</v>
          </cell>
          <cell r="H260" t="str">
            <v>【ストーリー】バレンタイン狂想曲</v>
          </cell>
          <cell r="I260" t="str">
            <v>ストーリー</v>
          </cell>
          <cell r="J260">
            <v>572</v>
          </cell>
          <cell r="K260">
            <v>1</v>
          </cell>
          <cell r="L260">
            <v>214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polygon</v>
          </cell>
          <cell r="T260">
            <v>1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11219_1</v>
          </cell>
          <cell r="B261">
            <v>3</v>
          </cell>
          <cell r="C261">
            <v>11219</v>
          </cell>
          <cell r="D261" t="str">
            <v>200万DL記念★特別クエスト</v>
          </cell>
          <cell r="E261" t="str">
            <v>200万DL記念★特別クエスト</v>
          </cell>
          <cell r="F261">
            <v>1</v>
          </cell>
          <cell r="G261" t="str">
            <v>ja</v>
          </cell>
          <cell r="H261" t="str">
            <v>ミリオンダックより愛を込めて 2</v>
          </cell>
          <cell r="I261" t="str">
            <v>200万DL記念限定クエスト</v>
          </cell>
          <cell r="J261">
            <v>97</v>
          </cell>
          <cell r="K261">
            <v>1</v>
          </cell>
          <cell r="L261">
            <v>200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polygon</v>
          </cell>
          <cell r="T261">
            <v>1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</v>
          </cell>
          <cell r="AD261">
            <v>6</v>
          </cell>
          <cell r="AE261" t="str">
            <v>singleonly</v>
          </cell>
        </row>
        <row r="262">
          <cell r="A262" t="str">
            <v>11220_1</v>
          </cell>
          <cell r="B262">
            <v>1</v>
          </cell>
          <cell r="C262">
            <v>11220</v>
          </cell>
          <cell r="D262" t="str">
            <v>ホワイトデー★特別クエスト</v>
          </cell>
          <cell r="E262" t="str">
            <v>2016年ホワイトデークエスト</v>
          </cell>
          <cell r="F262">
            <v>1</v>
          </cell>
          <cell r="G262" t="str">
            <v>ja</v>
          </cell>
          <cell r="H262" t="str">
            <v>【ストーリー】ホワイトデー独騒曲</v>
          </cell>
          <cell r="I262" t="str">
            <v>2016年ホワイトデークエスト</v>
          </cell>
          <cell r="J262">
            <v>349</v>
          </cell>
          <cell r="K262">
            <v>1</v>
          </cell>
          <cell r="L262">
            <v>314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polygon</v>
          </cell>
          <cell r="T262">
            <v>1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</v>
          </cell>
          <cell r="AD262">
            <v>6</v>
          </cell>
          <cell r="AE262" t="str">
            <v>singleonly</v>
          </cell>
        </row>
        <row r="263">
          <cell r="A263" t="str">
            <v>11230_1</v>
          </cell>
          <cell r="B263">
            <v>1</v>
          </cell>
          <cell r="C263">
            <v>11230</v>
          </cell>
          <cell r="D263" t="str">
            <v>ホワイトデー★特別クエスト2</v>
          </cell>
          <cell r="E263" t="str">
            <v>2016年ホワイトデークエスト2</v>
          </cell>
          <cell r="F263">
            <v>1</v>
          </cell>
          <cell r="G263" t="str">
            <v>ja</v>
          </cell>
          <cell r="H263" t="str">
            <v>【ストーリー】ホワイトデー独騒曲</v>
          </cell>
          <cell r="I263" t="str">
            <v>2016年ホワイトデークエスト</v>
          </cell>
          <cell r="J263">
            <v>349</v>
          </cell>
          <cell r="K263">
            <v>1</v>
          </cell>
          <cell r="L263">
            <v>314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polygon</v>
          </cell>
          <cell r="T263">
            <v>1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</v>
          </cell>
          <cell r="AD263">
            <v>6</v>
          </cell>
          <cell r="AE263" t="str">
            <v>singleonly</v>
          </cell>
        </row>
        <row r="264">
          <cell r="A264" t="str">
            <v>12001_1</v>
          </cell>
          <cell r="B264">
            <v>3</v>
          </cell>
          <cell r="C264">
            <v>12001</v>
          </cell>
          <cell r="D264" t="str">
            <v>【緊急！！】 アヒル捕獲作戦</v>
          </cell>
          <cell r="E264" t="str">
            <v>ゲリラクエスト</v>
          </cell>
          <cell r="F264">
            <v>1</v>
          </cell>
          <cell r="G264" t="str">
            <v>ja</v>
          </cell>
          <cell r="H264" t="str">
            <v xml:space="preserve">【初級】メタルダックを捕獲せよ！ </v>
          </cell>
          <cell r="I264" t="str">
            <v>経験値ゲリラ</v>
          </cell>
          <cell r="J264">
            <v>334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201</v>
          </cell>
          <cell r="AD264">
            <v>6</v>
          </cell>
          <cell r="AE264" t="str">
            <v>everyone</v>
          </cell>
        </row>
        <row r="265">
          <cell r="A265" t="str">
            <v>12001_2</v>
          </cell>
          <cell r="B265">
            <v>3</v>
          </cell>
          <cell r="C265">
            <v>12001</v>
          </cell>
          <cell r="D265" t="str">
            <v>【緊急！！】 アヒル捕獲作戦</v>
          </cell>
          <cell r="E265" t="str">
            <v>ゲリラクエスト</v>
          </cell>
          <cell r="F265">
            <v>2</v>
          </cell>
          <cell r="G265" t="str">
            <v>ja</v>
          </cell>
          <cell r="H265" t="str">
            <v xml:space="preserve">【上級】メタルダックを捕獲せよ！ </v>
          </cell>
          <cell r="I265" t="str">
            <v>経験値ゲリラ</v>
          </cell>
          <cell r="J265">
            <v>334</v>
          </cell>
          <cell r="K265">
            <v>20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201</v>
          </cell>
          <cell r="AD265">
            <v>6</v>
          </cell>
          <cell r="AE265" t="str">
            <v>everyone</v>
          </cell>
        </row>
        <row r="266">
          <cell r="A266" t="str">
            <v>12001_3</v>
          </cell>
          <cell r="B266">
            <v>0</v>
          </cell>
          <cell r="C266">
            <v>12001</v>
          </cell>
          <cell r="D266" t="str">
            <v>【緊急！！】 アヒル捕獲作戦</v>
          </cell>
          <cell r="E266" t="str">
            <v>ゲリラクエスト</v>
          </cell>
          <cell r="F266">
            <v>3</v>
          </cell>
          <cell r="G266" t="str">
            <v>ja</v>
          </cell>
          <cell r="H266" t="str">
            <v>★100DL記念 マルチ専用★_x000D_【上級】メタルダックを捕獲せよ！</v>
          </cell>
          <cell r="I266" t="str">
            <v>経験値ゲリラ</v>
          </cell>
          <cell r="J266">
            <v>334</v>
          </cell>
          <cell r="K266">
            <v>10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201</v>
          </cell>
          <cell r="AD266">
            <v>6</v>
          </cell>
          <cell r="AE266" t="str">
            <v>multionly</v>
          </cell>
        </row>
        <row r="267">
          <cell r="A267" t="str">
            <v>12002_3</v>
          </cell>
          <cell r="B267">
            <v>0</v>
          </cell>
          <cell r="C267">
            <v>12002</v>
          </cell>
          <cell r="D267" t="str">
            <v>【マルチ専用1/2】 アヒル捕獲作戦</v>
          </cell>
          <cell r="E267" t="str">
            <v>ゲリラクエスト</v>
          </cell>
          <cell r="F267">
            <v>3</v>
          </cell>
          <cell r="G267" t="str">
            <v>ja</v>
          </cell>
          <cell r="H267" t="str">
            <v xml:space="preserve">【初級】メタルダックを捕獲せよ！ </v>
          </cell>
          <cell r="I267" t="str">
            <v>経験値ゲリラ</v>
          </cell>
          <cell r="J267">
            <v>334</v>
          </cell>
          <cell r="K267">
            <v>8</v>
          </cell>
          <cell r="L267">
            <v>140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201</v>
          </cell>
          <cell r="AD267">
            <v>6</v>
          </cell>
          <cell r="AE267" t="str">
            <v>everyone</v>
          </cell>
        </row>
        <row r="268">
          <cell r="A268" t="str">
            <v>12002_2</v>
          </cell>
          <cell r="B268">
            <v>0</v>
          </cell>
          <cell r="C268">
            <v>12002</v>
          </cell>
          <cell r="D268" t="str">
            <v>【マルチ専用1/2】 アヒル捕獲作戦</v>
          </cell>
          <cell r="E268" t="str">
            <v>ゲリラクエスト</v>
          </cell>
          <cell r="F268">
            <v>2</v>
          </cell>
          <cell r="G268" t="str">
            <v>ja</v>
          </cell>
          <cell r="H268" t="str">
            <v xml:space="preserve">【上級】メタルダックを捕獲せよ！ </v>
          </cell>
          <cell r="I268" t="str">
            <v>経験値ゲリラ</v>
          </cell>
          <cell r="J268">
            <v>334</v>
          </cell>
          <cell r="K268">
            <v>20</v>
          </cell>
          <cell r="L268">
            <v>350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201</v>
          </cell>
          <cell r="AD268">
            <v>6</v>
          </cell>
          <cell r="AE268" t="str">
            <v>everyone</v>
          </cell>
        </row>
        <row r="269">
          <cell r="A269" t="str">
            <v>12002_1</v>
          </cell>
          <cell r="B269">
            <v>3</v>
          </cell>
          <cell r="C269">
            <v>12002</v>
          </cell>
          <cell r="D269" t="str">
            <v>【マルチ専用1/2】 アヒル捕獲作戦</v>
          </cell>
          <cell r="E269" t="str">
            <v>ゲリラクエスト</v>
          </cell>
          <cell r="F269">
            <v>1</v>
          </cell>
          <cell r="G269" t="str">
            <v>ja</v>
          </cell>
          <cell r="H269" t="str">
            <v>【上級】メタルダックを捕獲せよ！</v>
          </cell>
          <cell r="I269" t="str">
            <v>経験値ゲリラ</v>
          </cell>
          <cell r="J269">
            <v>334</v>
          </cell>
          <cell r="K269">
            <v>10</v>
          </cell>
          <cell r="L269">
            <v>350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201</v>
          </cell>
          <cell r="AD269">
            <v>6</v>
          </cell>
          <cell r="AE269" t="str">
            <v>multionly</v>
          </cell>
        </row>
        <row r="270">
          <cell r="A270" t="str">
            <v>12003_1</v>
          </cell>
          <cell r="B270">
            <v>3</v>
          </cell>
          <cell r="C270">
            <v>12003</v>
          </cell>
          <cell r="D270" t="str">
            <v>【超緊急！！】メタルジェントルを追え</v>
          </cell>
          <cell r="E270" t="str">
            <v>ゲリラ【超級】</v>
          </cell>
          <cell r="F270">
            <v>1</v>
          </cell>
          <cell r="G270" t="str">
            <v>ja</v>
          </cell>
          <cell r="H270" t="str">
            <v>【超級】雷のジェントルを追え！</v>
          </cell>
          <cell r="I270" t="str">
            <v>超級ゲリラ</v>
          </cell>
          <cell r="J270">
            <v>347</v>
          </cell>
          <cell r="K270">
            <v>40</v>
          </cell>
          <cell r="L270">
            <v>500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12</v>
          </cell>
          <cell r="AD270">
            <v>6</v>
          </cell>
          <cell r="AE270" t="str">
            <v>singleonly</v>
          </cell>
        </row>
        <row r="271">
          <cell r="A271" t="str">
            <v>12003_2</v>
          </cell>
          <cell r="B271">
            <v>3</v>
          </cell>
          <cell r="C271">
            <v>12003</v>
          </cell>
          <cell r="D271" t="str">
            <v>【超緊急！！】メタルジェントルを追え</v>
          </cell>
          <cell r="E271" t="str">
            <v>ゲリラ【超級】</v>
          </cell>
          <cell r="F271">
            <v>2</v>
          </cell>
          <cell r="G271" t="str">
            <v>ja</v>
          </cell>
          <cell r="H271" t="str">
            <v>【超級】水のジェントルを追え！</v>
          </cell>
          <cell r="I271" t="str">
            <v>超級ゲリラ</v>
          </cell>
          <cell r="J271">
            <v>343</v>
          </cell>
          <cell r="K271">
            <v>40</v>
          </cell>
          <cell r="L271">
            <v>500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5</v>
          </cell>
          <cell r="AD271">
            <v>6</v>
          </cell>
          <cell r="AE271" t="str">
            <v>singleonly</v>
          </cell>
        </row>
        <row r="272">
          <cell r="A272" t="str">
            <v>12003_3</v>
          </cell>
          <cell r="B272">
            <v>3</v>
          </cell>
          <cell r="C272">
            <v>12003</v>
          </cell>
          <cell r="D272" t="str">
            <v>【超緊急！！】メタルジェントルを追え</v>
          </cell>
          <cell r="E272" t="str">
            <v>ゲリラ【超級】</v>
          </cell>
          <cell r="F272">
            <v>3</v>
          </cell>
          <cell r="G272" t="str">
            <v>ja</v>
          </cell>
          <cell r="H272" t="str">
            <v>【超級】森のジェントルを追え！</v>
          </cell>
          <cell r="I272" t="str">
            <v>超級ゲリラ</v>
          </cell>
          <cell r="J272">
            <v>339</v>
          </cell>
          <cell r="K272">
            <v>40</v>
          </cell>
          <cell r="L272">
            <v>500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7</v>
          </cell>
          <cell r="AD272">
            <v>6</v>
          </cell>
          <cell r="AE272" t="str">
            <v>singleonly</v>
          </cell>
        </row>
        <row r="273">
          <cell r="A273" t="str">
            <v>12003_4</v>
          </cell>
          <cell r="B273">
            <v>3</v>
          </cell>
          <cell r="C273">
            <v>12003</v>
          </cell>
          <cell r="D273" t="str">
            <v>【超緊急！！】メタルジェントルを追え</v>
          </cell>
          <cell r="E273" t="str">
            <v>ゲリラ【超級】</v>
          </cell>
          <cell r="F273">
            <v>4</v>
          </cell>
          <cell r="G273" t="str">
            <v>ja</v>
          </cell>
          <cell r="H273" t="str">
            <v>【超級】炎のジェントルを追え！</v>
          </cell>
          <cell r="I273" t="str">
            <v>超級ゲリラ</v>
          </cell>
          <cell r="J273">
            <v>335</v>
          </cell>
          <cell r="K273">
            <v>40</v>
          </cell>
          <cell r="L273">
            <v>500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10</v>
          </cell>
          <cell r="AD273">
            <v>6</v>
          </cell>
          <cell r="AE273" t="str">
            <v>singleonly</v>
          </cell>
        </row>
        <row r="274">
          <cell r="A274" t="str">
            <v>12004_1</v>
          </cell>
          <cell r="B274">
            <v>3</v>
          </cell>
          <cell r="C274">
            <v>12004</v>
          </cell>
          <cell r="D274" t="str">
            <v>メタルフロッグをもとめて</v>
          </cell>
          <cell r="E274" t="str">
            <v>イベントクエスト</v>
          </cell>
          <cell r="F274">
            <v>1</v>
          </cell>
          <cell r="G274" t="str">
            <v>ja</v>
          </cell>
          <cell r="H274" t="str">
            <v>【上級】メタルフロッグをもとめて</v>
          </cell>
          <cell r="I274" t="str">
            <v>経験値イベント</v>
          </cell>
          <cell r="J274">
            <v>351</v>
          </cell>
          <cell r="K274">
            <v>20</v>
          </cell>
          <cell r="L274">
            <v>100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23</v>
          </cell>
          <cell r="AD274">
            <v>6</v>
          </cell>
          <cell r="AE274" t="str">
            <v>everyone</v>
          </cell>
        </row>
        <row r="275">
          <cell r="A275" t="str">
            <v>13001_1</v>
          </cell>
          <cell r="B275">
            <v>3</v>
          </cell>
          <cell r="C275">
            <v>13001</v>
          </cell>
          <cell r="D275" t="str">
            <v>チャレンジタワー(ソロ専用)</v>
          </cell>
          <cell r="E275" t="str">
            <v>試練の塔</v>
          </cell>
          <cell r="F275">
            <v>1</v>
          </cell>
          <cell r="G275" t="str">
            <v>ja</v>
          </cell>
          <cell r="H275" t="str">
            <v>チャレンジタワー 1F</v>
          </cell>
          <cell r="I275" t="str">
            <v>試練の塔</v>
          </cell>
          <cell r="J275">
            <v>345</v>
          </cell>
          <cell r="K275">
            <v>3</v>
          </cell>
          <cell r="L275">
            <v>120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345,345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26</v>
          </cell>
          <cell r="AD275">
            <v>6</v>
          </cell>
          <cell r="AE275" t="str">
            <v>singleonly</v>
          </cell>
        </row>
        <row r="276">
          <cell r="A276" t="str">
            <v>13001_2</v>
          </cell>
          <cell r="B276">
            <v>3</v>
          </cell>
          <cell r="C276">
            <v>13001</v>
          </cell>
          <cell r="D276" t="str">
            <v>チャレンジタワー(ソロ専用)</v>
          </cell>
          <cell r="E276" t="str">
            <v>試練の塔</v>
          </cell>
          <cell r="F276">
            <v>2</v>
          </cell>
          <cell r="G276" t="str">
            <v>ja</v>
          </cell>
          <cell r="H276" t="str">
            <v>チャレンジタワー 2F</v>
          </cell>
          <cell r="I276" t="str">
            <v>試練の塔</v>
          </cell>
          <cell r="J276">
            <v>333</v>
          </cell>
          <cell r="K276">
            <v>4</v>
          </cell>
          <cell r="L276">
            <v>176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333,333</v>
          </cell>
          <cell r="U276">
            <v>13001</v>
          </cell>
          <cell r="V276">
            <v>1</v>
          </cell>
          <cell r="W276" t="str">
            <v>チャレンジタワー 1F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26</v>
          </cell>
          <cell r="AD276">
            <v>6</v>
          </cell>
          <cell r="AE276" t="str">
            <v>singleonly</v>
          </cell>
        </row>
        <row r="277">
          <cell r="A277" t="str">
            <v>13001_3</v>
          </cell>
          <cell r="B277">
            <v>3</v>
          </cell>
          <cell r="C277">
            <v>13001</v>
          </cell>
          <cell r="D277" t="str">
            <v>チャレンジタワー(ソロ専用)</v>
          </cell>
          <cell r="E277" t="str">
            <v>試練の塔</v>
          </cell>
          <cell r="F277">
            <v>3</v>
          </cell>
          <cell r="G277" t="str">
            <v>ja</v>
          </cell>
          <cell r="H277" t="str">
            <v>チャレンジタワー 3F</v>
          </cell>
          <cell r="I277" t="str">
            <v>試練の塔</v>
          </cell>
          <cell r="J277">
            <v>337</v>
          </cell>
          <cell r="K277">
            <v>5</v>
          </cell>
          <cell r="L277">
            <v>242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337,337</v>
          </cell>
          <cell r="U277">
            <v>13001</v>
          </cell>
          <cell r="V277">
            <v>2</v>
          </cell>
          <cell r="W277" t="str">
            <v>チャレンジタワー 2F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26</v>
          </cell>
          <cell r="AD277">
            <v>6</v>
          </cell>
          <cell r="AE277" t="str">
            <v>singleonly</v>
          </cell>
        </row>
        <row r="278">
          <cell r="A278" t="str">
            <v>13001_4</v>
          </cell>
          <cell r="B278">
            <v>3</v>
          </cell>
          <cell r="C278">
            <v>13001</v>
          </cell>
          <cell r="D278" t="str">
            <v>チャレンジタワー(ソロ専用)</v>
          </cell>
          <cell r="E278" t="str">
            <v>試練の塔</v>
          </cell>
          <cell r="F278">
            <v>4</v>
          </cell>
          <cell r="G278" t="str">
            <v>ja</v>
          </cell>
          <cell r="H278" t="str">
            <v>チャレンジタワー 4F</v>
          </cell>
          <cell r="I278" t="str">
            <v>試練の塔</v>
          </cell>
          <cell r="J278">
            <v>341</v>
          </cell>
          <cell r="K278">
            <v>7</v>
          </cell>
          <cell r="L278">
            <v>508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character</v>
          </cell>
          <cell r="T278" t="str">
            <v>341,341</v>
          </cell>
          <cell r="U278">
            <v>13001</v>
          </cell>
          <cell r="V278">
            <v>3</v>
          </cell>
          <cell r="W278" t="str">
            <v>チャレンジタワー 3F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26</v>
          </cell>
          <cell r="AD278">
            <v>6</v>
          </cell>
          <cell r="AE278" t="str">
            <v>singleonly</v>
          </cell>
        </row>
        <row r="279">
          <cell r="A279" t="str">
            <v>13001_5</v>
          </cell>
          <cell r="B279">
            <v>3</v>
          </cell>
          <cell r="C279">
            <v>13001</v>
          </cell>
          <cell r="D279" t="str">
            <v>チャレンジタワー(ソロ専用)</v>
          </cell>
          <cell r="E279" t="str">
            <v>試練の塔</v>
          </cell>
          <cell r="F279">
            <v>5</v>
          </cell>
          <cell r="G279" t="str">
            <v>ja</v>
          </cell>
          <cell r="H279" t="str">
            <v>チャレンジタワー 5F</v>
          </cell>
          <cell r="I279" t="str">
            <v>試練の塔</v>
          </cell>
          <cell r="J279">
            <v>333</v>
          </cell>
          <cell r="K279">
            <v>7</v>
          </cell>
          <cell r="L279">
            <v>280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character</v>
          </cell>
          <cell r="T279" t="str">
            <v>333,337,341,345</v>
          </cell>
          <cell r="U279">
            <v>13001</v>
          </cell>
          <cell r="V279">
            <v>4</v>
          </cell>
          <cell r="W279" t="str">
            <v>チャレンジタワー 4F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26</v>
          </cell>
          <cell r="AD279">
            <v>6</v>
          </cell>
          <cell r="AE279" t="str">
            <v>singleonly</v>
          </cell>
        </row>
        <row r="280">
          <cell r="A280" t="str">
            <v>13001_6</v>
          </cell>
          <cell r="B280">
            <v>3</v>
          </cell>
          <cell r="C280">
            <v>13001</v>
          </cell>
          <cell r="D280" t="str">
            <v>チャレンジタワー(ソロ専用)</v>
          </cell>
          <cell r="E280" t="str">
            <v>試練の塔</v>
          </cell>
          <cell r="F280">
            <v>6</v>
          </cell>
          <cell r="G280" t="str">
            <v>ja</v>
          </cell>
          <cell r="H280" t="str">
            <v>チャレンジタワー 6F</v>
          </cell>
          <cell r="I280" t="str">
            <v>試練の塔</v>
          </cell>
          <cell r="J280">
            <v>346</v>
          </cell>
          <cell r="K280">
            <v>8</v>
          </cell>
          <cell r="L280">
            <v>474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character</v>
          </cell>
          <cell r="T280" t="str">
            <v>346,345</v>
          </cell>
          <cell r="U280">
            <v>13001</v>
          </cell>
          <cell r="V280">
            <v>5</v>
          </cell>
          <cell r="W280" t="str">
            <v>チャレンジタワー 5F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26</v>
          </cell>
          <cell r="AD280">
            <v>6</v>
          </cell>
          <cell r="AE280" t="str">
            <v>singleonly</v>
          </cell>
        </row>
        <row r="281">
          <cell r="A281" t="str">
            <v>13001_7</v>
          </cell>
          <cell r="B281">
            <v>3</v>
          </cell>
          <cell r="C281">
            <v>13001</v>
          </cell>
          <cell r="D281" t="str">
            <v>チャレンジタワー(ソロ専用)</v>
          </cell>
          <cell r="E281" t="str">
            <v>試練の塔</v>
          </cell>
          <cell r="F281">
            <v>7</v>
          </cell>
          <cell r="G281" t="str">
            <v>ja</v>
          </cell>
          <cell r="H281" t="str">
            <v>チャレンジタワー 7F</v>
          </cell>
          <cell r="I281" t="str">
            <v>試練の塔</v>
          </cell>
          <cell r="J281">
            <v>342</v>
          </cell>
          <cell r="K281">
            <v>8</v>
          </cell>
          <cell r="L281">
            <v>486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character</v>
          </cell>
          <cell r="T281" t="str">
            <v>342,341</v>
          </cell>
          <cell r="U281">
            <v>13001</v>
          </cell>
          <cell r="V281">
            <v>6</v>
          </cell>
          <cell r="W281" t="str">
            <v>チャレンジタワー 6F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26</v>
          </cell>
          <cell r="AD281">
            <v>6</v>
          </cell>
          <cell r="AE281" t="str">
            <v>singleonly</v>
          </cell>
        </row>
        <row r="282">
          <cell r="A282" t="str">
            <v>13001_8</v>
          </cell>
          <cell r="B282">
            <v>3</v>
          </cell>
          <cell r="C282">
            <v>13001</v>
          </cell>
          <cell r="D282" t="str">
            <v>チャレンジタワー(ソロ専用)</v>
          </cell>
          <cell r="E282" t="str">
            <v>試練の塔</v>
          </cell>
          <cell r="F282">
            <v>8</v>
          </cell>
          <cell r="G282" t="str">
            <v>ja</v>
          </cell>
          <cell r="H282" t="str">
            <v>チャレンジタワー 8F</v>
          </cell>
          <cell r="I282" t="str">
            <v>試練の塔</v>
          </cell>
          <cell r="J282">
            <v>334</v>
          </cell>
          <cell r="K282">
            <v>10</v>
          </cell>
          <cell r="L282">
            <v>1006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character</v>
          </cell>
          <cell r="T282" t="str">
            <v>334,333</v>
          </cell>
          <cell r="U282">
            <v>13001</v>
          </cell>
          <cell r="V282">
            <v>7</v>
          </cell>
          <cell r="W282" t="str">
            <v>チャレンジタワー 7F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26</v>
          </cell>
          <cell r="AD282">
            <v>6</v>
          </cell>
          <cell r="AE282" t="str">
            <v>singleonly</v>
          </cell>
        </row>
        <row r="283">
          <cell r="A283" t="str">
            <v>13001_9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9</v>
          </cell>
          <cell r="G283" t="str">
            <v>ja</v>
          </cell>
          <cell r="H283" t="str">
            <v>チャレンジタワー 9F</v>
          </cell>
          <cell r="I283" t="str">
            <v>試練の塔</v>
          </cell>
          <cell r="J283">
            <v>338</v>
          </cell>
          <cell r="K283">
            <v>10</v>
          </cell>
          <cell r="L283">
            <v>702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337,337,338</v>
          </cell>
          <cell r="U283">
            <v>13001</v>
          </cell>
          <cell r="V283">
            <v>8</v>
          </cell>
          <cell r="W283" t="str">
            <v>チャレンジタワー 8F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13001_10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10</v>
          </cell>
          <cell r="G284" t="str">
            <v>ja</v>
          </cell>
          <cell r="H284" t="str">
            <v>チャレンジタワー 10F</v>
          </cell>
          <cell r="I284" t="str">
            <v>試練の塔</v>
          </cell>
          <cell r="J284">
            <v>346</v>
          </cell>
          <cell r="K284">
            <v>11</v>
          </cell>
          <cell r="L284">
            <v>788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346,333,337,341</v>
          </cell>
          <cell r="U284">
            <v>13001</v>
          </cell>
          <cell r="V284">
            <v>9</v>
          </cell>
          <cell r="W284" t="str">
            <v>チャレンジタワー 9F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13001_11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11</v>
          </cell>
          <cell r="G285" t="str">
            <v>ja</v>
          </cell>
          <cell r="H285" t="str">
            <v>チャレンジタワー 11F</v>
          </cell>
          <cell r="I285" t="str">
            <v>試練の塔</v>
          </cell>
          <cell r="J285">
            <v>346</v>
          </cell>
          <cell r="K285">
            <v>12</v>
          </cell>
          <cell r="L285">
            <v>936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346,346</v>
          </cell>
          <cell r="U285">
            <v>13001</v>
          </cell>
          <cell r="V285">
            <v>10</v>
          </cell>
          <cell r="W285" t="str">
            <v>チャレンジタワー 10F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13001_12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12</v>
          </cell>
          <cell r="G286" t="str">
            <v>ja</v>
          </cell>
          <cell r="H286" t="str">
            <v>チャレンジタワー 12F</v>
          </cell>
          <cell r="I286" t="str">
            <v>試練の塔</v>
          </cell>
          <cell r="J286">
            <v>342</v>
          </cell>
          <cell r="K286">
            <v>13</v>
          </cell>
          <cell r="L286">
            <v>1601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342,342</v>
          </cell>
          <cell r="U286">
            <v>13001</v>
          </cell>
          <cell r="V286">
            <v>11</v>
          </cell>
          <cell r="W286" t="str">
            <v>チャレンジタワー 11F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13001_13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13</v>
          </cell>
          <cell r="G287" t="str">
            <v>ja</v>
          </cell>
          <cell r="H287" t="str">
            <v>チャレンジタワー 13F</v>
          </cell>
          <cell r="I287" t="str">
            <v>試練の塔</v>
          </cell>
          <cell r="J287">
            <v>338</v>
          </cell>
          <cell r="K287">
            <v>14</v>
          </cell>
          <cell r="L287">
            <v>945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338,338</v>
          </cell>
          <cell r="U287">
            <v>13001</v>
          </cell>
          <cell r="V287">
            <v>12</v>
          </cell>
          <cell r="W287" t="str">
            <v>チャレンジタワー 12F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13001_14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14</v>
          </cell>
          <cell r="G288" t="str">
            <v>ja</v>
          </cell>
          <cell r="H288" t="str">
            <v>チャレンジタワー 14F</v>
          </cell>
          <cell r="I288" t="str">
            <v>試練の塔</v>
          </cell>
          <cell r="J288">
            <v>334</v>
          </cell>
          <cell r="K288">
            <v>14</v>
          </cell>
          <cell r="L288">
            <v>1188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334,334</v>
          </cell>
          <cell r="U288">
            <v>13001</v>
          </cell>
          <cell r="V288">
            <v>13</v>
          </cell>
          <cell r="W288" t="str">
            <v>チャレンジタワー 13F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13001_15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15</v>
          </cell>
          <cell r="G289" t="str">
            <v>ja</v>
          </cell>
          <cell r="H289" t="str">
            <v>チャレンジタワー 15F</v>
          </cell>
          <cell r="I289" t="str">
            <v>試練の塔</v>
          </cell>
          <cell r="J289">
            <v>316</v>
          </cell>
          <cell r="K289">
            <v>14</v>
          </cell>
          <cell r="L289">
            <v>1008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316</v>
          </cell>
          <cell r="U289">
            <v>13001</v>
          </cell>
          <cell r="V289">
            <v>14</v>
          </cell>
          <cell r="W289" t="str">
            <v>チャレンジタワー 14F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13001_16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16</v>
          </cell>
          <cell r="G290" t="str">
            <v>ja</v>
          </cell>
          <cell r="H290" t="str">
            <v>チャレンジタワー 16F</v>
          </cell>
          <cell r="I290" t="str">
            <v>試練の塔</v>
          </cell>
          <cell r="J290">
            <v>338</v>
          </cell>
          <cell r="K290">
            <v>16</v>
          </cell>
          <cell r="L290">
            <v>2573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338,338,337</v>
          </cell>
          <cell r="U290">
            <v>13001</v>
          </cell>
          <cell r="V290">
            <v>15</v>
          </cell>
          <cell r="W290" t="str">
            <v>チャレンジタワー 15F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13001_17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17</v>
          </cell>
          <cell r="G291" t="str">
            <v>ja</v>
          </cell>
          <cell r="H291" t="str">
            <v>チャレンジタワー 17F</v>
          </cell>
          <cell r="I291" t="str">
            <v>試練の塔</v>
          </cell>
          <cell r="J291">
            <v>346</v>
          </cell>
          <cell r="K291">
            <v>16</v>
          </cell>
          <cell r="L291">
            <v>1568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346,346,345</v>
          </cell>
          <cell r="U291">
            <v>13001</v>
          </cell>
          <cell r="V291">
            <v>16</v>
          </cell>
          <cell r="W291" t="str">
            <v>チャレンジタワー 16F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13001_18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18</v>
          </cell>
          <cell r="G292" t="str">
            <v>ja</v>
          </cell>
          <cell r="H292" t="str">
            <v>チャレンジタワー 18F</v>
          </cell>
          <cell r="I292" t="str">
            <v>試練の塔</v>
          </cell>
          <cell r="J292">
            <v>334</v>
          </cell>
          <cell r="K292">
            <v>17</v>
          </cell>
          <cell r="L292">
            <v>1821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334,334,333</v>
          </cell>
          <cell r="U292">
            <v>13001</v>
          </cell>
          <cell r="V292">
            <v>17</v>
          </cell>
          <cell r="W292" t="str">
            <v>チャレンジタワー 17F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13001_19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19</v>
          </cell>
          <cell r="G293" t="str">
            <v>ja</v>
          </cell>
          <cell r="H293" t="str">
            <v>チャレンジタワー 19F</v>
          </cell>
          <cell r="I293" t="str">
            <v>試練の塔</v>
          </cell>
          <cell r="J293">
            <v>342</v>
          </cell>
          <cell r="K293">
            <v>18</v>
          </cell>
          <cell r="L293">
            <v>2108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342,342,341</v>
          </cell>
          <cell r="U293">
            <v>13001</v>
          </cell>
          <cell r="V293">
            <v>18</v>
          </cell>
          <cell r="W293" t="str">
            <v>チャレンジタワー 18F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13001_20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20</v>
          </cell>
          <cell r="G294" t="str">
            <v>ja</v>
          </cell>
          <cell r="H294" t="str">
            <v>チャレンジタワー 20F</v>
          </cell>
          <cell r="I294" t="str">
            <v>試練の塔</v>
          </cell>
          <cell r="J294">
            <v>318</v>
          </cell>
          <cell r="K294">
            <v>18</v>
          </cell>
          <cell r="L294">
            <v>1620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318</v>
          </cell>
          <cell r="U294">
            <v>13001</v>
          </cell>
          <cell r="V294">
            <v>19</v>
          </cell>
          <cell r="W294" t="str">
            <v>チャレンジタワー 19F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13001_21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21</v>
          </cell>
          <cell r="G295" t="str">
            <v>ja</v>
          </cell>
          <cell r="H295" t="str">
            <v>チャレンジタワー 21F</v>
          </cell>
          <cell r="I295" t="str">
            <v>試練の塔</v>
          </cell>
          <cell r="J295" t="str">
            <v>335</v>
          </cell>
          <cell r="K295">
            <v>18</v>
          </cell>
          <cell r="L295">
            <v>1620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334,335,335</v>
          </cell>
          <cell r="U295">
            <v>13001</v>
          </cell>
          <cell r="V295">
            <v>20</v>
          </cell>
          <cell r="W295" t="str">
            <v>チャレンジタワー 20F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13001_22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22</v>
          </cell>
          <cell r="G296" t="str">
            <v>ja</v>
          </cell>
          <cell r="H296" t="str">
            <v>チャレンジタワー 22F</v>
          </cell>
          <cell r="I296" t="str">
            <v>試練の塔</v>
          </cell>
          <cell r="J296" t="str">
            <v>339</v>
          </cell>
          <cell r="K296">
            <v>18</v>
          </cell>
          <cell r="L296">
            <v>1620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338,339,339</v>
          </cell>
          <cell r="U296">
            <v>13001</v>
          </cell>
          <cell r="V296">
            <v>21</v>
          </cell>
          <cell r="W296" t="str">
            <v>チャレンジタワー 21F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13001_23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23</v>
          </cell>
          <cell r="G297" t="str">
            <v>ja</v>
          </cell>
          <cell r="H297" t="str">
            <v>チャレンジタワー 23F</v>
          </cell>
          <cell r="I297" t="str">
            <v>試練の塔</v>
          </cell>
          <cell r="J297" t="str">
            <v>347</v>
          </cell>
          <cell r="K297">
            <v>20</v>
          </cell>
          <cell r="L297">
            <v>1821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346,347,347</v>
          </cell>
          <cell r="U297">
            <v>13001</v>
          </cell>
          <cell r="V297">
            <v>22</v>
          </cell>
          <cell r="W297" t="str">
            <v>チャレンジタワー 22F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13001_24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24</v>
          </cell>
          <cell r="G298" t="str">
            <v>ja</v>
          </cell>
          <cell r="H298" t="str">
            <v>チャレンジタワー 24F</v>
          </cell>
          <cell r="I298" t="str">
            <v>試練の塔</v>
          </cell>
          <cell r="J298" t="str">
            <v>343</v>
          </cell>
          <cell r="K298">
            <v>20</v>
          </cell>
          <cell r="L298">
            <v>2871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342,343,343</v>
          </cell>
          <cell r="U298">
            <v>13001</v>
          </cell>
          <cell r="V298">
            <v>23</v>
          </cell>
          <cell r="W298" t="str">
            <v>チャレンジタワー 23F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13001_25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25</v>
          </cell>
          <cell r="G299" t="str">
            <v>ja</v>
          </cell>
          <cell r="H299" t="str">
            <v>チャレンジタワー 25F</v>
          </cell>
          <cell r="I299" t="str">
            <v>試練の塔</v>
          </cell>
          <cell r="J299" t="str">
            <v>368</v>
          </cell>
          <cell r="K299">
            <v>22</v>
          </cell>
          <cell r="L299">
            <v>3740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368</v>
          </cell>
          <cell r="U299">
            <v>13001</v>
          </cell>
          <cell r="V299">
            <v>24</v>
          </cell>
          <cell r="W299" t="str">
            <v>チャレンジタワー 24F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14001_1</v>
          </cell>
          <cell r="B300">
            <v>3</v>
          </cell>
          <cell r="C300">
            <v>14001</v>
          </cell>
          <cell r="D300" t="str">
            <v>【ロック】経験値/ソロ</v>
          </cell>
          <cell r="E300" t="str">
            <v>【ロック】経験値/ソロ</v>
          </cell>
          <cell r="F300">
            <v>1</v>
          </cell>
          <cell r="G300" t="str">
            <v>ja</v>
          </cell>
          <cell r="H300" t="str">
            <v>【超級】雷ファミリー（ハートなし）</v>
          </cell>
          <cell r="I300" t="str">
            <v>【ロッククエスト】経験値</v>
          </cell>
          <cell r="J300">
            <v>347</v>
          </cell>
          <cell r="K300">
            <v>1</v>
          </cell>
          <cell r="L300">
            <v>500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12</v>
          </cell>
          <cell r="AD300">
            <v>6</v>
          </cell>
          <cell r="AE300" t="str">
            <v>singleonly</v>
          </cell>
        </row>
        <row r="301">
          <cell r="A301" t="str">
            <v>14001_2</v>
          </cell>
          <cell r="B301">
            <v>3</v>
          </cell>
          <cell r="C301">
            <v>14001</v>
          </cell>
          <cell r="D301" t="str">
            <v>【ロック】経験値/ソロ</v>
          </cell>
          <cell r="E301" t="str">
            <v>【ロック】経験値/ソロ</v>
          </cell>
          <cell r="F301">
            <v>2</v>
          </cell>
          <cell r="G301" t="str">
            <v>ja</v>
          </cell>
          <cell r="H301" t="str">
            <v>【超級】水ファミリー（ハートなし）</v>
          </cell>
          <cell r="I301" t="str">
            <v>【ロッククエスト】経験値</v>
          </cell>
          <cell r="J301">
            <v>343</v>
          </cell>
          <cell r="K301">
            <v>1</v>
          </cell>
          <cell r="L301">
            <v>500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5</v>
          </cell>
          <cell r="AD301">
            <v>6</v>
          </cell>
          <cell r="AE301" t="str">
            <v>singleonly</v>
          </cell>
        </row>
        <row r="302">
          <cell r="A302" t="str">
            <v>14001_3</v>
          </cell>
          <cell r="B302">
            <v>3</v>
          </cell>
          <cell r="C302">
            <v>14001</v>
          </cell>
          <cell r="D302" t="str">
            <v>【ロック】経験値/ソロ</v>
          </cell>
          <cell r="E302" t="str">
            <v>【ロック】経験値/ソロ</v>
          </cell>
          <cell r="F302">
            <v>3</v>
          </cell>
          <cell r="G302" t="str">
            <v>ja</v>
          </cell>
          <cell r="H302" t="str">
            <v>【超級】森ファミリー（ハートなし）</v>
          </cell>
          <cell r="I302" t="str">
            <v>【ロッククエスト】経験値</v>
          </cell>
          <cell r="J302">
            <v>339</v>
          </cell>
          <cell r="K302">
            <v>1</v>
          </cell>
          <cell r="L302">
            <v>500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7</v>
          </cell>
          <cell r="AD302">
            <v>6</v>
          </cell>
          <cell r="AE302" t="str">
            <v>singleonly</v>
          </cell>
        </row>
        <row r="303">
          <cell r="A303" t="str">
            <v>14001_4</v>
          </cell>
          <cell r="B303">
            <v>3</v>
          </cell>
          <cell r="C303">
            <v>14001</v>
          </cell>
          <cell r="D303" t="str">
            <v>【ロック】経験値/ソロ</v>
          </cell>
          <cell r="E303" t="str">
            <v>【ロック】経験値/ソロ</v>
          </cell>
          <cell r="F303">
            <v>4</v>
          </cell>
          <cell r="G303" t="str">
            <v>ja</v>
          </cell>
          <cell r="H303" t="str">
            <v>【超級】炎ファミリー（ハートなし）</v>
          </cell>
          <cell r="I303" t="str">
            <v>【ロッククエスト】経験値</v>
          </cell>
          <cell r="J303">
            <v>335</v>
          </cell>
          <cell r="K303">
            <v>1</v>
          </cell>
          <cell r="L303">
            <v>500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10</v>
          </cell>
          <cell r="AD303">
            <v>6</v>
          </cell>
          <cell r="AE303" t="str">
            <v>singleonly</v>
          </cell>
        </row>
        <row r="304">
          <cell r="A304" t="str">
            <v>14002_1</v>
          </cell>
          <cell r="B304">
            <v>3</v>
          </cell>
          <cell r="C304">
            <v>14002</v>
          </cell>
          <cell r="D304" t="str">
            <v>【ロック】ビット/ソロ</v>
          </cell>
          <cell r="E304" t="str">
            <v>【ロック】ビット/ソロ</v>
          </cell>
          <cell r="F304">
            <v>1</v>
          </cell>
          <cell r="G304" t="str">
            <v>ja</v>
          </cell>
          <cell r="H304" t="str">
            <v>【超級】ハイローラー（ハートなし）</v>
          </cell>
          <cell r="I304" t="str">
            <v>【ロッククエスト】ビット</v>
          </cell>
          <cell r="J304">
            <v>119</v>
          </cell>
          <cell r="K304">
            <v>1</v>
          </cell>
          <cell r="L304">
            <v>777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0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105</v>
          </cell>
          <cell r="AD304">
            <v>6</v>
          </cell>
          <cell r="AE304" t="str">
            <v>singleonly</v>
          </cell>
        </row>
        <row r="305">
          <cell r="A305" t="str">
            <v>14003_1</v>
          </cell>
          <cell r="B305">
            <v>3</v>
          </cell>
          <cell r="C305">
            <v>14003</v>
          </cell>
          <cell r="D305" t="str">
            <v>【ロック】限界突破/ソロ</v>
          </cell>
          <cell r="E305" t="str">
            <v>【ロック】限界突破/ソロ</v>
          </cell>
          <cell r="F305">
            <v>1</v>
          </cell>
          <cell r="G305" t="str">
            <v>ja</v>
          </cell>
          <cell r="H305" t="str">
            <v>【超級】果実の楽園（ハートなし）</v>
          </cell>
          <cell r="I305" t="str">
            <v>【ロッククエスト】限界突破</v>
          </cell>
          <cell r="J305">
            <v>125</v>
          </cell>
          <cell r="K305">
            <v>1</v>
          </cell>
          <cell r="L305">
            <v>860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0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7</v>
          </cell>
          <cell r="AD305">
            <v>6</v>
          </cell>
          <cell r="AE305" t="str">
            <v>singleonly</v>
          </cell>
        </row>
        <row r="306">
          <cell r="A306" t="str">
            <v>14004_1</v>
          </cell>
          <cell r="B306">
            <v>1</v>
          </cell>
          <cell r="C306">
            <v>14004</v>
          </cell>
          <cell r="D306" t="str">
            <v>【ロック】経験値/LINEマルチ</v>
          </cell>
          <cell r="E306" t="str">
            <v>【ロック】経験値/LINEマルチ</v>
          </cell>
          <cell r="F306">
            <v>1</v>
          </cell>
          <cell r="G306" t="str">
            <v>ja</v>
          </cell>
          <cell r="H306" t="str">
            <v>【超級】雷ファミリー（ハートなし）</v>
          </cell>
          <cell r="I306" t="str">
            <v>【ロッククエスト】経験値</v>
          </cell>
          <cell r="J306">
            <v>347</v>
          </cell>
          <cell r="K306">
            <v>1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0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12</v>
          </cell>
          <cell r="AD306">
            <v>6</v>
          </cell>
          <cell r="AE306" t="str">
            <v>lineonly</v>
          </cell>
        </row>
        <row r="307">
          <cell r="A307" t="str">
            <v>14004_2</v>
          </cell>
          <cell r="B307">
            <v>1</v>
          </cell>
          <cell r="C307">
            <v>14004</v>
          </cell>
          <cell r="D307" t="str">
            <v>【ロック】経験値/LINEマルチ</v>
          </cell>
          <cell r="E307" t="str">
            <v>【ロック】経験値/LINEマルチ</v>
          </cell>
          <cell r="F307">
            <v>2</v>
          </cell>
          <cell r="G307" t="str">
            <v>ja</v>
          </cell>
          <cell r="H307" t="str">
            <v>【超級】水ファミリー（ハートなし）</v>
          </cell>
          <cell r="I307" t="str">
            <v>【ロッククエスト】経験値</v>
          </cell>
          <cell r="J307">
            <v>343</v>
          </cell>
          <cell r="K307">
            <v>1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0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5</v>
          </cell>
          <cell r="AD307">
            <v>6</v>
          </cell>
          <cell r="AE307" t="str">
            <v>lineonly</v>
          </cell>
        </row>
        <row r="308">
          <cell r="A308" t="str">
            <v>14004_3</v>
          </cell>
          <cell r="B308">
            <v>1</v>
          </cell>
          <cell r="C308">
            <v>14004</v>
          </cell>
          <cell r="D308" t="str">
            <v>【ロック】経験値/LINEマルチ</v>
          </cell>
          <cell r="E308" t="str">
            <v>【ロック】経験値/LINEマルチ</v>
          </cell>
          <cell r="F308">
            <v>3</v>
          </cell>
          <cell r="G308" t="str">
            <v>ja</v>
          </cell>
          <cell r="H308" t="str">
            <v>【超級】森ファミリー（ハートなし）</v>
          </cell>
          <cell r="I308" t="str">
            <v>【ロッククエスト】経験値</v>
          </cell>
          <cell r="J308">
            <v>339</v>
          </cell>
          <cell r="K308">
            <v>1</v>
          </cell>
          <cell r="L308">
            <v>500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0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7</v>
          </cell>
          <cell r="AD308">
            <v>6</v>
          </cell>
          <cell r="AE308" t="str">
            <v>lineonly</v>
          </cell>
        </row>
        <row r="309">
          <cell r="A309" t="str">
            <v>14004_4</v>
          </cell>
          <cell r="B309">
            <v>1</v>
          </cell>
          <cell r="C309">
            <v>14004</v>
          </cell>
          <cell r="D309" t="str">
            <v>【ロック】経験値/LINEマルチ</v>
          </cell>
          <cell r="E309" t="str">
            <v>【ロック】経験値/LINEマルチ</v>
          </cell>
          <cell r="F309">
            <v>4</v>
          </cell>
          <cell r="G309" t="str">
            <v>ja</v>
          </cell>
          <cell r="H309" t="str">
            <v>【超級】炎ファミリー（ハートなし）</v>
          </cell>
          <cell r="I309" t="str">
            <v>【ロッククエスト】経験値</v>
          </cell>
          <cell r="J309">
            <v>335</v>
          </cell>
          <cell r="K309">
            <v>1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0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10</v>
          </cell>
          <cell r="AD309">
            <v>6</v>
          </cell>
          <cell r="AE309" t="str">
            <v>lineonly</v>
          </cell>
        </row>
        <row r="310">
          <cell r="A310" t="str">
            <v>14005_1</v>
          </cell>
          <cell r="B310">
            <v>1</v>
          </cell>
          <cell r="C310">
            <v>14005</v>
          </cell>
          <cell r="D310" t="str">
            <v>【ロック】ビット/LINEマルチ</v>
          </cell>
          <cell r="E310" t="str">
            <v>【ロック】ビット/LINEマルチ</v>
          </cell>
          <cell r="F310">
            <v>1</v>
          </cell>
          <cell r="G310" t="str">
            <v>ja</v>
          </cell>
          <cell r="H310" t="str">
            <v>【超級】ハイローラー（ハートなし）</v>
          </cell>
          <cell r="I310" t="str">
            <v>【ロッククエスト】ビット</v>
          </cell>
          <cell r="J310">
            <v>119</v>
          </cell>
          <cell r="K310">
            <v>1</v>
          </cell>
          <cell r="L310">
            <v>777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0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105</v>
          </cell>
          <cell r="AD310">
            <v>6</v>
          </cell>
          <cell r="AE310" t="str">
            <v>lineonly</v>
          </cell>
        </row>
        <row r="311">
          <cell r="A311" t="str">
            <v>14006_1</v>
          </cell>
          <cell r="B311">
            <v>1</v>
          </cell>
          <cell r="C311">
            <v>14006</v>
          </cell>
          <cell r="D311" t="str">
            <v>【ロック】限界突破/LINEマルチ</v>
          </cell>
          <cell r="E311" t="str">
            <v>【ロック】限界突破/LINEマルチ</v>
          </cell>
          <cell r="F311">
            <v>1</v>
          </cell>
          <cell r="G311" t="str">
            <v>ja</v>
          </cell>
          <cell r="H311" t="str">
            <v>【超級】果実の楽園（ハートなし）</v>
          </cell>
          <cell r="I311" t="str">
            <v>【ロッククエスト】限界突破</v>
          </cell>
          <cell r="J311">
            <v>125</v>
          </cell>
          <cell r="K311">
            <v>1</v>
          </cell>
          <cell r="L311">
            <v>860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7</v>
          </cell>
          <cell r="AD311">
            <v>6</v>
          </cell>
          <cell r="AE311" t="str">
            <v>lineonly</v>
          </cell>
        </row>
        <row r="312">
          <cell r="A312" t="str">
            <v>15027_1</v>
          </cell>
          <cell r="B312">
            <v>1</v>
          </cell>
          <cell r="C312">
            <v>15027</v>
          </cell>
          <cell r="D312">
            <v>27</v>
          </cell>
          <cell r="E312" t="str">
            <v>黄青DL6</v>
          </cell>
          <cell r="F312">
            <v>1</v>
          </cell>
          <cell r="G312" t="str">
            <v>ja</v>
          </cell>
          <cell r="H312" t="str">
            <v>27--1</v>
          </cell>
          <cell r="I312" t="str">
            <v>27--1</v>
          </cell>
          <cell r="J312" t="str">
            <v>NULL</v>
          </cell>
          <cell r="K312">
            <v>14</v>
          </cell>
          <cell r="L312">
            <v>14640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27</v>
          </cell>
          <cell r="AD312">
            <v>6</v>
          </cell>
          <cell r="AE312" t="str">
            <v>everyone</v>
          </cell>
        </row>
        <row r="313">
          <cell r="A313" t="str">
            <v>15027_2</v>
          </cell>
          <cell r="B313">
            <v>1</v>
          </cell>
          <cell r="C313">
            <v>15027</v>
          </cell>
          <cell r="D313">
            <v>27</v>
          </cell>
          <cell r="E313" t="str">
            <v>黄青DL6</v>
          </cell>
          <cell r="F313">
            <v>2</v>
          </cell>
          <cell r="G313" t="str">
            <v>ja</v>
          </cell>
          <cell r="H313" t="str">
            <v>27--2</v>
          </cell>
          <cell r="I313" t="str">
            <v>27--2</v>
          </cell>
          <cell r="J313" t="str">
            <v>NULL</v>
          </cell>
          <cell r="K313">
            <v>14</v>
          </cell>
          <cell r="L313">
            <v>14760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27</v>
          </cell>
          <cell r="AD313">
            <v>6</v>
          </cell>
          <cell r="AE313" t="str">
            <v>everyone</v>
          </cell>
        </row>
        <row r="314">
          <cell r="A314" t="str">
            <v>15027_3</v>
          </cell>
          <cell r="B314">
            <v>1</v>
          </cell>
          <cell r="C314">
            <v>15027</v>
          </cell>
          <cell r="D314">
            <v>27</v>
          </cell>
          <cell r="E314" t="str">
            <v>黄青DL6</v>
          </cell>
          <cell r="F314">
            <v>3</v>
          </cell>
          <cell r="G314" t="str">
            <v>ja</v>
          </cell>
          <cell r="H314" t="str">
            <v>27--3</v>
          </cell>
          <cell r="I314" t="str">
            <v>27--3</v>
          </cell>
          <cell r="J314" t="str">
            <v>NULL</v>
          </cell>
          <cell r="K314">
            <v>15</v>
          </cell>
          <cell r="L314">
            <v>14880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27</v>
          </cell>
          <cell r="AD314">
            <v>6</v>
          </cell>
          <cell r="AE314" t="str">
            <v>everyone</v>
          </cell>
        </row>
        <row r="315">
          <cell r="A315" t="str">
            <v>15027_4</v>
          </cell>
          <cell r="B315">
            <v>1</v>
          </cell>
          <cell r="C315">
            <v>15027</v>
          </cell>
          <cell r="D315">
            <v>27</v>
          </cell>
          <cell r="E315" t="str">
            <v>黄青DL6</v>
          </cell>
          <cell r="F315">
            <v>4</v>
          </cell>
          <cell r="G315" t="str">
            <v>ja</v>
          </cell>
          <cell r="H315" t="str">
            <v>27--4</v>
          </cell>
          <cell r="I315" t="str">
            <v>27--4</v>
          </cell>
          <cell r="J315">
            <v>125</v>
          </cell>
          <cell r="K315">
            <v>1</v>
          </cell>
          <cell r="L315">
            <v>1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once</v>
          </cell>
          <cell r="AC315">
            <v>27</v>
          </cell>
          <cell r="AD315">
            <v>6</v>
          </cell>
          <cell r="AE315" t="str">
            <v>singleonly</v>
          </cell>
        </row>
        <row r="316">
          <cell r="A316" t="str">
            <v>15028_1</v>
          </cell>
          <cell r="B316">
            <v>1</v>
          </cell>
          <cell r="C316">
            <v>15028</v>
          </cell>
          <cell r="D316">
            <v>28</v>
          </cell>
          <cell r="E316" t="str">
            <v>赤緑DL6</v>
          </cell>
          <cell r="F316">
            <v>1</v>
          </cell>
          <cell r="G316" t="str">
            <v>ja</v>
          </cell>
          <cell r="H316" t="str">
            <v>28--1</v>
          </cell>
          <cell r="I316" t="str">
            <v>28--1</v>
          </cell>
          <cell r="J316" t="str">
            <v>NULL</v>
          </cell>
          <cell r="K316">
            <v>14</v>
          </cell>
          <cell r="L316">
            <v>14640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27</v>
          </cell>
          <cell r="AD316">
            <v>6</v>
          </cell>
          <cell r="AE316" t="str">
            <v>everyone</v>
          </cell>
        </row>
        <row r="317">
          <cell r="A317" t="str">
            <v>15028_2</v>
          </cell>
          <cell r="B317">
            <v>1</v>
          </cell>
          <cell r="C317">
            <v>15028</v>
          </cell>
          <cell r="D317">
            <v>28</v>
          </cell>
          <cell r="E317" t="str">
            <v>赤緑DL6</v>
          </cell>
          <cell r="F317">
            <v>2</v>
          </cell>
          <cell r="G317" t="str">
            <v>ja</v>
          </cell>
          <cell r="H317" t="str">
            <v>28--2</v>
          </cell>
          <cell r="I317" t="str">
            <v>28--2</v>
          </cell>
          <cell r="J317" t="str">
            <v>NULL</v>
          </cell>
          <cell r="K317">
            <v>14</v>
          </cell>
          <cell r="L317">
            <v>14760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27</v>
          </cell>
          <cell r="AD317">
            <v>6</v>
          </cell>
          <cell r="AE317" t="str">
            <v>everyone</v>
          </cell>
        </row>
        <row r="318">
          <cell r="A318" t="str">
            <v>15028_3</v>
          </cell>
          <cell r="B318">
            <v>1</v>
          </cell>
          <cell r="C318">
            <v>15028</v>
          </cell>
          <cell r="D318">
            <v>28</v>
          </cell>
          <cell r="E318" t="str">
            <v>赤緑DL6</v>
          </cell>
          <cell r="F318">
            <v>3</v>
          </cell>
          <cell r="G318" t="str">
            <v>ja</v>
          </cell>
          <cell r="H318" t="str">
            <v>28--3</v>
          </cell>
          <cell r="I318" t="str">
            <v>28--3</v>
          </cell>
          <cell r="J318" t="str">
            <v>NULL</v>
          </cell>
          <cell r="K318">
            <v>15</v>
          </cell>
          <cell r="L318">
            <v>14880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27</v>
          </cell>
          <cell r="AD318">
            <v>6</v>
          </cell>
          <cell r="AE318" t="str">
            <v>everyone</v>
          </cell>
        </row>
        <row r="319">
          <cell r="A319" t="str">
            <v>15028_4</v>
          </cell>
          <cell r="B319">
            <v>1</v>
          </cell>
          <cell r="C319">
            <v>15028</v>
          </cell>
          <cell r="D319">
            <v>28</v>
          </cell>
          <cell r="E319" t="str">
            <v>赤緑DL6</v>
          </cell>
          <cell r="F319">
            <v>4</v>
          </cell>
          <cell r="G319" t="str">
            <v>ja</v>
          </cell>
          <cell r="H319" t="str">
            <v>28--4</v>
          </cell>
          <cell r="I319" t="str">
            <v>28--4</v>
          </cell>
          <cell r="J319">
            <v>125</v>
          </cell>
          <cell r="K319">
            <v>1</v>
          </cell>
          <cell r="L319">
            <v>1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once</v>
          </cell>
          <cell r="AC319">
            <v>27</v>
          </cell>
          <cell r="AD319">
            <v>6</v>
          </cell>
          <cell r="AE319" t="str">
            <v>singleonly</v>
          </cell>
        </row>
        <row r="320">
          <cell r="A320" t="str">
            <v>15029_1</v>
          </cell>
          <cell r="B320">
            <v>1</v>
          </cell>
          <cell r="C320">
            <v>15029</v>
          </cell>
          <cell r="D320">
            <v>29</v>
          </cell>
          <cell r="E320" t="str">
            <v>緑黄DL6</v>
          </cell>
          <cell r="F320">
            <v>1</v>
          </cell>
          <cell r="G320" t="str">
            <v>ja</v>
          </cell>
          <cell r="H320" t="str">
            <v>29--1</v>
          </cell>
          <cell r="I320" t="str">
            <v>29--1</v>
          </cell>
          <cell r="J320" t="str">
            <v>NULL</v>
          </cell>
          <cell r="K320">
            <v>14</v>
          </cell>
          <cell r="L320">
            <v>14640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27</v>
          </cell>
          <cell r="AD320">
            <v>6</v>
          </cell>
          <cell r="AE320" t="str">
            <v>everyone</v>
          </cell>
        </row>
        <row r="321">
          <cell r="A321" t="str">
            <v>15029_2</v>
          </cell>
          <cell r="B321">
            <v>1</v>
          </cell>
          <cell r="C321">
            <v>15029</v>
          </cell>
          <cell r="D321">
            <v>29</v>
          </cell>
          <cell r="E321" t="str">
            <v>緑黄DL6</v>
          </cell>
          <cell r="F321">
            <v>2</v>
          </cell>
          <cell r="G321" t="str">
            <v>ja</v>
          </cell>
          <cell r="H321" t="str">
            <v>29--2</v>
          </cell>
          <cell r="I321" t="str">
            <v>29--2</v>
          </cell>
          <cell r="J321" t="str">
            <v>NULL</v>
          </cell>
          <cell r="K321">
            <v>14</v>
          </cell>
          <cell r="L321">
            <v>14760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27</v>
          </cell>
          <cell r="AD321">
            <v>6</v>
          </cell>
          <cell r="AE321" t="str">
            <v>everyone</v>
          </cell>
        </row>
        <row r="322">
          <cell r="A322" t="str">
            <v>15029_3</v>
          </cell>
          <cell r="B322">
            <v>1</v>
          </cell>
          <cell r="C322">
            <v>15029</v>
          </cell>
          <cell r="D322">
            <v>29</v>
          </cell>
          <cell r="E322" t="str">
            <v>緑黄DL6</v>
          </cell>
          <cell r="F322">
            <v>3</v>
          </cell>
          <cell r="G322" t="str">
            <v>ja</v>
          </cell>
          <cell r="H322" t="str">
            <v>29--3</v>
          </cell>
          <cell r="I322" t="str">
            <v>29--3</v>
          </cell>
          <cell r="J322" t="str">
            <v>NULL</v>
          </cell>
          <cell r="K322">
            <v>15</v>
          </cell>
          <cell r="L322">
            <v>14880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27</v>
          </cell>
          <cell r="AD322">
            <v>6</v>
          </cell>
          <cell r="AE322" t="str">
            <v>everyone</v>
          </cell>
        </row>
        <row r="323">
          <cell r="A323" t="str">
            <v>15029_4</v>
          </cell>
          <cell r="B323">
            <v>1</v>
          </cell>
          <cell r="C323">
            <v>15029</v>
          </cell>
          <cell r="D323">
            <v>29</v>
          </cell>
          <cell r="E323" t="str">
            <v>緑黄DL6</v>
          </cell>
          <cell r="F323">
            <v>4</v>
          </cell>
          <cell r="G323" t="str">
            <v>ja</v>
          </cell>
          <cell r="H323" t="str">
            <v>29--4</v>
          </cell>
          <cell r="I323" t="str">
            <v>29--4</v>
          </cell>
          <cell r="J323">
            <v>125</v>
          </cell>
          <cell r="K323">
            <v>1</v>
          </cell>
          <cell r="L323">
            <v>1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once</v>
          </cell>
          <cell r="AC323">
            <v>27</v>
          </cell>
          <cell r="AD323">
            <v>6</v>
          </cell>
          <cell r="AE323" t="str">
            <v>singleonly</v>
          </cell>
        </row>
        <row r="324">
          <cell r="A324" t="str">
            <v>15030_1</v>
          </cell>
          <cell r="B324">
            <v>1</v>
          </cell>
          <cell r="C324">
            <v>15030</v>
          </cell>
          <cell r="D324">
            <v>30</v>
          </cell>
          <cell r="E324" t="str">
            <v>赤青DL6</v>
          </cell>
          <cell r="F324">
            <v>1</v>
          </cell>
          <cell r="G324" t="str">
            <v>ja</v>
          </cell>
          <cell r="H324" t="str">
            <v>30--1</v>
          </cell>
          <cell r="I324" t="str">
            <v>30--1</v>
          </cell>
          <cell r="J324" t="str">
            <v>NULL</v>
          </cell>
          <cell r="K324">
            <v>14</v>
          </cell>
          <cell r="L324">
            <v>14640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27</v>
          </cell>
          <cell r="AD324">
            <v>6</v>
          </cell>
          <cell r="AE324" t="str">
            <v>everyone</v>
          </cell>
        </row>
        <row r="325">
          <cell r="A325" t="str">
            <v>15030_2</v>
          </cell>
          <cell r="B325">
            <v>1</v>
          </cell>
          <cell r="C325">
            <v>15030</v>
          </cell>
          <cell r="D325">
            <v>30</v>
          </cell>
          <cell r="E325" t="str">
            <v>赤青DL6</v>
          </cell>
          <cell r="F325">
            <v>2</v>
          </cell>
          <cell r="G325" t="str">
            <v>ja</v>
          </cell>
          <cell r="H325" t="str">
            <v>30--2</v>
          </cell>
          <cell r="I325" t="str">
            <v>30--2</v>
          </cell>
          <cell r="J325" t="str">
            <v>NULL</v>
          </cell>
          <cell r="K325">
            <v>14</v>
          </cell>
          <cell r="L325">
            <v>14760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27</v>
          </cell>
          <cell r="AD325">
            <v>6</v>
          </cell>
          <cell r="AE325" t="str">
            <v>everyone</v>
          </cell>
        </row>
        <row r="326">
          <cell r="A326" t="str">
            <v>15030_3</v>
          </cell>
          <cell r="B326">
            <v>1</v>
          </cell>
          <cell r="C326">
            <v>15030</v>
          </cell>
          <cell r="D326">
            <v>30</v>
          </cell>
          <cell r="E326" t="str">
            <v>赤青DL6</v>
          </cell>
          <cell r="F326">
            <v>3</v>
          </cell>
          <cell r="G326" t="str">
            <v>ja</v>
          </cell>
          <cell r="H326" t="str">
            <v>30--3</v>
          </cell>
          <cell r="I326" t="str">
            <v>30--3</v>
          </cell>
          <cell r="J326" t="str">
            <v>NULL</v>
          </cell>
          <cell r="K326">
            <v>15</v>
          </cell>
          <cell r="L326">
            <v>14880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27</v>
          </cell>
          <cell r="AD326">
            <v>6</v>
          </cell>
          <cell r="AE326" t="str">
            <v>everyone</v>
          </cell>
        </row>
        <row r="327">
          <cell r="A327" t="str">
            <v>15030_4</v>
          </cell>
          <cell r="B327">
            <v>1</v>
          </cell>
          <cell r="C327">
            <v>15030</v>
          </cell>
          <cell r="D327">
            <v>30</v>
          </cell>
          <cell r="E327" t="str">
            <v>赤青DL6</v>
          </cell>
          <cell r="F327">
            <v>4</v>
          </cell>
          <cell r="G327" t="str">
            <v>ja</v>
          </cell>
          <cell r="H327" t="str">
            <v>30--4</v>
          </cell>
          <cell r="I327" t="str">
            <v>30--4</v>
          </cell>
          <cell r="J327">
            <v>125</v>
          </cell>
          <cell r="K327">
            <v>1</v>
          </cell>
          <cell r="L327">
            <v>1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once</v>
          </cell>
          <cell r="AC327">
            <v>27</v>
          </cell>
          <cell r="AD327">
            <v>6</v>
          </cell>
          <cell r="AE327" t="str">
            <v>singleonly</v>
          </cell>
        </row>
        <row r="328">
          <cell r="A328" t="str">
            <v>15031_1</v>
          </cell>
          <cell r="B328">
            <v>1</v>
          </cell>
          <cell r="C328">
            <v>15031</v>
          </cell>
          <cell r="D328">
            <v>31</v>
          </cell>
          <cell r="E328" t="str">
            <v>混色DL6</v>
          </cell>
          <cell r="F328">
            <v>1</v>
          </cell>
          <cell r="G328" t="str">
            <v>ja</v>
          </cell>
          <cell r="H328" t="str">
            <v>31--1</v>
          </cell>
          <cell r="I328" t="str">
            <v>31--1</v>
          </cell>
          <cell r="J328" t="str">
            <v>NULL</v>
          </cell>
          <cell r="K328">
            <v>14</v>
          </cell>
          <cell r="L328">
            <v>14640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27</v>
          </cell>
          <cell r="AD328">
            <v>6</v>
          </cell>
          <cell r="AE328" t="str">
            <v>everyone</v>
          </cell>
        </row>
        <row r="329">
          <cell r="A329" t="str">
            <v>15031_2</v>
          </cell>
          <cell r="B329">
            <v>1</v>
          </cell>
          <cell r="C329">
            <v>15031</v>
          </cell>
          <cell r="D329">
            <v>31</v>
          </cell>
          <cell r="E329" t="str">
            <v>混色DL6</v>
          </cell>
          <cell r="F329">
            <v>2</v>
          </cell>
          <cell r="G329" t="str">
            <v>ja</v>
          </cell>
          <cell r="H329" t="str">
            <v>31--2</v>
          </cell>
          <cell r="I329" t="str">
            <v>31--2</v>
          </cell>
          <cell r="J329" t="str">
            <v>NULL</v>
          </cell>
          <cell r="K329">
            <v>14</v>
          </cell>
          <cell r="L329">
            <v>14760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27</v>
          </cell>
          <cell r="AD329">
            <v>6</v>
          </cell>
          <cell r="AE329" t="str">
            <v>everyone</v>
          </cell>
        </row>
        <row r="330">
          <cell r="A330" t="str">
            <v>15031_3</v>
          </cell>
          <cell r="B330">
            <v>1</v>
          </cell>
          <cell r="C330">
            <v>15031</v>
          </cell>
          <cell r="D330">
            <v>31</v>
          </cell>
          <cell r="E330" t="str">
            <v>混色DL6</v>
          </cell>
          <cell r="F330">
            <v>3</v>
          </cell>
          <cell r="G330" t="str">
            <v>ja</v>
          </cell>
          <cell r="H330" t="str">
            <v>31--3</v>
          </cell>
          <cell r="I330" t="str">
            <v>31--3</v>
          </cell>
          <cell r="J330" t="str">
            <v>NULL</v>
          </cell>
          <cell r="K330">
            <v>15</v>
          </cell>
          <cell r="L330">
            <v>14880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27</v>
          </cell>
          <cell r="AD330">
            <v>6</v>
          </cell>
          <cell r="AE330" t="str">
            <v>everyone</v>
          </cell>
        </row>
        <row r="331">
          <cell r="A331" t="str">
            <v>15031_4</v>
          </cell>
          <cell r="B331">
            <v>1</v>
          </cell>
          <cell r="C331">
            <v>15031</v>
          </cell>
          <cell r="D331">
            <v>31</v>
          </cell>
          <cell r="E331" t="str">
            <v>混色DL6</v>
          </cell>
          <cell r="F331">
            <v>4</v>
          </cell>
          <cell r="G331" t="str">
            <v>ja</v>
          </cell>
          <cell r="H331" t="str">
            <v>31--4</v>
          </cell>
          <cell r="I331" t="str">
            <v>31--4</v>
          </cell>
          <cell r="J331">
            <v>125</v>
          </cell>
          <cell r="K331">
            <v>1</v>
          </cell>
          <cell r="L331">
            <v>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once</v>
          </cell>
          <cell r="AC331">
            <v>27</v>
          </cell>
          <cell r="AD331">
            <v>6</v>
          </cell>
          <cell r="AE331" t="str">
            <v>singleonly</v>
          </cell>
        </row>
        <row r="332">
          <cell r="A332" t="str">
            <v>20001_1</v>
          </cell>
          <cell r="B332">
            <v>3</v>
          </cell>
          <cell r="C332">
            <v>20001</v>
          </cell>
          <cell r="D332" t="str">
            <v>紅き執行者</v>
          </cell>
          <cell r="E332" t="str">
            <v>ドロップイベント1-1</v>
          </cell>
          <cell r="F332">
            <v>1</v>
          </cell>
          <cell r="G332" t="str">
            <v>ja</v>
          </cell>
          <cell r="H332" t="str">
            <v xml:space="preserve">【初級】紅き執行者 </v>
          </cell>
          <cell r="I332" t="str">
            <v>初級</v>
          </cell>
          <cell r="J332">
            <v>262</v>
          </cell>
          <cell r="K332">
            <v>8</v>
          </cell>
          <cell r="L332">
            <v>384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14</v>
          </cell>
          <cell r="AD332">
            <v>6</v>
          </cell>
          <cell r="AE332" t="str">
            <v>everyone</v>
          </cell>
        </row>
        <row r="333">
          <cell r="A333" t="str">
            <v>20001_2</v>
          </cell>
          <cell r="B333">
            <v>3</v>
          </cell>
          <cell r="C333">
            <v>20001</v>
          </cell>
          <cell r="D333" t="str">
            <v>紅き執行者</v>
          </cell>
          <cell r="E333" t="str">
            <v>ドロップイベント1-1</v>
          </cell>
          <cell r="F333">
            <v>2</v>
          </cell>
          <cell r="G333" t="str">
            <v>ja</v>
          </cell>
          <cell r="H333" t="str">
            <v>【中級】紅き執行者</v>
          </cell>
          <cell r="I333" t="str">
            <v>中級</v>
          </cell>
          <cell r="J333">
            <v>262</v>
          </cell>
          <cell r="K333">
            <v>15</v>
          </cell>
          <cell r="L333">
            <v>1200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14</v>
          </cell>
          <cell r="AD333">
            <v>6</v>
          </cell>
          <cell r="AE333" t="str">
            <v>everyone</v>
          </cell>
        </row>
        <row r="334">
          <cell r="A334" t="str">
            <v>20001_3</v>
          </cell>
          <cell r="B334">
            <v>3</v>
          </cell>
          <cell r="C334">
            <v>20001</v>
          </cell>
          <cell r="D334" t="str">
            <v>紅き執行者</v>
          </cell>
          <cell r="E334" t="str">
            <v>ドロップイベント1-1</v>
          </cell>
          <cell r="F334">
            <v>3</v>
          </cell>
          <cell r="G334" t="str">
            <v>ja</v>
          </cell>
          <cell r="H334" t="str">
            <v xml:space="preserve">【上級】紅き執行者 </v>
          </cell>
          <cell r="I334" t="str">
            <v>上級</v>
          </cell>
          <cell r="J334">
            <v>263</v>
          </cell>
          <cell r="K334">
            <v>20</v>
          </cell>
          <cell r="L334">
            <v>2000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polygon</v>
          </cell>
          <cell r="T334">
            <v>1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14</v>
          </cell>
          <cell r="AD334">
            <v>6</v>
          </cell>
          <cell r="AE334" t="str">
            <v>everyone</v>
          </cell>
        </row>
        <row r="335">
          <cell r="A335" t="str">
            <v>20002_1</v>
          </cell>
          <cell r="B335">
            <v>3</v>
          </cell>
          <cell r="C335">
            <v>20002</v>
          </cell>
          <cell r="D335" t="str">
            <v>孤高の一角獣</v>
          </cell>
          <cell r="E335" t="str">
            <v>ドロップイベント1-2</v>
          </cell>
          <cell r="F335">
            <v>1</v>
          </cell>
          <cell r="G335" t="str">
            <v>ja</v>
          </cell>
          <cell r="H335" t="str">
            <v>【初級】孤高の一角獣(ハートなし)</v>
          </cell>
          <cell r="I335" t="str">
            <v>初級</v>
          </cell>
          <cell r="J335">
            <v>264</v>
          </cell>
          <cell r="K335">
            <v>8</v>
          </cell>
          <cell r="L335">
            <v>384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0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19</v>
          </cell>
          <cell r="AD335">
            <v>6</v>
          </cell>
          <cell r="AE335" t="str">
            <v>everyone</v>
          </cell>
        </row>
        <row r="336">
          <cell r="A336" t="str">
            <v>20002_2</v>
          </cell>
          <cell r="B336">
            <v>3</v>
          </cell>
          <cell r="C336">
            <v>20002</v>
          </cell>
          <cell r="D336" t="str">
            <v>孤高の一角獣</v>
          </cell>
          <cell r="E336" t="str">
            <v>ドロップイベント1-2</v>
          </cell>
          <cell r="F336">
            <v>2</v>
          </cell>
          <cell r="G336" t="str">
            <v>ja</v>
          </cell>
          <cell r="H336" t="str">
            <v>【中級】孤高の一角獣(ハートなし)</v>
          </cell>
          <cell r="I336" t="str">
            <v>中級</v>
          </cell>
          <cell r="J336">
            <v>264</v>
          </cell>
          <cell r="K336">
            <v>15</v>
          </cell>
          <cell r="L336">
            <v>1200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0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19</v>
          </cell>
          <cell r="AD336">
            <v>6</v>
          </cell>
          <cell r="AE336" t="str">
            <v>everyone</v>
          </cell>
        </row>
        <row r="337">
          <cell r="A337" t="str">
            <v>20002_3</v>
          </cell>
          <cell r="B337">
            <v>3</v>
          </cell>
          <cell r="C337">
            <v>20002</v>
          </cell>
          <cell r="D337" t="str">
            <v>孤高の一角獣</v>
          </cell>
          <cell r="E337" t="str">
            <v>ドロップイベント1-2</v>
          </cell>
          <cell r="F337">
            <v>3</v>
          </cell>
          <cell r="G337" t="str">
            <v>ja</v>
          </cell>
          <cell r="H337" t="str">
            <v>【上級】孤高の一角獣(ハートなし)</v>
          </cell>
          <cell r="I337" t="str">
            <v>上級</v>
          </cell>
          <cell r="J337">
            <v>265</v>
          </cell>
          <cell r="K337">
            <v>20</v>
          </cell>
          <cell r="L337">
            <v>2000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0</v>
          </cell>
          <cell r="R337">
            <v>3</v>
          </cell>
          <cell r="S337" t="str">
            <v>polygon</v>
          </cell>
          <cell r="T337">
            <v>1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19</v>
          </cell>
          <cell r="AD337">
            <v>6</v>
          </cell>
          <cell r="AE337" t="str">
            <v>everyone</v>
          </cell>
        </row>
        <row r="338">
          <cell r="A338" t="str">
            <v>20003_1</v>
          </cell>
          <cell r="B338">
            <v>3</v>
          </cell>
          <cell r="C338">
            <v>20003</v>
          </cell>
          <cell r="D338" t="str">
            <v>忍び寄る短剣</v>
          </cell>
          <cell r="E338" t="str">
            <v>ドロップイベント1-3</v>
          </cell>
          <cell r="F338">
            <v>1</v>
          </cell>
          <cell r="G338" t="str">
            <v>ja</v>
          </cell>
          <cell r="H338" t="str">
            <v xml:space="preserve">【初級】忍び寄る短剣 </v>
          </cell>
          <cell r="I338" t="str">
            <v>初級</v>
          </cell>
          <cell r="J338">
            <v>266</v>
          </cell>
          <cell r="K338">
            <v>8</v>
          </cell>
          <cell r="L338">
            <v>384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11</v>
          </cell>
          <cell r="AD338">
            <v>6</v>
          </cell>
          <cell r="AE338" t="str">
            <v>everyone</v>
          </cell>
        </row>
        <row r="339">
          <cell r="A339" t="str">
            <v>20003_2</v>
          </cell>
          <cell r="B339">
            <v>3</v>
          </cell>
          <cell r="C339">
            <v>20003</v>
          </cell>
          <cell r="D339" t="str">
            <v>忍び寄る短剣</v>
          </cell>
          <cell r="E339" t="str">
            <v>ドロップイベント1-3</v>
          </cell>
          <cell r="F339">
            <v>2</v>
          </cell>
          <cell r="G339" t="str">
            <v>ja</v>
          </cell>
          <cell r="H339" t="str">
            <v xml:space="preserve">【中級】忍び寄る短剣 </v>
          </cell>
          <cell r="I339" t="str">
            <v>中級</v>
          </cell>
          <cell r="J339">
            <v>266</v>
          </cell>
          <cell r="K339">
            <v>15</v>
          </cell>
          <cell r="L339">
            <v>1200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11</v>
          </cell>
          <cell r="AD339">
            <v>6</v>
          </cell>
          <cell r="AE339" t="str">
            <v>everyone</v>
          </cell>
        </row>
        <row r="340">
          <cell r="A340" t="str">
            <v>20003_3</v>
          </cell>
          <cell r="B340">
            <v>3</v>
          </cell>
          <cell r="C340">
            <v>20003</v>
          </cell>
          <cell r="D340" t="str">
            <v>忍び寄る短剣</v>
          </cell>
          <cell r="E340" t="str">
            <v>ドロップイベント1-3</v>
          </cell>
          <cell r="F340">
            <v>3</v>
          </cell>
          <cell r="G340" t="str">
            <v>ja</v>
          </cell>
          <cell r="H340" t="str">
            <v xml:space="preserve">【上級】忍び寄る短剣 </v>
          </cell>
          <cell r="I340" t="str">
            <v>上級</v>
          </cell>
          <cell r="J340">
            <v>267</v>
          </cell>
          <cell r="K340">
            <v>20</v>
          </cell>
          <cell r="L340">
            <v>2000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polygon</v>
          </cell>
          <cell r="T340">
            <v>1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11</v>
          </cell>
          <cell r="AD340">
            <v>6</v>
          </cell>
          <cell r="AE340" t="str">
            <v>everyone</v>
          </cell>
        </row>
        <row r="341">
          <cell r="A341" t="str">
            <v>20004_1</v>
          </cell>
          <cell r="B341">
            <v>3</v>
          </cell>
          <cell r="C341">
            <v>20004</v>
          </cell>
          <cell r="D341" t="str">
            <v>雷雲からの刺客</v>
          </cell>
          <cell r="E341" t="str">
            <v>ドロップイベント1-4</v>
          </cell>
          <cell r="F341">
            <v>1</v>
          </cell>
          <cell r="G341" t="str">
            <v>ja</v>
          </cell>
          <cell r="H341" t="str">
            <v>【初級】雷雲からの刺客(ハートなし)</v>
          </cell>
          <cell r="I341" t="str">
            <v>初級</v>
          </cell>
          <cell r="J341">
            <v>268</v>
          </cell>
          <cell r="K341">
            <v>8</v>
          </cell>
          <cell r="L341">
            <v>384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0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4</v>
          </cell>
          <cell r="AD341">
            <v>6</v>
          </cell>
          <cell r="AE341" t="str">
            <v>everyone</v>
          </cell>
        </row>
        <row r="342">
          <cell r="A342" t="str">
            <v>20004_2</v>
          </cell>
          <cell r="B342">
            <v>3</v>
          </cell>
          <cell r="C342">
            <v>20004</v>
          </cell>
          <cell r="D342" t="str">
            <v>雷雲からの刺客</v>
          </cell>
          <cell r="E342" t="str">
            <v>ドロップイベント1-4</v>
          </cell>
          <cell r="F342">
            <v>2</v>
          </cell>
          <cell r="G342" t="str">
            <v>ja</v>
          </cell>
          <cell r="H342" t="str">
            <v>【中級】雷雲からの刺客(ハートなし)</v>
          </cell>
          <cell r="I342" t="str">
            <v>中級</v>
          </cell>
          <cell r="J342">
            <v>268</v>
          </cell>
          <cell r="K342">
            <v>15</v>
          </cell>
          <cell r="L342">
            <v>1200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0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4</v>
          </cell>
          <cell r="AD342">
            <v>6</v>
          </cell>
          <cell r="AE342" t="str">
            <v>everyone</v>
          </cell>
        </row>
        <row r="343">
          <cell r="A343" t="str">
            <v>20004_3</v>
          </cell>
          <cell r="B343">
            <v>3</v>
          </cell>
          <cell r="C343">
            <v>20004</v>
          </cell>
          <cell r="D343" t="str">
            <v>雷雲からの刺客</v>
          </cell>
          <cell r="E343" t="str">
            <v>ドロップイベント1-4</v>
          </cell>
          <cell r="F343">
            <v>3</v>
          </cell>
          <cell r="G343" t="str">
            <v>ja</v>
          </cell>
          <cell r="H343" t="str">
            <v>【上級】雷雲からの刺客(ハートなし)</v>
          </cell>
          <cell r="I343" t="str">
            <v>上級</v>
          </cell>
          <cell r="J343">
            <v>269</v>
          </cell>
          <cell r="K343">
            <v>20</v>
          </cell>
          <cell r="L343">
            <v>2000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0</v>
          </cell>
          <cell r="R343">
            <v>3</v>
          </cell>
          <cell r="S343" t="str">
            <v>polygon</v>
          </cell>
          <cell r="T343">
            <v>1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4</v>
          </cell>
          <cell r="AD343">
            <v>6</v>
          </cell>
          <cell r="AE343" t="str">
            <v>everyone</v>
          </cell>
        </row>
        <row r="344">
          <cell r="A344" t="str">
            <v>20005_1</v>
          </cell>
          <cell r="B344">
            <v>3</v>
          </cell>
          <cell r="C344">
            <v>20005</v>
          </cell>
          <cell r="D344" t="str">
            <v>ザ・キャノン</v>
          </cell>
          <cell r="E344" t="str">
            <v>ドロップイベント2-2</v>
          </cell>
          <cell r="F344">
            <v>1</v>
          </cell>
          <cell r="G344" t="str">
            <v>ja</v>
          </cell>
          <cell r="H344" t="str">
            <v>【初級】ザ・キャノン(4タップ）</v>
          </cell>
          <cell r="I344" t="str">
            <v>初級</v>
          </cell>
          <cell r="J344">
            <v>286</v>
          </cell>
          <cell r="K344">
            <v>8</v>
          </cell>
          <cell r="L344">
            <v>384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4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14</v>
          </cell>
          <cell r="AD344">
            <v>6</v>
          </cell>
          <cell r="AE344" t="str">
            <v>everyone</v>
          </cell>
        </row>
        <row r="345">
          <cell r="A345" t="str">
            <v>20005_2</v>
          </cell>
          <cell r="B345">
            <v>3</v>
          </cell>
          <cell r="C345">
            <v>20005</v>
          </cell>
          <cell r="D345" t="str">
            <v>ザ・キャノン</v>
          </cell>
          <cell r="E345" t="str">
            <v>ドロップイベント2-2</v>
          </cell>
          <cell r="F345">
            <v>2</v>
          </cell>
          <cell r="G345" t="str">
            <v>ja</v>
          </cell>
          <cell r="H345" t="str">
            <v>【中級】ザ・キャノン(4タップ)</v>
          </cell>
          <cell r="I345" t="str">
            <v>中級</v>
          </cell>
          <cell r="J345">
            <v>286</v>
          </cell>
          <cell r="K345">
            <v>15</v>
          </cell>
          <cell r="L345">
            <v>1200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4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14</v>
          </cell>
          <cell r="AD345">
            <v>6</v>
          </cell>
          <cell r="AE345" t="str">
            <v>everyone</v>
          </cell>
        </row>
        <row r="346">
          <cell r="A346" t="str">
            <v>20005_3</v>
          </cell>
          <cell r="B346">
            <v>3</v>
          </cell>
          <cell r="C346">
            <v>20005</v>
          </cell>
          <cell r="D346" t="str">
            <v>ザ・キャノン</v>
          </cell>
          <cell r="E346" t="str">
            <v>ドロップイベント2-2</v>
          </cell>
          <cell r="F346">
            <v>3</v>
          </cell>
          <cell r="G346" t="str">
            <v>ja</v>
          </cell>
          <cell r="H346" t="str">
            <v>【上級】ザ・キャノン(4タップ)</v>
          </cell>
          <cell r="I346" t="str">
            <v>上級</v>
          </cell>
          <cell r="J346">
            <v>287</v>
          </cell>
          <cell r="K346">
            <v>20</v>
          </cell>
          <cell r="L346">
            <v>2000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4</v>
          </cell>
          <cell r="S346" t="str">
            <v>polygon</v>
          </cell>
          <cell r="T346">
            <v>1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14</v>
          </cell>
          <cell r="AD346">
            <v>6</v>
          </cell>
          <cell r="AE346" t="str">
            <v>everyone</v>
          </cell>
        </row>
        <row r="347">
          <cell r="A347" t="str">
            <v>20006_1</v>
          </cell>
          <cell r="B347">
            <v>3</v>
          </cell>
          <cell r="C347">
            <v>20006</v>
          </cell>
          <cell r="D347" t="str">
            <v>スチール・プレデター</v>
          </cell>
          <cell r="E347" t="str">
            <v>ドロップイベント2-3</v>
          </cell>
          <cell r="F347">
            <v>1</v>
          </cell>
          <cell r="G347" t="str">
            <v>ja</v>
          </cell>
          <cell r="H347" t="str">
            <v>【初級】スチール・プレデター</v>
          </cell>
          <cell r="I347" t="str">
            <v>初級</v>
          </cell>
          <cell r="J347">
            <v>280</v>
          </cell>
          <cell r="K347">
            <v>8</v>
          </cell>
          <cell r="L347">
            <v>384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2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19</v>
          </cell>
          <cell r="AD347">
            <v>6</v>
          </cell>
          <cell r="AE347" t="str">
            <v>everyone</v>
          </cell>
        </row>
        <row r="348">
          <cell r="A348" t="str">
            <v>20006_2</v>
          </cell>
          <cell r="B348">
            <v>3</v>
          </cell>
          <cell r="C348">
            <v>20006</v>
          </cell>
          <cell r="D348" t="str">
            <v>スチール・プレデター</v>
          </cell>
          <cell r="E348" t="str">
            <v>ドロップイベント2-3</v>
          </cell>
          <cell r="F348">
            <v>2</v>
          </cell>
          <cell r="G348" t="str">
            <v>ja</v>
          </cell>
          <cell r="H348" t="str">
            <v>【中級】スチール・プレデター</v>
          </cell>
          <cell r="I348" t="str">
            <v>中級</v>
          </cell>
          <cell r="J348">
            <v>280</v>
          </cell>
          <cell r="K348">
            <v>15</v>
          </cell>
          <cell r="L348">
            <v>1200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2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19</v>
          </cell>
          <cell r="AD348">
            <v>6</v>
          </cell>
          <cell r="AE348" t="str">
            <v>everyone</v>
          </cell>
        </row>
        <row r="349">
          <cell r="A349" t="str">
            <v>20006_3</v>
          </cell>
          <cell r="B349">
            <v>3</v>
          </cell>
          <cell r="C349">
            <v>20006</v>
          </cell>
          <cell r="D349" t="str">
            <v>スチール・プレデター</v>
          </cell>
          <cell r="E349" t="str">
            <v>ドロップイベント2-3</v>
          </cell>
          <cell r="F349">
            <v>3</v>
          </cell>
          <cell r="G349" t="str">
            <v>ja</v>
          </cell>
          <cell r="H349" t="str">
            <v>【上級】スチール・プレデター</v>
          </cell>
          <cell r="I349" t="str">
            <v>上級</v>
          </cell>
          <cell r="J349">
            <v>281</v>
          </cell>
          <cell r="K349">
            <v>20</v>
          </cell>
          <cell r="L349">
            <v>2000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2</v>
          </cell>
          <cell r="S349" t="str">
            <v>polygon</v>
          </cell>
          <cell r="T349">
            <v>1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19</v>
          </cell>
          <cell r="AD349">
            <v>6</v>
          </cell>
          <cell r="AE349" t="str">
            <v>everyone</v>
          </cell>
        </row>
        <row r="350">
          <cell r="A350" t="str">
            <v>20007_1</v>
          </cell>
          <cell r="B350">
            <v>3</v>
          </cell>
          <cell r="C350">
            <v>20007</v>
          </cell>
          <cell r="D350" t="str">
            <v>女王陛下の処刑龍</v>
          </cell>
          <cell r="E350" t="str">
            <v>ドロップイベント2-1</v>
          </cell>
          <cell r="F350">
            <v>1</v>
          </cell>
          <cell r="G350" t="str">
            <v>ja</v>
          </cell>
          <cell r="H350" t="str">
            <v>【初級】女王陛下の処刑龍(4タップ)</v>
          </cell>
          <cell r="I350" t="str">
            <v>初級</v>
          </cell>
          <cell r="J350">
            <v>282</v>
          </cell>
          <cell r="K350">
            <v>8</v>
          </cell>
          <cell r="L350">
            <v>384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4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17</v>
          </cell>
          <cell r="AD350">
            <v>6</v>
          </cell>
          <cell r="AE350" t="str">
            <v>everyone</v>
          </cell>
        </row>
        <row r="351">
          <cell r="A351" t="str">
            <v>20007_2</v>
          </cell>
          <cell r="B351">
            <v>3</v>
          </cell>
          <cell r="C351">
            <v>20007</v>
          </cell>
          <cell r="D351" t="str">
            <v>女王陛下の処刑龍</v>
          </cell>
          <cell r="E351" t="str">
            <v>ドロップイベント2-1</v>
          </cell>
          <cell r="F351">
            <v>2</v>
          </cell>
          <cell r="G351" t="str">
            <v>ja</v>
          </cell>
          <cell r="H351" t="str">
            <v>【中級】女王陛下の処刑龍(4タップ)</v>
          </cell>
          <cell r="I351" t="str">
            <v>中級</v>
          </cell>
          <cell r="J351">
            <v>282</v>
          </cell>
          <cell r="K351">
            <v>15</v>
          </cell>
          <cell r="L351">
            <v>1200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4</v>
          </cell>
          <cell r="S351" t="str">
            <v>none</v>
          </cell>
          <cell r="T351">
            <v>0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17</v>
          </cell>
          <cell r="AD351">
            <v>6</v>
          </cell>
          <cell r="AE351" t="str">
            <v>everyone</v>
          </cell>
        </row>
        <row r="352">
          <cell r="A352" t="str">
            <v>20007_3</v>
          </cell>
          <cell r="B352">
            <v>3</v>
          </cell>
          <cell r="C352">
            <v>20007</v>
          </cell>
          <cell r="D352" t="str">
            <v>女王陛下の処刑龍</v>
          </cell>
          <cell r="E352" t="str">
            <v>ドロップイベント2-1</v>
          </cell>
          <cell r="F352">
            <v>3</v>
          </cell>
          <cell r="G352" t="str">
            <v>ja</v>
          </cell>
          <cell r="H352" t="str">
            <v>【上級】女王陛下の処刑龍(4タップ)</v>
          </cell>
          <cell r="I352" t="str">
            <v>上級</v>
          </cell>
          <cell r="J352">
            <v>283</v>
          </cell>
          <cell r="K352">
            <v>20</v>
          </cell>
          <cell r="L352">
            <v>2000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4</v>
          </cell>
          <cell r="S352" t="str">
            <v>polygon</v>
          </cell>
          <cell r="T352">
            <v>1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17</v>
          </cell>
          <cell r="AD352">
            <v>6</v>
          </cell>
          <cell r="AE352" t="str">
            <v>everyone</v>
          </cell>
        </row>
        <row r="353">
          <cell r="A353" t="str">
            <v>20008_1</v>
          </cell>
          <cell r="B353">
            <v>3</v>
          </cell>
          <cell r="C353">
            <v>20008</v>
          </cell>
          <cell r="D353" t="str">
            <v>天翔ける金轟機龍</v>
          </cell>
          <cell r="E353" t="str">
            <v>ドロップイベント2-4</v>
          </cell>
          <cell r="F353">
            <v>1</v>
          </cell>
          <cell r="G353" t="str">
            <v>ja</v>
          </cell>
          <cell r="H353" t="str">
            <v>【初級】天翔ける金轟機龍</v>
          </cell>
          <cell r="I353" t="str">
            <v>初級</v>
          </cell>
          <cell r="J353">
            <v>284</v>
          </cell>
          <cell r="K353">
            <v>8</v>
          </cell>
          <cell r="L353">
            <v>384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8</v>
          </cell>
          <cell r="AD353">
            <v>6</v>
          </cell>
          <cell r="AE353" t="str">
            <v>everyone</v>
          </cell>
        </row>
        <row r="354">
          <cell r="A354" t="str">
            <v>20008_2</v>
          </cell>
          <cell r="B354">
            <v>3</v>
          </cell>
          <cell r="C354">
            <v>20008</v>
          </cell>
          <cell r="D354" t="str">
            <v>天翔ける金轟機龍</v>
          </cell>
          <cell r="E354" t="str">
            <v>ドロップイベント2-4</v>
          </cell>
          <cell r="F354">
            <v>2</v>
          </cell>
          <cell r="G354" t="str">
            <v>ja</v>
          </cell>
          <cell r="H354" t="str">
            <v>【中級】天翔ける金轟機龍</v>
          </cell>
          <cell r="I354" t="str">
            <v>中級</v>
          </cell>
          <cell r="J354">
            <v>284</v>
          </cell>
          <cell r="K354">
            <v>15</v>
          </cell>
          <cell r="L354">
            <v>1200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8</v>
          </cell>
          <cell r="AD354">
            <v>6</v>
          </cell>
          <cell r="AE354" t="str">
            <v>everyone</v>
          </cell>
        </row>
        <row r="355">
          <cell r="A355" t="str">
            <v>20008_3</v>
          </cell>
          <cell r="B355">
            <v>3</v>
          </cell>
          <cell r="C355">
            <v>20008</v>
          </cell>
          <cell r="D355" t="str">
            <v>天翔ける金轟機龍</v>
          </cell>
          <cell r="E355" t="str">
            <v>ドロップイベント2-4</v>
          </cell>
          <cell r="F355">
            <v>3</v>
          </cell>
          <cell r="G355" t="str">
            <v>ja</v>
          </cell>
          <cell r="H355" t="str">
            <v>【上級】天翔ける金轟機龍</v>
          </cell>
          <cell r="I355" t="str">
            <v>上級</v>
          </cell>
          <cell r="J355">
            <v>285</v>
          </cell>
          <cell r="K355">
            <v>20</v>
          </cell>
          <cell r="L355">
            <v>2000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polygon</v>
          </cell>
          <cell r="T355">
            <v>1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8</v>
          </cell>
          <cell r="AD355">
            <v>6</v>
          </cell>
          <cell r="AE355" t="str">
            <v>everyone</v>
          </cell>
        </row>
        <row r="356">
          <cell r="A356" t="str">
            <v>20009_1</v>
          </cell>
          <cell r="B356">
            <v>0</v>
          </cell>
          <cell r="C356">
            <v>20009</v>
          </cell>
          <cell r="D356" t="str">
            <v>迫り来る窒息</v>
          </cell>
          <cell r="E356" t="str">
            <v>ドロップイベント3</v>
          </cell>
          <cell r="F356">
            <v>1</v>
          </cell>
          <cell r="G356" t="str">
            <v>ja</v>
          </cell>
          <cell r="H356" t="str">
            <v>【初級】迫り来る窒息</v>
          </cell>
          <cell r="I356" t="str">
            <v>初級</v>
          </cell>
          <cell r="J356" t="str">
            <v>NULL</v>
          </cell>
          <cell r="K356">
            <v>8</v>
          </cell>
          <cell r="L356">
            <v>384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25</v>
          </cell>
          <cell r="AD356">
            <v>5</v>
          </cell>
          <cell r="AE356" t="str">
            <v>everyone</v>
          </cell>
        </row>
        <row r="357">
          <cell r="A357" t="str">
            <v>20009_2</v>
          </cell>
          <cell r="B357">
            <v>3</v>
          </cell>
          <cell r="C357">
            <v>20009</v>
          </cell>
          <cell r="D357" t="str">
            <v>迫り来る窒息</v>
          </cell>
          <cell r="E357" t="str">
            <v>ドロップイベント3</v>
          </cell>
          <cell r="F357">
            <v>2</v>
          </cell>
          <cell r="G357" t="str">
            <v>ja</v>
          </cell>
          <cell r="H357" t="str">
            <v>【中級】迫り来る窒息</v>
          </cell>
          <cell r="I357" t="str">
            <v>中級</v>
          </cell>
          <cell r="J357">
            <v>302</v>
          </cell>
          <cell r="K357">
            <v>15</v>
          </cell>
          <cell r="L357">
            <v>1200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25</v>
          </cell>
          <cell r="AD357">
            <v>5</v>
          </cell>
          <cell r="AE357" t="str">
            <v>everyone</v>
          </cell>
        </row>
        <row r="358">
          <cell r="A358" t="str">
            <v>20009_3</v>
          </cell>
          <cell r="B358">
            <v>3</v>
          </cell>
          <cell r="C358">
            <v>20009</v>
          </cell>
          <cell r="D358" t="str">
            <v>迫り来る窒息</v>
          </cell>
          <cell r="E358" t="str">
            <v>ドロップイベント3</v>
          </cell>
          <cell r="F358">
            <v>3</v>
          </cell>
          <cell r="G358" t="str">
            <v>ja</v>
          </cell>
          <cell r="H358" t="str">
            <v>【上級】迫り来る窒息</v>
          </cell>
          <cell r="I358" t="str">
            <v>上級</v>
          </cell>
          <cell r="J358">
            <v>303</v>
          </cell>
          <cell r="K358">
            <v>20</v>
          </cell>
          <cell r="L358">
            <v>2000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polygon</v>
          </cell>
          <cell r="T358">
            <v>1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25</v>
          </cell>
          <cell r="AD358">
            <v>5</v>
          </cell>
          <cell r="AE358" t="str">
            <v>everyone</v>
          </cell>
        </row>
        <row r="359">
          <cell r="A359" t="str">
            <v>20010_1</v>
          </cell>
          <cell r="B359">
            <v>3</v>
          </cell>
          <cell r="C359">
            <v>20010</v>
          </cell>
          <cell r="D359" t="str">
            <v>悪夢の一目惚れ</v>
          </cell>
          <cell r="E359" t="str">
            <v>ドロップイベント3</v>
          </cell>
          <cell r="F359">
            <v>1</v>
          </cell>
          <cell r="G359" t="str">
            <v>ja</v>
          </cell>
          <cell r="H359" t="str">
            <v>【初級】悪夢の一目惚れ</v>
          </cell>
          <cell r="I359" t="str">
            <v>初級</v>
          </cell>
          <cell r="J359">
            <v>304</v>
          </cell>
          <cell r="K359">
            <v>8</v>
          </cell>
          <cell r="L359">
            <v>384</v>
          </cell>
          <cell r="M359">
            <v>1</v>
          </cell>
          <cell r="N359">
            <v>1</v>
          </cell>
          <cell r="O359">
            <v>0</v>
          </cell>
          <cell r="P359">
            <v>1</v>
          </cell>
          <cell r="Q359">
            <v>1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2601</v>
          </cell>
          <cell r="AD359">
            <v>6</v>
          </cell>
          <cell r="AE359" t="str">
            <v>everyone</v>
          </cell>
        </row>
        <row r="360">
          <cell r="A360" t="str">
            <v>20010_2</v>
          </cell>
          <cell r="B360">
            <v>3</v>
          </cell>
          <cell r="C360">
            <v>20010</v>
          </cell>
          <cell r="D360" t="str">
            <v>悪夢の一目惚れ</v>
          </cell>
          <cell r="E360" t="str">
            <v>ドロップイベント3</v>
          </cell>
          <cell r="F360">
            <v>2</v>
          </cell>
          <cell r="G360" t="str">
            <v>ja</v>
          </cell>
          <cell r="H360" t="str">
            <v>【中級】悪夢の一目惚れ</v>
          </cell>
          <cell r="I360" t="str">
            <v>中級</v>
          </cell>
          <cell r="J360">
            <v>304</v>
          </cell>
          <cell r="K360">
            <v>15</v>
          </cell>
          <cell r="L360">
            <v>1200</v>
          </cell>
          <cell r="M360">
            <v>1</v>
          </cell>
          <cell r="N360">
            <v>1</v>
          </cell>
          <cell r="O360">
            <v>0</v>
          </cell>
          <cell r="P360">
            <v>1</v>
          </cell>
          <cell r="Q360">
            <v>1</v>
          </cell>
          <cell r="R360">
            <v>3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2601</v>
          </cell>
          <cell r="AD360">
            <v>6</v>
          </cell>
          <cell r="AE360" t="str">
            <v>everyone</v>
          </cell>
        </row>
        <row r="361">
          <cell r="A361" t="str">
            <v>20010_3</v>
          </cell>
          <cell r="B361">
            <v>3</v>
          </cell>
          <cell r="C361">
            <v>20010</v>
          </cell>
          <cell r="D361" t="str">
            <v>悪夢の一目惚れ</v>
          </cell>
          <cell r="E361" t="str">
            <v>ドロップイベント3</v>
          </cell>
          <cell r="F361">
            <v>3</v>
          </cell>
          <cell r="G361" t="str">
            <v>ja</v>
          </cell>
          <cell r="H361" t="str">
            <v>【上級】悪夢の一目惚れ</v>
          </cell>
          <cell r="I361" t="str">
            <v>上級</v>
          </cell>
          <cell r="J361">
            <v>305</v>
          </cell>
          <cell r="K361">
            <v>20</v>
          </cell>
          <cell r="L361">
            <v>2000</v>
          </cell>
          <cell r="M361">
            <v>1</v>
          </cell>
          <cell r="N361">
            <v>1</v>
          </cell>
          <cell r="O361">
            <v>0</v>
          </cell>
          <cell r="P361">
            <v>1</v>
          </cell>
          <cell r="Q361">
            <v>1</v>
          </cell>
          <cell r="R361">
            <v>3</v>
          </cell>
          <cell r="S361" t="str">
            <v>polygon</v>
          </cell>
          <cell r="T361">
            <v>1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2601</v>
          </cell>
          <cell r="AD361">
            <v>6</v>
          </cell>
          <cell r="AE361" t="str">
            <v>everyone</v>
          </cell>
        </row>
        <row r="362">
          <cell r="A362" t="str">
            <v>20011_1</v>
          </cell>
          <cell r="B362">
            <v>3</v>
          </cell>
          <cell r="C362">
            <v>20011</v>
          </cell>
          <cell r="D362" t="str">
            <v>すべてが灰になる</v>
          </cell>
          <cell r="E362" t="str">
            <v>ドロップイベント3</v>
          </cell>
          <cell r="F362">
            <v>1</v>
          </cell>
          <cell r="G362" t="str">
            <v>ja</v>
          </cell>
          <cell r="H362" t="str">
            <v>【初級】すべてが灰になる</v>
          </cell>
          <cell r="I362" t="str">
            <v>初級</v>
          </cell>
          <cell r="J362">
            <v>298</v>
          </cell>
          <cell r="K362">
            <v>8</v>
          </cell>
          <cell r="L362">
            <v>384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10</v>
          </cell>
          <cell r="AD362">
            <v>5</v>
          </cell>
          <cell r="AE362" t="str">
            <v>everyone</v>
          </cell>
        </row>
        <row r="363">
          <cell r="A363" t="str">
            <v>20011_2</v>
          </cell>
          <cell r="B363">
            <v>3</v>
          </cell>
          <cell r="C363">
            <v>20011</v>
          </cell>
          <cell r="D363" t="str">
            <v>すべてが灰になる</v>
          </cell>
          <cell r="E363" t="str">
            <v>ドロップイベント3</v>
          </cell>
          <cell r="F363">
            <v>2</v>
          </cell>
          <cell r="G363" t="str">
            <v>ja</v>
          </cell>
          <cell r="H363" t="str">
            <v>【中級】すべてが灰になる</v>
          </cell>
          <cell r="I363" t="str">
            <v>中級</v>
          </cell>
          <cell r="J363">
            <v>298</v>
          </cell>
          <cell r="K363">
            <v>15</v>
          </cell>
          <cell r="L363">
            <v>1200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10</v>
          </cell>
          <cell r="AD363">
            <v>5</v>
          </cell>
          <cell r="AE363" t="str">
            <v>everyone</v>
          </cell>
        </row>
        <row r="364">
          <cell r="A364" t="str">
            <v>20011_3</v>
          </cell>
          <cell r="B364">
            <v>3</v>
          </cell>
          <cell r="C364">
            <v>20011</v>
          </cell>
          <cell r="D364" t="str">
            <v>すべてが灰になる</v>
          </cell>
          <cell r="E364" t="str">
            <v>ドロップイベント3</v>
          </cell>
          <cell r="F364">
            <v>3</v>
          </cell>
          <cell r="G364" t="str">
            <v>ja</v>
          </cell>
          <cell r="H364" t="str">
            <v>【上級】すべてが灰になる</v>
          </cell>
          <cell r="I364" t="str">
            <v>上級</v>
          </cell>
          <cell r="J364">
            <v>299</v>
          </cell>
          <cell r="K364">
            <v>20</v>
          </cell>
          <cell r="L364">
            <v>2000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polygon</v>
          </cell>
          <cell r="T364">
            <v>1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10</v>
          </cell>
          <cell r="AD364">
            <v>5</v>
          </cell>
          <cell r="AE364" t="str">
            <v>everyone</v>
          </cell>
        </row>
        <row r="365">
          <cell r="A365" t="str">
            <v>20012_1</v>
          </cell>
          <cell r="B365">
            <v>3</v>
          </cell>
          <cell r="C365">
            <v>20012</v>
          </cell>
          <cell r="D365" t="str">
            <v>罪と劇薬</v>
          </cell>
          <cell r="E365" t="str">
            <v>ドロップイベント3</v>
          </cell>
          <cell r="F365">
            <v>1</v>
          </cell>
          <cell r="G365" t="str">
            <v>ja</v>
          </cell>
          <cell r="H365" t="str">
            <v>【初級】罪と劇薬</v>
          </cell>
          <cell r="I365" t="str">
            <v>初級</v>
          </cell>
          <cell r="J365">
            <v>300</v>
          </cell>
          <cell r="K365">
            <v>8</v>
          </cell>
          <cell r="L365">
            <v>384</v>
          </cell>
          <cell r="M365">
            <v>0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19</v>
          </cell>
          <cell r="AD365">
            <v>6</v>
          </cell>
          <cell r="AE365" t="str">
            <v>everyone</v>
          </cell>
        </row>
        <row r="366">
          <cell r="A366" t="str">
            <v>20012_2</v>
          </cell>
          <cell r="B366">
            <v>3</v>
          </cell>
          <cell r="C366">
            <v>20012</v>
          </cell>
          <cell r="D366" t="str">
            <v>罪と劇薬</v>
          </cell>
          <cell r="E366" t="str">
            <v>ドロップイベント3</v>
          </cell>
          <cell r="F366">
            <v>2</v>
          </cell>
          <cell r="G366" t="str">
            <v>ja</v>
          </cell>
          <cell r="H366" t="str">
            <v>【中級】罪と劇薬</v>
          </cell>
          <cell r="I366" t="str">
            <v>中級</v>
          </cell>
          <cell r="J366">
            <v>300</v>
          </cell>
          <cell r="K366">
            <v>15</v>
          </cell>
          <cell r="L366">
            <v>1200</v>
          </cell>
          <cell r="M366">
            <v>0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none</v>
          </cell>
          <cell r="T366">
            <v>0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19</v>
          </cell>
          <cell r="AD366">
            <v>6</v>
          </cell>
          <cell r="AE366" t="str">
            <v>everyone</v>
          </cell>
        </row>
        <row r="367">
          <cell r="A367" t="str">
            <v>20012_3</v>
          </cell>
          <cell r="B367">
            <v>3</v>
          </cell>
          <cell r="C367">
            <v>20012</v>
          </cell>
          <cell r="D367" t="str">
            <v>罪と劇薬</v>
          </cell>
          <cell r="E367" t="str">
            <v>ドロップイベント3</v>
          </cell>
          <cell r="F367">
            <v>3</v>
          </cell>
          <cell r="G367" t="str">
            <v>ja</v>
          </cell>
          <cell r="H367" t="str">
            <v>【上級】罪と劇薬</v>
          </cell>
          <cell r="I367" t="str">
            <v>上級</v>
          </cell>
          <cell r="J367">
            <v>301</v>
          </cell>
          <cell r="K367">
            <v>20</v>
          </cell>
          <cell r="L367">
            <v>2000</v>
          </cell>
          <cell r="M367">
            <v>0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polygon</v>
          </cell>
          <cell r="T367">
            <v>1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19</v>
          </cell>
          <cell r="AD367">
            <v>6</v>
          </cell>
          <cell r="AE367" t="str">
            <v>everyone</v>
          </cell>
        </row>
        <row r="368">
          <cell r="A368" t="str">
            <v>30001_1</v>
          </cell>
          <cell r="B368">
            <v>3</v>
          </cell>
          <cell r="C368">
            <v>30001</v>
          </cell>
          <cell r="D368" t="str">
            <v>ハンター・オブ・ハンター</v>
          </cell>
          <cell r="E368" t="str">
            <v>ドロップイベント1-1（マルチ専用）</v>
          </cell>
          <cell r="F368">
            <v>1</v>
          </cell>
          <cell r="G368" t="str">
            <v>ja</v>
          </cell>
          <cell r="H368" t="str">
            <v xml:space="preserve">【中級】ハンター・オブ・ハンター </v>
          </cell>
          <cell r="I368" t="str">
            <v>中級</v>
          </cell>
          <cell r="J368">
            <v>270</v>
          </cell>
          <cell r="K368">
            <v>15</v>
          </cell>
          <cell r="L368">
            <v>1200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7</v>
          </cell>
          <cell r="AD368">
            <v>6</v>
          </cell>
          <cell r="AE368" t="str">
            <v>everyone</v>
          </cell>
        </row>
        <row r="369">
          <cell r="A369" t="str">
            <v>30001_2</v>
          </cell>
          <cell r="B369">
            <v>3</v>
          </cell>
          <cell r="C369">
            <v>30001</v>
          </cell>
          <cell r="D369" t="str">
            <v>ハンター・オブ・ハンター</v>
          </cell>
          <cell r="E369" t="str">
            <v>ドロップイベント1-1（マルチ専用）</v>
          </cell>
          <cell r="F369">
            <v>2</v>
          </cell>
          <cell r="G369" t="str">
            <v>ja</v>
          </cell>
          <cell r="H369" t="str">
            <v xml:space="preserve">【上級】ハンター・オブ・ハンター </v>
          </cell>
          <cell r="I369" t="str">
            <v>上級</v>
          </cell>
          <cell r="J369">
            <v>270</v>
          </cell>
          <cell r="K369">
            <v>20</v>
          </cell>
          <cell r="L369">
            <v>2000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7</v>
          </cell>
          <cell r="AD369">
            <v>6</v>
          </cell>
          <cell r="AE369" t="str">
            <v>everyone</v>
          </cell>
        </row>
        <row r="370">
          <cell r="A370" t="str">
            <v>30001_3</v>
          </cell>
          <cell r="B370">
            <v>3</v>
          </cell>
          <cell r="C370">
            <v>30001</v>
          </cell>
          <cell r="D370" t="str">
            <v>ハンター・オブ・ハンター</v>
          </cell>
          <cell r="E370" t="str">
            <v>ドロップイベント1-1（マルチ専用）</v>
          </cell>
          <cell r="F370">
            <v>3</v>
          </cell>
          <cell r="G370" t="str">
            <v>ja</v>
          </cell>
          <cell r="H370" t="str">
            <v xml:space="preserve">【超級】ハンター・オブ・ハンター </v>
          </cell>
          <cell r="I370" t="str">
            <v>超級</v>
          </cell>
          <cell r="J370">
            <v>271</v>
          </cell>
          <cell r="K370">
            <v>30</v>
          </cell>
          <cell r="L370">
            <v>3300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polygon</v>
          </cell>
          <cell r="T370">
            <v>1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7</v>
          </cell>
          <cell r="AD370">
            <v>6</v>
          </cell>
          <cell r="AE370" t="str">
            <v>everyone</v>
          </cell>
        </row>
        <row r="371">
          <cell r="A371" t="str">
            <v>30002_1</v>
          </cell>
          <cell r="B371">
            <v>3</v>
          </cell>
          <cell r="C371">
            <v>30002</v>
          </cell>
          <cell r="D371" t="str">
            <v>トリックスター</v>
          </cell>
          <cell r="E371" t="str">
            <v>ドロップイベント1-2（マルチ専用）</v>
          </cell>
          <cell r="F371">
            <v>1</v>
          </cell>
          <cell r="G371" t="str">
            <v>ja</v>
          </cell>
          <cell r="H371" t="str">
            <v xml:space="preserve">【中級】トリックスター </v>
          </cell>
          <cell r="I371" t="str">
            <v>中級</v>
          </cell>
          <cell r="J371">
            <v>272</v>
          </cell>
          <cell r="K371">
            <v>15</v>
          </cell>
          <cell r="L371">
            <v>1200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17</v>
          </cell>
          <cell r="AD371">
            <v>6</v>
          </cell>
          <cell r="AE371" t="str">
            <v>everyone</v>
          </cell>
        </row>
        <row r="372">
          <cell r="A372" t="str">
            <v>30002_2</v>
          </cell>
          <cell r="B372">
            <v>3</v>
          </cell>
          <cell r="C372">
            <v>30002</v>
          </cell>
          <cell r="D372" t="str">
            <v>トリックスター</v>
          </cell>
          <cell r="E372" t="str">
            <v>ドロップイベント1-2（マルチ専用）</v>
          </cell>
          <cell r="F372">
            <v>2</v>
          </cell>
          <cell r="G372" t="str">
            <v>ja</v>
          </cell>
          <cell r="H372" t="str">
            <v xml:space="preserve">【上級】トリックスター </v>
          </cell>
          <cell r="I372" t="str">
            <v>上級</v>
          </cell>
          <cell r="J372">
            <v>272</v>
          </cell>
          <cell r="K372">
            <v>20</v>
          </cell>
          <cell r="L372">
            <v>2000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none</v>
          </cell>
          <cell r="T372">
            <v>0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17</v>
          </cell>
          <cell r="AD372">
            <v>6</v>
          </cell>
          <cell r="AE372" t="str">
            <v>everyone</v>
          </cell>
        </row>
        <row r="373">
          <cell r="A373" t="str">
            <v>30002_3</v>
          </cell>
          <cell r="B373">
            <v>3</v>
          </cell>
          <cell r="C373">
            <v>30002</v>
          </cell>
          <cell r="D373" t="str">
            <v>トリックスター</v>
          </cell>
          <cell r="E373" t="str">
            <v>ドロップイベント1-2（マルチ専用）</v>
          </cell>
          <cell r="F373">
            <v>3</v>
          </cell>
          <cell r="G373" t="str">
            <v>ja</v>
          </cell>
          <cell r="H373" t="str">
            <v xml:space="preserve">【超級】トリックスター </v>
          </cell>
          <cell r="I373" t="str">
            <v>超級</v>
          </cell>
          <cell r="J373">
            <v>273</v>
          </cell>
          <cell r="K373">
            <v>30</v>
          </cell>
          <cell r="L373">
            <v>3300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polygon</v>
          </cell>
          <cell r="T373">
            <v>1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17</v>
          </cell>
          <cell r="AD373">
            <v>6</v>
          </cell>
          <cell r="AE373" t="str">
            <v>everyone</v>
          </cell>
        </row>
        <row r="374">
          <cell r="A374" t="str">
            <v>30003_1</v>
          </cell>
          <cell r="B374">
            <v>3</v>
          </cell>
          <cell r="C374">
            <v>30003</v>
          </cell>
          <cell r="D374" t="str">
            <v>打ち下ろされる砕棒</v>
          </cell>
          <cell r="E374" t="str">
            <v>ドロップイベント1-3（マルチ専用）</v>
          </cell>
          <cell r="F374">
            <v>1</v>
          </cell>
          <cell r="G374" t="str">
            <v>ja</v>
          </cell>
          <cell r="H374" t="str">
            <v xml:space="preserve">【中級】打ち下ろされる砕棒 </v>
          </cell>
          <cell r="I374" t="str">
            <v>中級</v>
          </cell>
          <cell r="J374">
            <v>274</v>
          </cell>
          <cell r="K374">
            <v>15</v>
          </cell>
          <cell r="L374">
            <v>1200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20</v>
          </cell>
          <cell r="AD374">
            <v>6</v>
          </cell>
          <cell r="AE374" t="str">
            <v>everyone</v>
          </cell>
        </row>
        <row r="375">
          <cell r="A375" t="str">
            <v>30003_2</v>
          </cell>
          <cell r="B375">
            <v>3</v>
          </cell>
          <cell r="C375">
            <v>30003</v>
          </cell>
          <cell r="D375" t="str">
            <v>打ち下ろされる砕棒</v>
          </cell>
          <cell r="E375" t="str">
            <v>ドロップイベント1-3（マルチ専用）</v>
          </cell>
          <cell r="F375">
            <v>2</v>
          </cell>
          <cell r="G375" t="str">
            <v>ja</v>
          </cell>
          <cell r="H375" t="str">
            <v>【上級】打ち下ろされる砕棒</v>
          </cell>
          <cell r="I375" t="str">
            <v>上級</v>
          </cell>
          <cell r="J375">
            <v>274</v>
          </cell>
          <cell r="K375">
            <v>20</v>
          </cell>
          <cell r="L375">
            <v>2000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20</v>
          </cell>
          <cell r="AD375">
            <v>6</v>
          </cell>
          <cell r="AE375" t="str">
            <v>everyone</v>
          </cell>
        </row>
        <row r="376">
          <cell r="A376" t="str">
            <v>30003_3</v>
          </cell>
          <cell r="B376">
            <v>3</v>
          </cell>
          <cell r="C376">
            <v>30003</v>
          </cell>
          <cell r="D376" t="str">
            <v>打ち下ろされる砕棒</v>
          </cell>
          <cell r="E376" t="str">
            <v>ドロップイベント1-3（マルチ専用）</v>
          </cell>
          <cell r="F376">
            <v>3</v>
          </cell>
          <cell r="G376" t="str">
            <v>ja</v>
          </cell>
          <cell r="H376" t="str">
            <v xml:space="preserve">【超級】打ち下ろされる砕棒 </v>
          </cell>
          <cell r="I376" t="str">
            <v>超級</v>
          </cell>
          <cell r="J376">
            <v>275</v>
          </cell>
          <cell r="K376">
            <v>30</v>
          </cell>
          <cell r="L376">
            <v>3300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20</v>
          </cell>
          <cell r="AD376">
            <v>6</v>
          </cell>
          <cell r="AE376" t="str">
            <v>everyone</v>
          </cell>
        </row>
        <row r="377">
          <cell r="A377" t="str">
            <v>30004_1</v>
          </cell>
          <cell r="B377">
            <v>3</v>
          </cell>
          <cell r="C377">
            <v>30004</v>
          </cell>
          <cell r="D377" t="str">
            <v>危険な仲裁者</v>
          </cell>
          <cell r="E377" t="str">
            <v>ドロップイベント1-4（マルチ専用）</v>
          </cell>
          <cell r="F377">
            <v>1</v>
          </cell>
          <cell r="G377" t="str">
            <v>ja</v>
          </cell>
          <cell r="H377" t="str">
            <v xml:space="preserve">【中級】危険な仲裁者 </v>
          </cell>
          <cell r="I377" t="str">
            <v>中級</v>
          </cell>
          <cell r="J377">
            <v>276</v>
          </cell>
          <cell r="K377">
            <v>15</v>
          </cell>
          <cell r="L377">
            <v>1200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14</v>
          </cell>
          <cell r="AD377">
            <v>6</v>
          </cell>
          <cell r="AE377" t="str">
            <v>everyone</v>
          </cell>
        </row>
        <row r="378">
          <cell r="A378" t="str">
            <v>30004_2</v>
          </cell>
          <cell r="B378">
            <v>3</v>
          </cell>
          <cell r="C378">
            <v>30004</v>
          </cell>
          <cell r="D378" t="str">
            <v>危険な仲裁者</v>
          </cell>
          <cell r="E378" t="str">
            <v>ドロップイベント1-4（マルチ専用）</v>
          </cell>
          <cell r="F378">
            <v>2</v>
          </cell>
          <cell r="G378" t="str">
            <v>ja</v>
          </cell>
          <cell r="H378" t="str">
            <v xml:space="preserve">【上級】危険な仲裁者 </v>
          </cell>
          <cell r="I378" t="str">
            <v>上級</v>
          </cell>
          <cell r="J378">
            <v>276</v>
          </cell>
          <cell r="K378">
            <v>20</v>
          </cell>
          <cell r="L378">
            <v>2000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none</v>
          </cell>
          <cell r="T378">
            <v>0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14</v>
          </cell>
          <cell r="AD378">
            <v>6</v>
          </cell>
          <cell r="AE378" t="str">
            <v>everyone</v>
          </cell>
        </row>
        <row r="379">
          <cell r="A379" t="str">
            <v>30004_3</v>
          </cell>
          <cell r="B379">
            <v>3</v>
          </cell>
          <cell r="C379">
            <v>30004</v>
          </cell>
          <cell r="D379" t="str">
            <v>危険な仲裁者</v>
          </cell>
          <cell r="E379" t="str">
            <v>ドロップイベント1-4（マルチ専用）</v>
          </cell>
          <cell r="F379">
            <v>3</v>
          </cell>
          <cell r="G379" t="str">
            <v>ja</v>
          </cell>
          <cell r="H379" t="str">
            <v xml:space="preserve">【超級】危険な仲裁者 </v>
          </cell>
          <cell r="I379" t="str">
            <v>超級</v>
          </cell>
          <cell r="J379">
            <v>277</v>
          </cell>
          <cell r="K379">
            <v>30</v>
          </cell>
          <cell r="L379">
            <v>3300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polygon</v>
          </cell>
          <cell r="T379">
            <v>1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14</v>
          </cell>
          <cell r="AD379">
            <v>6</v>
          </cell>
          <cell r="AE379" t="str">
            <v>everyone</v>
          </cell>
        </row>
        <row r="380">
          <cell r="A380" t="str">
            <v>30005_1</v>
          </cell>
          <cell r="B380">
            <v>3</v>
          </cell>
          <cell r="C380">
            <v>30005</v>
          </cell>
          <cell r="D380" t="str">
            <v>ニンゲンにしてあげる☆</v>
          </cell>
          <cell r="E380" t="str">
            <v>ドロップイベント2-1（マルチ専用）</v>
          </cell>
          <cell r="F380">
            <v>1</v>
          </cell>
          <cell r="G380" t="str">
            <v>ja</v>
          </cell>
          <cell r="H380" t="str">
            <v xml:space="preserve">【中級】ニンゲンにしてあげる </v>
          </cell>
          <cell r="I380" t="str">
            <v>中級</v>
          </cell>
          <cell r="J380">
            <v>290</v>
          </cell>
          <cell r="K380">
            <v>15</v>
          </cell>
          <cell r="L380">
            <v>1200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11</v>
          </cell>
          <cell r="AD380">
            <v>6</v>
          </cell>
          <cell r="AE380" t="str">
            <v>everyone</v>
          </cell>
        </row>
        <row r="381">
          <cell r="A381" t="str">
            <v>30005_2</v>
          </cell>
          <cell r="B381">
            <v>3</v>
          </cell>
          <cell r="C381">
            <v>30005</v>
          </cell>
          <cell r="D381" t="str">
            <v>ニンゲンにしてあげる☆</v>
          </cell>
          <cell r="E381" t="str">
            <v>ドロップイベント2-1（マルチ専用）</v>
          </cell>
          <cell r="F381">
            <v>2</v>
          </cell>
          <cell r="G381" t="str">
            <v>ja</v>
          </cell>
          <cell r="H381" t="str">
            <v xml:space="preserve">【上級】ニンゲンにしてあげる </v>
          </cell>
          <cell r="I381" t="str">
            <v>上級</v>
          </cell>
          <cell r="J381">
            <v>290</v>
          </cell>
          <cell r="K381">
            <v>20</v>
          </cell>
          <cell r="L381">
            <v>2000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11</v>
          </cell>
          <cell r="AD381">
            <v>6</v>
          </cell>
          <cell r="AE381" t="str">
            <v>everyone</v>
          </cell>
        </row>
        <row r="382">
          <cell r="A382" t="str">
            <v>30005_3</v>
          </cell>
          <cell r="B382">
            <v>3</v>
          </cell>
          <cell r="C382">
            <v>30005</v>
          </cell>
          <cell r="D382" t="str">
            <v>ニンゲンにしてあげる☆</v>
          </cell>
          <cell r="E382" t="str">
            <v>ドロップイベント2-1（マルチ専用）</v>
          </cell>
          <cell r="F382">
            <v>3</v>
          </cell>
          <cell r="G382" t="str">
            <v>ja</v>
          </cell>
          <cell r="H382" t="str">
            <v>【超級】ニンゲンにしてあげる</v>
          </cell>
          <cell r="I382" t="str">
            <v>超級</v>
          </cell>
          <cell r="J382">
            <v>291</v>
          </cell>
          <cell r="K382">
            <v>30</v>
          </cell>
          <cell r="L382">
            <v>3300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polygon</v>
          </cell>
          <cell r="T382">
            <v>1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11</v>
          </cell>
          <cell r="AD382">
            <v>6</v>
          </cell>
          <cell r="AE382" t="str">
            <v>everyone</v>
          </cell>
        </row>
        <row r="383">
          <cell r="A383" t="str">
            <v>30006_1</v>
          </cell>
          <cell r="B383">
            <v>3</v>
          </cell>
          <cell r="C383">
            <v>30006</v>
          </cell>
          <cell r="D383" t="str">
            <v>それはお前を食べるためさ</v>
          </cell>
          <cell r="E383" t="str">
            <v>ドロップイベント2-3（マルチ専用）</v>
          </cell>
          <cell r="F383">
            <v>1</v>
          </cell>
          <cell r="G383" t="str">
            <v>ja</v>
          </cell>
          <cell r="H383" t="str">
            <v>【中級】それはお前を食べるためさ</v>
          </cell>
          <cell r="I383" t="str">
            <v>中級</v>
          </cell>
          <cell r="J383">
            <v>294</v>
          </cell>
          <cell r="K383">
            <v>15</v>
          </cell>
          <cell r="L383">
            <v>1200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7</v>
          </cell>
          <cell r="AD383">
            <v>6</v>
          </cell>
          <cell r="AE383" t="str">
            <v>everyone</v>
          </cell>
        </row>
        <row r="384">
          <cell r="A384" t="str">
            <v>30006_2</v>
          </cell>
          <cell r="B384">
            <v>3</v>
          </cell>
          <cell r="C384">
            <v>30006</v>
          </cell>
          <cell r="D384" t="str">
            <v>それはお前を食べるためさ</v>
          </cell>
          <cell r="E384" t="str">
            <v>ドロップイベント2-3（マルチ専用）</v>
          </cell>
          <cell r="F384">
            <v>2</v>
          </cell>
          <cell r="G384" t="str">
            <v>ja</v>
          </cell>
          <cell r="H384" t="str">
            <v>【上級】それはお前を食べるためさ</v>
          </cell>
          <cell r="I384" t="str">
            <v>上級</v>
          </cell>
          <cell r="J384">
            <v>294</v>
          </cell>
          <cell r="K384">
            <v>20</v>
          </cell>
          <cell r="L384">
            <v>2000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none</v>
          </cell>
          <cell r="T384">
            <v>0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7</v>
          </cell>
          <cell r="AD384">
            <v>6</v>
          </cell>
          <cell r="AE384" t="str">
            <v>everyone</v>
          </cell>
        </row>
        <row r="385">
          <cell r="A385" t="str">
            <v>30006_3</v>
          </cell>
          <cell r="B385">
            <v>3</v>
          </cell>
          <cell r="C385">
            <v>30006</v>
          </cell>
          <cell r="D385" t="str">
            <v>それはお前を食べるためさ</v>
          </cell>
          <cell r="E385" t="str">
            <v>ドロップイベント2-3（マルチ専用）</v>
          </cell>
          <cell r="F385">
            <v>3</v>
          </cell>
          <cell r="G385" t="str">
            <v>ja</v>
          </cell>
          <cell r="H385" t="str">
            <v>【超級】それはお前を食べるためさ</v>
          </cell>
          <cell r="I385" t="str">
            <v>超級</v>
          </cell>
          <cell r="J385">
            <v>295</v>
          </cell>
          <cell r="K385">
            <v>30</v>
          </cell>
          <cell r="L385">
            <v>3300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polygon</v>
          </cell>
          <cell r="T385">
            <v>1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7</v>
          </cell>
          <cell r="AD385">
            <v>6</v>
          </cell>
          <cell r="AE385" t="str">
            <v>everyone</v>
          </cell>
        </row>
        <row r="386">
          <cell r="A386" t="str">
            <v>30007_1</v>
          </cell>
          <cell r="B386">
            <v>3</v>
          </cell>
          <cell r="C386">
            <v>30007</v>
          </cell>
          <cell r="D386" t="str">
            <v>ガラスの靴は私のもの</v>
          </cell>
          <cell r="E386" t="str">
            <v>ドロップイベント2-2（マルチ専用）</v>
          </cell>
          <cell r="F386">
            <v>1</v>
          </cell>
          <cell r="G386" t="str">
            <v>ja</v>
          </cell>
          <cell r="H386" t="str">
            <v xml:space="preserve">【中級】ガラスの靴は私のもの </v>
          </cell>
          <cell r="I386" t="str">
            <v>中級</v>
          </cell>
          <cell r="J386">
            <v>292</v>
          </cell>
          <cell r="K386">
            <v>15</v>
          </cell>
          <cell r="L386">
            <v>1200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</v>
          </cell>
          <cell r="AD386">
            <v>6</v>
          </cell>
          <cell r="AE386" t="str">
            <v>everyone</v>
          </cell>
        </row>
        <row r="387">
          <cell r="A387" t="str">
            <v>30007_2</v>
          </cell>
          <cell r="B387">
            <v>3</v>
          </cell>
          <cell r="C387">
            <v>30007</v>
          </cell>
          <cell r="D387" t="str">
            <v>ガラスの靴は私のもの</v>
          </cell>
          <cell r="E387" t="str">
            <v>ドロップイベント2-2（マルチ専用）</v>
          </cell>
          <cell r="F387">
            <v>2</v>
          </cell>
          <cell r="G387" t="str">
            <v>ja</v>
          </cell>
          <cell r="H387" t="str">
            <v>【上級】ガラスの靴は私のもの</v>
          </cell>
          <cell r="I387" t="str">
            <v>上級</v>
          </cell>
          <cell r="J387">
            <v>292</v>
          </cell>
          <cell r="K387">
            <v>20</v>
          </cell>
          <cell r="L387">
            <v>2000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</v>
          </cell>
          <cell r="AD387">
            <v>6</v>
          </cell>
          <cell r="AE387" t="str">
            <v>everyone</v>
          </cell>
        </row>
        <row r="388">
          <cell r="A388" t="str">
            <v>30007_3</v>
          </cell>
          <cell r="B388">
            <v>3</v>
          </cell>
          <cell r="C388">
            <v>30007</v>
          </cell>
          <cell r="D388" t="str">
            <v>ガラスの靴は私のもの</v>
          </cell>
          <cell r="E388" t="str">
            <v>ドロップイベント2-2（マルチ専用）</v>
          </cell>
          <cell r="F388">
            <v>3</v>
          </cell>
          <cell r="G388" t="str">
            <v>ja</v>
          </cell>
          <cell r="H388" t="str">
            <v xml:space="preserve">【超級】ガラスの靴は私のもの </v>
          </cell>
          <cell r="I388" t="str">
            <v>超級</v>
          </cell>
          <cell r="J388">
            <v>293</v>
          </cell>
          <cell r="K388">
            <v>30</v>
          </cell>
          <cell r="L388">
            <v>3300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polygon</v>
          </cell>
          <cell r="T388">
            <v>1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</v>
          </cell>
          <cell r="AD388">
            <v>6</v>
          </cell>
          <cell r="AE388" t="str">
            <v>everyone</v>
          </cell>
        </row>
        <row r="389">
          <cell r="A389" t="str">
            <v>30008_1</v>
          </cell>
          <cell r="B389">
            <v>3</v>
          </cell>
          <cell r="C389">
            <v>30008</v>
          </cell>
          <cell r="D389" t="str">
            <v>わたしの嫁を返してもらおう</v>
          </cell>
          <cell r="E389" t="str">
            <v>ドロップイベント2-4（マルチ専用）</v>
          </cell>
          <cell r="F389">
            <v>1</v>
          </cell>
          <cell r="G389" t="str">
            <v>ja</v>
          </cell>
          <cell r="H389" t="str">
            <v>【中級】わたしの嫁を返してもらおう</v>
          </cell>
          <cell r="I389" t="str">
            <v>中級</v>
          </cell>
          <cell r="J389">
            <v>288</v>
          </cell>
          <cell r="K389">
            <v>15</v>
          </cell>
          <cell r="L389">
            <v>1200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22</v>
          </cell>
          <cell r="AD389">
            <v>6</v>
          </cell>
          <cell r="AE389" t="str">
            <v>everyone</v>
          </cell>
        </row>
        <row r="390">
          <cell r="A390" t="str">
            <v>30008_2</v>
          </cell>
          <cell r="B390">
            <v>3</v>
          </cell>
          <cell r="C390">
            <v>30008</v>
          </cell>
          <cell r="D390" t="str">
            <v>わたしの嫁を返してもらおう</v>
          </cell>
          <cell r="E390" t="str">
            <v>ドロップイベント2-4（マルチ専用）</v>
          </cell>
          <cell r="F390">
            <v>2</v>
          </cell>
          <cell r="G390" t="str">
            <v>ja</v>
          </cell>
          <cell r="H390" t="str">
            <v>【上級】わたしの嫁を返してもらおう</v>
          </cell>
          <cell r="I390" t="str">
            <v>上級</v>
          </cell>
          <cell r="J390">
            <v>288</v>
          </cell>
          <cell r="K390">
            <v>20</v>
          </cell>
          <cell r="L390">
            <v>2000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22</v>
          </cell>
          <cell r="AD390">
            <v>6</v>
          </cell>
          <cell r="AE390" t="str">
            <v>everyone</v>
          </cell>
        </row>
        <row r="391">
          <cell r="A391" t="str">
            <v>30008_3</v>
          </cell>
          <cell r="B391">
            <v>3</v>
          </cell>
          <cell r="C391">
            <v>30008</v>
          </cell>
          <cell r="D391" t="str">
            <v>わたしの嫁を返してもらおう</v>
          </cell>
          <cell r="E391" t="str">
            <v>ドロップイベント2-4（マルチ専用）</v>
          </cell>
          <cell r="F391">
            <v>3</v>
          </cell>
          <cell r="G391" t="str">
            <v>ja</v>
          </cell>
          <cell r="H391" t="str">
            <v>【超級】わたしの嫁を返してもらおう</v>
          </cell>
          <cell r="I391" t="str">
            <v>超級</v>
          </cell>
          <cell r="J391">
            <v>289</v>
          </cell>
          <cell r="K391">
            <v>30</v>
          </cell>
          <cell r="L391">
            <v>3300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polygon</v>
          </cell>
          <cell r="T391">
            <v>1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22</v>
          </cell>
          <cell r="AD391">
            <v>6</v>
          </cell>
          <cell r="AE391" t="str">
            <v>everyone</v>
          </cell>
        </row>
        <row r="392">
          <cell r="A392" t="str">
            <v>30009_3</v>
          </cell>
          <cell r="B392">
            <v>0</v>
          </cell>
          <cell r="C392">
            <v>30009</v>
          </cell>
          <cell r="D392" t="str">
            <v>復活の捕食者</v>
          </cell>
          <cell r="E392" t="str">
            <v>ドロップイベント3（マルチ専用）</v>
          </cell>
          <cell r="F392">
            <v>3</v>
          </cell>
          <cell r="G392" t="str">
            <v>ja</v>
          </cell>
          <cell r="H392" t="str">
            <v>【上級】復活の捕食者</v>
          </cell>
          <cell r="I392" t="str">
            <v>上級</v>
          </cell>
          <cell r="J392">
            <v>312</v>
          </cell>
          <cell r="K392">
            <v>20</v>
          </cell>
          <cell r="L392">
            <v>2000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2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8</v>
          </cell>
          <cell r="AD392">
            <v>6</v>
          </cell>
          <cell r="AE392" t="str">
            <v>everyone</v>
          </cell>
        </row>
        <row r="393">
          <cell r="A393" t="str">
            <v>30009_1</v>
          </cell>
          <cell r="B393">
            <v>3</v>
          </cell>
          <cell r="C393">
            <v>30009</v>
          </cell>
          <cell r="D393" t="str">
            <v>復活の捕食者</v>
          </cell>
          <cell r="E393" t="str">
            <v>ドロップイベント3（マルチ専用）</v>
          </cell>
          <cell r="F393">
            <v>1</v>
          </cell>
          <cell r="G393" t="str">
            <v>ja</v>
          </cell>
          <cell r="H393" t="str">
            <v>【超級】復活の捕食者</v>
          </cell>
          <cell r="I393" t="str">
            <v>超級</v>
          </cell>
          <cell r="J393">
            <v>312</v>
          </cell>
          <cell r="K393">
            <v>30</v>
          </cell>
          <cell r="L393">
            <v>3300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2</v>
          </cell>
          <cell r="S393" t="str">
            <v>none</v>
          </cell>
          <cell r="T393">
            <v>0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8</v>
          </cell>
          <cell r="AD393">
            <v>6</v>
          </cell>
          <cell r="AE393" t="str">
            <v>everyone</v>
          </cell>
        </row>
        <row r="394">
          <cell r="A394" t="str">
            <v>30009_2</v>
          </cell>
          <cell r="B394">
            <v>3</v>
          </cell>
          <cell r="C394">
            <v>30009</v>
          </cell>
          <cell r="D394" t="str">
            <v>復活の捕食者</v>
          </cell>
          <cell r="E394" t="str">
            <v>ドロップイベント3（マルチ専用）</v>
          </cell>
          <cell r="F394">
            <v>2</v>
          </cell>
          <cell r="G394" t="str">
            <v>ja</v>
          </cell>
          <cell r="H394" t="str">
            <v>【超絶級】復活の捕食者</v>
          </cell>
          <cell r="I394" t="str">
            <v>超絶級</v>
          </cell>
          <cell r="J394">
            <v>312</v>
          </cell>
          <cell r="K394">
            <v>35</v>
          </cell>
          <cell r="L394">
            <v>4200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2</v>
          </cell>
          <cell r="S394" t="str">
            <v>polygon</v>
          </cell>
          <cell r="T394">
            <v>1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8</v>
          </cell>
          <cell r="AD394">
            <v>6</v>
          </cell>
          <cell r="AE394" t="str">
            <v>everyone</v>
          </cell>
        </row>
        <row r="395">
          <cell r="A395" t="str">
            <v>30010_1</v>
          </cell>
          <cell r="B395">
            <v>3</v>
          </cell>
          <cell r="C395">
            <v>30010</v>
          </cell>
          <cell r="D395" t="str">
            <v>最大最凶</v>
          </cell>
          <cell r="E395" t="str">
            <v>ドロップイベント3（マルチ専用）</v>
          </cell>
          <cell r="F395">
            <v>1</v>
          </cell>
          <cell r="G395" t="str">
            <v>ja</v>
          </cell>
          <cell r="H395" t="str">
            <v>【上級】最大最凶</v>
          </cell>
          <cell r="I395" t="str">
            <v>上級</v>
          </cell>
          <cell r="J395">
            <v>306</v>
          </cell>
          <cell r="K395">
            <v>20</v>
          </cell>
          <cell r="L395">
            <v>2000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2</v>
          </cell>
          <cell r="AD395">
            <v>7</v>
          </cell>
          <cell r="AE395" t="str">
            <v>everyone</v>
          </cell>
        </row>
        <row r="396">
          <cell r="A396" t="str">
            <v>30010_2</v>
          </cell>
          <cell r="B396">
            <v>3</v>
          </cell>
          <cell r="C396">
            <v>30010</v>
          </cell>
          <cell r="D396" t="str">
            <v>最大最凶</v>
          </cell>
          <cell r="E396" t="str">
            <v>ドロップイベント3（マルチ専用）</v>
          </cell>
          <cell r="F396">
            <v>2</v>
          </cell>
          <cell r="G396" t="str">
            <v>ja</v>
          </cell>
          <cell r="H396" t="str">
            <v>【超級】最大最凶</v>
          </cell>
          <cell r="I396" t="str">
            <v>超級</v>
          </cell>
          <cell r="J396">
            <v>306</v>
          </cell>
          <cell r="K396">
            <v>30</v>
          </cell>
          <cell r="L396">
            <v>3300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none</v>
          </cell>
          <cell r="T396">
            <v>0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2</v>
          </cell>
          <cell r="AD396">
            <v>7</v>
          </cell>
          <cell r="AE396" t="str">
            <v>everyone</v>
          </cell>
        </row>
        <row r="397">
          <cell r="A397" t="str">
            <v>30010_3</v>
          </cell>
          <cell r="B397">
            <v>3</v>
          </cell>
          <cell r="C397">
            <v>30010</v>
          </cell>
          <cell r="D397" t="str">
            <v>最大最凶</v>
          </cell>
          <cell r="E397" t="str">
            <v>ドロップイベント3（マルチ専用）</v>
          </cell>
          <cell r="F397">
            <v>3</v>
          </cell>
          <cell r="G397" t="str">
            <v>ja</v>
          </cell>
          <cell r="H397" t="str">
            <v>【超絶級】最大最凶</v>
          </cell>
          <cell r="I397" t="str">
            <v>超絶級</v>
          </cell>
          <cell r="J397">
            <v>306</v>
          </cell>
          <cell r="K397">
            <v>35</v>
          </cell>
          <cell r="L397">
            <v>4200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polygon</v>
          </cell>
          <cell r="T397">
            <v>1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2</v>
          </cell>
          <cell r="AD397">
            <v>7</v>
          </cell>
          <cell r="AE397" t="str">
            <v>everyone</v>
          </cell>
        </row>
        <row r="398">
          <cell r="A398" t="str">
            <v>30011_1</v>
          </cell>
          <cell r="B398">
            <v>3</v>
          </cell>
          <cell r="C398">
            <v>30011</v>
          </cell>
          <cell r="D398" t="str">
            <v>気怠い巨読者</v>
          </cell>
          <cell r="E398" t="str">
            <v>ドロップイベント3（マルチ専用）</v>
          </cell>
          <cell r="F398">
            <v>1</v>
          </cell>
          <cell r="G398" t="str">
            <v>ja</v>
          </cell>
          <cell r="H398" t="str">
            <v>【上級】気怠い巨読者</v>
          </cell>
          <cell r="I398" t="str">
            <v>上級</v>
          </cell>
          <cell r="J398">
            <v>308</v>
          </cell>
          <cell r="K398">
            <v>20</v>
          </cell>
          <cell r="L398">
            <v>2000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2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19</v>
          </cell>
          <cell r="AD398">
            <v>6</v>
          </cell>
          <cell r="AE398" t="str">
            <v>everyone</v>
          </cell>
        </row>
        <row r="399">
          <cell r="A399" t="str">
            <v>30011_2</v>
          </cell>
          <cell r="B399">
            <v>3</v>
          </cell>
          <cell r="C399">
            <v>30011</v>
          </cell>
          <cell r="D399" t="str">
            <v>気怠い巨読者</v>
          </cell>
          <cell r="E399" t="str">
            <v>ドロップイベント3（マルチ専用）</v>
          </cell>
          <cell r="F399">
            <v>2</v>
          </cell>
          <cell r="G399" t="str">
            <v>ja</v>
          </cell>
          <cell r="H399" t="str">
            <v>【超級】気怠い巨読者</v>
          </cell>
          <cell r="I399" t="str">
            <v>超級</v>
          </cell>
          <cell r="J399">
            <v>308</v>
          </cell>
          <cell r="K399">
            <v>30</v>
          </cell>
          <cell r="L399">
            <v>3300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2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19</v>
          </cell>
          <cell r="AD399">
            <v>6</v>
          </cell>
          <cell r="AE399" t="str">
            <v>everyone</v>
          </cell>
        </row>
        <row r="400">
          <cell r="A400" t="str">
            <v>30011_3</v>
          </cell>
          <cell r="B400">
            <v>3</v>
          </cell>
          <cell r="C400">
            <v>30011</v>
          </cell>
          <cell r="D400" t="str">
            <v>気怠い巨読者</v>
          </cell>
          <cell r="E400" t="str">
            <v>ドロップイベント3（マルチ専用）</v>
          </cell>
          <cell r="F400">
            <v>3</v>
          </cell>
          <cell r="G400" t="str">
            <v>ja</v>
          </cell>
          <cell r="H400" t="str">
            <v>【超絶級】気怠い巨読者</v>
          </cell>
          <cell r="I400" t="str">
            <v>超絶級</v>
          </cell>
          <cell r="J400">
            <v>309</v>
          </cell>
          <cell r="K400">
            <v>35</v>
          </cell>
          <cell r="L400">
            <v>4200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2</v>
          </cell>
          <cell r="S400" t="str">
            <v>polygon</v>
          </cell>
          <cell r="T400">
            <v>1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19</v>
          </cell>
          <cell r="AD400">
            <v>6</v>
          </cell>
          <cell r="AE400" t="str">
            <v>everyone</v>
          </cell>
        </row>
        <row r="401">
          <cell r="A401" t="str">
            <v>30012_1</v>
          </cell>
          <cell r="B401">
            <v>3</v>
          </cell>
          <cell r="C401">
            <v>30012</v>
          </cell>
          <cell r="D401" t="str">
            <v>底なしの胃袋</v>
          </cell>
          <cell r="E401" t="str">
            <v>ドロップイベント3（マルチ専用）</v>
          </cell>
          <cell r="F401">
            <v>1</v>
          </cell>
          <cell r="G401" t="str">
            <v>ja</v>
          </cell>
          <cell r="H401" t="str">
            <v>【上級】底なしの胃袋</v>
          </cell>
          <cell r="I401" t="str">
            <v>上級</v>
          </cell>
          <cell r="J401">
            <v>310</v>
          </cell>
          <cell r="K401">
            <v>20</v>
          </cell>
          <cell r="L401">
            <v>2000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0</v>
          </cell>
          <cell r="R401">
            <v>3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5</v>
          </cell>
          <cell r="AD401">
            <v>6</v>
          </cell>
          <cell r="AE401" t="str">
            <v>everyone</v>
          </cell>
        </row>
        <row r="402">
          <cell r="A402" t="str">
            <v>30012_2</v>
          </cell>
          <cell r="B402">
            <v>3</v>
          </cell>
          <cell r="C402">
            <v>30012</v>
          </cell>
          <cell r="D402" t="str">
            <v>底なしの胃袋</v>
          </cell>
          <cell r="E402" t="str">
            <v>ドロップイベント3（マルチ専用）</v>
          </cell>
          <cell r="F402">
            <v>2</v>
          </cell>
          <cell r="G402" t="str">
            <v>ja</v>
          </cell>
          <cell r="H402" t="str">
            <v>【超級】底なしの胃袋</v>
          </cell>
          <cell r="I402" t="str">
            <v>超級</v>
          </cell>
          <cell r="J402">
            <v>310</v>
          </cell>
          <cell r="K402">
            <v>30</v>
          </cell>
          <cell r="L402">
            <v>3300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0</v>
          </cell>
          <cell r="R402">
            <v>3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5</v>
          </cell>
          <cell r="AD402">
            <v>6</v>
          </cell>
          <cell r="AE402" t="str">
            <v>everyone</v>
          </cell>
        </row>
        <row r="403">
          <cell r="A403" t="str">
            <v>30012_3</v>
          </cell>
          <cell r="B403">
            <v>3</v>
          </cell>
          <cell r="C403">
            <v>30012</v>
          </cell>
          <cell r="D403" t="str">
            <v>底なしの胃袋</v>
          </cell>
          <cell r="E403" t="str">
            <v>ドロップイベント3（マルチ専用）</v>
          </cell>
          <cell r="F403">
            <v>3</v>
          </cell>
          <cell r="G403" t="str">
            <v>ja</v>
          </cell>
          <cell r="H403" t="str">
            <v>【超絶級】底なしの胃袋</v>
          </cell>
          <cell r="I403" t="str">
            <v>超絶級</v>
          </cell>
          <cell r="J403">
            <v>310</v>
          </cell>
          <cell r="K403">
            <v>35</v>
          </cell>
          <cell r="L403">
            <v>4200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0</v>
          </cell>
          <cell r="R403">
            <v>3</v>
          </cell>
          <cell r="S403" t="str">
            <v>polygon</v>
          </cell>
          <cell r="T403">
            <v>1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5</v>
          </cell>
          <cell r="AD403">
            <v>6</v>
          </cell>
          <cell r="AE403" t="str">
            <v>everyone</v>
          </cell>
        </row>
        <row r="404">
          <cell r="A404" t="str">
            <v>30013_1</v>
          </cell>
          <cell r="B404">
            <v>3</v>
          </cell>
          <cell r="C404">
            <v>30013</v>
          </cell>
          <cell r="D404" t="str">
            <v>決戦・竜宮城</v>
          </cell>
          <cell r="E404" t="str">
            <v>ドロップイベント4（マルチ専用）</v>
          </cell>
          <cell r="F404">
            <v>1</v>
          </cell>
          <cell r="G404" t="str">
            <v>ja</v>
          </cell>
          <cell r="H404" t="str">
            <v>【超級】決戦・竜宮城</v>
          </cell>
          <cell r="I404" t="str">
            <v>超級</v>
          </cell>
          <cell r="J404">
            <v>418</v>
          </cell>
          <cell r="K404">
            <v>30</v>
          </cell>
          <cell r="L404">
            <v>3300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17</v>
          </cell>
          <cell r="AD404">
            <v>6</v>
          </cell>
          <cell r="AE404" t="str">
            <v>everyone</v>
          </cell>
        </row>
        <row r="405">
          <cell r="A405" t="str">
            <v>30013_2</v>
          </cell>
          <cell r="B405">
            <v>3</v>
          </cell>
          <cell r="C405">
            <v>30013</v>
          </cell>
          <cell r="D405" t="str">
            <v>決戦・竜宮城</v>
          </cell>
          <cell r="E405" t="str">
            <v>ドロップイベント4（マルチ専用）</v>
          </cell>
          <cell r="F405">
            <v>2</v>
          </cell>
          <cell r="G405" t="str">
            <v>ja</v>
          </cell>
          <cell r="H405" t="str">
            <v>【超絶級】決戦・竜宮城</v>
          </cell>
          <cell r="I405" t="str">
            <v>超絶級</v>
          </cell>
          <cell r="J405">
            <v>419</v>
          </cell>
          <cell r="K405">
            <v>35</v>
          </cell>
          <cell r="L405">
            <v>4200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polygon</v>
          </cell>
          <cell r="T405">
            <v>1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17</v>
          </cell>
          <cell r="AD405">
            <v>6</v>
          </cell>
          <cell r="AE405" t="str">
            <v>everyone</v>
          </cell>
        </row>
        <row r="406">
          <cell r="A406" t="str">
            <v>30014_1</v>
          </cell>
          <cell r="B406">
            <v>3</v>
          </cell>
          <cell r="C406">
            <v>30014</v>
          </cell>
          <cell r="D406" t="str">
            <v>親指を突き立てろ！</v>
          </cell>
          <cell r="E406" t="str">
            <v>ドロップイベント4（マルチ専用）</v>
          </cell>
          <cell r="F406">
            <v>1</v>
          </cell>
          <cell r="G406" t="str">
            <v>ja</v>
          </cell>
          <cell r="H406" t="str">
            <v>【超級】親指を突き立てろ！</v>
          </cell>
          <cell r="I406" t="str">
            <v>超級</v>
          </cell>
          <cell r="J406">
            <v>420</v>
          </cell>
          <cell r="K406">
            <v>30</v>
          </cell>
          <cell r="L406">
            <v>3300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23</v>
          </cell>
          <cell r="AD406">
            <v>5</v>
          </cell>
          <cell r="AE406" t="str">
            <v>everyone</v>
          </cell>
        </row>
        <row r="407">
          <cell r="A407" t="str">
            <v>30014_2</v>
          </cell>
          <cell r="B407">
            <v>3</v>
          </cell>
          <cell r="C407">
            <v>30014</v>
          </cell>
          <cell r="D407" t="str">
            <v>親指を突き立てろ！</v>
          </cell>
          <cell r="E407" t="str">
            <v>ドロップイベント4（マルチ専用）</v>
          </cell>
          <cell r="F407">
            <v>2</v>
          </cell>
          <cell r="G407" t="str">
            <v>ja</v>
          </cell>
          <cell r="H407" t="str">
            <v>【超絶級】親指を突き立てろ！</v>
          </cell>
          <cell r="I407" t="str">
            <v>超絶級</v>
          </cell>
          <cell r="J407">
            <v>421</v>
          </cell>
          <cell r="K407">
            <v>35</v>
          </cell>
          <cell r="L407">
            <v>4200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polygon</v>
          </cell>
          <cell r="T407">
            <v>1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23</v>
          </cell>
          <cell r="AD407">
            <v>5</v>
          </cell>
          <cell r="AE407" t="str">
            <v>everyone</v>
          </cell>
        </row>
        <row r="408">
          <cell r="A408" t="str">
            <v>30015_1</v>
          </cell>
          <cell r="B408">
            <v>3</v>
          </cell>
          <cell r="C408">
            <v>30015</v>
          </cell>
          <cell r="D408" t="str">
            <v>兄妹の大冒険</v>
          </cell>
          <cell r="E408" t="str">
            <v>ドロップイベント4（マルチ専用）</v>
          </cell>
          <cell r="F408">
            <v>1</v>
          </cell>
          <cell r="G408" t="str">
            <v>ja</v>
          </cell>
          <cell r="H408" t="str">
            <v>【超級】兄妹の大冒険</v>
          </cell>
          <cell r="I408" t="str">
            <v>超級</v>
          </cell>
          <cell r="J408">
            <v>422</v>
          </cell>
          <cell r="K408">
            <v>30</v>
          </cell>
          <cell r="L408">
            <v>3300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none</v>
          </cell>
          <cell r="T408">
            <v>0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16</v>
          </cell>
          <cell r="AD408">
            <v>6</v>
          </cell>
          <cell r="AE408" t="str">
            <v>everyone</v>
          </cell>
        </row>
        <row r="409">
          <cell r="A409" t="str">
            <v>30015_2</v>
          </cell>
          <cell r="B409">
            <v>3</v>
          </cell>
          <cell r="C409">
            <v>30015</v>
          </cell>
          <cell r="D409" t="str">
            <v>兄妹の大冒険</v>
          </cell>
          <cell r="E409" t="str">
            <v>ドロップイベント4（マルチ専用）</v>
          </cell>
          <cell r="F409">
            <v>2</v>
          </cell>
          <cell r="G409" t="str">
            <v>ja</v>
          </cell>
          <cell r="H409" t="str">
            <v>【超絶級】兄妹の大冒険</v>
          </cell>
          <cell r="I409" t="str">
            <v>超絶級</v>
          </cell>
          <cell r="J409">
            <v>423</v>
          </cell>
          <cell r="K409">
            <v>35</v>
          </cell>
          <cell r="L409">
            <v>4200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polygon</v>
          </cell>
          <cell r="T409">
            <v>1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16</v>
          </cell>
          <cell r="AD409">
            <v>6</v>
          </cell>
          <cell r="AE409" t="str">
            <v>everyone</v>
          </cell>
        </row>
        <row r="410">
          <cell r="A410" t="str">
            <v>30016_1</v>
          </cell>
          <cell r="B410">
            <v>3</v>
          </cell>
          <cell r="C410">
            <v>30016</v>
          </cell>
          <cell r="D410" t="str">
            <v>私がワニの天敵よ？</v>
          </cell>
          <cell r="E410" t="str">
            <v>ドロップイベント4（マルチ専用）</v>
          </cell>
          <cell r="F410">
            <v>1</v>
          </cell>
          <cell r="G410" t="str">
            <v>ja</v>
          </cell>
          <cell r="H410" t="str">
            <v>【超級】私がワニの天敵よ？</v>
          </cell>
          <cell r="I410" t="str">
            <v>超級</v>
          </cell>
          <cell r="J410">
            <v>424</v>
          </cell>
          <cell r="K410">
            <v>30</v>
          </cell>
          <cell r="L410">
            <v>3300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none</v>
          </cell>
          <cell r="T410">
            <v>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4</v>
          </cell>
          <cell r="AD410">
            <v>6</v>
          </cell>
          <cell r="AE410" t="str">
            <v>everyone</v>
          </cell>
        </row>
        <row r="411">
          <cell r="A411" t="str">
            <v>30016_2</v>
          </cell>
          <cell r="B411">
            <v>3</v>
          </cell>
          <cell r="C411">
            <v>30016</v>
          </cell>
          <cell r="D411" t="str">
            <v>私がワニの天敵よ？</v>
          </cell>
          <cell r="E411" t="str">
            <v>ドロップイベント4（マルチ専用）</v>
          </cell>
          <cell r="F411">
            <v>2</v>
          </cell>
          <cell r="G411" t="str">
            <v>ja</v>
          </cell>
          <cell r="H411" t="str">
            <v>【超絶級】私がワニの天敵よ？</v>
          </cell>
          <cell r="I411" t="str">
            <v>超絶級</v>
          </cell>
          <cell r="J411">
            <v>425</v>
          </cell>
          <cell r="K411">
            <v>35</v>
          </cell>
          <cell r="L411">
            <v>4200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polygon</v>
          </cell>
          <cell r="T411">
            <v>1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4</v>
          </cell>
          <cell r="AD411">
            <v>6</v>
          </cell>
          <cell r="AE411" t="str">
            <v>everyone</v>
          </cell>
        </row>
        <row r="412">
          <cell r="A412" t="str">
            <v>30017_1</v>
          </cell>
          <cell r="B412">
            <v>3</v>
          </cell>
          <cell r="C412">
            <v>30017</v>
          </cell>
          <cell r="D412" t="str">
            <v>狩人の挽歌</v>
          </cell>
          <cell r="E412" t="str">
            <v>ドロップイベント5（マルチ専用）</v>
          </cell>
          <cell r="F412">
            <v>1</v>
          </cell>
          <cell r="G412" t="str">
            <v>ja</v>
          </cell>
          <cell r="H412" t="str">
            <v>【超級】狩人の挽歌</v>
          </cell>
          <cell r="I412" t="str">
            <v>超級</v>
          </cell>
          <cell r="J412">
            <v>452</v>
          </cell>
          <cell r="K412">
            <v>30</v>
          </cell>
          <cell r="L412">
            <v>3300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20</v>
          </cell>
          <cell r="AD412">
            <v>6</v>
          </cell>
          <cell r="AE412" t="str">
            <v>multionly</v>
          </cell>
        </row>
        <row r="413">
          <cell r="A413" t="str">
            <v>30017_2</v>
          </cell>
          <cell r="B413">
            <v>3</v>
          </cell>
          <cell r="C413">
            <v>30017</v>
          </cell>
          <cell r="D413" t="str">
            <v>狩人の挽歌</v>
          </cell>
          <cell r="E413" t="str">
            <v>ドロップイベント5（マルチ専用）</v>
          </cell>
          <cell r="F413">
            <v>2</v>
          </cell>
          <cell r="G413" t="str">
            <v>ja</v>
          </cell>
          <cell r="H413" t="str">
            <v>【超絶級】狩人の挽歌</v>
          </cell>
          <cell r="I413" t="str">
            <v>超絶級</v>
          </cell>
          <cell r="J413">
            <v>453</v>
          </cell>
          <cell r="K413">
            <v>35</v>
          </cell>
          <cell r="L413">
            <v>4200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>
            <v>1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20</v>
          </cell>
          <cell r="AD413">
            <v>6</v>
          </cell>
          <cell r="AE413" t="str">
            <v>multionly</v>
          </cell>
        </row>
        <row r="414">
          <cell r="A414" t="str">
            <v>30018_1</v>
          </cell>
          <cell r="B414">
            <v>3</v>
          </cell>
          <cell r="C414">
            <v>30018</v>
          </cell>
          <cell r="D414" t="str">
            <v>バックストリートファイト</v>
          </cell>
          <cell r="E414" t="str">
            <v>ドロップイベント5（マルチ専用）</v>
          </cell>
          <cell r="F414">
            <v>1</v>
          </cell>
          <cell r="G414" t="str">
            <v>ja</v>
          </cell>
          <cell r="H414" t="str">
            <v>【超級】バックストリートファイト</v>
          </cell>
          <cell r="I414" t="str">
            <v>超級</v>
          </cell>
          <cell r="J414">
            <v>454</v>
          </cell>
          <cell r="K414">
            <v>30</v>
          </cell>
          <cell r="L414">
            <v>3300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0</v>
          </cell>
          <cell r="R414">
            <v>3</v>
          </cell>
          <cell r="S414" t="str">
            <v>none</v>
          </cell>
          <cell r="T414">
            <v>0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14</v>
          </cell>
          <cell r="AD414">
            <v>6</v>
          </cell>
          <cell r="AE414" t="str">
            <v>everyone</v>
          </cell>
        </row>
        <row r="415">
          <cell r="A415" t="str">
            <v>30018_2</v>
          </cell>
          <cell r="B415">
            <v>3</v>
          </cell>
          <cell r="C415">
            <v>30018</v>
          </cell>
          <cell r="D415" t="str">
            <v>バックストリートファイト</v>
          </cell>
          <cell r="E415" t="str">
            <v>ドロップイベント5（マルチ専用）</v>
          </cell>
          <cell r="F415">
            <v>2</v>
          </cell>
          <cell r="G415" t="str">
            <v>ja</v>
          </cell>
          <cell r="H415" t="str">
            <v>【超絶級】バックストリートファイト</v>
          </cell>
          <cell r="I415" t="str">
            <v>超絶級</v>
          </cell>
          <cell r="J415">
            <v>455</v>
          </cell>
          <cell r="K415">
            <v>35</v>
          </cell>
          <cell r="L415">
            <v>4200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0</v>
          </cell>
          <cell r="R415">
            <v>3</v>
          </cell>
          <cell r="S415" t="str">
            <v>polygon</v>
          </cell>
          <cell r="T415">
            <v>1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14</v>
          </cell>
          <cell r="AD415">
            <v>6</v>
          </cell>
          <cell r="AE415" t="str">
            <v>everyone</v>
          </cell>
        </row>
        <row r="416">
          <cell r="A416" t="str">
            <v>30019_1</v>
          </cell>
          <cell r="B416">
            <v>3</v>
          </cell>
          <cell r="C416">
            <v>30019</v>
          </cell>
          <cell r="D416" t="str">
            <v>狙撃は終わらない</v>
          </cell>
          <cell r="E416" t="str">
            <v>ドロップイベント5（マルチ専用）</v>
          </cell>
          <cell r="F416">
            <v>1</v>
          </cell>
          <cell r="G416" t="str">
            <v>ja</v>
          </cell>
          <cell r="H416" t="str">
            <v>【超級】狙撃は終わらない</v>
          </cell>
          <cell r="I416" t="str">
            <v>超級</v>
          </cell>
          <cell r="J416">
            <v>456</v>
          </cell>
          <cell r="K416">
            <v>30</v>
          </cell>
          <cell r="L416">
            <v>3300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24</v>
          </cell>
          <cell r="AD416">
            <v>6</v>
          </cell>
          <cell r="AE416" t="str">
            <v>multionly</v>
          </cell>
        </row>
        <row r="417">
          <cell r="A417" t="str">
            <v>30019_2</v>
          </cell>
          <cell r="B417">
            <v>3</v>
          </cell>
          <cell r="C417">
            <v>30019</v>
          </cell>
          <cell r="D417" t="str">
            <v>狙撃は終わらない</v>
          </cell>
          <cell r="E417" t="str">
            <v>ドロップイベント5（マルチ専用）</v>
          </cell>
          <cell r="F417">
            <v>2</v>
          </cell>
          <cell r="G417" t="str">
            <v>ja</v>
          </cell>
          <cell r="H417" t="str">
            <v>【超絶級】狙撃は終わらない</v>
          </cell>
          <cell r="I417" t="str">
            <v>超絶級</v>
          </cell>
          <cell r="J417">
            <v>457</v>
          </cell>
          <cell r="K417">
            <v>35</v>
          </cell>
          <cell r="L417">
            <v>4200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polygon</v>
          </cell>
          <cell r="T417">
            <v>1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24</v>
          </cell>
          <cell r="AD417">
            <v>6</v>
          </cell>
          <cell r="AE417" t="str">
            <v>multionly</v>
          </cell>
        </row>
        <row r="418">
          <cell r="A418" t="str">
            <v>30020_1</v>
          </cell>
          <cell r="B418">
            <v>3</v>
          </cell>
          <cell r="C418">
            <v>30020</v>
          </cell>
          <cell r="D418" t="str">
            <v>若造よ、身の程を知れ</v>
          </cell>
          <cell r="E418" t="str">
            <v>ドロップイベント5（マルチ専用）</v>
          </cell>
          <cell r="F418">
            <v>1</v>
          </cell>
          <cell r="G418" t="str">
            <v>ja</v>
          </cell>
          <cell r="H418" t="str">
            <v>【超級】若造よ、身の程を知れ</v>
          </cell>
          <cell r="I418" t="str">
            <v>超級</v>
          </cell>
          <cell r="J418">
            <v>458</v>
          </cell>
          <cell r="K418">
            <v>30</v>
          </cell>
          <cell r="L418">
            <v>3300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13</v>
          </cell>
          <cell r="AD418">
            <v>6</v>
          </cell>
          <cell r="AE418" t="str">
            <v>everyone</v>
          </cell>
        </row>
        <row r="419">
          <cell r="A419" t="str">
            <v>30020_2</v>
          </cell>
          <cell r="B419">
            <v>3</v>
          </cell>
          <cell r="C419">
            <v>30020</v>
          </cell>
          <cell r="D419" t="str">
            <v>若造よ、身の程を知れ</v>
          </cell>
          <cell r="E419" t="str">
            <v>ドロップイベント5（マルチ専用）</v>
          </cell>
          <cell r="F419">
            <v>2</v>
          </cell>
          <cell r="G419" t="str">
            <v>ja</v>
          </cell>
          <cell r="H419" t="str">
            <v>【超絶級】若造よ、身の程を知れ</v>
          </cell>
          <cell r="I419" t="str">
            <v>超絶級</v>
          </cell>
          <cell r="J419">
            <v>459</v>
          </cell>
          <cell r="K419">
            <v>35</v>
          </cell>
          <cell r="L419">
            <v>4200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polygon</v>
          </cell>
          <cell r="T419">
            <v>1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13</v>
          </cell>
          <cell r="AD419">
            <v>6</v>
          </cell>
          <cell r="AE419" t="str">
            <v>everyone</v>
          </cell>
        </row>
        <row r="420">
          <cell r="A420" t="str">
            <v>30021_1</v>
          </cell>
          <cell r="B420">
            <v>3</v>
          </cell>
          <cell r="C420">
            <v>30021</v>
          </cell>
          <cell r="D420" t="str">
            <v>野獣死すべしっ！</v>
          </cell>
          <cell r="E420" t="str">
            <v>ドロップイベント6（マルチ専用）</v>
          </cell>
          <cell r="F420">
            <v>1</v>
          </cell>
          <cell r="G420" t="str">
            <v>ja</v>
          </cell>
          <cell r="H420" t="str">
            <v>【中級】野獣死すべしっ！</v>
          </cell>
          <cell r="I420" t="str">
            <v>中級</v>
          </cell>
          <cell r="J420">
            <v>502</v>
          </cell>
          <cell r="K420">
            <v>15</v>
          </cell>
          <cell r="L420">
            <v>1200</v>
          </cell>
          <cell r="M420">
            <v>1</v>
          </cell>
          <cell r="N420">
            <v>1</v>
          </cell>
          <cell r="O420">
            <v>0</v>
          </cell>
          <cell r="P420">
            <v>1</v>
          </cell>
          <cell r="Q420">
            <v>1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14</v>
          </cell>
          <cell r="AD420">
            <v>6</v>
          </cell>
          <cell r="AE420" t="str">
            <v>everyone</v>
          </cell>
        </row>
        <row r="421">
          <cell r="A421" t="str">
            <v>30021_2</v>
          </cell>
          <cell r="B421">
            <v>3</v>
          </cell>
          <cell r="C421">
            <v>30021</v>
          </cell>
          <cell r="D421" t="str">
            <v>野獣死すべしっ！</v>
          </cell>
          <cell r="E421" t="str">
            <v>ドロップイベント6（マルチ専用）</v>
          </cell>
          <cell r="F421">
            <v>2</v>
          </cell>
          <cell r="G421" t="str">
            <v>ja</v>
          </cell>
          <cell r="H421" t="str">
            <v>【上級】野獣死すべしっ！</v>
          </cell>
          <cell r="I421" t="str">
            <v>上級</v>
          </cell>
          <cell r="J421">
            <v>502</v>
          </cell>
          <cell r="K421">
            <v>20</v>
          </cell>
          <cell r="L421">
            <v>2000</v>
          </cell>
          <cell r="M421">
            <v>1</v>
          </cell>
          <cell r="N421">
            <v>1</v>
          </cell>
          <cell r="O421">
            <v>0</v>
          </cell>
          <cell r="P421">
            <v>1</v>
          </cell>
          <cell r="Q421">
            <v>1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14</v>
          </cell>
          <cell r="AD421">
            <v>6</v>
          </cell>
          <cell r="AE421" t="str">
            <v>everyone</v>
          </cell>
        </row>
        <row r="422">
          <cell r="A422" t="str">
            <v>30021_3</v>
          </cell>
          <cell r="B422">
            <v>3</v>
          </cell>
          <cell r="C422">
            <v>30021</v>
          </cell>
          <cell r="D422" t="str">
            <v>野獣死すべしっ！</v>
          </cell>
          <cell r="E422" t="str">
            <v>ドロップイベント6（マルチ専用）</v>
          </cell>
          <cell r="F422">
            <v>3</v>
          </cell>
          <cell r="G422" t="str">
            <v>ja</v>
          </cell>
          <cell r="H422" t="str">
            <v>【超級】野獣死すべしっ！</v>
          </cell>
          <cell r="I422" t="str">
            <v>超級</v>
          </cell>
          <cell r="J422">
            <v>503</v>
          </cell>
          <cell r="K422">
            <v>30</v>
          </cell>
          <cell r="L422">
            <v>3300</v>
          </cell>
          <cell r="M422">
            <v>1</v>
          </cell>
          <cell r="N422">
            <v>1</v>
          </cell>
          <cell r="O422">
            <v>0</v>
          </cell>
          <cell r="P422">
            <v>1</v>
          </cell>
          <cell r="Q422">
            <v>1</v>
          </cell>
          <cell r="R422">
            <v>3</v>
          </cell>
          <cell r="S422" t="str">
            <v>polygon</v>
          </cell>
          <cell r="T422">
            <v>1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14</v>
          </cell>
          <cell r="AD422">
            <v>6</v>
          </cell>
          <cell r="AE422" t="str">
            <v>everyone</v>
          </cell>
        </row>
        <row r="423">
          <cell r="A423" t="str">
            <v>30022_1</v>
          </cell>
          <cell r="B423">
            <v>3</v>
          </cell>
          <cell r="C423">
            <v>30022</v>
          </cell>
          <cell r="D423" t="str">
            <v>凶鼠ネコを咬む</v>
          </cell>
          <cell r="E423" t="str">
            <v>ドロップイベント6（マルチ専用）</v>
          </cell>
          <cell r="F423">
            <v>1</v>
          </cell>
          <cell r="G423" t="str">
            <v>ja</v>
          </cell>
          <cell r="H423" t="str">
            <v>【超級】凶鼠ネコを咬む</v>
          </cell>
          <cell r="I423" t="str">
            <v>超級</v>
          </cell>
          <cell r="J423">
            <v>504</v>
          </cell>
          <cell r="K423">
            <v>30</v>
          </cell>
          <cell r="L423">
            <v>3300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6</v>
          </cell>
          <cell r="AD423">
            <v>6</v>
          </cell>
          <cell r="AE423" t="str">
            <v>everyone</v>
          </cell>
        </row>
        <row r="424">
          <cell r="A424" t="str">
            <v>30022_2</v>
          </cell>
          <cell r="B424">
            <v>3</v>
          </cell>
          <cell r="C424">
            <v>30022</v>
          </cell>
          <cell r="D424" t="str">
            <v>凶鼠ネコを咬む</v>
          </cell>
          <cell r="E424" t="str">
            <v>ドロップイベント6（マルチ専用）</v>
          </cell>
          <cell r="F424">
            <v>2</v>
          </cell>
          <cell r="G424" t="str">
            <v>ja</v>
          </cell>
          <cell r="H424" t="str">
            <v>【超絶級】凶鼠ネコを咬む</v>
          </cell>
          <cell r="I424" t="str">
            <v>超絶級</v>
          </cell>
          <cell r="J424">
            <v>505</v>
          </cell>
          <cell r="K424">
            <v>35</v>
          </cell>
          <cell r="L424">
            <v>4200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3</v>
          </cell>
          <cell r="S424" t="str">
            <v>polygon</v>
          </cell>
          <cell r="T424">
            <v>1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6</v>
          </cell>
          <cell r="AD424">
            <v>6</v>
          </cell>
          <cell r="AE424" t="str">
            <v>everyone</v>
          </cell>
        </row>
        <row r="425">
          <cell r="A425" t="str">
            <v>30023_1</v>
          </cell>
          <cell r="B425">
            <v>3</v>
          </cell>
          <cell r="C425">
            <v>30023</v>
          </cell>
          <cell r="D425" t="str">
            <v>隔離からのエスケイプ</v>
          </cell>
          <cell r="E425" t="str">
            <v>ドロップイベント6（マルチ専用）</v>
          </cell>
          <cell r="F425">
            <v>1</v>
          </cell>
          <cell r="G425" t="str">
            <v>ja</v>
          </cell>
          <cell r="H425" t="str">
            <v>【中級】隔離からのエスケイプ</v>
          </cell>
          <cell r="I425" t="str">
            <v>中級</v>
          </cell>
          <cell r="J425">
            <v>506</v>
          </cell>
          <cell r="K425">
            <v>15</v>
          </cell>
          <cell r="L425">
            <v>1200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25</v>
          </cell>
          <cell r="AD425">
            <v>6</v>
          </cell>
          <cell r="AE425" t="str">
            <v>everyone</v>
          </cell>
        </row>
        <row r="426">
          <cell r="A426" t="str">
            <v>30023_2</v>
          </cell>
          <cell r="B426">
            <v>3</v>
          </cell>
          <cell r="C426">
            <v>30023</v>
          </cell>
          <cell r="D426" t="str">
            <v>隔離からのエスケイプ</v>
          </cell>
          <cell r="E426" t="str">
            <v>ドロップイベント6（マルチ専用）</v>
          </cell>
          <cell r="F426">
            <v>2</v>
          </cell>
          <cell r="G426" t="str">
            <v>ja</v>
          </cell>
          <cell r="H426" t="str">
            <v>【上級】隔離からのエスケイプ</v>
          </cell>
          <cell r="I426" t="str">
            <v>上級</v>
          </cell>
          <cell r="J426">
            <v>506</v>
          </cell>
          <cell r="K426">
            <v>20</v>
          </cell>
          <cell r="L426">
            <v>2000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25</v>
          </cell>
          <cell r="AD426">
            <v>6</v>
          </cell>
          <cell r="AE426" t="str">
            <v>everyone</v>
          </cell>
        </row>
        <row r="427">
          <cell r="A427" t="str">
            <v>30023_3</v>
          </cell>
          <cell r="B427">
            <v>3</v>
          </cell>
          <cell r="C427">
            <v>30023</v>
          </cell>
          <cell r="D427" t="str">
            <v>隔離からのエスケイプ</v>
          </cell>
          <cell r="E427" t="str">
            <v>ドロップイベント6（マルチ専用）</v>
          </cell>
          <cell r="F427">
            <v>3</v>
          </cell>
          <cell r="G427" t="str">
            <v>ja</v>
          </cell>
          <cell r="H427" t="str">
            <v>【超級】隔離からのエスケイプ</v>
          </cell>
          <cell r="I427" t="str">
            <v>超級</v>
          </cell>
          <cell r="J427">
            <v>507</v>
          </cell>
          <cell r="K427">
            <v>30</v>
          </cell>
          <cell r="L427">
            <v>3300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polygon</v>
          </cell>
          <cell r="T427">
            <v>1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25</v>
          </cell>
          <cell r="AD427">
            <v>6</v>
          </cell>
          <cell r="AE427" t="str">
            <v>everyone</v>
          </cell>
        </row>
        <row r="428">
          <cell r="A428" t="str">
            <v>30024_1</v>
          </cell>
          <cell r="B428">
            <v>3</v>
          </cell>
          <cell r="C428">
            <v>30024</v>
          </cell>
          <cell r="D428" t="str">
            <v>雷鎚の選定</v>
          </cell>
          <cell r="E428" t="str">
            <v>ドロップイベント7（マルチ専用）</v>
          </cell>
          <cell r="F428">
            <v>1</v>
          </cell>
          <cell r="G428" t="str">
            <v>ja</v>
          </cell>
          <cell r="H428" t="str">
            <v>【中級】雷鎚の選定</v>
          </cell>
          <cell r="I428" t="str">
            <v>中級</v>
          </cell>
          <cell r="J428">
            <v>583</v>
          </cell>
          <cell r="K428">
            <v>15</v>
          </cell>
          <cell r="L428">
            <v>1200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20</v>
          </cell>
          <cell r="AD428">
            <v>6</v>
          </cell>
          <cell r="AE428" t="str">
            <v>multionly</v>
          </cell>
        </row>
        <row r="429">
          <cell r="A429" t="str">
            <v>30024_2</v>
          </cell>
          <cell r="B429">
            <v>3</v>
          </cell>
          <cell r="C429">
            <v>30024</v>
          </cell>
          <cell r="D429" t="str">
            <v>雷鎚の選定</v>
          </cell>
          <cell r="E429" t="str">
            <v>ドロップイベント7（マルチ専用）</v>
          </cell>
          <cell r="F429">
            <v>2</v>
          </cell>
          <cell r="G429" t="str">
            <v>ja</v>
          </cell>
          <cell r="H429" t="str">
            <v>【上級】雷鎚の選定</v>
          </cell>
          <cell r="I429" t="str">
            <v>上級</v>
          </cell>
          <cell r="J429">
            <v>583</v>
          </cell>
          <cell r="K429">
            <v>20</v>
          </cell>
          <cell r="L429">
            <v>2000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20</v>
          </cell>
          <cell r="AD429">
            <v>6</v>
          </cell>
          <cell r="AE429" t="str">
            <v>multionly</v>
          </cell>
        </row>
        <row r="430">
          <cell r="A430" t="str">
            <v>30024_3</v>
          </cell>
          <cell r="B430">
            <v>3</v>
          </cell>
          <cell r="C430">
            <v>30024</v>
          </cell>
          <cell r="D430" t="str">
            <v>雷鎚の選定</v>
          </cell>
          <cell r="E430" t="str">
            <v>ドロップイベント7（マルチ専用）</v>
          </cell>
          <cell r="F430">
            <v>3</v>
          </cell>
          <cell r="G430" t="str">
            <v>ja</v>
          </cell>
          <cell r="H430" t="str">
            <v>【超級】雷鎚の選定</v>
          </cell>
          <cell r="I430" t="str">
            <v>超級</v>
          </cell>
          <cell r="J430">
            <v>584</v>
          </cell>
          <cell r="K430">
            <v>30</v>
          </cell>
          <cell r="L430">
            <v>3300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polygon</v>
          </cell>
          <cell r="T430">
            <v>1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20</v>
          </cell>
          <cell r="AD430">
            <v>6</v>
          </cell>
          <cell r="AE430" t="str">
            <v>multionly</v>
          </cell>
        </row>
        <row r="431">
          <cell r="A431" t="str">
            <v>30025_1</v>
          </cell>
          <cell r="B431">
            <v>3</v>
          </cell>
          <cell r="C431">
            <v>30025</v>
          </cell>
          <cell r="D431" t="str">
            <v>真実の探求者</v>
          </cell>
          <cell r="E431" t="str">
            <v>ドロップイベント7（マルチ専用）</v>
          </cell>
          <cell r="F431">
            <v>1</v>
          </cell>
          <cell r="G431" t="str">
            <v>ja</v>
          </cell>
          <cell r="H431" t="str">
            <v>【中級】真実の探求者</v>
          </cell>
          <cell r="I431" t="str">
            <v>中級</v>
          </cell>
          <cell r="J431">
            <v>579</v>
          </cell>
          <cell r="K431">
            <v>15</v>
          </cell>
          <cell r="L431">
            <v>1200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7</v>
          </cell>
          <cell r="AD431">
            <v>6</v>
          </cell>
          <cell r="AE431" t="str">
            <v>everyone</v>
          </cell>
        </row>
        <row r="432">
          <cell r="A432" t="str">
            <v>30025_2</v>
          </cell>
          <cell r="B432">
            <v>3</v>
          </cell>
          <cell r="C432">
            <v>30025</v>
          </cell>
          <cell r="D432" t="str">
            <v>真実の探求者</v>
          </cell>
          <cell r="E432" t="str">
            <v>ドロップイベント7（マルチ専用）</v>
          </cell>
          <cell r="F432">
            <v>2</v>
          </cell>
          <cell r="G432" t="str">
            <v>ja</v>
          </cell>
          <cell r="H432" t="str">
            <v>【上級】真実の探求者</v>
          </cell>
          <cell r="I432" t="str">
            <v>上級</v>
          </cell>
          <cell r="J432">
            <v>579</v>
          </cell>
          <cell r="K432">
            <v>20</v>
          </cell>
          <cell r="L432">
            <v>2000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everyone</v>
          </cell>
        </row>
        <row r="433">
          <cell r="A433" t="str">
            <v>30025_3</v>
          </cell>
          <cell r="B433">
            <v>3</v>
          </cell>
          <cell r="C433">
            <v>30025</v>
          </cell>
          <cell r="D433" t="str">
            <v>真実の探求者</v>
          </cell>
          <cell r="E433" t="str">
            <v>ドロップイベント7（マルチ専用）</v>
          </cell>
          <cell r="F433">
            <v>3</v>
          </cell>
          <cell r="G433" t="str">
            <v>ja</v>
          </cell>
          <cell r="H433" t="str">
            <v>【超級】真実の探求者</v>
          </cell>
          <cell r="I433" t="str">
            <v>超級</v>
          </cell>
          <cell r="J433">
            <v>580</v>
          </cell>
          <cell r="K433">
            <v>30</v>
          </cell>
          <cell r="L433">
            <v>3300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polygon</v>
          </cell>
          <cell r="T433">
            <v>1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7</v>
          </cell>
          <cell r="AD433">
            <v>6</v>
          </cell>
          <cell r="AE433" t="str">
            <v>everyone</v>
          </cell>
        </row>
        <row r="434">
          <cell r="A434" t="str">
            <v>30026_1</v>
          </cell>
          <cell r="B434">
            <v>3</v>
          </cell>
          <cell r="C434">
            <v>30026</v>
          </cell>
          <cell r="D434" t="str">
            <v>道を阻む妖精夫婦</v>
          </cell>
          <cell r="E434" t="str">
            <v>ドロップイベント7（マルチ専用）</v>
          </cell>
          <cell r="F434">
            <v>1</v>
          </cell>
          <cell r="G434" t="str">
            <v>ja</v>
          </cell>
          <cell r="H434" t="str">
            <v>【中級】道を阻む妖精夫婦</v>
          </cell>
          <cell r="I434" t="str">
            <v>中級</v>
          </cell>
          <cell r="J434">
            <v>577</v>
          </cell>
          <cell r="K434">
            <v>15</v>
          </cell>
          <cell r="L434">
            <v>1200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21</v>
          </cell>
          <cell r="AD434">
            <v>6</v>
          </cell>
          <cell r="AE434" t="str">
            <v>everyone</v>
          </cell>
        </row>
        <row r="435">
          <cell r="A435" t="str">
            <v>30026_2</v>
          </cell>
          <cell r="B435">
            <v>3</v>
          </cell>
          <cell r="C435">
            <v>30026</v>
          </cell>
          <cell r="D435" t="str">
            <v>道を阻む妖精夫婦</v>
          </cell>
          <cell r="E435" t="str">
            <v>ドロップイベント7（マルチ専用）</v>
          </cell>
          <cell r="F435">
            <v>2</v>
          </cell>
          <cell r="G435" t="str">
            <v>ja</v>
          </cell>
          <cell r="H435" t="str">
            <v>【上級】道を阻む妖精夫婦</v>
          </cell>
          <cell r="I435" t="str">
            <v>上級</v>
          </cell>
          <cell r="J435">
            <v>577</v>
          </cell>
          <cell r="K435">
            <v>20</v>
          </cell>
          <cell r="L435">
            <v>2000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21</v>
          </cell>
          <cell r="AD435">
            <v>6</v>
          </cell>
          <cell r="AE435" t="str">
            <v>everyone</v>
          </cell>
        </row>
        <row r="436">
          <cell r="A436" t="str">
            <v>30026_3</v>
          </cell>
          <cell r="B436">
            <v>3</v>
          </cell>
          <cell r="C436">
            <v>30026</v>
          </cell>
          <cell r="D436" t="str">
            <v>道を阻む妖精夫婦</v>
          </cell>
          <cell r="E436" t="str">
            <v>ドロップイベント7（マルチ専用）</v>
          </cell>
          <cell r="F436">
            <v>3</v>
          </cell>
          <cell r="G436" t="str">
            <v>ja</v>
          </cell>
          <cell r="H436" t="str">
            <v>【超級】道を阻む妖精夫婦</v>
          </cell>
          <cell r="I436" t="str">
            <v>超級</v>
          </cell>
          <cell r="J436">
            <v>578</v>
          </cell>
          <cell r="K436">
            <v>30</v>
          </cell>
          <cell r="L436">
            <v>3300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polygon</v>
          </cell>
          <cell r="T436">
            <v>1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21</v>
          </cell>
          <cell r="AD436">
            <v>6</v>
          </cell>
          <cell r="AE436" t="str">
            <v>everyone</v>
          </cell>
        </row>
        <row r="437">
          <cell r="A437" t="str">
            <v>30027_1</v>
          </cell>
          <cell r="B437">
            <v>3</v>
          </cell>
          <cell r="C437">
            <v>30027</v>
          </cell>
          <cell r="D437" t="str">
            <v>凍りつくまで愛してあげる</v>
          </cell>
          <cell r="E437" t="str">
            <v>ドロップイベント7（マルチ専用）</v>
          </cell>
          <cell r="F437">
            <v>1</v>
          </cell>
          <cell r="G437" t="str">
            <v>ja</v>
          </cell>
          <cell r="H437" t="str">
            <v>【中級】凍りつくまで愛してあげる</v>
          </cell>
          <cell r="I437" t="str">
            <v>中級</v>
          </cell>
          <cell r="J437">
            <v>646</v>
          </cell>
          <cell r="K437">
            <v>15</v>
          </cell>
          <cell r="L437">
            <v>1200</v>
          </cell>
          <cell r="M437">
            <v>0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9</v>
          </cell>
          <cell r="AD437">
            <v>6</v>
          </cell>
          <cell r="AE437" t="str">
            <v>everyone</v>
          </cell>
        </row>
        <row r="438">
          <cell r="A438" t="str">
            <v>30027_2</v>
          </cell>
          <cell r="B438">
            <v>3</v>
          </cell>
          <cell r="C438">
            <v>30027</v>
          </cell>
          <cell r="D438" t="str">
            <v>凍りつくまで愛してあげる</v>
          </cell>
          <cell r="E438" t="str">
            <v>ドロップイベント7（マルチ専用）</v>
          </cell>
          <cell r="F438">
            <v>2</v>
          </cell>
          <cell r="G438" t="str">
            <v>ja</v>
          </cell>
          <cell r="H438" t="str">
            <v>【上級】凍りつくまで愛してあげる</v>
          </cell>
          <cell r="I438" t="str">
            <v>上級</v>
          </cell>
          <cell r="J438">
            <v>646</v>
          </cell>
          <cell r="K438">
            <v>20</v>
          </cell>
          <cell r="L438">
            <v>2000</v>
          </cell>
          <cell r="M438">
            <v>0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9</v>
          </cell>
          <cell r="AD438">
            <v>6</v>
          </cell>
          <cell r="AE438" t="str">
            <v>everyone</v>
          </cell>
        </row>
        <row r="439">
          <cell r="A439" t="str">
            <v>30027_3</v>
          </cell>
          <cell r="B439">
            <v>3</v>
          </cell>
          <cell r="C439">
            <v>30027</v>
          </cell>
          <cell r="D439" t="str">
            <v>凍りつくまで愛してあげる</v>
          </cell>
          <cell r="E439" t="str">
            <v>ドロップイベント7（マルチ専用）</v>
          </cell>
          <cell r="F439">
            <v>3</v>
          </cell>
          <cell r="G439" t="str">
            <v>ja</v>
          </cell>
          <cell r="H439" t="str">
            <v>【超級】凍りつくまで愛してあげる</v>
          </cell>
          <cell r="I439" t="str">
            <v>超級</v>
          </cell>
          <cell r="J439">
            <v>647</v>
          </cell>
          <cell r="K439">
            <v>30</v>
          </cell>
          <cell r="L439">
            <v>3300</v>
          </cell>
          <cell r="M439">
            <v>0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polygon</v>
          </cell>
          <cell r="T439">
            <v>1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9</v>
          </cell>
          <cell r="AD439">
            <v>6</v>
          </cell>
          <cell r="AE439" t="str">
            <v>everyone</v>
          </cell>
        </row>
        <row r="440">
          <cell r="A440" t="str">
            <v>30028_1</v>
          </cell>
          <cell r="B440">
            <v>3</v>
          </cell>
          <cell r="C440">
            <v>30028</v>
          </cell>
          <cell r="D440" t="str">
            <v>最悪の刺客</v>
          </cell>
          <cell r="E440" t="str">
            <v>ドロップイベント8（マルチ専用）</v>
          </cell>
          <cell r="F440">
            <v>1</v>
          </cell>
          <cell r="G440" t="str">
            <v>ja</v>
          </cell>
          <cell r="H440" t="str">
            <v>【中級】最悪の刺客</v>
          </cell>
          <cell r="I440" t="str">
            <v>中級</v>
          </cell>
          <cell r="J440">
            <v>1</v>
          </cell>
          <cell r="K440">
            <v>15</v>
          </cell>
          <cell r="L440">
            <v>1200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2601</v>
          </cell>
          <cell r="AD440">
            <v>6</v>
          </cell>
          <cell r="AE440" t="str">
            <v>everyone</v>
          </cell>
        </row>
        <row r="441">
          <cell r="A441" t="str">
            <v>30028_2</v>
          </cell>
          <cell r="B441">
            <v>3</v>
          </cell>
          <cell r="C441">
            <v>30028</v>
          </cell>
          <cell r="D441" t="str">
            <v>最悪の刺客</v>
          </cell>
          <cell r="E441" t="str">
            <v>ドロップイベント8（マルチ専用）</v>
          </cell>
          <cell r="F441">
            <v>2</v>
          </cell>
          <cell r="G441" t="str">
            <v>ja</v>
          </cell>
          <cell r="H441" t="str">
            <v>【上級】最悪の刺客</v>
          </cell>
          <cell r="I441" t="str">
            <v>上級</v>
          </cell>
          <cell r="J441">
            <v>1</v>
          </cell>
          <cell r="K441">
            <v>20</v>
          </cell>
          <cell r="L441">
            <v>2000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2601</v>
          </cell>
          <cell r="AD441">
            <v>6</v>
          </cell>
          <cell r="AE441" t="str">
            <v>everyone</v>
          </cell>
        </row>
        <row r="442">
          <cell r="A442" t="str">
            <v>30028_3</v>
          </cell>
          <cell r="B442">
            <v>3</v>
          </cell>
          <cell r="C442">
            <v>30028</v>
          </cell>
          <cell r="D442" t="str">
            <v>最悪の刺客</v>
          </cell>
          <cell r="E442" t="str">
            <v>ドロップイベント8（マルチ専用）</v>
          </cell>
          <cell r="F442">
            <v>3</v>
          </cell>
          <cell r="G442" t="str">
            <v>ja</v>
          </cell>
          <cell r="H442" t="str">
            <v>【超級】最悪の刺客</v>
          </cell>
          <cell r="I442" t="str">
            <v>超級</v>
          </cell>
          <cell r="J442">
            <v>1</v>
          </cell>
          <cell r="K442">
            <v>30</v>
          </cell>
          <cell r="L442">
            <v>3300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polygon</v>
          </cell>
          <cell r="T442">
            <v>1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2601</v>
          </cell>
          <cell r="AD442">
            <v>6</v>
          </cell>
          <cell r="AE442" t="str">
            <v>everyone</v>
          </cell>
        </row>
        <row r="443">
          <cell r="A443" t="str">
            <v>30029_1</v>
          </cell>
          <cell r="B443">
            <v>1</v>
          </cell>
          <cell r="C443">
            <v>30029</v>
          </cell>
          <cell r="D443" t="str">
            <v>パールヴァティ</v>
          </cell>
          <cell r="E443" t="str">
            <v>ドロップイベント8（マルチ専用）</v>
          </cell>
          <cell r="F443">
            <v>1</v>
          </cell>
          <cell r="G443" t="str">
            <v>ja</v>
          </cell>
          <cell r="H443" t="str">
            <v>【中級】パールヴァティ</v>
          </cell>
          <cell r="I443" t="str">
            <v>中級</v>
          </cell>
          <cell r="J443">
            <v>1</v>
          </cell>
          <cell r="K443">
            <v>15</v>
          </cell>
          <cell r="L443">
            <v>1200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2601</v>
          </cell>
          <cell r="AD443">
            <v>6</v>
          </cell>
          <cell r="AE443" t="str">
            <v>everyone</v>
          </cell>
        </row>
        <row r="444">
          <cell r="A444" t="str">
            <v>30029_2</v>
          </cell>
          <cell r="B444">
            <v>1</v>
          </cell>
          <cell r="C444">
            <v>30029</v>
          </cell>
          <cell r="D444" t="str">
            <v>パールヴァティ</v>
          </cell>
          <cell r="E444" t="str">
            <v>ドロップイベント8（マルチ専用）</v>
          </cell>
          <cell r="F444">
            <v>2</v>
          </cell>
          <cell r="G444" t="str">
            <v>ja</v>
          </cell>
          <cell r="H444" t="str">
            <v>【上級】パールヴァティ</v>
          </cell>
          <cell r="I444" t="str">
            <v>上級</v>
          </cell>
          <cell r="J444">
            <v>1</v>
          </cell>
          <cell r="K444">
            <v>20</v>
          </cell>
          <cell r="L444">
            <v>2000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2601</v>
          </cell>
          <cell r="AD444">
            <v>6</v>
          </cell>
          <cell r="AE444" t="str">
            <v>everyone</v>
          </cell>
        </row>
        <row r="445">
          <cell r="A445" t="str">
            <v>30029_3</v>
          </cell>
          <cell r="B445">
            <v>1</v>
          </cell>
          <cell r="C445">
            <v>30029</v>
          </cell>
          <cell r="D445" t="str">
            <v>パールヴァティ</v>
          </cell>
          <cell r="E445" t="str">
            <v>ドロップイベント8（マルチ専用）</v>
          </cell>
          <cell r="F445">
            <v>3</v>
          </cell>
          <cell r="G445" t="str">
            <v>ja</v>
          </cell>
          <cell r="H445" t="str">
            <v>【超級】パールヴァティ</v>
          </cell>
          <cell r="I445" t="str">
            <v>超級</v>
          </cell>
          <cell r="J445">
            <v>1</v>
          </cell>
          <cell r="K445">
            <v>30</v>
          </cell>
          <cell r="L445">
            <v>3300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polygon</v>
          </cell>
          <cell r="T445">
            <v>1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2601</v>
          </cell>
          <cell r="AD445">
            <v>6</v>
          </cell>
          <cell r="AE445" t="str">
            <v>everyone</v>
          </cell>
        </row>
        <row r="446">
          <cell r="A446" t="str">
            <v>30030_1</v>
          </cell>
          <cell r="B446">
            <v>1</v>
          </cell>
          <cell r="C446">
            <v>30030</v>
          </cell>
          <cell r="D446" t="str">
            <v>アナンタ</v>
          </cell>
          <cell r="E446" t="str">
            <v>ドロップイベント9（マルチ専用）</v>
          </cell>
          <cell r="F446">
            <v>1</v>
          </cell>
          <cell r="G446" t="str">
            <v>ja</v>
          </cell>
          <cell r="H446" t="str">
            <v>【中級】アナンタ</v>
          </cell>
          <cell r="I446" t="str">
            <v>中級</v>
          </cell>
          <cell r="J446">
            <v>1</v>
          </cell>
          <cell r="K446">
            <v>15</v>
          </cell>
          <cell r="L446">
            <v>1200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2601</v>
          </cell>
          <cell r="AD446">
            <v>6</v>
          </cell>
          <cell r="AE446" t="str">
            <v>everyone</v>
          </cell>
        </row>
        <row r="447">
          <cell r="A447" t="str">
            <v>30030_2</v>
          </cell>
          <cell r="B447">
            <v>1</v>
          </cell>
          <cell r="C447">
            <v>30030</v>
          </cell>
          <cell r="D447" t="str">
            <v>アナンタ</v>
          </cell>
          <cell r="E447" t="str">
            <v>ドロップイベント9（マルチ専用）</v>
          </cell>
          <cell r="F447">
            <v>2</v>
          </cell>
          <cell r="G447" t="str">
            <v>ja</v>
          </cell>
          <cell r="H447" t="str">
            <v>【上級】アナンタ</v>
          </cell>
          <cell r="I447" t="str">
            <v>上級</v>
          </cell>
          <cell r="J447">
            <v>1</v>
          </cell>
          <cell r="K447">
            <v>20</v>
          </cell>
          <cell r="L447">
            <v>2000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2601</v>
          </cell>
          <cell r="AD447">
            <v>6</v>
          </cell>
          <cell r="AE447" t="str">
            <v>everyone</v>
          </cell>
        </row>
        <row r="448">
          <cell r="A448" t="str">
            <v>30030_3</v>
          </cell>
          <cell r="B448">
            <v>1</v>
          </cell>
          <cell r="C448">
            <v>30030</v>
          </cell>
          <cell r="D448" t="str">
            <v>アナンタ</v>
          </cell>
          <cell r="E448" t="str">
            <v>ドロップイベント9（マルチ専用）</v>
          </cell>
          <cell r="F448">
            <v>3</v>
          </cell>
          <cell r="G448" t="str">
            <v>ja</v>
          </cell>
          <cell r="H448" t="str">
            <v>【超級】アナンタ</v>
          </cell>
          <cell r="I448" t="str">
            <v>超級</v>
          </cell>
          <cell r="J448">
            <v>1</v>
          </cell>
          <cell r="K448">
            <v>30</v>
          </cell>
          <cell r="L448">
            <v>3300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polygon</v>
          </cell>
          <cell r="T448">
            <v>1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2601</v>
          </cell>
          <cell r="AD448">
            <v>6</v>
          </cell>
          <cell r="AE448" t="str">
            <v>everyone</v>
          </cell>
        </row>
        <row r="449">
          <cell r="A449" t="str">
            <v>30031_1</v>
          </cell>
          <cell r="B449">
            <v>1</v>
          </cell>
          <cell r="C449">
            <v>30031</v>
          </cell>
          <cell r="D449" t="str">
            <v>ライオネル</v>
          </cell>
          <cell r="E449" t="str">
            <v>円卓1（マルチ専用）</v>
          </cell>
          <cell r="F449">
            <v>1</v>
          </cell>
          <cell r="G449" t="str">
            <v>ja</v>
          </cell>
          <cell r="H449" t="str">
            <v>【中級】ライオネル</v>
          </cell>
          <cell r="I449" t="str">
            <v>中級</v>
          </cell>
          <cell r="J449">
            <v>1</v>
          </cell>
          <cell r="K449">
            <v>15</v>
          </cell>
          <cell r="L449">
            <v>1200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2601</v>
          </cell>
          <cell r="AD449">
            <v>6</v>
          </cell>
          <cell r="AE449" t="str">
            <v>everyone</v>
          </cell>
        </row>
        <row r="450">
          <cell r="A450" t="str">
            <v>30031_2</v>
          </cell>
          <cell r="B450">
            <v>1</v>
          </cell>
          <cell r="C450">
            <v>30031</v>
          </cell>
          <cell r="D450" t="str">
            <v>ライオネル</v>
          </cell>
          <cell r="E450" t="str">
            <v>円卓1（マルチ専用）</v>
          </cell>
          <cell r="F450">
            <v>2</v>
          </cell>
          <cell r="G450" t="str">
            <v>ja</v>
          </cell>
          <cell r="H450" t="str">
            <v>【上級】ライオネル</v>
          </cell>
          <cell r="I450" t="str">
            <v>上級</v>
          </cell>
          <cell r="J450">
            <v>1</v>
          </cell>
          <cell r="K450">
            <v>20</v>
          </cell>
          <cell r="L450">
            <v>2000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2601</v>
          </cell>
          <cell r="AD450">
            <v>6</v>
          </cell>
          <cell r="AE450" t="str">
            <v>everyone</v>
          </cell>
        </row>
        <row r="451">
          <cell r="A451" t="str">
            <v>30031_3</v>
          </cell>
          <cell r="B451">
            <v>1</v>
          </cell>
          <cell r="C451">
            <v>30031</v>
          </cell>
          <cell r="D451" t="str">
            <v>ライオネル</v>
          </cell>
          <cell r="E451" t="str">
            <v>円卓1（マルチ専用）</v>
          </cell>
          <cell r="F451">
            <v>3</v>
          </cell>
          <cell r="G451" t="str">
            <v>ja</v>
          </cell>
          <cell r="H451" t="str">
            <v>【超級】ライオネル</v>
          </cell>
          <cell r="I451" t="str">
            <v>超級</v>
          </cell>
          <cell r="J451">
            <v>1</v>
          </cell>
          <cell r="K451">
            <v>30</v>
          </cell>
          <cell r="L451">
            <v>3300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polygon</v>
          </cell>
          <cell r="T451">
            <v>1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2601</v>
          </cell>
          <cell r="AD451">
            <v>6</v>
          </cell>
          <cell r="AE451" t="str">
            <v>everyone</v>
          </cell>
        </row>
        <row r="452">
          <cell r="A452" t="str">
            <v>30032_1</v>
          </cell>
          <cell r="B452">
            <v>1</v>
          </cell>
          <cell r="C452">
            <v>30032</v>
          </cell>
          <cell r="D452" t="str">
            <v>サラマンダー</v>
          </cell>
          <cell r="E452" t="str">
            <v>円卓2（マルチ専用）</v>
          </cell>
          <cell r="F452">
            <v>1</v>
          </cell>
          <cell r="G452" t="str">
            <v>ja</v>
          </cell>
          <cell r="H452" t="str">
            <v>【中級】サラマンダー</v>
          </cell>
          <cell r="I452" t="str">
            <v>中級</v>
          </cell>
          <cell r="J452">
            <v>1</v>
          </cell>
          <cell r="K452">
            <v>15</v>
          </cell>
          <cell r="L452">
            <v>1200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2601</v>
          </cell>
          <cell r="AD452">
            <v>6</v>
          </cell>
          <cell r="AE452" t="str">
            <v>everyone</v>
          </cell>
        </row>
        <row r="453">
          <cell r="A453" t="str">
            <v>30032_2</v>
          </cell>
          <cell r="B453">
            <v>1</v>
          </cell>
          <cell r="C453">
            <v>30032</v>
          </cell>
          <cell r="D453" t="str">
            <v>サラマンダー</v>
          </cell>
          <cell r="E453" t="str">
            <v>円卓2（マルチ専用）</v>
          </cell>
          <cell r="F453">
            <v>2</v>
          </cell>
          <cell r="G453" t="str">
            <v>ja</v>
          </cell>
          <cell r="H453" t="str">
            <v>【上級】サラマンダー</v>
          </cell>
          <cell r="I453" t="str">
            <v>上級</v>
          </cell>
          <cell r="J453">
            <v>1</v>
          </cell>
          <cell r="K453">
            <v>20</v>
          </cell>
          <cell r="L453">
            <v>2000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2601</v>
          </cell>
          <cell r="AD453">
            <v>6</v>
          </cell>
          <cell r="AE453" t="str">
            <v>everyone</v>
          </cell>
        </row>
        <row r="454">
          <cell r="A454" t="str">
            <v>30032_3</v>
          </cell>
          <cell r="B454">
            <v>1</v>
          </cell>
          <cell r="C454">
            <v>30032</v>
          </cell>
          <cell r="D454" t="str">
            <v>サラマンダー</v>
          </cell>
          <cell r="E454" t="str">
            <v>円卓2（マルチ専用）</v>
          </cell>
          <cell r="F454">
            <v>3</v>
          </cell>
          <cell r="G454" t="str">
            <v>ja</v>
          </cell>
          <cell r="H454" t="str">
            <v>【超級】サラマンダー</v>
          </cell>
          <cell r="I454" t="str">
            <v>超級</v>
          </cell>
          <cell r="J454">
            <v>1</v>
          </cell>
          <cell r="K454">
            <v>30</v>
          </cell>
          <cell r="L454">
            <v>3300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polygon</v>
          </cell>
          <cell r="T454">
            <v>1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2601</v>
          </cell>
          <cell r="AD454">
            <v>6</v>
          </cell>
          <cell r="AE454" t="str">
            <v>everyone</v>
          </cell>
        </row>
        <row r="455">
          <cell r="A455" t="str">
            <v>39001_1</v>
          </cell>
          <cell r="B455">
            <v>3</v>
          </cell>
          <cell r="C455">
            <v>39001</v>
          </cell>
          <cell r="D455" t="str">
            <v>雪の歌姫</v>
          </cell>
          <cell r="E455" t="str">
            <v>コラボクエスト</v>
          </cell>
          <cell r="F455">
            <v>1</v>
          </cell>
          <cell r="G455" t="str">
            <v>ja</v>
          </cell>
          <cell r="H455" t="str">
            <v>【初級】雪の歌姫</v>
          </cell>
          <cell r="I455" t="str">
            <v>初級</v>
          </cell>
          <cell r="J455">
            <v>525</v>
          </cell>
          <cell r="K455">
            <v>8</v>
          </cell>
          <cell r="L455">
            <v>384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909</v>
          </cell>
          <cell r="AD455">
            <v>6</v>
          </cell>
          <cell r="AE455" t="str">
            <v>everyone</v>
          </cell>
        </row>
        <row r="456">
          <cell r="A456" t="str">
            <v>39001_2</v>
          </cell>
          <cell r="B456">
            <v>3</v>
          </cell>
          <cell r="C456">
            <v>39001</v>
          </cell>
          <cell r="D456" t="str">
            <v>雪の歌姫</v>
          </cell>
          <cell r="E456" t="str">
            <v>コラボクエスト</v>
          </cell>
          <cell r="F456">
            <v>2</v>
          </cell>
          <cell r="G456" t="str">
            <v>ja</v>
          </cell>
          <cell r="H456" t="str">
            <v>【中級】雪の歌姫</v>
          </cell>
          <cell r="I456" t="str">
            <v>中級</v>
          </cell>
          <cell r="J456">
            <v>525</v>
          </cell>
          <cell r="K456">
            <v>15</v>
          </cell>
          <cell r="L456">
            <v>1200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909</v>
          </cell>
          <cell r="AD456">
            <v>6</v>
          </cell>
          <cell r="AE456" t="str">
            <v>everyone</v>
          </cell>
        </row>
        <row r="457">
          <cell r="A457" t="str">
            <v>39001_3</v>
          </cell>
          <cell r="B457">
            <v>3</v>
          </cell>
          <cell r="C457">
            <v>39001</v>
          </cell>
          <cell r="D457" t="str">
            <v>雪の歌姫</v>
          </cell>
          <cell r="E457" t="str">
            <v>コラボクエスト</v>
          </cell>
          <cell r="F457">
            <v>3</v>
          </cell>
          <cell r="G457" t="str">
            <v>ja</v>
          </cell>
          <cell r="H457" t="str">
            <v>【上級】雪の歌姫</v>
          </cell>
          <cell r="I457" t="str">
            <v>上級</v>
          </cell>
          <cell r="J457">
            <v>525</v>
          </cell>
          <cell r="K457">
            <v>20</v>
          </cell>
          <cell r="L457">
            <v>2000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909</v>
          </cell>
          <cell r="AD457">
            <v>6</v>
          </cell>
          <cell r="AE457" t="str">
            <v>everyone</v>
          </cell>
        </row>
        <row r="458">
          <cell r="A458" t="str">
            <v>39001_4</v>
          </cell>
          <cell r="B458">
            <v>3</v>
          </cell>
          <cell r="C458">
            <v>39001</v>
          </cell>
          <cell r="D458" t="str">
            <v>雪の歌姫</v>
          </cell>
          <cell r="E458" t="str">
            <v>コラボクエスト</v>
          </cell>
          <cell r="F458">
            <v>4</v>
          </cell>
          <cell r="G458" t="str">
            <v>ja</v>
          </cell>
          <cell r="H458" t="str">
            <v>【超級】雪の歌姫</v>
          </cell>
          <cell r="I458" t="str">
            <v>超級</v>
          </cell>
          <cell r="J458">
            <v>526</v>
          </cell>
          <cell r="K458">
            <v>30</v>
          </cell>
          <cell r="L458">
            <v>3300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909</v>
          </cell>
          <cell r="AD458">
            <v>6</v>
          </cell>
          <cell r="AE458" t="str">
            <v>everyone</v>
          </cell>
        </row>
        <row r="459">
          <cell r="A459" t="str">
            <v>39001_5</v>
          </cell>
          <cell r="B459">
            <v>3</v>
          </cell>
          <cell r="C459">
            <v>39001</v>
          </cell>
          <cell r="D459" t="str">
            <v>雪の歌姫</v>
          </cell>
          <cell r="E459" t="str">
            <v>コラボクエスト</v>
          </cell>
          <cell r="F459">
            <v>5</v>
          </cell>
          <cell r="G459" t="str">
            <v>ja</v>
          </cell>
          <cell r="H459" t="str">
            <v>【超絶級】雪の歌姫</v>
          </cell>
          <cell r="I459" t="str">
            <v>超絶級</v>
          </cell>
          <cell r="J459">
            <v>526</v>
          </cell>
          <cell r="K459">
            <v>35</v>
          </cell>
          <cell r="L459">
            <v>4200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polygon</v>
          </cell>
          <cell r="T459">
            <v>1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909</v>
          </cell>
          <cell r="AD459">
            <v>6</v>
          </cell>
          <cell r="AE459" t="str">
            <v>everyone</v>
          </cell>
        </row>
        <row r="460">
          <cell r="A460" t="str">
            <v>40001_1</v>
          </cell>
          <cell r="B460">
            <v>3</v>
          </cell>
          <cell r="C460">
            <v>40001</v>
          </cell>
          <cell r="D460" t="str">
            <v>アマテラス襲来！</v>
          </cell>
          <cell r="E460" t="str">
            <v>降臨1</v>
          </cell>
          <cell r="F460">
            <v>1</v>
          </cell>
          <cell r="G460" t="str">
            <v>ja</v>
          </cell>
          <cell r="H460" t="str">
            <v xml:space="preserve">【ウィザード級】アマテラス襲来 </v>
          </cell>
          <cell r="I460" t="str">
            <v>地獄級</v>
          </cell>
          <cell r="J460">
            <v>278</v>
          </cell>
          <cell r="K460">
            <v>35</v>
          </cell>
          <cell r="L460">
            <v>4200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901</v>
          </cell>
          <cell r="AD460">
            <v>6</v>
          </cell>
          <cell r="AE460" t="str">
            <v>everyone</v>
          </cell>
        </row>
        <row r="461">
          <cell r="A461" t="str">
            <v>40002_1</v>
          </cell>
          <cell r="B461">
            <v>3</v>
          </cell>
          <cell r="C461">
            <v>40002</v>
          </cell>
          <cell r="D461" t="str">
            <v>アザゼル襲来！</v>
          </cell>
          <cell r="E461" t="str">
            <v>降臨2</v>
          </cell>
          <cell r="F461">
            <v>1</v>
          </cell>
          <cell r="G461" t="str">
            <v>ja</v>
          </cell>
          <cell r="H461" t="str">
            <v xml:space="preserve">【超級】アザゼル襲来 </v>
          </cell>
          <cell r="I461" t="str">
            <v>超級</v>
          </cell>
          <cell r="J461">
            <v>296</v>
          </cell>
          <cell r="K461">
            <v>25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902</v>
          </cell>
          <cell r="AD461">
            <v>6</v>
          </cell>
          <cell r="AE461" t="str">
            <v>everyone</v>
          </cell>
        </row>
        <row r="462">
          <cell r="A462" t="str">
            <v>40002_2</v>
          </cell>
          <cell r="B462">
            <v>3</v>
          </cell>
          <cell r="C462">
            <v>40002</v>
          </cell>
          <cell r="D462" t="str">
            <v>アザゼル襲来！</v>
          </cell>
          <cell r="E462" t="str">
            <v>降臨2</v>
          </cell>
          <cell r="F462">
            <v>2</v>
          </cell>
          <cell r="G462" t="str">
            <v>ja</v>
          </cell>
          <cell r="H462" t="str">
            <v>【超絶級】アザゼル襲来</v>
          </cell>
          <cell r="I462" t="str">
            <v>超絶級</v>
          </cell>
          <cell r="J462">
            <v>297</v>
          </cell>
          <cell r="K462">
            <v>30</v>
          </cell>
          <cell r="L462">
            <v>3300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902</v>
          </cell>
          <cell r="AD462">
            <v>6</v>
          </cell>
          <cell r="AE462" t="str">
            <v>everyone</v>
          </cell>
        </row>
        <row r="463">
          <cell r="A463" t="str">
            <v>40002_3</v>
          </cell>
          <cell r="B463">
            <v>3</v>
          </cell>
          <cell r="C463">
            <v>40002</v>
          </cell>
          <cell r="D463" t="str">
            <v>アザゼル襲来！</v>
          </cell>
          <cell r="E463" t="str">
            <v>降臨2</v>
          </cell>
          <cell r="F463">
            <v>3</v>
          </cell>
          <cell r="G463" t="str">
            <v>ja</v>
          </cell>
          <cell r="H463" t="str">
            <v xml:space="preserve">【ウィザード級】アザゼル襲来 </v>
          </cell>
          <cell r="I463" t="str">
            <v>地獄級</v>
          </cell>
          <cell r="J463">
            <v>297</v>
          </cell>
          <cell r="K463">
            <v>35</v>
          </cell>
          <cell r="L463">
            <v>4200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character</v>
          </cell>
          <cell r="T463">
            <v>296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902</v>
          </cell>
          <cell r="AD463">
            <v>6</v>
          </cell>
          <cell r="AE463" t="str">
            <v>everyone</v>
          </cell>
        </row>
        <row r="464">
          <cell r="A464" t="str">
            <v>40003_1</v>
          </cell>
          <cell r="B464">
            <v>3</v>
          </cell>
          <cell r="C464">
            <v>40003</v>
          </cell>
          <cell r="D464" t="str">
            <v>ジャンヌ襲来！</v>
          </cell>
          <cell r="E464" t="str">
            <v>降臨3</v>
          </cell>
          <cell r="F464">
            <v>1</v>
          </cell>
          <cell r="G464" t="str">
            <v>ja</v>
          </cell>
          <cell r="H464" t="str">
            <v xml:space="preserve">【ウィザード級】ジャンヌ襲来 </v>
          </cell>
          <cell r="I464" t="str">
            <v>地獄級</v>
          </cell>
          <cell r="J464">
            <v>315</v>
          </cell>
          <cell r="K464">
            <v>35</v>
          </cell>
          <cell r="L464">
            <v>4200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character</v>
          </cell>
          <cell r="T464">
            <v>314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903</v>
          </cell>
          <cell r="AD464">
            <v>6</v>
          </cell>
          <cell r="AE464" t="str">
            <v>everyone</v>
          </cell>
        </row>
        <row r="465">
          <cell r="A465" t="str">
            <v>40004_1</v>
          </cell>
          <cell r="B465">
            <v>3</v>
          </cell>
          <cell r="C465">
            <v>40004</v>
          </cell>
          <cell r="D465" t="str">
            <v>宮本武蔵襲来！</v>
          </cell>
          <cell r="E465" t="str">
            <v>降臨4</v>
          </cell>
          <cell r="F465">
            <v>1</v>
          </cell>
          <cell r="G465" t="str">
            <v>ja</v>
          </cell>
          <cell r="H465" t="str">
            <v xml:space="preserve">【ウィザード級】宮本武蔵襲来 </v>
          </cell>
          <cell r="I465" t="str">
            <v>地獄級</v>
          </cell>
          <cell r="J465">
            <v>427</v>
          </cell>
          <cell r="K465">
            <v>35</v>
          </cell>
          <cell r="L465">
            <v>4200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character</v>
          </cell>
          <cell r="T465">
            <v>426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904</v>
          </cell>
          <cell r="AD465">
            <v>6</v>
          </cell>
          <cell r="AE465" t="str">
            <v>everyone</v>
          </cell>
        </row>
        <row r="466">
          <cell r="A466" t="str">
            <v>40005_1</v>
          </cell>
          <cell r="B466">
            <v>3</v>
          </cell>
          <cell r="C466">
            <v>40005</v>
          </cell>
          <cell r="D466" t="str">
            <v>オズ襲来！</v>
          </cell>
          <cell r="E466" t="str">
            <v>降臨5</v>
          </cell>
          <cell r="F466">
            <v>1</v>
          </cell>
          <cell r="G466" t="str">
            <v>ja</v>
          </cell>
          <cell r="H466" t="str">
            <v xml:space="preserve">【ウィザード級】オズ襲来 </v>
          </cell>
          <cell r="I466" t="str">
            <v>地獄級</v>
          </cell>
          <cell r="J466">
            <v>461</v>
          </cell>
          <cell r="K466">
            <v>35</v>
          </cell>
          <cell r="L466">
            <v>4200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character</v>
          </cell>
          <cell r="T466">
            <v>460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906</v>
          </cell>
          <cell r="AD466">
            <v>6</v>
          </cell>
          <cell r="AE466" t="str">
            <v>everyone</v>
          </cell>
        </row>
        <row r="467">
          <cell r="A467" t="str">
            <v>40006_1</v>
          </cell>
          <cell r="B467">
            <v>3</v>
          </cell>
          <cell r="C467">
            <v>40006</v>
          </cell>
          <cell r="D467" t="str">
            <v>アーサー襲来！</v>
          </cell>
          <cell r="E467" t="str">
            <v>降臨6</v>
          </cell>
          <cell r="F467">
            <v>1</v>
          </cell>
          <cell r="G467" t="str">
            <v>ja</v>
          </cell>
          <cell r="H467" t="str">
            <v xml:space="preserve">【ウィザード級】アーサー襲来 </v>
          </cell>
          <cell r="I467" t="str">
            <v>地獄級</v>
          </cell>
          <cell r="J467">
            <v>473</v>
          </cell>
          <cell r="K467">
            <v>35</v>
          </cell>
          <cell r="L467">
            <v>4200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character</v>
          </cell>
          <cell r="T467">
            <v>472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907</v>
          </cell>
          <cell r="AD467">
            <v>6</v>
          </cell>
          <cell r="AE467" t="str">
            <v>everyone</v>
          </cell>
        </row>
        <row r="468">
          <cell r="A468" t="str">
            <v>40007_1</v>
          </cell>
          <cell r="B468">
            <v>3</v>
          </cell>
          <cell r="C468">
            <v>40007</v>
          </cell>
          <cell r="D468" t="str">
            <v>グリム襲来！</v>
          </cell>
          <cell r="E468" t="str">
            <v>降臨7</v>
          </cell>
          <cell r="F468">
            <v>1</v>
          </cell>
          <cell r="G468" t="str">
            <v>ja</v>
          </cell>
          <cell r="H468" t="str">
            <v xml:space="preserve">【ウィザード級】グリム襲来 </v>
          </cell>
          <cell r="I468" t="str">
            <v>地獄級</v>
          </cell>
          <cell r="J468">
            <v>491</v>
          </cell>
          <cell r="K468">
            <v>35</v>
          </cell>
          <cell r="L468">
            <v>4200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character</v>
          </cell>
          <cell r="T468">
            <v>490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908</v>
          </cell>
          <cell r="AD468">
            <v>6</v>
          </cell>
          <cell r="AE468" t="str">
            <v>everyone</v>
          </cell>
        </row>
        <row r="469">
          <cell r="A469" t="str">
            <v>40008_1</v>
          </cell>
          <cell r="B469">
            <v>3</v>
          </cell>
          <cell r="C469">
            <v>40008</v>
          </cell>
          <cell r="D469" t="str">
            <v>Gスター襲来！</v>
          </cell>
          <cell r="E469" t="str">
            <v>降臨8</v>
          </cell>
          <cell r="F469">
            <v>1</v>
          </cell>
          <cell r="G469" t="str">
            <v>ja</v>
          </cell>
          <cell r="H469" t="str">
            <v xml:space="preserve">【ウィザード級】Gスター襲来 </v>
          </cell>
          <cell r="I469" t="str">
            <v>地獄級</v>
          </cell>
          <cell r="J469">
            <v>509</v>
          </cell>
          <cell r="K469">
            <v>35</v>
          </cell>
          <cell r="L469">
            <v>4200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character</v>
          </cell>
          <cell r="T469">
            <v>508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2601</v>
          </cell>
          <cell r="AD469">
            <v>6</v>
          </cell>
          <cell r="AE469" t="str">
            <v>everyone</v>
          </cell>
        </row>
        <row r="470">
          <cell r="A470" t="str">
            <v>40009_1</v>
          </cell>
          <cell r="B470">
            <v>3</v>
          </cell>
          <cell r="C470">
            <v>40009</v>
          </cell>
          <cell r="D470" t="str">
            <v>フギンとムニン襲来！</v>
          </cell>
          <cell r="E470" t="str">
            <v>降臨9</v>
          </cell>
          <cell r="F470">
            <v>1</v>
          </cell>
          <cell r="G470" t="str">
            <v>ja</v>
          </cell>
          <cell r="H470" t="str">
            <v xml:space="preserve">【ウィザード級】フギンとムニン襲来 </v>
          </cell>
          <cell r="I470" t="str">
            <v>地獄級</v>
          </cell>
          <cell r="J470">
            <v>582</v>
          </cell>
          <cell r="K470">
            <v>35</v>
          </cell>
          <cell r="L470">
            <v>4200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character</v>
          </cell>
          <cell r="T470">
            <v>581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25</v>
          </cell>
          <cell r="AD470">
            <v>6</v>
          </cell>
          <cell r="AE470" t="str">
            <v>everyone</v>
          </cell>
        </row>
        <row r="471">
          <cell r="A471" t="str">
            <v>40010_1</v>
          </cell>
          <cell r="B471">
            <v>3</v>
          </cell>
          <cell r="C471">
            <v>40010</v>
          </cell>
          <cell r="D471" t="str">
            <v>フレイ襲来！</v>
          </cell>
          <cell r="E471" t="str">
            <v>降臨10</v>
          </cell>
          <cell r="F471">
            <v>1</v>
          </cell>
          <cell r="G471" t="str">
            <v>ja</v>
          </cell>
          <cell r="H471" t="str">
            <v xml:space="preserve">【ウィザード級】フレイ襲来 </v>
          </cell>
          <cell r="I471" t="str">
            <v>地獄級</v>
          </cell>
          <cell r="J471">
            <v>575</v>
          </cell>
          <cell r="K471">
            <v>35</v>
          </cell>
          <cell r="L471">
            <v>4200</v>
          </cell>
          <cell r="M471">
            <v>1</v>
          </cell>
          <cell r="N471">
            <v>1</v>
          </cell>
          <cell r="O471">
            <v>1</v>
          </cell>
          <cell r="P471">
            <v>0</v>
          </cell>
          <cell r="Q471">
            <v>1</v>
          </cell>
          <cell r="R471">
            <v>3</v>
          </cell>
          <cell r="S471" t="str">
            <v>character</v>
          </cell>
          <cell r="T471">
            <v>575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912</v>
          </cell>
          <cell r="AD471">
            <v>6</v>
          </cell>
          <cell r="AE471" t="str">
            <v>everyone</v>
          </cell>
        </row>
        <row r="472">
          <cell r="A472" t="str">
            <v>40011_1</v>
          </cell>
          <cell r="B472">
            <v>3</v>
          </cell>
          <cell r="C472">
            <v>40011</v>
          </cell>
          <cell r="D472" t="str">
            <v>ヨミ襲来！</v>
          </cell>
          <cell r="E472" t="str">
            <v>降臨11</v>
          </cell>
          <cell r="F472">
            <v>1</v>
          </cell>
          <cell r="G472" t="str">
            <v>ja</v>
          </cell>
          <cell r="H472" t="str">
            <v xml:space="preserve">【ウィザード級】ヨミ襲来 </v>
          </cell>
          <cell r="I472" t="str">
            <v>地獄級</v>
          </cell>
          <cell r="J472">
            <v>655</v>
          </cell>
          <cell r="K472">
            <v>35</v>
          </cell>
          <cell r="L472">
            <v>4200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character</v>
          </cell>
          <cell r="T472">
            <v>654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913</v>
          </cell>
          <cell r="AD472">
            <v>6</v>
          </cell>
          <cell r="AE472" t="str">
            <v>everyone</v>
          </cell>
        </row>
        <row r="473">
          <cell r="A473" t="str">
            <v>40012_1</v>
          </cell>
          <cell r="B473">
            <v>1</v>
          </cell>
          <cell r="C473">
            <v>40012</v>
          </cell>
          <cell r="D473" t="str">
            <v>ショウキ襲来！</v>
          </cell>
          <cell r="E473" t="str">
            <v>降臨12</v>
          </cell>
          <cell r="F473">
            <v>1</v>
          </cell>
          <cell r="G473" t="str">
            <v>ja</v>
          </cell>
          <cell r="H473" t="str">
            <v xml:space="preserve">【ウィザード級】ショウキ襲来 </v>
          </cell>
          <cell r="I473" t="str">
            <v>地獄級</v>
          </cell>
          <cell r="J473">
            <v>645</v>
          </cell>
          <cell r="K473">
            <v>35</v>
          </cell>
          <cell r="L473">
            <v>4200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character</v>
          </cell>
          <cell r="T473">
            <v>644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914</v>
          </cell>
          <cell r="AD473">
            <v>6</v>
          </cell>
          <cell r="AE473" t="str">
            <v>everyone</v>
          </cell>
        </row>
        <row r="474">
          <cell r="A474" t="str">
            <v>40013_1</v>
          </cell>
          <cell r="B474">
            <v>1</v>
          </cell>
          <cell r="C474">
            <v>40013</v>
          </cell>
          <cell r="D474" t="str">
            <v>カーマ襲来！</v>
          </cell>
          <cell r="E474" t="str">
            <v>降臨13</v>
          </cell>
          <cell r="F474">
            <v>1</v>
          </cell>
          <cell r="G474" t="str">
            <v>ja</v>
          </cell>
          <cell r="H474" t="str">
            <v xml:space="preserve">【ウィザード級】シヴァ襲来 </v>
          </cell>
          <cell r="I474" t="str">
            <v>地獄級</v>
          </cell>
          <cell r="J474">
            <v>1</v>
          </cell>
          <cell r="K474">
            <v>35</v>
          </cell>
          <cell r="L474">
            <v>4200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3</v>
          </cell>
          <cell r="S474" t="str">
            <v>character</v>
          </cell>
          <cell r="T474">
            <v>1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</v>
          </cell>
          <cell r="AD474">
            <v>6</v>
          </cell>
          <cell r="AE474" t="str">
            <v>everyone</v>
          </cell>
        </row>
        <row r="475">
          <cell r="A475" t="str">
            <v>40014_1</v>
          </cell>
          <cell r="B475">
            <v>1</v>
          </cell>
          <cell r="C475">
            <v>40014</v>
          </cell>
          <cell r="D475" t="str">
            <v>シヴァ襲来！</v>
          </cell>
          <cell r="E475" t="str">
            <v>降臨14</v>
          </cell>
          <cell r="F475">
            <v>1</v>
          </cell>
          <cell r="G475" t="str">
            <v>ja</v>
          </cell>
          <cell r="H475" t="str">
            <v xml:space="preserve">【ウィザード級】シヴァ襲来 </v>
          </cell>
          <cell r="I475" t="str">
            <v>地獄級</v>
          </cell>
          <cell r="J475">
            <v>1</v>
          </cell>
          <cell r="K475">
            <v>35</v>
          </cell>
          <cell r="L475">
            <v>4200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character</v>
          </cell>
          <cell r="T475">
            <v>1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</v>
          </cell>
          <cell r="AD475">
            <v>6</v>
          </cell>
          <cell r="AE475" t="str">
            <v>everyone</v>
          </cell>
        </row>
        <row r="476">
          <cell r="A476" t="str">
            <v>49001_1</v>
          </cell>
          <cell r="B476">
            <v>3</v>
          </cell>
          <cell r="C476">
            <v>49001</v>
          </cell>
          <cell r="D476" t="str">
            <v>熱唱！初音ミクV3</v>
          </cell>
          <cell r="E476" t="str">
            <v>コラボ降臨1</v>
          </cell>
          <cell r="F476">
            <v>1</v>
          </cell>
          <cell r="G476" t="str">
            <v>ja</v>
          </cell>
          <cell r="H476" t="str">
            <v>【ウィザード級】熱唱！初音ミクV3</v>
          </cell>
          <cell r="I476" t="str">
            <v>地獄級</v>
          </cell>
          <cell r="J476">
            <v>528</v>
          </cell>
          <cell r="K476">
            <v>35</v>
          </cell>
          <cell r="L476">
            <v>4200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910</v>
          </cell>
          <cell r="AD476">
            <v>6</v>
          </cell>
          <cell r="AE476" t="str">
            <v>everyone</v>
          </cell>
        </row>
        <row r="477">
          <cell r="A477" t="str">
            <v>50001_1</v>
          </cell>
          <cell r="B477">
            <v>3</v>
          </cell>
          <cell r="C477">
            <v>50001</v>
          </cell>
          <cell r="D477" t="str">
            <v>麒麟襲来！</v>
          </cell>
          <cell r="E477" t="str">
            <v>超降臨1</v>
          </cell>
          <cell r="F477">
            <v>1</v>
          </cell>
          <cell r="G477" t="str">
            <v>ja</v>
          </cell>
          <cell r="H477" t="str">
            <v xml:space="preserve">【超ウィザード級】麒麟襲来 </v>
          </cell>
          <cell r="I477" t="str">
            <v>超地獄級</v>
          </cell>
          <cell r="J477">
            <v>328</v>
          </cell>
          <cell r="K477">
            <v>40</v>
          </cell>
          <cell r="L477">
            <v>5200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character</v>
          </cell>
          <cell r="T477">
            <v>432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905</v>
          </cell>
          <cell r="AD477">
            <v>6</v>
          </cell>
          <cell r="AE477" t="str">
            <v>everyone</v>
          </cell>
        </row>
        <row r="478">
          <cell r="A478" t="str">
            <v>50002_1</v>
          </cell>
          <cell r="B478">
            <v>3</v>
          </cell>
          <cell r="C478">
            <v>50002</v>
          </cell>
          <cell r="D478" t="str">
            <v>オーディン襲来！</v>
          </cell>
          <cell r="E478" t="str">
            <v>超降臨2</v>
          </cell>
          <cell r="F478">
            <v>1</v>
          </cell>
          <cell r="G478" t="str">
            <v>ja</v>
          </cell>
          <cell r="H478" t="str">
            <v xml:space="preserve">【超ウィザード級】オーディン襲来 </v>
          </cell>
          <cell r="I478" t="str">
            <v>超地獄級</v>
          </cell>
          <cell r="J478">
            <v>451</v>
          </cell>
          <cell r="K478">
            <v>40</v>
          </cell>
          <cell r="L478">
            <v>5200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character</v>
          </cell>
          <cell r="T478">
            <v>573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911</v>
          </cell>
          <cell r="AD478">
            <v>6</v>
          </cell>
          <cell r="AE478" t="str">
            <v>everyone</v>
          </cell>
        </row>
        <row r="479">
          <cell r="A479" t="str">
            <v>60001_1</v>
          </cell>
          <cell r="B479">
            <v>3</v>
          </cell>
          <cell r="C479">
            <v>60001</v>
          </cell>
          <cell r="D479" t="str">
            <v>ヘンペルチャレンジ</v>
          </cell>
          <cell r="E479" t="str">
            <v>ランキング1</v>
          </cell>
          <cell r="F479">
            <v>1</v>
          </cell>
          <cell r="G479" t="str">
            <v>ja</v>
          </cell>
          <cell r="H479" t="str">
            <v>【ランキング】ヘンペルチャレンジ</v>
          </cell>
          <cell r="I479" t="str">
            <v>ランキング</v>
          </cell>
          <cell r="J479">
            <v>488</v>
          </cell>
          <cell r="K479">
            <v>40</v>
          </cell>
          <cell r="L479">
            <v>5200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none</v>
          </cell>
          <cell r="T479">
            <v>0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911</v>
          </cell>
          <cell r="AD479">
            <v>6</v>
          </cell>
          <cell r="AE479" t="str">
            <v>singleonly</v>
          </cell>
        </row>
        <row r="480">
          <cell r="A480" t="str">
            <v>65535_1</v>
          </cell>
          <cell r="B480">
            <v>1</v>
          </cell>
          <cell r="C480">
            <v>65535</v>
          </cell>
          <cell r="D480" t="str">
            <v>検証クエスト</v>
          </cell>
          <cell r="E480" t="str">
            <v>検証</v>
          </cell>
          <cell r="F480">
            <v>1</v>
          </cell>
          <cell r="G480" t="str">
            <v>ja</v>
          </cell>
          <cell r="H480" t="str">
            <v>テンプレート</v>
          </cell>
          <cell r="I480" t="str">
            <v>検証</v>
          </cell>
          <cell r="J480" t="str">
            <v>NULL</v>
          </cell>
          <cell r="K480">
            <v>1</v>
          </cell>
          <cell r="L480">
            <v>1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903</v>
          </cell>
          <cell r="AD480">
            <v>6</v>
          </cell>
          <cell r="AE480" t="str">
            <v>everyone</v>
          </cell>
        </row>
        <row r="481">
          <cell r="A481" t="str">
            <v>65535_2</v>
          </cell>
          <cell r="B481">
            <v>1</v>
          </cell>
          <cell r="C481">
            <v>65535</v>
          </cell>
          <cell r="D481" t="str">
            <v>検証クエスト</v>
          </cell>
          <cell r="E481" t="str">
            <v>検証</v>
          </cell>
          <cell r="F481">
            <v>2</v>
          </cell>
          <cell r="G481" t="str">
            <v>ja</v>
          </cell>
          <cell r="H481" t="str">
            <v>ランクアップクエスト</v>
          </cell>
          <cell r="I481" t="str">
            <v>検証</v>
          </cell>
          <cell r="J481" t="str">
            <v>NULL</v>
          </cell>
          <cell r="K481">
            <v>1</v>
          </cell>
          <cell r="L481">
            <v>65535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903</v>
          </cell>
          <cell r="AD481">
            <v>6</v>
          </cell>
          <cell r="AE481" t="str">
            <v>everyone</v>
          </cell>
        </row>
        <row r="482">
          <cell r="A482" t="str">
            <v>65535_3</v>
          </cell>
          <cell r="B482">
            <v>1</v>
          </cell>
          <cell r="C482">
            <v>65535</v>
          </cell>
          <cell r="D482" t="str">
            <v>検証クエスト</v>
          </cell>
          <cell r="E482" t="str">
            <v>検証</v>
          </cell>
          <cell r="F482">
            <v>3</v>
          </cell>
          <cell r="G482" t="str">
            <v>z</v>
          </cell>
          <cell r="H482" t="str">
            <v>サンドボックス</v>
          </cell>
          <cell r="I482" t="str">
            <v>検証</v>
          </cell>
          <cell r="J482" t="str">
            <v>NULL</v>
          </cell>
          <cell r="K482">
            <v>1</v>
          </cell>
          <cell r="L482">
            <v>1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none</v>
          </cell>
          <cell r="T482">
            <v>0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105</v>
          </cell>
          <cell r="AD482">
            <v>6</v>
          </cell>
          <cell r="AE482" t="str">
            <v>everyone</v>
          </cell>
        </row>
        <row r="483">
          <cell r="A483" t="str">
            <v>60021_3</v>
          </cell>
          <cell r="B483">
            <v>1</v>
          </cell>
          <cell r="C483">
            <v>60021</v>
          </cell>
          <cell r="D483" t="str">
            <v>【月曜限定】 黄の素材verハンプ検証</v>
          </cell>
          <cell r="E483" t="str">
            <v>検証</v>
          </cell>
          <cell r="F483">
            <v>3</v>
          </cell>
          <cell r="G483" t="str">
            <v>ja</v>
          </cell>
          <cell r="H483" t="str">
            <v>【上級】ハンプティ検証</v>
          </cell>
          <cell r="I483" t="str">
            <v>上級</v>
          </cell>
          <cell r="J483">
            <v>84</v>
          </cell>
          <cell r="K483">
            <v>20</v>
          </cell>
          <cell r="L483">
            <v>860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101</v>
          </cell>
          <cell r="AD483">
            <v>6</v>
          </cell>
          <cell r="AE483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B13" sqref="B13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1" t="s">
        <v>214</v>
      </c>
      <c r="B2" s="57" t="s">
        <v>107</v>
      </c>
      <c r="C2" s="62">
        <v>40011</v>
      </c>
      <c r="D2" s="57" t="s">
        <v>108</v>
      </c>
      <c r="E2" s="56" t="str">
        <f>B2&amp;C2&amp;D2</f>
        <v>floors_40011.tmp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1" t="s">
        <v>214</v>
      </c>
      <c r="B3" s="57" t="s">
        <v>110</v>
      </c>
      <c r="C3" s="62">
        <f>C$2</f>
        <v>40011</v>
      </c>
      <c r="D3" s="57" t="s">
        <v>108</v>
      </c>
      <c r="E3" s="56" t="str">
        <f>B3&amp;C3&amp;D3</f>
        <v>enemy_habitats_40011.tmp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>
      <c r="A4" s="61" t="s">
        <v>214</v>
      </c>
      <c r="B4" s="57" t="s">
        <v>112</v>
      </c>
      <c r="C4" s="62">
        <f t="shared" ref="C4:C12" si="0">C$2</f>
        <v>40011</v>
      </c>
      <c r="D4" s="57" t="s">
        <v>108</v>
      </c>
      <c r="E4" s="56" t="str">
        <f>B4&amp;C4&amp;D4</f>
        <v>enemy_habitat_S_40011.tmp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1" t="s">
        <v>214</v>
      </c>
      <c r="B5" s="57" t="s">
        <v>114</v>
      </c>
      <c r="C5" s="62">
        <f t="shared" si="0"/>
        <v>40011</v>
      </c>
      <c r="D5" s="57" t="s">
        <v>108</v>
      </c>
      <c r="E5" s="56" t="str">
        <f>B5&amp;C5&amp;D5</f>
        <v>enemy_skill_sets_40011.tmp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1" t="s">
        <v>214</v>
      </c>
      <c r="B6" s="57" t="s">
        <v>116</v>
      </c>
      <c r="C6" s="62">
        <f t="shared" si="0"/>
        <v>40011</v>
      </c>
      <c r="D6" s="57" t="s">
        <v>117</v>
      </c>
      <c r="E6" s="56" t="str">
        <f t="shared" ref="E6:E10" si="1">B6&amp;C6&amp;D6</f>
        <v>enemy_skills_tmp_40011.tmp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1" t="s">
        <v>214</v>
      </c>
      <c r="B7" s="57" t="s">
        <v>118</v>
      </c>
      <c r="C7" s="62">
        <f t="shared" si="0"/>
        <v>40011</v>
      </c>
      <c r="D7" s="57" t="s">
        <v>108</v>
      </c>
      <c r="E7" s="56" t="str">
        <f>B7&amp;C7&amp;D7</f>
        <v>enemy_skills_i18n_40011.tmp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1" t="s">
        <v>214</v>
      </c>
      <c r="B8" s="57" t="s">
        <v>120</v>
      </c>
      <c r="C8" s="62">
        <f t="shared" si="0"/>
        <v>40011</v>
      </c>
      <c r="D8" s="57" t="s">
        <v>121</v>
      </c>
      <c r="E8" s="56" t="str">
        <f t="shared" si="1"/>
        <v>enemy_skill_triggers_40011.tmp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1" t="s">
        <v>214</v>
      </c>
      <c r="B9" s="67" t="s">
        <v>178</v>
      </c>
      <c r="C9" s="62">
        <f t="shared" si="0"/>
        <v>40011</v>
      </c>
      <c r="D9" s="67" t="s">
        <v>172</v>
      </c>
      <c r="E9" s="68" t="str">
        <f t="shared" si="1"/>
        <v>stage_bug_bonuses_40011.tmp</v>
      </c>
      <c r="F9" s="67" t="s">
        <v>173</v>
      </c>
      <c r="G9" s="64" t="s">
        <v>151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 s="75" customFormat="1">
      <c r="A10" s="61" t="s">
        <v>214</v>
      </c>
      <c r="B10" s="67" t="s">
        <v>202</v>
      </c>
      <c r="C10" s="62">
        <f>C$2</f>
        <v>40011</v>
      </c>
      <c r="D10" s="67" t="s">
        <v>181</v>
      </c>
      <c r="E10" s="68" t="str">
        <f t="shared" si="1"/>
        <v>stage_hints_data_c_40011.tmp</v>
      </c>
      <c r="F10" s="67" t="s">
        <v>210</v>
      </c>
      <c r="G10" s="72" t="s">
        <v>182</v>
      </c>
      <c r="H10" s="72" t="s">
        <v>174</v>
      </c>
      <c r="I10" s="73" t="s">
        <v>183</v>
      </c>
      <c r="J10" s="66" t="s">
        <v>184</v>
      </c>
      <c r="K10" s="74" t="s">
        <v>185</v>
      </c>
    </row>
    <row r="11" spans="1:30" s="75" customFormat="1">
      <c r="A11" s="61" t="s">
        <v>214</v>
      </c>
      <c r="B11" s="67" t="s">
        <v>203</v>
      </c>
      <c r="C11" s="62">
        <f t="shared" si="0"/>
        <v>40011</v>
      </c>
      <c r="D11" s="67" t="s">
        <v>172</v>
      </c>
      <c r="E11" s="68" t="str">
        <f t="shared" ref="E11:E12" si="2">B11&amp;C11&amp;D11</f>
        <v>stage_hints_data_f_40011.tmp</v>
      </c>
      <c r="F11" s="67" t="s">
        <v>212</v>
      </c>
      <c r="G11" s="72" t="s">
        <v>182</v>
      </c>
      <c r="H11" s="72" t="s">
        <v>174</v>
      </c>
      <c r="I11" s="73" t="s">
        <v>183</v>
      </c>
      <c r="J11" s="66" t="s">
        <v>184</v>
      </c>
      <c r="K11" s="74" t="s">
        <v>185</v>
      </c>
    </row>
    <row r="12" spans="1:30" s="75" customFormat="1">
      <c r="A12" s="61" t="s">
        <v>214</v>
      </c>
      <c r="B12" s="67" t="s">
        <v>204</v>
      </c>
      <c r="C12" s="62">
        <f t="shared" si="0"/>
        <v>40011</v>
      </c>
      <c r="D12" s="67" t="s">
        <v>172</v>
      </c>
      <c r="E12" s="68" t="str">
        <f t="shared" si="2"/>
        <v>stage_hints_i18n_40011.tmp</v>
      </c>
      <c r="F12" s="67" t="s">
        <v>213</v>
      </c>
      <c r="G12" s="73" t="s">
        <v>205</v>
      </c>
      <c r="H12" s="95" t="s">
        <v>206</v>
      </c>
      <c r="I12" s="72" t="s">
        <v>207</v>
      </c>
      <c r="J12" s="96" t="s">
        <v>208</v>
      </c>
      <c r="K12" s="74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M13" sqref="M13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40011_1-1</v>
      </c>
      <c r="B2" s="16" t="str">
        <f>IF(COUNTIF(enemy_habitats!$H:$H,A2),"OK","NG")</f>
        <v>OK</v>
      </c>
      <c r="C2" s="7">
        <v>40011</v>
      </c>
      <c r="D2" s="11" t="str">
        <f ca="1">VLOOKUP($C2,OFFSET([2]quests!$A$1,0,0,COUNTA([2]quests!$A:$A),MATCH(D$1,[2]quests!$1:$1,0)-MATCH($C$1,[2]quests!$1:$1,0)+1),MATCH(D$1,[2]quests!$1:$1,0)-MATCH($C$1,[2]quests!$1:$1,0)+1,FALSE)</f>
        <v>ヨミ襲来！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降臨11</v>
      </c>
      <c r="F2" s="21">
        <v>1</v>
      </c>
      <c r="G2" s="23" t="str">
        <f>C2&amp;"_"&amp;F2</f>
        <v>40011_1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【ウィザード級】ヨミ襲来 </v>
      </c>
      <c r="I2" s="21">
        <v>1</v>
      </c>
      <c r="J2" s="12">
        <v>60</v>
      </c>
      <c r="K2" s="12">
        <v>60</v>
      </c>
    </row>
    <row r="3" spans="1:11" ht="21" customHeight="1">
      <c r="A3" s="16" t="str">
        <f t="shared" ref="A3:A5" si="0">G3&amp;"-"&amp;I3</f>
        <v>40011_1-2</v>
      </c>
      <c r="B3" s="16" t="str">
        <f>IF(COUNTIF(enemy_habitats!$H:$H,A3),"OK","NG")</f>
        <v>OK</v>
      </c>
      <c r="C3" s="7">
        <v>40011</v>
      </c>
      <c r="D3" s="11" t="str">
        <f ca="1">VLOOKUP($C3,OFFSET([2]quests!$A$1,0,0,COUNTA([2]quests!$A:$A),MATCH(D$1,[2]quests!$1:$1,0)-MATCH($C$1,[2]quests!$1:$1,0)+1),MATCH(D$1,[2]quests!$1:$1,0)-MATCH($C$1,[2]quests!$1:$1,0)+1,FALSE)</f>
        <v>ヨミ襲来！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降臨11</v>
      </c>
      <c r="F3" s="21">
        <v>1</v>
      </c>
      <c r="G3" s="23" t="str">
        <f t="shared" ref="G3:G5" si="1">C3&amp;"_"&amp;F3</f>
        <v>40011_1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【ウィザード級】ヨミ襲来 </v>
      </c>
      <c r="I3" s="21">
        <v>2</v>
      </c>
      <c r="J3" s="12">
        <v>60</v>
      </c>
      <c r="K3" s="12">
        <v>60</v>
      </c>
    </row>
    <row r="4" spans="1:11" ht="21" customHeight="1">
      <c r="A4" s="16" t="str">
        <f t="shared" si="0"/>
        <v>40011_1-3</v>
      </c>
      <c r="B4" s="16" t="str">
        <f>IF(COUNTIF(enemy_habitats!$H:$H,A4),"OK","NG")</f>
        <v>OK</v>
      </c>
      <c r="C4" s="7">
        <v>40011</v>
      </c>
      <c r="D4" s="11" t="str">
        <f ca="1">VLOOKUP($C4,OFFSET([2]quests!$A$1,0,0,COUNTA([2]quests!$A:$A),MATCH(D$1,[2]quests!$1:$1,0)-MATCH($C$1,[2]quests!$1:$1,0)+1),MATCH(D$1,[2]quests!$1:$1,0)-MATCH($C$1,[2]quests!$1:$1,0)+1,FALSE)</f>
        <v>ヨミ襲来！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降臨11</v>
      </c>
      <c r="F4" s="21">
        <v>1</v>
      </c>
      <c r="G4" s="23" t="str">
        <f t="shared" si="1"/>
        <v>40011_1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【ウィザード級】ヨミ襲来 </v>
      </c>
      <c r="I4" s="21">
        <v>3</v>
      </c>
      <c r="J4" s="12">
        <v>60</v>
      </c>
      <c r="K4" s="12">
        <v>60</v>
      </c>
    </row>
    <row r="5" spans="1:11" ht="21" customHeight="1">
      <c r="A5" s="16" t="str">
        <f t="shared" si="0"/>
        <v>40011_1-4</v>
      </c>
      <c r="B5" s="16" t="str">
        <f>IF(COUNTIF(enemy_habitats!$H:$H,A5),"OK","NG")</f>
        <v>OK</v>
      </c>
      <c r="C5" s="7">
        <v>40011</v>
      </c>
      <c r="D5" s="11" t="str">
        <f ca="1">VLOOKUP($C5,OFFSET([2]quests!$A$1,0,0,COUNTA([2]quests!$A:$A),MATCH(D$1,[2]quests!$1:$1,0)-MATCH($C$1,[2]quests!$1:$1,0)+1),MATCH(D$1,[2]quests!$1:$1,0)-MATCH($C$1,[2]quests!$1:$1,0)+1,FALSE)</f>
        <v>ヨミ襲来！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降臨11</v>
      </c>
      <c r="F5" s="21">
        <v>1</v>
      </c>
      <c r="G5" s="23" t="str">
        <f t="shared" si="1"/>
        <v>40011_1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【ウィザード級】ヨミ襲来 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8"/>
  <sheetViews>
    <sheetView showGridLines="0" workbookViewId="0">
      <pane xSplit="17" ySplit="1" topLeftCell="AG2" activePane="bottomRight" state="frozen"/>
      <selection pane="topRight" activeCell="N1" sqref="N1"/>
      <selection pane="bottomLeft" activeCell="A2" sqref="A2"/>
      <selection pane="bottomRight" activeCell="AH9" sqref="AH9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 collapsed="1"/>
    <col min="29" max="29" width="8.83203125" style="13" hidden="1" customWidth="1" outlineLevel="1"/>
    <col min="30" max="30" width="8" style="14" hidden="1" customWidth="1" outlineLevel="1"/>
    <col min="31" max="31" width="12" style="14" hidden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>
      <c r="A2" s="16" t="str">
        <f t="shared" ref="A2:A8" ca="1" si="0">B2&amp;"_"&amp;C2&amp;"-"&amp;G2&amp;"/"&amp;L2&amp;"&lt;lv"&amp;R2&amp;"&gt;s"&amp;AA2</f>
        <v>40011_1-1/46&lt;lv45&gt;s3</v>
      </c>
      <c r="B2" s="22">
        <v>40011</v>
      </c>
      <c r="C2" s="21">
        <v>1</v>
      </c>
      <c r="D2" s="2" t="str">
        <f t="shared" ref="D2:D8" si="1">B2&amp;"_"&amp;C2</f>
        <v>40011_1</v>
      </c>
      <c r="E2" s="4" t="str">
        <f ca="1">VLOOKUP($B2,OFFSET([2]quests!$A$1,0,0,COUNTA([2]quests!$A:$A),MATCH(E$1,[2]quests!$1:$1,0)-MATCH($B$1,[2]quests!$1:$1,0)+1),MATCH(E$1,[2]quests!$1:$1,0)-MATCH($B$1,[2]quests!$1:$1,0)+1,FALSE)</f>
        <v>ヨミ襲来！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【ウィザード級】ヨミ襲来 </v>
      </c>
      <c r="G2" s="21">
        <v>1</v>
      </c>
      <c r="H2" s="15" t="str">
        <f t="shared" ref="H2:H8" si="2">B2&amp;"_"&amp;C2&amp;"-"&amp;G2</f>
        <v>40011_1-1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46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微笑みの筆跡 ショウイン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45</v>
      </c>
      <c r="S2" s="25">
        <v>1</v>
      </c>
      <c r="T2" s="25">
        <v>0.5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2" s="47">
        <v>40011001</v>
      </c>
      <c r="X2" s="6">
        <v>2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3</v>
      </c>
      <c r="AB2" s="24">
        <f t="shared" ref="AB2:AB8" si="3">L2</f>
        <v>46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微笑みの筆跡 ショウイン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7">
        <v>1</v>
      </c>
      <c r="AG2" s="24">
        <f t="shared" ref="AG2:AG8" ca="1" si="4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>
      <c r="A3" s="16" t="str">
        <f t="shared" ca="1" si="0"/>
        <v>40011_1-1/83&lt;lv55&gt;s2</v>
      </c>
      <c r="B3" s="22">
        <v>40011</v>
      </c>
      <c r="C3" s="21">
        <v>1</v>
      </c>
      <c r="D3" s="2" t="str">
        <f t="shared" si="1"/>
        <v>40011_1</v>
      </c>
      <c r="E3" s="4" t="str">
        <f ca="1">VLOOKUP($B3,OFFSET([2]quests!$A$1,0,0,COUNTA([2]quests!$A:$A),MATCH(E$1,[2]quests!$1:$1,0)-MATCH($B$1,[2]quests!$1:$1,0)+1),MATCH(E$1,[2]quests!$1:$1,0)-MATCH($B$1,[2]quests!$1:$1,0)+1,FALSE)</f>
        <v>ヨミ襲来！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【ウィザード級】ヨミ襲来 </v>
      </c>
      <c r="G3" s="21">
        <v>1</v>
      </c>
      <c r="H3" s="15" t="str">
        <f t="shared" si="2"/>
        <v>40011_1-1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83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拡散性ニムダ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55</v>
      </c>
      <c r="S3" s="25">
        <v>4</v>
      </c>
      <c r="T3" s="25">
        <v>1.2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連続攻撃</v>
      </c>
      <c r="W3" s="47">
        <v>40011002</v>
      </c>
      <c r="X3" s="6">
        <v>1</v>
      </c>
      <c r="Y3" s="6">
        <v>100</v>
      </c>
      <c r="Z3" s="6">
        <v>1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 t="shared" si="3"/>
        <v>83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拡散性ニムダ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3" s="7">
        <v>1</v>
      </c>
      <c r="AG3" s="24">
        <f t="shared" ca="1" si="4"/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>
      <c r="A4" s="16" t="str">
        <f t="shared" si="0"/>
        <v>40011_1-2/51&lt;lv50&gt;s1</v>
      </c>
      <c r="B4" s="22">
        <v>40011</v>
      </c>
      <c r="C4" s="21">
        <v>1</v>
      </c>
      <c r="D4" s="2" t="str">
        <f t="shared" si="1"/>
        <v>40011_1</v>
      </c>
      <c r="E4" s="4" t="str">
        <f ca="1">VLOOKUP($B4,OFFSET([2]quests!$A$1,0,0,COUNTA([2]quests!$A:$A),MATCH(E$1,[2]quests!$1:$1,0)-MATCH($B$1,[2]quests!$1:$1,0)+1),MATCH(E$1,[2]quests!$1:$1,0)-MATCH($B$1,[2]quests!$1:$1,0)+1,FALSE)</f>
        <v>ヨミ襲来！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【ウィザード級】ヨミ襲来 </v>
      </c>
      <c r="G4" s="21">
        <v>2</v>
      </c>
      <c r="H4" s="15" t="str">
        <f t="shared" si="2"/>
        <v>40011_1-2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51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マイ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50</v>
      </c>
      <c r="S4" s="25">
        <v>1.5</v>
      </c>
      <c r="T4" s="25">
        <v>0.7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次のターン強力な攻撃</v>
      </c>
      <c r="W4" s="47">
        <v>40011003</v>
      </c>
      <c r="X4" s="6">
        <v>2</v>
      </c>
      <c r="Y4" s="6">
        <v>100</v>
      </c>
      <c r="Z4" s="6">
        <v>0</v>
      </c>
      <c r="AA4" s="17">
        <v>1</v>
      </c>
      <c r="AB4" s="24">
        <f t="shared" si="3"/>
        <v>51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マイ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4">
        <f t="shared" ca="1" si="4"/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>
      <c r="A5" s="16" t="str">
        <f t="shared" ca="1" si="0"/>
        <v>40011_1-2/322&lt;lv60&gt;s2</v>
      </c>
      <c r="B5" s="22">
        <v>40011</v>
      </c>
      <c r="C5" s="21">
        <v>1</v>
      </c>
      <c r="D5" s="2" t="str">
        <f t="shared" si="1"/>
        <v>40011_1</v>
      </c>
      <c r="E5" s="4" t="str">
        <f ca="1">VLOOKUP($B5,OFFSET([2]quests!$A$1,0,0,COUNTA([2]quests!$A:$A),MATCH(E$1,[2]quests!$1:$1,0)-MATCH($B$1,[2]quests!$1:$1,0)+1),MATCH(E$1,[2]quests!$1:$1,0)-MATCH($B$1,[2]quests!$1:$1,0)+1,FALSE)</f>
        <v>ヨミ襲来！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【ウィザード級】ヨミ襲来 </v>
      </c>
      <c r="G5" s="21">
        <v>2</v>
      </c>
      <c r="H5" s="15" t="str">
        <f t="shared" si="2"/>
        <v>40011_1-2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20">
        <v>322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愛志士 土方歳三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60</v>
      </c>
      <c r="S5" s="25">
        <v>2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種族ゴッドに対して大ダメージ</v>
      </c>
      <c r="W5" s="47">
        <v>40011004</v>
      </c>
      <c r="X5" s="6">
        <v>1</v>
      </c>
      <c r="Y5" s="6">
        <v>100</v>
      </c>
      <c r="Z5" s="6">
        <v>1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f t="shared" si="3"/>
        <v>322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愛志士 土方歳三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5" s="7">
        <v>1</v>
      </c>
      <c r="AG5" s="24">
        <f t="shared" ca="1" si="4"/>
        <v>4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>
      <c r="A6" s="16" t="str">
        <f t="shared" ca="1" si="0"/>
        <v>40011_1-3/360&lt;lv50&gt;s3</v>
      </c>
      <c r="B6" s="22">
        <v>40011</v>
      </c>
      <c r="C6" s="21">
        <v>1</v>
      </c>
      <c r="D6" s="2" t="str">
        <f t="shared" si="1"/>
        <v>40011_1</v>
      </c>
      <c r="E6" s="4" t="str">
        <f ca="1">VLOOKUP($B6,OFFSET([2]quests!$A$1,0,0,COUNTA([2]quests!$A:$A),MATCH(E$1,[2]quests!$1:$1,0)-MATCH($B$1,[2]quests!$1:$1,0)+1),MATCH(E$1,[2]quests!$1:$1,0)-MATCH($B$1,[2]quests!$1:$1,0)+1,FALSE)</f>
        <v>ヨミ襲来！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【ウィザード級】ヨミ襲来 </v>
      </c>
      <c r="G6" s="21">
        <v>3</v>
      </c>
      <c r="H6" s="15" t="str">
        <f t="shared" si="2"/>
        <v>40011_1-3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360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ガンテツ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50</v>
      </c>
      <c r="S6" s="25">
        <v>2</v>
      </c>
      <c r="T6" s="25">
        <v>0.6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6" s="47">
        <v>40011006</v>
      </c>
      <c r="X6" s="6">
        <v>2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24">
        <f t="shared" si="3"/>
        <v>360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7">
        <v>1</v>
      </c>
      <c r="AG6" s="24">
        <f t="shared" ca="1" si="4"/>
        <v>2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>
      <c r="A7" s="16" t="str">
        <f t="shared" ca="1" si="0"/>
        <v>40011_1-3/78&lt;lv55&gt;s1</v>
      </c>
      <c r="B7" s="22">
        <v>40011</v>
      </c>
      <c r="C7" s="21">
        <v>1</v>
      </c>
      <c r="D7" s="2" t="str">
        <f t="shared" si="1"/>
        <v>40011_1</v>
      </c>
      <c r="E7" s="4" t="str">
        <f ca="1">VLOOKUP($B7,OFFSET([2]quests!$A$1,0,0,COUNTA([2]quests!$A:$A),MATCH(E$1,[2]quests!$1:$1,0)-MATCH($B$1,[2]quests!$1:$1,0)+1),MATCH(E$1,[2]quests!$1:$1,0)-MATCH($B$1,[2]quests!$1:$1,0)+1,FALSE)</f>
        <v>ヨミ襲来！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【ウィザード級】ヨミ襲来 </v>
      </c>
      <c r="G7" s="21">
        <v>3</v>
      </c>
      <c r="H7" s="15" t="str">
        <f t="shared" si="2"/>
        <v>40011_1-3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78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擬態潜伏型メリッサ2.0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55</v>
      </c>
      <c r="S7" s="25">
        <v>2.5</v>
      </c>
      <c r="T7" s="25">
        <v>1.2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#VALUE!</v>
      </c>
      <c r="W7" s="47">
        <v>40011007</v>
      </c>
      <c r="X7" s="6">
        <v>1</v>
      </c>
      <c r="Y7" s="6">
        <v>100</v>
      </c>
      <c r="Z7" s="6">
        <v>1</v>
      </c>
      <c r="AA7" s="17">
        <f ca="1">VLOOKUP($L7,OFFSET([3]enemies!$A$1,0,0,COUNTA([3]enemies!$A:$A),MATCH(AA$1,[3]enemies!$1:$1,0)-MATCH($L$1,[3]enemies!$1:$1,0)+1),MATCH(AA$1,[3]enemies!$1:$1,0)-MATCH($L$1,[3]enemies!$1:$1,0)+1,FALSE)</f>
        <v>1</v>
      </c>
      <c r="AB7" s="24">
        <f t="shared" si="3"/>
        <v>78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擬態潜伏型メリッサ2.0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7" s="7">
        <v>1</v>
      </c>
      <c r="AG7" s="24">
        <f t="shared" ca="1" si="4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>
      <c r="A8" s="16" t="str">
        <f t="shared" si="0"/>
        <v>40011_1-4/654&lt;lv70&gt;s2</v>
      </c>
      <c r="B8" s="22">
        <v>40011</v>
      </c>
      <c r="C8" s="21">
        <v>1</v>
      </c>
      <c r="D8" s="2" t="str">
        <f t="shared" si="1"/>
        <v>40011_1</v>
      </c>
      <c r="E8" s="4" t="str">
        <f ca="1">VLOOKUP($B8,OFFSET([2]quests!$A$1,0,0,COUNTA([2]quests!$A:$A),MATCH(E$1,[2]quests!$1:$1,0)-MATCH($B$1,[2]quests!$1:$1,0)+1),MATCH(E$1,[2]quests!$1:$1,0)-MATCH($B$1,[2]quests!$1:$1,0)+1,FALSE)</f>
        <v>ヨミ襲来！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【ウィザード級】ヨミ襲来 </v>
      </c>
      <c r="G8" s="21">
        <v>4</v>
      </c>
      <c r="H8" s="15" t="str">
        <f t="shared" si="2"/>
        <v>40011_1-4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2</v>
      </c>
      <c r="L8" s="20">
        <v>654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酒呑童子 ヨミ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70</v>
      </c>
      <c r="S8" s="25">
        <v>2</v>
      </c>
      <c r="T8" s="25">
        <v>1.2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開幕状態異常耐性＋解除するまで毎ターンダメージを受ける</v>
      </c>
      <c r="W8" s="47">
        <v>40011008</v>
      </c>
      <c r="X8" s="6">
        <v>1</v>
      </c>
      <c r="Y8" s="6">
        <v>100</v>
      </c>
      <c r="Z8" s="6">
        <v>1</v>
      </c>
      <c r="AA8" s="17">
        <v>2</v>
      </c>
      <c r="AB8" s="24">
        <f t="shared" si="3"/>
        <v>654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酒呑童子 ヨミ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8" s="7">
        <v>1</v>
      </c>
      <c r="AG8" s="24">
        <f t="shared" ca="1" si="4"/>
        <v>4</v>
      </c>
      <c r="AH8" s="8">
        <v>30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3" sqref="T3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40011_1-2/322&lt;lv60&gt;sq1st2</v>
      </c>
      <c r="B2" s="22">
        <v>40011</v>
      </c>
      <c r="C2" s="21">
        <v>1</v>
      </c>
      <c r="D2" s="2" t="str">
        <f>B2&amp;"_"&amp;C2</f>
        <v>40011_1</v>
      </c>
      <c r="E2" s="4" t="str">
        <f ca="1">VLOOKUP($B2,OFFSET([2]quests!$A$1,0,0,COUNTA([2]quests!$A:$A),MATCH(E$1,[2]quests!$1:$1,0)-MATCH($B$1,[2]quests!$1:$1,0)+1),MATCH(E$1,[2]quests!$1:$1,0)-MATCH($B$1,[2]quests!$1:$1,0)+1,FALSE)</f>
        <v>ヨミ襲来！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【ウィザード級】ヨミ襲来 </v>
      </c>
      <c r="G2" s="21">
        <v>2</v>
      </c>
      <c r="H2" s="15" t="str">
        <f>B2&amp;"_"&amp;C2&amp;"-"&amp;G2</f>
        <v>40011_1-2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322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愛志士 土方歳三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60</v>
      </c>
      <c r="T2" s="25">
        <v>2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" s="47">
        <v>40011005</v>
      </c>
      <c r="Y2" s="70">
        <v>1</v>
      </c>
    </row>
    <row r="3" spans="1:25" ht="21" customHeight="1">
      <c r="A3" s="16" t="str">
        <f>B3&amp;"_"&amp;C3&amp;"-"&amp;G3&amp;"/"&amp;M3&amp;"&lt;lv"&amp;S3&amp;"&gt;sq"&amp;K3&amp;"st"&amp;L3</f>
        <v>40011_1-4/655&lt;lv80&gt;sq2st2</v>
      </c>
      <c r="B3" s="22">
        <v>40011</v>
      </c>
      <c r="C3" s="21">
        <v>1</v>
      </c>
      <c r="D3" s="2" t="str">
        <f>B3&amp;"_"&amp;C3</f>
        <v>40011_1</v>
      </c>
      <c r="E3" s="4" t="str">
        <f ca="1">VLOOKUP($B3,OFFSET([2]quests!$A$1,0,0,COUNTA([2]quests!$A:$A),MATCH(E$1,[2]quests!$1:$1,0)-MATCH($B$1,[2]quests!$1:$1,0)+1),MATCH(E$1,[2]quests!$1:$1,0)-MATCH($B$1,[2]quests!$1:$1,0)+1,FALSE)</f>
        <v>ヨミ襲来！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【ウィザード級】ヨミ襲来 </v>
      </c>
      <c r="G3" s="21">
        <v>4</v>
      </c>
      <c r="H3" s="15" t="str">
        <f>B3&amp;"_"&amp;C3&amp;"-"&amp;G3</f>
        <v>40011_1-4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655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桜花舞う嵐鬼神 ヨミ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2</v>
      </c>
      <c r="U3" s="25">
        <v>1.3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3" s="47">
        <v>40011009</v>
      </c>
      <c r="Y3" s="70">
        <v>2</v>
      </c>
    </row>
    <row r="4" spans="1:25" ht="21" customHeight="1">
      <c r="A4" s="16" t="str">
        <f>B4&amp;"_"&amp;C4&amp;"-"&amp;G4&amp;"/"&amp;M4&amp;"&lt;lv"&amp;S4&amp;"&gt;sq"&amp;K4&amp;"st"&amp;L4</f>
        <v>40011_1-4/655&lt;lv80&gt;sq2st3</v>
      </c>
      <c r="B4" s="22">
        <v>40011</v>
      </c>
      <c r="C4" s="21">
        <v>1</v>
      </c>
      <c r="D4" s="2" t="str">
        <f>B4&amp;"_"&amp;C4</f>
        <v>40011_1</v>
      </c>
      <c r="E4" s="4" t="str">
        <f ca="1">VLOOKUP($B4,OFFSET([2]quests!$A$1,0,0,COUNTA([2]quests!$A:$A),MATCH(E$1,[2]quests!$1:$1,0)-MATCH($B$1,[2]quests!$1:$1,0)+1),MATCH(E$1,[2]quests!$1:$1,0)-MATCH($B$1,[2]quests!$1:$1,0)+1,FALSE)</f>
        <v>ヨミ襲来！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【ウィザード級】ヨミ襲来 </v>
      </c>
      <c r="G4" s="21">
        <v>4</v>
      </c>
      <c r="H4" s="15" t="str">
        <f>B4&amp;"_"&amp;C4&amp;"-"&amp;G4</f>
        <v>40011_1-4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655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桜花舞う嵐鬼神 ヨミ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2</v>
      </c>
      <c r="U4" s="25">
        <v>1.4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4" s="47">
        <v>40011010</v>
      </c>
      <c r="Y4" s="70">
        <f ca="1">VLOOKUP($M4,OFFSET([3]enemies!$A$1,0,0,COUNTA([3]enemies!$A:$A),MATCH(Y$1,[3]enemies!$1:$1,0)-MATCH($M$1,[3]enemies!$1:$1,0)+1),MATCH(Y$1,[3]enemies!$1:$1,0)-MATCH($M$1,[3]enemies!$1:$1,0)+1,FALSE)</f>
        <v>1</v>
      </c>
    </row>
  </sheetData>
  <sheetProtection selectLockedCells="1" selectUnlockedCells="1"/>
  <autoFilter ref="B1:Y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9"/>
  <sheetViews>
    <sheetView showGridLines="0" workbookViewId="0">
      <pane xSplit="5" ySplit="1" topLeftCell="F8" activePane="bottomRight" state="frozen"/>
      <selection pane="topRight"/>
      <selection pane="bottomLeft"/>
      <selection pane="bottomRight" activeCell="F22" sqref="F22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:A29" si="0">B2&amp;"_"&amp;C2</f>
        <v>40011002_40011007</v>
      </c>
      <c r="B2" s="47">
        <v>40011002</v>
      </c>
      <c r="C2" s="47">
        <v>40011007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超拡散アタック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" s="47">
        <v>40011007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" s="47"/>
      <c r="Q2" s="47"/>
      <c r="R2" s="47"/>
    </row>
    <row r="3" spans="1:18" ht="21" customHeight="1">
      <c r="A3" s="39" t="str">
        <f t="shared" si="0"/>
        <v>40011003_40011011</v>
      </c>
      <c r="B3" s="47">
        <v>40011003</v>
      </c>
      <c r="C3" s="47">
        <v>40011011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一点集中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3" s="47">
        <v>40011011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" s="47"/>
      <c r="Q3" s="47"/>
      <c r="R3" s="47"/>
    </row>
    <row r="4" spans="1:18" ht="21" customHeight="1">
      <c r="A4" s="39" t="str">
        <f t="shared" si="0"/>
        <v>40011004_40011016</v>
      </c>
      <c r="B4" s="47">
        <v>40011004</v>
      </c>
      <c r="C4" s="47">
        <v>40011016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鬼神一閃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種族ゴッドに対して大ダメージ</v>
      </c>
      <c r="F4" s="47">
        <v>40011016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" s="47"/>
      <c r="Q4" s="47"/>
      <c r="R4" s="47"/>
    </row>
    <row r="5" spans="1:18" ht="21" customHeight="1">
      <c r="A5" s="39" t="str">
        <f t="shared" si="0"/>
        <v>40011004_40011017</v>
      </c>
      <c r="B5" s="47">
        <v>40011004</v>
      </c>
      <c r="C5" s="47">
        <v>40011017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護りの構え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5ターンの間防御アップ</v>
      </c>
      <c r="F5" s="47">
        <v>40011017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>
      <c r="A6" s="39" t="str">
        <f t="shared" si="0"/>
        <v>40011004_40011018</v>
      </c>
      <c r="B6" s="47">
        <v>40011004</v>
      </c>
      <c r="C6" s="47">
        <v>40011018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無形絶剣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6" s="47">
        <v>40011018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7"/>
      <c r="Q6" s="47"/>
      <c r="R6" s="47"/>
    </row>
    <row r="7" spans="1:18" ht="21" customHeight="1">
      <c r="A7" s="39" t="str">
        <f t="shared" si="0"/>
        <v>40011005_40011021</v>
      </c>
      <c r="B7" s="47">
        <v>40011005</v>
      </c>
      <c r="C7" s="47">
        <v>40011021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返し刀の構え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開幕状態異常耐性＋1ターンカウンター</v>
      </c>
      <c r="F7" s="47">
        <v>40011021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>
      <c r="A8" s="39" t="str">
        <f t="shared" si="0"/>
        <v>40011005_40011022</v>
      </c>
      <c r="B8" s="47">
        <v>40011005</v>
      </c>
      <c r="C8" s="47">
        <v>40011022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鬼神一閃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種族ゴッドに対して大ダメージ</v>
      </c>
      <c r="F8" s="47">
        <v>40011022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" s="47"/>
      <c r="Q8" s="47"/>
      <c r="R8" s="47"/>
    </row>
    <row r="9" spans="1:18" ht="21" customHeight="1">
      <c r="A9" s="39" t="str">
        <f t="shared" si="0"/>
        <v>40011005_40011023</v>
      </c>
      <c r="B9" s="47">
        <v>40011005</v>
      </c>
      <c r="C9" s="47">
        <v>40011023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攻めの構え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3ターンの間攻撃力アップ</v>
      </c>
      <c r="F9" s="47">
        <v>40011023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>
      <c r="A10" s="39" t="str">
        <f t="shared" si="0"/>
        <v>40011005_40011024</v>
      </c>
      <c r="B10" s="47">
        <v>40011005</v>
      </c>
      <c r="C10" s="47">
        <v>40011024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参の太刀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0" s="47">
        <v>40011024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" s="47"/>
      <c r="Q10" s="47"/>
      <c r="R10" s="47"/>
    </row>
    <row r="11" spans="1:18" ht="21" customHeight="1">
      <c r="A11" s="39" t="str">
        <f t="shared" si="0"/>
        <v>40011006_40011026</v>
      </c>
      <c r="B11" s="47">
        <v>40011006</v>
      </c>
      <c r="C11" s="47">
        <v>40011026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熱々焼きゴテ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11" s="47">
        <v>40011026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1" s="47"/>
      <c r="Q11" s="47"/>
      <c r="R11" s="47"/>
    </row>
    <row r="12" spans="1:18" ht="21" customHeight="1">
      <c r="A12" s="39" t="str">
        <f t="shared" si="0"/>
        <v>40011007_40011031</v>
      </c>
      <c r="B12" s="47">
        <v>40011007</v>
      </c>
      <c r="C12" s="47">
        <v>40011031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侵食性ウィルス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解除するまで毎ターンダメージを受ける</v>
      </c>
      <c r="F12" s="47">
        <v>40011031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>
      <c r="A13" s="39" t="str">
        <f t="shared" si="0"/>
        <v>40011007_40011032</v>
      </c>
      <c r="B13" s="47">
        <v>40011007</v>
      </c>
      <c r="C13" s="47">
        <v>40011032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紅の一閃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3" s="47">
        <v>40011032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3" s="47"/>
      <c r="Q13" s="47"/>
      <c r="R13" s="47"/>
    </row>
    <row r="14" spans="1:18" ht="21" customHeight="1">
      <c r="A14" s="39" t="str">
        <f t="shared" si="0"/>
        <v>40011008_40011036</v>
      </c>
      <c r="B14" s="47">
        <v>40011008</v>
      </c>
      <c r="C14" s="47">
        <v>40011036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闘気侵食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開幕状態異常耐性＋解除するまで毎ターンダメージを受ける</v>
      </c>
      <c r="F14" s="47">
        <v>40011036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>
      <c r="A15" s="39" t="str">
        <f t="shared" si="0"/>
        <v>40011008_40011037</v>
      </c>
      <c r="B15" s="47">
        <v>40011008</v>
      </c>
      <c r="C15" s="47">
        <v>40011037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神をも斬り裂く太刀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種族ゴッドに対して大ダメージ</v>
      </c>
      <c r="F15" s="47">
        <v>40011037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5" s="47"/>
      <c r="Q15" s="47"/>
      <c r="R15" s="47"/>
    </row>
    <row r="16" spans="1:18" ht="21" customHeight="1">
      <c r="A16" s="39" t="str">
        <f t="shared" si="0"/>
        <v>40011008_40011038</v>
      </c>
      <c r="B16" s="47">
        <v>40011008</v>
      </c>
      <c r="C16" s="47">
        <v>40011038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無双連撃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6" s="47">
        <v>40011038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6" s="47"/>
      <c r="Q16" s="47"/>
      <c r="R16" s="47"/>
    </row>
    <row r="17" spans="1:18" ht="21" customHeight="1">
      <c r="A17" s="39" t="str">
        <f t="shared" si="0"/>
        <v>40011009_40011046</v>
      </c>
      <c r="B17" s="47">
        <v>40011009</v>
      </c>
      <c r="C17" s="47">
        <v>40011046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闘気侵食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状態異常耐性＋解除するまで毎ターンダメージを受ける</v>
      </c>
      <c r="F17" s="47">
        <v>40011046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>
      <c r="A18" s="39" t="str">
        <f t="shared" si="0"/>
        <v>40011009_40011047</v>
      </c>
      <c r="B18" s="47">
        <v>40011009</v>
      </c>
      <c r="C18" s="47">
        <v>40011047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神をも斬り裂く太刀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種族ゴッドに対して大ダメージ</v>
      </c>
      <c r="F18" s="47">
        <v>40011047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8" s="47"/>
      <c r="Q18" s="47"/>
      <c r="R18" s="47"/>
    </row>
    <row r="19" spans="1:18" ht="21" customHeight="1">
      <c r="A19" s="39" t="str">
        <f t="shared" si="0"/>
        <v>40011009_40011048</v>
      </c>
      <c r="B19" s="47">
        <v>40011009</v>
      </c>
      <c r="C19" s="47">
        <v>40011048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無双連撃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9" s="47">
        <v>40011048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9" s="47"/>
      <c r="Q19" s="47"/>
      <c r="R19" s="47"/>
    </row>
    <row r="20" spans="1:18" ht="21" customHeight="1">
      <c r="A20" s="39" t="str">
        <f t="shared" si="0"/>
        <v>40011009_40011049</v>
      </c>
      <c r="B20" s="47">
        <v>40011009</v>
      </c>
      <c r="C20" s="47">
        <v>40011049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振舞い酒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最大で味方2体にスリープ</v>
      </c>
      <c r="F20" s="47">
        <v>40011049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>
      <c r="A21" s="39" t="str">
        <f t="shared" si="0"/>
        <v>40011009_40011050</v>
      </c>
      <c r="B21" s="47">
        <v>40011009</v>
      </c>
      <c r="C21" s="47">
        <v>40011050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酔虎斬刀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スリープ状態のユニットに対して大ダメージ</v>
      </c>
      <c r="F21" s="47">
        <v>40011050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>
      <c r="A22" s="39" t="str">
        <f t="shared" si="0"/>
        <v>40011010_40011056</v>
      </c>
      <c r="B22" s="47">
        <v>40011010</v>
      </c>
      <c r="C22" s="47">
        <v>40011056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闘気充実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状態異常耐性＋5ターンの間防御力アップ</v>
      </c>
      <c r="F22" s="47">
        <v>40011056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>
      <c r="A23" s="39" t="str">
        <f t="shared" si="0"/>
        <v>40011010_40011057</v>
      </c>
      <c r="B23" s="47">
        <v>40011010</v>
      </c>
      <c r="C23" s="47">
        <v>40011057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神をも斬り裂く太刀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ゴッドキラー</v>
      </c>
      <c r="F23" s="47">
        <v>40011057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3" s="47"/>
      <c r="Q23" s="47"/>
      <c r="R23" s="47"/>
    </row>
    <row r="24" spans="1:18" ht="21" customHeight="1">
      <c r="A24" s="39" t="str">
        <f t="shared" si="0"/>
        <v>40011010_40011058</v>
      </c>
      <c r="B24" s="47">
        <v>40011010</v>
      </c>
      <c r="C24" s="47">
        <v>40011058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無双連撃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4" s="47">
        <v>40011058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4" s="47"/>
      <c r="Q24" s="47"/>
      <c r="R24" s="47"/>
    </row>
    <row r="25" spans="1:18" ht="21" customHeight="1">
      <c r="A25" s="39" t="str">
        <f t="shared" si="0"/>
        <v>40011010_40011059</v>
      </c>
      <c r="B25" s="47">
        <v>40011010</v>
      </c>
      <c r="C25" s="47">
        <v>40011059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闘気爆発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3ターンの間攻撃力アップ</v>
      </c>
      <c r="F25" s="47">
        <v>40011059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5" s="47"/>
      <c r="Q25" s="47"/>
      <c r="R25" s="47"/>
    </row>
    <row r="26" spans="1:18" ht="21" customHeight="1">
      <c r="A26" s="39" t="str">
        <f t="shared" si="0"/>
        <v>40011010_40011060</v>
      </c>
      <c r="B26" s="47">
        <v>40011010</v>
      </c>
      <c r="C26" s="47">
        <v>40011060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真剣勝負よ！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ステータスアップ効果を解除</v>
      </c>
      <c r="F26" s="47">
        <v>40011060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>
      <c r="A27" s="39" t="str">
        <f t="shared" si="0"/>
        <v>40011010_40011061</v>
      </c>
      <c r="B27" s="47">
        <v>40011010</v>
      </c>
      <c r="C27" s="47">
        <v>40011061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こっちから行くわよ！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緑パネルを破壊して攻撃</v>
      </c>
      <c r="F27" s="47">
        <v>40011061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>
      <c r="A28" s="39" t="str">
        <f t="shared" si="0"/>
        <v>40011010_40011062</v>
      </c>
      <c r="B28" s="47">
        <v>40011010</v>
      </c>
      <c r="C28" s="47">
        <v>40011062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まだまだ終わらないわ！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緑パネルを破壊して攻撃</v>
      </c>
      <c r="F28" s="47">
        <v>40011062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>
      <c r="A29" s="39" t="str">
        <f t="shared" si="0"/>
        <v>40011010_40011063</v>
      </c>
      <c r="B29" s="47">
        <v>40011010</v>
      </c>
      <c r="C29" s="47">
        <v>40011063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これで終わらせてやるわ…！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緑パネルを破壊して攻撃</v>
      </c>
      <c r="F29" s="47">
        <v>40011063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6"/>
  <sheetViews>
    <sheetView showGridLines="0" tabSelected="1" workbookViewId="0">
      <pane ySplit="1" topLeftCell="A49" activePane="bottomLeft" state="frozenSplit"/>
      <selection pane="bottomLeft" activeCell="E66" sqref="E66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>
      <c r="A2" s="47">
        <v>40011001</v>
      </c>
      <c r="B2" s="47" t="s">
        <v>215</v>
      </c>
      <c r="C2" s="50">
        <v>3</v>
      </c>
      <c r="D2" s="50" t="s">
        <v>128</v>
      </c>
      <c r="E2" s="51" t="s">
        <v>216</v>
      </c>
      <c r="F2" s="51" t="s">
        <v>217</v>
      </c>
      <c r="G2" s="63" t="str">
        <f>IFERROR(LEFT(B2,FIND("],",B2)),B2)</f>
        <v>[effect:nothing]</v>
      </c>
      <c r="H2" s="63">
        <f>FIND("effect:",G2)+7</f>
        <v>9</v>
      </c>
      <c r="I2" s="63">
        <f>IFERROR(FIND(",",G2),LEN(G2))</f>
        <v>16</v>
      </c>
      <c r="J2" s="63" t="e">
        <f>FIND("target:",G2)+7</f>
        <v>#VALUE!</v>
      </c>
      <c r="K2" s="63" t="e">
        <f>FIND(",",G2,I2+1)</f>
        <v>#VALUE!</v>
      </c>
      <c r="L2" s="63" t="str">
        <f>IFERROR(VLOOKUP(MID(G2,J2,K2-J2),[6]skilldef!$C:$D,2,FALSE),"-") &amp; " / " &amp; IFERROR(VLOOKUP(MID(G2,H2,I2-H2),[6]skilldef!$A:$B,2,FALSE),"-")</f>
        <v>- / 何もしない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>
      <c r="A3" s="47">
        <v>40011002</v>
      </c>
      <c r="B3" s="47" t="s">
        <v>215</v>
      </c>
      <c r="C3" s="50">
        <v>3</v>
      </c>
      <c r="D3" s="50" t="s">
        <v>128</v>
      </c>
      <c r="E3" s="51" t="s">
        <v>216</v>
      </c>
      <c r="F3" s="51" t="s">
        <v>217</v>
      </c>
      <c r="G3" s="63" t="str">
        <f t="shared" ref="G3:G60" si="0">IFERROR(LEFT(B3,FIND("],",B3)),B3)</f>
        <v>[effect:nothing]</v>
      </c>
      <c r="H3" s="63">
        <f t="shared" ref="H3:H66" si="1">FIND("effect:",G3)+7</f>
        <v>9</v>
      </c>
      <c r="I3" s="63">
        <f t="shared" ref="I3:I60" si="2">IFERROR(FIND(",",G3),LEN(G3))</f>
        <v>16</v>
      </c>
      <c r="J3" s="63" t="e">
        <f t="shared" ref="J3:J60" si="3">FIND("target:",G3)+7</f>
        <v>#VALUE!</v>
      </c>
      <c r="K3" s="63" t="e">
        <f t="shared" ref="K3:K60" si="4">FIND(",",G3,I3+1)</f>
        <v>#VALUE!</v>
      </c>
      <c r="L3" s="63" t="str">
        <f>IFERROR(VLOOKUP(MID(G3,J3,K3-J3),[6]skilldef!$C:$D,2,FALSE),"-") &amp; " / " &amp; IFERROR(VLOOKUP(MID(G3,H3,I3-H3),[6]skilldef!$A:$B,2,FALSE),"-")</f>
        <v>- / 何もしない</v>
      </c>
      <c r="M3" s="63" t="str">
        <f t="shared" ref="M3:M60" si="5">IFERROR(RIGHT(B3,LEN(B3)-FIND("],",B3)-1),"none")</f>
        <v>none</v>
      </c>
      <c r="N3" s="48" t="str">
        <f t="shared" ref="N3:N60" si="6">IFERROR(LEFT(M3,FIND("],",M3)+S13),M3)</f>
        <v>none</v>
      </c>
      <c r="O3" s="63" t="e">
        <f t="shared" ref="O3:O66" si="7">FIND("effect:",N3)+7</f>
        <v>#VALUE!</v>
      </c>
      <c r="P3" s="63">
        <f t="shared" ref="P3:P60" si="8">IFERROR(FIND(",",N3),LEN(N3))</f>
        <v>4</v>
      </c>
      <c r="Q3" s="63" t="e">
        <f t="shared" ref="Q3:Q60" si="9">FIND("target:",N3)+7</f>
        <v>#VALUE!</v>
      </c>
      <c r="R3" s="63" t="e">
        <f t="shared" ref="R3:R60" si="10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60" si="11">IFERROR(RIGHT(M3,LEN(M3)-FIND("],",M3)-1),"none")</f>
        <v>none</v>
      </c>
      <c r="U3" s="63" t="e">
        <f t="shared" ref="U3:U66" si="12">FIND("effect:",T3)+7</f>
        <v>#VALUE!</v>
      </c>
      <c r="V3" s="63">
        <f t="shared" ref="V3:V60" si="13">IFERROR(FIND(",",T3),LEN(T3))</f>
        <v>4</v>
      </c>
      <c r="W3" s="63" t="e">
        <f t="shared" ref="W3:W60" si="14">FIND("target:",T3)+7</f>
        <v>#VALUE!</v>
      </c>
      <c r="X3" s="63" t="e">
        <f t="shared" ref="X3:X60" si="15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>
      <c r="A4" s="47">
        <v>40011003</v>
      </c>
      <c r="B4" s="47" t="s">
        <v>215</v>
      </c>
      <c r="C4" s="50">
        <v>3</v>
      </c>
      <c r="D4" s="50" t="s">
        <v>128</v>
      </c>
      <c r="E4" s="51" t="s">
        <v>216</v>
      </c>
      <c r="F4" s="51" t="s">
        <v>217</v>
      </c>
      <c r="G4" s="63" t="str">
        <f t="shared" si="0"/>
        <v>[effect:nothing]</v>
      </c>
      <c r="H4" s="63">
        <f t="shared" si="1"/>
        <v>9</v>
      </c>
      <c r="I4" s="63">
        <f t="shared" si="2"/>
        <v>16</v>
      </c>
      <c r="J4" s="63" t="e">
        <f t="shared" si="3"/>
        <v>#VALUE!</v>
      </c>
      <c r="K4" s="63" t="e">
        <f t="shared" si="4"/>
        <v>#VALUE!</v>
      </c>
      <c r="L4" s="63" t="str">
        <f>IFERROR(VLOOKUP(MID(G4,J4,K4-J4),[6]skilldef!$C:$D,2,FALSE),"-") &amp; " / " &amp; IFERROR(VLOOKUP(MID(G4,H4,I4-H4),[6]skilldef!$A:$B,2,FALSE),"-")</f>
        <v>- / 何もしない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>
      <c r="A5" s="47">
        <v>40011004</v>
      </c>
      <c r="B5" s="47" t="s">
        <v>215</v>
      </c>
      <c r="C5" s="50">
        <v>3</v>
      </c>
      <c r="D5" s="50" t="s">
        <v>128</v>
      </c>
      <c r="E5" s="51" t="s">
        <v>216</v>
      </c>
      <c r="F5" s="51" t="s">
        <v>217</v>
      </c>
      <c r="G5" s="63" t="str">
        <f t="shared" si="0"/>
        <v>[effect:nothing]</v>
      </c>
      <c r="H5" s="63">
        <f t="shared" si="1"/>
        <v>9</v>
      </c>
      <c r="I5" s="63">
        <f t="shared" si="2"/>
        <v>16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IFERROR(VLOOKUP(MID(G5,J5,K5-J5),[6]skilldef!$C:$D,2,FALSE),"-") &amp; " / " &amp; IFERROR(VLOOKUP(MID(G5,H5,I5-H5),[6]skilldef!$A:$B,2,FALSE),"-")</f>
        <v>- / 何もしない</v>
      </c>
      <c r="M5" s="63" t="str">
        <f t="shared" si="5"/>
        <v>none</v>
      </c>
      <c r="N5" s="48" t="str">
        <f t="shared" si="6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>
      <c r="A6" s="47">
        <v>40011005</v>
      </c>
      <c r="B6" s="47" t="s">
        <v>215</v>
      </c>
      <c r="C6" s="50">
        <v>3</v>
      </c>
      <c r="D6" s="50" t="s">
        <v>128</v>
      </c>
      <c r="E6" s="51" t="s">
        <v>216</v>
      </c>
      <c r="F6" s="51" t="s">
        <v>217</v>
      </c>
      <c r="G6" s="63" t="str">
        <f t="shared" si="0"/>
        <v>[effect:nothing]</v>
      </c>
      <c r="H6" s="63">
        <f t="shared" si="1"/>
        <v>9</v>
      </c>
      <c r="I6" s="63">
        <f t="shared" si="2"/>
        <v>16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IFERROR(VLOOKUP(MID(G6,J6,K6-J6),[6]skilldef!$C:$D,2,FALSE),"-") &amp; " / " &amp; IFERROR(VLOOKUP(MID(G6,H6,I6-H6),[6]skilldef!$A:$B,2,FALSE),"-")</f>
        <v>- / 何もしない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>
      <c r="A7" s="47">
        <v>40011006</v>
      </c>
      <c r="B7" s="47" t="s">
        <v>237</v>
      </c>
      <c r="C7" s="50">
        <v>3</v>
      </c>
      <c r="D7" s="50" t="s">
        <v>128</v>
      </c>
      <c r="E7" s="51" t="s">
        <v>251</v>
      </c>
      <c r="F7" s="51" t="s">
        <v>252</v>
      </c>
      <c r="G7" s="63" t="str">
        <f t="shared" si="0"/>
        <v>[effect:enhance_enemy, target:myself, turn:5, status:defense, val:2000, calc:add, animation:enemy_enhance_defense]</v>
      </c>
      <c r="H7" s="63">
        <f t="shared" si="1"/>
        <v>9</v>
      </c>
      <c r="I7" s="63">
        <f t="shared" si="2"/>
        <v>22</v>
      </c>
      <c r="J7" s="63">
        <f t="shared" si="3"/>
        <v>31</v>
      </c>
      <c r="K7" s="63">
        <f t="shared" si="4"/>
        <v>37</v>
      </c>
      <c r="L7" s="63" t="str">
        <f>IFERROR(VLOOKUP(MID(G7,J7,K7-J7),[6]skilldef!$C:$D,2,FALSE),"-") &amp; " / " &amp; IFERROR(VLOOKUP(MID(G7,H7,I7-H7),[6]skilldef!$A:$B,2,FALSE),"-")</f>
        <v>自分自身に / ステータス強化</v>
      </c>
      <c r="M7" s="63" t="str">
        <f t="shared" si="5"/>
        <v>none</v>
      </c>
      <c r="N7" s="48" t="str">
        <f>IFERROR(LEFT(M7,FIND("],",M7)+S17),M7)</f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>
      <c r="A8" s="47">
        <v>40011007</v>
      </c>
      <c r="B8" s="47" t="s">
        <v>234</v>
      </c>
      <c r="C8" s="50">
        <v>3</v>
      </c>
      <c r="D8" s="50" t="s">
        <v>128</v>
      </c>
      <c r="E8" s="51" t="s">
        <v>250</v>
      </c>
      <c r="F8" s="51" t="s">
        <v>227</v>
      </c>
      <c r="G8" s="63" t="str">
        <f t="shared" si="0"/>
        <v>[effect:rush, count:4, val:0.35]</v>
      </c>
      <c r="H8" s="63">
        <f t="shared" si="1"/>
        <v>9</v>
      </c>
      <c r="I8" s="63">
        <f t="shared" si="2"/>
        <v>13</v>
      </c>
      <c r="J8" s="63" t="e">
        <f t="shared" si="3"/>
        <v>#VALUE!</v>
      </c>
      <c r="K8" s="63">
        <f t="shared" si="4"/>
        <v>22</v>
      </c>
      <c r="L8" s="63" t="str">
        <f>IFERROR(VLOOKUP(MID(G8,J8,K8-J8),[6]skilldef!$C:$D,2,FALSE),"-") &amp; " / " &amp; IFERROR(VLOOKUP(MID(G8,H8,I8-H8),[6]skilldef!$A:$B,2,FALSE),"-")</f>
        <v>- / 連続攻撃</v>
      </c>
      <c r="M8" s="63" t="str">
        <f t="shared" si="5"/>
        <v>none</v>
      </c>
      <c r="N8" s="48" t="str">
        <f>IFERROR(LEFT(M8,FIND("],",M8)+S18),M8)</f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>
      <c r="A9" s="47">
        <v>40011008</v>
      </c>
      <c r="B9" s="47" t="s">
        <v>215</v>
      </c>
      <c r="C9" s="50">
        <v>3</v>
      </c>
      <c r="D9" s="50" t="s">
        <v>128</v>
      </c>
      <c r="E9" s="51" t="s">
        <v>218</v>
      </c>
      <c r="F9" s="51" t="s">
        <v>217</v>
      </c>
      <c r="G9" s="63" t="str">
        <f t="shared" si="0"/>
        <v>[effect:nothing]</v>
      </c>
      <c r="H9" s="63">
        <f t="shared" si="1"/>
        <v>9</v>
      </c>
      <c r="I9" s="63">
        <f t="shared" si="2"/>
        <v>16</v>
      </c>
      <c r="J9" s="63" t="e">
        <f t="shared" si="3"/>
        <v>#VALUE!</v>
      </c>
      <c r="K9" s="63" t="e">
        <f t="shared" si="4"/>
        <v>#VALUE!</v>
      </c>
      <c r="L9" s="63" t="str">
        <f>IFERROR(VLOOKUP(MID(G9,J9,K9-J9),[6]skilldef!$C:$D,2,FALSE),"-") &amp; " / " &amp; IFERROR(VLOOKUP(MID(G9,H9,I9-H9),[6]skilldef!$A:$B,2,FALSE),"-")</f>
        <v>- / 何もしない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>
      <c r="A10" s="47">
        <v>40011009</v>
      </c>
      <c r="B10" s="47" t="s">
        <v>215</v>
      </c>
      <c r="C10" s="50">
        <v>3</v>
      </c>
      <c r="D10" s="50" t="s">
        <v>128</v>
      </c>
      <c r="E10" s="51" t="s">
        <v>218</v>
      </c>
      <c r="F10" s="51" t="s">
        <v>217</v>
      </c>
      <c r="G10" s="63" t="str">
        <f t="shared" si="0"/>
        <v>[effect:nothing]</v>
      </c>
      <c r="H10" s="63">
        <f t="shared" si="1"/>
        <v>9</v>
      </c>
      <c r="I10" s="63">
        <f t="shared" si="2"/>
        <v>16</v>
      </c>
      <c r="J10" s="63" t="e">
        <f t="shared" si="3"/>
        <v>#VALUE!</v>
      </c>
      <c r="K10" s="63" t="e">
        <f t="shared" si="4"/>
        <v>#VALUE!</v>
      </c>
      <c r="L10" s="63" t="str">
        <f>IFERROR(VLOOKUP(MID(G10,J10,K10-J10),[6]skilldef!$C:$D,2,FALSE),"-") &amp; " / " &amp; IFERROR(VLOOKUP(MID(G10,H10,I10-H10),[6]skilldef!$A:$B,2,FALSE),"-")</f>
        <v>- / 何もしない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>
      <c r="A11" s="47">
        <v>40011010</v>
      </c>
      <c r="B11" s="47" t="s">
        <v>215</v>
      </c>
      <c r="C11" s="50">
        <v>3</v>
      </c>
      <c r="D11" s="50" t="s">
        <v>128</v>
      </c>
      <c r="E11" s="51" t="s">
        <v>218</v>
      </c>
      <c r="F11" s="51" t="s">
        <v>217</v>
      </c>
      <c r="G11" s="63" t="str">
        <f t="shared" si="0"/>
        <v>[effect:nothing]</v>
      </c>
      <c r="H11" s="63">
        <f t="shared" si="1"/>
        <v>9</v>
      </c>
      <c r="I11" s="63">
        <f t="shared" si="2"/>
        <v>16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IFERROR(VLOOKUP(MID(G11,J11,K11-J11),[6]skilldef!$C:$D,2,FALSE),"-") &amp; " / " &amp; IFERROR(VLOOKUP(MID(G11,H11,I11-H11),[6]skilldef!$A:$B,2,FALSE),"-")</f>
        <v>- / 何もしない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>
      <c r="A12" s="47">
        <v>40011011</v>
      </c>
      <c r="B12" s="47" t="s">
        <v>238</v>
      </c>
      <c r="C12" s="50">
        <v>3</v>
      </c>
      <c r="D12" s="50" t="s">
        <v>128</v>
      </c>
      <c r="E12" s="47" t="s">
        <v>253</v>
      </c>
      <c r="F12" s="47" t="s">
        <v>254</v>
      </c>
      <c r="G12" s="63" t="str">
        <f t="shared" si="0"/>
        <v>[effect:charge, status:attack, val:1]</v>
      </c>
      <c r="H12" s="63">
        <f t="shared" si="1"/>
        <v>9</v>
      </c>
      <c r="I12" s="63">
        <f t="shared" si="2"/>
        <v>15</v>
      </c>
      <c r="J12" s="63" t="e">
        <f t="shared" si="3"/>
        <v>#VALUE!</v>
      </c>
      <c r="K12" s="63">
        <f t="shared" si="4"/>
        <v>30</v>
      </c>
      <c r="L12" s="63" t="str">
        <f>IFERROR(VLOOKUP(MID(G12,J12,K12-J12),[6]skilldef!$C:$D,2,FALSE),"-") &amp; " / " &amp; IFERROR(VLOOKUP(MID(G12,H12,I12-H12),[6]skilldef!$A:$B,2,FALSE),"-")</f>
        <v>- / 溜め</v>
      </c>
      <c r="M12" s="63" t="str">
        <f t="shared" si="5"/>
        <v>none</v>
      </c>
      <c r="N12" s="48" t="str">
        <f t="shared" si="6"/>
        <v>none</v>
      </c>
      <c r="O12" s="63" t="e">
        <f t="shared" si="7"/>
        <v>#VALUE!</v>
      </c>
      <c r="P12" s="63">
        <f t="shared" si="8"/>
        <v>4</v>
      </c>
      <c r="Q12" s="63" t="e">
        <f t="shared" si="9"/>
        <v>#VALUE!</v>
      </c>
      <c r="R12" s="63" t="e">
        <f t="shared" si="1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>
      <c r="A13" s="47">
        <v>40011012</v>
      </c>
      <c r="B13" s="47" t="s">
        <v>215</v>
      </c>
      <c r="C13" s="50">
        <v>3</v>
      </c>
      <c r="D13" s="50" t="s">
        <v>128</v>
      </c>
      <c r="E13" s="51" t="s">
        <v>219</v>
      </c>
      <c r="F13" s="51" t="s">
        <v>217</v>
      </c>
      <c r="G13" s="63" t="str">
        <f t="shared" si="0"/>
        <v>[effect:nothing]</v>
      </c>
      <c r="H13" s="63">
        <f t="shared" si="1"/>
        <v>9</v>
      </c>
      <c r="I13" s="63">
        <f t="shared" si="2"/>
        <v>16</v>
      </c>
      <c r="J13" s="63" t="e">
        <f t="shared" si="3"/>
        <v>#VALUE!</v>
      </c>
      <c r="K13" s="63" t="e">
        <f t="shared" si="4"/>
        <v>#VALUE!</v>
      </c>
      <c r="L13" s="63" t="str">
        <f>IFERROR(VLOOKUP(MID(G13,J13,K13-J13),[6]skilldef!$C:$D,2,FALSE),"-") &amp; " / " &amp; IFERROR(VLOOKUP(MID(G13,H13,I13-H13),[6]skilldef!$A:$B,2,FALSE),"-")</f>
        <v>- / 何もしない</v>
      </c>
      <c r="M13" s="63" t="str">
        <f t="shared" si="5"/>
        <v>none</v>
      </c>
      <c r="N13" s="48" t="str">
        <f t="shared" si="6"/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>
      <c r="A14" s="47">
        <v>40011013</v>
      </c>
      <c r="B14" s="47" t="s">
        <v>215</v>
      </c>
      <c r="C14" s="50">
        <v>3</v>
      </c>
      <c r="D14" s="50" t="s">
        <v>128</v>
      </c>
      <c r="E14" s="51" t="s">
        <v>219</v>
      </c>
      <c r="F14" s="51" t="s">
        <v>217</v>
      </c>
      <c r="G14" s="63" t="str">
        <f t="shared" si="0"/>
        <v>[effect:nothing]</v>
      </c>
      <c r="H14" s="63">
        <f t="shared" si="1"/>
        <v>9</v>
      </c>
      <c r="I14" s="63">
        <f t="shared" si="2"/>
        <v>16</v>
      </c>
      <c r="J14" s="63" t="e">
        <f t="shared" si="3"/>
        <v>#VALUE!</v>
      </c>
      <c r="K14" s="63" t="e">
        <f t="shared" si="4"/>
        <v>#VALUE!</v>
      </c>
      <c r="L14" s="63" t="str">
        <f>IFERROR(VLOOKUP(MID(G14,J14,K14-J14),[6]skilldef!$C:$D,2,FALSE),"-") &amp; " / " &amp; IFERROR(VLOOKUP(MID(G14,H14,I14-H14),[6]skilldef!$A:$B,2,FALSE),"-")</f>
        <v>- / 何もしない</v>
      </c>
      <c r="M14" s="63" t="str">
        <f t="shared" si="5"/>
        <v>none</v>
      </c>
      <c r="N14" s="48" t="str">
        <f t="shared" si="6"/>
        <v>none</v>
      </c>
      <c r="O14" s="63" t="e">
        <f t="shared" si="7"/>
        <v>#VALUE!</v>
      </c>
      <c r="P14" s="63">
        <f t="shared" si="8"/>
        <v>4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>
      <c r="A15" s="47">
        <v>40011014</v>
      </c>
      <c r="B15" s="47" t="s">
        <v>215</v>
      </c>
      <c r="C15" s="50">
        <v>3</v>
      </c>
      <c r="D15" s="50" t="s">
        <v>128</v>
      </c>
      <c r="E15" s="51" t="s">
        <v>219</v>
      </c>
      <c r="F15" s="51" t="s">
        <v>217</v>
      </c>
      <c r="G15" s="63" t="str">
        <f t="shared" si="0"/>
        <v>[effect:nothing]</v>
      </c>
      <c r="H15" s="63">
        <f t="shared" si="1"/>
        <v>9</v>
      </c>
      <c r="I15" s="63">
        <f t="shared" si="2"/>
        <v>16</v>
      </c>
      <c r="J15" s="63" t="e">
        <f t="shared" si="3"/>
        <v>#VALUE!</v>
      </c>
      <c r="K15" s="63" t="e">
        <f t="shared" si="4"/>
        <v>#VALUE!</v>
      </c>
      <c r="L15" s="63" t="str">
        <f>IFERROR(VLOOKUP(MID(G15,J15,K15-J15),[6]skilldef!$C:$D,2,FALSE),"-") &amp; " / " &amp; IFERROR(VLOOKUP(MID(G15,H15,I15-H15),[6]skilldef!$A:$B,2,FALSE),"-")</f>
        <v>- / 何もしない</v>
      </c>
      <c r="M15" s="63" t="str">
        <f t="shared" si="5"/>
        <v>none</v>
      </c>
      <c r="N15" s="48" t="str">
        <f t="shared" si="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>
      <c r="A16" s="47">
        <v>40011015</v>
      </c>
      <c r="B16" s="47" t="s">
        <v>215</v>
      </c>
      <c r="C16" s="50">
        <v>3</v>
      </c>
      <c r="D16" s="50" t="s">
        <v>128</v>
      </c>
      <c r="E16" s="51" t="s">
        <v>219</v>
      </c>
      <c r="F16" s="51" t="s">
        <v>217</v>
      </c>
      <c r="G16" s="63" t="str">
        <f t="shared" si="0"/>
        <v>[effect:nothing]</v>
      </c>
      <c r="H16" s="63">
        <f t="shared" si="1"/>
        <v>9</v>
      </c>
      <c r="I16" s="63">
        <f t="shared" si="2"/>
        <v>16</v>
      </c>
      <c r="J16" s="63" t="e">
        <f t="shared" si="3"/>
        <v>#VALUE!</v>
      </c>
      <c r="K16" s="63" t="e">
        <f t="shared" si="4"/>
        <v>#VALUE!</v>
      </c>
      <c r="L16" s="63" t="str">
        <f>IFERROR(VLOOKUP(MID(G16,J16,K16-J16),[6]skilldef!$C:$D,2,FALSE),"-") &amp; " / " &amp; IFERROR(VLOOKUP(MID(G16,H16,I16-H16),[6]skilldef!$A:$B,2,FALSE),"-")</f>
        <v>- / 何もしない</v>
      </c>
      <c r="M16" s="63" t="str">
        <f t="shared" si="5"/>
        <v>none</v>
      </c>
      <c r="N16" s="48" t="str">
        <f t="shared" si="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>
      <c r="A17" s="47">
        <v>40011016</v>
      </c>
      <c r="B17" s="47" t="s">
        <v>240</v>
      </c>
      <c r="C17" s="50">
        <v>3</v>
      </c>
      <c r="D17" s="50" t="s">
        <v>128</v>
      </c>
      <c r="E17" s="51" t="s">
        <v>255</v>
      </c>
      <c r="F17" s="51" t="s">
        <v>256</v>
      </c>
      <c r="G17" s="63" t="str">
        <f t="shared" si="0"/>
        <v>[effect:damage_anti_tribe, target:unit_all, tribe:god, val1:0.7, val2:0.2]</v>
      </c>
      <c r="H17" s="63">
        <f t="shared" si="1"/>
        <v>9</v>
      </c>
      <c r="I17" s="63">
        <f t="shared" si="2"/>
        <v>26</v>
      </c>
      <c r="J17" s="63">
        <f t="shared" si="3"/>
        <v>35</v>
      </c>
      <c r="K17" s="63">
        <f t="shared" si="4"/>
        <v>43</v>
      </c>
      <c r="L17" s="63" t="str">
        <f>IFERROR(VLOOKUP(MID(G17,J17,K17-J17),[6]skilldef!$C:$D,2,FALSE),"-") &amp; " / " &amp; IFERROR(VLOOKUP(MID(G17,H17,I17-H17),[6]skilldef!$A:$B,2,FALSE),"-")</f>
        <v>味方全体に / 種族キラー</v>
      </c>
      <c r="M17" s="63" t="str">
        <f t="shared" si="5"/>
        <v>none</v>
      </c>
      <c r="N17" s="48" t="str">
        <f t="shared" si="6"/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>
      <c r="A18" s="47">
        <v>40011017</v>
      </c>
      <c r="B18" s="47" t="s">
        <v>233</v>
      </c>
      <c r="C18" s="50">
        <v>3</v>
      </c>
      <c r="D18" s="50" t="s">
        <v>128</v>
      </c>
      <c r="E18" s="51" t="s">
        <v>257</v>
      </c>
      <c r="F18" s="51" t="s">
        <v>252</v>
      </c>
      <c r="G18" s="63" t="str">
        <f t="shared" si="0"/>
        <v>[effect:enhance_enemy, target:myself, turn:5, status:defense, val:2000, calc:add, animation:enemy_enhance_defense]</v>
      </c>
      <c r="H18" s="63">
        <f t="shared" si="1"/>
        <v>9</v>
      </c>
      <c r="I18" s="63">
        <f t="shared" si="2"/>
        <v>22</v>
      </c>
      <c r="J18" s="63">
        <f t="shared" si="3"/>
        <v>31</v>
      </c>
      <c r="K18" s="63">
        <f t="shared" si="4"/>
        <v>37</v>
      </c>
      <c r="L18" s="63" t="str">
        <f>IFERROR(VLOOKUP(MID(G18,J18,K18-J18),[6]skilldef!$C:$D,2,FALSE),"-") &amp; " / " &amp; IFERROR(VLOOKUP(MID(G18,H18,I18-H18),[6]skilldef!$A:$B,2,FALSE),"-")</f>
        <v>自分自身に / ステータス強化</v>
      </c>
      <c r="M18" s="63" t="str">
        <f t="shared" si="5"/>
        <v>none</v>
      </c>
      <c r="N18" s="48" t="str">
        <f t="shared" si="6"/>
        <v>none</v>
      </c>
      <c r="O18" s="63" t="e">
        <f t="shared" si="7"/>
        <v>#VALUE!</v>
      </c>
      <c r="P18" s="63">
        <f t="shared" si="8"/>
        <v>4</v>
      </c>
      <c r="Q18" s="63" t="e">
        <f t="shared" si="9"/>
        <v>#VALUE!</v>
      </c>
      <c r="R18" s="63" t="e">
        <f t="shared" si="10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1"/>
        <v>none</v>
      </c>
      <c r="U18" s="63" t="e">
        <f t="shared" si="12"/>
        <v>#VALUE!</v>
      </c>
      <c r="V18" s="63">
        <f t="shared" si="13"/>
        <v>4</v>
      </c>
      <c r="W18" s="63" t="e">
        <f t="shared" si="14"/>
        <v>#VALUE!</v>
      </c>
      <c r="X18" s="63" t="e">
        <f t="shared" si="15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>
      <c r="A19" s="47">
        <v>40011018</v>
      </c>
      <c r="B19" s="47" t="s">
        <v>235</v>
      </c>
      <c r="C19" s="50">
        <v>3</v>
      </c>
      <c r="D19" s="50" t="s">
        <v>128</v>
      </c>
      <c r="E19" s="51" t="s">
        <v>261</v>
      </c>
      <c r="F19" s="51" t="s">
        <v>229</v>
      </c>
      <c r="G19" s="63" t="str">
        <f t="shared" si="0"/>
        <v>[effect:critical, val:1.5]</v>
      </c>
      <c r="H19" s="63">
        <f t="shared" si="1"/>
        <v>9</v>
      </c>
      <c r="I19" s="63">
        <f t="shared" si="2"/>
        <v>17</v>
      </c>
      <c r="J19" s="63" t="e">
        <f t="shared" si="3"/>
        <v>#VALUE!</v>
      </c>
      <c r="K19" s="63" t="e">
        <f t="shared" si="4"/>
        <v>#VALUE!</v>
      </c>
      <c r="L19" s="63" t="str">
        <f>IFERROR(VLOOKUP(MID(G19,J19,K19-J19),[6]skilldef!$C:$D,2,FALSE),"-") &amp; " / " &amp; IFERROR(VLOOKUP(MID(G19,H19,I19-H19),[6]skilldef!$A:$B,2,FALSE),"-")</f>
        <v>- / 大攻撃</v>
      </c>
      <c r="M19" s="63" t="str">
        <f t="shared" si="5"/>
        <v>none</v>
      </c>
      <c r="N19" s="48" t="str">
        <f t="shared" si="6"/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>
      <c r="A20" s="47">
        <v>40011019</v>
      </c>
      <c r="B20" s="47" t="s">
        <v>215</v>
      </c>
      <c r="C20" s="50">
        <v>3</v>
      </c>
      <c r="D20" s="50" t="s">
        <v>128</v>
      </c>
      <c r="E20" s="51" t="s">
        <v>220</v>
      </c>
      <c r="F20" s="51" t="s">
        <v>217</v>
      </c>
      <c r="G20" s="63" t="str">
        <f t="shared" si="0"/>
        <v>[effect:nothing]</v>
      </c>
      <c r="H20" s="63">
        <f t="shared" si="1"/>
        <v>9</v>
      </c>
      <c r="I20" s="63">
        <f t="shared" si="2"/>
        <v>16</v>
      </c>
      <c r="J20" s="63" t="e">
        <f t="shared" si="3"/>
        <v>#VALUE!</v>
      </c>
      <c r="K20" s="63" t="e">
        <f t="shared" si="4"/>
        <v>#VALUE!</v>
      </c>
      <c r="L20" s="63" t="str">
        <f>IFERROR(VLOOKUP(MID(G20,J20,K20-J20),[6]skilldef!$C:$D,2,FALSE),"-") &amp; " / " &amp; IFERROR(VLOOKUP(MID(G20,H20,I20-H20),[6]skilldef!$A:$B,2,FALSE),"-")</f>
        <v>- / 何もしない</v>
      </c>
      <c r="M20" s="63" t="str">
        <f t="shared" si="5"/>
        <v>none</v>
      </c>
      <c r="N20" s="48" t="str">
        <f t="shared" si="6"/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>
      <c r="A21" s="47">
        <v>40011020</v>
      </c>
      <c r="B21" s="47" t="s">
        <v>215</v>
      </c>
      <c r="C21" s="50">
        <v>3</v>
      </c>
      <c r="D21" s="50" t="s">
        <v>128</v>
      </c>
      <c r="E21" s="51" t="s">
        <v>220</v>
      </c>
      <c r="F21" s="51" t="s">
        <v>217</v>
      </c>
      <c r="G21" s="63" t="str">
        <f t="shared" si="0"/>
        <v>[effect:nothing]</v>
      </c>
      <c r="H21" s="63">
        <f t="shared" si="1"/>
        <v>9</v>
      </c>
      <c r="I21" s="63">
        <f t="shared" si="2"/>
        <v>16</v>
      </c>
      <c r="J21" s="63" t="e">
        <f t="shared" si="3"/>
        <v>#VALUE!</v>
      </c>
      <c r="K21" s="63" t="e">
        <f t="shared" si="4"/>
        <v>#VALUE!</v>
      </c>
      <c r="L21" s="63" t="str">
        <f>IFERROR(VLOOKUP(MID(G21,J21,K21-J21),[6]skilldef!$C:$D,2,FALSE),"-") &amp; " / " &amp; IFERROR(VLOOKUP(MID(G21,H21,I21-H21),[6]skilldef!$A:$B,2,FALSE),"-")</f>
        <v>- / 何もしない</v>
      </c>
      <c r="M21" s="63" t="str">
        <f t="shared" si="5"/>
        <v>none</v>
      </c>
      <c r="N21" s="48" t="str">
        <f t="shared" si="6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>
      <c r="A22" s="47">
        <v>40011021</v>
      </c>
      <c r="B22" s="47" t="s">
        <v>293</v>
      </c>
      <c r="C22" s="50">
        <v>3</v>
      </c>
      <c r="D22" s="50" t="s">
        <v>128</v>
      </c>
      <c r="E22" s="51" t="s">
        <v>259</v>
      </c>
      <c r="F22" s="51" t="s">
        <v>294</v>
      </c>
      <c r="G22" s="63" t="str">
        <f t="shared" si="0"/>
        <v>[effect:tolerance, target:myself, turn:-1, tolerance_effect:virus, count:-1]</v>
      </c>
      <c r="H22" s="63">
        <f t="shared" si="1"/>
        <v>9</v>
      </c>
      <c r="I22" s="63">
        <f t="shared" si="2"/>
        <v>18</v>
      </c>
      <c r="J22" s="63">
        <f t="shared" si="3"/>
        <v>27</v>
      </c>
      <c r="K22" s="63">
        <f t="shared" si="4"/>
        <v>33</v>
      </c>
      <c r="L22" s="63" t="str">
        <f>IFERROR(VLOOKUP(MID(G22,J22,K22-J22),[6]skilldef!$C:$D,2,FALSE),"-") &amp; " / " &amp; IFERROR(VLOOKUP(MID(G22,H22,I22-H22),[6]skilldef!$A:$B,2,FALSE),"-")</f>
        <v>自分自身に / 状態異常耐性</v>
      </c>
      <c r="M22" s="63" t="str">
        <f t="shared" si="5"/>
        <v>[effect:tolerance, target:myself, turn:-1, tolerance_effect:sleep, count:-1],[effect:tolerance, target:myself, turn:-1, tolerance_effect:hungup, count:-1, animation:enemy_tolerance],[effect:enemy_counter, target:myself, invoke_condition:unit_all, counter_target:attacker, turn:1, val:1.5, animation:enemy_counter]</v>
      </c>
      <c r="N22" s="48" t="str">
        <f t="shared" si="6"/>
        <v>[effect:tolerance, target:myself, turn:-1, tolerance_effect:sleep, count:-1],[effect:tolerance, target:myself, turn:-1, tolerance_effect:hungup, count:-1, animation:enemy_tolerance],[effect:enemy_counter, target:myself, invoke_condition:unit_all, counter_target:attacker, turn:1, val:1.5, animation:enemy_counter]</v>
      </c>
      <c r="O22" s="63">
        <f t="shared" si="7"/>
        <v>9</v>
      </c>
      <c r="P22" s="63">
        <f t="shared" si="8"/>
        <v>18</v>
      </c>
      <c r="Q22" s="63">
        <f t="shared" si="9"/>
        <v>27</v>
      </c>
      <c r="R22" s="63">
        <f t="shared" si="10"/>
        <v>33</v>
      </c>
      <c r="S22" s="63" t="str">
        <f>IFERROR(VLOOKUP(MID(N22,Q22,R22-Q22),[6]skilldef!$C:$D,2,FALSE),"-") &amp; " / " &amp; IFERROR(VLOOKUP(MID(N22,O22,P22-O22),[6]skilldef!$A:$B,2,FALSE),"-")</f>
        <v>自分自身に / 状態異常耐性</v>
      </c>
      <c r="T22" s="48" t="str">
        <f t="shared" si="11"/>
        <v>[effect:tolerance, target:myself, turn:-1, tolerance_effect:hungup, count:-1, animation:enemy_tolerance],[effect:enemy_counter, target:myself, invoke_condition:unit_all, counter_target:attacker, turn:1, val:1.5, animation:enemy_counter]</v>
      </c>
      <c r="U22" s="63">
        <f t="shared" si="12"/>
        <v>9</v>
      </c>
      <c r="V22" s="63">
        <f t="shared" si="13"/>
        <v>18</v>
      </c>
      <c r="W22" s="63">
        <f t="shared" si="14"/>
        <v>27</v>
      </c>
      <c r="X22" s="63">
        <f t="shared" si="15"/>
        <v>33</v>
      </c>
      <c r="Y22" s="63" t="str">
        <f>IFERROR(VLOOKUP(MID(T22,W22,X22-W22),[6]skilldef!$C:$D,2,FALSE),"-") &amp; " / " &amp; IFERROR(VLOOKUP(MID(T22,U22,V22-U22),[6]skilldef!$A:$B,2,FALSE),"-")</f>
        <v>自分自身に / 状態異常耐性</v>
      </c>
      <c r="Z22" s="50"/>
      <c r="AA22" s="52"/>
      <c r="AB22" s="50"/>
    </row>
    <row r="23" spans="1:28" ht="21" customHeight="1">
      <c r="A23" s="47">
        <v>40011022</v>
      </c>
      <c r="B23" s="47" t="s">
        <v>240</v>
      </c>
      <c r="C23" s="50">
        <v>3</v>
      </c>
      <c r="D23" s="50" t="s">
        <v>128</v>
      </c>
      <c r="E23" s="51" t="s">
        <v>255</v>
      </c>
      <c r="F23" s="51" t="s">
        <v>256</v>
      </c>
      <c r="G23" s="63" t="str">
        <f t="shared" si="0"/>
        <v>[effect:damage_anti_tribe, target:unit_all, tribe:god, val1:0.7, val2:0.2]</v>
      </c>
      <c r="H23" s="63">
        <f t="shared" si="1"/>
        <v>9</v>
      </c>
      <c r="I23" s="63">
        <f t="shared" si="2"/>
        <v>26</v>
      </c>
      <c r="J23" s="63">
        <f t="shared" si="3"/>
        <v>35</v>
      </c>
      <c r="K23" s="63">
        <f t="shared" si="4"/>
        <v>43</v>
      </c>
      <c r="L23" s="63" t="str">
        <f>IFERROR(VLOOKUP(MID(G23,J23,K23-J23),[6]skilldef!$C:$D,2,FALSE),"-") &amp; " / " &amp; IFERROR(VLOOKUP(MID(G23,H23,I23-H23),[6]skilldef!$A:$B,2,FALSE),"-")</f>
        <v>味方全体に / 種族キラー</v>
      </c>
      <c r="M23" s="63" t="str">
        <f t="shared" si="5"/>
        <v>none</v>
      </c>
      <c r="N23" s="48" t="str">
        <f t="shared" si="6"/>
        <v>none</v>
      </c>
      <c r="O23" s="63" t="e">
        <f t="shared" si="7"/>
        <v>#VALUE!</v>
      </c>
      <c r="P23" s="63">
        <f t="shared" si="8"/>
        <v>4</v>
      </c>
      <c r="Q23" s="63" t="e">
        <f t="shared" si="9"/>
        <v>#VALUE!</v>
      </c>
      <c r="R23" s="63" t="e">
        <f t="shared" si="10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>
      <c r="A24" s="47">
        <v>40011023</v>
      </c>
      <c r="B24" s="47" t="s">
        <v>262</v>
      </c>
      <c r="C24" s="50">
        <v>3</v>
      </c>
      <c r="D24" s="50" t="s">
        <v>128</v>
      </c>
      <c r="E24" s="51" t="s">
        <v>258</v>
      </c>
      <c r="F24" s="51" t="s">
        <v>275</v>
      </c>
      <c r="G24" s="63" t="str">
        <f t="shared" si="0"/>
        <v>[effect:enhance_enemy, target:myself, turn:3, status:attack, val:1.2, calc:mul, animation:enemy_enhance_attack]</v>
      </c>
      <c r="H24" s="63">
        <f t="shared" si="1"/>
        <v>9</v>
      </c>
      <c r="I24" s="63">
        <f t="shared" si="2"/>
        <v>22</v>
      </c>
      <c r="J24" s="63">
        <f t="shared" si="3"/>
        <v>31</v>
      </c>
      <c r="K24" s="63">
        <f t="shared" si="4"/>
        <v>37</v>
      </c>
      <c r="L24" s="63" t="str">
        <f>IFERROR(VLOOKUP(MID(G24,J24,K24-J24),[6]skilldef!$C:$D,2,FALSE),"-") &amp; " / " &amp; IFERROR(VLOOKUP(MID(G24,H24,I24-H24),[6]skilldef!$A:$B,2,FALSE),"-")</f>
        <v>自分自身に / ステータス強化</v>
      </c>
      <c r="M24" s="63" t="str">
        <f t="shared" si="5"/>
        <v>none</v>
      </c>
      <c r="N24" s="48" t="str">
        <f t="shared" si="6"/>
        <v>none</v>
      </c>
      <c r="O24" s="63" t="e">
        <f t="shared" si="7"/>
        <v>#VALUE!</v>
      </c>
      <c r="P24" s="63">
        <f t="shared" si="8"/>
        <v>4</v>
      </c>
      <c r="Q24" s="63" t="e">
        <f t="shared" si="9"/>
        <v>#VALUE!</v>
      </c>
      <c r="R24" s="63" t="e">
        <f t="shared" si="10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>
      <c r="A25" s="47">
        <v>40011024</v>
      </c>
      <c r="B25" s="47" t="s">
        <v>279</v>
      </c>
      <c r="C25" s="50">
        <v>3</v>
      </c>
      <c r="D25" s="50" t="s">
        <v>128</v>
      </c>
      <c r="E25" s="51" t="s">
        <v>278</v>
      </c>
      <c r="F25" s="51" t="s">
        <v>228</v>
      </c>
      <c r="G25" s="63" t="str">
        <f t="shared" si="0"/>
        <v>[effect:rush, count:3, val:0.4]</v>
      </c>
      <c r="H25" s="63">
        <f t="shared" si="1"/>
        <v>9</v>
      </c>
      <c r="I25" s="63">
        <f t="shared" si="2"/>
        <v>13</v>
      </c>
      <c r="J25" s="63" t="e">
        <f t="shared" si="3"/>
        <v>#VALUE!</v>
      </c>
      <c r="K25" s="63">
        <f t="shared" si="4"/>
        <v>22</v>
      </c>
      <c r="L25" s="63" t="str">
        <f>IFERROR(VLOOKUP(MID(G25,J25,K25-J25),[6]skilldef!$C:$D,2,FALSE),"-") &amp; " / " &amp; IFERROR(VLOOKUP(MID(G25,H25,I25-H25),[6]skilldef!$A:$B,2,FALSE),"-")</f>
        <v>- / 連続攻撃</v>
      </c>
      <c r="M25" s="63" t="str">
        <f t="shared" si="5"/>
        <v>none</v>
      </c>
      <c r="N25" s="48" t="str">
        <f t="shared" si="6"/>
        <v>none</v>
      </c>
      <c r="O25" s="63" t="e">
        <f t="shared" si="7"/>
        <v>#VALUE!</v>
      </c>
      <c r="P25" s="63">
        <f t="shared" si="8"/>
        <v>4</v>
      </c>
      <c r="Q25" s="63" t="e">
        <f t="shared" si="9"/>
        <v>#VALUE!</v>
      </c>
      <c r="R25" s="63" t="e">
        <f t="shared" si="10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>
      <c r="A26" s="47">
        <v>40011025</v>
      </c>
      <c r="B26" s="47" t="s">
        <v>215</v>
      </c>
      <c r="C26" s="50">
        <v>3</v>
      </c>
      <c r="D26" s="50" t="s">
        <v>128</v>
      </c>
      <c r="E26" s="51" t="s">
        <v>221</v>
      </c>
      <c r="F26" s="51" t="s">
        <v>217</v>
      </c>
      <c r="G26" s="63" t="str">
        <f t="shared" si="0"/>
        <v>[effect:nothing]</v>
      </c>
      <c r="H26" s="63">
        <f t="shared" si="1"/>
        <v>9</v>
      </c>
      <c r="I26" s="63">
        <f t="shared" si="2"/>
        <v>16</v>
      </c>
      <c r="J26" s="63" t="e">
        <f t="shared" si="3"/>
        <v>#VALUE!</v>
      </c>
      <c r="K26" s="63" t="e">
        <f t="shared" si="4"/>
        <v>#VALUE!</v>
      </c>
      <c r="L26" s="63" t="str">
        <f>IFERROR(VLOOKUP(MID(G26,J26,K26-J26),[6]skilldef!$C:$D,2,FALSE),"-") &amp; " / " &amp; IFERROR(VLOOKUP(MID(G26,H26,I26-H26),[6]skilldef!$A:$B,2,FALSE),"-")</f>
        <v>- / 何もしない</v>
      </c>
      <c r="M26" s="63" t="str">
        <f t="shared" si="5"/>
        <v>none</v>
      </c>
      <c r="N26" s="48" t="str">
        <f t="shared" si="6"/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>
      <c r="A27" s="47">
        <v>40011026</v>
      </c>
      <c r="B27" s="47" t="s">
        <v>235</v>
      </c>
      <c r="C27" s="50">
        <v>3</v>
      </c>
      <c r="D27" s="50" t="s">
        <v>128</v>
      </c>
      <c r="E27" s="51" t="s">
        <v>260</v>
      </c>
      <c r="F27" s="51" t="s">
        <v>229</v>
      </c>
      <c r="G27" s="63" t="str">
        <f t="shared" si="0"/>
        <v>[effect:critical, val:1.5]</v>
      </c>
      <c r="H27" s="63">
        <f t="shared" si="1"/>
        <v>9</v>
      </c>
      <c r="I27" s="63">
        <f t="shared" si="2"/>
        <v>17</v>
      </c>
      <c r="J27" s="63" t="e">
        <f t="shared" si="3"/>
        <v>#VALUE!</v>
      </c>
      <c r="K27" s="63" t="e">
        <f t="shared" si="4"/>
        <v>#VALUE!</v>
      </c>
      <c r="L27" s="63" t="str">
        <f>IFERROR(VLOOKUP(MID(G27,J27,K27-J27),[6]skilldef!$C:$D,2,FALSE),"-") &amp; " / " &amp; IFERROR(VLOOKUP(MID(G27,H27,I27-H27),[6]skilldef!$A:$B,2,FALSE),"-")</f>
        <v>- / 大攻撃</v>
      </c>
      <c r="M27" s="63" t="str">
        <f t="shared" si="5"/>
        <v>none</v>
      </c>
      <c r="N27" s="48" t="str">
        <f t="shared" si="6"/>
        <v>none</v>
      </c>
      <c r="O27" s="63" t="e">
        <f t="shared" si="7"/>
        <v>#VALUE!</v>
      </c>
      <c r="P27" s="63">
        <f t="shared" si="8"/>
        <v>4</v>
      </c>
      <c r="Q27" s="63" t="e">
        <f t="shared" si="9"/>
        <v>#VALUE!</v>
      </c>
      <c r="R27" s="63" t="e">
        <f t="shared" si="10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>
      <c r="A28" s="47">
        <v>40011027</v>
      </c>
      <c r="B28" s="47" t="s">
        <v>215</v>
      </c>
      <c r="C28" s="50">
        <v>3</v>
      </c>
      <c r="D28" s="50" t="s">
        <v>128</v>
      </c>
      <c r="E28" s="51" t="s">
        <v>222</v>
      </c>
      <c r="F28" s="51" t="s">
        <v>217</v>
      </c>
      <c r="G28" s="63" t="str">
        <f t="shared" si="0"/>
        <v>[effect:nothing]</v>
      </c>
      <c r="H28" s="63">
        <f t="shared" si="1"/>
        <v>9</v>
      </c>
      <c r="I28" s="63">
        <f t="shared" si="2"/>
        <v>16</v>
      </c>
      <c r="J28" s="63" t="e">
        <f t="shared" si="3"/>
        <v>#VALUE!</v>
      </c>
      <c r="K28" s="63" t="e">
        <f t="shared" si="4"/>
        <v>#VALUE!</v>
      </c>
      <c r="L28" s="63" t="str">
        <f>IFERROR(VLOOKUP(MID(G28,J28,K28-J28),[6]skilldef!$C:$D,2,FALSE),"-") &amp; " / " &amp; IFERROR(VLOOKUP(MID(G28,H28,I28-H28),[6]skilldef!$A:$B,2,FALSE),"-")</f>
        <v>- / 何もしない</v>
      </c>
      <c r="M28" s="63" t="str">
        <f t="shared" si="5"/>
        <v>none</v>
      </c>
      <c r="N28" s="48" t="str">
        <f t="shared" si="6"/>
        <v>none</v>
      </c>
      <c r="O28" s="63" t="e">
        <f t="shared" si="7"/>
        <v>#VALUE!</v>
      </c>
      <c r="P28" s="63">
        <f t="shared" si="8"/>
        <v>4</v>
      </c>
      <c r="Q28" s="63" t="e">
        <f t="shared" si="9"/>
        <v>#VALUE!</v>
      </c>
      <c r="R28" s="63" t="e">
        <f t="shared" si="10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>
      <c r="A29" s="47">
        <v>40011028</v>
      </c>
      <c r="B29" s="47" t="s">
        <v>215</v>
      </c>
      <c r="C29" s="50">
        <v>3</v>
      </c>
      <c r="D29" s="50" t="s">
        <v>128</v>
      </c>
      <c r="E29" s="51" t="s">
        <v>222</v>
      </c>
      <c r="F29" s="51" t="s">
        <v>217</v>
      </c>
      <c r="G29" s="63" t="str">
        <f t="shared" si="0"/>
        <v>[effect:nothing]</v>
      </c>
      <c r="H29" s="63">
        <f t="shared" si="1"/>
        <v>9</v>
      </c>
      <c r="I29" s="63">
        <f t="shared" si="2"/>
        <v>16</v>
      </c>
      <c r="J29" s="63" t="e">
        <f t="shared" si="3"/>
        <v>#VALUE!</v>
      </c>
      <c r="K29" s="63" t="e">
        <f t="shared" si="4"/>
        <v>#VALUE!</v>
      </c>
      <c r="L29" s="63" t="str">
        <f>IFERROR(VLOOKUP(MID(G29,J29,K29-J29),[6]skilldef!$C:$D,2,FALSE),"-") &amp; " / " &amp; IFERROR(VLOOKUP(MID(G29,H29,I29-H29),[6]skilldef!$A:$B,2,FALSE),"-")</f>
        <v>- / 何もしない</v>
      </c>
      <c r="M29" s="63" t="str">
        <f t="shared" si="5"/>
        <v>none</v>
      </c>
      <c r="N29" s="48" t="str">
        <f t="shared" si="6"/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>
      <c r="A30" s="47">
        <v>40011029</v>
      </c>
      <c r="B30" s="47" t="s">
        <v>215</v>
      </c>
      <c r="C30" s="50">
        <v>3</v>
      </c>
      <c r="D30" s="50" t="s">
        <v>128</v>
      </c>
      <c r="E30" s="51" t="s">
        <v>222</v>
      </c>
      <c r="F30" s="51" t="s">
        <v>217</v>
      </c>
      <c r="G30" s="63" t="str">
        <f t="shared" si="0"/>
        <v>[effect:nothing]</v>
      </c>
      <c r="H30" s="63">
        <f t="shared" si="1"/>
        <v>9</v>
      </c>
      <c r="I30" s="63">
        <f t="shared" si="2"/>
        <v>16</v>
      </c>
      <c r="J30" s="63" t="e">
        <f t="shared" si="3"/>
        <v>#VALUE!</v>
      </c>
      <c r="K30" s="63" t="e">
        <f t="shared" si="4"/>
        <v>#VALUE!</v>
      </c>
      <c r="L30" s="63" t="str">
        <f>IFERROR(VLOOKUP(MID(G30,J30,K30-J30),[6]skilldef!$C:$D,2,FALSE),"-") &amp; " / " &amp; IFERROR(VLOOKUP(MID(G30,H30,I30-H30),[6]skilldef!$A:$B,2,FALSE),"-")</f>
        <v>- / 何もしない</v>
      </c>
      <c r="M30" s="63" t="str">
        <f t="shared" si="5"/>
        <v>none</v>
      </c>
      <c r="N30" s="48" t="str">
        <f t="shared" si="6"/>
        <v>none</v>
      </c>
      <c r="O30" s="63" t="e">
        <f t="shared" si="7"/>
        <v>#VALUE!</v>
      </c>
      <c r="P30" s="63">
        <f t="shared" si="8"/>
        <v>4</v>
      </c>
      <c r="Q30" s="63" t="e">
        <f t="shared" si="9"/>
        <v>#VALUE!</v>
      </c>
      <c r="R30" s="63" t="e">
        <f t="shared" si="10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>
      <c r="A31" s="47">
        <v>40011030</v>
      </c>
      <c r="B31" s="47" t="s">
        <v>215</v>
      </c>
      <c r="C31" s="50">
        <v>3</v>
      </c>
      <c r="D31" s="50" t="s">
        <v>128</v>
      </c>
      <c r="E31" s="51" t="s">
        <v>222</v>
      </c>
      <c r="F31" s="51" t="s">
        <v>217</v>
      </c>
      <c r="G31" s="63" t="str">
        <f t="shared" si="0"/>
        <v>[effect:nothing]</v>
      </c>
      <c r="H31" s="63">
        <f t="shared" si="1"/>
        <v>9</v>
      </c>
      <c r="I31" s="63">
        <f t="shared" si="2"/>
        <v>16</v>
      </c>
      <c r="J31" s="63" t="e">
        <f t="shared" si="3"/>
        <v>#VALUE!</v>
      </c>
      <c r="K31" s="63" t="e">
        <f t="shared" si="4"/>
        <v>#VALUE!</v>
      </c>
      <c r="L31" s="63" t="str">
        <f>IFERROR(VLOOKUP(MID(G31,J31,K31-J31),[6]skilldef!$C:$D,2,FALSE),"-") &amp; " / " &amp; IFERROR(VLOOKUP(MID(G31,H31,I31-H31),[6]skilldef!$A:$B,2,FALSE),"-")</f>
        <v>- / 何もしない</v>
      </c>
      <c r="M31" s="63" t="str">
        <f t="shared" si="5"/>
        <v>none</v>
      </c>
      <c r="N31" s="48" t="str">
        <f t="shared" si="6"/>
        <v>none</v>
      </c>
      <c r="O31" s="63" t="e">
        <f t="shared" si="7"/>
        <v>#VALUE!</v>
      </c>
      <c r="P31" s="63">
        <f t="shared" si="8"/>
        <v>4</v>
      </c>
      <c r="Q31" s="63" t="e">
        <f t="shared" si="9"/>
        <v>#VALUE!</v>
      </c>
      <c r="R31" s="63" t="e">
        <f t="shared" si="10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1"/>
        <v>none</v>
      </c>
      <c r="U31" s="63" t="e">
        <f t="shared" si="12"/>
        <v>#VALUE!</v>
      </c>
      <c r="V31" s="63">
        <f t="shared" si="13"/>
        <v>4</v>
      </c>
      <c r="W31" s="63" t="e">
        <f t="shared" si="14"/>
        <v>#VALUE!</v>
      </c>
      <c r="X31" s="63" t="e">
        <f t="shared" si="15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>
      <c r="A32" s="47">
        <v>40011031</v>
      </c>
      <c r="B32" s="47" t="s">
        <v>243</v>
      </c>
      <c r="C32" s="50">
        <v>3</v>
      </c>
      <c r="D32" s="50" t="s">
        <v>128</v>
      </c>
      <c r="E32" s="51" t="s">
        <v>263</v>
      </c>
      <c r="F32" s="51" t="s">
        <v>266</v>
      </c>
      <c r="G32" s="63" t="str">
        <f t="shared" si="0"/>
        <v>[effect:virus, turn:-1, rate:1, val:0.05, animation:enemy_virus]</v>
      </c>
      <c r="H32" s="63">
        <f t="shared" si="1"/>
        <v>9</v>
      </c>
      <c r="I32" s="63">
        <f t="shared" si="2"/>
        <v>14</v>
      </c>
      <c r="J32" s="63" t="e">
        <f t="shared" si="3"/>
        <v>#VALUE!</v>
      </c>
      <c r="K32" s="63">
        <f t="shared" si="4"/>
        <v>23</v>
      </c>
      <c r="L32" s="63" t="str">
        <f>IFERROR(VLOOKUP(MID(G32,J32,K32-J32),[6]skilldef!$C:$D,2,FALSE),"-") &amp; " / " &amp; IFERROR(VLOOKUP(MID(G32,H32,I32-H32),[6]skilldef!$A:$B,2,FALSE),"-")</f>
        <v>- / ウィルス</v>
      </c>
      <c r="M32" s="63" t="str">
        <f t="shared" si="5"/>
        <v>none</v>
      </c>
      <c r="N32" s="48" t="str">
        <f t="shared" si="6"/>
        <v>none</v>
      </c>
      <c r="O32" s="63" t="e">
        <f t="shared" si="7"/>
        <v>#VALUE!</v>
      </c>
      <c r="P32" s="63">
        <f t="shared" si="8"/>
        <v>4</v>
      </c>
      <c r="Q32" s="63" t="e">
        <f t="shared" si="9"/>
        <v>#VALUE!</v>
      </c>
      <c r="R32" s="63" t="e">
        <f t="shared" si="10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11"/>
        <v>none</v>
      </c>
      <c r="U32" s="63" t="e">
        <f t="shared" si="12"/>
        <v>#VALUE!</v>
      </c>
      <c r="V32" s="63">
        <f t="shared" si="13"/>
        <v>4</v>
      </c>
      <c r="W32" s="63" t="e">
        <f t="shared" si="14"/>
        <v>#VALUE!</v>
      </c>
      <c r="X32" s="63" t="e">
        <f t="shared" si="15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>
      <c r="A33" s="47">
        <v>40011032</v>
      </c>
      <c r="B33" s="47" t="s">
        <v>236</v>
      </c>
      <c r="C33" s="50">
        <v>3</v>
      </c>
      <c r="D33" s="50" t="s">
        <v>128</v>
      </c>
      <c r="E33" s="51" t="s">
        <v>264</v>
      </c>
      <c r="F33" s="51" t="s">
        <v>230</v>
      </c>
      <c r="G33" s="63" t="str">
        <f t="shared" si="0"/>
        <v xml:space="preserve">[effect:spread, val:0.3]    </v>
      </c>
      <c r="H33" s="63">
        <f t="shared" si="1"/>
        <v>9</v>
      </c>
      <c r="I33" s="63">
        <f t="shared" si="2"/>
        <v>15</v>
      </c>
      <c r="J33" s="63" t="e">
        <f t="shared" si="3"/>
        <v>#VALUE!</v>
      </c>
      <c r="K33" s="63" t="e">
        <f t="shared" si="4"/>
        <v>#VALUE!</v>
      </c>
      <c r="L33" s="63" t="str">
        <f>IFERROR(VLOOKUP(MID(G33,J33,K33-J33),[6]skilldef!$C:$D,2,FALSE),"-") &amp; " / " &amp; IFERROR(VLOOKUP(MID(G33,H33,I33-H33),[6]skilldef!$A:$B,2,FALSE),"-")</f>
        <v>- / 全体攻撃</v>
      </c>
      <c r="M33" s="63" t="str">
        <f t="shared" si="5"/>
        <v>none</v>
      </c>
      <c r="N33" s="48" t="str">
        <f t="shared" si="6"/>
        <v>none</v>
      </c>
      <c r="O33" s="63" t="e">
        <f t="shared" si="7"/>
        <v>#VALUE!</v>
      </c>
      <c r="P33" s="63">
        <f t="shared" si="8"/>
        <v>4</v>
      </c>
      <c r="Q33" s="63" t="e">
        <f t="shared" si="9"/>
        <v>#VALUE!</v>
      </c>
      <c r="R33" s="63" t="e">
        <f t="shared" si="10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1"/>
        <v>none</v>
      </c>
      <c r="U33" s="63" t="e">
        <f t="shared" si="12"/>
        <v>#VALUE!</v>
      </c>
      <c r="V33" s="63">
        <f t="shared" si="13"/>
        <v>4</v>
      </c>
      <c r="W33" s="63" t="e">
        <f t="shared" si="14"/>
        <v>#VALUE!</v>
      </c>
      <c r="X33" s="63" t="e">
        <f t="shared" si="15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>
      <c r="A34" s="47">
        <v>40011033</v>
      </c>
      <c r="B34" s="47" t="s">
        <v>215</v>
      </c>
      <c r="C34" s="50">
        <v>3</v>
      </c>
      <c r="D34" s="50" t="s">
        <v>128</v>
      </c>
      <c r="E34" s="51" t="s">
        <v>223</v>
      </c>
      <c r="F34" s="51" t="s">
        <v>217</v>
      </c>
      <c r="G34" s="63" t="str">
        <f t="shared" si="0"/>
        <v>[effect:nothing]</v>
      </c>
      <c r="H34" s="63">
        <f t="shared" si="1"/>
        <v>9</v>
      </c>
      <c r="I34" s="63">
        <f t="shared" si="2"/>
        <v>16</v>
      </c>
      <c r="J34" s="63" t="e">
        <f t="shared" si="3"/>
        <v>#VALUE!</v>
      </c>
      <c r="K34" s="63" t="e">
        <f t="shared" si="4"/>
        <v>#VALUE!</v>
      </c>
      <c r="L34" s="63" t="str">
        <f>IFERROR(VLOOKUP(MID(G34,J34,K34-J34),[6]skilldef!$C:$D,2,FALSE),"-") &amp; " / " &amp; IFERROR(VLOOKUP(MID(G34,H34,I34-H34),[6]skilldef!$A:$B,2,FALSE),"-")</f>
        <v>- / 何もしない</v>
      </c>
      <c r="M34" s="63" t="str">
        <f t="shared" si="5"/>
        <v>none</v>
      </c>
      <c r="N34" s="48" t="str">
        <f t="shared" si="6"/>
        <v>none</v>
      </c>
      <c r="O34" s="63" t="e">
        <f t="shared" si="7"/>
        <v>#VALUE!</v>
      </c>
      <c r="P34" s="63">
        <f t="shared" si="8"/>
        <v>4</v>
      </c>
      <c r="Q34" s="63" t="e">
        <f t="shared" si="9"/>
        <v>#VALUE!</v>
      </c>
      <c r="R34" s="63" t="e">
        <f t="shared" si="10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11"/>
        <v>none</v>
      </c>
      <c r="U34" s="63" t="e">
        <f t="shared" si="12"/>
        <v>#VALUE!</v>
      </c>
      <c r="V34" s="63">
        <f t="shared" si="13"/>
        <v>4</v>
      </c>
      <c r="W34" s="63" t="e">
        <f t="shared" si="14"/>
        <v>#VALUE!</v>
      </c>
      <c r="X34" s="63" t="e">
        <f t="shared" si="15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>
      <c r="A35" s="47">
        <v>40011034</v>
      </c>
      <c r="B35" s="47" t="s">
        <v>215</v>
      </c>
      <c r="C35" s="50">
        <v>3</v>
      </c>
      <c r="D35" s="50" t="s">
        <v>128</v>
      </c>
      <c r="E35" s="51" t="s">
        <v>223</v>
      </c>
      <c r="F35" s="51" t="s">
        <v>217</v>
      </c>
      <c r="G35" s="63" t="str">
        <f t="shared" si="0"/>
        <v>[effect:nothing]</v>
      </c>
      <c r="H35" s="63">
        <f t="shared" si="1"/>
        <v>9</v>
      </c>
      <c r="I35" s="63">
        <f t="shared" si="2"/>
        <v>16</v>
      </c>
      <c r="J35" s="63" t="e">
        <f t="shared" si="3"/>
        <v>#VALUE!</v>
      </c>
      <c r="K35" s="63" t="e">
        <f t="shared" si="4"/>
        <v>#VALUE!</v>
      </c>
      <c r="L35" s="63" t="str">
        <f>IFERROR(VLOOKUP(MID(G35,J35,K35-J35),[6]skilldef!$C:$D,2,FALSE),"-") &amp; " / " &amp; IFERROR(VLOOKUP(MID(G35,H35,I35-H35),[6]skilldef!$A:$B,2,FALSE),"-")</f>
        <v>- / 何もしない</v>
      </c>
      <c r="M35" s="63" t="str">
        <f t="shared" si="5"/>
        <v>none</v>
      </c>
      <c r="N35" s="48" t="str">
        <f t="shared" si="6"/>
        <v>none</v>
      </c>
      <c r="O35" s="63" t="e">
        <f t="shared" si="7"/>
        <v>#VALUE!</v>
      </c>
      <c r="P35" s="63">
        <f t="shared" si="8"/>
        <v>4</v>
      </c>
      <c r="Q35" s="63" t="e">
        <f t="shared" si="9"/>
        <v>#VALUE!</v>
      </c>
      <c r="R35" s="63" t="e">
        <f t="shared" si="10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11"/>
        <v>none</v>
      </c>
      <c r="U35" s="63" t="e">
        <f t="shared" si="12"/>
        <v>#VALUE!</v>
      </c>
      <c r="V35" s="63">
        <f t="shared" si="13"/>
        <v>4</v>
      </c>
      <c r="W35" s="63" t="e">
        <f t="shared" si="14"/>
        <v>#VALUE!</v>
      </c>
      <c r="X35" s="63" t="e">
        <f t="shared" si="15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>
      <c r="A36" s="47">
        <v>40011035</v>
      </c>
      <c r="B36" s="47" t="s">
        <v>215</v>
      </c>
      <c r="C36" s="50">
        <v>3</v>
      </c>
      <c r="D36" s="50" t="s">
        <v>128</v>
      </c>
      <c r="E36" s="51" t="s">
        <v>223</v>
      </c>
      <c r="F36" s="51" t="s">
        <v>217</v>
      </c>
      <c r="G36" s="63" t="str">
        <f t="shared" si="0"/>
        <v>[effect:nothing]</v>
      </c>
      <c r="H36" s="63">
        <f t="shared" si="1"/>
        <v>9</v>
      </c>
      <c r="I36" s="63">
        <f t="shared" si="2"/>
        <v>16</v>
      </c>
      <c r="J36" s="63" t="e">
        <f t="shared" si="3"/>
        <v>#VALUE!</v>
      </c>
      <c r="K36" s="63" t="e">
        <f t="shared" si="4"/>
        <v>#VALUE!</v>
      </c>
      <c r="L36" s="63" t="str">
        <f>IFERROR(VLOOKUP(MID(G36,J36,K36-J36),[6]skilldef!$C:$D,2,FALSE),"-") &amp; " / " &amp; IFERROR(VLOOKUP(MID(G36,H36,I36-H36),[6]skilldef!$A:$B,2,FALSE),"-")</f>
        <v>- / 何もしない</v>
      </c>
      <c r="M36" s="63" t="str">
        <f t="shared" si="5"/>
        <v>none</v>
      </c>
      <c r="N36" s="48" t="str">
        <f t="shared" si="6"/>
        <v>none</v>
      </c>
      <c r="O36" s="63" t="e">
        <f t="shared" si="7"/>
        <v>#VALUE!</v>
      </c>
      <c r="P36" s="63">
        <f t="shared" si="8"/>
        <v>4</v>
      </c>
      <c r="Q36" s="63" t="e">
        <f t="shared" si="9"/>
        <v>#VALUE!</v>
      </c>
      <c r="R36" s="63" t="e">
        <f t="shared" si="10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11"/>
        <v>none</v>
      </c>
      <c r="U36" s="63" t="e">
        <f t="shared" si="12"/>
        <v>#VALUE!</v>
      </c>
      <c r="V36" s="63">
        <f t="shared" si="13"/>
        <v>4</v>
      </c>
      <c r="W36" s="63" t="e">
        <f t="shared" si="14"/>
        <v>#VALUE!</v>
      </c>
      <c r="X36" s="63" t="e">
        <f t="shared" si="15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>
      <c r="A37" s="47">
        <v>40011036</v>
      </c>
      <c r="B37" s="47" t="s">
        <v>241</v>
      </c>
      <c r="C37" s="50">
        <v>3</v>
      </c>
      <c r="D37" s="50" t="s">
        <v>128</v>
      </c>
      <c r="E37" s="51" t="s">
        <v>265</v>
      </c>
      <c r="F37" s="51" t="s">
        <v>267</v>
      </c>
      <c r="G37" s="63" t="str">
        <f t="shared" si="0"/>
        <v>[effect:tolerance, target:myself, turn:-1, tolerance_effect:virus, count:-1]</v>
      </c>
      <c r="H37" s="63">
        <f t="shared" si="1"/>
        <v>9</v>
      </c>
      <c r="I37" s="63">
        <f t="shared" si="2"/>
        <v>18</v>
      </c>
      <c r="J37" s="63">
        <f t="shared" si="3"/>
        <v>27</v>
      </c>
      <c r="K37" s="63">
        <f t="shared" si="4"/>
        <v>33</v>
      </c>
      <c r="L37" s="63" t="str">
        <f>IFERROR(VLOOKUP(MID(G37,J37,K37-J37),[6]skilldef!$C:$D,2,FALSE),"-") &amp; " / " &amp; IFERROR(VLOOKUP(MID(G37,H37,I37-H37),[6]skilldef!$A:$B,2,FALSE),"-")</f>
        <v>自分自身に / 状態異常耐性</v>
      </c>
      <c r="M37" s="63" t="str">
        <f t="shared" si="5"/>
        <v>[effect:tolerance, target:myself, turn:-1, tolerance_effect:sleep, count:-1],[effect:tolerance, target:myself, turn:-1, tolerance_effect:hungup, count:-1, animation:enemy_tolerance],[effect:virus, turn:-1, rate:1, val:0.05, animation:enemy_virus]</v>
      </c>
      <c r="N37" s="48" t="str">
        <f t="shared" si="6"/>
        <v>[effect:tolerance, target:myself, turn:-1, tolerance_effect:sleep, count:-1],[effect:tolerance, target:myself, turn:-1, tolerance_effect:hungup, count:-1, animation:enemy_tolerance],[effect:virus, turn:-1, rate:1, val:0.05, animation:enemy_virus]</v>
      </c>
      <c r="O37" s="63">
        <f t="shared" si="7"/>
        <v>9</v>
      </c>
      <c r="P37" s="63">
        <f t="shared" si="8"/>
        <v>18</v>
      </c>
      <c r="Q37" s="63">
        <f t="shared" si="9"/>
        <v>27</v>
      </c>
      <c r="R37" s="63">
        <f t="shared" si="10"/>
        <v>33</v>
      </c>
      <c r="S37" s="63" t="str">
        <f>IFERROR(VLOOKUP(MID(N37,Q37,R37-Q37),[6]skilldef!$C:$D,2,FALSE),"-") &amp; " / " &amp; IFERROR(VLOOKUP(MID(N37,O37,P37-O37),[6]skilldef!$A:$B,2,FALSE),"-")</f>
        <v>自分自身に / 状態異常耐性</v>
      </c>
      <c r="T37" s="48" t="str">
        <f t="shared" si="11"/>
        <v>[effect:tolerance, target:myself, turn:-1, tolerance_effect:hungup, count:-1, animation:enemy_tolerance],[effect:virus, turn:-1, rate:1, val:0.05, animation:enemy_virus]</v>
      </c>
      <c r="U37" s="63">
        <f t="shared" si="12"/>
        <v>9</v>
      </c>
      <c r="V37" s="63">
        <f t="shared" si="13"/>
        <v>18</v>
      </c>
      <c r="W37" s="63">
        <f t="shared" si="14"/>
        <v>27</v>
      </c>
      <c r="X37" s="63">
        <f t="shared" si="15"/>
        <v>33</v>
      </c>
      <c r="Y37" s="63" t="str">
        <f>IFERROR(VLOOKUP(MID(T37,W37,X37-W37),[6]skilldef!$C:$D,2,FALSE),"-") &amp; " / " &amp; IFERROR(VLOOKUP(MID(T37,U37,V37-U37),[6]skilldef!$A:$B,2,FALSE),"-")</f>
        <v>自分自身に / 状態異常耐性</v>
      </c>
      <c r="Z37" s="50"/>
      <c r="AA37" s="52"/>
      <c r="AB37" s="50"/>
    </row>
    <row r="38" spans="1:28" ht="21" customHeight="1">
      <c r="A38" s="47">
        <v>40011037</v>
      </c>
      <c r="B38" s="47" t="s">
        <v>247</v>
      </c>
      <c r="C38" s="50">
        <v>3</v>
      </c>
      <c r="D38" s="50" t="s">
        <v>128</v>
      </c>
      <c r="E38" s="51" t="s">
        <v>270</v>
      </c>
      <c r="F38" s="51" t="s">
        <v>256</v>
      </c>
      <c r="G38" s="63" t="str">
        <f t="shared" si="0"/>
        <v>[effect:damage_anti_tribe, target:unit_all, tribe:god, val1:0.7, val2:0.3]</v>
      </c>
      <c r="H38" s="63">
        <f t="shared" si="1"/>
        <v>9</v>
      </c>
      <c r="I38" s="63">
        <f t="shared" si="2"/>
        <v>26</v>
      </c>
      <c r="J38" s="63">
        <f t="shared" si="3"/>
        <v>35</v>
      </c>
      <c r="K38" s="63">
        <f t="shared" si="4"/>
        <v>43</v>
      </c>
      <c r="L38" s="63" t="str">
        <f>IFERROR(VLOOKUP(MID(G38,J38,K38-J38),[6]skilldef!$C:$D,2,FALSE),"-") &amp; " / " &amp; IFERROR(VLOOKUP(MID(G38,H38,I38-H38),[6]skilldef!$A:$B,2,FALSE),"-")</f>
        <v>味方全体に / 種族キラー</v>
      </c>
      <c r="M38" s="63" t="str">
        <f t="shared" si="5"/>
        <v>none</v>
      </c>
      <c r="N38" s="48" t="str">
        <f t="shared" si="6"/>
        <v>none</v>
      </c>
      <c r="O38" s="63" t="e">
        <f t="shared" si="7"/>
        <v>#VALUE!</v>
      </c>
      <c r="P38" s="63">
        <f t="shared" si="8"/>
        <v>4</v>
      </c>
      <c r="Q38" s="63" t="e">
        <f t="shared" si="9"/>
        <v>#VALUE!</v>
      </c>
      <c r="R38" s="63" t="e">
        <f t="shared" si="10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11"/>
        <v>none</v>
      </c>
      <c r="U38" s="63" t="e">
        <f t="shared" si="12"/>
        <v>#VALUE!</v>
      </c>
      <c r="V38" s="63">
        <f t="shared" si="13"/>
        <v>4</v>
      </c>
      <c r="W38" s="63" t="e">
        <f t="shared" si="14"/>
        <v>#VALUE!</v>
      </c>
      <c r="X38" s="63" t="e">
        <f t="shared" si="15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>
      <c r="A39" s="47">
        <v>40011038</v>
      </c>
      <c r="B39" s="47" t="s">
        <v>234</v>
      </c>
      <c r="C39" s="50">
        <v>3</v>
      </c>
      <c r="D39" s="50" t="s">
        <v>128</v>
      </c>
      <c r="E39" s="51" t="s">
        <v>268</v>
      </c>
      <c r="F39" s="51" t="s">
        <v>227</v>
      </c>
      <c r="G39" s="63" t="str">
        <f t="shared" si="0"/>
        <v>[effect:rush, count:4, val:0.35]</v>
      </c>
      <c r="H39" s="63">
        <f t="shared" si="1"/>
        <v>9</v>
      </c>
      <c r="I39" s="63">
        <f t="shared" si="2"/>
        <v>13</v>
      </c>
      <c r="J39" s="63" t="e">
        <f t="shared" si="3"/>
        <v>#VALUE!</v>
      </c>
      <c r="K39" s="63">
        <f t="shared" si="4"/>
        <v>22</v>
      </c>
      <c r="L39" s="63" t="str">
        <f>IFERROR(VLOOKUP(MID(G39,J39,K39-J39),[6]skilldef!$C:$D,2,FALSE),"-") &amp; " / " &amp; IFERROR(VLOOKUP(MID(G39,H39,I39-H39),[6]skilldef!$A:$B,2,FALSE),"-")</f>
        <v>- / 連続攻撃</v>
      </c>
      <c r="M39" s="63" t="str">
        <f t="shared" si="5"/>
        <v>none</v>
      </c>
      <c r="N39" s="48" t="str">
        <f t="shared" si="6"/>
        <v>none</v>
      </c>
      <c r="O39" s="63" t="e">
        <f t="shared" si="7"/>
        <v>#VALUE!</v>
      </c>
      <c r="P39" s="63">
        <f t="shared" si="8"/>
        <v>4</v>
      </c>
      <c r="Q39" s="63" t="e">
        <f t="shared" si="9"/>
        <v>#VALUE!</v>
      </c>
      <c r="R39" s="63" t="e">
        <f t="shared" si="10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11"/>
        <v>none</v>
      </c>
      <c r="U39" s="63" t="e">
        <f t="shared" si="12"/>
        <v>#VALUE!</v>
      </c>
      <c r="V39" s="63">
        <f t="shared" si="13"/>
        <v>4</v>
      </c>
      <c r="W39" s="63" t="e">
        <f t="shared" si="14"/>
        <v>#VALUE!</v>
      </c>
      <c r="X39" s="63" t="e">
        <f t="shared" si="15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>
      <c r="A40" s="47">
        <v>40011039</v>
      </c>
      <c r="B40" s="47" t="s">
        <v>215</v>
      </c>
      <c r="C40" s="50">
        <v>3</v>
      </c>
      <c r="D40" s="50" t="s">
        <v>128</v>
      </c>
      <c r="E40" s="51" t="s">
        <v>224</v>
      </c>
      <c r="F40" s="51" t="s">
        <v>217</v>
      </c>
      <c r="G40" s="63" t="str">
        <f t="shared" si="0"/>
        <v>[effect:nothing]</v>
      </c>
      <c r="H40" s="63">
        <f t="shared" si="1"/>
        <v>9</v>
      </c>
      <c r="I40" s="63">
        <f t="shared" si="2"/>
        <v>16</v>
      </c>
      <c r="J40" s="63" t="e">
        <f t="shared" si="3"/>
        <v>#VALUE!</v>
      </c>
      <c r="K40" s="63" t="e">
        <f t="shared" si="4"/>
        <v>#VALUE!</v>
      </c>
      <c r="L40" s="63" t="str">
        <f>IFERROR(VLOOKUP(MID(G40,J40,K40-J40),[6]skilldef!$C:$D,2,FALSE),"-") &amp; " / " &amp; IFERROR(VLOOKUP(MID(G40,H40,I40-H40),[6]skilldef!$A:$B,2,FALSE),"-")</f>
        <v>- / 何もしない</v>
      </c>
      <c r="M40" s="63" t="str">
        <f t="shared" si="5"/>
        <v>none</v>
      </c>
      <c r="N40" s="48" t="str">
        <f t="shared" si="6"/>
        <v>none</v>
      </c>
      <c r="O40" s="63" t="e">
        <f t="shared" si="7"/>
        <v>#VALUE!</v>
      </c>
      <c r="P40" s="63">
        <f t="shared" si="8"/>
        <v>4</v>
      </c>
      <c r="Q40" s="63" t="e">
        <f t="shared" si="9"/>
        <v>#VALUE!</v>
      </c>
      <c r="R40" s="63" t="e">
        <f t="shared" si="10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11"/>
        <v>none</v>
      </c>
      <c r="U40" s="63" t="e">
        <f t="shared" si="12"/>
        <v>#VALUE!</v>
      </c>
      <c r="V40" s="63">
        <f t="shared" si="13"/>
        <v>4</v>
      </c>
      <c r="W40" s="63" t="e">
        <f t="shared" si="14"/>
        <v>#VALUE!</v>
      </c>
      <c r="X40" s="63" t="e">
        <f t="shared" si="15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>
      <c r="A41" s="47">
        <v>40011040</v>
      </c>
      <c r="B41" s="47" t="s">
        <v>215</v>
      </c>
      <c r="C41" s="50">
        <v>3</v>
      </c>
      <c r="D41" s="50" t="s">
        <v>128</v>
      </c>
      <c r="E41" s="51" t="s">
        <v>224</v>
      </c>
      <c r="F41" s="51" t="s">
        <v>217</v>
      </c>
      <c r="G41" s="63" t="str">
        <f t="shared" si="0"/>
        <v>[effect:nothing]</v>
      </c>
      <c r="H41" s="63">
        <f t="shared" si="1"/>
        <v>9</v>
      </c>
      <c r="I41" s="63">
        <f t="shared" si="2"/>
        <v>16</v>
      </c>
      <c r="J41" s="63" t="e">
        <f t="shared" si="3"/>
        <v>#VALUE!</v>
      </c>
      <c r="K41" s="63" t="e">
        <f t="shared" si="4"/>
        <v>#VALUE!</v>
      </c>
      <c r="L41" s="63" t="str">
        <f>IFERROR(VLOOKUP(MID(G41,J41,K41-J41),[6]skilldef!$C:$D,2,FALSE),"-") &amp; " / " &amp; IFERROR(VLOOKUP(MID(G41,H41,I41-H41),[6]skilldef!$A:$B,2,FALSE),"-")</f>
        <v>- / 何もしない</v>
      </c>
      <c r="M41" s="63" t="str">
        <f t="shared" si="5"/>
        <v>none</v>
      </c>
      <c r="N41" s="48" t="str">
        <f t="shared" si="6"/>
        <v>none</v>
      </c>
      <c r="O41" s="63" t="e">
        <f t="shared" si="7"/>
        <v>#VALUE!</v>
      </c>
      <c r="P41" s="63">
        <f t="shared" si="8"/>
        <v>4</v>
      </c>
      <c r="Q41" s="63" t="e">
        <f t="shared" si="9"/>
        <v>#VALUE!</v>
      </c>
      <c r="R41" s="63" t="e">
        <f t="shared" si="10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11"/>
        <v>none</v>
      </c>
      <c r="U41" s="63" t="e">
        <f t="shared" si="12"/>
        <v>#VALUE!</v>
      </c>
      <c r="V41" s="63">
        <f t="shared" si="13"/>
        <v>4</v>
      </c>
      <c r="W41" s="63" t="e">
        <f t="shared" si="14"/>
        <v>#VALUE!</v>
      </c>
      <c r="X41" s="63" t="e">
        <f t="shared" si="15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>
      <c r="A42" s="47">
        <v>40011041</v>
      </c>
      <c r="B42" s="47" t="s">
        <v>215</v>
      </c>
      <c r="C42" s="50">
        <v>3</v>
      </c>
      <c r="D42" s="50" t="s">
        <v>128</v>
      </c>
      <c r="E42" s="51" t="s">
        <v>224</v>
      </c>
      <c r="F42" s="51" t="s">
        <v>217</v>
      </c>
      <c r="G42" s="63" t="str">
        <f t="shared" si="0"/>
        <v>[effect:nothing]</v>
      </c>
      <c r="H42" s="63">
        <f t="shared" si="1"/>
        <v>9</v>
      </c>
      <c r="I42" s="63">
        <f t="shared" si="2"/>
        <v>16</v>
      </c>
      <c r="J42" s="63" t="e">
        <f t="shared" si="3"/>
        <v>#VALUE!</v>
      </c>
      <c r="K42" s="63" t="e">
        <f t="shared" si="4"/>
        <v>#VALUE!</v>
      </c>
      <c r="L42" s="63" t="str">
        <f>IFERROR(VLOOKUP(MID(G42,J42,K42-J42),[6]skilldef!$C:$D,2,FALSE),"-") &amp; " / " &amp; IFERROR(VLOOKUP(MID(G42,H42,I42-H42),[6]skilldef!$A:$B,2,FALSE),"-")</f>
        <v>- / 何もしない</v>
      </c>
      <c r="M42" s="63" t="str">
        <f t="shared" si="5"/>
        <v>none</v>
      </c>
      <c r="N42" s="48" t="str">
        <f t="shared" si="6"/>
        <v>none</v>
      </c>
      <c r="O42" s="63" t="e">
        <f t="shared" si="7"/>
        <v>#VALUE!</v>
      </c>
      <c r="P42" s="63">
        <f t="shared" si="8"/>
        <v>4</v>
      </c>
      <c r="Q42" s="63" t="e">
        <f t="shared" si="9"/>
        <v>#VALUE!</v>
      </c>
      <c r="R42" s="63" t="e">
        <f t="shared" si="10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11"/>
        <v>none</v>
      </c>
      <c r="U42" s="63" t="e">
        <f t="shared" si="12"/>
        <v>#VALUE!</v>
      </c>
      <c r="V42" s="63">
        <f t="shared" si="13"/>
        <v>4</v>
      </c>
      <c r="W42" s="63" t="e">
        <f t="shared" si="14"/>
        <v>#VALUE!</v>
      </c>
      <c r="X42" s="63" t="e">
        <f t="shared" si="15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>
      <c r="A43" s="47">
        <v>40011042</v>
      </c>
      <c r="B43" s="47" t="s">
        <v>215</v>
      </c>
      <c r="C43" s="50">
        <v>3</v>
      </c>
      <c r="D43" s="50" t="s">
        <v>128</v>
      </c>
      <c r="E43" s="51" t="s">
        <v>224</v>
      </c>
      <c r="F43" s="51" t="s">
        <v>217</v>
      </c>
      <c r="G43" s="63" t="str">
        <f t="shared" si="0"/>
        <v>[effect:nothing]</v>
      </c>
      <c r="H43" s="63">
        <f t="shared" si="1"/>
        <v>9</v>
      </c>
      <c r="I43" s="63">
        <f t="shared" si="2"/>
        <v>16</v>
      </c>
      <c r="J43" s="63" t="e">
        <f t="shared" si="3"/>
        <v>#VALUE!</v>
      </c>
      <c r="K43" s="63" t="e">
        <f t="shared" si="4"/>
        <v>#VALUE!</v>
      </c>
      <c r="L43" s="63" t="str">
        <f>IFERROR(VLOOKUP(MID(G43,J43,K43-J43),[6]skilldef!$C:$D,2,FALSE),"-") &amp; " / " &amp; IFERROR(VLOOKUP(MID(G43,H43,I43-H43),[6]skilldef!$A:$B,2,FALSE),"-")</f>
        <v>- / 何もしない</v>
      </c>
      <c r="M43" s="63" t="str">
        <f t="shared" si="5"/>
        <v>none</v>
      </c>
      <c r="N43" s="48" t="str">
        <f t="shared" si="6"/>
        <v>none</v>
      </c>
      <c r="O43" s="63" t="e">
        <f t="shared" si="7"/>
        <v>#VALUE!</v>
      </c>
      <c r="P43" s="63">
        <f t="shared" si="8"/>
        <v>4</v>
      </c>
      <c r="Q43" s="63" t="e">
        <f t="shared" si="9"/>
        <v>#VALUE!</v>
      </c>
      <c r="R43" s="63" t="e">
        <f t="shared" si="10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11"/>
        <v>none</v>
      </c>
      <c r="U43" s="63" t="e">
        <f t="shared" si="12"/>
        <v>#VALUE!</v>
      </c>
      <c r="V43" s="63">
        <f t="shared" si="13"/>
        <v>4</v>
      </c>
      <c r="W43" s="63" t="e">
        <f t="shared" si="14"/>
        <v>#VALUE!</v>
      </c>
      <c r="X43" s="63" t="e">
        <f t="shared" si="15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>
      <c r="A44" s="47">
        <v>40011043</v>
      </c>
      <c r="B44" s="47" t="s">
        <v>215</v>
      </c>
      <c r="C44" s="50">
        <v>3</v>
      </c>
      <c r="D44" s="50" t="s">
        <v>128</v>
      </c>
      <c r="E44" s="51" t="s">
        <v>224</v>
      </c>
      <c r="F44" s="51" t="s">
        <v>217</v>
      </c>
      <c r="G44" s="63" t="str">
        <f t="shared" si="0"/>
        <v>[effect:nothing]</v>
      </c>
      <c r="H44" s="63">
        <f t="shared" si="1"/>
        <v>9</v>
      </c>
      <c r="I44" s="63">
        <f t="shared" si="2"/>
        <v>16</v>
      </c>
      <c r="J44" s="63" t="e">
        <f t="shared" si="3"/>
        <v>#VALUE!</v>
      </c>
      <c r="K44" s="63" t="e">
        <f t="shared" si="4"/>
        <v>#VALUE!</v>
      </c>
      <c r="L44" s="63" t="str">
        <f>IFERROR(VLOOKUP(MID(G44,J44,K44-J44),[6]skilldef!$C:$D,2,FALSE),"-") &amp; " / " &amp; IFERROR(VLOOKUP(MID(G44,H44,I44-H44),[6]skilldef!$A:$B,2,FALSE),"-")</f>
        <v>- / 何もしない</v>
      </c>
      <c r="M44" s="63" t="str">
        <f t="shared" si="5"/>
        <v>none</v>
      </c>
      <c r="N44" s="48" t="str">
        <f t="shared" si="6"/>
        <v>none</v>
      </c>
      <c r="O44" s="63" t="e">
        <f t="shared" si="7"/>
        <v>#VALUE!</v>
      </c>
      <c r="P44" s="63">
        <f t="shared" si="8"/>
        <v>4</v>
      </c>
      <c r="Q44" s="63" t="e">
        <f t="shared" si="9"/>
        <v>#VALUE!</v>
      </c>
      <c r="R44" s="63" t="e">
        <f t="shared" si="10"/>
        <v>#VALUE!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si="11"/>
        <v>none</v>
      </c>
      <c r="U44" s="63" t="e">
        <f t="shared" si="12"/>
        <v>#VALUE!</v>
      </c>
      <c r="V44" s="63">
        <f t="shared" si="13"/>
        <v>4</v>
      </c>
      <c r="W44" s="63" t="e">
        <f t="shared" si="14"/>
        <v>#VALUE!</v>
      </c>
      <c r="X44" s="63" t="e">
        <f t="shared" si="15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>
      <c r="A45" s="47">
        <v>40011044</v>
      </c>
      <c r="B45" s="47" t="s">
        <v>215</v>
      </c>
      <c r="C45" s="50">
        <v>3</v>
      </c>
      <c r="D45" s="50" t="s">
        <v>128</v>
      </c>
      <c r="E45" s="51" t="s">
        <v>224</v>
      </c>
      <c r="F45" s="51" t="s">
        <v>217</v>
      </c>
      <c r="G45" s="63" t="str">
        <f t="shared" si="0"/>
        <v>[effect:nothing]</v>
      </c>
      <c r="H45" s="63">
        <f t="shared" si="1"/>
        <v>9</v>
      </c>
      <c r="I45" s="63">
        <f t="shared" si="2"/>
        <v>16</v>
      </c>
      <c r="J45" s="63" t="e">
        <f t="shared" si="3"/>
        <v>#VALUE!</v>
      </c>
      <c r="K45" s="63" t="e">
        <f t="shared" si="4"/>
        <v>#VALUE!</v>
      </c>
      <c r="L45" s="63" t="str">
        <f>IFERROR(VLOOKUP(MID(G45,J45,K45-J45),[6]skilldef!$C:$D,2,FALSE),"-") &amp; " / " &amp; IFERROR(VLOOKUP(MID(G45,H45,I45-H45),[6]skilldef!$A:$B,2,FALSE),"-")</f>
        <v>- / 何もしない</v>
      </c>
      <c r="M45" s="63" t="str">
        <f t="shared" si="5"/>
        <v>none</v>
      </c>
      <c r="N45" s="48" t="str">
        <f t="shared" si="6"/>
        <v>none</v>
      </c>
      <c r="O45" s="63" t="e">
        <f t="shared" si="7"/>
        <v>#VALUE!</v>
      </c>
      <c r="P45" s="63">
        <f t="shared" si="8"/>
        <v>4</v>
      </c>
      <c r="Q45" s="63" t="e">
        <f t="shared" si="9"/>
        <v>#VALUE!</v>
      </c>
      <c r="R45" s="63" t="e">
        <f t="shared" si="10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11"/>
        <v>none</v>
      </c>
      <c r="U45" s="63" t="e">
        <f t="shared" si="12"/>
        <v>#VALUE!</v>
      </c>
      <c r="V45" s="63">
        <f t="shared" si="13"/>
        <v>4</v>
      </c>
      <c r="W45" s="63" t="e">
        <f t="shared" si="14"/>
        <v>#VALUE!</v>
      </c>
      <c r="X45" s="63" t="e">
        <f t="shared" si="15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>
      <c r="A46" s="47">
        <v>40011045</v>
      </c>
      <c r="B46" s="47" t="s">
        <v>215</v>
      </c>
      <c r="C46" s="50">
        <v>3</v>
      </c>
      <c r="D46" s="50" t="s">
        <v>128</v>
      </c>
      <c r="E46" s="51" t="s">
        <v>224</v>
      </c>
      <c r="F46" s="51" t="s">
        <v>217</v>
      </c>
      <c r="G46" s="63" t="str">
        <f t="shared" si="0"/>
        <v>[effect:nothing]</v>
      </c>
      <c r="H46" s="63">
        <f t="shared" si="1"/>
        <v>9</v>
      </c>
      <c r="I46" s="63">
        <f t="shared" si="2"/>
        <v>16</v>
      </c>
      <c r="J46" s="63" t="e">
        <f t="shared" si="3"/>
        <v>#VALUE!</v>
      </c>
      <c r="K46" s="63" t="e">
        <f t="shared" si="4"/>
        <v>#VALUE!</v>
      </c>
      <c r="L46" s="63" t="str">
        <f>IFERROR(VLOOKUP(MID(G46,J46,K46-J46),[6]skilldef!$C:$D,2,FALSE),"-") &amp; " / " &amp; IFERROR(VLOOKUP(MID(G46,H46,I46-H46),[6]skilldef!$A:$B,2,FALSE),"-")</f>
        <v>- / 何もしない</v>
      </c>
      <c r="M46" s="63" t="str">
        <f t="shared" si="5"/>
        <v>none</v>
      </c>
      <c r="N46" s="48" t="str">
        <f t="shared" si="6"/>
        <v>none</v>
      </c>
      <c r="O46" s="63" t="e">
        <f t="shared" si="7"/>
        <v>#VALUE!</v>
      </c>
      <c r="P46" s="63">
        <f t="shared" si="8"/>
        <v>4</v>
      </c>
      <c r="Q46" s="63" t="e">
        <f t="shared" si="9"/>
        <v>#VALUE!</v>
      </c>
      <c r="R46" s="63" t="e">
        <f t="shared" si="10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11"/>
        <v>none</v>
      </c>
      <c r="U46" s="63" t="e">
        <f t="shared" si="12"/>
        <v>#VALUE!</v>
      </c>
      <c r="V46" s="63">
        <f t="shared" si="13"/>
        <v>4</v>
      </c>
      <c r="W46" s="63" t="e">
        <f t="shared" si="14"/>
        <v>#VALUE!</v>
      </c>
      <c r="X46" s="63" t="e">
        <f t="shared" si="15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>
      <c r="A47" s="47">
        <v>40011046</v>
      </c>
      <c r="B47" s="47" t="s">
        <v>242</v>
      </c>
      <c r="C47" s="50">
        <v>3</v>
      </c>
      <c r="D47" s="50" t="s">
        <v>128</v>
      </c>
      <c r="E47" s="51" t="s">
        <v>265</v>
      </c>
      <c r="F47" s="51" t="s">
        <v>285</v>
      </c>
      <c r="G47" s="63" t="str">
        <f t="shared" si="0"/>
        <v>[effect:tolerance, target:myself, turn:-1, tolerance_effect:virus, count:-1]</v>
      </c>
      <c r="H47" s="63">
        <f t="shared" si="1"/>
        <v>9</v>
      </c>
      <c r="I47" s="63">
        <f t="shared" si="2"/>
        <v>18</v>
      </c>
      <c r="J47" s="63">
        <f t="shared" si="3"/>
        <v>27</v>
      </c>
      <c r="K47" s="63">
        <f t="shared" si="4"/>
        <v>33</v>
      </c>
      <c r="L47" s="63" t="str">
        <f>IFERROR(VLOOKUP(MID(G47,J47,K47-J47),[6]skilldef!$C:$D,2,FALSE),"-") &amp; " / " &amp; IFERROR(VLOOKUP(MID(G47,H47,I47-H47),[6]skilldef!$A:$B,2,FALSE),"-")</f>
        <v>自分自身に / 状態異常耐性</v>
      </c>
      <c r="M47" s="63" t="str">
        <f t="shared" si="5"/>
        <v>[effect:tolerance, target:myself, turn:-1, tolerance_effect:sleep, count:-1],[effect:tolerance, target:myself, turn:-1, tolerance_effect:hungup, count:-1, animation:enemy_tolerance],[effect:virus, turn:-1, rate:1, val:0.15, animation:enemy_virus]</v>
      </c>
      <c r="N47" s="48" t="str">
        <f t="shared" si="6"/>
        <v>[effect:tolerance, target:myself, turn:-1, tolerance_effect:sleep, count:-1],[effect:tolerance, target:myself, turn:-1, tolerance_effect:hungup, count:-1, animation:enemy_tolerance],[effect:virus, turn:-1, rate:1, val:0.15, animation:enemy_virus]</v>
      </c>
      <c r="O47" s="63">
        <f t="shared" si="7"/>
        <v>9</v>
      </c>
      <c r="P47" s="63">
        <f t="shared" si="8"/>
        <v>18</v>
      </c>
      <c r="Q47" s="63">
        <f t="shared" si="9"/>
        <v>27</v>
      </c>
      <c r="R47" s="63">
        <f t="shared" si="10"/>
        <v>33</v>
      </c>
      <c r="S47" s="63" t="str">
        <f>IFERROR(VLOOKUP(MID(N47,Q47,R47-Q47),[6]skilldef!$C:$D,2,FALSE),"-") &amp; " / " &amp; IFERROR(VLOOKUP(MID(N47,O47,P47-O47),[6]skilldef!$A:$B,2,FALSE),"-")</f>
        <v>自分自身に / 状態異常耐性</v>
      </c>
      <c r="T47" s="48" t="str">
        <f t="shared" si="11"/>
        <v>[effect:tolerance, target:myself, turn:-1, tolerance_effect:hungup, count:-1, animation:enemy_tolerance],[effect:virus, turn:-1, rate:1, val:0.15, animation:enemy_virus]</v>
      </c>
      <c r="U47" s="63">
        <f t="shared" si="12"/>
        <v>9</v>
      </c>
      <c r="V47" s="63">
        <f t="shared" si="13"/>
        <v>18</v>
      </c>
      <c r="W47" s="63">
        <f t="shared" si="14"/>
        <v>27</v>
      </c>
      <c r="X47" s="63">
        <f t="shared" si="15"/>
        <v>33</v>
      </c>
      <c r="Y47" s="63" t="str">
        <f>IFERROR(VLOOKUP(MID(T47,W47,X47-W47),[6]skilldef!$C:$D,2,FALSE),"-") &amp; " / " &amp; IFERROR(VLOOKUP(MID(T47,U47,V47-U47),[6]skilldef!$A:$B,2,FALSE),"-")</f>
        <v>自分自身に / 状態異常耐性</v>
      </c>
      <c r="Z47" s="50"/>
      <c r="AA47" s="52"/>
      <c r="AB47" s="50"/>
    </row>
    <row r="48" spans="1:28" ht="21" customHeight="1">
      <c r="A48" s="47">
        <v>40011047</v>
      </c>
      <c r="B48" s="47" t="s">
        <v>247</v>
      </c>
      <c r="C48" s="50">
        <v>3</v>
      </c>
      <c r="D48" s="50" t="s">
        <v>128</v>
      </c>
      <c r="E48" s="51" t="s">
        <v>270</v>
      </c>
      <c r="F48" s="51" t="s">
        <v>256</v>
      </c>
      <c r="G48" s="63" t="str">
        <f t="shared" si="0"/>
        <v>[effect:damage_anti_tribe, target:unit_all, tribe:god, val1:0.7, val2:0.3]</v>
      </c>
      <c r="H48" s="63">
        <f t="shared" si="1"/>
        <v>9</v>
      </c>
      <c r="I48" s="63">
        <f t="shared" si="2"/>
        <v>26</v>
      </c>
      <c r="J48" s="63">
        <f t="shared" si="3"/>
        <v>35</v>
      </c>
      <c r="K48" s="63">
        <f t="shared" si="4"/>
        <v>43</v>
      </c>
      <c r="L48" s="63" t="str">
        <f>IFERROR(VLOOKUP(MID(G48,J48,K48-J48),[6]skilldef!$C:$D,2,FALSE),"-") &amp; " / " &amp; IFERROR(VLOOKUP(MID(G48,H48,I48-H48),[6]skilldef!$A:$B,2,FALSE),"-")</f>
        <v>味方全体に / 種族キラー</v>
      </c>
      <c r="M48" s="63" t="str">
        <f t="shared" si="5"/>
        <v>none</v>
      </c>
      <c r="N48" s="48" t="str">
        <f t="shared" si="6"/>
        <v>none</v>
      </c>
      <c r="O48" s="63" t="e">
        <f t="shared" si="7"/>
        <v>#VALUE!</v>
      </c>
      <c r="P48" s="63">
        <f t="shared" si="8"/>
        <v>4</v>
      </c>
      <c r="Q48" s="63" t="e">
        <f t="shared" si="9"/>
        <v>#VALUE!</v>
      </c>
      <c r="R48" s="63" t="e">
        <f t="shared" si="10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11"/>
        <v>none</v>
      </c>
      <c r="U48" s="63" t="e">
        <f t="shared" si="12"/>
        <v>#VALUE!</v>
      </c>
      <c r="V48" s="63">
        <f t="shared" si="13"/>
        <v>4</v>
      </c>
      <c r="W48" s="63" t="e">
        <f t="shared" si="14"/>
        <v>#VALUE!</v>
      </c>
      <c r="X48" s="63" t="e">
        <f t="shared" si="15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>
      <c r="A49" s="47">
        <v>40011048</v>
      </c>
      <c r="B49" s="47" t="s">
        <v>234</v>
      </c>
      <c r="C49" s="50">
        <v>3</v>
      </c>
      <c r="D49" s="50" t="s">
        <v>128</v>
      </c>
      <c r="E49" s="51" t="s">
        <v>268</v>
      </c>
      <c r="F49" s="51" t="s">
        <v>227</v>
      </c>
      <c r="G49" s="63" t="str">
        <f t="shared" si="0"/>
        <v>[effect:rush, count:4, val:0.35]</v>
      </c>
      <c r="H49" s="63">
        <f t="shared" si="1"/>
        <v>9</v>
      </c>
      <c r="I49" s="63">
        <f t="shared" si="2"/>
        <v>13</v>
      </c>
      <c r="J49" s="63" t="e">
        <f t="shared" si="3"/>
        <v>#VALUE!</v>
      </c>
      <c r="K49" s="63">
        <f t="shared" si="4"/>
        <v>22</v>
      </c>
      <c r="L49" s="63" t="str">
        <f>IFERROR(VLOOKUP(MID(G49,J49,K49-J49),[6]skilldef!$C:$D,2,FALSE),"-") &amp; " / " &amp; IFERROR(VLOOKUP(MID(G49,H49,I49-H49),[6]skilldef!$A:$B,2,FALSE),"-")</f>
        <v>- / 連続攻撃</v>
      </c>
      <c r="M49" s="63" t="str">
        <f t="shared" si="5"/>
        <v>none</v>
      </c>
      <c r="N49" s="48" t="str">
        <f t="shared" si="6"/>
        <v>none</v>
      </c>
      <c r="O49" s="63" t="e">
        <f t="shared" si="7"/>
        <v>#VALUE!</v>
      </c>
      <c r="P49" s="63">
        <f t="shared" si="8"/>
        <v>4</v>
      </c>
      <c r="Q49" s="63" t="e">
        <f t="shared" si="9"/>
        <v>#VALUE!</v>
      </c>
      <c r="R49" s="63" t="e">
        <f t="shared" si="10"/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11"/>
        <v>none</v>
      </c>
      <c r="U49" s="63" t="e">
        <f t="shared" si="12"/>
        <v>#VALUE!</v>
      </c>
      <c r="V49" s="63">
        <f t="shared" si="13"/>
        <v>4</v>
      </c>
      <c r="W49" s="63" t="e">
        <f t="shared" si="14"/>
        <v>#VALUE!</v>
      </c>
      <c r="X49" s="63" t="e">
        <f t="shared" si="15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>
      <c r="A50" s="47">
        <v>40011049</v>
      </c>
      <c r="B50" s="47" t="s">
        <v>288</v>
      </c>
      <c r="C50" s="50">
        <v>3</v>
      </c>
      <c r="D50" s="50" t="s">
        <v>128</v>
      </c>
      <c r="E50" s="51" t="s">
        <v>269</v>
      </c>
      <c r="F50" s="51" t="s">
        <v>283</v>
      </c>
      <c r="G50" s="63" t="str">
        <f t="shared" si="0"/>
        <v>[effect:sleep, target:unit_one, turn:2, rate:0.75]</v>
      </c>
      <c r="H50" s="63">
        <f t="shared" si="1"/>
        <v>9</v>
      </c>
      <c r="I50" s="63">
        <f t="shared" si="2"/>
        <v>14</v>
      </c>
      <c r="J50" s="63">
        <f t="shared" si="3"/>
        <v>23</v>
      </c>
      <c r="K50" s="63">
        <f t="shared" si="4"/>
        <v>31</v>
      </c>
      <c r="L50" s="63" t="str">
        <f>IFERROR(VLOOKUP(MID(G50,J50,K50-J50),[6]skilldef!$C:$D,2,FALSE),"-") &amp; " / " &amp; IFERROR(VLOOKUP(MID(G50,H50,I50-H50),[6]skilldef!$A:$B,2,FALSE),"-")</f>
        <v>味方単体に / スリープ</v>
      </c>
      <c r="M50" s="63" t="str">
        <f t="shared" si="5"/>
        <v>[effect:sleep, target:unit_one, turn:2, rate:0.75]</v>
      </c>
      <c r="N50" s="48" t="str">
        <f t="shared" si="6"/>
        <v>[effect:sleep, target:unit_one, turn:2, rate:0.75]</v>
      </c>
      <c r="O50" s="63">
        <f t="shared" si="7"/>
        <v>9</v>
      </c>
      <c r="P50" s="63">
        <f t="shared" si="8"/>
        <v>14</v>
      </c>
      <c r="Q50" s="63">
        <f t="shared" si="9"/>
        <v>23</v>
      </c>
      <c r="R50" s="63">
        <f t="shared" si="10"/>
        <v>31</v>
      </c>
      <c r="S50" s="63" t="str">
        <f>IFERROR(VLOOKUP(MID(N50,Q50,R50-Q50),[6]skilldef!$C:$D,2,FALSE),"-") &amp; " / " &amp; IFERROR(VLOOKUP(MID(N50,O50,P50-O50),[6]skilldef!$A:$B,2,FALSE),"-")</f>
        <v>味方単体に / スリープ</v>
      </c>
      <c r="T50" s="48" t="str">
        <f t="shared" si="11"/>
        <v>none</v>
      </c>
      <c r="U50" s="63" t="e">
        <f t="shared" si="12"/>
        <v>#VALUE!</v>
      </c>
      <c r="V50" s="63">
        <f t="shared" si="13"/>
        <v>4</v>
      </c>
      <c r="W50" s="63" t="e">
        <f t="shared" si="14"/>
        <v>#VALUE!</v>
      </c>
      <c r="X50" s="63" t="e">
        <f t="shared" si="15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>
      <c r="A51" s="47">
        <v>40011050</v>
      </c>
      <c r="B51" s="47" t="s">
        <v>287</v>
      </c>
      <c r="C51" s="50">
        <v>3</v>
      </c>
      <c r="D51" s="50" t="s">
        <v>128</v>
      </c>
      <c r="E51" s="51" t="s">
        <v>271</v>
      </c>
      <c r="F51" s="51" t="s">
        <v>284</v>
      </c>
      <c r="G51" s="63" t="str">
        <f t="shared" si="0"/>
        <v xml:space="preserve">[effect:damage_anti_abnormal, target:unit_all, target_effect01:sleep, val1:0.5, val2:0.1]    </v>
      </c>
      <c r="H51" s="63">
        <f t="shared" si="1"/>
        <v>9</v>
      </c>
      <c r="I51" s="63">
        <f t="shared" si="2"/>
        <v>29</v>
      </c>
      <c r="J51" s="63">
        <f t="shared" si="3"/>
        <v>38</v>
      </c>
      <c r="K51" s="63">
        <f t="shared" si="4"/>
        <v>46</v>
      </c>
      <c r="L51" s="63" t="str">
        <f>IFERROR(VLOOKUP(MID(G51,J51,K51-J51),[6]skilldef!$C:$D,2,FALSE),"-") &amp; " / " &amp; IFERROR(VLOOKUP(MID(G51,H51,I51-H51),[6]skilldef!$A:$B,2,FALSE),"-")</f>
        <v>味方全体に / -</v>
      </c>
      <c r="M51" s="63" t="str">
        <f t="shared" si="5"/>
        <v>none</v>
      </c>
      <c r="N51" s="48" t="str">
        <f t="shared" si="6"/>
        <v>none</v>
      </c>
      <c r="O51" s="63" t="e">
        <f t="shared" si="7"/>
        <v>#VALUE!</v>
      </c>
      <c r="P51" s="63">
        <f t="shared" si="8"/>
        <v>4</v>
      </c>
      <c r="Q51" s="63" t="e">
        <f t="shared" si="9"/>
        <v>#VALUE!</v>
      </c>
      <c r="R51" s="63" t="e">
        <f t="shared" si="10"/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11"/>
        <v>none</v>
      </c>
      <c r="U51" s="63" t="e">
        <f t="shared" si="12"/>
        <v>#VALUE!</v>
      </c>
      <c r="V51" s="63">
        <f t="shared" si="13"/>
        <v>4</v>
      </c>
      <c r="W51" s="63" t="e">
        <f t="shared" si="14"/>
        <v>#VALUE!</v>
      </c>
      <c r="X51" s="63" t="e">
        <f t="shared" si="15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>
      <c r="A52" s="47">
        <v>40011051</v>
      </c>
      <c r="B52" s="47" t="s">
        <v>215</v>
      </c>
      <c r="C52" s="50">
        <v>3</v>
      </c>
      <c r="D52" s="50" t="s">
        <v>128</v>
      </c>
      <c r="E52" s="51" t="s">
        <v>225</v>
      </c>
      <c r="F52" s="51" t="s">
        <v>217</v>
      </c>
      <c r="G52" s="63" t="str">
        <f t="shared" si="0"/>
        <v>[effect:nothing]</v>
      </c>
      <c r="H52" s="63">
        <f t="shared" si="1"/>
        <v>9</v>
      </c>
      <c r="I52" s="63">
        <f t="shared" si="2"/>
        <v>16</v>
      </c>
      <c r="J52" s="63" t="e">
        <f t="shared" si="3"/>
        <v>#VALUE!</v>
      </c>
      <c r="K52" s="63" t="e">
        <f t="shared" si="4"/>
        <v>#VALUE!</v>
      </c>
      <c r="L52" s="63" t="str">
        <f>IFERROR(VLOOKUP(MID(G52,J52,K52-J52),[6]skilldef!$C:$D,2,FALSE),"-") &amp; " / " &amp; IFERROR(VLOOKUP(MID(G52,H52,I52-H52),[6]skilldef!$A:$B,2,FALSE),"-")</f>
        <v>- / 何もしない</v>
      </c>
      <c r="M52" s="63" t="str">
        <f t="shared" si="5"/>
        <v>none</v>
      </c>
      <c r="N52" s="48" t="str">
        <f t="shared" si="6"/>
        <v>none</v>
      </c>
      <c r="O52" s="63" t="e">
        <f t="shared" si="7"/>
        <v>#VALUE!</v>
      </c>
      <c r="P52" s="63">
        <f t="shared" si="8"/>
        <v>4</v>
      </c>
      <c r="Q52" s="63" t="e">
        <f t="shared" si="9"/>
        <v>#VALUE!</v>
      </c>
      <c r="R52" s="63" t="e">
        <f t="shared" si="10"/>
        <v>#VALUE!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si="11"/>
        <v>none</v>
      </c>
      <c r="U52" s="63" t="e">
        <f t="shared" si="12"/>
        <v>#VALUE!</v>
      </c>
      <c r="V52" s="63">
        <f t="shared" si="13"/>
        <v>4</v>
      </c>
      <c r="W52" s="63" t="e">
        <f t="shared" si="14"/>
        <v>#VALUE!</v>
      </c>
      <c r="X52" s="63" t="e">
        <f t="shared" si="15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>
      <c r="A53" s="47">
        <v>40011052</v>
      </c>
      <c r="B53" s="47" t="s">
        <v>215</v>
      </c>
      <c r="C53" s="50">
        <v>3</v>
      </c>
      <c r="D53" s="50" t="s">
        <v>128</v>
      </c>
      <c r="E53" s="51" t="s">
        <v>225</v>
      </c>
      <c r="F53" s="51" t="s">
        <v>217</v>
      </c>
      <c r="G53" s="63" t="str">
        <f t="shared" si="0"/>
        <v>[effect:nothing]</v>
      </c>
      <c r="H53" s="63">
        <f t="shared" si="1"/>
        <v>9</v>
      </c>
      <c r="I53" s="63">
        <f t="shared" si="2"/>
        <v>16</v>
      </c>
      <c r="J53" s="63" t="e">
        <f t="shared" si="3"/>
        <v>#VALUE!</v>
      </c>
      <c r="K53" s="63" t="e">
        <f t="shared" si="4"/>
        <v>#VALUE!</v>
      </c>
      <c r="L53" s="63" t="str">
        <f>IFERROR(VLOOKUP(MID(G53,J53,K53-J53),[6]skilldef!$C:$D,2,FALSE),"-") &amp; " / " &amp; IFERROR(VLOOKUP(MID(G53,H53,I53-H53),[6]skilldef!$A:$B,2,FALSE),"-")</f>
        <v>- / 何もしない</v>
      </c>
      <c r="M53" s="63" t="str">
        <f t="shared" si="5"/>
        <v>none</v>
      </c>
      <c r="N53" s="48" t="str">
        <f t="shared" si="6"/>
        <v>none</v>
      </c>
      <c r="O53" s="63" t="e">
        <f t="shared" si="7"/>
        <v>#VALUE!</v>
      </c>
      <c r="P53" s="63">
        <f t="shared" si="8"/>
        <v>4</v>
      </c>
      <c r="Q53" s="63" t="e">
        <f t="shared" si="9"/>
        <v>#VALUE!</v>
      </c>
      <c r="R53" s="63" t="e">
        <f t="shared" si="10"/>
        <v>#VALUE!</v>
      </c>
      <c r="S53" s="63" t="str">
        <f>IFERROR(VLOOKUP(MID(N53,Q53,R53-Q53),[6]skilldef!$C:$D,2,FALSE),"-") &amp; " / " &amp; IFERROR(VLOOKUP(MID(N53,O53,P53-O53),[6]skilldef!$A:$B,2,FALSE),"-")</f>
        <v>- / -</v>
      </c>
      <c r="T53" s="48" t="str">
        <f t="shared" si="11"/>
        <v>none</v>
      </c>
      <c r="U53" s="63" t="e">
        <f t="shared" si="12"/>
        <v>#VALUE!</v>
      </c>
      <c r="V53" s="63">
        <f t="shared" si="13"/>
        <v>4</v>
      </c>
      <c r="W53" s="63" t="e">
        <f t="shared" si="14"/>
        <v>#VALUE!</v>
      </c>
      <c r="X53" s="63" t="e">
        <f t="shared" si="15"/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>
      <c r="A54" s="47">
        <v>40011053</v>
      </c>
      <c r="B54" s="47" t="s">
        <v>215</v>
      </c>
      <c r="C54" s="50">
        <v>3</v>
      </c>
      <c r="D54" s="50" t="s">
        <v>128</v>
      </c>
      <c r="E54" s="51" t="s">
        <v>225</v>
      </c>
      <c r="F54" s="51" t="s">
        <v>217</v>
      </c>
      <c r="G54" s="63" t="str">
        <f t="shared" si="0"/>
        <v>[effect:nothing]</v>
      </c>
      <c r="H54" s="63">
        <f t="shared" si="1"/>
        <v>9</v>
      </c>
      <c r="I54" s="63">
        <f t="shared" si="2"/>
        <v>16</v>
      </c>
      <c r="J54" s="63" t="e">
        <f t="shared" si="3"/>
        <v>#VALUE!</v>
      </c>
      <c r="K54" s="63" t="e">
        <f t="shared" si="4"/>
        <v>#VALUE!</v>
      </c>
      <c r="L54" s="63" t="str">
        <f>IFERROR(VLOOKUP(MID(G54,J54,K54-J54),[6]skilldef!$C:$D,2,FALSE),"-") &amp; " / " &amp; IFERROR(VLOOKUP(MID(G54,H54,I54-H54),[6]skilldef!$A:$B,2,FALSE),"-")</f>
        <v>- / 何もしない</v>
      </c>
      <c r="M54" s="63" t="str">
        <f t="shared" si="5"/>
        <v>none</v>
      </c>
      <c r="N54" s="48" t="str">
        <f t="shared" si="6"/>
        <v>none</v>
      </c>
      <c r="O54" s="63" t="e">
        <f t="shared" si="7"/>
        <v>#VALUE!</v>
      </c>
      <c r="P54" s="63">
        <f t="shared" si="8"/>
        <v>4</v>
      </c>
      <c r="Q54" s="63" t="e">
        <f t="shared" si="9"/>
        <v>#VALUE!</v>
      </c>
      <c r="R54" s="63" t="e">
        <f t="shared" si="10"/>
        <v>#VALUE!</v>
      </c>
      <c r="S54" s="63" t="str">
        <f>IFERROR(VLOOKUP(MID(N54,Q54,R54-Q54),[6]skilldef!$C:$D,2,FALSE),"-") &amp; " / " &amp; IFERROR(VLOOKUP(MID(N54,O54,P54-O54),[6]skilldef!$A:$B,2,FALSE),"-")</f>
        <v>- / -</v>
      </c>
      <c r="T54" s="48" t="str">
        <f t="shared" si="11"/>
        <v>none</v>
      </c>
      <c r="U54" s="63" t="e">
        <f t="shared" si="12"/>
        <v>#VALUE!</v>
      </c>
      <c r="V54" s="63">
        <f t="shared" si="13"/>
        <v>4</v>
      </c>
      <c r="W54" s="63" t="e">
        <f t="shared" si="14"/>
        <v>#VALUE!</v>
      </c>
      <c r="X54" s="63" t="e">
        <f t="shared" si="15"/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>
      <c r="A55" s="47">
        <v>40011054</v>
      </c>
      <c r="B55" s="47" t="s">
        <v>215</v>
      </c>
      <c r="C55" s="50">
        <v>3</v>
      </c>
      <c r="D55" s="50" t="s">
        <v>128</v>
      </c>
      <c r="E55" s="51" t="s">
        <v>225</v>
      </c>
      <c r="F55" s="51" t="s">
        <v>217</v>
      </c>
      <c r="G55" s="63" t="str">
        <f t="shared" si="0"/>
        <v>[effect:nothing]</v>
      </c>
      <c r="H55" s="63">
        <f t="shared" si="1"/>
        <v>9</v>
      </c>
      <c r="I55" s="63">
        <f t="shared" si="2"/>
        <v>16</v>
      </c>
      <c r="J55" s="63" t="e">
        <f t="shared" si="3"/>
        <v>#VALUE!</v>
      </c>
      <c r="K55" s="63" t="e">
        <f t="shared" si="4"/>
        <v>#VALUE!</v>
      </c>
      <c r="L55" s="63" t="str">
        <f>IFERROR(VLOOKUP(MID(G55,J55,K55-J55),[6]skilldef!$C:$D,2,FALSE),"-") &amp; " / " &amp; IFERROR(VLOOKUP(MID(G55,H55,I55-H55),[6]skilldef!$A:$B,2,FALSE),"-")</f>
        <v>- / 何もしない</v>
      </c>
      <c r="M55" s="63" t="str">
        <f t="shared" si="5"/>
        <v>none</v>
      </c>
      <c r="N55" s="48" t="str">
        <f t="shared" si="6"/>
        <v>none</v>
      </c>
      <c r="O55" s="63" t="e">
        <f t="shared" si="7"/>
        <v>#VALUE!</v>
      </c>
      <c r="P55" s="63">
        <f t="shared" si="8"/>
        <v>4</v>
      </c>
      <c r="Q55" s="63" t="e">
        <f t="shared" si="9"/>
        <v>#VALUE!</v>
      </c>
      <c r="R55" s="63" t="e">
        <f t="shared" si="10"/>
        <v>#VALUE!</v>
      </c>
      <c r="S55" s="63" t="str">
        <f>IFERROR(VLOOKUP(MID(N55,Q55,R55-Q55),[6]skilldef!$C:$D,2,FALSE),"-") &amp; " / " &amp; IFERROR(VLOOKUP(MID(N55,O55,P55-O55),[6]skilldef!$A:$B,2,FALSE),"-")</f>
        <v>- / -</v>
      </c>
      <c r="T55" s="48" t="str">
        <f t="shared" si="11"/>
        <v>none</v>
      </c>
      <c r="U55" s="63" t="e">
        <f t="shared" si="12"/>
        <v>#VALUE!</v>
      </c>
      <c r="V55" s="63">
        <f t="shared" si="13"/>
        <v>4</v>
      </c>
      <c r="W55" s="63" t="e">
        <f t="shared" si="14"/>
        <v>#VALUE!</v>
      </c>
      <c r="X55" s="63" t="e">
        <f t="shared" si="15"/>
        <v>#VALUE!</v>
      </c>
      <c r="Y55" s="63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>
      <c r="A56" s="47">
        <v>40011055</v>
      </c>
      <c r="B56" s="47" t="s">
        <v>215</v>
      </c>
      <c r="C56" s="50">
        <v>3</v>
      </c>
      <c r="D56" s="50" t="s">
        <v>128</v>
      </c>
      <c r="E56" s="51" t="s">
        <v>225</v>
      </c>
      <c r="F56" s="51" t="s">
        <v>217</v>
      </c>
      <c r="G56" s="63" t="str">
        <f t="shared" si="0"/>
        <v>[effect:nothing]</v>
      </c>
      <c r="H56" s="63">
        <f t="shared" si="1"/>
        <v>9</v>
      </c>
      <c r="I56" s="63">
        <f t="shared" si="2"/>
        <v>16</v>
      </c>
      <c r="J56" s="63" t="e">
        <f t="shared" si="3"/>
        <v>#VALUE!</v>
      </c>
      <c r="K56" s="63" t="e">
        <f t="shared" si="4"/>
        <v>#VALUE!</v>
      </c>
      <c r="L56" s="63" t="str">
        <f>IFERROR(VLOOKUP(MID(G56,J56,K56-J56),[6]skilldef!$C:$D,2,FALSE),"-") &amp; " / " &amp; IFERROR(VLOOKUP(MID(G56,H56,I56-H56),[6]skilldef!$A:$B,2,FALSE),"-")</f>
        <v>- / 何もしない</v>
      </c>
      <c r="M56" s="63" t="str">
        <f t="shared" si="5"/>
        <v>none</v>
      </c>
      <c r="N56" s="48" t="str">
        <f t="shared" si="6"/>
        <v>none</v>
      </c>
      <c r="O56" s="63" t="e">
        <f t="shared" si="7"/>
        <v>#VALUE!</v>
      </c>
      <c r="P56" s="63">
        <f t="shared" si="8"/>
        <v>4</v>
      </c>
      <c r="Q56" s="63" t="e">
        <f t="shared" si="9"/>
        <v>#VALUE!</v>
      </c>
      <c r="R56" s="63" t="e">
        <f t="shared" si="10"/>
        <v>#VALUE!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si="11"/>
        <v>none</v>
      </c>
      <c r="U56" s="63" t="e">
        <f t="shared" si="12"/>
        <v>#VALUE!</v>
      </c>
      <c r="V56" s="63">
        <f t="shared" si="13"/>
        <v>4</v>
      </c>
      <c r="W56" s="63" t="e">
        <f t="shared" si="14"/>
        <v>#VALUE!</v>
      </c>
      <c r="X56" s="63" t="e">
        <f t="shared" si="15"/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>
      <c r="A57" s="47">
        <v>40011056</v>
      </c>
      <c r="B57" s="47" t="s">
        <v>272</v>
      </c>
      <c r="C57" s="50">
        <v>3</v>
      </c>
      <c r="D57" s="50" t="s">
        <v>128</v>
      </c>
      <c r="E57" s="51" t="s">
        <v>273</v>
      </c>
      <c r="F57" s="51" t="s">
        <v>286</v>
      </c>
      <c r="G57" s="63" t="str">
        <f t="shared" si="0"/>
        <v>[effect:tolerance, target:myself, turn:-1, tolerance_effect:virus, count:-1]</v>
      </c>
      <c r="H57" s="63">
        <f t="shared" si="1"/>
        <v>9</v>
      </c>
      <c r="I57" s="63">
        <f t="shared" si="2"/>
        <v>18</v>
      </c>
      <c r="J57" s="63">
        <f t="shared" si="3"/>
        <v>27</v>
      </c>
      <c r="K57" s="63">
        <f t="shared" si="4"/>
        <v>33</v>
      </c>
      <c r="L57" s="63" t="str">
        <f>IFERROR(VLOOKUP(MID(G57,J57,K57-J57),[6]skilldef!$C:$D,2,FALSE),"-") &amp; " / " &amp; IFERROR(VLOOKUP(MID(G57,H57,I57-H57),[6]skilldef!$A:$B,2,FALSE),"-")</f>
        <v>自分自身に / 状態異常耐性</v>
      </c>
      <c r="M57" s="63" t="str">
        <f t="shared" si="5"/>
        <v>[effect:tolerance, target:myself, turn:-1, tolerance_effect:sleep, count:-1],[effect:tolerance, target:myself, turn:-1, tolerance_effect:hungup, count:-1, animation:enemy_tolerance],[effect:enhance_enemy, target:myself, turn:5, status:defense, val:2000, calc:add, animation:enemy_enhance_defense],[effect:fix_speed, target:myself, turn:1]</v>
      </c>
      <c r="N57" s="48" t="str">
        <f t="shared" si="6"/>
        <v>[effect:tolerance, target:myself, turn:-1, tolerance_effect:sleep, count:-1]</v>
      </c>
      <c r="O57" s="63">
        <f t="shared" si="7"/>
        <v>9</v>
      </c>
      <c r="P57" s="63">
        <f t="shared" si="8"/>
        <v>18</v>
      </c>
      <c r="Q57" s="63">
        <f t="shared" si="9"/>
        <v>27</v>
      </c>
      <c r="R57" s="63">
        <f t="shared" si="10"/>
        <v>33</v>
      </c>
      <c r="S57" s="63" t="str">
        <f>IFERROR(VLOOKUP(MID(N57,Q57,R57-Q57),[6]skilldef!$C:$D,2,FALSE),"-") &amp; " / " &amp; IFERROR(VLOOKUP(MID(N57,O57,P57-O57),[6]skilldef!$A:$B,2,FALSE),"-")</f>
        <v>自分自身に / 状態異常耐性</v>
      </c>
      <c r="T57" s="48" t="str">
        <f t="shared" si="11"/>
        <v>[effect:tolerance, target:myself, turn:-1, tolerance_effect:hungup, count:-1, animation:enemy_tolerance],[effect:enhance_enemy, target:myself, turn:5, status:defense, val:2000, calc:add, animation:enemy_enhance_defense],[effect:fix_speed, target:myself, turn:1]</v>
      </c>
      <c r="U57" s="63">
        <f t="shared" si="12"/>
        <v>9</v>
      </c>
      <c r="V57" s="63">
        <f t="shared" si="13"/>
        <v>18</v>
      </c>
      <c r="W57" s="63">
        <f t="shared" si="14"/>
        <v>27</v>
      </c>
      <c r="X57" s="63">
        <f t="shared" si="15"/>
        <v>33</v>
      </c>
      <c r="Y57" s="63" t="str">
        <f>IFERROR(VLOOKUP(MID(T57,W57,X57-W57),[6]skilldef!$C:$D,2,FALSE),"-") &amp; " / " &amp; IFERROR(VLOOKUP(MID(T57,U57,V57-U57),[6]skilldef!$A:$B,2,FALSE),"-")</f>
        <v>自分自身に / 状態異常耐性</v>
      </c>
      <c r="Z57" s="50"/>
      <c r="AA57" s="52"/>
      <c r="AB57" s="50"/>
    </row>
    <row r="58" spans="1:28" ht="21" customHeight="1">
      <c r="A58" s="47">
        <v>40011057</v>
      </c>
      <c r="B58" s="47" t="s">
        <v>247</v>
      </c>
      <c r="C58" s="50">
        <v>3</v>
      </c>
      <c r="D58" s="50" t="s">
        <v>128</v>
      </c>
      <c r="E58" s="51" t="s">
        <v>270</v>
      </c>
      <c r="F58" s="51" t="s">
        <v>231</v>
      </c>
      <c r="G58" s="63" t="str">
        <f t="shared" si="0"/>
        <v>[effect:damage_anti_tribe, target:unit_all, tribe:god, val1:0.7, val2:0.3]</v>
      </c>
      <c r="H58" s="63">
        <f t="shared" si="1"/>
        <v>9</v>
      </c>
      <c r="I58" s="63">
        <f t="shared" si="2"/>
        <v>26</v>
      </c>
      <c r="J58" s="63">
        <f t="shared" si="3"/>
        <v>35</v>
      </c>
      <c r="K58" s="63">
        <f t="shared" si="4"/>
        <v>43</v>
      </c>
      <c r="L58" s="63" t="str">
        <f>IFERROR(VLOOKUP(MID(G58,J58,K58-J58),[6]skilldef!$C:$D,2,FALSE),"-") &amp; " / " &amp; IFERROR(VLOOKUP(MID(G58,H58,I58-H58),[6]skilldef!$A:$B,2,FALSE),"-")</f>
        <v>味方全体に / 種族キラー</v>
      </c>
      <c r="M58" s="63" t="str">
        <f t="shared" si="5"/>
        <v>none</v>
      </c>
      <c r="N58" s="48" t="str">
        <f t="shared" si="6"/>
        <v>none</v>
      </c>
      <c r="O58" s="63" t="e">
        <f t="shared" si="7"/>
        <v>#VALUE!</v>
      </c>
      <c r="P58" s="63">
        <f t="shared" si="8"/>
        <v>4</v>
      </c>
      <c r="Q58" s="63" t="e">
        <f t="shared" si="9"/>
        <v>#VALUE!</v>
      </c>
      <c r="R58" s="63" t="e">
        <f t="shared" si="10"/>
        <v>#VALUE!</v>
      </c>
      <c r="S58" s="63" t="str">
        <f>IFERROR(VLOOKUP(MID(N58,Q58,R58-Q58),[6]skilldef!$C:$D,2,FALSE),"-") &amp; " / " &amp; IFERROR(VLOOKUP(MID(N58,O58,P58-O58),[6]skilldef!$A:$B,2,FALSE),"-")</f>
        <v>- / -</v>
      </c>
      <c r="T58" s="48" t="str">
        <f t="shared" si="11"/>
        <v>none</v>
      </c>
      <c r="U58" s="63" t="e">
        <f t="shared" si="12"/>
        <v>#VALUE!</v>
      </c>
      <c r="V58" s="63">
        <f t="shared" si="13"/>
        <v>4</v>
      </c>
      <c r="W58" s="63" t="e">
        <f t="shared" si="14"/>
        <v>#VALUE!</v>
      </c>
      <c r="X58" s="63" t="e">
        <f t="shared" si="15"/>
        <v>#VALUE!</v>
      </c>
      <c r="Y58" s="63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21" customHeight="1">
      <c r="A59" s="47">
        <v>40011058</v>
      </c>
      <c r="B59" s="47" t="s">
        <v>249</v>
      </c>
      <c r="C59" s="50">
        <v>3</v>
      </c>
      <c r="D59" s="50" t="s">
        <v>128</v>
      </c>
      <c r="E59" s="51" t="s">
        <v>268</v>
      </c>
      <c r="F59" s="51" t="s">
        <v>227</v>
      </c>
      <c r="G59" s="63" t="str">
        <f t="shared" si="0"/>
        <v>[effect:rush, count:4, val:0.3]</v>
      </c>
      <c r="H59" s="63">
        <f t="shared" si="1"/>
        <v>9</v>
      </c>
      <c r="I59" s="63">
        <f t="shared" si="2"/>
        <v>13</v>
      </c>
      <c r="J59" s="63" t="e">
        <f t="shared" si="3"/>
        <v>#VALUE!</v>
      </c>
      <c r="K59" s="63">
        <f t="shared" si="4"/>
        <v>22</v>
      </c>
      <c r="L59" s="63" t="str">
        <f>IFERROR(VLOOKUP(MID(G59,J59,K59-J59),[6]skilldef!$C:$D,2,FALSE),"-") &amp; " / " &amp; IFERROR(VLOOKUP(MID(G59,H59,I59-H59),[6]skilldef!$A:$B,2,FALSE),"-")</f>
        <v>- / 連続攻撃</v>
      </c>
      <c r="M59" s="63" t="str">
        <f t="shared" si="5"/>
        <v>none</v>
      </c>
      <c r="N59" s="48" t="str">
        <f t="shared" si="6"/>
        <v>none</v>
      </c>
      <c r="O59" s="63" t="e">
        <f t="shared" si="7"/>
        <v>#VALUE!</v>
      </c>
      <c r="P59" s="63">
        <f t="shared" si="8"/>
        <v>4</v>
      </c>
      <c r="Q59" s="63" t="e">
        <f t="shared" si="9"/>
        <v>#VALUE!</v>
      </c>
      <c r="R59" s="63" t="e">
        <f t="shared" si="10"/>
        <v>#VALUE!</v>
      </c>
      <c r="S59" s="63" t="str">
        <f>IFERROR(VLOOKUP(MID(N59,Q59,R59-Q59),[6]skilldef!$C:$D,2,FALSE),"-") &amp; " / " &amp; IFERROR(VLOOKUP(MID(N59,O59,P59-O59),[6]skilldef!$A:$B,2,FALSE),"-")</f>
        <v>- / -</v>
      </c>
      <c r="T59" s="48" t="str">
        <f t="shared" si="11"/>
        <v>none</v>
      </c>
      <c r="U59" s="63" t="e">
        <f t="shared" si="12"/>
        <v>#VALUE!</v>
      </c>
      <c r="V59" s="63">
        <f t="shared" si="13"/>
        <v>4</v>
      </c>
      <c r="W59" s="63" t="e">
        <f t="shared" si="14"/>
        <v>#VALUE!</v>
      </c>
      <c r="X59" s="63" t="e">
        <f t="shared" si="15"/>
        <v>#VALUE!</v>
      </c>
      <c r="Y59" s="63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>
      <c r="A60" s="47">
        <v>40011059</v>
      </c>
      <c r="B60" s="47" t="s">
        <v>248</v>
      </c>
      <c r="C60" s="50">
        <v>3</v>
      </c>
      <c r="D60" s="50" t="s">
        <v>128</v>
      </c>
      <c r="E60" s="51" t="s">
        <v>274</v>
      </c>
      <c r="F60" s="51" t="s">
        <v>275</v>
      </c>
      <c r="G60" s="63" t="str">
        <f t="shared" si="0"/>
        <v>[effect:enhance_enemy, target:myself, turn:3, status:attack, val:1.2, calc:mul, animation:enemy_enhance_attack]</v>
      </c>
      <c r="H60" s="63">
        <f t="shared" si="1"/>
        <v>9</v>
      </c>
      <c r="I60" s="63">
        <f t="shared" si="2"/>
        <v>22</v>
      </c>
      <c r="J60" s="63">
        <f t="shared" si="3"/>
        <v>31</v>
      </c>
      <c r="K60" s="63">
        <f t="shared" si="4"/>
        <v>37</v>
      </c>
      <c r="L60" s="63" t="str">
        <f>IFERROR(VLOOKUP(MID(G60,J60,K60-J60),[6]skilldef!$C:$D,2,FALSE),"-") &amp; " / " &amp; IFERROR(VLOOKUP(MID(G60,H60,I60-H60),[6]skilldef!$A:$B,2,FALSE),"-")</f>
        <v>自分自身に / ステータス強化</v>
      </c>
      <c r="M60" s="63" t="str">
        <f t="shared" si="5"/>
        <v>none</v>
      </c>
      <c r="N60" s="48" t="str">
        <f t="shared" si="6"/>
        <v>none</v>
      </c>
      <c r="O60" s="63" t="e">
        <f t="shared" si="7"/>
        <v>#VALUE!</v>
      </c>
      <c r="P60" s="63">
        <f t="shared" si="8"/>
        <v>4</v>
      </c>
      <c r="Q60" s="63" t="e">
        <f t="shared" si="9"/>
        <v>#VALUE!</v>
      </c>
      <c r="R60" s="63" t="e">
        <f t="shared" si="10"/>
        <v>#VALUE!</v>
      </c>
      <c r="S60" s="63" t="str">
        <f>IFERROR(VLOOKUP(MID(N60,Q60,R60-Q60),[6]skilldef!$C:$D,2,FALSE),"-") &amp; " / " &amp; IFERROR(VLOOKUP(MID(N60,O60,P60-O60),[6]skilldef!$A:$B,2,FALSE),"-")</f>
        <v>- / -</v>
      </c>
      <c r="T60" s="48" t="str">
        <f t="shared" si="11"/>
        <v>none</v>
      </c>
      <c r="U60" s="63" t="e">
        <f t="shared" si="12"/>
        <v>#VALUE!</v>
      </c>
      <c r="V60" s="63">
        <f t="shared" si="13"/>
        <v>4</v>
      </c>
      <c r="W60" s="63" t="e">
        <f t="shared" si="14"/>
        <v>#VALUE!</v>
      </c>
      <c r="X60" s="63" t="e">
        <f t="shared" si="15"/>
        <v>#VALUE!</v>
      </c>
      <c r="Y60" s="63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21" customHeight="1">
      <c r="A61" s="47">
        <v>40011060</v>
      </c>
      <c r="B61" s="47" t="s">
        <v>239</v>
      </c>
      <c r="C61" s="50">
        <v>3</v>
      </c>
      <c r="D61" s="50" t="s">
        <v>128</v>
      </c>
      <c r="E61" s="51" t="s">
        <v>295</v>
      </c>
      <c r="F61" s="51" t="s">
        <v>276</v>
      </c>
      <c r="G61" s="63" t="str">
        <f t="shared" ref="G61" si="16">IFERROR(LEFT(B61,FIND("],",B61)),B61)</f>
        <v>[effect:remove_enhancement, target:unit_all, target_effect:enhance, target_type:buff, animation:frozen_wave]</v>
      </c>
      <c r="H61" s="63">
        <f t="shared" si="1"/>
        <v>9</v>
      </c>
      <c r="I61" s="63">
        <f t="shared" ref="I61" si="17">IFERROR(FIND(",",G61),LEN(G61))</f>
        <v>27</v>
      </c>
      <c r="J61" s="63">
        <f t="shared" ref="J61" si="18">FIND("target:",G61)+7</f>
        <v>36</v>
      </c>
      <c r="K61" s="63">
        <f t="shared" ref="K61" si="19">FIND(",",G61,I61+1)</f>
        <v>44</v>
      </c>
      <c r="L61" s="63" t="str">
        <f>IFERROR(VLOOKUP(MID(G61,J61,K61-J61),[6]skilldef!$C:$D,2,FALSE),"-") &amp; " / " &amp; IFERROR(VLOOKUP(MID(G61,H61,I61-H61),[6]skilldef!$A:$B,2,FALSE),"-")</f>
        <v>味方全体に / -</v>
      </c>
      <c r="M61" s="63" t="str">
        <f t="shared" ref="M61" si="20">IFERROR(RIGHT(B61,LEN(B61)-FIND("],",B61)-1),"none")</f>
        <v>none</v>
      </c>
      <c r="N61" s="48" t="str">
        <f t="shared" ref="N61" si="21">IFERROR(LEFT(M61,FIND("],",M61)+S71),M61)</f>
        <v>none</v>
      </c>
      <c r="O61" s="63" t="e">
        <f t="shared" si="7"/>
        <v>#VALUE!</v>
      </c>
      <c r="P61" s="63">
        <f t="shared" ref="P61" si="22">IFERROR(FIND(",",N61),LEN(N61))</f>
        <v>4</v>
      </c>
      <c r="Q61" s="63" t="e">
        <f t="shared" ref="Q61" si="23">FIND("target:",N61)+7</f>
        <v>#VALUE!</v>
      </c>
      <c r="R61" s="63" t="e">
        <f t="shared" ref="R61" si="24">FIND(",",N61,P61+1)</f>
        <v>#VALUE!</v>
      </c>
      <c r="S61" s="63" t="str">
        <f>IFERROR(VLOOKUP(MID(N61,Q61,R61-Q61),[6]skilldef!$C:$D,2,FALSE),"-") &amp; " / " &amp; IFERROR(VLOOKUP(MID(N61,O61,P61-O61),[6]skilldef!$A:$B,2,FALSE),"-")</f>
        <v>- / -</v>
      </c>
      <c r="T61" s="48" t="str">
        <f t="shared" ref="T61" si="25">IFERROR(RIGHT(M61,LEN(M61)-FIND("],",M61)-1),"none")</f>
        <v>none</v>
      </c>
      <c r="U61" s="63" t="e">
        <f t="shared" si="12"/>
        <v>#VALUE!</v>
      </c>
      <c r="V61" s="63">
        <f t="shared" ref="V61" si="26">IFERROR(FIND(",",T61),LEN(T61))</f>
        <v>4</v>
      </c>
      <c r="W61" s="63" t="e">
        <f t="shared" ref="W61" si="27">FIND("target:",T61)+7</f>
        <v>#VALUE!</v>
      </c>
      <c r="X61" s="63" t="e">
        <f t="shared" ref="X61" si="28">FIND(",",T61,V61+1)</f>
        <v>#VALUE!</v>
      </c>
      <c r="Y61" s="63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21" customHeight="1">
      <c r="A62" s="47">
        <v>40011061</v>
      </c>
      <c r="B62" s="47" t="s">
        <v>244</v>
      </c>
      <c r="C62" s="50">
        <v>3</v>
      </c>
      <c r="D62" s="50" t="s">
        <v>128</v>
      </c>
      <c r="E62" s="51" t="s">
        <v>297</v>
      </c>
      <c r="F62" s="51" t="s">
        <v>277</v>
      </c>
      <c r="G62" s="63" t="str">
        <f t="shared" ref="G62:G66" si="29">IFERROR(LEFT(B62,FIND("],",B62)),B62)</f>
        <v>[effect:break_attack, val:0.1, lowest_val:3000, count:-1, block:block_green, target:unit_one]</v>
      </c>
      <c r="H62" s="63">
        <f t="shared" si="1"/>
        <v>9</v>
      </c>
      <c r="I62" s="63">
        <f t="shared" ref="I62:I66" si="30">IFERROR(FIND(",",G62),LEN(G62))</f>
        <v>21</v>
      </c>
      <c r="J62" s="63">
        <f t="shared" ref="J62:J66" si="31">FIND("target:",G62)+7</f>
        <v>85</v>
      </c>
      <c r="K62" s="63">
        <f t="shared" ref="K62:K66" si="32">FIND(",",G62,I62+1)</f>
        <v>30</v>
      </c>
      <c r="L62" s="63" t="str">
        <f>IFERROR(VLOOKUP(MID(G62,J62,K62-J62),[6]skilldef!$C:$D,2,FALSE),"-") &amp; " / " &amp; IFERROR(VLOOKUP(MID(G62,H62,I62-H62),[6]skilldef!$A:$B,2,FALSE),"-")</f>
        <v>- / -</v>
      </c>
      <c r="M62" s="63" t="str">
        <f t="shared" ref="M62:M66" si="33">IFERROR(RIGHT(B62,LEN(B62)-FIND("],",B62)-1),"none")</f>
        <v>none</v>
      </c>
      <c r="N62" s="48" t="str">
        <f t="shared" ref="N62:N66" si="34">IFERROR(LEFT(M62,FIND("],",M62)+S72),M62)</f>
        <v>none</v>
      </c>
      <c r="O62" s="63" t="e">
        <f t="shared" si="7"/>
        <v>#VALUE!</v>
      </c>
      <c r="P62" s="63">
        <f t="shared" ref="P62:P66" si="35">IFERROR(FIND(",",N62),LEN(N62))</f>
        <v>4</v>
      </c>
      <c r="Q62" s="63" t="e">
        <f t="shared" ref="Q62:Q66" si="36">FIND("target:",N62)+7</f>
        <v>#VALUE!</v>
      </c>
      <c r="R62" s="63" t="e">
        <f t="shared" ref="R62:R66" si="37">FIND(",",N62,P62+1)</f>
        <v>#VALUE!</v>
      </c>
      <c r="S62" s="63" t="str">
        <f>IFERROR(VLOOKUP(MID(N62,Q62,R62-Q62),[6]skilldef!$C:$D,2,FALSE),"-") &amp; " / " &amp; IFERROR(VLOOKUP(MID(N62,O62,P62-O62),[6]skilldef!$A:$B,2,FALSE),"-")</f>
        <v>- / -</v>
      </c>
      <c r="T62" s="48" t="str">
        <f t="shared" ref="T62:T66" si="38">IFERROR(RIGHT(M62,LEN(M62)-FIND("],",M62)-1),"none")</f>
        <v>none</v>
      </c>
      <c r="U62" s="63" t="e">
        <f t="shared" si="12"/>
        <v>#VALUE!</v>
      </c>
      <c r="V62" s="63">
        <f t="shared" ref="V62:V66" si="39">IFERROR(FIND(",",T62),LEN(T62))</f>
        <v>4</v>
      </c>
      <c r="W62" s="63" t="e">
        <f t="shared" ref="W62:W66" si="40">FIND("target:",T62)+7</f>
        <v>#VALUE!</v>
      </c>
      <c r="X62" s="63" t="e">
        <f t="shared" ref="X62:X66" si="41">FIND(",",T62,V62+1)</f>
        <v>#VALUE!</v>
      </c>
      <c r="Y62" s="63" t="str">
        <f>IFERROR(VLOOKUP(MID(T62,W62,X62-W62),[6]skilldef!$C:$D,2,FALSE),"-") &amp; " / " &amp; IFERROR(VLOOKUP(MID(T62,U62,V62-U62),[6]skilldef!$A:$B,2,FALSE),"-")</f>
        <v>- / -</v>
      </c>
      <c r="Z62" s="50"/>
      <c r="AA62" s="52"/>
      <c r="AB62" s="50"/>
    </row>
    <row r="63" spans="1:28" ht="21" customHeight="1">
      <c r="A63" s="47">
        <v>40011062</v>
      </c>
      <c r="B63" s="47" t="s">
        <v>245</v>
      </c>
      <c r="C63" s="50">
        <v>3</v>
      </c>
      <c r="D63" s="50" t="s">
        <v>128</v>
      </c>
      <c r="E63" s="51" t="s">
        <v>296</v>
      </c>
      <c r="F63" s="51" t="s">
        <v>277</v>
      </c>
      <c r="G63" s="63" t="str">
        <f t="shared" si="29"/>
        <v>[effect:break_attack, val:0.1, lowest_val:4000, count:-1, block:block_green, target:unit_one]</v>
      </c>
      <c r="H63" s="63">
        <f t="shared" si="1"/>
        <v>9</v>
      </c>
      <c r="I63" s="63">
        <f t="shared" si="30"/>
        <v>21</v>
      </c>
      <c r="J63" s="63">
        <f t="shared" si="31"/>
        <v>85</v>
      </c>
      <c r="K63" s="63">
        <f t="shared" si="32"/>
        <v>30</v>
      </c>
      <c r="L63" s="63" t="str">
        <f>IFERROR(VLOOKUP(MID(G63,J63,K63-J63),[6]skilldef!$C:$D,2,FALSE),"-") &amp; " / " &amp; IFERROR(VLOOKUP(MID(G63,H63,I63-H63),[6]skilldef!$A:$B,2,FALSE),"-")</f>
        <v>- / -</v>
      </c>
      <c r="M63" s="63" t="str">
        <f t="shared" si="33"/>
        <v>none</v>
      </c>
      <c r="N63" s="48" t="str">
        <f t="shared" si="34"/>
        <v>none</v>
      </c>
      <c r="O63" s="63" t="e">
        <f t="shared" si="7"/>
        <v>#VALUE!</v>
      </c>
      <c r="P63" s="63">
        <f t="shared" si="35"/>
        <v>4</v>
      </c>
      <c r="Q63" s="63" t="e">
        <f t="shared" si="36"/>
        <v>#VALUE!</v>
      </c>
      <c r="R63" s="63" t="e">
        <f t="shared" si="37"/>
        <v>#VALUE!</v>
      </c>
      <c r="S63" s="63" t="str">
        <f>IFERROR(VLOOKUP(MID(N63,Q63,R63-Q63),[6]skilldef!$C:$D,2,FALSE),"-") &amp; " / " &amp; IFERROR(VLOOKUP(MID(N63,O63,P63-O63),[6]skilldef!$A:$B,2,FALSE),"-")</f>
        <v>- / -</v>
      </c>
      <c r="T63" s="48" t="str">
        <f t="shared" si="38"/>
        <v>none</v>
      </c>
      <c r="U63" s="63" t="e">
        <f t="shared" si="12"/>
        <v>#VALUE!</v>
      </c>
      <c r="V63" s="63">
        <f t="shared" si="39"/>
        <v>4</v>
      </c>
      <c r="W63" s="63" t="e">
        <f t="shared" si="40"/>
        <v>#VALUE!</v>
      </c>
      <c r="X63" s="63" t="e">
        <f t="shared" si="41"/>
        <v>#VALUE!</v>
      </c>
      <c r="Y63" s="63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>
      <c r="A64" s="47">
        <v>40011063</v>
      </c>
      <c r="B64" s="47" t="s">
        <v>246</v>
      </c>
      <c r="C64" s="50">
        <v>3</v>
      </c>
      <c r="D64" s="50" t="s">
        <v>128</v>
      </c>
      <c r="E64" s="51" t="s">
        <v>298</v>
      </c>
      <c r="F64" s="51" t="s">
        <v>277</v>
      </c>
      <c r="G64" s="63" t="str">
        <f t="shared" si="29"/>
        <v>[effect:break_attack, val:0.1, lowest_val:5000, count:-1, block:block_green, target:unit_one]</v>
      </c>
      <c r="H64" s="63">
        <f t="shared" si="1"/>
        <v>9</v>
      </c>
      <c r="I64" s="63">
        <f t="shared" si="30"/>
        <v>21</v>
      </c>
      <c r="J64" s="63">
        <f t="shared" si="31"/>
        <v>85</v>
      </c>
      <c r="K64" s="63">
        <f t="shared" si="32"/>
        <v>30</v>
      </c>
      <c r="L64" s="63" t="str">
        <f>IFERROR(VLOOKUP(MID(G64,J64,K64-J64),[6]skilldef!$C:$D,2,FALSE),"-") &amp; " / " &amp; IFERROR(VLOOKUP(MID(G64,H64,I64-H64),[6]skilldef!$A:$B,2,FALSE),"-")</f>
        <v>- / -</v>
      </c>
      <c r="M64" s="63" t="str">
        <f t="shared" si="33"/>
        <v>none</v>
      </c>
      <c r="N64" s="48" t="str">
        <f t="shared" si="34"/>
        <v>none</v>
      </c>
      <c r="O64" s="63" t="e">
        <f t="shared" si="7"/>
        <v>#VALUE!</v>
      </c>
      <c r="P64" s="63">
        <f t="shared" si="35"/>
        <v>4</v>
      </c>
      <c r="Q64" s="63" t="e">
        <f t="shared" si="36"/>
        <v>#VALUE!</v>
      </c>
      <c r="R64" s="63" t="e">
        <f t="shared" si="37"/>
        <v>#VALUE!</v>
      </c>
      <c r="S64" s="63" t="str">
        <f>IFERROR(VLOOKUP(MID(N64,Q64,R64-Q64),[6]skilldef!$C:$D,2,FALSE),"-") &amp; " / " &amp; IFERROR(VLOOKUP(MID(N64,O64,P64-O64),[6]skilldef!$A:$B,2,FALSE),"-")</f>
        <v>- / -</v>
      </c>
      <c r="T64" s="48" t="str">
        <f t="shared" si="38"/>
        <v>none</v>
      </c>
      <c r="U64" s="63" t="e">
        <f t="shared" si="12"/>
        <v>#VALUE!</v>
      </c>
      <c r="V64" s="63">
        <f t="shared" si="39"/>
        <v>4</v>
      </c>
      <c r="W64" s="63" t="e">
        <f t="shared" si="40"/>
        <v>#VALUE!</v>
      </c>
      <c r="X64" s="63" t="e">
        <f t="shared" si="41"/>
        <v>#VALUE!</v>
      </c>
      <c r="Y64" s="63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21" customHeight="1">
      <c r="A65" s="47">
        <v>40011064</v>
      </c>
      <c r="B65" s="47" t="s">
        <v>215</v>
      </c>
      <c r="C65" s="50">
        <v>3</v>
      </c>
      <c r="D65" s="50" t="s">
        <v>128</v>
      </c>
      <c r="E65" s="51" t="s">
        <v>226</v>
      </c>
      <c r="F65" s="51" t="s">
        <v>217</v>
      </c>
      <c r="G65" s="63" t="str">
        <f t="shared" si="29"/>
        <v>[effect:nothing]</v>
      </c>
      <c r="H65" s="63">
        <f t="shared" si="1"/>
        <v>9</v>
      </c>
      <c r="I65" s="63">
        <f t="shared" si="30"/>
        <v>16</v>
      </c>
      <c r="J65" s="63" t="e">
        <f t="shared" si="31"/>
        <v>#VALUE!</v>
      </c>
      <c r="K65" s="63" t="e">
        <f t="shared" si="32"/>
        <v>#VALUE!</v>
      </c>
      <c r="L65" s="63" t="str">
        <f>IFERROR(VLOOKUP(MID(G65,J65,K65-J65),[6]skilldef!$C:$D,2,FALSE),"-") &amp; " / " &amp; IFERROR(VLOOKUP(MID(G65,H65,I65-H65),[6]skilldef!$A:$B,2,FALSE),"-")</f>
        <v>- / 何もしない</v>
      </c>
      <c r="M65" s="63" t="str">
        <f t="shared" si="33"/>
        <v>none</v>
      </c>
      <c r="N65" s="48" t="str">
        <f t="shared" si="34"/>
        <v>none</v>
      </c>
      <c r="O65" s="63" t="e">
        <f t="shared" si="7"/>
        <v>#VALUE!</v>
      </c>
      <c r="P65" s="63">
        <f t="shared" si="35"/>
        <v>4</v>
      </c>
      <c r="Q65" s="63" t="e">
        <f t="shared" si="36"/>
        <v>#VALUE!</v>
      </c>
      <c r="R65" s="63" t="e">
        <f t="shared" si="37"/>
        <v>#VALUE!</v>
      </c>
      <c r="S65" s="63" t="str">
        <f>IFERROR(VLOOKUP(MID(N65,Q65,R65-Q65),[6]skilldef!$C:$D,2,FALSE),"-") &amp; " / " &amp; IFERROR(VLOOKUP(MID(N65,O65,P65-O65),[6]skilldef!$A:$B,2,FALSE),"-")</f>
        <v>- / -</v>
      </c>
      <c r="T65" s="48" t="str">
        <f t="shared" si="38"/>
        <v>none</v>
      </c>
      <c r="U65" s="63" t="e">
        <f t="shared" si="12"/>
        <v>#VALUE!</v>
      </c>
      <c r="V65" s="63">
        <f t="shared" si="39"/>
        <v>4</v>
      </c>
      <c r="W65" s="63" t="e">
        <f t="shared" si="40"/>
        <v>#VALUE!</v>
      </c>
      <c r="X65" s="63" t="e">
        <f t="shared" si="41"/>
        <v>#VALUE!</v>
      </c>
      <c r="Y65" s="63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8" ht="21" customHeight="1">
      <c r="A66" s="47">
        <v>40011065</v>
      </c>
      <c r="B66" s="47" t="s">
        <v>215</v>
      </c>
      <c r="C66" s="50">
        <v>3</v>
      </c>
      <c r="D66" s="50" t="s">
        <v>128</v>
      </c>
      <c r="E66" s="51" t="s">
        <v>226</v>
      </c>
      <c r="F66" s="51" t="s">
        <v>217</v>
      </c>
      <c r="G66" s="63" t="str">
        <f t="shared" si="29"/>
        <v>[effect:nothing]</v>
      </c>
      <c r="H66" s="63">
        <f t="shared" si="1"/>
        <v>9</v>
      </c>
      <c r="I66" s="63">
        <f t="shared" si="30"/>
        <v>16</v>
      </c>
      <c r="J66" s="63" t="e">
        <f t="shared" si="31"/>
        <v>#VALUE!</v>
      </c>
      <c r="K66" s="63" t="e">
        <f t="shared" si="32"/>
        <v>#VALUE!</v>
      </c>
      <c r="L66" s="63" t="str">
        <f>IFERROR(VLOOKUP(MID(G66,J66,K66-J66),[6]skilldef!$C:$D,2,FALSE),"-") &amp; " / " &amp; IFERROR(VLOOKUP(MID(G66,H66,I66-H66),[6]skilldef!$A:$B,2,FALSE),"-")</f>
        <v>- / 何もしない</v>
      </c>
      <c r="M66" s="63" t="str">
        <f t="shared" si="33"/>
        <v>none</v>
      </c>
      <c r="N66" s="48" t="str">
        <f t="shared" si="34"/>
        <v>none</v>
      </c>
      <c r="O66" s="63" t="e">
        <f t="shared" si="7"/>
        <v>#VALUE!</v>
      </c>
      <c r="P66" s="63">
        <f t="shared" si="35"/>
        <v>4</v>
      </c>
      <c r="Q66" s="63" t="e">
        <f t="shared" si="36"/>
        <v>#VALUE!</v>
      </c>
      <c r="R66" s="63" t="e">
        <f t="shared" si="37"/>
        <v>#VALUE!</v>
      </c>
      <c r="S66" s="63" t="str">
        <f>IFERROR(VLOOKUP(MID(N66,Q66,R66-Q66),[6]skilldef!$C:$D,2,FALSE),"-") &amp; " / " &amp; IFERROR(VLOOKUP(MID(N66,O66,P66-O66),[6]skilldef!$A:$B,2,FALSE),"-")</f>
        <v>- / -</v>
      </c>
      <c r="T66" s="48" t="str">
        <f t="shared" si="38"/>
        <v>none</v>
      </c>
      <c r="U66" s="63" t="e">
        <f t="shared" si="12"/>
        <v>#VALUE!</v>
      </c>
      <c r="V66" s="63">
        <f t="shared" si="39"/>
        <v>4</v>
      </c>
      <c r="W66" s="63" t="e">
        <f t="shared" si="40"/>
        <v>#VALUE!</v>
      </c>
      <c r="X66" s="63" t="e">
        <f t="shared" si="41"/>
        <v>#VALUE!</v>
      </c>
      <c r="Y66" s="63" t="str">
        <f>IFERROR(VLOOKUP(MID(T66,W66,X66-W66),[6]skilldef!$C:$D,2,FALSE),"-") &amp; " / " &amp; IFERROR(VLOOKUP(MID(T66,U66,V66-U66),[6]skilldef!$A:$B,2,FALSE),"-")</f>
        <v>- / -</v>
      </c>
      <c r="Z66" s="50"/>
      <c r="AA66" s="52"/>
      <c r="AB66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6"/>
  <sheetViews>
    <sheetView showGridLines="0" workbookViewId="0">
      <pane ySplit="1" topLeftCell="A18" activePane="bottomLeft" state="frozenSplit"/>
      <selection pane="bottomLeft" activeCell="E24" sqref="E24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47">
        <v>40011001</v>
      </c>
      <c r="B2" s="47">
        <v>0</v>
      </c>
      <c r="C2" s="47" t="s">
        <v>89</v>
      </c>
      <c r="D2" s="47">
        <v>100</v>
      </c>
      <c r="E2" s="47" t="s">
        <v>232</v>
      </c>
      <c r="F2" s="47" t="s">
        <v>90</v>
      </c>
      <c r="G2" s="47" t="s">
        <v>90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>
      <c r="A3" s="47">
        <v>40011002</v>
      </c>
      <c r="B3" s="47">
        <v>0</v>
      </c>
      <c r="C3" s="47" t="s">
        <v>89</v>
      </c>
      <c r="D3" s="47">
        <v>100</v>
      </c>
      <c r="E3" s="47" t="s">
        <v>232</v>
      </c>
      <c r="F3" s="47" t="s">
        <v>90</v>
      </c>
      <c r="G3" s="47" t="s">
        <v>90</v>
      </c>
      <c r="H3" s="47" t="s">
        <v>90</v>
      </c>
      <c r="I3" s="47" t="s">
        <v>90</v>
      </c>
      <c r="J3" s="48">
        <f t="shared" ref="J3:J65" si="1">D3</f>
        <v>100</v>
      </c>
    </row>
    <row r="4" spans="1:11" ht="21" customHeight="1">
      <c r="A4" s="47">
        <v>40011003</v>
      </c>
      <c r="B4" s="47">
        <v>0</v>
      </c>
      <c r="C4" s="47" t="s">
        <v>89</v>
      </c>
      <c r="D4" s="47">
        <v>100</v>
      </c>
      <c r="E4" s="47" t="s">
        <v>232</v>
      </c>
      <c r="F4" s="47" t="s">
        <v>90</v>
      </c>
      <c r="G4" s="47" t="s">
        <v>90</v>
      </c>
      <c r="H4" s="47" t="s">
        <v>90</v>
      </c>
      <c r="I4" s="47" t="s">
        <v>90</v>
      </c>
      <c r="J4" s="48">
        <f t="shared" si="1"/>
        <v>100</v>
      </c>
    </row>
    <row r="5" spans="1:11" ht="21" customHeight="1">
      <c r="A5" s="47">
        <v>40011004</v>
      </c>
      <c r="B5" s="47">
        <v>0</v>
      </c>
      <c r="C5" s="47" t="s">
        <v>89</v>
      </c>
      <c r="D5" s="47">
        <v>100</v>
      </c>
      <c r="E5" s="47" t="s">
        <v>232</v>
      </c>
      <c r="F5" s="47" t="s">
        <v>90</v>
      </c>
      <c r="G5" s="47" t="s">
        <v>90</v>
      </c>
      <c r="H5" s="47" t="s">
        <v>90</v>
      </c>
      <c r="I5" s="47" t="s">
        <v>90</v>
      </c>
      <c r="J5" s="48">
        <f t="shared" si="1"/>
        <v>100</v>
      </c>
    </row>
    <row r="6" spans="1:11" ht="21" customHeight="1">
      <c r="A6" s="47">
        <v>40011005</v>
      </c>
      <c r="B6" s="47">
        <v>0</v>
      </c>
      <c r="C6" s="47" t="s">
        <v>89</v>
      </c>
      <c r="D6" s="47">
        <v>100</v>
      </c>
      <c r="E6" s="47" t="s">
        <v>232</v>
      </c>
      <c r="F6" s="47" t="s">
        <v>90</v>
      </c>
      <c r="G6" s="47" t="s">
        <v>90</v>
      </c>
      <c r="H6" s="47" t="s">
        <v>90</v>
      </c>
      <c r="I6" s="47" t="s">
        <v>90</v>
      </c>
      <c r="J6" s="48">
        <f t="shared" si="1"/>
        <v>100</v>
      </c>
    </row>
    <row r="7" spans="1:11" ht="21" customHeight="1">
      <c r="A7" s="47">
        <v>40011006</v>
      </c>
      <c r="B7" s="47">
        <v>1</v>
      </c>
      <c r="C7" s="47" t="s">
        <v>89</v>
      </c>
      <c r="D7" s="47">
        <v>100</v>
      </c>
      <c r="E7" s="47" t="s">
        <v>232</v>
      </c>
      <c r="F7" s="47" t="s">
        <v>90</v>
      </c>
      <c r="G7" s="47">
        <v>1</v>
      </c>
      <c r="H7" s="47" t="s">
        <v>90</v>
      </c>
      <c r="I7" s="47" t="s">
        <v>90</v>
      </c>
      <c r="J7" s="48">
        <f t="shared" si="1"/>
        <v>100</v>
      </c>
    </row>
    <row r="8" spans="1:11" ht="21" customHeight="1">
      <c r="A8" s="47">
        <v>40011007</v>
      </c>
      <c r="B8" s="47">
        <v>0</v>
      </c>
      <c r="C8" s="47" t="s">
        <v>89</v>
      </c>
      <c r="D8" s="47">
        <v>25</v>
      </c>
      <c r="E8" s="47" t="s">
        <v>232</v>
      </c>
      <c r="F8" s="47" t="s">
        <v>90</v>
      </c>
      <c r="G8" s="47" t="s">
        <v>90</v>
      </c>
      <c r="H8" s="47" t="s">
        <v>90</v>
      </c>
      <c r="I8" s="47" t="s">
        <v>90</v>
      </c>
      <c r="J8" s="48">
        <f t="shared" si="1"/>
        <v>25</v>
      </c>
    </row>
    <row r="9" spans="1:11" ht="21" customHeight="1">
      <c r="A9" s="47">
        <v>40011008</v>
      </c>
      <c r="B9" s="47">
        <v>0</v>
      </c>
      <c r="C9" s="47" t="s">
        <v>89</v>
      </c>
      <c r="D9" s="47">
        <v>100</v>
      </c>
      <c r="E9" s="47" t="s">
        <v>232</v>
      </c>
      <c r="F9" s="47" t="s">
        <v>90</v>
      </c>
      <c r="G9" s="47" t="s">
        <v>90</v>
      </c>
      <c r="H9" s="47" t="s">
        <v>90</v>
      </c>
      <c r="I9" s="47" t="s">
        <v>90</v>
      </c>
      <c r="J9" s="48">
        <f t="shared" si="1"/>
        <v>100</v>
      </c>
    </row>
    <row r="10" spans="1:11" ht="21" customHeight="1">
      <c r="A10" s="47">
        <v>40011009</v>
      </c>
      <c r="B10" s="47">
        <v>0</v>
      </c>
      <c r="C10" s="47" t="s">
        <v>89</v>
      </c>
      <c r="D10" s="47">
        <v>100</v>
      </c>
      <c r="E10" s="47" t="s">
        <v>232</v>
      </c>
      <c r="F10" s="47" t="s">
        <v>90</v>
      </c>
      <c r="G10" s="47" t="s">
        <v>90</v>
      </c>
      <c r="H10" s="47" t="s">
        <v>90</v>
      </c>
      <c r="I10" s="47" t="s">
        <v>90</v>
      </c>
      <c r="J10" s="48">
        <f t="shared" si="1"/>
        <v>100</v>
      </c>
    </row>
    <row r="11" spans="1:11" ht="21" customHeight="1">
      <c r="A11" s="47">
        <v>40011010</v>
      </c>
      <c r="B11" s="47">
        <v>0</v>
      </c>
      <c r="C11" s="47" t="s">
        <v>89</v>
      </c>
      <c r="D11" s="47">
        <v>100</v>
      </c>
      <c r="E11" s="47" t="s">
        <v>232</v>
      </c>
      <c r="F11" s="47" t="s">
        <v>90</v>
      </c>
      <c r="G11" s="47" t="s">
        <v>90</v>
      </c>
      <c r="H11" s="47" t="s">
        <v>90</v>
      </c>
      <c r="I11" s="47" t="s">
        <v>90</v>
      </c>
      <c r="J11" s="48">
        <f t="shared" si="1"/>
        <v>100</v>
      </c>
    </row>
    <row r="12" spans="1:11" ht="21" customHeight="1">
      <c r="A12" s="47">
        <v>40011011</v>
      </c>
      <c r="B12" s="47">
        <v>0</v>
      </c>
      <c r="C12" s="47" t="s">
        <v>89</v>
      </c>
      <c r="D12" s="47">
        <v>30</v>
      </c>
      <c r="E12" s="47" t="s">
        <v>232</v>
      </c>
      <c r="F12" s="47" t="s">
        <v>90</v>
      </c>
      <c r="G12" s="47" t="s">
        <v>90</v>
      </c>
      <c r="H12" s="47" t="s">
        <v>90</v>
      </c>
      <c r="I12" s="47" t="s">
        <v>90</v>
      </c>
      <c r="J12" s="48">
        <f t="shared" si="1"/>
        <v>30</v>
      </c>
    </row>
    <row r="13" spans="1:11" ht="21" customHeight="1">
      <c r="A13" s="47">
        <v>40011012</v>
      </c>
      <c r="B13" s="47">
        <v>0</v>
      </c>
      <c r="C13" s="47" t="s">
        <v>89</v>
      </c>
      <c r="D13" s="47">
        <v>100</v>
      </c>
      <c r="E13" s="47" t="s">
        <v>232</v>
      </c>
      <c r="F13" s="47" t="s">
        <v>90</v>
      </c>
      <c r="G13" s="47" t="s">
        <v>90</v>
      </c>
      <c r="H13" s="47" t="s">
        <v>90</v>
      </c>
      <c r="I13" s="47" t="s">
        <v>90</v>
      </c>
      <c r="J13" s="48">
        <f t="shared" si="1"/>
        <v>100</v>
      </c>
    </row>
    <row r="14" spans="1:11" ht="21" customHeight="1">
      <c r="A14" s="47">
        <v>40011013</v>
      </c>
      <c r="B14" s="47">
        <v>0</v>
      </c>
      <c r="C14" s="47" t="s">
        <v>89</v>
      </c>
      <c r="D14" s="47">
        <v>100</v>
      </c>
      <c r="E14" s="47" t="s">
        <v>232</v>
      </c>
      <c r="F14" s="47" t="s">
        <v>90</v>
      </c>
      <c r="G14" s="47" t="s">
        <v>90</v>
      </c>
      <c r="H14" s="47" t="s">
        <v>90</v>
      </c>
      <c r="I14" s="47" t="s">
        <v>90</v>
      </c>
      <c r="J14" s="48">
        <f t="shared" si="1"/>
        <v>100</v>
      </c>
    </row>
    <row r="15" spans="1:11" ht="21" customHeight="1">
      <c r="A15" s="47">
        <v>40011014</v>
      </c>
      <c r="B15" s="47">
        <v>0</v>
      </c>
      <c r="C15" s="47" t="s">
        <v>89</v>
      </c>
      <c r="D15" s="47">
        <v>100</v>
      </c>
      <c r="E15" s="47" t="s">
        <v>232</v>
      </c>
      <c r="F15" s="47" t="s">
        <v>90</v>
      </c>
      <c r="G15" s="47" t="s">
        <v>90</v>
      </c>
      <c r="H15" s="47" t="s">
        <v>90</v>
      </c>
      <c r="I15" s="47" t="s">
        <v>90</v>
      </c>
      <c r="J15" s="48">
        <f t="shared" si="1"/>
        <v>100</v>
      </c>
    </row>
    <row r="16" spans="1:11" ht="21" customHeight="1">
      <c r="A16" s="47">
        <v>40011015</v>
      </c>
      <c r="B16" s="47">
        <v>0</v>
      </c>
      <c r="C16" s="47" t="s">
        <v>89</v>
      </c>
      <c r="D16" s="47">
        <v>100</v>
      </c>
      <c r="E16" s="47" t="s">
        <v>232</v>
      </c>
      <c r="F16" s="47" t="s">
        <v>90</v>
      </c>
      <c r="G16" s="47" t="s">
        <v>90</v>
      </c>
      <c r="H16" s="47" t="s">
        <v>90</v>
      </c>
      <c r="I16" s="47" t="s">
        <v>90</v>
      </c>
      <c r="J16" s="48">
        <f t="shared" si="1"/>
        <v>100</v>
      </c>
    </row>
    <row r="17" spans="1:10" ht="21" customHeight="1">
      <c r="A17" s="47">
        <v>40011016</v>
      </c>
      <c r="B17" s="47">
        <v>0</v>
      </c>
      <c r="C17" s="47" t="s">
        <v>89</v>
      </c>
      <c r="D17" s="47">
        <v>25</v>
      </c>
      <c r="E17" s="47" t="s">
        <v>232</v>
      </c>
      <c r="F17" s="47" t="s">
        <v>90</v>
      </c>
      <c r="G17" s="47" t="s">
        <v>90</v>
      </c>
      <c r="H17" s="47" t="s">
        <v>90</v>
      </c>
      <c r="I17" s="47" t="s">
        <v>90</v>
      </c>
      <c r="J17" s="48">
        <f t="shared" si="1"/>
        <v>25</v>
      </c>
    </row>
    <row r="18" spans="1:10" ht="21" customHeight="1">
      <c r="A18" s="47">
        <v>40011017</v>
      </c>
      <c r="B18" s="47">
        <v>0</v>
      </c>
      <c r="C18" s="47">
        <v>100</v>
      </c>
      <c r="D18" s="47">
        <v>100</v>
      </c>
      <c r="E18" s="47">
        <v>40</v>
      </c>
      <c r="F18" s="47" t="s">
        <v>90</v>
      </c>
      <c r="G18" s="47">
        <v>1</v>
      </c>
      <c r="H18" s="47" t="s">
        <v>90</v>
      </c>
      <c r="I18" s="47" t="s">
        <v>90</v>
      </c>
      <c r="J18" s="48">
        <f t="shared" si="1"/>
        <v>100</v>
      </c>
    </row>
    <row r="19" spans="1:10" ht="21" customHeight="1">
      <c r="A19" s="47">
        <v>40011018</v>
      </c>
      <c r="B19" s="47">
        <v>0</v>
      </c>
      <c r="C19" s="47" t="s">
        <v>89</v>
      </c>
      <c r="D19" s="47">
        <v>50</v>
      </c>
      <c r="E19" s="47">
        <v>40</v>
      </c>
      <c r="F19" s="47" t="s">
        <v>90</v>
      </c>
      <c r="G19" s="47" t="s">
        <v>90</v>
      </c>
      <c r="H19" s="47" t="s">
        <v>90</v>
      </c>
      <c r="I19" s="47" t="s">
        <v>90</v>
      </c>
      <c r="J19" s="48">
        <f t="shared" si="1"/>
        <v>50</v>
      </c>
    </row>
    <row r="20" spans="1:10" ht="21" customHeight="1">
      <c r="A20" s="47">
        <v>40011019</v>
      </c>
      <c r="B20" s="47">
        <v>0</v>
      </c>
      <c r="C20" s="47" t="s">
        <v>89</v>
      </c>
      <c r="D20" s="47">
        <v>100</v>
      </c>
      <c r="E20" s="47" t="s">
        <v>232</v>
      </c>
      <c r="F20" s="47" t="s">
        <v>90</v>
      </c>
      <c r="G20" s="47" t="s">
        <v>90</v>
      </c>
      <c r="H20" s="47" t="s">
        <v>90</v>
      </c>
      <c r="I20" s="47" t="s">
        <v>90</v>
      </c>
      <c r="J20" s="48">
        <f t="shared" si="1"/>
        <v>100</v>
      </c>
    </row>
    <row r="21" spans="1:10" ht="21" customHeight="1">
      <c r="A21" s="47">
        <v>40011020</v>
      </c>
      <c r="B21" s="47">
        <v>0</v>
      </c>
      <c r="C21" s="47" t="s">
        <v>89</v>
      </c>
      <c r="D21" s="47">
        <v>100</v>
      </c>
      <c r="E21" s="47" t="s">
        <v>232</v>
      </c>
      <c r="F21" s="47" t="s">
        <v>90</v>
      </c>
      <c r="G21" s="47" t="s">
        <v>90</v>
      </c>
      <c r="H21" s="47" t="s">
        <v>90</v>
      </c>
      <c r="I21" s="47" t="s">
        <v>90</v>
      </c>
      <c r="J21" s="48">
        <f t="shared" si="1"/>
        <v>100</v>
      </c>
    </row>
    <row r="22" spans="1:10" ht="21" customHeight="1">
      <c r="A22" s="47">
        <v>40011021</v>
      </c>
      <c r="B22" s="47">
        <v>1</v>
      </c>
      <c r="C22" s="47" t="s">
        <v>89</v>
      </c>
      <c r="D22" s="47">
        <v>100</v>
      </c>
      <c r="E22" s="47" t="s">
        <v>232</v>
      </c>
      <c r="F22" s="47" t="s">
        <v>90</v>
      </c>
      <c r="G22" s="47">
        <v>1</v>
      </c>
      <c r="H22" s="47" t="s">
        <v>90</v>
      </c>
      <c r="I22" s="47" t="s">
        <v>90</v>
      </c>
      <c r="J22" s="48">
        <f t="shared" si="1"/>
        <v>100</v>
      </c>
    </row>
    <row r="23" spans="1:10" ht="21" customHeight="1">
      <c r="A23" s="47">
        <v>40011022</v>
      </c>
      <c r="B23" s="47">
        <v>0</v>
      </c>
      <c r="C23" s="47" t="s">
        <v>89</v>
      </c>
      <c r="D23" s="47">
        <v>20</v>
      </c>
      <c r="E23" s="47" t="s">
        <v>232</v>
      </c>
      <c r="F23" s="47" t="s">
        <v>90</v>
      </c>
      <c r="G23" s="47" t="s">
        <v>90</v>
      </c>
      <c r="H23" s="47" t="s">
        <v>90</v>
      </c>
      <c r="I23" s="47" t="s">
        <v>90</v>
      </c>
      <c r="J23" s="48">
        <f t="shared" si="1"/>
        <v>20</v>
      </c>
    </row>
    <row r="24" spans="1:10" ht="21" customHeight="1">
      <c r="A24" s="47">
        <v>40011023</v>
      </c>
      <c r="B24" s="47">
        <v>0</v>
      </c>
      <c r="C24" s="47" t="s">
        <v>89</v>
      </c>
      <c r="D24" s="47">
        <v>100</v>
      </c>
      <c r="E24" s="47">
        <v>40</v>
      </c>
      <c r="F24" s="47" t="s">
        <v>90</v>
      </c>
      <c r="G24" s="47">
        <v>1</v>
      </c>
      <c r="H24" s="47" t="s">
        <v>90</v>
      </c>
      <c r="I24" s="47" t="s">
        <v>90</v>
      </c>
      <c r="J24" s="48">
        <f t="shared" si="1"/>
        <v>100</v>
      </c>
    </row>
    <row r="25" spans="1:10" ht="21" customHeight="1">
      <c r="A25" s="47">
        <v>40011024</v>
      </c>
      <c r="B25" s="47">
        <v>0</v>
      </c>
      <c r="C25" s="47" t="s">
        <v>89</v>
      </c>
      <c r="D25" s="47">
        <v>30</v>
      </c>
      <c r="E25" s="47">
        <v>30</v>
      </c>
      <c r="F25" s="47" t="s">
        <v>90</v>
      </c>
      <c r="G25" s="47" t="s">
        <v>90</v>
      </c>
      <c r="H25" s="47" t="s">
        <v>90</v>
      </c>
      <c r="I25" s="47" t="s">
        <v>90</v>
      </c>
      <c r="J25" s="48">
        <f t="shared" si="1"/>
        <v>30</v>
      </c>
    </row>
    <row r="26" spans="1:10" ht="21" customHeight="1">
      <c r="A26" s="47">
        <v>40011025</v>
      </c>
      <c r="B26" s="47">
        <v>0</v>
      </c>
      <c r="C26" s="47" t="s">
        <v>89</v>
      </c>
      <c r="D26" s="47">
        <v>100</v>
      </c>
      <c r="E26" s="47" t="s">
        <v>232</v>
      </c>
      <c r="F26" s="47" t="s">
        <v>90</v>
      </c>
      <c r="G26" s="47" t="s">
        <v>90</v>
      </c>
      <c r="H26" s="47" t="s">
        <v>90</v>
      </c>
      <c r="I26" s="47" t="s">
        <v>90</v>
      </c>
      <c r="J26" s="48">
        <f t="shared" si="1"/>
        <v>100</v>
      </c>
    </row>
    <row r="27" spans="1:10" ht="21" customHeight="1">
      <c r="A27" s="47">
        <v>40011026</v>
      </c>
      <c r="B27" s="47">
        <v>0</v>
      </c>
      <c r="C27" s="47" t="s">
        <v>89</v>
      </c>
      <c r="D27" s="47">
        <v>30</v>
      </c>
      <c r="E27" s="47" t="s">
        <v>232</v>
      </c>
      <c r="F27" s="47" t="s">
        <v>90</v>
      </c>
      <c r="G27" s="47" t="s">
        <v>90</v>
      </c>
      <c r="H27" s="47" t="s">
        <v>90</v>
      </c>
      <c r="I27" s="47" t="s">
        <v>90</v>
      </c>
      <c r="J27" s="48">
        <f t="shared" si="1"/>
        <v>30</v>
      </c>
    </row>
    <row r="28" spans="1:10" ht="21" customHeight="1">
      <c r="A28" s="47">
        <v>40011027</v>
      </c>
      <c r="B28" s="47">
        <v>0</v>
      </c>
      <c r="C28" s="47" t="s">
        <v>89</v>
      </c>
      <c r="D28" s="47">
        <v>100</v>
      </c>
      <c r="E28" s="47" t="s">
        <v>232</v>
      </c>
      <c r="F28" s="47" t="s">
        <v>90</v>
      </c>
      <c r="G28" s="47" t="s">
        <v>90</v>
      </c>
      <c r="H28" s="47" t="s">
        <v>90</v>
      </c>
      <c r="I28" s="47" t="s">
        <v>90</v>
      </c>
      <c r="J28" s="48">
        <f t="shared" si="1"/>
        <v>100</v>
      </c>
    </row>
    <row r="29" spans="1:10" ht="21" customHeight="1">
      <c r="A29" s="47">
        <v>40011028</v>
      </c>
      <c r="B29" s="47">
        <v>0</v>
      </c>
      <c r="C29" s="47" t="s">
        <v>89</v>
      </c>
      <c r="D29" s="47">
        <v>100</v>
      </c>
      <c r="E29" s="47" t="s">
        <v>232</v>
      </c>
      <c r="F29" s="47" t="s">
        <v>90</v>
      </c>
      <c r="G29" s="47" t="s">
        <v>90</v>
      </c>
      <c r="H29" s="47" t="s">
        <v>90</v>
      </c>
      <c r="I29" s="47" t="s">
        <v>90</v>
      </c>
      <c r="J29" s="48">
        <f t="shared" si="1"/>
        <v>100</v>
      </c>
    </row>
    <row r="30" spans="1:10" ht="21" customHeight="1">
      <c r="A30" s="47">
        <v>40011029</v>
      </c>
      <c r="B30" s="47">
        <v>0</v>
      </c>
      <c r="C30" s="47" t="s">
        <v>89</v>
      </c>
      <c r="D30" s="47">
        <v>100</v>
      </c>
      <c r="E30" s="47" t="s">
        <v>232</v>
      </c>
      <c r="F30" s="47" t="s">
        <v>90</v>
      </c>
      <c r="G30" s="47" t="s">
        <v>90</v>
      </c>
      <c r="H30" s="47" t="s">
        <v>90</v>
      </c>
      <c r="I30" s="47" t="s">
        <v>90</v>
      </c>
      <c r="J30" s="48">
        <f t="shared" si="1"/>
        <v>100</v>
      </c>
    </row>
    <row r="31" spans="1:10" ht="21" customHeight="1">
      <c r="A31" s="47">
        <v>40011030</v>
      </c>
      <c r="B31" s="47">
        <v>0</v>
      </c>
      <c r="C31" s="47" t="s">
        <v>89</v>
      </c>
      <c r="D31" s="47">
        <v>100</v>
      </c>
      <c r="E31" s="47" t="s">
        <v>232</v>
      </c>
      <c r="F31" s="47" t="s">
        <v>90</v>
      </c>
      <c r="G31" s="47" t="s">
        <v>90</v>
      </c>
      <c r="H31" s="47" t="s">
        <v>90</v>
      </c>
      <c r="I31" s="47" t="s">
        <v>90</v>
      </c>
      <c r="J31" s="48">
        <f t="shared" si="1"/>
        <v>100</v>
      </c>
    </row>
    <row r="32" spans="1:10" ht="21" customHeight="1">
      <c r="A32" s="47">
        <v>40011031</v>
      </c>
      <c r="B32" s="47">
        <v>1</v>
      </c>
      <c r="C32" s="47" t="s">
        <v>89</v>
      </c>
      <c r="D32" s="47">
        <v>100</v>
      </c>
      <c r="E32" s="47" t="s">
        <v>232</v>
      </c>
      <c r="F32" s="47" t="s">
        <v>90</v>
      </c>
      <c r="G32" s="47">
        <v>1</v>
      </c>
      <c r="H32" s="47" t="s">
        <v>90</v>
      </c>
      <c r="I32" s="47" t="s">
        <v>90</v>
      </c>
      <c r="J32" s="48">
        <f t="shared" si="1"/>
        <v>100</v>
      </c>
    </row>
    <row r="33" spans="1:10" ht="21" customHeight="1">
      <c r="A33" s="47">
        <v>40011032</v>
      </c>
      <c r="B33" s="47">
        <v>0</v>
      </c>
      <c r="C33" s="47" t="s">
        <v>89</v>
      </c>
      <c r="D33" s="47">
        <v>20</v>
      </c>
      <c r="E33" s="47" t="s">
        <v>232</v>
      </c>
      <c r="F33" s="47" t="s">
        <v>90</v>
      </c>
      <c r="G33" s="47" t="s">
        <v>90</v>
      </c>
      <c r="H33" s="47" t="s">
        <v>90</v>
      </c>
      <c r="I33" s="47" t="s">
        <v>90</v>
      </c>
      <c r="J33" s="48">
        <f t="shared" si="1"/>
        <v>20</v>
      </c>
    </row>
    <row r="34" spans="1:10" ht="21" customHeight="1">
      <c r="A34" s="47">
        <v>40011033</v>
      </c>
      <c r="B34" s="47">
        <v>0</v>
      </c>
      <c r="C34" s="47" t="s">
        <v>89</v>
      </c>
      <c r="D34" s="47">
        <v>100</v>
      </c>
      <c r="E34" s="47" t="s">
        <v>232</v>
      </c>
      <c r="F34" s="47" t="s">
        <v>90</v>
      </c>
      <c r="G34" s="47" t="s">
        <v>90</v>
      </c>
      <c r="H34" s="47" t="s">
        <v>90</v>
      </c>
      <c r="I34" s="47" t="s">
        <v>90</v>
      </c>
      <c r="J34" s="48">
        <f t="shared" si="1"/>
        <v>100</v>
      </c>
    </row>
    <row r="35" spans="1:10" ht="21" customHeight="1">
      <c r="A35" s="47">
        <v>40011034</v>
      </c>
      <c r="B35" s="47">
        <v>0</v>
      </c>
      <c r="C35" s="47" t="s">
        <v>89</v>
      </c>
      <c r="D35" s="47">
        <v>100</v>
      </c>
      <c r="E35" s="47" t="s">
        <v>232</v>
      </c>
      <c r="F35" s="47" t="s">
        <v>90</v>
      </c>
      <c r="G35" s="47" t="s">
        <v>90</v>
      </c>
      <c r="H35" s="47" t="s">
        <v>90</v>
      </c>
      <c r="I35" s="47" t="s">
        <v>90</v>
      </c>
      <c r="J35" s="48">
        <f t="shared" si="1"/>
        <v>100</v>
      </c>
    </row>
    <row r="36" spans="1:10" ht="21" customHeight="1">
      <c r="A36" s="47">
        <v>40011035</v>
      </c>
      <c r="B36" s="47">
        <v>0</v>
      </c>
      <c r="C36" s="47" t="s">
        <v>89</v>
      </c>
      <c r="D36" s="47">
        <v>100</v>
      </c>
      <c r="E36" s="47" t="s">
        <v>232</v>
      </c>
      <c r="F36" s="47" t="s">
        <v>90</v>
      </c>
      <c r="G36" s="47" t="s">
        <v>90</v>
      </c>
      <c r="H36" s="47" t="s">
        <v>90</v>
      </c>
      <c r="I36" s="47" t="s">
        <v>90</v>
      </c>
      <c r="J36" s="48">
        <f t="shared" si="1"/>
        <v>100</v>
      </c>
    </row>
    <row r="37" spans="1:10" ht="21" customHeight="1">
      <c r="A37" s="47">
        <v>40011036</v>
      </c>
      <c r="B37" s="47">
        <v>1</v>
      </c>
      <c r="C37" s="47" t="s">
        <v>89</v>
      </c>
      <c r="D37" s="47">
        <v>100</v>
      </c>
      <c r="E37" s="47" t="s">
        <v>232</v>
      </c>
      <c r="F37" s="47" t="s">
        <v>90</v>
      </c>
      <c r="G37" s="47">
        <v>1</v>
      </c>
      <c r="H37" s="47" t="s">
        <v>90</v>
      </c>
      <c r="I37" s="47" t="s">
        <v>90</v>
      </c>
      <c r="J37" s="48">
        <f t="shared" si="1"/>
        <v>100</v>
      </c>
    </row>
    <row r="38" spans="1:10" ht="21" customHeight="1">
      <c r="A38" s="47">
        <v>40011037</v>
      </c>
      <c r="B38" s="47">
        <v>0</v>
      </c>
      <c r="C38" s="47" t="s">
        <v>89</v>
      </c>
      <c r="D38" s="47">
        <v>20</v>
      </c>
      <c r="E38" s="47" t="s">
        <v>232</v>
      </c>
      <c r="F38" s="47" t="s">
        <v>90</v>
      </c>
      <c r="G38" s="47" t="s">
        <v>90</v>
      </c>
      <c r="H38" s="47" t="s">
        <v>90</v>
      </c>
      <c r="I38" s="47" t="s">
        <v>90</v>
      </c>
      <c r="J38" s="48">
        <f t="shared" si="1"/>
        <v>20</v>
      </c>
    </row>
    <row r="39" spans="1:10" ht="21" customHeight="1">
      <c r="A39" s="47">
        <v>40011038</v>
      </c>
      <c r="B39" s="47">
        <v>0</v>
      </c>
      <c r="C39" s="47" t="s">
        <v>89</v>
      </c>
      <c r="D39" s="47">
        <v>20</v>
      </c>
      <c r="E39" s="47" t="s">
        <v>232</v>
      </c>
      <c r="F39" s="47" t="s">
        <v>90</v>
      </c>
      <c r="G39" s="47" t="s">
        <v>90</v>
      </c>
      <c r="H39" s="47" t="s">
        <v>90</v>
      </c>
      <c r="I39" s="47" t="s">
        <v>90</v>
      </c>
      <c r="J39" s="48">
        <f t="shared" si="1"/>
        <v>20</v>
      </c>
    </row>
    <row r="40" spans="1:10" ht="21" customHeight="1">
      <c r="A40" s="47">
        <v>40011039</v>
      </c>
      <c r="B40" s="47">
        <v>0</v>
      </c>
      <c r="C40" s="47" t="s">
        <v>89</v>
      </c>
      <c r="D40" s="47">
        <v>100</v>
      </c>
      <c r="E40" s="47" t="s">
        <v>232</v>
      </c>
      <c r="F40" s="47" t="s">
        <v>90</v>
      </c>
      <c r="G40" s="47" t="s">
        <v>90</v>
      </c>
      <c r="H40" s="47" t="s">
        <v>90</v>
      </c>
      <c r="I40" s="47" t="s">
        <v>90</v>
      </c>
      <c r="J40" s="48">
        <f t="shared" si="1"/>
        <v>100</v>
      </c>
    </row>
    <row r="41" spans="1:10" ht="21" customHeight="1">
      <c r="A41" s="47">
        <v>40011040</v>
      </c>
      <c r="B41" s="47">
        <v>0</v>
      </c>
      <c r="C41" s="47" t="s">
        <v>89</v>
      </c>
      <c r="D41" s="47">
        <v>100</v>
      </c>
      <c r="E41" s="47" t="s">
        <v>232</v>
      </c>
      <c r="F41" s="47" t="s">
        <v>90</v>
      </c>
      <c r="G41" s="47" t="s">
        <v>90</v>
      </c>
      <c r="H41" s="47" t="s">
        <v>90</v>
      </c>
      <c r="I41" s="47" t="s">
        <v>90</v>
      </c>
      <c r="J41" s="48">
        <f t="shared" si="1"/>
        <v>100</v>
      </c>
    </row>
    <row r="42" spans="1:10" ht="21" customHeight="1">
      <c r="A42" s="47">
        <v>40011041</v>
      </c>
      <c r="B42" s="47">
        <v>0</v>
      </c>
      <c r="C42" s="47" t="s">
        <v>89</v>
      </c>
      <c r="D42" s="47">
        <v>100</v>
      </c>
      <c r="E42" s="47" t="s">
        <v>232</v>
      </c>
      <c r="F42" s="47" t="s">
        <v>90</v>
      </c>
      <c r="G42" s="47" t="s">
        <v>90</v>
      </c>
      <c r="H42" s="47" t="s">
        <v>90</v>
      </c>
      <c r="I42" s="47" t="s">
        <v>90</v>
      </c>
      <c r="J42" s="48">
        <f t="shared" si="1"/>
        <v>100</v>
      </c>
    </row>
    <row r="43" spans="1:10" ht="21" customHeight="1">
      <c r="A43" s="47">
        <v>40011042</v>
      </c>
      <c r="B43" s="47">
        <v>0</v>
      </c>
      <c r="C43" s="47" t="s">
        <v>89</v>
      </c>
      <c r="D43" s="47">
        <v>100</v>
      </c>
      <c r="E43" s="47" t="s">
        <v>232</v>
      </c>
      <c r="F43" s="47" t="s">
        <v>90</v>
      </c>
      <c r="G43" s="47" t="s">
        <v>90</v>
      </c>
      <c r="H43" s="47" t="s">
        <v>90</v>
      </c>
      <c r="I43" s="47" t="s">
        <v>90</v>
      </c>
      <c r="J43" s="48">
        <f t="shared" si="1"/>
        <v>100</v>
      </c>
    </row>
    <row r="44" spans="1:10" ht="21" customHeight="1">
      <c r="A44" s="47">
        <v>40011043</v>
      </c>
      <c r="B44" s="47">
        <v>0</v>
      </c>
      <c r="C44" s="47" t="s">
        <v>89</v>
      </c>
      <c r="D44" s="47">
        <v>100</v>
      </c>
      <c r="E44" s="47" t="s">
        <v>232</v>
      </c>
      <c r="F44" s="47" t="s">
        <v>90</v>
      </c>
      <c r="G44" s="47" t="s">
        <v>90</v>
      </c>
      <c r="H44" s="47" t="s">
        <v>90</v>
      </c>
      <c r="I44" s="47" t="s">
        <v>90</v>
      </c>
      <c r="J44" s="48">
        <f t="shared" si="1"/>
        <v>100</v>
      </c>
    </row>
    <row r="45" spans="1:10" ht="21" customHeight="1">
      <c r="A45" s="47">
        <v>40011044</v>
      </c>
      <c r="B45" s="47">
        <v>0</v>
      </c>
      <c r="C45" s="47" t="s">
        <v>89</v>
      </c>
      <c r="D45" s="47">
        <v>100</v>
      </c>
      <c r="E45" s="47" t="s">
        <v>232</v>
      </c>
      <c r="F45" s="47" t="s">
        <v>90</v>
      </c>
      <c r="G45" s="47" t="s">
        <v>90</v>
      </c>
      <c r="H45" s="47" t="s">
        <v>90</v>
      </c>
      <c r="I45" s="47" t="s">
        <v>90</v>
      </c>
      <c r="J45" s="48">
        <f t="shared" si="1"/>
        <v>100</v>
      </c>
    </row>
    <row r="46" spans="1:10" ht="21" customHeight="1">
      <c r="A46" s="47">
        <v>40011045</v>
      </c>
      <c r="B46" s="47">
        <v>0</v>
      </c>
      <c r="C46" s="47" t="s">
        <v>89</v>
      </c>
      <c r="D46" s="47">
        <v>100</v>
      </c>
      <c r="E46" s="47" t="s">
        <v>232</v>
      </c>
      <c r="F46" s="47" t="s">
        <v>90</v>
      </c>
      <c r="G46" s="47" t="s">
        <v>90</v>
      </c>
      <c r="H46" s="47" t="s">
        <v>90</v>
      </c>
      <c r="I46" s="47" t="s">
        <v>90</v>
      </c>
      <c r="J46" s="48">
        <f t="shared" si="1"/>
        <v>100</v>
      </c>
    </row>
    <row r="47" spans="1:10" ht="21" customHeight="1">
      <c r="A47" s="47">
        <v>40011046</v>
      </c>
      <c r="B47" s="47">
        <v>1</v>
      </c>
      <c r="C47" s="47" t="s">
        <v>89</v>
      </c>
      <c r="D47" s="47">
        <v>100</v>
      </c>
      <c r="E47" s="47" t="s">
        <v>232</v>
      </c>
      <c r="F47" s="47" t="s">
        <v>90</v>
      </c>
      <c r="G47" s="47">
        <v>1</v>
      </c>
      <c r="H47" s="47" t="s">
        <v>90</v>
      </c>
      <c r="I47" s="47" t="s">
        <v>90</v>
      </c>
      <c r="J47" s="48">
        <f t="shared" si="1"/>
        <v>100</v>
      </c>
    </row>
    <row r="48" spans="1:10" ht="21" customHeight="1">
      <c r="A48" s="47">
        <v>40011047</v>
      </c>
      <c r="B48" s="47">
        <v>0</v>
      </c>
      <c r="C48" s="47" t="s">
        <v>89</v>
      </c>
      <c r="D48" s="47">
        <v>20</v>
      </c>
      <c r="E48" s="47" t="s">
        <v>232</v>
      </c>
      <c r="F48" s="47" t="s">
        <v>90</v>
      </c>
      <c r="G48" s="47" t="s">
        <v>90</v>
      </c>
      <c r="H48" s="47" t="s">
        <v>90</v>
      </c>
      <c r="I48" s="47" t="s">
        <v>90</v>
      </c>
      <c r="J48" s="48">
        <f t="shared" si="1"/>
        <v>20</v>
      </c>
    </row>
    <row r="49" spans="1:10" ht="21" customHeight="1">
      <c r="A49" s="47">
        <v>40011048</v>
      </c>
      <c r="B49" s="47">
        <v>0</v>
      </c>
      <c r="C49" s="47" t="s">
        <v>89</v>
      </c>
      <c r="D49" s="47">
        <v>20</v>
      </c>
      <c r="E49" s="47" t="s">
        <v>232</v>
      </c>
      <c r="F49" s="47" t="s">
        <v>90</v>
      </c>
      <c r="G49" s="47" t="s">
        <v>90</v>
      </c>
      <c r="H49" s="47" t="s">
        <v>90</v>
      </c>
      <c r="I49" s="47" t="s">
        <v>90</v>
      </c>
      <c r="J49" s="48">
        <f t="shared" si="1"/>
        <v>20</v>
      </c>
    </row>
    <row r="50" spans="1:10" ht="21" customHeight="1">
      <c r="A50" s="47">
        <v>40011049</v>
      </c>
      <c r="B50" s="47">
        <v>0</v>
      </c>
      <c r="C50" s="47">
        <v>100</v>
      </c>
      <c r="D50" s="47">
        <v>100</v>
      </c>
      <c r="E50" s="47">
        <v>40</v>
      </c>
      <c r="F50" s="47" t="s">
        <v>90</v>
      </c>
      <c r="G50" s="47">
        <v>1</v>
      </c>
      <c r="H50" s="47" t="s">
        <v>90</v>
      </c>
      <c r="I50" s="47" t="s">
        <v>90</v>
      </c>
      <c r="J50" s="48">
        <f t="shared" si="1"/>
        <v>100</v>
      </c>
    </row>
    <row r="51" spans="1:10" ht="21" customHeight="1">
      <c r="A51" s="47">
        <v>40011050</v>
      </c>
      <c r="B51" s="47">
        <v>0</v>
      </c>
      <c r="C51" s="47">
        <v>80</v>
      </c>
      <c r="D51" s="47">
        <v>100</v>
      </c>
      <c r="E51" s="47">
        <v>40</v>
      </c>
      <c r="F51" s="47" t="s">
        <v>90</v>
      </c>
      <c r="G51" s="47">
        <v>1</v>
      </c>
      <c r="H51" s="47" t="s">
        <v>90</v>
      </c>
      <c r="I51" s="47" t="s">
        <v>90</v>
      </c>
      <c r="J51" s="48">
        <f t="shared" si="1"/>
        <v>100</v>
      </c>
    </row>
    <row r="52" spans="1:10" ht="21" customHeight="1">
      <c r="A52" s="47">
        <v>40011051</v>
      </c>
      <c r="B52" s="47">
        <v>0</v>
      </c>
      <c r="C52" s="47" t="s">
        <v>89</v>
      </c>
      <c r="D52" s="47">
        <v>100</v>
      </c>
      <c r="E52" s="47" t="s">
        <v>232</v>
      </c>
      <c r="F52" s="47" t="s">
        <v>90</v>
      </c>
      <c r="G52" s="47" t="s">
        <v>90</v>
      </c>
      <c r="H52" s="47" t="s">
        <v>90</v>
      </c>
      <c r="I52" s="47" t="s">
        <v>90</v>
      </c>
      <c r="J52" s="48">
        <f t="shared" si="1"/>
        <v>100</v>
      </c>
    </row>
    <row r="53" spans="1:10" ht="21" customHeight="1">
      <c r="A53" s="47">
        <v>40011052</v>
      </c>
      <c r="B53" s="47">
        <v>0</v>
      </c>
      <c r="C53" s="47" t="s">
        <v>89</v>
      </c>
      <c r="D53" s="47">
        <v>100</v>
      </c>
      <c r="E53" s="47" t="s">
        <v>232</v>
      </c>
      <c r="F53" s="47" t="s">
        <v>90</v>
      </c>
      <c r="G53" s="47" t="s">
        <v>90</v>
      </c>
      <c r="H53" s="47" t="s">
        <v>90</v>
      </c>
      <c r="I53" s="47" t="s">
        <v>90</v>
      </c>
      <c r="J53" s="48">
        <f t="shared" si="1"/>
        <v>100</v>
      </c>
    </row>
    <row r="54" spans="1:10" ht="21" customHeight="1">
      <c r="A54" s="47">
        <v>40011053</v>
      </c>
      <c r="B54" s="47">
        <v>0</v>
      </c>
      <c r="C54" s="47" t="s">
        <v>89</v>
      </c>
      <c r="D54" s="47">
        <v>100</v>
      </c>
      <c r="E54" s="47" t="s">
        <v>232</v>
      </c>
      <c r="F54" s="47" t="s">
        <v>90</v>
      </c>
      <c r="G54" s="47" t="s">
        <v>90</v>
      </c>
      <c r="H54" s="47" t="s">
        <v>90</v>
      </c>
      <c r="I54" s="47" t="s">
        <v>90</v>
      </c>
      <c r="J54" s="48">
        <f t="shared" si="1"/>
        <v>100</v>
      </c>
    </row>
    <row r="55" spans="1:10" ht="21" customHeight="1">
      <c r="A55" s="47">
        <v>40011054</v>
      </c>
      <c r="B55" s="47">
        <v>0</v>
      </c>
      <c r="C55" s="47" t="s">
        <v>89</v>
      </c>
      <c r="D55" s="47">
        <v>100</v>
      </c>
      <c r="E55" s="47" t="s">
        <v>232</v>
      </c>
      <c r="F55" s="47" t="s">
        <v>90</v>
      </c>
      <c r="G55" s="47" t="s">
        <v>90</v>
      </c>
      <c r="H55" s="47" t="s">
        <v>90</v>
      </c>
      <c r="I55" s="47" t="s">
        <v>90</v>
      </c>
      <c r="J55" s="48">
        <f t="shared" si="1"/>
        <v>100</v>
      </c>
    </row>
    <row r="56" spans="1:10" ht="21" customHeight="1">
      <c r="A56" s="47">
        <v>40011055</v>
      </c>
      <c r="B56" s="47">
        <v>0</v>
      </c>
      <c r="C56" s="47" t="s">
        <v>89</v>
      </c>
      <c r="D56" s="47">
        <v>100</v>
      </c>
      <c r="E56" s="47" t="s">
        <v>232</v>
      </c>
      <c r="F56" s="47" t="s">
        <v>90</v>
      </c>
      <c r="G56" s="47" t="s">
        <v>90</v>
      </c>
      <c r="H56" s="47" t="s">
        <v>90</v>
      </c>
      <c r="I56" s="47" t="s">
        <v>90</v>
      </c>
      <c r="J56" s="48">
        <f t="shared" si="1"/>
        <v>100</v>
      </c>
    </row>
    <row r="57" spans="1:10" ht="21" customHeight="1">
      <c r="A57" s="47">
        <v>40011056</v>
      </c>
      <c r="B57" s="47">
        <v>1</v>
      </c>
      <c r="C57" s="47" t="s">
        <v>89</v>
      </c>
      <c r="D57" s="47">
        <v>100</v>
      </c>
      <c r="E57" s="47" t="s">
        <v>232</v>
      </c>
      <c r="F57" s="47" t="s">
        <v>90</v>
      </c>
      <c r="G57" s="47">
        <v>1</v>
      </c>
      <c r="H57" s="47" t="s">
        <v>90</v>
      </c>
      <c r="I57" s="47" t="s">
        <v>90</v>
      </c>
      <c r="J57" s="48">
        <f t="shared" si="1"/>
        <v>100</v>
      </c>
    </row>
    <row r="58" spans="1:10" ht="21" customHeight="1">
      <c r="A58" s="47">
        <v>40011057</v>
      </c>
      <c r="B58" s="47">
        <v>0</v>
      </c>
      <c r="C58" s="47" t="s">
        <v>89</v>
      </c>
      <c r="D58" s="47">
        <v>20</v>
      </c>
      <c r="E58" s="47" t="s">
        <v>232</v>
      </c>
      <c r="F58" s="47" t="s">
        <v>90</v>
      </c>
      <c r="G58" s="47" t="s">
        <v>90</v>
      </c>
      <c r="H58" s="47" t="s">
        <v>90</v>
      </c>
      <c r="I58" s="47" t="s">
        <v>90</v>
      </c>
      <c r="J58" s="48">
        <f t="shared" si="1"/>
        <v>20</v>
      </c>
    </row>
    <row r="59" spans="1:10" ht="21" customHeight="1">
      <c r="A59" s="47">
        <v>40011058</v>
      </c>
      <c r="B59" s="47">
        <v>0</v>
      </c>
      <c r="C59" s="47" t="s">
        <v>89</v>
      </c>
      <c r="D59" s="47">
        <v>20</v>
      </c>
      <c r="E59" s="47" t="s">
        <v>232</v>
      </c>
      <c r="F59" s="47" t="s">
        <v>90</v>
      </c>
      <c r="G59" s="47" t="s">
        <v>90</v>
      </c>
      <c r="H59" s="47" t="s">
        <v>90</v>
      </c>
      <c r="I59" s="47" t="s">
        <v>90</v>
      </c>
      <c r="J59" s="48">
        <f t="shared" si="1"/>
        <v>20</v>
      </c>
    </row>
    <row r="60" spans="1:10" ht="21" customHeight="1">
      <c r="A60" s="47">
        <v>40011059</v>
      </c>
      <c r="B60" s="47">
        <v>0</v>
      </c>
      <c r="C60" s="47" t="s">
        <v>89</v>
      </c>
      <c r="D60" s="47">
        <v>30</v>
      </c>
      <c r="E60" s="47" t="s">
        <v>232</v>
      </c>
      <c r="F60" s="47" t="s">
        <v>90</v>
      </c>
      <c r="G60" s="47">
        <v>1</v>
      </c>
      <c r="H60" s="47" t="s">
        <v>90</v>
      </c>
      <c r="I60" s="47" t="s">
        <v>90</v>
      </c>
      <c r="J60" s="48">
        <f t="shared" si="1"/>
        <v>30</v>
      </c>
    </row>
    <row r="61" spans="1:10" ht="21" customHeight="1">
      <c r="A61" s="47">
        <v>40011060</v>
      </c>
      <c r="B61" s="47">
        <v>0</v>
      </c>
      <c r="C61" s="47" t="s">
        <v>89</v>
      </c>
      <c r="D61" s="47">
        <v>100</v>
      </c>
      <c r="E61" s="47">
        <v>50</v>
      </c>
      <c r="F61" s="47" t="s">
        <v>90</v>
      </c>
      <c r="G61" s="47">
        <v>1</v>
      </c>
      <c r="H61" s="47" t="s">
        <v>90</v>
      </c>
      <c r="I61" s="47" t="s">
        <v>90</v>
      </c>
      <c r="J61" s="48">
        <f t="shared" si="1"/>
        <v>100</v>
      </c>
    </row>
    <row r="62" spans="1:10" ht="21" customHeight="1">
      <c r="A62" s="47">
        <v>40011061</v>
      </c>
      <c r="B62" s="47">
        <v>0</v>
      </c>
      <c r="C62" s="47">
        <v>30</v>
      </c>
      <c r="D62" s="47">
        <v>100</v>
      </c>
      <c r="E62" s="47">
        <v>50</v>
      </c>
      <c r="F62" s="47" t="s">
        <v>90</v>
      </c>
      <c r="G62" s="47">
        <v>1</v>
      </c>
      <c r="H62" s="47" t="s">
        <v>90</v>
      </c>
      <c r="I62" s="47" t="s">
        <v>90</v>
      </c>
      <c r="J62" s="48">
        <f t="shared" si="1"/>
        <v>100</v>
      </c>
    </row>
    <row r="63" spans="1:10" ht="21" customHeight="1">
      <c r="A63" s="47">
        <v>40011062</v>
      </c>
      <c r="B63" s="47">
        <v>0</v>
      </c>
      <c r="C63" s="47">
        <v>20</v>
      </c>
      <c r="D63" s="47">
        <v>100</v>
      </c>
      <c r="E63" s="47">
        <v>50</v>
      </c>
      <c r="F63" s="47" t="s">
        <v>90</v>
      </c>
      <c r="G63" s="47">
        <v>1</v>
      </c>
      <c r="H63" s="47" t="s">
        <v>90</v>
      </c>
      <c r="I63" s="47" t="s">
        <v>90</v>
      </c>
      <c r="J63" s="48">
        <f t="shared" si="1"/>
        <v>100</v>
      </c>
    </row>
    <row r="64" spans="1:10" ht="21" customHeight="1">
      <c r="A64" s="47">
        <v>40011063</v>
      </c>
      <c r="B64" s="47">
        <v>0</v>
      </c>
      <c r="C64" s="47">
        <v>10</v>
      </c>
      <c r="D64" s="47">
        <v>100</v>
      </c>
      <c r="E64" s="47">
        <v>50</v>
      </c>
      <c r="F64" s="47" t="s">
        <v>90</v>
      </c>
      <c r="G64" s="47" t="s">
        <v>90</v>
      </c>
      <c r="H64" s="47" t="s">
        <v>90</v>
      </c>
      <c r="I64" s="47" t="s">
        <v>90</v>
      </c>
      <c r="J64" s="48">
        <f t="shared" si="1"/>
        <v>100</v>
      </c>
    </row>
    <row r="65" spans="1:10" ht="21" customHeight="1">
      <c r="A65" s="47">
        <v>40011064</v>
      </c>
      <c r="B65" s="47">
        <v>0</v>
      </c>
      <c r="C65" s="47" t="s">
        <v>89</v>
      </c>
      <c r="D65" s="47">
        <v>100</v>
      </c>
      <c r="E65" s="47" t="s">
        <v>232</v>
      </c>
      <c r="F65" s="47" t="s">
        <v>90</v>
      </c>
      <c r="G65" s="47" t="s">
        <v>90</v>
      </c>
      <c r="H65" s="47" t="s">
        <v>90</v>
      </c>
      <c r="I65" s="47" t="s">
        <v>90</v>
      </c>
      <c r="J65" s="48">
        <f t="shared" si="1"/>
        <v>100</v>
      </c>
    </row>
    <row r="66" spans="1:10" ht="21" customHeight="1">
      <c r="A66" s="47">
        <v>40011065</v>
      </c>
      <c r="B66" s="47">
        <v>0</v>
      </c>
      <c r="C66" s="47" t="s">
        <v>89</v>
      </c>
      <c r="D66" s="47">
        <v>100</v>
      </c>
      <c r="E66" s="47" t="s">
        <v>232</v>
      </c>
      <c r="F66" s="47" t="s">
        <v>90</v>
      </c>
      <c r="G66" s="47" t="s">
        <v>90</v>
      </c>
      <c r="H66" s="47" t="s">
        <v>90</v>
      </c>
      <c r="I66" s="47" t="s">
        <v>90</v>
      </c>
      <c r="J66" s="48">
        <f t="shared" ref="J66" si="2">D66</f>
        <v>100</v>
      </c>
    </row>
  </sheetData>
  <autoFilter ref="A1:G1"/>
  <phoneticPr fontId="5"/>
  <conditionalFormatting sqref="K1:K2 K67:K1048576">
    <cfRule type="duplicateValues" dxfId="2" priority="3"/>
  </conditionalFormatting>
  <conditionalFormatting sqref="K3:K65">
    <cfRule type="duplicateValues" dxfId="1" priority="2"/>
  </conditionalFormatting>
  <conditionalFormatting sqref="K6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H13" sqref="H13"/>
    </sheetView>
  </sheetViews>
  <sheetFormatPr baseColWidth="12" defaultRowHeight="18" x14ac:dyDescent="0"/>
  <cols>
    <col min="17" max="18" width="19" bestFit="1" customWidth="1"/>
  </cols>
  <sheetData>
    <row r="1" spans="1:18">
      <c r="A1" s="64" t="s">
        <v>151</v>
      </c>
      <c r="B1" s="64" t="s">
        <v>152</v>
      </c>
      <c r="C1" s="65" t="s">
        <v>153</v>
      </c>
      <c r="D1" s="71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>
      <c r="A2" s="57">
        <v>40011</v>
      </c>
      <c r="B2" s="81">
        <v>1</v>
      </c>
      <c r="C2" s="81" t="str">
        <f t="shared" ref="C2:C11" si="0">A2&amp; "_"&amp;B2</f>
        <v>40011_1</v>
      </c>
      <c r="D2" s="81" t="str">
        <f>VLOOKUP(C2,[2]stages!$A:$AE,31,FALSE)</f>
        <v>everyone</v>
      </c>
      <c r="E2" s="81">
        <v>1</v>
      </c>
      <c r="F2" s="81" t="s">
        <v>169</v>
      </c>
      <c r="G2" s="81">
        <v>40000</v>
      </c>
      <c r="H2" s="81" t="s">
        <v>280</v>
      </c>
      <c r="I2" s="81">
        <v>1</v>
      </c>
      <c r="J2" s="81">
        <v>1</v>
      </c>
      <c r="K2" s="81">
        <v>0</v>
      </c>
      <c r="L2" s="81">
        <v>0</v>
      </c>
      <c r="M2" s="81">
        <v>0</v>
      </c>
      <c r="N2" s="81">
        <v>0</v>
      </c>
      <c r="O2" s="81">
        <v>1</v>
      </c>
      <c r="P2" s="81">
        <v>150</v>
      </c>
      <c r="Q2" s="81" t="s">
        <v>170</v>
      </c>
      <c r="R2" s="81" t="s">
        <v>171</v>
      </c>
    </row>
    <row r="3" spans="1:18">
      <c r="A3" s="57">
        <v>40011</v>
      </c>
      <c r="B3" s="81">
        <v>1</v>
      </c>
      <c r="C3" s="81" t="str">
        <f t="shared" si="0"/>
        <v>40011_1</v>
      </c>
      <c r="D3" s="81" t="str">
        <f>VLOOKUP(C3,[2]stages!$A:$AE,31,FALSE)</f>
        <v>everyone</v>
      </c>
      <c r="E3" s="81">
        <v>2</v>
      </c>
      <c r="F3" s="81" t="s">
        <v>281</v>
      </c>
      <c r="G3" s="81">
        <v>30</v>
      </c>
      <c r="H3" s="81" t="s">
        <v>280</v>
      </c>
      <c r="I3" s="81">
        <v>1</v>
      </c>
      <c r="J3" s="81">
        <v>1</v>
      </c>
      <c r="K3" s="81">
        <v>0</v>
      </c>
      <c r="L3" s="81">
        <v>0</v>
      </c>
      <c r="M3" s="81">
        <v>0</v>
      </c>
      <c r="N3" s="81">
        <v>0</v>
      </c>
      <c r="O3" s="81">
        <v>1</v>
      </c>
      <c r="P3" s="81">
        <v>150</v>
      </c>
      <c r="Q3" s="81" t="s">
        <v>170</v>
      </c>
      <c r="R3" s="81" t="s">
        <v>171</v>
      </c>
    </row>
    <row r="4" spans="1:18">
      <c r="A4" s="57">
        <v>40011</v>
      </c>
      <c r="B4" s="81">
        <v>1</v>
      </c>
      <c r="C4" s="81" t="str">
        <f t="shared" si="0"/>
        <v>40011_1</v>
      </c>
      <c r="D4" s="81" t="str">
        <f>VLOOKUP(C4,[2]stages!$A:$AE,31,FALSE)</f>
        <v>everyone</v>
      </c>
      <c r="E4" s="81">
        <v>3</v>
      </c>
      <c r="F4" s="81" t="s">
        <v>282</v>
      </c>
      <c r="G4" s="81">
        <v>345</v>
      </c>
      <c r="H4" s="81">
        <v>1</v>
      </c>
      <c r="I4" s="81">
        <v>1</v>
      </c>
      <c r="J4" s="81">
        <v>1</v>
      </c>
      <c r="K4" s="81">
        <v>0</v>
      </c>
      <c r="L4" s="81">
        <v>0</v>
      </c>
      <c r="M4" s="81">
        <v>0</v>
      </c>
      <c r="N4" s="81">
        <v>0</v>
      </c>
      <c r="O4" s="81">
        <v>1</v>
      </c>
      <c r="P4" s="81">
        <v>28</v>
      </c>
      <c r="Q4" s="81" t="s">
        <v>170</v>
      </c>
      <c r="R4" s="81" t="s">
        <v>171</v>
      </c>
    </row>
    <row r="5" spans="1:18">
      <c r="A5" s="57">
        <v>40011</v>
      </c>
      <c r="B5" s="81">
        <v>1</v>
      </c>
      <c r="C5" s="81" t="str">
        <f t="shared" si="0"/>
        <v>40011_1</v>
      </c>
      <c r="D5" s="81" t="str">
        <f>VLOOKUP(C5,[2]stages!$A:$AE,31,FALSE)</f>
        <v>everyone</v>
      </c>
      <c r="E5" s="81">
        <v>4</v>
      </c>
      <c r="F5" s="81" t="s">
        <v>282</v>
      </c>
      <c r="G5" s="81">
        <v>346</v>
      </c>
      <c r="H5" s="81">
        <v>1</v>
      </c>
      <c r="I5" s="81">
        <v>1</v>
      </c>
      <c r="J5" s="81">
        <v>1</v>
      </c>
      <c r="K5" s="81">
        <v>0</v>
      </c>
      <c r="L5" s="81">
        <v>0</v>
      </c>
      <c r="M5" s="81">
        <v>0</v>
      </c>
      <c r="N5" s="81">
        <v>0</v>
      </c>
      <c r="O5" s="81">
        <v>1</v>
      </c>
      <c r="P5" s="81">
        <v>112</v>
      </c>
      <c r="Q5" s="81" t="s">
        <v>170</v>
      </c>
      <c r="R5" s="81" t="s">
        <v>171</v>
      </c>
    </row>
    <row r="6" spans="1:18">
      <c r="A6" s="57">
        <v>40011</v>
      </c>
      <c r="B6" s="81">
        <v>1</v>
      </c>
      <c r="C6" s="81" t="str">
        <f t="shared" si="0"/>
        <v>40011_1</v>
      </c>
      <c r="D6" s="81" t="str">
        <f>VLOOKUP(C6,[2]stages!$A:$AE,31,FALSE)</f>
        <v>everyone</v>
      </c>
      <c r="E6" s="81">
        <v>5</v>
      </c>
      <c r="F6" s="81" t="s">
        <v>282</v>
      </c>
      <c r="G6" s="81">
        <v>121</v>
      </c>
      <c r="H6" s="81">
        <v>1</v>
      </c>
      <c r="I6" s="81">
        <v>1</v>
      </c>
      <c r="J6" s="81">
        <v>1</v>
      </c>
      <c r="K6" s="81">
        <v>0</v>
      </c>
      <c r="L6" s="81">
        <v>0</v>
      </c>
      <c r="M6" s="81">
        <v>0</v>
      </c>
      <c r="N6" s="81">
        <v>0</v>
      </c>
      <c r="O6" s="81">
        <v>1</v>
      </c>
      <c r="P6" s="81">
        <v>50</v>
      </c>
      <c r="Q6" s="81" t="s">
        <v>170</v>
      </c>
      <c r="R6" s="81" t="s">
        <v>171</v>
      </c>
    </row>
    <row r="7" spans="1:18">
      <c r="A7" s="57">
        <v>40011</v>
      </c>
      <c r="B7" s="81">
        <v>1</v>
      </c>
      <c r="C7" s="81" t="str">
        <f t="shared" si="0"/>
        <v>40011_1</v>
      </c>
      <c r="D7" s="81" t="str">
        <f>VLOOKUP(C7,[2]stages!$A:$AE,31,FALSE)</f>
        <v>everyone</v>
      </c>
      <c r="E7" s="81">
        <v>6</v>
      </c>
      <c r="F7" s="81" t="s">
        <v>282</v>
      </c>
      <c r="G7" s="81">
        <v>122</v>
      </c>
      <c r="H7" s="81">
        <v>1</v>
      </c>
      <c r="I7" s="81">
        <v>1</v>
      </c>
      <c r="J7" s="81">
        <v>1</v>
      </c>
      <c r="K7" s="81">
        <v>0</v>
      </c>
      <c r="L7" s="81">
        <v>0</v>
      </c>
      <c r="M7" s="81">
        <v>0</v>
      </c>
      <c r="N7" s="81">
        <v>0</v>
      </c>
      <c r="O7" s="81">
        <v>1</v>
      </c>
      <c r="P7" s="81">
        <v>50</v>
      </c>
      <c r="Q7" s="81" t="s">
        <v>170</v>
      </c>
      <c r="R7" s="81" t="s">
        <v>171</v>
      </c>
    </row>
    <row r="8" spans="1:18">
      <c r="A8" s="57">
        <v>40011</v>
      </c>
      <c r="B8" s="81">
        <v>1</v>
      </c>
      <c r="C8" s="81" t="str">
        <f t="shared" si="0"/>
        <v>40011_1</v>
      </c>
      <c r="D8" s="81" t="str">
        <f>VLOOKUP(C8,[2]stages!$A:$AE,31,FALSE)</f>
        <v>everyone</v>
      </c>
      <c r="E8" s="81">
        <v>7</v>
      </c>
      <c r="F8" s="81" t="s">
        <v>282</v>
      </c>
      <c r="G8" s="81">
        <v>123</v>
      </c>
      <c r="H8" s="81">
        <v>1</v>
      </c>
      <c r="I8" s="81">
        <v>1</v>
      </c>
      <c r="J8" s="81">
        <v>1</v>
      </c>
      <c r="K8" s="81">
        <v>0</v>
      </c>
      <c r="L8" s="81">
        <v>0</v>
      </c>
      <c r="M8" s="81">
        <v>0</v>
      </c>
      <c r="N8" s="81">
        <v>0</v>
      </c>
      <c r="O8" s="81">
        <v>1</v>
      </c>
      <c r="P8" s="81">
        <v>50</v>
      </c>
      <c r="Q8" s="81" t="s">
        <v>170</v>
      </c>
      <c r="R8" s="81" t="s">
        <v>171</v>
      </c>
    </row>
    <row r="9" spans="1:18">
      <c r="A9" s="57">
        <v>40011</v>
      </c>
      <c r="B9" s="81">
        <v>1</v>
      </c>
      <c r="C9" s="81" t="str">
        <f t="shared" si="0"/>
        <v>40011_1</v>
      </c>
      <c r="D9" s="81" t="str">
        <f>VLOOKUP(C9,[2]stages!$A:$AE,31,FALSE)</f>
        <v>everyone</v>
      </c>
      <c r="E9" s="81">
        <v>8</v>
      </c>
      <c r="F9" s="81" t="s">
        <v>282</v>
      </c>
      <c r="G9" s="81">
        <v>125</v>
      </c>
      <c r="H9" s="81">
        <v>1</v>
      </c>
      <c r="I9" s="81">
        <v>1</v>
      </c>
      <c r="J9" s="81">
        <v>1</v>
      </c>
      <c r="K9" s="81">
        <v>0</v>
      </c>
      <c r="L9" s="81">
        <v>0</v>
      </c>
      <c r="M9" s="81">
        <v>0</v>
      </c>
      <c r="N9" s="81">
        <v>0</v>
      </c>
      <c r="O9" s="81">
        <v>1</v>
      </c>
      <c r="P9" s="81">
        <v>10</v>
      </c>
      <c r="Q9" s="81" t="s">
        <v>170</v>
      </c>
      <c r="R9" s="81" t="s">
        <v>171</v>
      </c>
    </row>
    <row r="10" spans="1:18">
      <c r="A10" s="57">
        <v>40011</v>
      </c>
      <c r="B10" s="81">
        <v>1</v>
      </c>
      <c r="C10" s="81" t="str">
        <f t="shared" si="0"/>
        <v>40011_1</v>
      </c>
      <c r="D10" s="81" t="str">
        <f>VLOOKUP(C10,[2]stages!$A:$AE,31,FALSE)</f>
        <v>everyone</v>
      </c>
      <c r="E10" s="81">
        <v>9</v>
      </c>
      <c r="F10" s="81" t="s">
        <v>282</v>
      </c>
      <c r="G10" s="81">
        <v>654</v>
      </c>
      <c r="H10" s="81">
        <v>1</v>
      </c>
      <c r="I10" s="81">
        <v>1</v>
      </c>
      <c r="J10" s="81">
        <v>1</v>
      </c>
      <c r="K10" s="81">
        <v>0</v>
      </c>
      <c r="L10" s="81">
        <v>0</v>
      </c>
      <c r="M10" s="81">
        <v>0</v>
      </c>
      <c r="N10" s="81">
        <v>0</v>
      </c>
      <c r="O10" s="81">
        <v>1</v>
      </c>
      <c r="P10" s="81">
        <v>250</v>
      </c>
      <c r="Q10" s="81" t="s">
        <v>170</v>
      </c>
      <c r="R10" s="81" t="s">
        <v>171</v>
      </c>
    </row>
    <row r="11" spans="1:18">
      <c r="A11" s="57">
        <v>40011</v>
      </c>
      <c r="B11" s="81">
        <v>1</v>
      </c>
      <c r="C11" s="81" t="str">
        <f t="shared" si="0"/>
        <v>40011_1</v>
      </c>
      <c r="D11" s="81" t="str">
        <f>VLOOKUP(C11,[2]stages!$A:$AE,31,FALSE)</f>
        <v>everyone</v>
      </c>
      <c r="E11" s="81">
        <v>10</v>
      </c>
      <c r="F11" s="81" t="s">
        <v>282</v>
      </c>
      <c r="G11" s="81">
        <v>354</v>
      </c>
      <c r="H11" s="81">
        <v>1</v>
      </c>
      <c r="I11" s="81">
        <v>1</v>
      </c>
      <c r="J11" s="81">
        <v>1</v>
      </c>
      <c r="K11" s="81">
        <v>0</v>
      </c>
      <c r="L11" s="81">
        <v>0</v>
      </c>
      <c r="M11" s="81">
        <v>0</v>
      </c>
      <c r="N11" s="81">
        <v>0</v>
      </c>
      <c r="O11" s="81">
        <v>1</v>
      </c>
      <c r="P11" s="81">
        <v>150</v>
      </c>
      <c r="Q11" s="81" t="s">
        <v>170</v>
      </c>
      <c r="R11" s="81" t="s">
        <v>171</v>
      </c>
    </row>
  </sheetData>
  <phoneticPr fontId="5"/>
  <dataValidations disablePrompts="1"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L18" sqref="L18"/>
    </sheetView>
  </sheetViews>
  <sheetFormatPr baseColWidth="12" defaultColWidth="13" defaultRowHeight="18" outlineLevelCol="1" x14ac:dyDescent="0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>
      <c r="A1" s="76" t="s">
        <v>188</v>
      </c>
      <c r="B1" s="72" t="s">
        <v>189</v>
      </c>
      <c r="C1" s="77" t="s">
        <v>190</v>
      </c>
      <c r="D1" s="77" t="s">
        <v>33</v>
      </c>
      <c r="E1" s="72" t="s">
        <v>191</v>
      </c>
      <c r="F1" s="77" t="s">
        <v>192</v>
      </c>
      <c r="G1" s="77" t="s">
        <v>33</v>
      </c>
      <c r="H1" s="72" t="s">
        <v>193</v>
      </c>
      <c r="I1" s="91" t="s">
        <v>195</v>
      </c>
      <c r="J1" s="79" t="s">
        <v>127</v>
      </c>
      <c r="K1" s="78" t="s">
        <v>187</v>
      </c>
      <c r="L1" s="92" t="s">
        <v>186</v>
      </c>
      <c r="M1" s="80" t="s">
        <v>196</v>
      </c>
    </row>
    <row r="2" spans="1:13">
      <c r="A2" s="81" t="s">
        <v>201</v>
      </c>
      <c r="B2" s="82">
        <f>floors!$C$2</f>
        <v>40011</v>
      </c>
      <c r="C2" s="83" t="str">
        <f ca="1">VLOOKUP($B2,OFFSET([2]quests!$A$1,0,0,COUNTA([2]quests!$A:$A),MATCH(C$1,[2]quests!$1:$1,0)-MATCH($B$1,[2]quests!$1:$1,0)+1),MATCH(C$1,[2]quests!$1:$1,0)-MATCH($B$1,[2]quests!$1:$1,0)+1,FALSE)</f>
        <v>ヨミ襲来！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降臨11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降臨11</v>
      </c>
      <c r="H2" s="85">
        <v>0</v>
      </c>
      <c r="I2">
        <v>12</v>
      </c>
      <c r="J2" s="84" t="s">
        <v>198</v>
      </c>
      <c r="K2" s="93" t="str">
        <f>VLOOKUP(I2,[7]stage_hints!$A:$C,3,FALSE)</f>
        <v>ユニットのお気に入り登録</v>
      </c>
      <c r="L2" s="94" t="str">
        <f>VLOOKUP(I2,[7]stage_hints!$A:$D,4,FALSE)</f>
        <v>大事なユニットを誤って消さないように_x000D_フォルダから「お気に入り登録」しましょう</v>
      </c>
      <c r="M2" s="57" t="s">
        <v>211</v>
      </c>
    </row>
    <row r="3" spans="1:13">
      <c r="A3" s="81" t="s">
        <v>201</v>
      </c>
      <c r="B3" s="82">
        <f>floors!$C$2</f>
        <v>40011</v>
      </c>
      <c r="C3" s="83" t="str">
        <f ca="1">VLOOKUP($B3,OFFSET([2]quests!$A$1,0,0,COUNTA([2]quests!$A:$A),MATCH(C$1,[2]quests!$1:$1,0)-MATCH($B$1,[2]quests!$1:$1,0)+1),MATCH(C$1,[2]quests!$1:$1,0)-MATCH($B$1,[2]quests!$1:$1,0)+1,FALSE)</f>
        <v>ヨミ襲来！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降臨11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降臨11</v>
      </c>
      <c r="H3" s="85">
        <v>0</v>
      </c>
      <c r="I3">
        <v>17</v>
      </c>
      <c r="J3" s="84" t="s">
        <v>198</v>
      </c>
      <c r="K3" s="93" t="str">
        <f>VLOOKUP(I3,[7]stage_hints!$A:$C,3,FALSE)</f>
        <v>リンクガチャ</v>
      </c>
      <c r="L3" s="94" t="str">
        <f>VLOOKUP(I3,[7]stage_hints!$A:$D,4,FALSE)</f>
        <v>無料のリンクガチャを回して_x000D_経験値素材や売却素材を獲得しましょう</v>
      </c>
      <c r="M3" s="57" t="s">
        <v>211</v>
      </c>
    </row>
    <row r="4" spans="1:13">
      <c r="A4" s="81" t="s">
        <v>201</v>
      </c>
      <c r="B4" s="82">
        <f>floors!$C$2</f>
        <v>40011</v>
      </c>
      <c r="C4" s="83" t="str">
        <f ca="1">VLOOKUP($B4,OFFSET([2]quests!$A$1,0,0,COUNTA([2]quests!$A:$A),MATCH(C$1,[2]quests!$1:$1,0)-MATCH($B$1,[2]quests!$1:$1,0)+1),MATCH(C$1,[2]quests!$1:$1,0)-MATCH($B$1,[2]quests!$1:$1,0)+1,FALSE)</f>
        <v>ヨミ襲来！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降臨11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降臨11</v>
      </c>
      <c r="H4" s="85">
        <v>0</v>
      </c>
      <c r="I4">
        <v>19</v>
      </c>
      <c r="J4" s="84" t="s">
        <v>198</v>
      </c>
      <c r="K4" s="93" t="str">
        <f>VLOOKUP(I4,[7]stage_hints!$A:$C,3,FALSE)</f>
        <v>ソロ専用チャレンジタワー</v>
      </c>
      <c r="L4" s="94" t="str">
        <f>VLOOKUP(I4,[7]stage_hints!$A:$D,4,FALSE)</f>
        <v>ソロ専用の「チャレンジタワー」では_x000D_各フロアごとにクリア報酬がもらえます</v>
      </c>
      <c r="M4" s="57" t="s">
        <v>211</v>
      </c>
    </row>
    <row r="5" spans="1:13">
      <c r="A5" s="81" t="s">
        <v>201</v>
      </c>
      <c r="B5" s="82">
        <f>floors!$C$2</f>
        <v>40011</v>
      </c>
      <c r="C5" s="83" t="str">
        <f ca="1">VLOOKUP($B5,OFFSET([2]quests!$A$1,0,0,COUNTA([2]quests!$A:$A),MATCH(C$1,[2]quests!$1:$1,0)-MATCH($B$1,[2]quests!$1:$1,0)+1),MATCH(C$1,[2]quests!$1:$1,0)-MATCH($B$1,[2]quests!$1:$1,0)+1,FALSE)</f>
        <v>ヨミ襲来！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降臨11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降臨11</v>
      </c>
      <c r="H5" s="85">
        <v>0</v>
      </c>
      <c r="I5">
        <v>21</v>
      </c>
      <c r="J5" s="84" t="s">
        <v>198</v>
      </c>
      <c r="K5" s="93" t="str">
        <f>VLOOKUP(I5,[7]stage_hints!$A:$C,3,FALSE)</f>
        <v>スキルを有効に</v>
      </c>
      <c r="L5" s="94" t="str">
        <f>VLOOKUP(I5,[7]stage_hints!$A:$D,4,FALSE)</f>
        <v>ターン経過でユニットのスキルが使えます_x000D_強力スキルでバトルを有利に進めましょう</v>
      </c>
      <c r="M5" s="57" t="s">
        <v>211</v>
      </c>
    </row>
    <row r="6" spans="1:13">
      <c r="A6" s="81" t="s">
        <v>201</v>
      </c>
      <c r="B6" s="82">
        <f>floors!$C$2</f>
        <v>40011</v>
      </c>
      <c r="C6" s="83" t="str">
        <f ca="1">VLOOKUP($B6,OFFSET([2]quests!$A$1,0,0,COUNTA([2]quests!$A:$A),MATCH(C$1,[2]quests!$1:$1,0)-MATCH($B$1,[2]quests!$1:$1,0)+1),MATCH(C$1,[2]quests!$1:$1,0)-MATCH($B$1,[2]quests!$1:$1,0)+1,FALSE)</f>
        <v>ヨミ襲来！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降臨11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降臨11</v>
      </c>
      <c r="H6" s="85">
        <v>0</v>
      </c>
      <c r="I6">
        <v>29</v>
      </c>
      <c r="J6" s="84" t="s">
        <v>198</v>
      </c>
      <c r="K6" s="93" t="str">
        <f>VLOOKUP(I6,[7]stage_hints!$A:$C,3,FALSE)</f>
        <v>「バグ」のメリット</v>
      </c>
      <c r="L6" s="94" t="str">
        <f>VLOOKUP(I6,[7]stage_hints!$A:$D,4,FALSE)</f>
        <v>ユニットの「バグ」を増やすと_x000D_報酬をもらえる確率がアップします</v>
      </c>
      <c r="M6" s="57" t="s">
        <v>211</v>
      </c>
    </row>
    <row r="7" spans="1:13">
      <c r="A7" s="81" t="s">
        <v>201</v>
      </c>
      <c r="B7" s="82">
        <f>floors!$C$2</f>
        <v>40011</v>
      </c>
      <c r="C7" s="83" t="str">
        <f ca="1">VLOOKUP($B7,OFFSET([2]quests!$A$1,0,0,COUNTA([2]quests!$A:$A),MATCH(C$1,[2]quests!$1:$1,0)-MATCH($B$1,[2]quests!$1:$1,0)+1),MATCH(C$1,[2]quests!$1:$1,0)-MATCH($B$1,[2]quests!$1:$1,0)+1,FALSE)</f>
        <v>ヨミ襲来！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降臨11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降臨11</v>
      </c>
      <c r="H7" s="85">
        <v>0</v>
      </c>
      <c r="I7">
        <v>30</v>
      </c>
      <c r="J7" s="84" t="s">
        <v>198</v>
      </c>
      <c r="K7" s="93" t="str">
        <f>VLOOKUP(I7,[7]stage_hints!$A:$C,3,FALSE)</f>
        <v>「バグ」の増やし方</v>
      </c>
      <c r="L7" s="94" t="str">
        <f>VLOOKUP(I7,[7]stage_hints!$A:$D,4,FALSE)</f>
        <v>同じユニット同士を強化で合成すると_x000D_「バグ」を増やすことができます</v>
      </c>
      <c r="M7" s="57" t="s">
        <v>211</v>
      </c>
    </row>
    <row r="8" spans="1:13">
      <c r="A8" s="81" t="s">
        <v>201</v>
      </c>
      <c r="B8" s="82">
        <f>floors!$C$2</f>
        <v>40011</v>
      </c>
      <c r="C8" s="83" t="str">
        <f ca="1">VLOOKUP($B8,OFFSET([2]quests!$A$1,0,0,COUNTA([2]quests!$A:$A),MATCH(C$1,[2]quests!$1:$1,0)-MATCH($B$1,[2]quests!$1:$1,0)+1),MATCH(C$1,[2]quests!$1:$1,0)-MATCH($B$1,[2]quests!$1:$1,0)+1,FALSE)</f>
        <v>ヨミ襲来！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降臨11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降臨11</v>
      </c>
      <c r="H8" s="85">
        <v>0</v>
      </c>
      <c r="I8">
        <v>32</v>
      </c>
      <c r="J8" s="84" t="s">
        <v>198</v>
      </c>
      <c r="K8" s="93" t="str">
        <f>VLOOKUP(I8,[7]stage_hints!$A:$C,3,FALSE)</f>
        <v>敵の連続攻撃には</v>
      </c>
      <c r="L8" s="94" t="str">
        <f>VLOOKUP(I8,[7]stage_hints!$A:$D,4,FALSE)</f>
        <v>カウンタースキルを持つユニットがいれば_x000D_ダメージ回数分の反撃ができます</v>
      </c>
      <c r="M8" s="57" t="s">
        <v>211</v>
      </c>
    </row>
    <row r="9" spans="1:13">
      <c r="A9" s="81" t="s">
        <v>201</v>
      </c>
      <c r="B9" s="82">
        <f>floors!$C$2</f>
        <v>40011</v>
      </c>
      <c r="C9" s="83" t="str">
        <f ca="1">VLOOKUP($B9,OFFSET([2]quests!$A$1,0,0,COUNTA([2]quests!$A:$A),MATCH(C$1,[2]quests!$1:$1,0)-MATCH($B$1,[2]quests!$1:$1,0)+1),MATCH(C$1,[2]quests!$1:$1,0)-MATCH($B$1,[2]quests!$1:$1,0)+1,FALSE)</f>
        <v>ヨミ襲来！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降臨11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降臨11</v>
      </c>
      <c r="H9" s="85">
        <v>0</v>
      </c>
      <c r="I9">
        <v>33</v>
      </c>
      <c r="J9" s="84" t="s">
        <v>198</v>
      </c>
      <c r="K9" s="93" t="str">
        <f>VLOOKUP(I9,[7]stage_hints!$A:$C,3,FALSE)</f>
        <v>敵のカウンター攻撃には</v>
      </c>
      <c r="L9" s="94" t="str">
        <f>VLOOKUP(I9,[7]stage_hints!$A:$D,4,FALSE)</f>
        <v>カウンターブレイクスキルを持っていれば_x000D_敵のカウンターを解除して攻撃ができます</v>
      </c>
      <c r="M9" s="57" t="s">
        <v>211</v>
      </c>
    </row>
    <row r="10" spans="1:13">
      <c r="A10" s="81" t="s">
        <v>201</v>
      </c>
      <c r="B10" s="82">
        <f>floors!$C$2</f>
        <v>40011</v>
      </c>
      <c r="C10" s="83" t="str">
        <f ca="1">VLOOKUP($B10,OFFSET([2]quests!$A$1,0,0,COUNTA([2]quests!$A:$A),MATCH(C$1,[2]quests!$1:$1,0)-MATCH($B$1,[2]quests!$1:$1,0)+1),MATCH(C$1,[2]quests!$1:$1,0)-MATCH($B$1,[2]quests!$1:$1,0)+1,FALSE)</f>
        <v>ヨミ襲来！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降臨11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降臨11</v>
      </c>
      <c r="H10" s="85">
        <v>0</v>
      </c>
      <c r="I10">
        <v>34</v>
      </c>
      <c r="J10" s="84" t="s">
        <v>198</v>
      </c>
      <c r="K10" s="93" t="str">
        <f>VLOOKUP(I10,[7]stage_hints!$A:$C,3,FALSE)</f>
        <v>ステータスをスキルで下げられたら</v>
      </c>
      <c r="L10" s="94" t="str">
        <f>VLOOKUP(I10,[7]stage_hints!$A:$D,4,FALSE)</f>
        <v>ステータスダウンのスキルを受けたら_x000D_ステータスアップスキルで上書きしましょう</v>
      </c>
      <c r="M10" s="57" t="s">
        <v>211</v>
      </c>
    </row>
    <row r="11" spans="1:13">
      <c r="A11" s="81" t="s">
        <v>201</v>
      </c>
      <c r="B11" s="82">
        <f>floors!$C$2</f>
        <v>40011</v>
      </c>
      <c r="C11" s="83" t="str">
        <f ca="1">VLOOKUP($B11,OFFSET([2]quests!$A$1,0,0,COUNTA([2]quests!$A:$A),MATCH(C$1,[2]quests!$1:$1,0)-MATCH($B$1,[2]quests!$1:$1,0)+1),MATCH(C$1,[2]quests!$1:$1,0)-MATCH($B$1,[2]quests!$1:$1,0)+1,FALSE)</f>
        <v>ヨミ襲来！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降臨11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降臨11</v>
      </c>
      <c r="H11" s="85">
        <v>0</v>
      </c>
      <c r="I11">
        <v>35</v>
      </c>
      <c r="J11" s="84" t="s">
        <v>198</v>
      </c>
      <c r="K11" s="93" t="str">
        <f>VLOOKUP(I11,[7]stage_hints!$A:$C,3,FALSE)</f>
        <v>敵のステータスがスキルで上がったら</v>
      </c>
      <c r="L11" s="94" t="str">
        <f>VLOOKUP(I11,[7]stage_hints!$A:$D,4,FALSE)</f>
        <v>敵のステータスがスキルでアップしたときは_x000D_ステータスダウンスキルで上書きしましょう</v>
      </c>
      <c r="M11" s="57" t="s">
        <v>211</v>
      </c>
    </row>
    <row r="12" spans="1:13">
      <c r="A12" s="81" t="s">
        <v>201</v>
      </c>
      <c r="B12" s="82">
        <f>floors!$C$2</f>
        <v>40011</v>
      </c>
      <c r="C12" s="83" t="str">
        <f ca="1">VLOOKUP($B12,OFFSET([2]quests!$A$1,0,0,COUNTA([2]quests!$A:$A),MATCH(C$1,[2]quests!$1:$1,0)-MATCH($B$1,[2]quests!$1:$1,0)+1),MATCH(C$1,[2]quests!$1:$1,0)-MATCH($B$1,[2]quests!$1:$1,0)+1,FALSE)</f>
        <v>ヨミ襲来！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降臨11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降臨11</v>
      </c>
      <c r="H12" s="85">
        <v>0</v>
      </c>
      <c r="I12">
        <v>36</v>
      </c>
      <c r="J12" s="84" t="s">
        <v>198</v>
      </c>
      <c r="K12" s="93" t="str">
        <f>VLOOKUP(I12,[7]stage_hints!$A:$C,3,FALSE)</f>
        <v>チャレンジタワーのボス</v>
      </c>
      <c r="L12" s="94" t="str">
        <f>VLOOKUP(I12,[7]stage_hints!$A:$D,4,FALSE)</f>
        <v>チャレンジタワーでのみ登場するボスは_x000D_一定確率で獲得することができます</v>
      </c>
      <c r="M12" s="57" t="s">
        <v>211</v>
      </c>
    </row>
    <row r="13" spans="1:13">
      <c r="A13" s="81" t="s">
        <v>201</v>
      </c>
      <c r="B13" s="82">
        <f>floors!$C$2</f>
        <v>40011</v>
      </c>
      <c r="C13" s="83" t="str">
        <f ca="1">VLOOKUP($B13,OFFSET([2]quests!$A$1,0,0,COUNTA([2]quests!$A:$A),MATCH(C$1,[2]quests!$1:$1,0)-MATCH($B$1,[2]quests!$1:$1,0)+1),MATCH(C$1,[2]quests!$1:$1,0)-MATCH($B$1,[2]quests!$1:$1,0)+1,FALSE)</f>
        <v>ヨミ襲来！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降臨11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降臨11</v>
      </c>
      <c r="H13" s="85">
        <v>0</v>
      </c>
      <c r="I13">
        <v>37</v>
      </c>
      <c r="J13" s="84" t="s">
        <v>198</v>
      </c>
      <c r="K13" s="93" t="str">
        <f>VLOOKUP(I13,[7]stage_hints!$A:$C,3,FALSE)</f>
        <v>限界突破値の引き継ぎ</v>
      </c>
      <c r="L13" s="94" t="str">
        <f>VLOOKUP(I13,[7]stage_hints!$A:$D,4,FALSE)</f>
        <v>同じユニットを強化で合成すると_x000D_限界突破値を引き継げます（覚醒前後も可）</v>
      </c>
      <c r="M13" s="57" t="s">
        <v>211</v>
      </c>
    </row>
    <row r="14" spans="1:13">
      <c r="A14" s="81" t="s">
        <v>201</v>
      </c>
      <c r="B14" s="82">
        <f>floors!$C$2</f>
        <v>40011</v>
      </c>
      <c r="C14" s="83" t="str">
        <f ca="1">VLOOKUP($B14,OFFSET([2]quests!$A$1,0,0,COUNTA([2]quests!$A:$A),MATCH(C$1,[2]quests!$1:$1,0)-MATCH($B$1,[2]quests!$1:$1,0)+1),MATCH(C$1,[2]quests!$1:$1,0)-MATCH($B$1,[2]quests!$1:$1,0)+1,FALSE)</f>
        <v>ヨミ襲来！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降臨11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降臨11</v>
      </c>
      <c r="H14" s="85">
        <v>0</v>
      </c>
      <c r="I14">
        <v>39</v>
      </c>
      <c r="J14" s="84" t="s">
        <v>198</v>
      </c>
      <c r="K14" s="93" t="str">
        <f>VLOOKUP(I14,[7]stage_hints!$A:$C,3,FALSE)</f>
        <v>システム適合者を確認</v>
      </c>
      <c r="L14" s="94" t="str">
        <f>VLOOKUP(I14,[7]stage_hints!$A:$D,4,FALSE)</f>
        <v>ALICEが「アナタ」を呼んでいます</v>
      </c>
      <c r="M14" s="57" t="s">
        <v>211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5"/>
  <sheetViews>
    <sheetView showGridLines="0" workbookViewId="0">
      <pane ySplit="1" topLeftCell="A2" activePane="bottomLeft" state="frozen"/>
      <selection pane="bottomLeft" activeCell="B6" sqref="B6"/>
    </sheetView>
  </sheetViews>
  <sheetFormatPr baseColWidth="12" defaultColWidth="13" defaultRowHeight="18" outlineLevelCol="1" x14ac:dyDescent="0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>
      <c r="A1" s="76" t="s">
        <v>188</v>
      </c>
      <c r="B1" s="72" t="s">
        <v>151</v>
      </c>
      <c r="C1" s="77" t="s">
        <v>190</v>
      </c>
      <c r="D1" s="77" t="s">
        <v>33</v>
      </c>
      <c r="E1" s="72" t="s">
        <v>191</v>
      </c>
      <c r="F1" s="77" t="s">
        <v>18</v>
      </c>
      <c r="G1" s="77" t="s">
        <v>33</v>
      </c>
      <c r="H1" s="72" t="s">
        <v>193</v>
      </c>
      <c r="I1" s="89" t="s">
        <v>194</v>
      </c>
      <c r="J1" s="91" t="s">
        <v>195</v>
      </c>
      <c r="K1" s="79" t="s">
        <v>127</v>
      </c>
      <c r="L1" s="78" t="s">
        <v>187</v>
      </c>
      <c r="M1" s="92" t="s">
        <v>186</v>
      </c>
      <c r="N1" s="80" t="s">
        <v>196</v>
      </c>
    </row>
    <row r="2" spans="1:14" ht="42">
      <c r="A2" s="81" t="s">
        <v>197</v>
      </c>
      <c r="B2" s="82">
        <f>floors!$C$2</f>
        <v>40011</v>
      </c>
      <c r="C2" s="83" t="str">
        <f ca="1">VLOOKUP($B2,OFFSET([2]quests!$A$1,0,0,COUNTA([2]quests!$A:$A),MATCH(C$1,[2]quests!$1:$1,0)-MATCH($B$1,[2]quests!$1:$1,0)+1),MATCH(C$1,[2]quests!$1:$1,0)-MATCH($B$1,[2]quests!$1:$1,0)+1,FALSE)</f>
        <v>ヨミ襲来！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降臨11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降臨11</v>
      </c>
      <c r="H2" s="85">
        <v>2</v>
      </c>
      <c r="I2" s="90">
        <f>ROW()-1</f>
        <v>1</v>
      </c>
      <c r="J2" s="86" t="str">
        <f>B2&amp;TEXT(I2,"00")</f>
        <v>4001101</v>
      </c>
      <c r="K2" s="84" t="s">
        <v>198</v>
      </c>
      <c r="L2" s="87" t="s">
        <v>199</v>
      </c>
      <c r="M2" s="97" t="s">
        <v>289</v>
      </c>
      <c r="N2" s="57" t="s">
        <v>200</v>
      </c>
    </row>
    <row r="3" spans="1:14" ht="42">
      <c r="A3" s="81" t="s">
        <v>197</v>
      </c>
      <c r="B3" s="82">
        <f>floors!$C$2</f>
        <v>40011</v>
      </c>
      <c r="C3" s="83" t="str">
        <f ca="1">VLOOKUP($B3,OFFSET([2]quests!$A$1,0,0,COUNTA([2]quests!$A:$A),MATCH(C$1,[2]quests!$1:$1,0)-MATCH($B$1,[2]quests!$1:$1,0)+1),MATCH(C$1,[2]quests!$1:$1,0)-MATCH($B$1,[2]quests!$1:$1,0)+1,FALSE)</f>
        <v>ヨミ襲来！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降臨11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降臨11</v>
      </c>
      <c r="H3" s="85">
        <v>3</v>
      </c>
      <c r="I3" s="90">
        <f t="shared" ref="I3:I6" si="0">ROW()-1</f>
        <v>2</v>
      </c>
      <c r="J3" s="86" t="str">
        <f t="shared" ref="J3:J5" si="1">B3&amp;TEXT(I3,"00")</f>
        <v>4001102</v>
      </c>
      <c r="K3" s="84" t="s">
        <v>128</v>
      </c>
      <c r="L3" s="87" t="s">
        <v>199</v>
      </c>
      <c r="M3" s="97" t="s">
        <v>290</v>
      </c>
      <c r="N3" s="57" t="s">
        <v>200</v>
      </c>
    </row>
    <row r="4" spans="1:14" ht="42">
      <c r="A4" s="81" t="s">
        <v>197</v>
      </c>
      <c r="B4" s="82">
        <f>floors!$C$2</f>
        <v>40011</v>
      </c>
      <c r="C4" s="83" t="str">
        <f ca="1">VLOOKUP($B4,OFFSET([2]quests!$A$1,0,0,COUNTA([2]quests!$A:$A),MATCH(C$1,[2]quests!$1:$1,0)-MATCH($B$1,[2]quests!$1:$1,0)+1),MATCH(C$1,[2]quests!$1:$1,0)-MATCH($B$1,[2]quests!$1:$1,0)+1,FALSE)</f>
        <v>ヨミ襲来！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降臨11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降臨11</v>
      </c>
      <c r="H4" s="85">
        <v>4</v>
      </c>
      <c r="I4" s="90">
        <f t="shared" si="0"/>
        <v>3</v>
      </c>
      <c r="J4" s="86" t="str">
        <f t="shared" si="1"/>
        <v>4001103</v>
      </c>
      <c r="K4" s="84" t="s">
        <v>128</v>
      </c>
      <c r="L4" s="87" t="s">
        <v>199</v>
      </c>
      <c r="M4" s="97" t="s">
        <v>290</v>
      </c>
      <c r="N4" s="57" t="s">
        <v>200</v>
      </c>
    </row>
    <row r="5" spans="1:14" ht="55">
      <c r="A5" s="81" t="s">
        <v>197</v>
      </c>
      <c r="B5" s="82">
        <f>floors!$C$2</f>
        <v>40011</v>
      </c>
      <c r="C5" s="83" t="str">
        <f ca="1">VLOOKUP($B5,OFFSET([2]quests!$A$1,0,0,COUNTA([2]quests!$A:$A),MATCH(C$1,[2]quests!$1:$1,0)-MATCH($B$1,[2]quests!$1:$1,0)+1),MATCH(C$1,[2]quests!$1:$1,0)-MATCH($B$1,[2]quests!$1:$1,0)+1,FALSE)</f>
        <v>ヨミ襲来！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降臨11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降臨11</v>
      </c>
      <c r="H5" s="85">
        <v>4</v>
      </c>
      <c r="I5" s="90">
        <f t="shared" si="0"/>
        <v>4</v>
      </c>
      <c r="J5" s="86" t="str">
        <f t="shared" si="1"/>
        <v>4001104</v>
      </c>
      <c r="K5" s="84" t="s">
        <v>128</v>
      </c>
      <c r="L5" s="87" t="s">
        <v>199</v>
      </c>
      <c r="M5" s="97" t="s">
        <v>291</v>
      </c>
      <c r="N5" s="57" t="s">
        <v>200</v>
      </c>
    </row>
    <row r="6" spans="1:14" ht="42">
      <c r="A6" s="81" t="s">
        <v>197</v>
      </c>
      <c r="B6" s="82">
        <f>floors!$C$2</f>
        <v>40011</v>
      </c>
      <c r="C6" s="83" t="str">
        <f ca="1">VLOOKUP($B6,OFFSET([2]quests!$A$1,0,0,COUNTA([2]quests!$A:$A),MATCH(C$1,[2]quests!$1:$1,0)-MATCH($B$1,[2]quests!$1:$1,0)+1),MATCH(C$1,[2]quests!$1:$1,0)-MATCH($B$1,[2]quests!$1:$1,0)+1,FALSE)</f>
        <v>ヨミ襲来！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降臨11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【ウィザード級】ヨミ襲来 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降臨11</v>
      </c>
      <c r="H6" s="85">
        <v>4</v>
      </c>
      <c r="I6" s="90">
        <f t="shared" si="0"/>
        <v>5</v>
      </c>
      <c r="J6" s="86" t="str">
        <f t="shared" ref="J6" si="2">B6&amp;TEXT(I6,"00")</f>
        <v>4001105</v>
      </c>
      <c r="K6" s="84" t="s">
        <v>128</v>
      </c>
      <c r="L6" s="87" t="s">
        <v>199</v>
      </c>
      <c r="M6" s="97" t="s">
        <v>292</v>
      </c>
      <c r="N6" s="57" t="s">
        <v>200</v>
      </c>
    </row>
    <row r="15" spans="1:14">
      <c r="L15" s="98"/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福谷 優大</cp:lastModifiedBy>
  <dcterms:created xsi:type="dcterms:W3CDTF">2015-01-30T13:36:44Z</dcterms:created>
  <dcterms:modified xsi:type="dcterms:W3CDTF">2016-03-09T07:49:21Z</dcterms:modified>
</cp:coreProperties>
</file>