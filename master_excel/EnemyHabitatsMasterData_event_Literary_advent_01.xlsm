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920" yWindow="840" windowWidth="30700" windowHeight="12280" tabRatio="740" firstSheet="3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stage_hints_failure!$B$1:$M$19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1" l="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31" i="21"/>
  <c r="I31" i="21"/>
  <c r="J31" i="21"/>
  <c r="G31" i="21"/>
  <c r="F31" i="21"/>
  <c r="D31" i="21"/>
  <c r="C31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B27" i="21"/>
  <c r="I27" i="21"/>
  <c r="J27" i="21"/>
  <c r="G27" i="21"/>
  <c r="F27" i="21"/>
  <c r="D27" i="21"/>
  <c r="C27" i="21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J46" i="11"/>
  <c r="O79" i="9"/>
  <c r="N79" i="9"/>
  <c r="M79" i="9"/>
  <c r="L79" i="9"/>
  <c r="K79" i="9"/>
  <c r="J79" i="9"/>
  <c r="I79" i="9"/>
  <c r="H79" i="9"/>
  <c r="G79" i="9"/>
  <c r="E79" i="9"/>
  <c r="D79" i="9"/>
  <c r="A79" i="9"/>
  <c r="J45" i="11"/>
  <c r="O78" i="9"/>
  <c r="N78" i="9"/>
  <c r="M78" i="9"/>
  <c r="L78" i="9"/>
  <c r="K78" i="9"/>
  <c r="J78" i="9"/>
  <c r="I78" i="9"/>
  <c r="H78" i="9"/>
  <c r="G78" i="9"/>
  <c r="E78" i="9"/>
  <c r="D78" i="9"/>
  <c r="A78" i="9"/>
  <c r="J44" i="11"/>
  <c r="O77" i="9"/>
  <c r="N77" i="9"/>
  <c r="M77" i="9"/>
  <c r="L77" i="9"/>
  <c r="K77" i="9"/>
  <c r="J77" i="9"/>
  <c r="I77" i="9"/>
  <c r="H77" i="9"/>
  <c r="G77" i="9"/>
  <c r="E77" i="9"/>
  <c r="D77" i="9"/>
  <c r="A77" i="9"/>
  <c r="J23" i="11"/>
  <c r="O64" i="9"/>
  <c r="N64" i="9"/>
  <c r="M64" i="9"/>
  <c r="L64" i="9"/>
  <c r="K64" i="9"/>
  <c r="J64" i="9"/>
  <c r="I64" i="9"/>
  <c r="H64" i="9"/>
  <c r="G64" i="9"/>
  <c r="E64" i="9"/>
  <c r="D64" i="9"/>
  <c r="A64" i="9"/>
  <c r="J22" i="11"/>
  <c r="O63" i="9"/>
  <c r="N63" i="9"/>
  <c r="M63" i="9"/>
  <c r="L63" i="9"/>
  <c r="K63" i="9"/>
  <c r="J63" i="9"/>
  <c r="I63" i="9"/>
  <c r="H63" i="9"/>
  <c r="G63" i="9"/>
  <c r="E63" i="9"/>
  <c r="D63" i="9"/>
  <c r="A63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O23" i="9"/>
  <c r="N23" i="9"/>
  <c r="M23" i="9"/>
  <c r="L23" i="9"/>
  <c r="K23" i="9"/>
  <c r="J23" i="9"/>
  <c r="I23" i="9"/>
  <c r="H23" i="9"/>
  <c r="G23" i="9"/>
  <c r="E23" i="9"/>
  <c r="D23" i="9"/>
  <c r="A23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38" i="10"/>
  <c r="N38" i="10"/>
  <c r="Q38" i="10"/>
  <c r="P38" i="10"/>
  <c r="R38" i="10"/>
  <c r="O38" i="10"/>
  <c r="S38" i="10"/>
  <c r="M22" i="10"/>
  <c r="T22" i="10"/>
  <c r="W22" i="10"/>
  <c r="V22" i="10"/>
  <c r="X22" i="10"/>
  <c r="U22" i="10"/>
  <c r="Y22" i="10"/>
  <c r="M37" i="10"/>
  <c r="N37" i="10"/>
  <c r="Q37" i="10"/>
  <c r="P37" i="10"/>
  <c r="R37" i="10"/>
  <c r="O37" i="10"/>
  <c r="S37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35" i="11"/>
  <c r="O76" i="9"/>
  <c r="N76" i="9"/>
  <c r="M76" i="9"/>
  <c r="L76" i="9"/>
  <c r="K76" i="9"/>
  <c r="J76" i="9"/>
  <c r="I76" i="9"/>
  <c r="H76" i="9"/>
  <c r="G76" i="9"/>
  <c r="E76" i="9"/>
  <c r="D76" i="9"/>
  <c r="A76" i="9"/>
  <c r="J34" i="11"/>
  <c r="O75" i="9"/>
  <c r="N75" i="9"/>
  <c r="M75" i="9"/>
  <c r="L75" i="9"/>
  <c r="K75" i="9"/>
  <c r="J75" i="9"/>
  <c r="I75" i="9"/>
  <c r="H75" i="9"/>
  <c r="G75" i="9"/>
  <c r="E75" i="9"/>
  <c r="D75" i="9"/>
  <c r="A75" i="9"/>
  <c r="J33" i="11"/>
  <c r="O74" i="9"/>
  <c r="N74" i="9"/>
  <c r="M74" i="9"/>
  <c r="L74" i="9"/>
  <c r="K74" i="9"/>
  <c r="J74" i="9"/>
  <c r="I74" i="9"/>
  <c r="H74" i="9"/>
  <c r="G74" i="9"/>
  <c r="E74" i="9"/>
  <c r="D74" i="9"/>
  <c r="A74" i="9"/>
  <c r="J32" i="11"/>
  <c r="O73" i="9"/>
  <c r="N73" i="9"/>
  <c r="M73" i="9"/>
  <c r="L73" i="9"/>
  <c r="K73" i="9"/>
  <c r="J73" i="9"/>
  <c r="I73" i="9"/>
  <c r="H73" i="9"/>
  <c r="G73" i="9"/>
  <c r="E73" i="9"/>
  <c r="D73" i="9"/>
  <c r="A73" i="9"/>
  <c r="J31" i="11"/>
  <c r="O72" i="9"/>
  <c r="N72" i="9"/>
  <c r="M72" i="9"/>
  <c r="L72" i="9"/>
  <c r="K72" i="9"/>
  <c r="J72" i="9"/>
  <c r="I72" i="9"/>
  <c r="H72" i="9"/>
  <c r="G72" i="9"/>
  <c r="E72" i="9"/>
  <c r="D72" i="9"/>
  <c r="A72" i="9"/>
  <c r="J30" i="11"/>
  <c r="O71" i="9"/>
  <c r="N71" i="9"/>
  <c r="M71" i="9"/>
  <c r="L71" i="9"/>
  <c r="K71" i="9"/>
  <c r="J71" i="9"/>
  <c r="I71" i="9"/>
  <c r="H71" i="9"/>
  <c r="G71" i="9"/>
  <c r="E71" i="9"/>
  <c r="D71" i="9"/>
  <c r="A71" i="9"/>
  <c r="J29" i="11"/>
  <c r="O70" i="9"/>
  <c r="N70" i="9"/>
  <c r="M70" i="9"/>
  <c r="L70" i="9"/>
  <c r="K70" i="9"/>
  <c r="J70" i="9"/>
  <c r="I70" i="9"/>
  <c r="H70" i="9"/>
  <c r="G70" i="9"/>
  <c r="E70" i="9"/>
  <c r="D70" i="9"/>
  <c r="A70" i="9"/>
  <c r="J28" i="11"/>
  <c r="O69" i="9"/>
  <c r="N69" i="9"/>
  <c r="M69" i="9"/>
  <c r="L69" i="9"/>
  <c r="K69" i="9"/>
  <c r="J69" i="9"/>
  <c r="I69" i="9"/>
  <c r="H69" i="9"/>
  <c r="G69" i="9"/>
  <c r="E69" i="9"/>
  <c r="D69" i="9"/>
  <c r="A69" i="9"/>
  <c r="J27" i="11"/>
  <c r="O68" i="9"/>
  <c r="N68" i="9"/>
  <c r="M68" i="9"/>
  <c r="L68" i="9"/>
  <c r="K68" i="9"/>
  <c r="J68" i="9"/>
  <c r="I68" i="9"/>
  <c r="H68" i="9"/>
  <c r="G68" i="9"/>
  <c r="E68" i="9"/>
  <c r="D68" i="9"/>
  <c r="A68" i="9"/>
  <c r="J26" i="11"/>
  <c r="O67" i="9"/>
  <c r="N67" i="9"/>
  <c r="M67" i="9"/>
  <c r="L67" i="9"/>
  <c r="K67" i="9"/>
  <c r="J67" i="9"/>
  <c r="I67" i="9"/>
  <c r="H67" i="9"/>
  <c r="G67" i="9"/>
  <c r="E67" i="9"/>
  <c r="D67" i="9"/>
  <c r="A67" i="9"/>
  <c r="J25" i="11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J21" i="11"/>
  <c r="O62" i="9"/>
  <c r="N62" i="9"/>
  <c r="M62" i="9"/>
  <c r="L62" i="9"/>
  <c r="K62" i="9"/>
  <c r="J62" i="9"/>
  <c r="I62" i="9"/>
  <c r="H62" i="9"/>
  <c r="G62" i="9"/>
  <c r="E62" i="9"/>
  <c r="D62" i="9"/>
  <c r="A62" i="9"/>
  <c r="J18" i="11"/>
  <c r="O61" i="9"/>
  <c r="N61" i="9"/>
  <c r="M61" i="9"/>
  <c r="L61" i="9"/>
  <c r="K61" i="9"/>
  <c r="J61" i="9"/>
  <c r="I61" i="9"/>
  <c r="H61" i="9"/>
  <c r="G61" i="9"/>
  <c r="E61" i="9"/>
  <c r="D61" i="9"/>
  <c r="A61" i="9"/>
  <c r="J17" i="11"/>
  <c r="O60" i="9"/>
  <c r="N60" i="9"/>
  <c r="M60" i="9"/>
  <c r="L60" i="9"/>
  <c r="K60" i="9"/>
  <c r="J60" i="9"/>
  <c r="I60" i="9"/>
  <c r="H60" i="9"/>
  <c r="G60" i="9"/>
  <c r="E60" i="9"/>
  <c r="D60" i="9"/>
  <c r="A60" i="9"/>
  <c r="J16" i="11"/>
  <c r="O59" i="9"/>
  <c r="N59" i="9"/>
  <c r="M59" i="9"/>
  <c r="L59" i="9"/>
  <c r="K59" i="9"/>
  <c r="J59" i="9"/>
  <c r="I59" i="9"/>
  <c r="H59" i="9"/>
  <c r="G59" i="9"/>
  <c r="E59" i="9"/>
  <c r="D59" i="9"/>
  <c r="A59" i="9"/>
  <c r="J15" i="11"/>
  <c r="O58" i="9"/>
  <c r="N58" i="9"/>
  <c r="M58" i="9"/>
  <c r="L58" i="9"/>
  <c r="K58" i="9"/>
  <c r="J58" i="9"/>
  <c r="I58" i="9"/>
  <c r="H58" i="9"/>
  <c r="G58" i="9"/>
  <c r="E58" i="9"/>
  <c r="D58" i="9"/>
  <c r="A58" i="9"/>
  <c r="J14" i="11"/>
  <c r="O57" i="9"/>
  <c r="N57" i="9"/>
  <c r="M57" i="9"/>
  <c r="L57" i="9"/>
  <c r="K57" i="9"/>
  <c r="J57" i="9"/>
  <c r="I57" i="9"/>
  <c r="H57" i="9"/>
  <c r="G57" i="9"/>
  <c r="E57" i="9"/>
  <c r="D57" i="9"/>
  <c r="A57" i="9"/>
  <c r="J13" i="11"/>
  <c r="O56" i="9"/>
  <c r="N56" i="9"/>
  <c r="M56" i="9"/>
  <c r="L56" i="9"/>
  <c r="K56" i="9"/>
  <c r="J56" i="9"/>
  <c r="I56" i="9"/>
  <c r="H56" i="9"/>
  <c r="G56" i="9"/>
  <c r="E56" i="9"/>
  <c r="D56" i="9"/>
  <c r="A56" i="9"/>
  <c r="J12" i="11"/>
  <c r="O55" i="9"/>
  <c r="N55" i="9"/>
  <c r="M55" i="9"/>
  <c r="L55" i="9"/>
  <c r="K55" i="9"/>
  <c r="J55" i="9"/>
  <c r="I55" i="9"/>
  <c r="H55" i="9"/>
  <c r="G55" i="9"/>
  <c r="E55" i="9"/>
  <c r="D55" i="9"/>
  <c r="A55" i="9"/>
  <c r="J11" i="11"/>
  <c r="O54" i="9"/>
  <c r="N54" i="9"/>
  <c r="M54" i="9"/>
  <c r="L54" i="9"/>
  <c r="K54" i="9"/>
  <c r="J54" i="9"/>
  <c r="I54" i="9"/>
  <c r="H54" i="9"/>
  <c r="G54" i="9"/>
  <c r="E54" i="9"/>
  <c r="D54" i="9"/>
  <c r="A54" i="9"/>
  <c r="J10" i="11"/>
  <c r="O53" i="9"/>
  <c r="N53" i="9"/>
  <c r="M53" i="9"/>
  <c r="L53" i="9"/>
  <c r="K53" i="9"/>
  <c r="J53" i="9"/>
  <c r="I53" i="9"/>
  <c r="H53" i="9"/>
  <c r="G53" i="9"/>
  <c r="E53" i="9"/>
  <c r="D53" i="9"/>
  <c r="A53" i="9"/>
  <c r="J9" i="11"/>
  <c r="O52" i="9"/>
  <c r="N52" i="9"/>
  <c r="M52" i="9"/>
  <c r="L52" i="9"/>
  <c r="K52" i="9"/>
  <c r="J52" i="9"/>
  <c r="I52" i="9"/>
  <c r="H52" i="9"/>
  <c r="G52" i="9"/>
  <c r="E52" i="9"/>
  <c r="D52" i="9"/>
  <c r="A52" i="9"/>
  <c r="J6" i="11"/>
  <c r="O51" i="9"/>
  <c r="N51" i="9"/>
  <c r="M51" i="9"/>
  <c r="L51" i="9"/>
  <c r="K51" i="9"/>
  <c r="J51" i="9"/>
  <c r="I51" i="9"/>
  <c r="H51" i="9"/>
  <c r="G51" i="9"/>
  <c r="E51" i="9"/>
  <c r="D51" i="9"/>
  <c r="A51" i="9"/>
  <c r="J5" i="11"/>
  <c r="O50" i="9"/>
  <c r="N50" i="9"/>
  <c r="M50" i="9"/>
  <c r="L50" i="9"/>
  <c r="K50" i="9"/>
  <c r="J50" i="9"/>
  <c r="I50" i="9"/>
  <c r="H50" i="9"/>
  <c r="G50" i="9"/>
  <c r="E50" i="9"/>
  <c r="D50" i="9"/>
  <c r="A50" i="9"/>
  <c r="J4" i="11"/>
  <c r="O49" i="9"/>
  <c r="N49" i="9"/>
  <c r="M49" i="9"/>
  <c r="L49" i="9"/>
  <c r="K49" i="9"/>
  <c r="J49" i="9"/>
  <c r="I49" i="9"/>
  <c r="H49" i="9"/>
  <c r="G49" i="9"/>
  <c r="E49" i="9"/>
  <c r="D49" i="9"/>
  <c r="A49" i="9"/>
  <c r="J3" i="11"/>
  <c r="O48" i="9"/>
  <c r="N48" i="9"/>
  <c r="M48" i="9"/>
  <c r="L48" i="9"/>
  <c r="K48" i="9"/>
  <c r="J48" i="9"/>
  <c r="I48" i="9"/>
  <c r="H48" i="9"/>
  <c r="G48" i="9"/>
  <c r="E48" i="9"/>
  <c r="D48" i="9"/>
  <c r="A48" i="9"/>
  <c r="J2" i="11"/>
  <c r="O47" i="9"/>
  <c r="N47" i="9"/>
  <c r="M47" i="9"/>
  <c r="L47" i="9"/>
  <c r="K47" i="9"/>
  <c r="J47" i="9"/>
  <c r="I47" i="9"/>
  <c r="H47" i="9"/>
  <c r="G47" i="9"/>
  <c r="E47" i="9"/>
  <c r="D47" i="9"/>
  <c r="A47" i="9"/>
  <c r="O17" i="9"/>
  <c r="N17" i="9"/>
  <c r="M17" i="9"/>
  <c r="L17" i="9"/>
  <c r="K17" i="9"/>
  <c r="J17" i="9"/>
  <c r="I17" i="9"/>
  <c r="H17" i="9"/>
  <c r="G17" i="9"/>
  <c r="E17" i="9"/>
  <c r="D17" i="9"/>
  <c r="A17" i="9"/>
  <c r="M28" i="10"/>
  <c r="T28" i="10"/>
  <c r="W28" i="10"/>
  <c r="V28" i="10"/>
  <c r="X28" i="10"/>
  <c r="U28" i="10"/>
  <c r="Y28" i="10"/>
  <c r="M41" i="10"/>
  <c r="N41" i="10"/>
  <c r="Q41" i="10"/>
  <c r="P41" i="10"/>
  <c r="R41" i="10"/>
  <c r="O41" i="10"/>
  <c r="S41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26" i="9"/>
  <c r="N26" i="9"/>
  <c r="M26" i="9"/>
  <c r="L26" i="9"/>
  <c r="K26" i="9"/>
  <c r="J26" i="9"/>
  <c r="I26" i="9"/>
  <c r="H26" i="9"/>
  <c r="G26" i="9"/>
  <c r="E26" i="9"/>
  <c r="D26" i="9"/>
  <c r="A26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O46" i="9"/>
  <c r="N46" i="9"/>
  <c r="M46" i="9"/>
  <c r="L46" i="9"/>
  <c r="K46" i="9"/>
  <c r="J46" i="9"/>
  <c r="I46" i="9"/>
  <c r="H46" i="9"/>
  <c r="G46" i="9"/>
  <c r="E46" i="9"/>
  <c r="D46" i="9"/>
  <c r="A46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5" i="9"/>
  <c r="N25" i="9"/>
  <c r="M25" i="9"/>
  <c r="L25" i="9"/>
  <c r="K25" i="9"/>
  <c r="J25" i="9"/>
  <c r="I25" i="9"/>
  <c r="H25" i="9"/>
  <c r="G25" i="9"/>
  <c r="E25" i="9"/>
  <c r="D25" i="9"/>
  <c r="A25" i="9"/>
  <c r="O22" i="9"/>
  <c r="N22" i="9"/>
  <c r="M22" i="9"/>
  <c r="L22" i="9"/>
  <c r="K22" i="9"/>
  <c r="J22" i="9"/>
  <c r="I22" i="9"/>
  <c r="H22" i="9"/>
  <c r="G22" i="9"/>
  <c r="E22" i="9"/>
  <c r="D22" i="9"/>
  <c r="A22" i="9"/>
  <c r="J20" i="11"/>
  <c r="O21" i="9"/>
  <c r="N21" i="9"/>
  <c r="M21" i="9"/>
  <c r="L21" i="9"/>
  <c r="K21" i="9"/>
  <c r="J21" i="9"/>
  <c r="I21" i="9"/>
  <c r="H21" i="9"/>
  <c r="G21" i="9"/>
  <c r="E21" i="9"/>
  <c r="D21" i="9"/>
  <c r="A21" i="9"/>
  <c r="J19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N3" i="22"/>
  <c r="G3" i="22"/>
  <c r="F3" i="22"/>
  <c r="D3" i="22"/>
  <c r="C3" i="22"/>
  <c r="A3" i="22"/>
  <c r="N2" i="22"/>
  <c r="G2" i="22"/>
  <c r="F2" i="22"/>
  <c r="D2" i="22"/>
  <c r="C2" i="22"/>
  <c r="A2" i="22"/>
  <c r="E2" i="9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Y2" i="7"/>
  <c r="X2" i="1"/>
  <c r="W2" i="7"/>
  <c r="U2" i="7"/>
  <c r="V3" i="1"/>
  <c r="V2" i="1"/>
  <c r="T3" i="1"/>
  <c r="T2" i="1"/>
  <c r="E13" i="16"/>
  <c r="B19" i="21"/>
  <c r="I19" i="21"/>
  <c r="J19" i="21"/>
  <c r="G19" i="21"/>
  <c r="F19" i="21"/>
  <c r="D19" i="21"/>
  <c r="C19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<sst xmlns="http://schemas.openxmlformats.org/spreadsheetml/2006/main" count="960" uniqueCount="398">
  <si>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</si>
  <si>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</si>
  <si>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</si>
  <si>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</si>
  <si>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</si>
  <si>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</si>
  <si>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</si>
  <si>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</si>
  <si>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</si>
  <si>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</si>
  <si>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</si>
  <si>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</si>
  <si>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</si>
  <si>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</si>
  <si>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</si>
  <si>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</si>
  <si>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</si>
  <si>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</si>
  <si>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</si>
  <si>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</si>
  <si>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</si>
  <si>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</si>
  <si>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</si>
  <si>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</si>
  <si>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</si>
  <si>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</si>
  <si>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</si>
  <si>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</si>
  <si>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</si>
  <si>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</si>
  <si>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</si>
  <si>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</si>
  <si>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</si>
  <si>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</si>
  <si>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</si>
  <si>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</si>
  <si>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</si>
  <si>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</si>
  <si>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</si>
  <si>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</si>
  <si>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</si>
  <si>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</si>
  <si>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</si>
  <si>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</si>
  <si>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</si>
  <si>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</si>
  <si>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</si>
  <si>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</si>
  <si>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</si>
  <si>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</si>
  <si>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</si>
  <si>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</si>
  <si>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</si>
  <si>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</si>
  <si>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</si>
  <si>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</si>
  <si>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</si>
  <si>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</si>
  <si>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</si>
  <si>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</si>
  <si>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</si>
  <si>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</si>
  <si>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</si>
  <si>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</si>
  <si>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</si>
  <si>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</si>
  <si>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</si>
  <si>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</si>
  <si>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</si>
  <si>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</si>
  <si>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</si>
  <si>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</si>
  <si>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</si>
  <si>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</si>
  <si>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</si>
  <si>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</si>
  <si>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</si>
  <si>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</si>
  <si>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</si>
  <si>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</si>
  <si>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</si>
  <si>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</si>
  <si>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</si>
  <si>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</si>
  <si>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</si>
  <si>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</si>
  <si>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</si>
  <si>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</si>
  <si>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</si>
  <si>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</si>
  <si>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</si>
  <si>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</si>
  <si>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</si>
  <si>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</si>
  <si>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</si>
  <si>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</si>
  <si>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</si>
  <si>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</si>
  <si>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</si>
  <si>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</si>
  <si>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</si>
  <si>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</si>
  <si>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</si>
  <si>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</si>
  <si>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</si>
  <si>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</si>
  <si>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</si>
  <si>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</si>
  <si>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</si>
  <si>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</si>
  <si>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</si>
  <si>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</si>
  <si>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</si>
  <si>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</si>
  <si>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</si>
  <si>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</si>
  <si>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</si>
  <si>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</si>
  <si>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</si>
  <si>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</si>
  <si>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</si>
  <si>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</si>
  <si>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</si>
  <si>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</si>
  <si>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</si>
  <si>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</si>
  <si>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</si>
  <si>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</si>
  <si>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</si>
  <si>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</si>
  <si>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</si>
  <si>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</si>
  <si>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</si>
  <si>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</si>
  <si>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</si>
  <si>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</si>
  <si>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</si>
  <si>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</si>
  <si>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</si>
  <si>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</si>
  <si>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</si>
  <si>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</si>
  <si>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</si>
  <si>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</si>
  <si>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</si>
  <si>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</si>
  <si>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</si>
  <si>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</si>
  <si>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</si>
  <si>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</si>
  <si>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</si>
  <si>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</si>
  <si>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</si>
  <si>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</si>
  <si>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</si>
  <si>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</si>
  <si>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</si>
  <si>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</si>
  <si>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</si>
  <si>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</si>
  <si>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</si>
  <si>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</si>
  <si>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</si>
  <si>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</si>
  <si>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</si>
  <si>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</si>
  <si>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</si>
  <si>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</si>
  <si>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</si>
  <si>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</si>
  <si>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</si>
  <si>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</si>
  <si>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</si>
  <si>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</si>
  <si>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</si>
  <si>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</si>
  <si>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</si>
  <si>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</si>
  <si>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</si>
  <si>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</si>
  <si>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</si>
  <si>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</si>
  <si>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</si>
  <si>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</si>
  <si>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</si>
  <si>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</si>
  <si>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</si>
  <si>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</si>
  <si>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</si>
  <si>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</si>
  <si>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</si>
  <si>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</si>
  <si>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</si>
  <si>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</si>
  <si>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</si>
  <si>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</si>
  <si>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</si>
  <si>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</si>
  <si>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</si>
  <si>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</si>
  <si>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</si>
  <si>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</si>
  <si>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</si>
  <si>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</si>
  <si>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</si>
  <si>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</si>
  <si>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</si>
  <si>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</si>
  <si>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</si>
  <si>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</si>
  <si>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</si>
  <si>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</si>
  <si>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</si>
  <si>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</si>
  <si>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</si>
  <si>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</si>
  <si>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</si>
  <si>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</si>
  <si>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</si>
  <si>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</si>
  <si>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</si>
  <si>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</si>
  <si>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</si>
  <si>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</si>
  <si>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</si>
  <si>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</si>
  <si>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</si>
  <si>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</si>
  <si>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</si>
  <si>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</si>
  <si>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</si>
  <si>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</si>
  <si>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</si>
  <si>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</si>
  <si>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</si>
  <si>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</si>
  <si>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</si>
  <si>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</si>
  <si>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</si>
  <si>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</si>
  <si>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</si>
  <si>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</si>
  <si>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</si>
  <si>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</si>
  <si>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</si>
  <si>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</si>
  <si>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</si>
  <si>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</si>
  <si>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</si>
  <si>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</si>
  <si>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</si>
  <si>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</si>
  <si>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</si>
  <si>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everyone</t>
    <phoneticPr fontId="5"/>
  </si>
  <si>
    <t>unit</t>
    <phoneticPr fontId="7"/>
  </si>
  <si>
    <t>full_member</t>
  </si>
  <si>
    <t>null</t>
  </si>
  <si>
    <t>link</t>
  </si>
  <si>
    <t>unit</t>
  </si>
  <si>
    <t>状態異常耐性</t>
    <phoneticPr fontId="5"/>
  </si>
  <si>
    <t>[effect:rush, count:2, val:0.65]</t>
    <phoneticPr fontId="5"/>
  </si>
  <si>
    <t>2回連続攻撃</t>
    <phoneticPr fontId="5"/>
  </si>
  <si>
    <t>[effect:critical, val:10, animation:enemy_critical]</t>
    <phoneticPr fontId="5"/>
  </si>
  <si>
    <t>[effect:enemy_message, val1:1, val2:1.8]</t>
    <phoneticPr fontId="5"/>
  </si>
  <si>
    <t>4回連続攻撃</t>
    <rPh sb="1" eb="4">
      <t>カイレンゾクコウゲイイ</t>
    </rPh>
    <rPh sb="4" eb="6">
      <t>コウゲキ</t>
    </rPh>
    <phoneticPr fontId="5"/>
  </si>
  <si>
    <t>[effect:rush, count:4, val:0.25]</t>
    <phoneticPr fontId="5"/>
  </si>
  <si>
    <t>[effect:damage_gravity, val:0.5, animation:fevergauge_down]</t>
    <phoneticPr fontId="5"/>
  </si>
  <si>
    <t>残りHPの50%ダメージ！</t>
    <phoneticPr fontId="5"/>
  </si>
  <si>
    <t>2ターンユニット全体の回復力100%DOWN+全体攻撃</t>
    <phoneticPr fontId="5"/>
  </si>
  <si>
    <t>[effect:damage_abnormal, target:unit_all, val:0.25, status:hungup, turn:1, animation:hungup01]</t>
    <phoneticPr fontId="5"/>
  </si>
  <si>
    <t>[effect:spread, val:0.19],[effect:spread, val:0.19]</t>
    <phoneticPr fontId="5"/>
  </si>
  <si>
    <t>2回連続全体攻撃</t>
    <rPh sb="1" eb="6">
      <t>カイレンゾクゼンタイ</t>
    </rPh>
    <rPh sb="6" eb="8">
      <t>コウゲキ</t>
    </rPh>
    <phoneticPr fontId="5"/>
  </si>
  <si>
    <t>1ターンユニット全体にスキルバインド+全体攻撃</t>
    <rPh sb="19" eb="23">
      <t>ゼンタイコウゲキ</t>
    </rPh>
    <phoneticPr fontId="5"/>
  </si>
  <si>
    <t>全体攻撃</t>
    <rPh sb="0" eb="2">
      <t>カイレンゾクゼンタイ</t>
    </rPh>
    <rPh sb="2" eb="4">
      <t>コウゲキ</t>
    </rPh>
    <phoneticPr fontId="5"/>
  </si>
  <si>
    <t>[effect:spread, val:0.25]</t>
    <phoneticPr fontId="5"/>
  </si>
  <si>
    <t>テクニカルタイプのユニットに大ダメージの全体攻撃</t>
    <rPh sb="20" eb="24">
      <t>ゼンタイコウゲキ</t>
    </rPh>
    <phoneticPr fontId="5"/>
  </si>
  <si>
    <t>状態異常耐性+ユニット全体の回復力90%DOWN</t>
    <rPh sb="11" eb="13">
      <t>ゼンタイ</t>
    </rPh>
    <phoneticPr fontId="5"/>
  </si>
  <si>
    <t>7回連続攻撃</t>
    <rPh sb="1" eb="4">
      <t>カイレンゾクコウゲイイ</t>
    </rPh>
    <rPh sb="4" eb="6">
      <t>コウゲキ</t>
    </rPh>
    <phoneticPr fontId="5"/>
  </si>
  <si>
    <t>17回連続攻撃</t>
    <rPh sb="2" eb="5">
      <t>カイレンゾクコウゲイイ</t>
    </rPh>
    <rPh sb="5" eb="7">
      <t>コウゲキ</t>
    </rPh>
    <phoneticPr fontId="5"/>
  </si>
  <si>
    <t>6回連続全体攻撃</t>
    <rPh sb="1" eb="4">
      <t>カイレンゾクコウゲイイ</t>
    </rPh>
    <rPh sb="4" eb="6">
      <t>ゼンタイ</t>
    </rPh>
    <rPh sb="6" eb="8">
      <t>コウゲキ</t>
    </rPh>
    <phoneticPr fontId="5"/>
  </si>
  <si>
    <t>残りHPの100%ダメージ！</t>
    <phoneticPr fontId="5"/>
  </si>
  <si>
    <t>old</t>
    <phoneticPr fontId="5"/>
  </si>
  <si>
    <t>[effect:tolerance, target:myself, turn:-1, count:-1, tolerance_effect:all, animation:enemy_tolerance],[effect:fix_speed, target:myself, turn:1]</t>
    <phoneticPr fontId="5"/>
  </si>
  <si>
    <t>2ターンユニット全体の回復力50%DOWN+全体攻撃</t>
    <phoneticPr fontId="5"/>
  </si>
  <si>
    <t>2ターンユニット単体の回復力50%DOWN+単体攻撃</t>
    <rPh sb="8" eb="10">
      <t>タンタイ</t>
    </rPh>
    <rPh sb="22" eb="24">
      <t>タンタイ</t>
    </rPh>
    <phoneticPr fontId="5"/>
  </si>
  <si>
    <t>残りHPの30%ダメージ！</t>
    <phoneticPr fontId="5"/>
  </si>
  <si>
    <t>[effect:damage_gravity, val:0.3, animation:fevergauge_down]</t>
    <phoneticPr fontId="5"/>
  </si>
  <si>
    <t>4ターンユニット全体にスキルバインド</t>
    <rPh sb="8" eb="10">
      <t>ゼンタイニ</t>
    </rPh>
    <phoneticPr fontId="5"/>
  </si>
  <si>
    <t>[effect:hungup, target:unit_all, turn:4, rate:1, animation:hungup01]</t>
    <phoneticPr fontId="5"/>
  </si>
  <si>
    <t>当意即妙の舞</t>
    <rPh sb="0" eb="4">
      <t>トウイソクミョウノマイ</t>
    </rPh>
    <phoneticPr fontId="5"/>
  </si>
  <si>
    <t>グハハ　…次はオマエらダ！</t>
    <phoneticPr fontId="5"/>
  </si>
  <si>
    <t>なんダ　…その程度カ？</t>
    <rPh sb="7" eb="9">
      <t>テイド</t>
    </rPh>
    <phoneticPr fontId="5"/>
  </si>
  <si>
    <t>破滅のオーラ</t>
    <phoneticPr fontId="5"/>
  </si>
  <si>
    <t>ソノ身で償うがイイ！</t>
    <phoneticPr fontId="5"/>
  </si>
  <si>
    <t>亀甲装甲</t>
    <rPh sb="0" eb="1">
      <t>カメノクラ</t>
    </rPh>
    <rPh sb="2" eb="4">
      <t>ソウコウ</t>
    </rPh>
    <phoneticPr fontId="5"/>
  </si>
  <si>
    <t>踊レ踊レ！</t>
    <rPh sb="0" eb="1">
      <t>オドッテミセロ</t>
    </rPh>
    <rPh sb="2" eb="3">
      <t>odore</t>
    </rPh>
    <phoneticPr fontId="5"/>
  </si>
  <si>
    <t>上書き完了！</t>
    <rPh sb="0" eb="2">
      <t>ウワガキカンリョウ</t>
    </rPh>
    <phoneticPr fontId="5"/>
  </si>
  <si>
    <t>システムハック！</t>
    <phoneticPr fontId="5"/>
  </si>
  <si>
    <t>ブッちぎってやる！</t>
    <phoneticPr fontId="5"/>
  </si>
  <si>
    <t>烈火の如き赤兎</t>
    <rPh sb="0" eb="2">
      <t>rekka</t>
    </rPh>
    <rPh sb="3" eb="4">
      <t>ゴトキ</t>
    </rPh>
    <rPh sb="5" eb="7">
      <t>アカウサギ</t>
    </rPh>
    <phoneticPr fontId="5"/>
  </si>
  <si>
    <t>泥みたいに沈めー！</t>
    <rPh sb="0" eb="1">
      <t>ドロミタイニ</t>
    </rPh>
    <rPh sb="5" eb="6">
      <t>シズンジャエ</t>
    </rPh>
    <phoneticPr fontId="5"/>
  </si>
  <si>
    <t>おそすぎー！</t>
    <phoneticPr fontId="5"/>
  </si>
  <si>
    <t>トップギアでいくぞー！！</t>
    <phoneticPr fontId="5"/>
  </si>
  <si>
    <t>詰まラン…！</t>
    <rPh sb="0" eb="1">
      <t>ツマラン</t>
    </rPh>
    <phoneticPr fontId="5"/>
  </si>
  <si>
    <t>【道化の涙】</t>
    <rPh sb="1" eb="3">
      <t>ドウケノナミダ</t>
    </rPh>
    <phoneticPr fontId="5"/>
  </si>
  <si>
    <t>無言の圧力</t>
    <rPh sb="0" eb="2">
      <t>ムゴンノアツリョク</t>
    </rPh>
    <phoneticPr fontId="5"/>
  </si>
  <si>
    <t>一緒におどろうか</t>
    <rPh sb="0" eb="2">
      <t>イッショニ</t>
    </rPh>
    <phoneticPr fontId="5"/>
  </si>
  <si>
    <t>【道しるべ】</t>
    <rPh sb="1" eb="2">
      <t>ミチシルベ</t>
    </rPh>
    <phoneticPr fontId="5"/>
  </si>
  <si>
    <t>【盛衰】</t>
    <rPh sb="1" eb="3">
      <t>seisuino</t>
    </rPh>
    <phoneticPr fontId="5"/>
  </si>
  <si>
    <t>今まで幾度も幾度も後悔したよ…</t>
    <rPh sb="0" eb="1">
      <t>イママデ</t>
    </rPh>
    <rPh sb="3" eb="5">
      <t>イクドモイクドモ</t>
    </rPh>
    <rPh sb="9" eb="11">
      <t>コウカイシタシ</t>
    </rPh>
    <phoneticPr fontId="5"/>
  </si>
  <si>
    <t>悔やんで悩んで迷つて泣いて諦めた</t>
    <rPh sb="0" eb="1">
      <t>クヤンデ</t>
    </rPh>
    <rPh sb="4" eb="5">
      <t>ナヤンデ</t>
    </rPh>
    <rPh sb="7" eb="8">
      <t>マヨッテ</t>
    </rPh>
    <rPh sb="10" eb="11">
      <t>ナイテ</t>
    </rPh>
    <rPh sb="13" eb="14">
      <t>アキラメタ</t>
    </rPh>
    <phoneticPr fontId="5"/>
  </si>
  <si>
    <t>【痛みと罰】</t>
    <rPh sb="1" eb="2">
      <t>イタミトバツ</t>
    </rPh>
    <rPh sb="4" eb="5">
      <t>バチアタリ</t>
    </rPh>
    <phoneticPr fontId="5"/>
  </si>
  <si>
    <t>【落陽】</t>
    <rPh sb="1" eb="2">
      <t>ラクヨウ</t>
    </rPh>
    <rPh sb="2" eb="3">
      <t>youkou</t>
    </rPh>
    <phoneticPr fontId="5"/>
  </si>
  <si>
    <t>最早　僕は人ですらないと
…そう思いたつたよ</t>
    <rPh sb="0" eb="2">
      <t>モハヤ</t>
    </rPh>
    <rPh sb="3" eb="4">
      <t>ボクハ</t>
    </rPh>
    <rPh sb="5" eb="6">
      <t>ヒト</t>
    </rPh>
    <rPh sb="16" eb="17">
      <t>オモイ</t>
    </rPh>
    <phoneticPr fontId="5"/>
  </si>
  <si>
    <t>生き続けるのも大変だ…</t>
    <rPh sb="0" eb="1">
      <t>イキルコトニモ</t>
    </rPh>
    <rPh sb="7" eb="9">
      <t>タイヘンダ</t>
    </rPh>
    <phoneticPr fontId="5"/>
  </si>
  <si>
    <t>赤兎式スクランブル</t>
    <rPh sb="0" eb="2">
      <t>セキトバ</t>
    </rPh>
    <rPh sb="2" eb="3">
      <t>シキ</t>
    </rPh>
    <phoneticPr fontId="5"/>
  </si>
  <si>
    <t>制圧プログラム【玉手箱】</t>
    <rPh sb="0" eb="2">
      <t>セイアツ</t>
    </rPh>
    <phoneticPr fontId="5"/>
  </si>
  <si>
    <t>大亀の施し</t>
    <rPh sb="0" eb="2">
      <t>オオガメノマモリ</t>
    </rPh>
    <rPh sb="3" eb="4">
      <t>ホドコシ</t>
    </rPh>
    <phoneticPr fontId="5"/>
  </si>
  <si>
    <t>僕にはそれができないんだ…
この間それにきづいた</t>
    <rPh sb="0" eb="1">
      <t>ボクニハソレガナイ</t>
    </rPh>
    <rPh sb="16" eb="17">
      <t>アイダ</t>
    </rPh>
    <phoneticPr fontId="5"/>
  </si>
  <si>
    <t>心略の罠</t>
    <rPh sb="1" eb="2">
      <t>sinnryakuno</t>
    </rPh>
    <rPh sb="3" eb="4">
      <t>ワナ</t>
    </rPh>
    <phoneticPr fontId="5"/>
  </si>
  <si>
    <t>[effect:tolerance, target:myself, turn:-1, count:-1, tolerance_effect:all, animation:enemy_tolerance],[effect:reduction, target:enemy_all, color:all, turn:1, val:0.5, animation:reduction_one01],[effect:fix_speed, target:myself, turn:3]</t>
    <phoneticPr fontId="5"/>
  </si>
  <si>
    <t>[effect:reduction, target:enemy_all, color:all, turn:3, val:0.5, animation:reduction_one01]</t>
    <phoneticPr fontId="5"/>
  </si>
  <si>
    <t>終わるのも良いかと思つていたが
…無性に畏れている自分が嫌いだ</t>
    <rPh sb="0" eb="1">
      <t>オワルノモイイカトオモッテイタガ</t>
    </rPh>
    <rPh sb="17" eb="19">
      <t>ムショウニ</t>
    </rPh>
    <rPh sb="20" eb="21">
      <t>オソレテイルジブンガ</t>
    </rPh>
    <phoneticPr fontId="5"/>
  </si>
  <si>
    <t>ああくだらない…</t>
    <phoneticPr fontId="5"/>
  </si>
  <si>
    <t>この程度で終わつてしまうのか…
…やはりつまらなかつた</t>
    <phoneticPr fontId="5"/>
  </si>
  <si>
    <t>マーロンは2回攻撃するごとにユニット全体の
回復力を50%DOWNさせてきます
早めに倒してしまいましょう</t>
    <phoneticPr fontId="5"/>
  </si>
  <si>
    <t>ハイディン・オーガはテクニカルタイプの
ユニットに対して10ターンスキルバインドを
かけてきます
パーティ編成に注意しましょう</t>
    <phoneticPr fontId="5"/>
  </si>
  <si>
    <t>ハイディン・オーガは6回目の攻撃時に
強力なクリティカル攻撃を行います
事前に予告があるので
攻撃を受ける前に倒しましょう</t>
    <phoneticPr fontId="5"/>
  </si>
  <si>
    <t>ウラシマは攻撃力が高いので
早めに倒しましょう</t>
    <phoneticPr fontId="5"/>
  </si>
  <si>
    <t>赤兎馬は全体攻撃を行います
防御力をUPさせるスキルが効果的です</t>
    <phoneticPr fontId="5"/>
  </si>
  <si>
    <t>赤兎馬は12回目の攻撃時に
強力なクリティカル攻撃を行います
事前に予告があるので
攻撃を受ける前に倒しましょう</t>
    <phoneticPr fontId="5"/>
  </si>
  <si>
    <t>太宰治の2ゲージ目は12回目の攻撃時に
強力なクリティカル攻撃を行います
事前に予告があるので
攻撃を受ける前に倒しましょう</t>
    <phoneticPr fontId="5"/>
  </si>
  <si>
    <t>太宰治の3ゲージ目は7回目の攻撃時に
即死攻撃を行います
事前に予告があるので
攻撃を受ける前に倒しましょう</t>
    <phoneticPr fontId="5"/>
  </si>
  <si>
    <t>太宰治の過去</t>
    <phoneticPr fontId="5"/>
  </si>
  <si>
    <t>太宰治は作品との融合前にも密かに
ALICEの滅亡を謳う作品をピクリスに投稿し
不適切な内容として削除されています</t>
    <phoneticPr fontId="5"/>
  </si>
  <si>
    <t>破滅願望</t>
    <rPh sb="0" eb="4">
      <t>ハメツガンボウ</t>
    </rPh>
    <phoneticPr fontId="5"/>
  </si>
  <si>
    <t>太宰治が投稿する話は没落していく様等の
人間の弱さが書き表されており
作者本人の人生についての苦悩が
映し出されているようでした</t>
    <phoneticPr fontId="5"/>
  </si>
  <si>
    <t>御伽草紙</t>
    <phoneticPr fontId="5"/>
  </si>
  <si>
    <t>太宰治の作品の中で特に大衆人気の
高かった物は彼の思い入れも強く
更に多くの人々に知れ渡らせるため
仮初めの姿で実体化させていました</t>
    <phoneticPr fontId="5"/>
  </si>
  <si>
    <t>人間というものの矮小さを知りながら
その本質を尊ぶ夏目漱石の作風を
太宰治は最後まで認めていませんでした</t>
    <phoneticPr fontId="5"/>
  </si>
  <si>
    <t>太宰治の人間関係</t>
    <phoneticPr fontId="5"/>
  </si>
  <si>
    <t>愛より哀をあたへよう</t>
    <rPh sb="0" eb="1">
      <t>アイヨリモ</t>
    </rPh>
    <rPh sb="3" eb="4">
      <t>アイヲアゲヨウ</t>
    </rPh>
    <phoneticPr fontId="5"/>
  </si>
  <si>
    <t>間違いなんてない
間違う奴がゐるだけだ</t>
    <rPh sb="0" eb="2">
      <t>マチガイナンテナイ</t>
    </rPh>
    <rPh sb="9" eb="11">
      <t>マチガウヤツガイルダケサ</t>
    </rPh>
    <phoneticPr fontId="5"/>
  </si>
  <si>
    <t>生きるのが辛かつたと…
そう思つてゐたのに…</t>
    <rPh sb="0" eb="1">
      <t>イキツヅケノモツラカッタンダ</t>
    </rPh>
    <rPh sb="5" eb="6">
      <t>ツラカッタ</t>
    </rPh>
    <phoneticPr fontId="5"/>
  </si>
  <si>
    <t>物事には得手不得手があるだらう
僕には前者が足りないんだ</t>
    <rPh sb="0" eb="2">
      <t>モノゴトニハ</t>
    </rPh>
    <rPh sb="4" eb="9">
      <t>エテフエテガアルガ</t>
    </rPh>
    <rPh sb="16" eb="17">
      <t>ボクハ</t>
    </rPh>
    <rPh sb="19" eb="21">
      <t>ゼンシャガナイダケダ</t>
    </rPh>
    <rPh sb="22" eb="23">
      <t>タリナイ</t>
    </rPh>
    <phoneticPr fontId="5"/>
  </si>
  <si>
    <t>[effect:enemy_message, val1:1, val2:2],[effect:damage_abnormal, target:unit_all, val:0.25, status:heal, turn:2, val_abnormal:0.5, calc:mul, animation:degrade_unit_all_heal]</t>
    <phoneticPr fontId="5"/>
  </si>
  <si>
    <t>余興ダ
オレを楽しませてミセロ！</t>
    <rPh sb="0" eb="2">
      <t>ヨキョウダ</t>
    </rPh>
    <rPh sb="7" eb="8">
      <t>タノシマセテ</t>
    </rPh>
    <phoneticPr fontId="5"/>
  </si>
  <si>
    <t>[effect:enemy_message, val1:1.2, val2:1.8],[effect:tolerance, target:myself, turn:-1, count:-1, tolerance_effect:all, animation:enemy_tolerance],[effect:fix_speed, target:myself, turn:2]</t>
    <phoneticPr fontId="5"/>
  </si>
  <si>
    <t>10ターンテクニカルタイプのユニットにスキルバインド+
4回連続攻撃</t>
    <phoneticPr fontId="5"/>
  </si>
  <si>
    <t>[effect:enemy_message, val1:1, val2:2.2],[effect:rush, count:4, val:0.25],[effect:hungup, target:unit_technical, turn:10, rate:1, animation:hungup01]</t>
    <phoneticPr fontId="5"/>
  </si>
  <si>
    <t>[effect:enemy_message, val1:1, val2:2],[effect:damage_abnormal, target:unit_all, val:0.25, status:heal, turn:2, val_abnormal:1, calc:mul, animation:degrade_unit_all_heal]</t>
    <phoneticPr fontId="5"/>
  </si>
  <si>
    <t>夏目漱石か…
君の作品は気楽だが深くない…</t>
    <rPh sb="0" eb="4">
      <t>ナツメソウセキカ</t>
    </rPh>
    <rPh sb="7" eb="8">
      <t>キミ</t>
    </rPh>
    <rPh sb="12" eb="14">
      <t>キラク</t>
    </rPh>
    <rPh sb="16" eb="17">
      <t>フカクナイ</t>
    </rPh>
    <phoneticPr fontId="5"/>
  </si>
  <si>
    <t>[effect:enemy_message, val1:1.4, val2:1.8],[effect:tolerance, target:myself, turn:-1, count:-1, tolerance_effect:all, animation:enemy_tolerance],[effect:fix_speed, target:myself, turn:2]</t>
    <phoneticPr fontId="5"/>
  </si>
  <si>
    <t>バカな奴だ
君は何もわかつてゐない</t>
    <rPh sb="6" eb="7">
      <t>キミハナニモ</t>
    </rPh>
    <phoneticPr fontId="5"/>
  </si>
  <si>
    <t>所詮　この世界に救いなど無いよ</t>
    <rPh sb="0" eb="2">
      <t>ショセン</t>
    </rPh>
    <rPh sb="8" eb="9">
      <t>スクイナンテ</t>
    </rPh>
    <rPh sb="12" eb="13">
      <t>ナインダ</t>
    </rPh>
    <phoneticPr fontId="5"/>
  </si>
  <si>
    <t>[effect:enemy_message, val1:1.6, val2:2],[effect:damage_anti_type, target:unit_all, type:technical, val1:2, val2:0.25]</t>
    <phoneticPr fontId="5"/>
  </si>
  <si>
    <t>[effect:enemy_message, val1:1.4, val2:1.8],[effect:critical, val:10, animation:enemy_critical]</t>
    <phoneticPr fontId="5"/>
  </si>
  <si>
    <t>[effect:enemy_message, val1:1.2, val2:2],[effect:tolerance, target:myself, turn:-1, count:-1, tolerance_effect:all, animation:enemy_tolerance],[effect:degrade_unit, target:unit_all, turn:-1, status:heal, val:0.9, calc:mul, animation:degrade_unit_all_heal],[effect:fix_speed, target:myself, turn:1]</t>
    <phoneticPr fontId="5"/>
  </si>
  <si>
    <t>君は希望も苦悩も欲望も罪悪も
感じることができるだらう</t>
    <rPh sb="0" eb="1">
      <t>キミハ</t>
    </rPh>
    <rPh sb="2" eb="4">
      <t>キボウモ</t>
    </rPh>
    <rPh sb="5" eb="7">
      <t>クノウモ</t>
    </rPh>
    <rPh sb="8" eb="10">
      <t>ヨクボウモザイアクモ</t>
    </rPh>
    <rPh sb="15" eb="16">
      <t>カンジルコトガ</t>
    </rPh>
    <phoneticPr fontId="5"/>
  </si>
  <si>
    <t>[effect:enemy_message, val1:1.4, val2:2.8],[effect:hungup, target:unit_all, turn:1, rate:1, animation:hungup01],[effect:force_change_block, new_block:block_heart, target:block_all, count:0, val:0, animation:change_block]</t>
    <phoneticPr fontId="5"/>
  </si>
  <si>
    <t>[effect:enemy_message, val1:1.4, val2:1.8],[effect:damage_gravity, val:1, animation:fevergauge_down]</t>
    <phoneticPr fontId="5"/>
  </si>
  <si>
    <t>[effect:enemy_message, val1:1, val2:2]</t>
    <phoneticPr fontId="5"/>
  </si>
  <si>
    <t>[effect:enemy_message, val1:1.8, val2:1.8]</t>
    <phoneticPr fontId="5"/>
  </si>
  <si>
    <t>確信したよ…
僕の全盛は今なんだと…！</t>
    <rPh sb="0" eb="2">
      <t>カクシンシタヨ</t>
    </rPh>
    <rPh sb="7" eb="8">
      <t>ボクノ</t>
    </rPh>
    <rPh sb="9" eb="11">
      <t>zennseinannda</t>
    </rPh>
    <rPh sb="12" eb="13">
      <t>イマ</t>
    </rPh>
    <phoneticPr fontId="5"/>
  </si>
  <si>
    <t>死にたいのではない
生きることを辞めたいんだ</t>
    <phoneticPr fontId="5"/>
  </si>
  <si>
    <t>ランダムで赤のダメージパネルに15個変換</t>
    <phoneticPr fontId="5"/>
  </si>
  <si>
    <t>ランダムで青のダメージパネルに10個変換</t>
    <rPh sb="5" eb="6">
      <t>アオ</t>
    </rPh>
    <phoneticPr fontId="5"/>
  </si>
  <si>
    <t>ランダムで青のダメージパネルに20個変換</t>
    <rPh sb="5" eb="6">
      <t>アオ</t>
    </rPh>
    <phoneticPr fontId="5"/>
  </si>
  <si>
    <t>ランダムで青のダメージパネルに10個変換+
残りHPの30%ダメージ！</t>
    <rPh sb="5" eb="6">
      <t>アオ</t>
    </rPh>
    <phoneticPr fontId="5"/>
  </si>
  <si>
    <t>ランダムで黄のダメージパネルに10個変換</t>
    <rPh sb="5" eb="6">
      <t>キ</t>
    </rPh>
    <phoneticPr fontId="5"/>
  </si>
  <si>
    <t>状態異常耐性+
ランダムで赤のダメージパネルに15個変換</t>
    <phoneticPr fontId="5"/>
  </si>
  <si>
    <t>[effect:enemy_message, val1:1.2, val2:2],[effect:damage_abnormal, target:unit_one, val:0.7, status:heal, turn:2, val_abnormal:0.5, calc:mul, animation:degrade_unit_all_heal]</t>
    <phoneticPr fontId="5"/>
  </si>
  <si>
    <t>ランダムで黄のダメージパネルに7個変換</t>
    <rPh sb="5" eb="6">
      <t>ki</t>
    </rPh>
    <phoneticPr fontId="5"/>
  </si>
  <si>
    <t>状態異常耐性+
ランダムで黄のダメージパネルに7個変換</t>
    <rPh sb="13" eb="14">
      <t>キ</t>
    </rPh>
    <phoneticPr fontId="5"/>
  </si>
  <si>
    <t>[effect:enemy_message, val1:1.6, val2:1.8],[effect:spread, val:0.16],[effect:spread, val:0.16],[effect:spread, val:0.16],[effect:spread, val:0.16],[effect:spread, val:0.16],[effect:spread, val:0.16]</t>
    <phoneticPr fontId="5"/>
  </si>
  <si>
    <t>[effect:enemy_message, val1:1.2, val2:1.8],[effect:rush, count:7, val:0.28]</t>
    <phoneticPr fontId="5"/>
  </si>
  <si>
    <t>[effect:enemy_message, val1:1.2, val2:1.8],[effect:rush, count:17, val:0.17]</t>
    <phoneticPr fontId="5"/>
  </si>
  <si>
    <t>complete</t>
  </si>
  <si>
    <t>状態異常耐性+敵全体に1ターン全属性ダメージ50%軽減</t>
    <phoneticPr fontId="5"/>
  </si>
  <si>
    <t>敵全体に3ターン全属性ダメージ50%軽減</t>
    <rPh sb="8" eb="9">
      <t>ゼン</t>
    </rPh>
    <phoneticPr fontId="5"/>
  </si>
  <si>
    <t>次のターンに強力な攻撃！</t>
    <rPh sb="0" eb="1">
      <t>ツギノターンニ</t>
    </rPh>
    <rPh sb="6" eb="8">
      <t>キョウリョクナクリティカル</t>
    </rPh>
    <rPh sb="9" eb="11">
      <t>コウゲキ</t>
    </rPh>
    <phoneticPr fontId="5"/>
  </si>
  <si>
    <t>激烈クリティカル！</t>
    <rPh sb="0" eb="2">
      <t>ゲキレツ</t>
    </rPh>
    <phoneticPr fontId="5"/>
  </si>
  <si>
    <t>激烈クリティカル！</t>
    <phoneticPr fontId="5"/>
  </si>
  <si>
    <t>1ターンユニット全体にスキルバインド+
全てのパネルをハートパネルに変換+
次のターンに強力な攻撃！</t>
    <rPh sb="38" eb="39">
      <t>ツギノターンニ</t>
    </rPh>
    <rPh sb="44" eb="46">
      <t>キョウリョクナコウゲキ</t>
    </rPh>
    <phoneticPr fontId="5"/>
  </si>
  <si>
    <t>次のターンに強力な攻撃！</t>
    <phoneticPr fontId="5"/>
  </si>
  <si>
    <t>太宰治は全体攻撃と属性パネルを
ランダムでダメージパネルに変換する
スキルを使用します
スキルなどで対処しましょう</t>
    <phoneticPr fontId="5"/>
  </si>
  <si>
    <t>太宰治の3ゲージ目は
属性パネルをランダムでダメージパネルに
変換するスキルを使用後に
連続攻撃を3ターン連続で行います</t>
    <phoneticPr fontId="5"/>
  </si>
  <si>
    <t>玄武は2回攻撃するごとに全属性ダメージを
50%軽減するスキルを使用します
軽減中は整地をしておきましょう</t>
    <phoneticPr fontId="5"/>
  </si>
  <si>
    <t>ウラシマは8回目の攻撃時に
属性パネルをランダムで15個
ダメージパネルに変換します
スキルやアビリティなどで対処しましょう</t>
    <phoneticPr fontId="5"/>
  </si>
  <si>
    <t>マグリットは4回攻撃するごとに
ユニット全体の回復力を
100%DOWNさせてきます
早めに倒してしまいましょう</t>
    <phoneticPr fontId="5"/>
  </si>
  <si>
    <t>[effect:tolerance, target:myself, turn:-1, count:-1, tolerance_effect:all, animation:enemy_tolerance],[effect:force_change_block, new_block:damage, target:block_all, ignore01:block_positive, ignore02:block_negative, color:block_red, count:15, val:0.07, animation:change_block],[effect:fix_speed, target:myself, turn:1]</t>
  </si>
  <si>
    <t>[effect:force_change_block, new_block:damage, target:block_all, ignore01:block_positive, ignore02:block_negative, color:block_red, count:15, val:0.07, animation:change_block]</t>
  </si>
  <si>
    <t>[effect:force_change_block, new_block:damage, target:block_all, ignore01:block_positive, ignore02:block_negative, color:block_blue, count:20, val:0.1, animation:change_block]</t>
  </si>
  <si>
    <t>[effect:enemy_message, val1:1.2, val2:1.8],[effect:tolerance, target:myself, turn:-1, count:-1, tolerance_effect:all, animation:enemy_tolerance],[effect:force_change_block, new_block:damage, target:block_all, ignore01:block_positive, ignore02:block_negative, color:block_yellow, count:7, val:0.15, animation:change_block],[effect:fix_speed, target:myself, turn:1]</t>
  </si>
  <si>
    <t>[effect:force_change_block, new_block:damage, target:block_all, ignore01:block_positive, ignore02:block_negative, color:block_yellow, count:7, val:0.15, animation:change_block]</t>
  </si>
  <si>
    <t>[effect:force_change_block, new_block:damage, target:block_all, ignore01:block_positive, ignore02:block_negative, color:block_yellow, count:10, val:0.15, animation:change_block]</t>
  </si>
  <si>
    <t>[effect:enemy_message, val1:1.2, val2:2.2],[effect:force_change_block, new_block:damage, target:block_all, ignore01:block_positive, ignore02:block_negative, color:block_blue, count:10, val:0.1, animation:change_block],[effect:damage_gravity, val:0.3, animation:fevergauge_down]</t>
    <phoneticPr fontId="5"/>
  </si>
  <si>
    <t>[effect:force_change_block, new_block:damage, target:block_all, ignore01:block_positive, ignore02:block_negative, color:block_blue, count:10, val:0.1,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</si>
</sst>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11" xfId="0" applyFont="1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32" borderId="7" xfId="0" applyFont="1" applyFill="1" applyBorder="1" applyAlignment="1">
      <alignment horizontal="right" vertical="center"/>
    </xf>
    <xf numFmtId="0" fontId="0" fillId="0" borderId="12" xfId="0" applyBorder="1"/>
    <xf numFmtId="0" fontId="27" fillId="13" borderId="12" xfId="0" applyFont="1" applyFill="1" applyBorder="1"/>
    <xf numFmtId="0" fontId="0" fillId="0" borderId="23" xfId="0" applyBorder="1"/>
    <xf numFmtId="0" fontId="27" fillId="13" borderId="7" xfId="0" applyFont="1" applyFill="1" applyBorder="1"/>
    <xf numFmtId="0" fontId="0" fillId="0" borderId="24" xfId="0" applyBorder="1"/>
    <xf numFmtId="0" fontId="0" fillId="0" borderId="25" xfId="0" applyBorder="1"/>
    <xf numFmtId="0" fontId="27" fillId="13" borderId="25" xfId="0" applyFont="1" applyFill="1" applyBorder="1"/>
    <xf numFmtId="0" fontId="0" fillId="0" borderId="26" xfId="0" applyBorder="1"/>
    <xf numFmtId="0" fontId="0" fillId="3" borderId="27" xfId="0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7" xfId="0" applyFill="1" applyBorder="1"/>
    <xf numFmtId="0" fontId="27" fillId="33" borderId="7" xfId="0" applyFont="1" applyFill="1" applyBorder="1"/>
    <xf numFmtId="0" fontId="0" fillId="33" borderId="7" xfId="0" applyFill="1" applyBorder="1"/>
    <xf numFmtId="0" fontId="0" fillId="3" borderId="25" xfId="0" applyFill="1" applyBorder="1"/>
    <xf numFmtId="0" fontId="6" fillId="0" borderId="9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8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1" fontId="32" fillId="31" borderId="32" xfId="0" applyNumberFormat="1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0" borderId="37" xfId="0" applyFont="1" applyFill="1" applyBorder="1" applyAlignment="1">
      <alignment vertical="center"/>
    </xf>
    <xf numFmtId="0" fontId="6" fillId="0" borderId="38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8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6" fillId="3" borderId="32" xfId="0" applyFont="1" applyFill="1" applyBorder="1" applyAlignment="1">
      <alignment horizontal="left" vertical="center"/>
    </xf>
    <xf numFmtId="0" fontId="16" fillId="3" borderId="32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41001</v>
          </cell>
        </row>
        <row r="254">
          <cell r="A254">
            <v>41002</v>
          </cell>
        </row>
        <row r="255">
          <cell r="A255">
            <v>41003</v>
          </cell>
        </row>
        <row r="256">
          <cell r="A256">
            <v>41004</v>
          </cell>
        </row>
        <row r="257">
          <cell r="A257">
            <v>41005</v>
          </cell>
        </row>
        <row r="258">
          <cell r="A258">
            <v>41006</v>
          </cell>
        </row>
        <row r="259">
          <cell r="A259">
            <v>41007</v>
          </cell>
        </row>
        <row r="260">
          <cell r="A260">
            <v>41008</v>
          </cell>
        </row>
        <row r="261">
          <cell r="A261">
            <v>41009</v>
          </cell>
        </row>
        <row r="262">
          <cell r="A262">
            <v>41010</v>
          </cell>
        </row>
        <row r="263">
          <cell r="A263">
            <v>41011</v>
          </cell>
        </row>
        <row r="264">
          <cell r="A264">
            <v>41012</v>
          </cell>
        </row>
        <row r="265">
          <cell r="A265">
            <v>41013</v>
          </cell>
        </row>
        <row r="266">
          <cell r="A266">
            <v>41014</v>
          </cell>
        </row>
        <row r="267">
          <cell r="A267">
            <v>41015</v>
          </cell>
        </row>
        <row r="268">
          <cell r="A268">
            <v>47001</v>
          </cell>
        </row>
        <row r="269">
          <cell r="A269">
            <v>47002</v>
          </cell>
        </row>
        <row r="270">
          <cell r="A270">
            <v>47003</v>
          </cell>
        </row>
        <row r="271">
          <cell r="A271">
            <v>47004</v>
          </cell>
        </row>
        <row r="272">
          <cell r="A272">
            <v>47005</v>
          </cell>
        </row>
        <row r="273">
          <cell r="A273">
            <v>47006</v>
          </cell>
        </row>
        <row r="274">
          <cell r="A274">
            <v>47007</v>
          </cell>
        </row>
        <row r="275">
          <cell r="A275">
            <v>47008</v>
          </cell>
        </row>
        <row r="276">
          <cell r="A276">
            <v>47009</v>
          </cell>
        </row>
        <row r="277">
          <cell r="A277">
            <v>47010</v>
          </cell>
        </row>
        <row r="278">
          <cell r="A278">
            <v>47011</v>
          </cell>
        </row>
        <row r="279">
          <cell r="A279">
            <v>47012</v>
          </cell>
        </row>
        <row r="280">
          <cell r="A280">
            <v>49001</v>
          </cell>
        </row>
        <row r="281">
          <cell r="A281">
            <v>49002</v>
          </cell>
        </row>
        <row r="282">
          <cell r="A282">
            <v>49003</v>
          </cell>
        </row>
        <row r="283">
          <cell r="A283">
            <v>49004</v>
          </cell>
        </row>
        <row r="284">
          <cell r="A284">
            <v>49005</v>
          </cell>
        </row>
        <row r="285">
          <cell r="A285">
            <v>49006</v>
          </cell>
        </row>
        <row r="286">
          <cell r="A286">
            <v>49007</v>
          </cell>
        </row>
        <row r="287">
          <cell r="A287">
            <v>49008</v>
          </cell>
        </row>
        <row r="288">
          <cell r="A288">
            <v>49009</v>
          </cell>
        </row>
        <row r="289">
          <cell r="A289">
            <v>49010</v>
          </cell>
        </row>
        <row r="290">
          <cell r="A290">
            <v>49011</v>
          </cell>
        </row>
        <row r="291">
          <cell r="A291">
            <v>49012</v>
          </cell>
        </row>
        <row r="292">
          <cell r="A292">
            <v>49013</v>
          </cell>
        </row>
        <row r="293">
          <cell r="A293">
            <v>49014</v>
          </cell>
        </row>
        <row r="294">
          <cell r="A294">
            <v>49015</v>
          </cell>
        </row>
        <row r="295">
          <cell r="A295">
            <v>50001</v>
          </cell>
        </row>
        <row r="296">
          <cell r="A296">
            <v>50002</v>
          </cell>
        </row>
        <row r="297">
          <cell r="A297">
            <v>50003</v>
          </cell>
        </row>
        <row r="298">
          <cell r="A298">
            <v>50004</v>
          </cell>
        </row>
        <row r="299">
          <cell r="A299">
            <v>50005</v>
          </cell>
        </row>
        <row r="300">
          <cell r="A300">
            <v>50006</v>
          </cell>
        </row>
        <row r="301">
          <cell r="A301">
            <v>50007</v>
          </cell>
        </row>
        <row r="302">
          <cell r="A302">
            <v>50008</v>
          </cell>
        </row>
        <row r="303">
          <cell r="A303">
            <v>50009</v>
          </cell>
        </row>
        <row r="304">
          <cell r="A304">
            <v>50010</v>
          </cell>
        </row>
        <row r="305">
          <cell r="A305">
            <v>50011</v>
          </cell>
        </row>
        <row r="306">
          <cell r="A306">
            <v>50012</v>
          </cell>
        </row>
        <row r="307">
          <cell r="A307">
            <v>50013</v>
          </cell>
        </row>
        <row r="308">
          <cell r="A308">
            <v>50014</v>
          </cell>
        </row>
        <row r="309">
          <cell r="A309">
            <v>50015</v>
          </cell>
        </row>
        <row r="310">
          <cell r="A310">
            <v>51001</v>
          </cell>
        </row>
        <row r="311">
          <cell r="A311">
            <v>51002</v>
          </cell>
        </row>
        <row r="312">
          <cell r="A312">
            <v>58001</v>
          </cell>
        </row>
        <row r="313">
          <cell r="A313">
            <v>59001</v>
          </cell>
        </row>
        <row r="314">
          <cell r="A314">
            <v>59002</v>
          </cell>
        </row>
        <row r="315">
          <cell r="A315">
            <v>60001</v>
          </cell>
        </row>
        <row r="316">
          <cell r="A316">
            <v>60002</v>
          </cell>
        </row>
        <row r="317">
          <cell r="A317">
            <v>60003</v>
          </cell>
        </row>
        <row r="318">
          <cell r="A318">
            <v>60004</v>
          </cell>
        </row>
        <row r="319">
          <cell r="A319">
            <v>60005</v>
          </cell>
        </row>
        <row r="320">
          <cell r="A320">
            <v>60006</v>
          </cell>
        </row>
        <row r="321">
          <cell r="A321">
            <v>60007</v>
          </cell>
        </row>
        <row r="322">
          <cell r="A322">
            <v>60010</v>
          </cell>
        </row>
        <row r="323">
          <cell r="A323">
            <v>60011</v>
          </cell>
        </row>
        <row r="324">
          <cell r="A324">
            <v>61011</v>
          </cell>
        </row>
        <row r="325">
          <cell r="A325">
            <v>60012</v>
          </cell>
        </row>
        <row r="326">
          <cell r="A326">
            <v>60013</v>
          </cell>
        </row>
        <row r="327">
          <cell r="A327">
            <v>60014</v>
          </cell>
        </row>
        <row r="328">
          <cell r="A328">
            <v>60015</v>
          </cell>
        </row>
        <row r="329">
          <cell r="A329">
            <v>60016</v>
          </cell>
        </row>
        <row r="330">
          <cell r="A330">
            <v>60017</v>
          </cell>
        </row>
        <row r="331">
          <cell r="A331">
            <v>60018</v>
          </cell>
        </row>
        <row r="332">
          <cell r="A332">
            <v>60019</v>
          </cell>
        </row>
        <row r="333">
          <cell r="A333">
            <v>60020</v>
          </cell>
        </row>
        <row r="334">
          <cell r="A334">
            <v>60025</v>
          </cell>
        </row>
        <row r="335">
          <cell r="A335">
            <v>60026</v>
          </cell>
        </row>
        <row r="336">
          <cell r="A336">
            <v>60027</v>
          </cell>
        </row>
        <row r="337">
          <cell r="A337">
            <v>60028</v>
          </cell>
        </row>
        <row r="338">
          <cell r="A338">
            <v>60029</v>
          </cell>
        </row>
        <row r="339">
          <cell r="A339">
            <v>65525</v>
          </cell>
        </row>
        <row r="340">
          <cell r="A340">
            <v>65526</v>
          </cell>
        </row>
        <row r="341">
          <cell r="A341">
            <v>65527</v>
          </cell>
        </row>
        <row r="342">
          <cell r="A342">
            <v>65528</v>
          </cell>
        </row>
        <row r="343">
          <cell r="A343">
            <v>65529</v>
          </cell>
        </row>
        <row r="344">
          <cell r="A344">
            <v>65530</v>
          </cell>
        </row>
        <row r="345">
          <cell r="A345">
            <v>65531</v>
          </cell>
        </row>
        <row r="346">
          <cell r="A346">
            <v>65532</v>
          </cell>
        </row>
        <row r="347">
          <cell r="A347">
            <v>65533</v>
          </cell>
        </row>
        <row r="348">
          <cell r="A348">
            <v>65534</v>
          </cell>
        </row>
        <row r="349">
          <cell r="A349">
            <v>65535</v>
          </cell>
        </row>
        <row r="350">
          <cell r="A350">
            <v>60021</v>
          </cell>
        </row>
        <row r="351">
          <cell r="A351">
            <v>60022</v>
          </cell>
        </row>
        <row r="352">
          <cell r="A352">
            <v>60023</v>
          </cell>
        </row>
        <row r="353">
          <cell r="A35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49001_1</v>
          </cell>
        </row>
        <row r="891">
          <cell r="A891" t="str">
            <v>49002_1</v>
          </cell>
        </row>
        <row r="892">
          <cell r="A892" t="str">
            <v>49002_2</v>
          </cell>
        </row>
        <row r="893">
          <cell r="A893" t="str">
            <v>49003_1</v>
          </cell>
        </row>
        <row r="894">
          <cell r="A894" t="str">
            <v>49003_2</v>
          </cell>
        </row>
        <row r="895">
          <cell r="A895" t="str">
            <v>49004_1</v>
          </cell>
        </row>
        <row r="896">
          <cell r="A896" t="str">
            <v>49004_2</v>
          </cell>
        </row>
        <row r="897">
          <cell r="A897" t="str">
            <v>49004_3</v>
          </cell>
        </row>
        <row r="898">
          <cell r="A898" t="str">
            <v>49005_1</v>
          </cell>
        </row>
        <row r="899">
          <cell r="A899" t="str">
            <v>49006_1</v>
          </cell>
        </row>
        <row r="900">
          <cell r="A900" t="str">
            <v>49006_2</v>
          </cell>
        </row>
        <row r="901">
          <cell r="A901" t="str">
            <v>49007_1</v>
          </cell>
        </row>
        <row r="902">
          <cell r="A902" t="str">
            <v>49007_2</v>
          </cell>
        </row>
        <row r="903">
          <cell r="A903" t="str">
            <v>49007_3</v>
          </cell>
        </row>
        <row r="904">
          <cell r="A904" t="str">
            <v>49008_1</v>
          </cell>
        </row>
        <row r="905">
          <cell r="A905" t="str">
            <v>49009_1</v>
          </cell>
        </row>
        <row r="906">
          <cell r="A906" t="str">
            <v>49010_1</v>
          </cell>
        </row>
        <row r="907">
          <cell r="A907" t="str">
            <v>49011_1</v>
          </cell>
        </row>
        <row r="908">
          <cell r="A908" t="str">
            <v>49012_1</v>
          </cell>
        </row>
        <row r="909">
          <cell r="A909" t="str">
            <v>49013_1</v>
          </cell>
        </row>
        <row r="910">
          <cell r="A910" t="str">
            <v>49014_1</v>
          </cell>
        </row>
        <row r="911">
          <cell r="A911" t="str">
            <v>49014_2</v>
          </cell>
        </row>
        <row r="912">
          <cell r="A912" t="str">
            <v>49015_1</v>
          </cell>
        </row>
        <row r="913">
          <cell r="A913" t="str">
            <v>49015_2</v>
          </cell>
        </row>
        <row r="914">
          <cell r="A914" t="str">
            <v>49015_3</v>
          </cell>
        </row>
        <row r="915">
          <cell r="A915" t="str">
            <v>50001_1</v>
          </cell>
        </row>
        <row r="916">
          <cell r="A916" t="str">
            <v>50002_1</v>
          </cell>
        </row>
        <row r="917">
          <cell r="A917" t="str">
            <v>50003_1</v>
          </cell>
        </row>
        <row r="918">
          <cell r="A918" t="str">
            <v>50004_1</v>
          </cell>
        </row>
        <row r="919">
          <cell r="A919" t="str">
            <v>50005_1</v>
          </cell>
        </row>
        <row r="920">
          <cell r="A920" t="str">
            <v>50006_1</v>
          </cell>
        </row>
        <row r="921">
          <cell r="A921" t="str">
            <v>50007_1</v>
          </cell>
        </row>
        <row r="922">
          <cell r="A922" t="str">
            <v>50008_1</v>
          </cell>
        </row>
        <row r="923">
          <cell r="A923" t="str">
            <v>50009_1</v>
          </cell>
        </row>
        <row r="924">
          <cell r="A924" t="str">
            <v>50010_1</v>
          </cell>
        </row>
        <row r="925">
          <cell r="A925" t="str">
            <v>50011_1</v>
          </cell>
        </row>
        <row r="926">
          <cell r="A926" t="str">
            <v>50012_1</v>
          </cell>
        </row>
        <row r="927">
          <cell r="A927" t="str">
            <v>50013_1</v>
          </cell>
        </row>
        <row r="928">
          <cell r="A928" t="str">
            <v>50014_1</v>
          </cell>
        </row>
        <row r="929">
          <cell r="A929" t="str">
            <v>50015_1</v>
          </cell>
        </row>
        <row r="930">
          <cell r="A930" t="str">
            <v>51001_1</v>
          </cell>
        </row>
        <row r="931">
          <cell r="A931" t="str">
            <v>51002_1</v>
          </cell>
        </row>
        <row r="932">
          <cell r="A932" t="str">
            <v>58001_1</v>
          </cell>
        </row>
        <row r="933">
          <cell r="A933" t="str">
            <v>59001_1</v>
          </cell>
        </row>
        <row r="934">
          <cell r="A934" t="str">
            <v>59002_1</v>
          </cell>
        </row>
        <row r="935">
          <cell r="A935" t="str">
            <v>60001_1</v>
          </cell>
        </row>
        <row r="936">
          <cell r="A936" t="str">
            <v>60002_1</v>
          </cell>
        </row>
        <row r="937">
          <cell r="A937" t="str">
            <v>60002_2</v>
          </cell>
        </row>
        <row r="938">
          <cell r="A938" t="str">
            <v>60003_1</v>
          </cell>
        </row>
        <row r="939">
          <cell r="A939" t="str">
            <v>60003_2</v>
          </cell>
        </row>
        <row r="940">
          <cell r="A940" t="str">
            <v>60003_3</v>
          </cell>
        </row>
        <row r="941">
          <cell r="A941" t="str">
            <v>60004_1</v>
          </cell>
        </row>
        <row r="942">
          <cell r="A942" t="str">
            <v>60005_1</v>
          </cell>
        </row>
        <row r="943">
          <cell r="A943" t="str">
            <v>60006_1</v>
          </cell>
        </row>
        <row r="944">
          <cell r="A944" t="str">
            <v>60006_2</v>
          </cell>
        </row>
        <row r="945">
          <cell r="A945" t="str">
            <v>60006_3</v>
          </cell>
        </row>
        <row r="946">
          <cell r="A946" t="str">
            <v>60007_1</v>
          </cell>
        </row>
        <row r="947">
          <cell r="A947" t="str">
            <v>60007_2</v>
          </cell>
        </row>
        <row r="948">
          <cell r="A948" t="str">
            <v>60007_3</v>
          </cell>
        </row>
        <row r="949">
          <cell r="A949" t="str">
            <v>60010_1</v>
          </cell>
        </row>
        <row r="950">
          <cell r="A950" t="str">
            <v>60011_1</v>
          </cell>
        </row>
        <row r="951">
          <cell r="A951" t="str">
            <v>60011_2</v>
          </cell>
        </row>
        <row r="952">
          <cell r="A952" t="str">
            <v>60012_1</v>
          </cell>
        </row>
        <row r="953">
          <cell r="A953" t="str">
            <v>60013_1</v>
          </cell>
        </row>
        <row r="954">
          <cell r="A954" t="str">
            <v>60013_2</v>
          </cell>
        </row>
        <row r="955">
          <cell r="A955" t="str">
            <v>60013_3</v>
          </cell>
        </row>
        <row r="956">
          <cell r="A956" t="str">
            <v>60014_1</v>
          </cell>
        </row>
        <row r="957">
          <cell r="A957" t="str">
            <v>60015_1</v>
          </cell>
        </row>
        <row r="958">
          <cell r="A958" t="str">
            <v>60016_1</v>
          </cell>
        </row>
        <row r="959">
          <cell r="A959" t="str">
            <v>60017_1</v>
          </cell>
        </row>
        <row r="960">
          <cell r="A960" t="str">
            <v>60018_1</v>
          </cell>
        </row>
        <row r="961">
          <cell r="A961" t="str">
            <v>60019_1</v>
          </cell>
        </row>
        <row r="962">
          <cell r="A962" t="str">
            <v>60020_1</v>
          </cell>
        </row>
        <row r="963">
          <cell r="A963" t="str">
            <v>60021_3</v>
          </cell>
        </row>
        <row r="964">
          <cell r="A964" t="str">
            <v>60022_3</v>
          </cell>
        </row>
        <row r="965">
          <cell r="A965" t="str">
            <v>60023_3</v>
          </cell>
        </row>
        <row r="966">
          <cell r="A966" t="str">
            <v>60024_3</v>
          </cell>
        </row>
        <row r="967">
          <cell r="A967" t="str">
            <v>60025_1</v>
          </cell>
        </row>
        <row r="968">
          <cell r="A968" t="str">
            <v>60026_1</v>
          </cell>
        </row>
        <row r="969">
          <cell r="A969" t="str">
            <v>61011_1</v>
          </cell>
        </row>
        <row r="970">
          <cell r="A970" t="str">
            <v>60027_1</v>
          </cell>
        </row>
        <row r="971">
          <cell r="A971" t="str">
            <v>60028_1</v>
          </cell>
        </row>
        <row r="972">
          <cell r="A972" t="str">
            <v>60029_1</v>
          </cell>
        </row>
        <row r="973">
          <cell r="A973" t="str">
            <v>65525_1</v>
          </cell>
        </row>
        <row r="974">
          <cell r="A974" t="str">
            <v>65526_1</v>
          </cell>
        </row>
        <row r="975">
          <cell r="A975" t="str">
            <v>65526_2</v>
          </cell>
        </row>
        <row r="976">
          <cell r="A976" t="str">
            <v>65527_1</v>
          </cell>
        </row>
        <row r="977">
          <cell r="A977" t="str">
            <v>65528_1</v>
          </cell>
        </row>
        <row r="978">
          <cell r="A978" t="str">
            <v>65529_1</v>
          </cell>
        </row>
        <row r="979">
          <cell r="A979" t="str">
            <v>65530_1</v>
          </cell>
        </row>
        <row r="980">
          <cell r="A980" t="str">
            <v>65531_1</v>
          </cell>
        </row>
        <row r="981">
          <cell r="A981" t="str">
            <v>65531_2</v>
          </cell>
        </row>
        <row r="982">
          <cell r="A982" t="str">
            <v>65532_1</v>
          </cell>
        </row>
        <row r="983">
          <cell r="A983" t="str">
            <v>65532_2</v>
          </cell>
        </row>
        <row r="984">
          <cell r="A984" t="str">
            <v>65533_1</v>
          </cell>
        </row>
        <row r="985">
          <cell r="A985" t="str">
            <v>65533_2</v>
          </cell>
        </row>
        <row r="986">
          <cell r="A986" t="str">
            <v>65534_1</v>
          </cell>
        </row>
        <row r="987">
          <cell r="A987" t="str">
            <v>65534_2</v>
          </cell>
        </row>
        <row r="988">
          <cell r="A988" t="str">
            <v>65535_1</v>
          </cell>
        </row>
        <row r="989">
          <cell r="A989" t="str">
            <v>65535_2</v>
          </cell>
        </row>
        <row r="990">
          <cell r="A990" t="str">
            <v>65535_3</v>
          </cell>
        </row>
        <row r="991">
          <cell r="A991" t="str">
            <v>65535_4</v>
          </cell>
        </row>
        <row r="992">
          <cell r="A992" t="str">
            <v>65535_5</v>
          </cell>
        </row>
        <row r="993">
          <cell r="A993" t="str">
            <v>65535_6</v>
          </cell>
        </row>
        <row r="994">
          <cell r="A994" t="str">
            <v>65535_7</v>
          </cell>
        </row>
        <row r="995">
          <cell r="A995" t="str">
            <v>65535_8</v>
          </cell>
        </row>
        <row r="996">
          <cell r="A996" t="str">
            <v>65535_9</v>
          </cell>
        </row>
        <row r="997">
          <cell r="A99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281</v>
      </c>
      <c r="B2" s="57" t="s">
        <v>107</v>
      </c>
      <c r="C2" s="63">
        <v>40038</v>
      </c>
      <c r="D2" s="57" t="s">
        <v>108</v>
      </c>
      <c r="E2" s="56" t="str">
        <f>B2&amp;C2&amp;D2</f>
        <v>floors_40038.tmp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281</v>
      </c>
      <c r="B3" s="57" t="s">
        <v>110</v>
      </c>
      <c r="C3" s="63">
        <v>40038</v>
      </c>
      <c r="D3" s="57" t="s">
        <v>108</v>
      </c>
      <c r="E3" s="56" t="str">
        <f>B3&amp;C3&amp;D3</f>
        <v>enemy_habitats_40038.tmp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281</v>
      </c>
      <c r="B4" s="57" t="s">
        <v>112</v>
      </c>
      <c r="C4" s="63">
        <v>40038</v>
      </c>
      <c r="D4" s="57" t="s">
        <v>108</v>
      </c>
      <c r="E4" s="56" t="str">
        <f>B4&amp;C4&amp;D4</f>
        <v>enemy_habitat_S_40038.tmp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281</v>
      </c>
      <c r="B5" s="57" t="s">
        <v>114</v>
      </c>
      <c r="C5" s="63">
        <v>40038</v>
      </c>
      <c r="D5" s="57" t="s">
        <v>108</v>
      </c>
      <c r="E5" s="56" t="str">
        <f>B5&amp;C5&amp;D5</f>
        <v>enemy_skill_sets_40038.tmp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281</v>
      </c>
      <c r="B6" s="57" t="s">
        <v>116</v>
      </c>
      <c r="C6" s="63">
        <v>40038</v>
      </c>
      <c r="D6" s="57" t="s">
        <v>117</v>
      </c>
      <c r="E6" s="56" t="str">
        <f t="shared" ref="E6:E10" si="0">B6&amp;C6&amp;D6</f>
        <v>enemy_skills_tmp_40038.tmp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281</v>
      </c>
      <c r="B7" s="57" t="s">
        <v>118</v>
      </c>
      <c r="C7" s="63">
        <v>40038</v>
      </c>
      <c r="D7" s="57" t="s">
        <v>108</v>
      </c>
      <c r="E7" s="56" t="str">
        <f>B7&amp;C7&amp;D7</f>
        <v>enemy_skills_i18n_40038.tmp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281</v>
      </c>
      <c r="B8" s="57" t="s">
        <v>120</v>
      </c>
      <c r="C8" s="63">
        <v>40038</v>
      </c>
      <c r="D8" s="57" t="s">
        <v>121</v>
      </c>
      <c r="E8" s="56" t="str">
        <f t="shared" si="0"/>
        <v>enemy_skill_triggers_40038.tmp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281</v>
      </c>
      <c r="B9" s="68" t="s">
        <v>178</v>
      </c>
      <c r="C9" s="63">
        <v>40038</v>
      </c>
      <c r="D9" s="68" t="s">
        <v>172</v>
      </c>
      <c r="E9" s="69" t="str">
        <f t="shared" si="0"/>
        <v>stage_bug_bonuses_40038.tmp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281</v>
      </c>
      <c r="B10" s="68" t="s">
        <v>201</v>
      </c>
      <c r="C10" s="63">
        <v>40038</v>
      </c>
      <c r="D10" s="68" t="s">
        <v>181</v>
      </c>
      <c r="E10" s="69" t="str">
        <f t="shared" si="0"/>
        <v>stage_hints_data_c_40038.tmp</v>
      </c>
      <c r="F10" s="68" t="s">
        <v>209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281</v>
      </c>
      <c r="B11" s="68" t="s">
        <v>202</v>
      </c>
      <c r="C11" s="63">
        <v>40038</v>
      </c>
      <c r="D11" s="68" t="s">
        <v>172</v>
      </c>
      <c r="E11" s="69" t="str">
        <f t="shared" ref="E11:E13" si="1">B11&amp;C11&amp;D11</f>
        <v>stage_hints_data_f_40038.tmp</v>
      </c>
      <c r="F11" s="68" t="s">
        <v>210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164" t="s">
        <v>281</v>
      </c>
      <c r="B12" s="68" t="s">
        <v>203</v>
      </c>
      <c r="C12" s="63">
        <v>40038</v>
      </c>
      <c r="D12" s="68" t="s">
        <v>172</v>
      </c>
      <c r="E12" s="69" t="str">
        <f t="shared" si="1"/>
        <v>stage_hints_i18n_40038.tmp</v>
      </c>
      <c r="F12" s="68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7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164" t="s">
        <v>281</v>
      </c>
      <c r="B13" s="68" t="s">
        <v>250</v>
      </c>
      <c r="C13" s="63">
        <v>40038</v>
      </c>
      <c r="D13" s="68" t="s">
        <v>231</v>
      </c>
      <c r="E13" s="69" t="str">
        <f t="shared" si="1"/>
        <v>stage_bonuses_40038.tmp</v>
      </c>
      <c r="F13" s="68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G11" sqref="G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40038_1-1</v>
      </c>
      <c r="B2" s="16" t="str">
        <f>IF(COUNTIF(enemy_habitats!$H:$H,A2),"OK","NG")</f>
        <v>OK</v>
      </c>
      <c r="C2" s="7">
        <v>40038</v>
      </c>
      <c r="D2" s="11" t="str">
        <f ca="1">VLOOKUP($C2,OFFSET([2]quests!$A$1,0,0,COUNTA([2]quests!$A:$A),MATCH(D$1,[2]quests!$1:$1,0)-MATCH($C$1,[2]quests!$1:$1,0)+1),MATCH(D$1,[2]quests!$1:$1,0)-MATCH($C$1,[2]quests!$1:$1,0)+1,FALSE)</f>
        <v>太宰治襲来！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降臨38</v>
      </c>
      <c r="F2" s="21">
        <v>1</v>
      </c>
      <c r="G2" s="23" t="str">
        <f t="shared" ref="G2:G9" si="1">C2&amp;"_"&amp;F2</f>
        <v>40038_1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【超絶級】太宰治襲来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40038_1-2</v>
      </c>
      <c r="B3" s="16" t="str">
        <f>IF(COUNTIF(enemy_habitats!$H:$H,A3),"OK","NG")</f>
        <v>OK</v>
      </c>
      <c r="C3" s="7">
        <v>40038</v>
      </c>
      <c r="D3" s="11" t="str">
        <f ca="1">VLOOKUP($C3,OFFSET([2]quests!$A$1,0,0,COUNTA([2]quests!$A:$A),MATCH(D$1,[2]quests!$1:$1,0)-MATCH($C$1,[2]quests!$1:$1,0)+1),MATCH(D$1,[2]quests!$1:$1,0)-MATCH($C$1,[2]quests!$1:$1,0)+1,FALSE)</f>
        <v>太宰治襲来！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降臨38</v>
      </c>
      <c r="F3" s="21">
        <v>1</v>
      </c>
      <c r="G3" s="23" t="str">
        <f t="shared" si="1"/>
        <v>40038_1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【超絶級】太宰治襲来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40038_1-3</v>
      </c>
      <c r="B4" s="16" t="str">
        <f>IF(COUNTIF(enemy_habitats!$H:$H,A4),"OK","NG")</f>
        <v>OK</v>
      </c>
      <c r="C4" s="7">
        <v>40038</v>
      </c>
      <c r="D4" s="11" t="str">
        <f ca="1">VLOOKUP($C4,OFFSET([2]quests!$A$1,0,0,COUNTA([2]quests!$A:$A),MATCH(D$1,[2]quests!$1:$1,0)-MATCH($C$1,[2]quests!$1:$1,0)+1),MATCH(D$1,[2]quests!$1:$1,0)-MATCH($C$1,[2]quests!$1:$1,0)+1,FALSE)</f>
        <v>太宰治襲来！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降臨38</v>
      </c>
      <c r="F4" s="21">
        <v>1</v>
      </c>
      <c r="G4" s="23" t="str">
        <f t="shared" si="1"/>
        <v>40038_1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【超絶級】太宰治襲来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40038_1-4</v>
      </c>
      <c r="B5" s="16" t="str">
        <f>IF(COUNTIF(enemy_habitats!$H:$H,A5),"OK","NG")</f>
        <v>OK</v>
      </c>
      <c r="C5" s="7">
        <v>40038</v>
      </c>
      <c r="D5" s="11" t="str">
        <f ca="1">VLOOKUP($C5,OFFSET([2]quests!$A$1,0,0,COUNTA([2]quests!$A:$A),MATCH(D$1,[2]quests!$1:$1,0)-MATCH($C$1,[2]quests!$1:$1,0)+1),MATCH(D$1,[2]quests!$1:$1,0)-MATCH($C$1,[2]quests!$1:$1,0)+1,FALSE)</f>
        <v>太宰治襲来！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降臨38</v>
      </c>
      <c r="F5" s="21">
        <v>1</v>
      </c>
      <c r="G5" s="23" t="str">
        <f t="shared" si="1"/>
        <v>40038_1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【超絶級】太宰治襲来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40038_2-1</v>
      </c>
      <c r="B6" s="16" t="str">
        <f>IF(COUNTIF(enemy_habitats!$H:$H,A6),"OK","NG")</f>
        <v>OK</v>
      </c>
      <c r="C6" s="7">
        <v>40038</v>
      </c>
      <c r="D6" s="11" t="str">
        <f ca="1">VLOOKUP($C6,OFFSET([2]quests!$A$1,0,0,COUNTA([2]quests!$A:$A),MATCH(D$1,[2]quests!$1:$1,0)-MATCH($C$1,[2]quests!$1:$1,0)+1),MATCH(D$1,[2]quests!$1:$1,0)-MATCH($C$1,[2]quests!$1:$1,0)+1,FALSE)</f>
        <v>太宰治襲来！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降臨38</v>
      </c>
      <c r="F6" s="21">
        <v>2</v>
      </c>
      <c r="G6" s="23" t="str">
        <f t="shared" si="1"/>
        <v>40038_2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【ウィザード級】太宰治襲来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40038_2-2</v>
      </c>
      <c r="B7" s="16" t="str">
        <f>IF(COUNTIF(enemy_habitats!$H:$H,A7),"OK","NG")</f>
        <v>OK</v>
      </c>
      <c r="C7" s="7">
        <v>40038</v>
      </c>
      <c r="D7" s="11" t="str">
        <f ca="1">VLOOKUP($C7,OFFSET([2]quests!$A$1,0,0,COUNTA([2]quests!$A:$A),MATCH(D$1,[2]quests!$1:$1,0)-MATCH($C$1,[2]quests!$1:$1,0)+1),MATCH(D$1,[2]quests!$1:$1,0)-MATCH($C$1,[2]quests!$1:$1,0)+1,FALSE)</f>
        <v>太宰治襲来！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降臨38</v>
      </c>
      <c r="F7" s="21">
        <v>2</v>
      </c>
      <c r="G7" s="23" t="str">
        <f t="shared" si="1"/>
        <v>40038_2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【ウィザード級】太宰治襲来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40038_2-3</v>
      </c>
      <c r="B8" s="16" t="str">
        <f>IF(COUNTIF(enemy_habitats!$H:$H,A8),"OK","NG")</f>
        <v>OK</v>
      </c>
      <c r="C8" s="7">
        <v>40038</v>
      </c>
      <c r="D8" s="11" t="str">
        <f ca="1">VLOOKUP($C8,OFFSET([2]quests!$A$1,0,0,COUNTA([2]quests!$A:$A),MATCH(D$1,[2]quests!$1:$1,0)-MATCH($C$1,[2]quests!$1:$1,0)+1),MATCH(D$1,[2]quests!$1:$1,0)-MATCH($C$1,[2]quests!$1:$1,0)+1,FALSE)</f>
        <v>太宰治襲来！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降臨38</v>
      </c>
      <c r="F8" s="21">
        <v>2</v>
      </c>
      <c r="G8" s="23" t="str">
        <f t="shared" si="1"/>
        <v>40038_2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【ウィザード級】太宰治襲来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40038_2-4</v>
      </c>
      <c r="B9" s="16" t="str">
        <f>IF(COUNTIF(enemy_habitats!$H:$H,A9),"OK","NG")</f>
        <v>OK</v>
      </c>
      <c r="C9" s="7">
        <v>40038</v>
      </c>
      <c r="D9" s="11" t="str">
        <f ca="1">VLOOKUP($C9,OFFSET([2]quests!$A$1,0,0,COUNTA([2]quests!$A:$A),MATCH(D$1,[2]quests!$1:$1,0)-MATCH($C$1,[2]quests!$1:$1,0)+1),MATCH(D$1,[2]quests!$1:$1,0)-MATCH($C$1,[2]quests!$1:$1,0)+1,FALSE)</f>
        <v>太宰治襲来！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降臨38</v>
      </c>
      <c r="F9" s="21">
        <v>2</v>
      </c>
      <c r="G9" s="23" t="str">
        <f t="shared" si="1"/>
        <v>40038_2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【ウィザード級】太宰治襲来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6" sqref="U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5" si="0">B2&amp;"_"&amp;C2&amp;"-"&amp;G2&amp;"/"&amp;L2&amp;"&lt;lv"&amp;R2&amp;"&gt;s"&amp;AC2</f>
        <v>40038_1-1/39&lt;lv80&gt;s2</v>
      </c>
      <c r="B2" s="22">
        <v>40038</v>
      </c>
      <c r="C2" s="21">
        <v>1</v>
      </c>
      <c r="D2" s="2" t="str">
        <f t="shared" ref="D2:D15" si="1">B2&amp;"_"&amp;C2</f>
        <v>40038_1</v>
      </c>
      <c r="E2" s="4" t="str">
        <f ca="1">VLOOKUP($B2,OFFSET([2]quests!$A$1,0,0,COUNTA([2]quests!$A:$A),MATCH(E$1,[2]quests!$1:$1,0)-MATCH($B$1,[2]quests!$1:$1,0)+1),MATCH(E$1,[2]quests!$1:$1,0)-MATCH($B$1,[2]quests!$1:$1,0)+1,FALSE)</f>
        <v>太宰治襲来！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【超絶級】太宰治襲来</v>
      </c>
      <c r="G2" s="21">
        <v>1</v>
      </c>
      <c r="H2" s="15" t="str">
        <f t="shared" ref="H2:H15" si="2">B2&amp;"_"&amp;C2&amp;"-"&amp;G2</f>
        <v>40038_1-1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39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マーロン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1.5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22524</v>
      </c>
      <c r="U2" s="25">
        <v>0.5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2445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2ターンユニット全体の回復力50%DOWN+全体攻撃</v>
      </c>
      <c r="Y2" s="62">
        <v>40038010</v>
      </c>
      <c r="Z2" s="6">
        <v>2</v>
      </c>
      <c r="AA2" s="6">
        <v>100</v>
      </c>
      <c r="AB2" s="6">
        <v>0</v>
      </c>
      <c r="AC2" s="123">
        <v>2</v>
      </c>
      <c r="AD2" s="24">
        <f t="shared" ref="AD2:AD15" si="3">L2</f>
        <v>39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マーロン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15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40038_1-1/504&lt;lv80&gt;s2</v>
      </c>
      <c r="B3" s="22">
        <v>40038</v>
      </c>
      <c r="C3" s="21">
        <v>1</v>
      </c>
      <c r="D3" s="2" t="str">
        <f t="shared" si="1"/>
        <v>40038_1</v>
      </c>
      <c r="E3" s="4" t="str">
        <f ca="1">VLOOKUP($B3,OFFSET([2]quests!$A$1,0,0,COUNTA([2]quests!$A:$A),MATCH(E$1,[2]quests!$1:$1,0)-MATCH($B$1,[2]quests!$1:$1,0)+1),MATCH(E$1,[2]quests!$1:$1,0)-MATCH($B$1,[2]quests!$1:$1,0)+1,FALSE)</f>
        <v>太宰治襲来！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【超絶級】太宰治襲来</v>
      </c>
      <c r="G3" s="21">
        <v>1</v>
      </c>
      <c r="H3" s="15" t="str">
        <f t="shared" si="2"/>
        <v>40038_1-1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504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ハイディン・オーガ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0.6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64841.399999999994</v>
      </c>
      <c r="U3" s="25">
        <v>0.3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3554.7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62">
        <v>40038011</v>
      </c>
      <c r="Z3" s="6">
        <v>1</v>
      </c>
      <c r="AA3" s="6">
        <v>100</v>
      </c>
      <c r="AB3" s="6">
        <v>1</v>
      </c>
      <c r="AC3" s="123">
        <v>2</v>
      </c>
      <c r="AD3" s="24">
        <f t="shared" si="3"/>
        <v>504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ハイディン・オーガ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40038_1-2/89&lt;lv80&gt;s3</v>
      </c>
      <c r="B4" s="22">
        <v>40038</v>
      </c>
      <c r="C4" s="21">
        <v>1</v>
      </c>
      <c r="D4" s="2" t="str">
        <f t="shared" si="1"/>
        <v>40038_1</v>
      </c>
      <c r="E4" s="4" t="str">
        <f ca="1">VLOOKUP($B4,OFFSET([2]quests!$A$1,0,0,COUNTA([2]quests!$A:$A),MATCH(E$1,[2]quests!$1:$1,0)-MATCH($B$1,[2]quests!$1:$1,0)+1),MATCH(E$1,[2]quests!$1:$1,0)-MATCH($B$1,[2]quests!$1:$1,0)+1,FALSE)</f>
        <v>太宰治襲来！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【超絶級】太宰治襲来</v>
      </c>
      <c r="G4" s="21">
        <v>2</v>
      </c>
      <c r="H4" s="15" t="str">
        <f t="shared" si="2"/>
        <v>40038_1-2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玄武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0.6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67110.599999999991</v>
      </c>
      <c r="U4" s="25">
        <v>1.2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9621.6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状態異常耐性+敵全体に1ターン全属性ダメージ50%軽減</v>
      </c>
      <c r="Y4" s="62">
        <v>40038012</v>
      </c>
      <c r="Z4" s="6">
        <v>1</v>
      </c>
      <c r="AA4" s="6">
        <v>100</v>
      </c>
      <c r="AB4" s="6">
        <v>0</v>
      </c>
      <c r="AC4" s="123">
        <v>3</v>
      </c>
      <c r="AD4" s="24">
        <f t="shared" si="3"/>
        <v>89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守護者 玄武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40038_1-2/418&lt;lv80&gt;s1</v>
      </c>
      <c r="B5" s="22">
        <v>40038</v>
      </c>
      <c r="C5" s="21">
        <v>1</v>
      </c>
      <c r="D5" s="2" t="str">
        <f t="shared" si="1"/>
        <v>40038_1</v>
      </c>
      <c r="E5" s="4" t="str">
        <f ca="1">VLOOKUP($B5,OFFSET([2]quests!$A$1,0,0,COUNTA([2]quests!$A:$A),MATCH(E$1,[2]quests!$1:$1,0)-MATCH($B$1,[2]quests!$1:$1,0)+1),MATCH(E$1,[2]quests!$1:$1,0)-MATCH($B$1,[2]quests!$1:$1,0)+1,FALSE)</f>
        <v>太宰治襲来！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【超絶級】太宰治襲来</v>
      </c>
      <c r="G5" s="21">
        <v>2</v>
      </c>
      <c r="H5" s="15" t="str">
        <f t="shared" si="2"/>
        <v>40038_1-2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418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ウラシマ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0.6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86646</v>
      </c>
      <c r="U5" s="25">
        <v>0.8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5674.4000000000005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状態異常耐性+_x000D_ランダムで赤のダメージパネルに15個変換</v>
      </c>
      <c r="Y5" s="62">
        <v>40038013</v>
      </c>
      <c r="Z5" s="6">
        <v>1</v>
      </c>
      <c r="AA5" s="6">
        <v>100</v>
      </c>
      <c r="AB5" s="6">
        <v>1</v>
      </c>
      <c r="AC5" s="123">
        <v>1</v>
      </c>
      <c r="AD5" s="24">
        <f t="shared" si="3"/>
        <v>418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40038_1-3/11&lt;lv80&gt;s2</v>
      </c>
      <c r="B6" s="22">
        <v>40038</v>
      </c>
      <c r="C6" s="21">
        <v>1</v>
      </c>
      <c r="D6" s="2" t="str">
        <f t="shared" si="1"/>
        <v>40038_1</v>
      </c>
      <c r="E6" s="4" t="str">
        <f ca="1">VLOOKUP($B6,OFFSET([2]quests!$A$1,0,0,COUNTA([2]quests!$A:$A),MATCH(E$1,[2]quests!$1:$1,0)-MATCH($B$1,[2]quests!$1:$1,0)+1),MATCH(E$1,[2]quests!$1:$1,0)-MATCH($B$1,[2]quests!$1:$1,0)+1,FALSE)</f>
        <v>太宰治襲来！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【超絶級】太宰治襲来</v>
      </c>
      <c r="G6" s="21">
        <v>3</v>
      </c>
      <c r="H6" s="15" t="str">
        <f t="shared" si="2"/>
        <v>40038_1-3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マグリット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5">
        <v>1.3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17291.3</v>
      </c>
      <c r="U6" s="25">
        <v>0.9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3700.8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2ターンユニット全体の回復力100%DOWN+全体攻撃</v>
      </c>
      <c r="Y6" s="62">
        <v>40038014</v>
      </c>
      <c r="Z6" s="6">
        <v>2</v>
      </c>
      <c r="AA6" s="6">
        <v>100</v>
      </c>
      <c r="AB6" s="6">
        <v>0</v>
      </c>
      <c r="AC6" s="123">
        <v>2</v>
      </c>
      <c r="AD6" s="24">
        <f t="shared" si="3"/>
        <v>11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マグリット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Drop1W</v>
      </c>
      <c r="AH6" s="7">
        <v>1</v>
      </c>
      <c r="AI6" s="24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40038_1-3/1129&lt;lv80&gt;s1</v>
      </c>
      <c r="B7" s="22">
        <v>40038</v>
      </c>
      <c r="C7" s="21">
        <v>1</v>
      </c>
      <c r="D7" s="2" t="str">
        <f t="shared" si="1"/>
        <v>40038_1</v>
      </c>
      <c r="E7" s="4" t="str">
        <f ca="1">VLOOKUP($B7,OFFSET([2]quests!$A$1,0,0,COUNTA([2]quests!$A:$A),MATCH(E$1,[2]quests!$1:$1,0)-MATCH($B$1,[2]quests!$1:$1,0)+1),MATCH(E$1,[2]quests!$1:$1,0)-MATCH($B$1,[2]quests!$1:$1,0)+1,FALSE)</f>
        <v>太宰治襲来！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【超絶級】太宰治襲来</v>
      </c>
      <c r="G7" s="21">
        <v>3</v>
      </c>
      <c r="H7" s="15" t="str">
        <f t="shared" si="2"/>
        <v>40038_1-3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1129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赤兎馬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0.6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83130</v>
      </c>
      <c r="U7" s="25">
        <v>0.5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4993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7" s="62">
        <v>40038015</v>
      </c>
      <c r="Z7" s="6">
        <v>1</v>
      </c>
      <c r="AA7" s="6">
        <v>100</v>
      </c>
      <c r="AB7" s="6">
        <v>1</v>
      </c>
      <c r="AC7" s="123">
        <v>1</v>
      </c>
      <c r="AD7" s="24">
        <f t="shared" si="3"/>
        <v>1129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thickBot="1" x14ac:dyDescent="0.2">
      <c r="A8" s="136" t="str">
        <f t="shared" si="0"/>
        <v>40038_1-4/1218&lt;lv80&gt;s2</v>
      </c>
      <c r="B8" s="137">
        <v>40038</v>
      </c>
      <c r="C8" s="138">
        <v>1</v>
      </c>
      <c r="D8" s="139" t="str">
        <f t="shared" si="1"/>
        <v>40038_1</v>
      </c>
      <c r="E8" s="140" t="str">
        <f ca="1">VLOOKUP($B8,OFFSET([2]quests!$A$1,0,0,COUNTA([2]quests!$A:$A),MATCH(E$1,[2]quests!$1:$1,0)-MATCH($B$1,[2]quests!$1:$1,0)+1),MATCH(E$1,[2]quests!$1:$1,0)-MATCH($B$1,[2]quests!$1:$1,0)+1,FALSE)</f>
        <v>太宰治襲来！</v>
      </c>
      <c r="F8" s="140" t="str">
        <f ca="1">VLOOKUP($D8,OFFSET([2]stages!$A$1,0,0,COUNTA([2]stages!$A:$A),MATCH(F$1,[2]stages!$2:$2,0)-MATCH($D$1,[2]stages!$2:$2,0)+1),MATCH(F$1,[2]stages!$2:$2,0)-MATCH($D$1,[2]stages!$2:$2,0)+1,FALSE)</f>
        <v>【超絶級】太宰治襲来</v>
      </c>
      <c r="G8" s="138">
        <v>4</v>
      </c>
      <c r="H8" s="139" t="str">
        <f t="shared" si="2"/>
        <v>40038_1-4</v>
      </c>
      <c r="I8" s="140">
        <f ca="1">VLOOKUP($H8,OFFSET(floors!$A$1,0,0,COUNTA(floors!$A:$A),MATCH(I$1,floors!$1:$1,0)-MATCH($H$1,floors!$1:$1,0)+1),MATCH(I$1,floors!$1:$1,0)-MATCH($H$1,floors!$1:$1,0)+1,FALSE)</f>
        <v>60</v>
      </c>
      <c r="J8" s="140">
        <f ca="1">VLOOKUP($H8,OFFSET(floors!$A$1,0,0,COUNTA(floors!$A:$A),MATCH(J$1,floors!$1:$1,0)-MATCH($H$1,floors!$1:$1,0)+1),MATCH(J$1,floors!$1:$1,0)-MATCH($H$1,floors!$1:$1,0)+1,FALSE)</f>
        <v>60</v>
      </c>
      <c r="K8" s="141">
        <v>1</v>
      </c>
      <c r="L8" s="142">
        <v>1218</v>
      </c>
      <c r="M8" s="143" t="str">
        <f ca="1">VLOOKUP($L8,OFFSET([3]enemies!$A$1,0,0,COUNTA([3]enemies!$A:$A),MATCH(M$1,[3]enemies!$1:$1,0)-MATCH($L$1,[3]enemies!$1:$1,0)+1),MATCH(M$1,[3]enemies!$1:$1,0)-MATCH($L$1,[3]enemies!$1:$1,0)+1,FALSE)</f>
        <v>太宰治</v>
      </c>
      <c r="N8" s="143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43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43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3">
        <f ca="1">VLOOKUP($L8,OFFSET([3]enemies!$A$1,0,0,COUNTA([3]enemies!$A:$A),MATCH(Q$1,[3]enemies!$1:$1,0)-MATCH($L$1,[3]enemies!$1:$1,0)+1),MATCH(Q$1,[3]enemies!$1:$1,0)-MATCH($L$1,[3]enemies!$1:$1,0)+1,FALSE)</f>
        <v>60</v>
      </c>
      <c r="R8" s="144">
        <v>80</v>
      </c>
      <c r="S8" s="145">
        <v>1.5</v>
      </c>
      <c r="T8" s="14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283266</v>
      </c>
      <c r="U8" s="145">
        <v>1.5</v>
      </c>
      <c r="V8" s="14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11008.5</v>
      </c>
      <c r="W8" s="144">
        <v>0</v>
      </c>
      <c r="X8" s="140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8" s="147">
        <v>40038016</v>
      </c>
      <c r="Z8" s="148">
        <v>1</v>
      </c>
      <c r="AA8" s="148">
        <v>100</v>
      </c>
      <c r="AB8" s="148">
        <v>1</v>
      </c>
      <c r="AC8" s="149">
        <v>2</v>
      </c>
      <c r="AD8" s="150">
        <f t="shared" si="3"/>
        <v>1218</v>
      </c>
      <c r="AE8" s="140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太宰治</v>
      </c>
      <c r="AF8" s="140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140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51">
        <v>1</v>
      </c>
      <c r="AI8" s="150">
        <f t="shared" ca="1" si="4"/>
        <v>5</v>
      </c>
      <c r="AJ8" s="152">
        <v>15</v>
      </c>
      <c r="AK8" s="151">
        <v>0</v>
      </c>
      <c r="AL8" s="151">
        <v>0</v>
      </c>
      <c r="AM8" s="151">
        <v>0</v>
      </c>
      <c r="AN8" s="151">
        <v>0</v>
      </c>
      <c r="AO8" s="151">
        <v>1</v>
      </c>
      <c r="AP8" s="153">
        <v>1</v>
      </c>
    </row>
    <row r="9" spans="1:42" ht="21" customHeight="1" thickTop="1" x14ac:dyDescent="0.15">
      <c r="A9" s="16" t="str">
        <f t="shared" si="0"/>
        <v>40038_2-1/39&lt;lv80&gt;s2</v>
      </c>
      <c r="B9" s="22">
        <v>40038</v>
      </c>
      <c r="C9" s="124">
        <v>2</v>
      </c>
      <c r="D9" s="125" t="str">
        <f t="shared" si="1"/>
        <v>40038_2</v>
      </c>
      <c r="E9" s="4" t="str">
        <f ca="1">VLOOKUP($B9,OFFSET([2]quests!$A$1,0,0,COUNTA([2]quests!$A:$A),MATCH(E$1,[2]quests!$1:$1,0)-MATCH($B$1,[2]quests!$1:$1,0)+1),MATCH(E$1,[2]quests!$1:$1,0)-MATCH($B$1,[2]quests!$1:$1,0)+1,FALSE)</f>
        <v>太宰治襲来！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【ウィザード級】太宰治襲来</v>
      </c>
      <c r="G9" s="124">
        <v>1</v>
      </c>
      <c r="H9" s="125" t="str">
        <f t="shared" si="2"/>
        <v>40038_2-1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26" t="s">
        <v>53</v>
      </c>
      <c r="L9" s="127">
        <v>39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マーロン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28">
        <v>80</v>
      </c>
      <c r="S9" s="129">
        <v>4.5999999999999996</v>
      </c>
      <c r="T9" s="13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69073.599999999991</v>
      </c>
      <c r="U9" s="129">
        <v>0.5</v>
      </c>
      <c r="V9" s="13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2445</v>
      </c>
      <c r="W9" s="128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2ターンユニット全体の回復力50%DOWN+全体攻撃</v>
      </c>
      <c r="Y9" s="62">
        <v>40038001</v>
      </c>
      <c r="Z9" s="131">
        <v>2</v>
      </c>
      <c r="AA9" s="131">
        <v>100</v>
      </c>
      <c r="AB9" s="131">
        <v>0</v>
      </c>
      <c r="AC9" s="123">
        <v>2</v>
      </c>
      <c r="AD9" s="132">
        <f t="shared" si="3"/>
        <v>39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マーロン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133">
        <v>1</v>
      </c>
      <c r="AI9" s="132">
        <f t="shared" ca="1" si="4"/>
        <v>2</v>
      </c>
      <c r="AJ9" s="134">
        <v>0</v>
      </c>
      <c r="AK9" s="133">
        <v>0</v>
      </c>
      <c r="AL9" s="133">
        <v>0</v>
      </c>
      <c r="AM9" s="133">
        <v>0</v>
      </c>
      <c r="AN9" s="133">
        <v>0</v>
      </c>
      <c r="AO9" s="133">
        <v>1</v>
      </c>
      <c r="AP9" s="135">
        <v>1</v>
      </c>
    </row>
    <row r="10" spans="1:42" ht="21" customHeight="1" x14ac:dyDescent="0.15">
      <c r="A10" s="16" t="str">
        <f t="shared" si="0"/>
        <v>40038_2-1/504&lt;lv80&gt;s2</v>
      </c>
      <c r="B10" s="22">
        <v>40038</v>
      </c>
      <c r="C10" s="21">
        <v>2</v>
      </c>
      <c r="D10" s="2" t="str">
        <f t="shared" si="1"/>
        <v>40038_2</v>
      </c>
      <c r="E10" s="4" t="str">
        <f ca="1">VLOOKUP($B10,OFFSET([2]quests!$A$1,0,0,COUNTA([2]quests!$A:$A),MATCH(E$1,[2]quests!$1:$1,0)-MATCH($B$1,[2]quests!$1:$1,0)+1),MATCH(E$1,[2]quests!$1:$1,0)-MATCH($B$1,[2]quests!$1:$1,0)+1,FALSE)</f>
        <v>太宰治襲来！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【ウィザード級】太宰治襲来</v>
      </c>
      <c r="G10" s="21">
        <v>1</v>
      </c>
      <c r="H10" s="15" t="str">
        <f t="shared" si="2"/>
        <v>40038_2-1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504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ハイディン・オーガ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5">
        <v>1.5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162103.5</v>
      </c>
      <c r="U10" s="25">
        <v>0.3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3554.7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0" s="62">
        <v>40038002</v>
      </c>
      <c r="Z10" s="6">
        <v>1</v>
      </c>
      <c r="AA10" s="6">
        <v>100</v>
      </c>
      <c r="AB10" s="6">
        <v>1</v>
      </c>
      <c r="AC10" s="123">
        <v>2</v>
      </c>
      <c r="AD10" s="24">
        <f t="shared" si="3"/>
        <v>504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ハイディン・オーガ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40038_2-2/89&lt;lv80&gt;s3</v>
      </c>
      <c r="B11" s="22">
        <v>40038</v>
      </c>
      <c r="C11" s="21">
        <v>2</v>
      </c>
      <c r="D11" s="2" t="str">
        <f t="shared" si="1"/>
        <v>40038_2</v>
      </c>
      <c r="E11" s="4" t="str">
        <f ca="1">VLOOKUP($B11,OFFSET([2]quests!$A$1,0,0,COUNTA([2]quests!$A:$A),MATCH(E$1,[2]quests!$1:$1,0)-MATCH($B$1,[2]quests!$1:$1,0)+1),MATCH(E$1,[2]quests!$1:$1,0)-MATCH($B$1,[2]quests!$1:$1,0)+1,FALSE)</f>
        <v>太宰治襲来！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【ウィザード級】太宰治襲来</v>
      </c>
      <c r="G11" s="21">
        <v>2</v>
      </c>
      <c r="H11" s="15" t="str">
        <f t="shared" si="2"/>
        <v>40038_2-2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89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守護者 玄武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80</v>
      </c>
      <c r="S11" s="25">
        <v>1.6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178961.6</v>
      </c>
      <c r="U11" s="25">
        <v>1.4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11225.199999999999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状態異常耐性+敵全体に1ターン全属性ダメージ50%軽減</v>
      </c>
      <c r="Y11" s="62">
        <v>40038003</v>
      </c>
      <c r="Z11" s="6">
        <v>1</v>
      </c>
      <c r="AA11" s="6">
        <v>100</v>
      </c>
      <c r="AB11" s="6">
        <v>0</v>
      </c>
      <c r="AC11" s="123">
        <v>3</v>
      </c>
      <c r="AD11" s="24">
        <f t="shared" si="3"/>
        <v>89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守護者 玄武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0"/>
        <v>40038_2-2/418&lt;lv80&gt;s1</v>
      </c>
      <c r="B12" s="22">
        <v>40038</v>
      </c>
      <c r="C12" s="21">
        <v>2</v>
      </c>
      <c r="D12" s="2" t="str">
        <f t="shared" si="1"/>
        <v>40038_2</v>
      </c>
      <c r="E12" s="4" t="str">
        <f ca="1">VLOOKUP($B12,OFFSET([2]quests!$A$1,0,0,COUNTA([2]quests!$A:$A),MATCH(E$1,[2]quests!$1:$1,0)-MATCH($B$1,[2]quests!$1:$1,0)+1),MATCH(E$1,[2]quests!$1:$1,0)-MATCH($B$1,[2]quests!$1:$1,0)+1,FALSE)</f>
        <v>太宰治襲来！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【ウィザード級】太宰治襲来</v>
      </c>
      <c r="G12" s="21">
        <v>2</v>
      </c>
      <c r="H12" s="15" t="str">
        <f t="shared" si="2"/>
        <v>40038_2-2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418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ウラシマ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80</v>
      </c>
      <c r="S12" s="25">
        <v>1.7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245497</v>
      </c>
      <c r="U12" s="25">
        <v>0.9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6383.7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状態異常耐性+_x000D_ランダムで赤のダメージパネルに15個変換</v>
      </c>
      <c r="Y12" s="62">
        <v>40038004</v>
      </c>
      <c r="Z12" s="6">
        <v>1</v>
      </c>
      <c r="AA12" s="6">
        <v>100</v>
      </c>
      <c r="AB12" s="6">
        <v>1</v>
      </c>
      <c r="AC12" s="123">
        <v>1</v>
      </c>
      <c r="AD12" s="24">
        <f t="shared" si="3"/>
        <v>418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4">
        <f t="shared" ca="1" si="4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0"/>
        <v>40038_2-3/11&lt;lv80&gt;s2</v>
      </c>
      <c r="B13" s="22">
        <v>40038</v>
      </c>
      <c r="C13" s="21">
        <v>2</v>
      </c>
      <c r="D13" s="2" t="str">
        <f t="shared" si="1"/>
        <v>40038_2</v>
      </c>
      <c r="E13" s="4" t="str">
        <f ca="1">VLOOKUP($B13,OFFSET([2]quests!$A$1,0,0,COUNTA([2]quests!$A:$A),MATCH(E$1,[2]quests!$1:$1,0)-MATCH($B$1,[2]quests!$1:$1,0)+1),MATCH(E$1,[2]quests!$1:$1,0)-MATCH($B$1,[2]quests!$1:$1,0)+1,FALSE)</f>
        <v>太宰治襲来！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【ウィザード級】太宰治襲来</v>
      </c>
      <c r="G13" s="21">
        <v>3</v>
      </c>
      <c r="H13" s="15" t="str">
        <f t="shared" si="2"/>
        <v>40038_2-3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11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マグリット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80</v>
      </c>
      <c r="S13" s="25">
        <v>3.5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46553.5</v>
      </c>
      <c r="U13" s="25">
        <v>1.1000000000000001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4523.2000000000007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2ターンユニット全体の回復力100%DOWN+全体攻撃</v>
      </c>
      <c r="Y13" s="62">
        <v>40038005</v>
      </c>
      <c r="Z13" s="6">
        <v>2</v>
      </c>
      <c r="AA13" s="6">
        <v>100</v>
      </c>
      <c r="AB13" s="6">
        <v>0</v>
      </c>
      <c r="AC13" s="123">
        <v>2</v>
      </c>
      <c r="AD13" s="24">
        <f t="shared" si="3"/>
        <v>11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マグリット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Drop1W</v>
      </c>
      <c r="AH13" s="7">
        <v>1</v>
      </c>
      <c r="AI13" s="24">
        <f t="shared" ca="1" si="4"/>
        <v>1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0"/>
        <v>40038_2-3/1129&lt;lv80&gt;s1</v>
      </c>
      <c r="B14" s="22">
        <v>40038</v>
      </c>
      <c r="C14" s="21">
        <v>2</v>
      </c>
      <c r="D14" s="2" t="str">
        <f t="shared" si="1"/>
        <v>40038_2</v>
      </c>
      <c r="E14" s="4" t="str">
        <f ca="1">VLOOKUP($B14,OFFSET([2]quests!$A$1,0,0,COUNTA([2]quests!$A:$A),MATCH(E$1,[2]quests!$1:$1,0)-MATCH($B$1,[2]quests!$1:$1,0)+1),MATCH(E$1,[2]quests!$1:$1,0)-MATCH($B$1,[2]quests!$1:$1,0)+1,FALSE)</f>
        <v>太宰治襲来！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【ウィザード級】太宰治襲来</v>
      </c>
      <c r="G14" s="21">
        <v>3</v>
      </c>
      <c r="H14" s="15" t="str">
        <f t="shared" si="2"/>
        <v>40038_2-3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1129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赤兎馬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80</v>
      </c>
      <c r="S14" s="25">
        <v>1.4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193970</v>
      </c>
      <c r="U14" s="25">
        <v>0.6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5991.5999999999995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4" s="62">
        <v>40038006</v>
      </c>
      <c r="Z14" s="6">
        <v>1</v>
      </c>
      <c r="AA14" s="6">
        <v>100</v>
      </c>
      <c r="AB14" s="6">
        <v>1</v>
      </c>
      <c r="AC14" s="123">
        <v>1</v>
      </c>
      <c r="AD14" s="24">
        <f t="shared" si="3"/>
        <v>1129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7">
        <v>1</v>
      </c>
      <c r="AI14" s="24">
        <f t="shared" ca="1" si="4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0"/>
        <v>40038_2-4/1218&lt;lv80&gt;s2</v>
      </c>
      <c r="B15" s="22">
        <v>40038</v>
      </c>
      <c r="C15" s="21">
        <v>2</v>
      </c>
      <c r="D15" s="2" t="str">
        <f t="shared" si="1"/>
        <v>40038_2</v>
      </c>
      <c r="E15" s="4" t="str">
        <f ca="1">VLOOKUP($B15,OFFSET([2]quests!$A$1,0,0,COUNTA([2]quests!$A:$A),MATCH(E$1,[2]quests!$1:$1,0)-MATCH($B$1,[2]quests!$1:$1,0)+1),MATCH(E$1,[2]quests!$1:$1,0)-MATCH($B$1,[2]quests!$1:$1,0)+1,FALSE)</f>
        <v>太宰治襲来！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【ウィザード級】太宰治襲来</v>
      </c>
      <c r="G15" s="21">
        <v>4</v>
      </c>
      <c r="H15" s="15" t="str">
        <f t="shared" si="2"/>
        <v>40038_2-4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20">
        <v>1218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太宰治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80</v>
      </c>
      <c r="S15" s="25">
        <v>3.8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717607.2</v>
      </c>
      <c r="U15" s="25">
        <v>1.8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13210.2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5" s="62">
        <v>40038007</v>
      </c>
      <c r="Z15" s="6">
        <v>1</v>
      </c>
      <c r="AA15" s="6">
        <v>100</v>
      </c>
      <c r="AB15" s="6">
        <v>1</v>
      </c>
      <c r="AC15" s="123">
        <v>2</v>
      </c>
      <c r="AD15" s="24">
        <f t="shared" si="3"/>
        <v>1218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太宰治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4"/>
        <v>5</v>
      </c>
      <c r="AJ15" s="8">
        <v>30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5" sqref="V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thickBot="1" x14ac:dyDescent="0.2">
      <c r="A2" s="136" t="str">
        <f>B2&amp;"_"&amp;C2&amp;"-"&amp;G2&amp;"/"&amp;M2&amp;"&lt;lv"&amp;S2&amp;"&gt;sq"&amp;K2&amp;"st"&amp;L2</f>
        <v>40038_1-4/1218&lt;lv80&gt;sq1st2</v>
      </c>
      <c r="B2" s="137">
        <v>40038</v>
      </c>
      <c r="C2" s="138">
        <v>1</v>
      </c>
      <c r="D2" s="139" t="str">
        <f>B2&amp;"_"&amp;C2</f>
        <v>40038_1</v>
      </c>
      <c r="E2" s="140" t="str">
        <f ca="1">VLOOKUP($B2,OFFSET([2]quests!$A$1,0,0,COUNTA([2]quests!$A:$A),MATCH(E$1,[2]quests!$1:$1,0)-MATCH($B$1,[2]quests!$1:$1,0)+1),MATCH(E$1,[2]quests!$1:$1,0)-MATCH($B$1,[2]quests!$1:$1,0)+1,FALSE)</f>
        <v>太宰治襲来！</v>
      </c>
      <c r="F2" s="140" t="str">
        <f ca="1">VLOOKUP($D2,OFFSET([2]stages!$A$1,0,0,COUNTA([2]stages!$A:$A),MATCH(F$1,[2]stages!$2:$2,0)-MATCH($D$1,[2]stages!$2:$2,0)+1),MATCH(F$1,[2]stages!$2:$2,0)-MATCH($D$1,[2]stages!$2:$2,0)+1,FALSE)</f>
        <v>【超絶級】太宰治襲来</v>
      </c>
      <c r="G2" s="138">
        <v>4</v>
      </c>
      <c r="H2" s="139" t="str">
        <f>B2&amp;"_"&amp;C2&amp;"-"&amp;G2</f>
        <v>40038_1-4</v>
      </c>
      <c r="I2" s="140">
        <f ca="1">VLOOKUP($H2,OFFSET(floors!$A$1,0,0,COUNTA(floors!$A:$A),MATCH(I$1,floors!$1:$1,0)-MATCH($H$1,floors!$1:$1,0)+1),MATCH(I$1,floors!$1:$1,0)-MATCH($H$1,floors!$1:$1,0)+1,FALSE)</f>
        <v>60</v>
      </c>
      <c r="J2" s="140">
        <f ca="1">VLOOKUP($H2,OFFSET(floors!$A$1,0,0,COUNTA(floors!$A:$A),MATCH(J$1,floors!$1:$1,0)-MATCH($H$1,floors!$1:$1,0)+1),MATCH(J$1,floors!$1:$1,0)-MATCH($H$1,floors!$1:$1,0)+1,FALSE)</f>
        <v>60</v>
      </c>
      <c r="K2" s="141">
        <v>1</v>
      </c>
      <c r="L2" s="141">
        <v>2</v>
      </c>
      <c r="M2" s="142">
        <v>1218</v>
      </c>
      <c r="N2" s="143" t="str">
        <f ca="1">VLOOKUP($M2,OFFSET([3]enemies!$A$1,0,0,COUNTA([3]enemies!$A:$A),MATCH(N$1,[3]enemies!$1:$1,0)-MATCH($M$1,[3]enemies!$1:$1,0)+1),MATCH(N$1,[3]enemies!$1:$1,0)-MATCH($M$1,[3]enemies!$1:$1,0)+1,FALSE)</f>
        <v>太宰治</v>
      </c>
      <c r="O2" s="143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43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43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43">
        <f ca="1">VLOOKUP($M2,OFFSET([3]enemies!$A$1,0,0,COUNTA([3]enemies!$A:$A),MATCH(R$1,[3]enemies!$1:$1,0)-MATCH($M$1,[3]enemies!$1:$1,0)+1),MATCH(R$1,[3]enemies!$1:$1,0)-MATCH($M$1,[3]enemies!$1:$1,0)+1,FALSE)</f>
        <v>60</v>
      </c>
      <c r="S2" s="144">
        <v>80</v>
      </c>
      <c r="T2" s="145">
        <v>2</v>
      </c>
      <c r="U2" s="14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377688</v>
      </c>
      <c r="V2" s="145">
        <v>1.2</v>
      </c>
      <c r="W2" s="14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8806.7999999999993</v>
      </c>
      <c r="X2" s="144">
        <v>0</v>
      </c>
      <c r="Y2" s="140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状態異常耐性+_x000D_ランダムで黄のダメージパネルに7個変換</v>
      </c>
      <c r="Z2" s="147">
        <v>40038017</v>
      </c>
      <c r="AA2" s="155">
        <v>1</v>
      </c>
    </row>
    <row r="3" spans="1:27" ht="21" customHeight="1" thickTop="1" x14ac:dyDescent="0.15">
      <c r="A3" s="16" t="str">
        <f>B3&amp;"_"&amp;C3&amp;"-"&amp;G3&amp;"/"&amp;M3&amp;"&lt;lv"&amp;S3&amp;"&gt;sq"&amp;K3&amp;"st"&amp;L3</f>
        <v>40038_2-4/1218&lt;lv80&gt;sq1st2</v>
      </c>
      <c r="B3" s="22">
        <v>40038</v>
      </c>
      <c r="C3" s="124">
        <v>2</v>
      </c>
      <c r="D3" s="125" t="str">
        <f>B3&amp;"_"&amp;C3</f>
        <v>40038_2</v>
      </c>
      <c r="E3" s="4" t="str">
        <f ca="1">VLOOKUP($B3,OFFSET([2]quests!$A$1,0,0,COUNTA([2]quests!$A:$A),MATCH(E$1,[2]quests!$1:$1,0)-MATCH($B$1,[2]quests!$1:$1,0)+1),MATCH(E$1,[2]quests!$1:$1,0)-MATCH($B$1,[2]quests!$1:$1,0)+1,FALSE)</f>
        <v>太宰治襲来！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【ウィザード級】太宰治襲来</v>
      </c>
      <c r="G3" s="124">
        <v>4</v>
      </c>
      <c r="H3" s="125" t="str">
        <f>B3&amp;"_"&amp;C3&amp;"-"&amp;G3</f>
        <v>40038_2-4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26">
        <v>1</v>
      </c>
      <c r="L3" s="126">
        <v>2</v>
      </c>
      <c r="M3" s="127">
        <v>1218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太宰治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28">
        <v>80</v>
      </c>
      <c r="T3" s="129">
        <v>5.0999999999999996</v>
      </c>
      <c r="U3" s="13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963104.39999999991</v>
      </c>
      <c r="V3" s="129">
        <v>1.3</v>
      </c>
      <c r="W3" s="13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9540.7000000000007</v>
      </c>
      <c r="X3" s="128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状態異常耐性+_x000D_ランダムで黄のダメージパネルに7個変換</v>
      </c>
      <c r="Z3" s="62">
        <v>40038008</v>
      </c>
      <c r="AA3" s="154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40038_2-4/1219&lt;lv80&gt;sq1st3</v>
      </c>
      <c r="B4" s="22">
        <v>40038</v>
      </c>
      <c r="C4" s="21">
        <v>2</v>
      </c>
      <c r="D4" s="2" t="str">
        <f>B4&amp;"_"&amp;C4</f>
        <v>40038_2</v>
      </c>
      <c r="E4" s="4" t="str">
        <f ca="1">VLOOKUP($B4,OFFSET([2]quests!$A$1,0,0,COUNTA([2]quests!$A:$A),MATCH(E$1,[2]quests!$1:$1,0)-MATCH($B$1,[2]quests!$1:$1,0)+1),MATCH(E$1,[2]quests!$1:$1,0)-MATCH($B$1,[2]quests!$1:$1,0)+1,FALSE)</f>
        <v>太宰治襲来！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【ウィザード級】太宰治襲来</v>
      </c>
      <c r="G4" s="21">
        <v>4</v>
      </c>
      <c r="H4" s="15" t="str">
        <f>B4&amp;"_"&amp;C4&amp;"-"&amp;G4</f>
        <v>40038_2-4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1219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世絶の失格者 太宰治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5.0999999999999996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963104.39999999991</v>
      </c>
      <c r="V4" s="25">
        <v>1.3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9540.7000000000007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状態異常耐性+ユニット全体の回復力90%DOWN</v>
      </c>
      <c r="Z4" s="62">
        <v>40038009</v>
      </c>
      <c r="AA4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4"/>
  <sheetViews>
    <sheetView showGridLines="0" tabSelected="1" zoomScale="75" zoomScaleNormal="75" zoomScalePageLayoutView="75" workbookViewId="0">
      <pane ySplit="1" topLeftCell="A21" activePane="bottomLeft" state="frozenSplit"/>
      <selection pane="bottomLeft" activeCell="B24" sqref="B2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40038001</v>
      </c>
      <c r="B2" s="47" t="s">
        <v>345</v>
      </c>
      <c r="C2" s="50">
        <v>3</v>
      </c>
      <c r="D2" s="50" t="s">
        <v>128</v>
      </c>
      <c r="E2" s="51" t="s">
        <v>289</v>
      </c>
      <c r="F2" s="51" t="s">
        <v>283</v>
      </c>
      <c r="G2" s="64" t="str">
        <f t="shared" ref="G2:G42" si="0">IFERROR(LEFT(B2,FIND("],",B2)),B2)</f>
        <v>[effect:enemy_message, val1:1, val2:2]</v>
      </c>
      <c r="H2" s="64">
        <f t="shared" ref="H2:H42" si="1">FIND("effect:",G2)+7</f>
        <v>9</v>
      </c>
      <c r="I2" s="64">
        <f t="shared" ref="I2:I42" si="2">IFERROR(FIND(",",G2),LEN(G2))</f>
        <v>22</v>
      </c>
      <c r="J2" s="64" t="e">
        <f t="shared" ref="J2:J42" si="3">FIND("target:",G2)+7</f>
        <v>#VALUE!</v>
      </c>
      <c r="K2" s="64">
        <f t="shared" ref="K2:K42" si="4">FIND(",",G2,I2+1)</f>
        <v>30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42" si="5">IFERROR(RIGHT(B2,LEN(B2)-FIND("],",B2)-1),"none")</f>
        <v>[effect:damage_abnormal, target:unit_all, val:0.25, status:heal, turn:2, val_abnormal:0.5, calc:mul, animation:degrade_unit_all_heal]</v>
      </c>
      <c r="N2" s="48" t="str">
        <f>IFERROR(LEFT(M2,FIND("],",M2)+S12),M2)</f>
        <v>[effect:damage_abnormal, target:unit_all, val:0.25, status:heal, turn:2, val_abnormal:0.5, calc:mul, animation:degrade_unit_all_heal]</v>
      </c>
      <c r="O2" s="64">
        <f t="shared" ref="O2:O42" si="6">FIND("effect:",N2)+7</f>
        <v>9</v>
      </c>
      <c r="P2" s="64">
        <f t="shared" ref="P2:P42" si="7">IFERROR(FIND(",",N2),LEN(N2))</f>
        <v>24</v>
      </c>
      <c r="Q2" s="64">
        <f t="shared" ref="Q2:Q42" si="8">FIND("target:",N2)+7</f>
        <v>33</v>
      </c>
      <c r="R2" s="64">
        <f t="shared" ref="R2:R42" si="9">FIND(",",N2,P2+1)</f>
        <v>41</v>
      </c>
      <c r="S2" s="64" t="str">
        <f>IFERROR(VLOOKUP(MID(N2,Q2,R2-Q2),[5]skilldef!$C:$D,2,FALSE),"-") &amp; " / " &amp; IFERROR(VLOOKUP(MID(N2,O2,P2-O2),[5]skilldef!$A:$B,2,FALSE),"-")</f>
        <v>味方全体に / -</v>
      </c>
      <c r="T2" s="48" t="str">
        <f t="shared" ref="T2:T42" si="10">IFERROR(RIGHT(M2,LEN(M2)-FIND("],",M2)-1),"none")</f>
        <v>none</v>
      </c>
      <c r="U2" s="64" t="e">
        <f t="shared" ref="U2:U42" si="11">FIND("effect:",T2)+7</f>
        <v>#VALUE!</v>
      </c>
      <c r="V2" s="64">
        <f t="shared" ref="V2:V42" si="12">IFERROR(FIND(",",T2),LEN(T2))</f>
        <v>4</v>
      </c>
      <c r="W2" s="64" t="e">
        <f t="shared" ref="W2:W42" si="13">FIND("target:",T2)+7</f>
        <v>#VALUE!</v>
      </c>
      <c r="X2" s="64" t="e">
        <f t="shared" ref="X2:X42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40038002</v>
      </c>
      <c r="B3" s="47" t="s">
        <v>347</v>
      </c>
      <c r="C3" s="50">
        <v>3</v>
      </c>
      <c r="D3" s="50" t="s">
        <v>128</v>
      </c>
      <c r="E3" s="51" t="s">
        <v>346</v>
      </c>
      <c r="F3" s="51" t="s">
        <v>259</v>
      </c>
      <c r="G3" s="64" t="str">
        <f t="shared" si="0"/>
        <v>[effect:enemy_message, val1:1.2, val2:1.8]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5"/>
        <v>[effect:tolerance, target:myself, turn:-1, count:-1, tolerance_effect:all, animation:enemy_tolerance],[effect:fix_speed, target:myself, turn:2]</v>
      </c>
      <c r="N3" s="48" t="str">
        <f>IFERROR(LEFT(M3,FIND("],",M3)+S14),M3)</f>
        <v>[effect:tolerance, target:myself, turn:-1, count:-1, tolerance_effect:all, animation:enemy_tolerance],[effect:fix_speed, target:myself, turn:2]</v>
      </c>
      <c r="O3" s="64">
        <f t="shared" si="6"/>
        <v>9</v>
      </c>
      <c r="P3" s="64">
        <f t="shared" si="7"/>
        <v>18</v>
      </c>
      <c r="Q3" s="64">
        <f t="shared" si="8"/>
        <v>27</v>
      </c>
      <c r="R3" s="64">
        <f t="shared" si="9"/>
        <v>33</v>
      </c>
      <c r="S3" s="64" t="str">
        <f>IFERROR(VLOOKUP(MID(N3,Q3,R3-Q3),[5]skilldef!$C:$D,2,FALSE),"-") &amp; " / " &amp; IFERROR(VLOOKUP(MID(N3,O3,P3-O3),[5]skilldef!$A:$B,2,FALSE),"-")</f>
        <v>自分自身に / 状態異常耐性</v>
      </c>
      <c r="T3" s="48" t="str">
        <f t="shared" si="10"/>
        <v>[effect:fix_speed, target:myself, turn:2]</v>
      </c>
      <c r="U3" s="64">
        <f t="shared" si="11"/>
        <v>9</v>
      </c>
      <c r="V3" s="64">
        <f t="shared" si="12"/>
        <v>18</v>
      </c>
      <c r="W3" s="64">
        <f t="shared" si="13"/>
        <v>27</v>
      </c>
      <c r="X3" s="64">
        <f t="shared" si="14"/>
        <v>33</v>
      </c>
      <c r="Y3" s="64" t="str">
        <f>IFERROR(VLOOKUP(MID(T3,W3,X3-W3),[5]skilldef!$C:$D,2,FALSE),"-") &amp; " / " &amp; IFERROR(VLOOKUP(MID(T3,U3,V3-U3),[5]skilldef!$A:$B,2,FALSE),"-")</f>
        <v>自分自身に / 行動値設定</v>
      </c>
      <c r="Z3" s="50"/>
      <c r="AA3" s="52"/>
      <c r="AB3" s="50"/>
    </row>
    <row r="4" spans="1:28" ht="21" customHeight="1" x14ac:dyDescent="0.15">
      <c r="A4" s="47">
        <v>40038003</v>
      </c>
      <c r="B4" s="47" t="s">
        <v>260</v>
      </c>
      <c r="C4" s="50">
        <v>3</v>
      </c>
      <c r="D4" s="50" t="s">
        <v>128</v>
      </c>
      <c r="E4" s="51" t="s">
        <v>290</v>
      </c>
      <c r="F4" s="51" t="s">
        <v>261</v>
      </c>
      <c r="G4" s="64" t="str">
        <f t="shared" si="0"/>
        <v>[effect:rush, count:2, val:0.65]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tr">
        <f>IFERROR(VLOOKUP(MID(G4,J4,K4-J4),[5]skilldef!$C:$D,2,FALSE),"-") &amp; " / " &amp; IFERROR(VLOOKUP(MID(G4,H4,I4-H4),[5]skilldef!$A:$B,2,FALSE),"-")</f>
        <v>- / 連続攻撃</v>
      </c>
      <c r="M4" s="64" t="str">
        <f t="shared" si="5"/>
        <v>none</v>
      </c>
      <c r="N4" s="48" t="str">
        <f>IFERROR(LEFT(M4,FIND("],",M4)+S13),M4)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40038004</v>
      </c>
      <c r="B5" s="47" t="s">
        <v>288</v>
      </c>
      <c r="C5" s="50">
        <v>3</v>
      </c>
      <c r="D5" s="50" t="s">
        <v>128</v>
      </c>
      <c r="E5" s="51" t="s">
        <v>291</v>
      </c>
      <c r="F5" s="51" t="s">
        <v>287</v>
      </c>
      <c r="G5" s="64" t="str">
        <f>IFERROR(LEFT(B5,FIND("],",B5)),B5)</f>
        <v>[effect:hungup, target:unit_all, turn:4, rate:1, animation:hungup01]</v>
      </c>
      <c r="H5" s="64">
        <f>FIND("effect:",G5)+7</f>
        <v>9</v>
      </c>
      <c r="I5" s="64">
        <f>IFERROR(FIND(",",G5),LEN(G5))</f>
        <v>15</v>
      </c>
      <c r="J5" s="64">
        <f>FIND("target:",G5)+7</f>
        <v>24</v>
      </c>
      <c r="K5" s="64">
        <f>FIND(",",G5,I5+1)</f>
        <v>32</v>
      </c>
      <c r="L5" s="64" t="str">
        <f>IFERROR(VLOOKUP(MID(G5,J5,K5-J5),[5]skilldef!$C:$D,2,FALSE),"-") &amp; " / " &amp; IFERROR(VLOOKUP(MID(G5,H5,I5-H5),[5]skilldef!$A:$B,2,FALSE),"-")</f>
        <v>味方全体に / ハングアップ</v>
      </c>
      <c r="M5" s="64" t="str">
        <f>IFERROR(RIGHT(B5,LEN(B5)-FIND("],",B5)-1),"none")</f>
        <v>none</v>
      </c>
      <c r="N5" s="48" t="str">
        <f>IFERROR(LEFT(M5,FIND("],",M5)+S16),M5)</f>
        <v>none</v>
      </c>
      <c r="O5" s="64" t="e">
        <f>FIND("effect:",N5)+7</f>
        <v>#VALUE!</v>
      </c>
      <c r="P5" s="64">
        <f>IFERROR(FIND(",",N5),LEN(N5))</f>
        <v>4</v>
      </c>
      <c r="Q5" s="64" t="e">
        <f>FIND("target:",N5)+7</f>
        <v>#VALUE!</v>
      </c>
      <c r="R5" s="64" t="e">
        <f>FIND(",",N5,P5+1)</f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>IFERROR(RIGHT(M5,LEN(M5)-FIND("],",M5)-1),"none")</f>
        <v>none</v>
      </c>
      <c r="U5" s="64" t="e">
        <f>FIND("effect:",T5)+7</f>
        <v>#VALUE!</v>
      </c>
      <c r="V5" s="64">
        <f>IFERROR(FIND(",",T5),LEN(T5))</f>
        <v>4</v>
      </c>
      <c r="W5" s="64" t="e">
        <f>FIND("target:",T5)+7</f>
        <v>#VALUE!</v>
      </c>
      <c r="X5" s="64" t="e">
        <f>FIND(",",T5,V5+1)</f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40038005</v>
      </c>
      <c r="B6" s="47" t="s">
        <v>349</v>
      </c>
      <c r="C6" s="50">
        <v>3</v>
      </c>
      <c r="D6" s="50" t="s">
        <v>128</v>
      </c>
      <c r="E6" s="51" t="s">
        <v>292</v>
      </c>
      <c r="F6" s="51" t="s">
        <v>348</v>
      </c>
      <c r="G6" s="64" t="str">
        <f t="shared" si="0"/>
        <v>[effect:enemy_message, val1:1, val2:2.2]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30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[effect:rush, count:4, val:0.25],[effect:hungup, target:unit_technical, turn:10, rate:1, animation:hungup01]</v>
      </c>
      <c r="N6" s="48" t="str">
        <f>IFERROR(LEFT(M6,FIND("],",M6)+S15),M6)</f>
        <v>[effect:rush, count:4, val:0.25],[effect:hungup, target:unit_technical, turn:10, rate:1, animation:hungup01]</v>
      </c>
      <c r="O6" s="64">
        <f t="shared" si="6"/>
        <v>9</v>
      </c>
      <c r="P6" s="64">
        <f t="shared" si="7"/>
        <v>13</v>
      </c>
      <c r="Q6" s="64">
        <f t="shared" si="8"/>
        <v>57</v>
      </c>
      <c r="R6" s="64">
        <f t="shared" si="9"/>
        <v>22</v>
      </c>
      <c r="S6" s="64" t="str">
        <f>IFERROR(VLOOKUP(MID(N6,Q6,R6-Q6),[5]skilldef!$C:$D,2,FALSE),"-") &amp; " / " &amp; IFERROR(VLOOKUP(MID(N6,O6,P6-O6),[5]skilldef!$A:$B,2,FALSE),"-")</f>
        <v>- / 連続攻撃</v>
      </c>
      <c r="T6" s="48" t="str">
        <f t="shared" si="10"/>
        <v>[effect:hungup, target:unit_technical, turn:10, rate:1, animation:hungup01]</v>
      </c>
      <c r="U6" s="64">
        <f t="shared" si="11"/>
        <v>9</v>
      </c>
      <c r="V6" s="64">
        <f t="shared" si="12"/>
        <v>15</v>
      </c>
      <c r="W6" s="64">
        <f t="shared" si="13"/>
        <v>24</v>
      </c>
      <c r="X6" s="64">
        <f t="shared" si="14"/>
        <v>38</v>
      </c>
      <c r="Y6" s="64" t="str">
        <f>IFERROR(VLOOKUP(MID(T6,W6,X6-W6),[5]skilldef!$C:$D,2,FALSE),"-") &amp; " / " &amp; IFERROR(VLOOKUP(MID(T6,U6,V6-U6),[5]skilldef!$A:$B,2,FALSE),"-")</f>
        <v>- / ハングアップ</v>
      </c>
      <c r="Z6" s="50"/>
      <c r="AA6" s="52"/>
      <c r="AB6" s="50"/>
    </row>
    <row r="7" spans="1:28" ht="21" customHeight="1" x14ac:dyDescent="0.15">
      <c r="A7" s="47">
        <v>40038006</v>
      </c>
      <c r="B7" s="47" t="s">
        <v>263</v>
      </c>
      <c r="C7" s="50">
        <v>3</v>
      </c>
      <c r="D7" s="50" t="s">
        <v>128</v>
      </c>
      <c r="E7" s="51" t="s">
        <v>303</v>
      </c>
      <c r="F7" s="51" t="s">
        <v>380</v>
      </c>
      <c r="G7" s="64" t="str">
        <f t="shared" si="0"/>
        <v>[effect:enemy_message, val1:1, val2:1.8]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30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5"/>
        <v>none</v>
      </c>
      <c r="N7" s="48" t="str">
        <f>IFERROR(LEFT(M7,FIND("],",M7)+S18),M7)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40038007</v>
      </c>
      <c r="B8" s="47" t="s">
        <v>262</v>
      </c>
      <c r="C8" s="50">
        <v>3</v>
      </c>
      <c r="D8" s="50" t="s">
        <v>128</v>
      </c>
      <c r="E8" s="51" t="s">
        <v>293</v>
      </c>
      <c r="F8" s="51" t="s">
        <v>381</v>
      </c>
      <c r="G8" s="64" t="str">
        <f t="shared" si="0"/>
        <v>[effect:critical, val:10, animation:enemy_critical]</v>
      </c>
      <c r="H8" s="64">
        <f t="shared" si="1"/>
        <v>9</v>
      </c>
      <c r="I8" s="64">
        <f t="shared" si="2"/>
        <v>17</v>
      </c>
      <c r="J8" s="64" t="e">
        <f t="shared" si="3"/>
        <v>#VALUE!</v>
      </c>
      <c r="K8" s="64">
        <f t="shared" si="4"/>
        <v>25</v>
      </c>
      <c r="L8" s="64" t="str">
        <f>IFERROR(VLOOKUP(MID(G8,J8,K8-J8),[5]skilldef!$C:$D,2,FALSE),"-") &amp; " / " &amp; IFERROR(VLOOKUP(MID(G8,H8,I8-H8),[5]skilldef!$A:$B,2,FALSE),"-")</f>
        <v>- / 大攻撃</v>
      </c>
      <c r="M8" s="64" t="str">
        <f t="shared" si="5"/>
        <v>none</v>
      </c>
      <c r="N8" s="48" t="str">
        <f>IFERROR(LEFT(M8,FIND("],",M8)+S17),M8)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40038008</v>
      </c>
      <c r="B9" s="47" t="s">
        <v>265</v>
      </c>
      <c r="C9" s="50">
        <v>3</v>
      </c>
      <c r="D9" s="50" t="s">
        <v>128</v>
      </c>
      <c r="E9" s="51" t="s">
        <v>295</v>
      </c>
      <c r="F9" s="51" t="s">
        <v>264</v>
      </c>
      <c r="G9" s="64" t="str">
        <f t="shared" si="0"/>
        <v>[effect:rush, count:4, val:0.25]</v>
      </c>
      <c r="H9" s="64">
        <f t="shared" si="1"/>
        <v>9</v>
      </c>
      <c r="I9" s="64">
        <f t="shared" si="2"/>
        <v>13</v>
      </c>
      <c r="J9" s="64" t="e">
        <f t="shared" si="3"/>
        <v>#VALUE!</v>
      </c>
      <c r="K9" s="64">
        <f t="shared" si="4"/>
        <v>22</v>
      </c>
      <c r="L9" s="64" t="str">
        <f>IFERROR(VLOOKUP(MID(G9,J9,K9-J9),[5]skilldef!$C:$D,2,FALSE),"-") &amp; " / " &amp; IFERROR(VLOOKUP(MID(G9,H9,I9-H9),[5]skilldef!$A:$B,2,FALSE),"-")</f>
        <v>- / 連続攻撃</v>
      </c>
      <c r="M9" s="64" t="str">
        <f t="shared" si="5"/>
        <v>none</v>
      </c>
      <c r="N9" s="48" t="str">
        <f>IFERROR(LEFT(M9,FIND("],",M9)+S19),M9)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40038009</v>
      </c>
      <c r="B10" s="47" t="s">
        <v>320</v>
      </c>
      <c r="C10" s="50">
        <v>3</v>
      </c>
      <c r="D10" s="50" t="s">
        <v>128</v>
      </c>
      <c r="E10" s="51" t="s">
        <v>294</v>
      </c>
      <c r="F10" s="51" t="s">
        <v>378</v>
      </c>
      <c r="G10" s="64" t="str">
        <f t="shared" si="0"/>
        <v>[effect:tolerance, target:myself, turn:-1, count:-1, tolerance_effect:all, animation:enemy_tolerance]</v>
      </c>
      <c r="H10" s="64">
        <f t="shared" si="1"/>
        <v>9</v>
      </c>
      <c r="I10" s="64">
        <f t="shared" si="2"/>
        <v>18</v>
      </c>
      <c r="J10" s="64">
        <f t="shared" si="3"/>
        <v>27</v>
      </c>
      <c r="K10" s="64">
        <f t="shared" si="4"/>
        <v>33</v>
      </c>
      <c r="L10" s="64" t="str">
        <f>IFERROR(VLOOKUP(MID(G10,J10,K10-J10),[5]skilldef!$C:$D,2,FALSE),"-") &amp; " / " &amp; IFERROR(VLOOKUP(MID(G10,H10,I10-H10),[5]skilldef!$A:$B,2,FALSE),"-")</f>
        <v>自分自身に / 状態異常耐性</v>
      </c>
      <c r="M10" s="64" t="str">
        <f t="shared" si="5"/>
        <v>[effect:reduction, target:enemy_all, color:all, turn:1, val:0.5, animation:reduction_one01],[effect:fix_speed, target:myself, turn:3]</v>
      </c>
      <c r="N10" s="48" t="str">
        <f>IFERROR(LEFT(M10,FIND("],",M10)+S20),M10)</f>
        <v>[effect:reduction, target:enemy_all, color:all, turn:1, val:0.5, animation:reduction_one01],[effect:fix_speed, target:myself, turn:3]</v>
      </c>
      <c r="O10" s="64">
        <f t="shared" si="6"/>
        <v>9</v>
      </c>
      <c r="P10" s="64">
        <f t="shared" si="7"/>
        <v>18</v>
      </c>
      <c r="Q10" s="64">
        <f t="shared" si="8"/>
        <v>27</v>
      </c>
      <c r="R10" s="64">
        <f t="shared" si="9"/>
        <v>36</v>
      </c>
      <c r="S10" s="64" t="str">
        <f>IFERROR(VLOOKUP(MID(N10,Q10,R10-Q10),[5]skilldef!$C:$D,2,FALSE),"-") &amp; " / " &amp; IFERROR(VLOOKUP(MID(N10,O10,P10-O10),[5]skilldef!$A:$B,2,FALSE),"-")</f>
        <v>敵全体に / -</v>
      </c>
      <c r="T10" s="48" t="str">
        <f t="shared" si="10"/>
        <v>[effect:fix_speed, target:myself, turn:3]</v>
      </c>
      <c r="U10" s="64">
        <f t="shared" si="11"/>
        <v>9</v>
      </c>
      <c r="V10" s="64">
        <f t="shared" si="12"/>
        <v>18</v>
      </c>
      <c r="W10" s="64">
        <f t="shared" si="13"/>
        <v>27</v>
      </c>
      <c r="X10" s="64">
        <f t="shared" si="14"/>
        <v>33</v>
      </c>
      <c r="Y10" s="64" t="str">
        <f>IFERROR(VLOOKUP(MID(T10,W10,X10-W10),[5]skilldef!$C:$D,2,FALSE),"-") &amp; " / " &amp; IFERROR(VLOOKUP(MID(T10,U10,V10-U10),[5]skilldef!$A:$B,2,FALSE),"-")</f>
        <v>自分自身に / 行動値設定</v>
      </c>
      <c r="Z10" s="50"/>
      <c r="AA10" s="52"/>
      <c r="AB10" s="50"/>
    </row>
    <row r="11" spans="1:28" ht="21" customHeight="1" x14ac:dyDescent="0.15">
      <c r="A11" s="47">
        <v>40038010</v>
      </c>
      <c r="B11" s="47" t="s">
        <v>321</v>
      </c>
      <c r="C11" s="50">
        <v>3</v>
      </c>
      <c r="D11" s="50" t="s">
        <v>128</v>
      </c>
      <c r="E11" s="51" t="s">
        <v>317</v>
      </c>
      <c r="F11" s="51" t="s">
        <v>379</v>
      </c>
      <c r="G11" s="64" t="str">
        <f t="shared" si="0"/>
        <v>[effect:reduction, target:enemy_all, color:all, turn:3, val:0.5, animation:reduction_one01]</v>
      </c>
      <c r="H11" s="64">
        <f t="shared" si="1"/>
        <v>9</v>
      </c>
      <c r="I11" s="64">
        <f t="shared" si="2"/>
        <v>18</v>
      </c>
      <c r="J11" s="64">
        <f t="shared" si="3"/>
        <v>27</v>
      </c>
      <c r="K11" s="64">
        <f t="shared" si="4"/>
        <v>36</v>
      </c>
      <c r="L11" s="64" t="str">
        <f>IFERROR(VLOOKUP(MID(G11,J11,K11-J11),[5]skilldef!$C:$D,2,FALSE),"-") &amp; " / " &amp; IFERROR(VLOOKUP(MID(G11,H11,I11-H11),[5]skilldef!$A:$B,2,FALSE),"-")</f>
        <v>敵全体に / -</v>
      </c>
      <c r="M11" s="64" t="str">
        <f t="shared" si="5"/>
        <v>none</v>
      </c>
      <c r="N11" s="48" t="str">
        <f>IFERROR(LEFT(M11,FIND("],",M11)+S21),M11)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40038011</v>
      </c>
      <c r="B12" s="47" t="s">
        <v>390</v>
      </c>
      <c r="C12" s="50">
        <v>3</v>
      </c>
      <c r="D12" s="50" t="s">
        <v>128</v>
      </c>
      <c r="E12" s="51" t="s">
        <v>296</v>
      </c>
      <c r="F12" s="51" t="s">
        <v>370</v>
      </c>
      <c r="G12" s="64" t="str">
        <f t="shared" si="0"/>
        <v>[effect:tolerance, target:myself, turn:-1, count:-1, tolerance_effect:all, animation:enemy_tolerance]</v>
      </c>
      <c r="H12" s="64">
        <f t="shared" si="1"/>
        <v>9</v>
      </c>
      <c r="I12" s="64">
        <f t="shared" si="2"/>
        <v>18</v>
      </c>
      <c r="J12" s="64">
        <f t="shared" si="3"/>
        <v>27</v>
      </c>
      <c r="K12" s="64">
        <f t="shared" si="4"/>
        <v>33</v>
      </c>
      <c r="L12" s="64" t="str">
        <f>IFERROR(VLOOKUP(MID(G12,J12,K12-J12),[5]skilldef!$C:$D,2,FALSE),"-") &amp; " / " &amp; IFERROR(VLOOKUP(MID(G12,H12,I12-H12),[5]skilldef!$A:$B,2,FALSE),"-")</f>
        <v>自分自身に / 状態異常耐性</v>
      </c>
      <c r="M12" s="64" t="str">
        <f t="shared" si="5"/>
        <v>[effect:force_change_block, new_block:damage, target:block_all, ignore01:block_positive, ignore02:block_negative, color:block_red, count:15, val:0.07, animation:change_block],[effect:fix_speed, target:myself, turn:1]</v>
      </c>
      <c r="N12" s="48" t="str">
        <f>IFERROR(LEFT(M12,FIND("],",M12)+S23),M12)</f>
        <v>[effect:force_change_block, new_block:damage, target:block_all, ignore01:block_positive, ignore02:block_negative, color:block_red, count:15, val:0.07, animation:change_block],[effect:fix_speed, target:myself, turn:1]</v>
      </c>
      <c r="O12" s="64">
        <f t="shared" si="6"/>
        <v>9</v>
      </c>
      <c r="P12" s="64">
        <f t="shared" si="7"/>
        <v>27</v>
      </c>
      <c r="Q12" s="64">
        <f t="shared" si="8"/>
        <v>54</v>
      </c>
      <c r="R12" s="64">
        <f t="shared" si="9"/>
        <v>45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[effect:fix_speed, target:myself, turn:1]</v>
      </c>
      <c r="U12" s="64">
        <f t="shared" si="11"/>
        <v>9</v>
      </c>
      <c r="V12" s="64">
        <f t="shared" si="12"/>
        <v>18</v>
      </c>
      <c r="W12" s="64">
        <f t="shared" si="13"/>
        <v>27</v>
      </c>
      <c r="X12" s="64">
        <f t="shared" si="14"/>
        <v>33</v>
      </c>
      <c r="Y12" s="64" t="str">
        <f>IFERROR(VLOOKUP(MID(T12,W12,X12-W12),[5]skilldef!$C:$D,2,FALSE),"-") &amp; " / " &amp; IFERROR(VLOOKUP(MID(T12,U12,V12-U12),[5]skilldef!$A:$B,2,FALSE),"-")</f>
        <v>自分自身に / 行動値設定</v>
      </c>
      <c r="Z12" s="50"/>
      <c r="AA12" s="52"/>
      <c r="AB12" s="50"/>
    </row>
    <row r="13" spans="1:28" ht="21" customHeight="1" x14ac:dyDescent="0.15">
      <c r="A13" s="47">
        <v>40038012</v>
      </c>
      <c r="B13" s="47" t="s">
        <v>391</v>
      </c>
      <c r="C13" s="50">
        <v>3</v>
      </c>
      <c r="D13" s="50" t="s">
        <v>128</v>
      </c>
      <c r="E13" s="51" t="s">
        <v>316</v>
      </c>
      <c r="F13" s="51" t="s">
        <v>365</v>
      </c>
      <c r="G13" s="64" t="str">
        <f>IFERROR(LEFT(B13,FIND("],",B13)),B13)</f>
        <v>[effect:force_change_block, new_block:damage, target:block_all, ignore01:block_positive, ignore02:block_negative, color:block_red, count:15, val:0.07, animation:change_block]</v>
      </c>
      <c r="H13" s="64">
        <f>FIND("effect:",G13)+7</f>
        <v>9</v>
      </c>
      <c r="I13" s="64">
        <f>IFERROR(FIND(",",G13),LEN(G13))</f>
        <v>27</v>
      </c>
      <c r="J13" s="64">
        <f>FIND("target:",G13)+7</f>
        <v>54</v>
      </c>
      <c r="K13" s="64">
        <f>FIND(",",G13,I13+1)</f>
        <v>45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>IFERROR(RIGHT(B13,LEN(B13)-FIND("],",B13)-1),"none")</f>
        <v>none</v>
      </c>
      <c r="N13" s="48" t="str">
        <f>IFERROR(LEFT(M13,FIND("],",M13)+S26),M13)</f>
        <v>none</v>
      </c>
      <c r="O13" s="64" t="e">
        <f>FIND("effect:",N13)+7</f>
        <v>#VALUE!</v>
      </c>
      <c r="P13" s="64">
        <f>IFERROR(FIND(",",N13),LEN(N13))</f>
        <v>4</v>
      </c>
      <c r="Q13" s="64" t="e">
        <f>FIND("target:",N13)+7</f>
        <v>#VALUE!</v>
      </c>
      <c r="R13" s="64" t="e">
        <f>FIND(",",N13,P13+1)</f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>IFERROR(RIGHT(M13,LEN(M13)-FIND("],",M13)-1),"none")</f>
        <v>none</v>
      </c>
      <c r="U13" s="64" t="e">
        <f>FIND("effect:",T13)+7</f>
        <v>#VALUE!</v>
      </c>
      <c r="V13" s="64">
        <f>IFERROR(FIND(",",T13),LEN(T13))</f>
        <v>4</v>
      </c>
      <c r="W13" s="64" t="e">
        <f>FIND("target:",T13)+7</f>
        <v>#VALUE!</v>
      </c>
      <c r="X13" s="64" t="e">
        <f>FIND(",",T13,V13+1)</f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40038013</v>
      </c>
      <c r="B14" s="47" t="s">
        <v>286</v>
      </c>
      <c r="C14" s="50">
        <v>3</v>
      </c>
      <c r="D14" s="50" t="s">
        <v>128</v>
      </c>
      <c r="E14" s="51" t="s">
        <v>297</v>
      </c>
      <c r="F14" s="51" t="s">
        <v>285</v>
      </c>
      <c r="G14" s="64" t="str">
        <f>IFERROR(LEFT(B14,FIND("],",B14)),B14)</f>
        <v>[effect:damage_gravity, val:0.3, animation:fevergauge_down]</v>
      </c>
      <c r="H14" s="64">
        <f>FIND("effect:",G14)+7</f>
        <v>9</v>
      </c>
      <c r="I14" s="64">
        <f>IFERROR(FIND(",",G14),LEN(G14))</f>
        <v>23</v>
      </c>
      <c r="J14" s="64" t="e">
        <f>FIND("target:",G14)+7</f>
        <v>#VALUE!</v>
      </c>
      <c r="K14" s="64">
        <f>FIND(",",G14,I14+1)</f>
        <v>32</v>
      </c>
      <c r="L14" s="64" t="str">
        <f>IFERROR(VLOOKUP(MID(G14,J14,K14-J14),[5]skilldef!$C:$D,2,FALSE),"-") &amp; " / " &amp; IFERROR(VLOOKUP(MID(G14,H14,I14-H14),[5]skilldef!$A:$B,2,FALSE),"-")</f>
        <v>- / 割合ダメージ</v>
      </c>
      <c r="M14" s="64" t="str">
        <f>IFERROR(RIGHT(B14,LEN(B14)-FIND("],",B14)-1),"none")</f>
        <v>none</v>
      </c>
      <c r="N14" s="48" t="str">
        <f>IFERROR(LEFT(M14,FIND("],",M14)+S25),M14)</f>
        <v>none</v>
      </c>
      <c r="O14" s="64" t="e">
        <f>FIND("effect:",N14)+7</f>
        <v>#VALUE!</v>
      </c>
      <c r="P14" s="64">
        <f>IFERROR(FIND(",",N14),LEN(N14))</f>
        <v>4</v>
      </c>
      <c r="Q14" s="64" t="e">
        <f>FIND("target:",N14)+7</f>
        <v>#VALUE!</v>
      </c>
      <c r="R14" s="64" t="e">
        <f>FIND(",",N14,P14+1)</f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>IFERROR(RIGHT(M14,LEN(M14)-FIND("],",M14)-1),"none")</f>
        <v>none</v>
      </c>
      <c r="U14" s="64" t="e">
        <f>FIND("effect:",T14)+7</f>
        <v>#VALUE!</v>
      </c>
      <c r="V14" s="64">
        <f>IFERROR(FIND(",",T14),LEN(T14))</f>
        <v>4</v>
      </c>
      <c r="W14" s="64" t="e">
        <f>FIND("target:",T14)+7</f>
        <v>#VALUE!</v>
      </c>
      <c r="X14" s="64" t="e">
        <f>FIND(",",T14,V14+1)</f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40038014</v>
      </c>
      <c r="B15" s="47" t="s">
        <v>350</v>
      </c>
      <c r="C15" s="50">
        <v>3</v>
      </c>
      <c r="D15" s="50" t="s">
        <v>128</v>
      </c>
      <c r="E15" s="51" t="s">
        <v>319</v>
      </c>
      <c r="F15" s="51" t="s">
        <v>268</v>
      </c>
      <c r="G15" s="64" t="str">
        <f t="shared" si="0"/>
        <v>[effect:enemy_message, val1:1, val2:2]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[effect:damage_abnormal, target:unit_all, val:0.25, status:heal, turn:2, val_abnormal:1, calc:mul, animation:degrade_unit_all_heal]</v>
      </c>
      <c r="N15" s="48" t="str">
        <f>IFERROR(LEFT(M15,FIND("],",M15)+S27),M15)</f>
        <v>[effect:damage_abnormal, target:unit_all, val:0.25, status:heal, turn:2, val_abnormal:1, calc:mul, animation:degrade_unit_all_heal]</v>
      </c>
      <c r="O15" s="64">
        <f t="shared" si="6"/>
        <v>9</v>
      </c>
      <c r="P15" s="64">
        <f t="shared" si="7"/>
        <v>24</v>
      </c>
      <c r="Q15" s="64">
        <f t="shared" si="8"/>
        <v>33</v>
      </c>
      <c r="R15" s="64">
        <f t="shared" si="9"/>
        <v>41</v>
      </c>
      <c r="S15" s="64" t="str">
        <f>IFERROR(VLOOKUP(MID(N15,Q15,R15-Q15),[5]skilldef!$C:$D,2,FALSE),"-") &amp; " / " &amp; IFERROR(VLOOKUP(MID(N15,O15,P15-O15),[5]skilldef!$A:$B,2,FALSE),"-")</f>
        <v>味方全体に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40038015</v>
      </c>
      <c r="B16" s="47" t="s">
        <v>282</v>
      </c>
      <c r="C16" s="50">
        <v>3</v>
      </c>
      <c r="D16" s="50" t="s">
        <v>128</v>
      </c>
      <c r="E16" s="51" t="s">
        <v>298</v>
      </c>
      <c r="F16" s="51" t="s">
        <v>259</v>
      </c>
      <c r="G16" s="64" t="str">
        <f t="shared" si="0"/>
        <v>[effect:tolerance, target:myself, turn:-1, count:-1, tolerance_effect:all, animation:enemy_tolerance]</v>
      </c>
      <c r="H16" s="64">
        <f t="shared" si="1"/>
        <v>9</v>
      </c>
      <c r="I16" s="64">
        <f t="shared" si="2"/>
        <v>18</v>
      </c>
      <c r="J16" s="64">
        <f t="shared" si="3"/>
        <v>27</v>
      </c>
      <c r="K16" s="64">
        <f t="shared" si="4"/>
        <v>33</v>
      </c>
      <c r="L16" s="64" t="str">
        <f>IFERROR(VLOOKUP(MID(G16,J16,K16-J16),[5]skilldef!$C:$D,2,FALSE),"-") &amp; " / " &amp; IFERROR(VLOOKUP(MID(G16,H16,I16-H16),[5]skilldef!$A:$B,2,FALSE),"-")</f>
        <v>自分自身に / 状態異常耐性</v>
      </c>
      <c r="M16" s="64" t="str">
        <f t="shared" si="5"/>
        <v>[effect:fix_speed, target:myself, turn:1]</v>
      </c>
      <c r="N16" s="48" t="str">
        <f>IFERROR(LEFT(M16,FIND("],",M16)+S29),M16)</f>
        <v>[effect:fix_speed, target:myself, turn:1]</v>
      </c>
      <c r="O16" s="64">
        <f t="shared" si="6"/>
        <v>9</v>
      </c>
      <c r="P16" s="64">
        <f t="shared" si="7"/>
        <v>18</v>
      </c>
      <c r="Q16" s="64">
        <f t="shared" si="8"/>
        <v>27</v>
      </c>
      <c r="R16" s="64">
        <f t="shared" si="9"/>
        <v>33</v>
      </c>
      <c r="S16" s="64" t="str">
        <f>IFERROR(VLOOKUP(MID(N16,Q16,R16-Q16),[5]skilldef!$C:$D,2,FALSE),"-") &amp; " / " &amp; IFERROR(VLOOKUP(MID(N16,O16,P16-O16),[5]skilldef!$A:$B,2,FALSE),"-")</f>
        <v>自分自身に / 行動値設定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40038016</v>
      </c>
      <c r="B17" s="47" t="s">
        <v>270</v>
      </c>
      <c r="C17" s="50">
        <v>3</v>
      </c>
      <c r="D17" s="50" t="s">
        <v>128</v>
      </c>
      <c r="E17" s="51" t="s">
        <v>299</v>
      </c>
      <c r="F17" s="51" t="s">
        <v>271</v>
      </c>
      <c r="G17" s="64" t="str">
        <f t="shared" si="0"/>
        <v>[effect:spread, val:0.19]</v>
      </c>
      <c r="H17" s="64">
        <f t="shared" si="1"/>
        <v>9</v>
      </c>
      <c r="I17" s="64">
        <f t="shared" si="2"/>
        <v>15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IFERROR(VLOOKUP(MID(G17,J17,K17-J17),[5]skilldef!$C:$D,2,FALSE),"-") &amp; " / " &amp; IFERROR(VLOOKUP(MID(G17,H17,I17-H17),[5]skilldef!$A:$B,2,FALSE),"-")</f>
        <v>- / 全体攻撃</v>
      </c>
      <c r="M17" s="64" t="str">
        <f t="shared" si="5"/>
        <v>[effect:spread, val:0.19]</v>
      </c>
      <c r="N17" s="48" t="str">
        <f>IFERROR(LEFT(M17,FIND("],",M17)+S31),M17)</f>
        <v>[effect:spread, val:0.19]</v>
      </c>
      <c r="O17" s="64">
        <f t="shared" si="6"/>
        <v>9</v>
      </c>
      <c r="P17" s="64">
        <f t="shared" si="7"/>
        <v>15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全体攻撃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40038017</v>
      </c>
      <c r="B18" s="47" t="s">
        <v>269</v>
      </c>
      <c r="C18" s="50">
        <v>3</v>
      </c>
      <c r="D18" s="50" t="s">
        <v>128</v>
      </c>
      <c r="E18" s="51" t="s">
        <v>300</v>
      </c>
      <c r="F18" s="51" t="s">
        <v>272</v>
      </c>
      <c r="G18" s="64" t="str">
        <f t="shared" si="0"/>
        <v>[effect:damage_abnormal, target:unit_all, val:0.25, status:hungup, turn:1, animation:hungup01]</v>
      </c>
      <c r="H18" s="64">
        <f t="shared" si="1"/>
        <v>9</v>
      </c>
      <c r="I18" s="64">
        <f t="shared" si="2"/>
        <v>24</v>
      </c>
      <c r="J18" s="64">
        <f t="shared" si="3"/>
        <v>33</v>
      </c>
      <c r="K18" s="64">
        <f t="shared" si="4"/>
        <v>41</v>
      </c>
      <c r="L18" s="64" t="str">
        <f>IFERROR(VLOOKUP(MID(G18,J18,K18-J18),[5]skilldef!$C:$D,2,FALSE),"-") &amp; " / " &amp; IFERROR(VLOOKUP(MID(G18,H18,I18-H18),[5]skilldef!$A:$B,2,FALSE),"-")</f>
        <v>味方全体に / -</v>
      </c>
      <c r="M18" s="64" t="str">
        <f t="shared" si="5"/>
        <v>none</v>
      </c>
      <c r="N18" s="48" t="str">
        <f>IFERROR(LEFT(M18,FIND("],",M18)+S30),M18)</f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40038018</v>
      </c>
      <c r="B19" s="47" t="s">
        <v>263</v>
      </c>
      <c r="C19" s="50">
        <v>3</v>
      </c>
      <c r="D19" s="50" t="s">
        <v>128</v>
      </c>
      <c r="E19" s="51" t="s">
        <v>302</v>
      </c>
      <c r="F19" s="51" t="s">
        <v>384</v>
      </c>
      <c r="G19" s="64" t="str">
        <f t="shared" si="0"/>
        <v>[effect:enemy_message, val1:1, val2:1.8]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30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none</v>
      </c>
      <c r="N19" s="48" t="str">
        <f>IFERROR(LEFT(M19,FIND("],",M19)+S33),M19)</f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40038019</v>
      </c>
      <c r="B20" s="47" t="s">
        <v>262</v>
      </c>
      <c r="C20" s="50">
        <v>3</v>
      </c>
      <c r="D20" s="50" t="s">
        <v>128</v>
      </c>
      <c r="E20" s="51" t="s">
        <v>315</v>
      </c>
      <c r="F20" s="51" t="s">
        <v>382</v>
      </c>
      <c r="G20" s="64" t="str">
        <f t="shared" si="0"/>
        <v>[effect:critical, val:10, animation:enemy_critical]</v>
      </c>
      <c r="H20" s="64">
        <f t="shared" si="1"/>
        <v>9</v>
      </c>
      <c r="I20" s="64">
        <f t="shared" si="2"/>
        <v>17</v>
      </c>
      <c r="J20" s="64" t="e">
        <f t="shared" si="3"/>
        <v>#VALUE!</v>
      </c>
      <c r="K20" s="64">
        <f t="shared" si="4"/>
        <v>25</v>
      </c>
      <c r="L20" s="64" t="str">
        <f>IFERROR(VLOOKUP(MID(G20,J20,K20-J20),[5]skilldef!$C:$D,2,FALSE),"-") &amp; " / " &amp; IFERROR(VLOOKUP(MID(G20,H20,I20-H20),[5]skilldef!$A:$B,2,FALSE),"-")</f>
        <v>- / 大攻撃</v>
      </c>
      <c r="M20" s="64" t="str">
        <f t="shared" si="5"/>
        <v>none</v>
      </c>
      <c r="N20" s="48" t="str">
        <f>IFERROR(LEFT(M20,FIND("],",M20)+S34),M20)</f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40038020</v>
      </c>
      <c r="B21" s="47" t="s">
        <v>274</v>
      </c>
      <c r="C21" s="50">
        <v>3</v>
      </c>
      <c r="D21" s="50" t="s">
        <v>128</v>
      </c>
      <c r="E21" s="51" t="s">
        <v>301</v>
      </c>
      <c r="F21" s="51" t="s">
        <v>273</v>
      </c>
      <c r="G21" s="64" t="str">
        <f t="shared" si="0"/>
        <v>[effect:spread, val:0.25]</v>
      </c>
      <c r="H21" s="64">
        <f t="shared" si="1"/>
        <v>9</v>
      </c>
      <c r="I21" s="64">
        <f t="shared" si="2"/>
        <v>15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IFERROR(VLOOKUP(MID(G21,J21,K21-J21),[5]skilldef!$C:$D,2,FALSE),"-") &amp; " / " &amp; IFERROR(VLOOKUP(MID(G21,H21,I21-H21),[5]skilldef!$A:$B,2,FALSE),"-")</f>
        <v>- / 全体攻撃</v>
      </c>
      <c r="M21" s="64" t="str">
        <f t="shared" si="5"/>
        <v>none</v>
      </c>
      <c r="N21" s="48" t="str">
        <f>IFERROR(LEFT(M21,FIND("],",M21)+S35),M21)</f>
        <v>none</v>
      </c>
      <c r="O21" s="64" t="e">
        <f t="shared" si="6"/>
        <v>#VALUE!</v>
      </c>
      <c r="P21" s="64">
        <f t="shared" si="7"/>
        <v>4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40038021</v>
      </c>
      <c r="B22" s="47" t="s">
        <v>352</v>
      </c>
      <c r="C22" s="50">
        <v>3</v>
      </c>
      <c r="D22" s="50" t="s">
        <v>128</v>
      </c>
      <c r="E22" s="51" t="s">
        <v>351</v>
      </c>
      <c r="F22" s="51" t="s">
        <v>259</v>
      </c>
      <c r="G22" s="64" t="str">
        <f t="shared" ref="G22" si="15">IFERROR(LEFT(B22,FIND("],",B22)),B22)</f>
        <v>[effect:enemy_message, val1:1.4, val2:1.8]</v>
      </c>
      <c r="H22" s="64">
        <f t="shared" ref="H22" si="16">FIND("effect:",G22)+7</f>
        <v>9</v>
      </c>
      <c r="I22" s="64">
        <f t="shared" ref="I22" si="17">IFERROR(FIND(",",G22),LEN(G22))</f>
        <v>22</v>
      </c>
      <c r="J22" s="64" t="e">
        <f t="shared" ref="J22" si="18">FIND("target:",G22)+7</f>
        <v>#VALUE!</v>
      </c>
      <c r="K22" s="64">
        <f t="shared" ref="K22" si="19">FIND(",",G22,I22+1)</f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ref="M22" si="20">IFERROR(RIGHT(B22,LEN(B22)-FIND("],",B22)-1),"none")</f>
        <v>[effect:tolerance, target:myself, turn:-1, count:-1, tolerance_effect:all, animation:enemy_tolerance],[effect:fix_speed, target:myself, turn:2]</v>
      </c>
      <c r="N22" s="48" t="str">
        <f>IFERROR(LEFT(M22,FIND("],",M22)+S37),M22)</f>
        <v>[effect:tolerance, target:myself, turn:-1, count:-1, tolerance_effect:all, animation:enemy_tolerance],[effect:fix_speed, target:myself, turn:2]</v>
      </c>
      <c r="O22" s="64">
        <f t="shared" ref="O22" si="21">FIND("effect:",N22)+7</f>
        <v>9</v>
      </c>
      <c r="P22" s="64">
        <f t="shared" ref="P22" si="22">IFERROR(FIND(",",N22),LEN(N22))</f>
        <v>18</v>
      </c>
      <c r="Q22" s="64">
        <f t="shared" ref="Q22" si="23">FIND("target:",N22)+7</f>
        <v>27</v>
      </c>
      <c r="R22" s="64">
        <f t="shared" ref="R22" si="24">FIND(",",N22,P22+1)</f>
        <v>33</v>
      </c>
      <c r="S22" s="64" t="str">
        <f>IFERROR(VLOOKUP(MID(N22,Q22,R22-Q22),[5]skilldef!$C:$D,2,FALSE),"-") &amp; " / " &amp; IFERROR(VLOOKUP(MID(N22,O22,P22-O22),[5]skilldef!$A:$B,2,FALSE),"-")</f>
        <v>自分自身に / 状態異常耐性</v>
      </c>
      <c r="T22" s="48" t="str">
        <f t="shared" ref="T22" si="25">IFERROR(RIGHT(M22,LEN(M22)-FIND("],",M22)-1),"none")</f>
        <v>[effect:fix_speed, target:myself, turn:2]</v>
      </c>
      <c r="U22" s="64">
        <f t="shared" ref="U22" si="26">FIND("effect:",T22)+7</f>
        <v>9</v>
      </c>
      <c r="V22" s="64">
        <f t="shared" ref="V22" si="27">IFERROR(FIND(",",T22),LEN(T22))</f>
        <v>18</v>
      </c>
      <c r="W22" s="64">
        <f t="shared" ref="W22" si="28">FIND("target:",T22)+7</f>
        <v>27</v>
      </c>
      <c r="X22" s="64">
        <f t="shared" ref="X22" si="29">FIND(",",T22,V22+1)</f>
        <v>33</v>
      </c>
      <c r="Y22" s="64" t="str">
        <f>IFERROR(VLOOKUP(MID(T22,W22,X22-W22),[5]skilldef!$C:$D,2,FALSE),"-") &amp; " / " &amp; IFERROR(VLOOKUP(MID(T22,U22,V22-U22),[5]skilldef!$A:$B,2,FALSE),"-")</f>
        <v>自分自身に / 行動値設定</v>
      </c>
      <c r="Z22" s="50"/>
      <c r="AA22" s="52"/>
      <c r="AB22" s="50"/>
    </row>
    <row r="23" spans="1:28" ht="21" customHeight="1" x14ac:dyDescent="0.15">
      <c r="A23" s="47">
        <v>40038022</v>
      </c>
      <c r="B23" s="47" t="s">
        <v>347</v>
      </c>
      <c r="C23" s="50">
        <v>3</v>
      </c>
      <c r="D23" s="50" t="s">
        <v>128</v>
      </c>
      <c r="E23" s="51" t="s">
        <v>353</v>
      </c>
      <c r="F23" s="51" t="s">
        <v>259</v>
      </c>
      <c r="G23" s="64" t="str">
        <f>IFERROR(LEFT(B23,FIND("],",B23)),B23)</f>
        <v>[effect:enemy_message, val1:1.2, val2:1.8]</v>
      </c>
      <c r="H23" s="64">
        <f>FIND("effect:",G23)+7</f>
        <v>9</v>
      </c>
      <c r="I23" s="64">
        <f>IFERROR(FIND(",",G23),LEN(G23))</f>
        <v>22</v>
      </c>
      <c r="J23" s="64" t="e">
        <f>FIND("target:",G23)+7</f>
        <v>#VALUE!</v>
      </c>
      <c r="K23" s="64">
        <f>FIND(",",G23,I23+1)</f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>IFERROR(RIGHT(B23,LEN(B23)-FIND("],",B23)-1),"none")</f>
        <v>[effect:tolerance, target:myself, turn:-1, count:-1, tolerance_effect:all, animation:enemy_tolerance],[effect:fix_speed, target:myself, turn:2]</v>
      </c>
      <c r="N23" s="48" t="str">
        <f>IFERROR(LEFT(M23,FIND("],",M23)+S36),M23)</f>
        <v>[effect:tolerance, target:myself, turn:-1, count:-1, tolerance_effect:all, animation:enemy_tolerance],[effect:fix_speed, target:myself, turn:2]</v>
      </c>
      <c r="O23" s="64">
        <f>FIND("effect:",N23)+7</f>
        <v>9</v>
      </c>
      <c r="P23" s="64">
        <f>IFERROR(FIND(",",N23),LEN(N23))</f>
        <v>18</v>
      </c>
      <c r="Q23" s="64">
        <f>FIND("target:",N23)+7</f>
        <v>27</v>
      </c>
      <c r="R23" s="64">
        <f>FIND(",",N23,P23+1)</f>
        <v>33</v>
      </c>
      <c r="S23" s="64" t="str">
        <f>IFERROR(VLOOKUP(MID(N23,Q23,R23-Q23),[5]skilldef!$C:$D,2,FALSE),"-") &amp; " / " &amp; IFERROR(VLOOKUP(MID(N23,O23,P23-O23),[5]skilldef!$A:$B,2,FALSE),"-")</f>
        <v>自分自身に / 状態異常耐性</v>
      </c>
      <c r="T23" s="48" t="str">
        <f>IFERROR(RIGHT(M23,LEN(M23)-FIND("],",M23)-1),"none")</f>
        <v>[effect:fix_speed, target:myself, turn:2]</v>
      </c>
      <c r="U23" s="64">
        <f>FIND("effect:",T23)+7</f>
        <v>9</v>
      </c>
      <c r="V23" s="64">
        <f>IFERROR(FIND(",",T23),LEN(T23))</f>
        <v>18</v>
      </c>
      <c r="W23" s="64">
        <f>FIND("target:",T23)+7</f>
        <v>27</v>
      </c>
      <c r="X23" s="64">
        <f>FIND(",",T23,V23+1)</f>
        <v>33</v>
      </c>
      <c r="Y23" s="64" t="str">
        <f>IFERROR(VLOOKUP(MID(T23,W23,X23-W23),[5]skilldef!$C:$D,2,FALSE),"-") &amp; " / " &amp; IFERROR(VLOOKUP(MID(T23,U23,V23-U23),[5]skilldef!$A:$B,2,FALSE),"-")</f>
        <v>自分自身に / 行動値設定</v>
      </c>
      <c r="Z23" s="50"/>
      <c r="AA23" s="52"/>
      <c r="AB23" s="50"/>
    </row>
    <row r="24" spans="1:28" ht="21" customHeight="1" x14ac:dyDescent="0.15">
      <c r="A24" s="47">
        <v>40038023</v>
      </c>
      <c r="B24" s="47" t="s">
        <v>397</v>
      </c>
      <c r="C24" s="50">
        <v>3</v>
      </c>
      <c r="D24" s="50" t="s">
        <v>128</v>
      </c>
      <c r="E24" s="51" t="s">
        <v>311</v>
      </c>
      <c r="F24" s="51" t="s">
        <v>366</v>
      </c>
      <c r="G24" s="64" t="str">
        <f t="shared" ref="G24" si="30">IFERROR(LEFT(B24,FIND("],",B24)),B24)</f>
        <v>[effect:force_change_block, new_block:damage, target:block_all, ignore01:block_positive, ignore02:block_negative, color:block_blue, count:10, val:0.1, animation:change_block]</v>
      </c>
      <c r="H24" s="64">
        <f t="shared" ref="H24" si="31">FIND("effect:",G24)+7</f>
        <v>9</v>
      </c>
      <c r="I24" s="64">
        <f t="shared" ref="I24" si="32">IFERROR(FIND(",",G24),LEN(G24))</f>
        <v>27</v>
      </c>
      <c r="J24" s="64">
        <f t="shared" ref="J24" si="33">FIND("target:",G24)+7</f>
        <v>54</v>
      </c>
      <c r="K24" s="64">
        <f t="shared" ref="K24" si="34">FIND(",",G24,I24+1)</f>
        <v>45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" si="35">IFERROR(RIGHT(B24,LEN(B24)-FIND("],",B24)-1),"none")</f>
        <v>none</v>
      </c>
      <c r="N24" s="48" t="str">
        <f>IFERROR(LEFT(M24,FIND("],",M24)+S37),M24)</f>
        <v>none</v>
      </c>
      <c r="O24" s="64" t="e">
        <f t="shared" ref="O24" si="36">FIND("effect:",N24)+7</f>
        <v>#VALUE!</v>
      </c>
      <c r="P24" s="64">
        <f t="shared" ref="P24" si="37">IFERROR(FIND(",",N24),LEN(N24))</f>
        <v>4</v>
      </c>
      <c r="Q24" s="64" t="e">
        <f t="shared" ref="Q24" si="38">FIND("target:",N24)+7</f>
        <v>#VALUE!</v>
      </c>
      <c r="R24" s="64" t="e">
        <f t="shared" ref="R24" si="39">FIND(",",N24,P24+1)</f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40">IFERROR(RIGHT(M24,LEN(M24)-FIND("],",M24)-1),"none")</f>
        <v>none</v>
      </c>
      <c r="U24" s="64" t="e">
        <f t="shared" ref="U24" si="41">FIND("effect:",T24)+7</f>
        <v>#VALUE!</v>
      </c>
      <c r="V24" s="64">
        <f t="shared" ref="V24" si="42">IFERROR(FIND(",",T24),LEN(T24))</f>
        <v>4</v>
      </c>
      <c r="W24" s="64" t="e">
        <f t="shared" ref="W24" si="43">FIND("target:",T24)+7</f>
        <v>#VALUE!</v>
      </c>
      <c r="X24" s="64" t="e">
        <f t="shared" ref="X24" si="44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40038024</v>
      </c>
      <c r="B25" s="47" t="s">
        <v>266</v>
      </c>
      <c r="C25" s="50">
        <v>3</v>
      </c>
      <c r="D25" s="50" t="s">
        <v>128</v>
      </c>
      <c r="E25" s="51" t="s">
        <v>341</v>
      </c>
      <c r="F25" s="51" t="s">
        <v>267</v>
      </c>
      <c r="G25" s="64" t="str">
        <f t="shared" si="0"/>
        <v>[effect:damage_gravity, val:0.5, animation:fevergauge_down]</v>
      </c>
      <c r="H25" s="64">
        <f t="shared" si="1"/>
        <v>9</v>
      </c>
      <c r="I25" s="64">
        <f t="shared" si="2"/>
        <v>23</v>
      </c>
      <c r="J25" s="64" t="e">
        <f t="shared" si="3"/>
        <v>#VALUE!</v>
      </c>
      <c r="K25" s="64">
        <f t="shared" si="4"/>
        <v>32</v>
      </c>
      <c r="L25" s="64" t="str">
        <f>IFERROR(VLOOKUP(MID(G25,J25,K25-J25),[5]skilldef!$C:$D,2,FALSE),"-") &amp; " / " &amp; IFERROR(VLOOKUP(MID(G25,H25,I25-H25),[5]skilldef!$A:$B,2,FALSE),"-")</f>
        <v>- / 割合ダメージ</v>
      </c>
      <c r="M25" s="64" t="str">
        <f t="shared" si="5"/>
        <v>none</v>
      </c>
      <c r="N25" s="48" t="str">
        <f>IFERROR(LEFT(M25,FIND("],",M25)+S36),M25)</f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40038025</v>
      </c>
      <c r="B26" s="47" t="s">
        <v>371</v>
      </c>
      <c r="C26" s="50">
        <v>3</v>
      </c>
      <c r="D26" s="50" t="s">
        <v>128</v>
      </c>
      <c r="E26" s="51" t="s">
        <v>342</v>
      </c>
      <c r="F26" s="51" t="s">
        <v>284</v>
      </c>
      <c r="G26" s="64" t="str">
        <f t="shared" si="0"/>
        <v>[effect:enemy_message, val1:1.2, val2:2]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5"/>
        <v>[effect:damage_abnormal, target:unit_one, val:0.7, status:heal, turn:2, val_abnormal:0.5, calc:mul, animation:degrade_unit_all_heal]</v>
      </c>
      <c r="N26" s="48" t="str">
        <f>IFERROR(LEFT(M26,FIND("],",M26)+S38),M26)</f>
        <v>[effect:damage_abnormal, target:unit_one, val:0.7, status:heal, turn:2, val_abnormal:0.5, calc:mul, animation:degrade_unit_all_heal]</v>
      </c>
      <c r="O26" s="64">
        <f t="shared" si="6"/>
        <v>9</v>
      </c>
      <c r="P26" s="64">
        <f t="shared" si="7"/>
        <v>24</v>
      </c>
      <c r="Q26" s="64">
        <f t="shared" si="8"/>
        <v>33</v>
      </c>
      <c r="R26" s="64">
        <f t="shared" si="9"/>
        <v>41</v>
      </c>
      <c r="S26" s="64" t="str">
        <f>IFERROR(VLOOKUP(MID(N26,Q26,R26-Q26),[5]skilldef!$C:$D,2,FALSE),"-") &amp; " / " &amp; IFERROR(VLOOKUP(MID(N26,O26,P26-O26),[5]skilldef!$A:$B,2,FALSE),"-")</f>
        <v>味方単体に / -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40038026</v>
      </c>
      <c r="B27" s="47" t="s">
        <v>392</v>
      </c>
      <c r="C27" s="50">
        <v>3</v>
      </c>
      <c r="D27" s="50" t="s">
        <v>128</v>
      </c>
      <c r="E27" s="51" t="s">
        <v>304</v>
      </c>
      <c r="F27" s="51" t="s">
        <v>367</v>
      </c>
      <c r="G27" s="64" t="str">
        <f t="shared" si="0"/>
        <v>[effect:force_change_block, new_block:damage, target:block_all, ignore01:block_positive, ignore02:block_negative, color:block_blue, count:20, val:0.1, animation:change_block]</v>
      </c>
      <c r="H27" s="64">
        <f t="shared" si="1"/>
        <v>9</v>
      </c>
      <c r="I27" s="64">
        <f t="shared" si="2"/>
        <v>27</v>
      </c>
      <c r="J27" s="64">
        <f t="shared" si="3"/>
        <v>54</v>
      </c>
      <c r="K27" s="64">
        <f t="shared" si="4"/>
        <v>45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5"/>
        <v>none</v>
      </c>
      <c r="N27" s="48" t="str">
        <f>IFERROR(LEFT(M27,FIND("],",M27)+S40),M27)</f>
        <v>none</v>
      </c>
      <c r="O27" s="64" t="e">
        <f t="shared" si="6"/>
        <v>#VALUE!</v>
      </c>
      <c r="P27" s="64">
        <f t="shared" si="7"/>
        <v>4</v>
      </c>
      <c r="Q27" s="64" t="e">
        <f t="shared" si="8"/>
        <v>#VALUE!</v>
      </c>
      <c r="R27" s="64" t="e">
        <f t="shared" si="9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4" t="e">
        <f t="shared" si="11"/>
        <v>#VALUE!</v>
      </c>
      <c r="V27" s="64">
        <f t="shared" si="12"/>
        <v>4</v>
      </c>
      <c r="W27" s="64" t="e">
        <f t="shared" si="13"/>
        <v>#VALUE!</v>
      </c>
      <c r="X27" s="64" t="e">
        <f t="shared" si="1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40038027</v>
      </c>
      <c r="B28" s="47" t="s">
        <v>274</v>
      </c>
      <c r="C28" s="50">
        <v>3</v>
      </c>
      <c r="D28" s="50" t="s">
        <v>128</v>
      </c>
      <c r="E28" s="51" t="s">
        <v>305</v>
      </c>
      <c r="F28" s="51" t="s">
        <v>273</v>
      </c>
      <c r="G28" s="64" t="str">
        <f t="shared" ref="G28" si="45">IFERROR(LEFT(B28,FIND("],",B28)),B28)</f>
        <v>[effect:spread, val:0.25]</v>
      </c>
      <c r="H28" s="64">
        <f t="shared" ref="H28" si="46">FIND("effect:",G28)+7</f>
        <v>9</v>
      </c>
      <c r="I28" s="64">
        <f t="shared" ref="I28" si="47">IFERROR(FIND(",",G28),LEN(G28))</f>
        <v>15</v>
      </c>
      <c r="J28" s="64" t="e">
        <f t="shared" ref="J28" si="48">FIND("target:",G28)+7</f>
        <v>#VALUE!</v>
      </c>
      <c r="K28" s="64" t="e">
        <f t="shared" ref="K28" si="49">FIND(",",G28,I28+1)</f>
        <v>#VALUE!</v>
      </c>
      <c r="L28" s="64" t="str">
        <f>IFERROR(VLOOKUP(MID(G28,J28,K28-J28),[5]skilldef!$C:$D,2,FALSE),"-") &amp; " / " &amp; IFERROR(VLOOKUP(MID(G28,H28,I28-H28),[5]skilldef!$A:$B,2,FALSE),"-")</f>
        <v>- / 全体攻撃</v>
      </c>
      <c r="M28" s="64" t="str">
        <f t="shared" ref="M28" si="50">IFERROR(RIGHT(B28,LEN(B28)-FIND("],",B28)-1),"none")</f>
        <v>none</v>
      </c>
      <c r="N28" s="48" t="str">
        <f>IFERROR(LEFT(M28,FIND("],",M28)+S41),M28)</f>
        <v>none</v>
      </c>
      <c r="O28" s="64" t="e">
        <f t="shared" ref="O28" si="51">FIND("effect:",N28)+7</f>
        <v>#VALUE!</v>
      </c>
      <c r="P28" s="64">
        <f t="shared" ref="P28" si="52">IFERROR(FIND(",",N28),LEN(N28))</f>
        <v>4</v>
      </c>
      <c r="Q28" s="64" t="e">
        <f t="shared" ref="Q28" si="53">FIND("target:",N28)+7</f>
        <v>#VALUE!</v>
      </c>
      <c r="R28" s="64" t="e">
        <f t="shared" ref="R28" si="54">FIND(",",N28,P28+1)</f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ref="T28" si="55">IFERROR(RIGHT(M28,LEN(M28)-FIND("],",M28)-1),"none")</f>
        <v>none</v>
      </c>
      <c r="U28" s="64" t="e">
        <f t="shared" ref="U28" si="56">FIND("effect:",T28)+7</f>
        <v>#VALUE!</v>
      </c>
      <c r="V28" s="64">
        <f t="shared" ref="V28" si="57">IFERROR(FIND(",",T28),LEN(T28))</f>
        <v>4</v>
      </c>
      <c r="W28" s="64" t="e">
        <f t="shared" ref="W28" si="58">FIND("target:",T28)+7</f>
        <v>#VALUE!</v>
      </c>
      <c r="X28" s="64" t="e">
        <f t="shared" ref="X28" si="59">FIND(",",T28,V28+1)</f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40038028</v>
      </c>
      <c r="B29" s="47" t="s">
        <v>393</v>
      </c>
      <c r="C29" s="50">
        <v>3</v>
      </c>
      <c r="D29" s="50" t="s">
        <v>128</v>
      </c>
      <c r="E29" s="51" t="s">
        <v>354</v>
      </c>
      <c r="F29" s="51" t="s">
        <v>373</v>
      </c>
      <c r="G29" s="64" t="str">
        <f t="shared" si="0"/>
        <v>[effect:enemy_message, val1:1.2, val2:1.8]</v>
      </c>
      <c r="H29" s="64">
        <f t="shared" si="1"/>
        <v>9</v>
      </c>
      <c r="I29" s="64">
        <f t="shared" si="2"/>
        <v>22</v>
      </c>
      <c r="J29" s="64" t="e">
        <f t="shared" si="3"/>
        <v>#VALUE!</v>
      </c>
      <c r="K29" s="64">
        <f t="shared" si="4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[effect:tolerance, target:myself, turn:-1, count:-1, tolerance_effect:all, animation:enemy_tolerance],[effect:force_change_block, new_block:damage, target:block_all, ignore01:block_positive, ignore02:block_negative, color:block_yellow, count:7, val:0.15, animation:change_block],[effect:fix_speed, target:myself, turn:1]</v>
      </c>
      <c r="N29" s="48" t="str">
        <f>IFERROR(LEFT(M29,FIND("],",M29)+S40),M29)</f>
        <v>[effect:tolerance, target:myself, turn:-1, count:-1, tolerance_effect:all, animation:enemy_tolerance],[effect:force_change_block, new_block:damage, target:block_all, ignore01:block_positive, ignore02:block_negative, color:block_yellow, count:7, val:0.15, animation:change_block],[effect:fix_speed, target:myself, turn:1]</v>
      </c>
      <c r="O29" s="64">
        <f t="shared" si="6"/>
        <v>9</v>
      </c>
      <c r="P29" s="64">
        <f t="shared" si="7"/>
        <v>18</v>
      </c>
      <c r="Q29" s="64">
        <f t="shared" si="8"/>
        <v>27</v>
      </c>
      <c r="R29" s="64">
        <f t="shared" si="9"/>
        <v>33</v>
      </c>
      <c r="S29" s="64" t="str">
        <f>IFERROR(VLOOKUP(MID(N29,Q29,R29-Q29),[5]skilldef!$C:$D,2,FALSE),"-") &amp; " / " &amp; IFERROR(VLOOKUP(MID(N29,O29,P29-O29),[5]skilldef!$A:$B,2,FALSE),"-")</f>
        <v>自分自身に / 状態異常耐性</v>
      </c>
      <c r="T29" s="48" t="str">
        <f t="shared" si="10"/>
        <v>[effect:force_change_block, new_block:damage, target:block_all, ignore01:block_positive, ignore02:block_negative, color:block_yellow, count:7, val:0.15, animation:change_block],[effect:fix_speed, target:myself, turn:1]</v>
      </c>
      <c r="U29" s="64">
        <f t="shared" si="11"/>
        <v>9</v>
      </c>
      <c r="V29" s="64">
        <f t="shared" si="12"/>
        <v>27</v>
      </c>
      <c r="W29" s="64">
        <f t="shared" si="13"/>
        <v>54</v>
      </c>
      <c r="X29" s="64">
        <f t="shared" si="14"/>
        <v>45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40038029</v>
      </c>
      <c r="B30" s="47" t="s">
        <v>396</v>
      </c>
      <c r="C30" s="50">
        <v>3</v>
      </c>
      <c r="D30" s="50" t="s">
        <v>128</v>
      </c>
      <c r="E30" s="51" t="s">
        <v>312</v>
      </c>
      <c r="F30" s="51" t="s">
        <v>368</v>
      </c>
      <c r="G30" s="64" t="str">
        <f t="shared" si="0"/>
        <v>[effect:enemy_message, val1:1.2, val2:2.2]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5"/>
        <v>[effect:force_change_block, new_block:damage, target:block_all, ignore01:block_positive, ignore02:block_negative, color:block_blue, count:10, val:0.1, animation:change_block],[effect:damage_gravity, val:0.3, animation:fevergauge_down]</v>
      </c>
      <c r="N30" s="48" t="str">
        <f>IFERROR(LEFT(M30,FIND("],",M30)+S40),M30)</f>
        <v>[effect:force_change_block, new_block:damage, target:block_all, ignore01:block_positive, ignore02:block_negative, color:block_blue, count:10, val:0.1, animation:change_block],[effect:damage_gravity, val:0.3, animation:fevergauge_down]</v>
      </c>
      <c r="O30" s="64">
        <f t="shared" si="6"/>
        <v>9</v>
      </c>
      <c r="P30" s="64">
        <f t="shared" si="7"/>
        <v>27</v>
      </c>
      <c r="Q30" s="64">
        <f t="shared" si="8"/>
        <v>54</v>
      </c>
      <c r="R30" s="64">
        <f t="shared" si="9"/>
        <v>45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si="10"/>
        <v>[effect:damage_gravity, val:0.3, animation:fevergauge_down]</v>
      </c>
      <c r="U30" s="64">
        <f t="shared" si="11"/>
        <v>9</v>
      </c>
      <c r="V30" s="64">
        <f t="shared" si="12"/>
        <v>23</v>
      </c>
      <c r="W30" s="64" t="e">
        <f t="shared" si="13"/>
        <v>#VALUE!</v>
      </c>
      <c r="X30" s="64">
        <f t="shared" si="14"/>
        <v>32</v>
      </c>
      <c r="Y30" s="64" t="str">
        <f>IFERROR(VLOOKUP(MID(T30,W30,X30-W30),[5]skilldef!$C:$D,2,FALSE),"-") &amp; " / " &amp; IFERROR(VLOOKUP(MID(T30,U30,V30-U30),[5]skilldef!$A:$B,2,FALSE),"-")</f>
        <v>- / 割合ダメージ</v>
      </c>
      <c r="Z30" s="50"/>
      <c r="AA30" s="52"/>
      <c r="AB30" s="50"/>
    </row>
    <row r="31" spans="1:28" ht="21" customHeight="1" x14ac:dyDescent="0.15">
      <c r="A31" s="47">
        <v>40038030</v>
      </c>
      <c r="B31" s="47" t="s">
        <v>355</v>
      </c>
      <c r="C31" s="50">
        <v>3</v>
      </c>
      <c r="D31" s="50" t="s">
        <v>128</v>
      </c>
      <c r="E31" s="51" t="s">
        <v>344</v>
      </c>
      <c r="F31" s="51" t="s">
        <v>275</v>
      </c>
      <c r="G31" s="64" t="str">
        <f t="shared" si="0"/>
        <v>[effect:enemy_message, val1:1.6, val2:2]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5"/>
        <v>[effect:damage_anti_type, target:unit_all, type:technical, val1:2, val2:0.25]</v>
      </c>
      <c r="N31" s="48" t="str">
        <f>IFERROR(LEFT(M31,FIND("],",M31)+S41),M31)</f>
        <v>[effect:damage_anti_type, target:unit_all, type:technical, val1:2, val2:0.25]</v>
      </c>
      <c r="O31" s="64">
        <f t="shared" si="6"/>
        <v>9</v>
      </c>
      <c r="P31" s="64">
        <f t="shared" si="7"/>
        <v>25</v>
      </c>
      <c r="Q31" s="64">
        <f t="shared" si="8"/>
        <v>34</v>
      </c>
      <c r="R31" s="64">
        <f t="shared" si="9"/>
        <v>42</v>
      </c>
      <c r="S31" s="64" t="str">
        <f>IFERROR(VLOOKUP(MID(N31,Q31,R31-Q31),[5]skilldef!$C:$D,2,FALSE),"-") &amp; " / " &amp; IFERROR(VLOOKUP(MID(N31,O31,P31-O31),[5]skilldef!$A:$B,2,FALSE),"-")</f>
        <v>味方全体に / タイプキラー</v>
      </c>
      <c r="T31" s="48" t="str">
        <f t="shared" si="10"/>
        <v>none</v>
      </c>
      <c r="U31" s="64" t="e">
        <f t="shared" si="11"/>
        <v>#VALUE!</v>
      </c>
      <c r="V31" s="64">
        <f t="shared" si="12"/>
        <v>4</v>
      </c>
      <c r="W31" s="64" t="e">
        <f t="shared" si="13"/>
        <v>#VALUE!</v>
      </c>
      <c r="X31" s="64" t="e">
        <f t="shared" si="14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40038031</v>
      </c>
      <c r="B32" s="47" t="s">
        <v>263</v>
      </c>
      <c r="C32" s="50">
        <v>3</v>
      </c>
      <c r="D32" s="50" t="s">
        <v>128</v>
      </c>
      <c r="E32" s="51" t="s">
        <v>314</v>
      </c>
      <c r="F32" s="51" t="s">
        <v>384</v>
      </c>
      <c r="G32" s="64" t="str">
        <f t="shared" si="0"/>
        <v>[effect:enemy_message, val1:1, val2:1.8]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30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none</v>
      </c>
      <c r="N32" s="48" t="str">
        <f>IFERROR(LEFT(M32,FIND("],",M32)+S43),M32)</f>
        <v>none</v>
      </c>
      <c r="O32" s="64" t="e">
        <f t="shared" si="6"/>
        <v>#VALUE!</v>
      </c>
      <c r="P32" s="64">
        <f t="shared" si="7"/>
        <v>4</v>
      </c>
      <c r="Q32" s="64" t="e">
        <f t="shared" si="8"/>
        <v>#VALUE!</v>
      </c>
      <c r="R32" s="64" t="e">
        <f t="shared" si="9"/>
        <v>#VALUE!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10"/>
        <v>none</v>
      </c>
      <c r="U32" s="64" t="e">
        <f t="shared" si="11"/>
        <v>#VALUE!</v>
      </c>
      <c r="V32" s="64">
        <f t="shared" si="12"/>
        <v>4</v>
      </c>
      <c r="W32" s="64" t="e">
        <f t="shared" si="13"/>
        <v>#VALUE!</v>
      </c>
      <c r="X32" s="64" t="e">
        <f t="shared" si="14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40038032</v>
      </c>
      <c r="B33" s="47" t="s">
        <v>356</v>
      </c>
      <c r="C33" s="50">
        <v>3</v>
      </c>
      <c r="D33" s="50" t="s">
        <v>128</v>
      </c>
      <c r="E33" s="51" t="s">
        <v>364</v>
      </c>
      <c r="F33" s="51" t="s">
        <v>382</v>
      </c>
      <c r="G33" s="64" t="str">
        <f t="shared" si="0"/>
        <v>[effect:enemy_message, val1:1.4, val2:1.8]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5"/>
        <v>[effect:critical, val:10, animation:enemy_critical]</v>
      </c>
      <c r="N33" s="48" t="str">
        <f>IFERROR(LEFT(M33,FIND("],",M33)+S43),M33)</f>
        <v>[effect:critical, val:10, animation:enemy_critical]</v>
      </c>
      <c r="O33" s="64">
        <f t="shared" si="6"/>
        <v>9</v>
      </c>
      <c r="P33" s="64">
        <f t="shared" si="7"/>
        <v>17</v>
      </c>
      <c r="Q33" s="64" t="e">
        <f t="shared" si="8"/>
        <v>#VALUE!</v>
      </c>
      <c r="R33" s="64">
        <f t="shared" si="9"/>
        <v>25</v>
      </c>
      <c r="S33" s="64" t="str">
        <f>IFERROR(VLOOKUP(MID(N33,Q33,R33-Q33),[5]skilldef!$C:$D,2,FALSE),"-") &amp; " / " &amp; IFERROR(VLOOKUP(MID(N33,O33,P33-O33),[5]skilldef!$A:$B,2,FALSE),"-")</f>
        <v>- / 大攻撃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40038033</v>
      </c>
      <c r="B34" s="47" t="s">
        <v>274</v>
      </c>
      <c r="C34" s="50">
        <v>3</v>
      </c>
      <c r="D34" s="50" t="s">
        <v>128</v>
      </c>
      <c r="E34" s="51" t="s">
        <v>306</v>
      </c>
      <c r="F34" s="51" t="s">
        <v>273</v>
      </c>
      <c r="G34" s="64" t="str">
        <f t="shared" si="0"/>
        <v>[effect:spread, val:0.25]</v>
      </c>
      <c r="H34" s="64">
        <f t="shared" si="1"/>
        <v>9</v>
      </c>
      <c r="I34" s="64">
        <f t="shared" si="2"/>
        <v>15</v>
      </c>
      <c r="J34" s="64" t="e">
        <f t="shared" si="3"/>
        <v>#VALUE!</v>
      </c>
      <c r="K34" s="64" t="e">
        <f t="shared" si="4"/>
        <v>#VALUE!</v>
      </c>
      <c r="L34" s="64" t="str">
        <f>IFERROR(VLOOKUP(MID(G34,J34,K34-J34),[5]skilldef!$C:$D,2,FALSE),"-") &amp; " / " &amp; IFERROR(VLOOKUP(MID(G34,H34,I34-H34),[5]skilldef!$A:$B,2,FALSE),"-")</f>
        <v>- / 全体攻撃</v>
      </c>
      <c r="M34" s="64" t="str">
        <f t="shared" si="5"/>
        <v>none</v>
      </c>
      <c r="N34" s="48" t="str">
        <f>IFERROR(LEFT(M34,FIND("],",M34)+#REF!),M34)</f>
        <v>none</v>
      </c>
      <c r="O34" s="64" t="e">
        <f t="shared" si="6"/>
        <v>#VALUE!</v>
      </c>
      <c r="P34" s="64">
        <f t="shared" si="7"/>
        <v>4</v>
      </c>
      <c r="Q34" s="64" t="e">
        <f t="shared" si="8"/>
        <v>#VALUE!</v>
      </c>
      <c r="R34" s="64" t="e">
        <f t="shared" si="9"/>
        <v>#VALUE!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si="10"/>
        <v>none</v>
      </c>
      <c r="U34" s="64" t="e">
        <f t="shared" si="11"/>
        <v>#VALUE!</v>
      </c>
      <c r="V34" s="64">
        <f t="shared" si="12"/>
        <v>4</v>
      </c>
      <c r="W34" s="64" t="e">
        <f t="shared" si="13"/>
        <v>#VALUE!</v>
      </c>
      <c r="X34" s="64" t="e">
        <f t="shared" si="14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40038034</v>
      </c>
      <c r="B35" s="47" t="s">
        <v>357</v>
      </c>
      <c r="C35" s="50">
        <v>3</v>
      </c>
      <c r="D35" s="50" t="s">
        <v>128</v>
      </c>
      <c r="E35" s="51" t="s">
        <v>363</v>
      </c>
      <c r="F35" s="51" t="s">
        <v>276</v>
      </c>
      <c r="G35" s="64" t="str">
        <f t="shared" si="0"/>
        <v>[effect:enemy_message, val1:1.2, val2:2]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[effect:tolerance, target:myself, turn:-1, count:-1, tolerance_effect:all, animation:enemy_tolerance],[effect:degrade_unit, target:unit_all, turn:-1, status:heal, val:0.9, calc:mul, animation:degrade_unit_all_heal],[effect:fix_speed, target:myself, turn:1]</v>
      </c>
      <c r="N35" s="48" t="str">
        <f>IFERROR(LEFT(M35,FIND("],",M35)+S44),M35)</f>
        <v>[effect:tolerance, target:myself, turn:-1, count:-1, tolerance_effect:all, animation:enemy_tolerance],[effect:degrade_unit, target:unit_all, turn:-1, status:heal, val:0.9, calc:mul, animation:degrade_unit_all_heal],[effect:fix_speed, target:myself, turn:1]</v>
      </c>
      <c r="O35" s="64">
        <f t="shared" si="6"/>
        <v>9</v>
      </c>
      <c r="P35" s="64">
        <f t="shared" si="7"/>
        <v>18</v>
      </c>
      <c r="Q35" s="64">
        <f t="shared" si="8"/>
        <v>27</v>
      </c>
      <c r="R35" s="64">
        <f t="shared" si="9"/>
        <v>33</v>
      </c>
      <c r="S35" s="64" t="str">
        <f>IFERROR(VLOOKUP(MID(N35,Q35,R35-Q35),[5]skilldef!$C:$D,2,FALSE),"-") &amp; " / " &amp; IFERROR(VLOOKUP(MID(N35,O35,P35-O35),[5]skilldef!$A:$B,2,FALSE),"-")</f>
        <v>自分自身に / 状態異常耐性</v>
      </c>
      <c r="T35" s="48" t="str">
        <f t="shared" si="10"/>
        <v>[effect:degrade_unit, target:unit_all, turn:-1, status:heal, val:0.9, calc:mul, animation:degrade_unit_all_heal],[effect:fix_speed, target:myself, turn:1]</v>
      </c>
      <c r="U35" s="64">
        <f t="shared" si="11"/>
        <v>9</v>
      </c>
      <c r="V35" s="64">
        <f t="shared" si="12"/>
        <v>21</v>
      </c>
      <c r="W35" s="64">
        <f t="shared" si="13"/>
        <v>30</v>
      </c>
      <c r="X35" s="64">
        <f t="shared" si="14"/>
        <v>38</v>
      </c>
      <c r="Y35" s="64" t="str">
        <f>IFERROR(VLOOKUP(MID(T35,W35,X35-W35),[5]skilldef!$C:$D,2,FALSE),"-") &amp; " / " &amp; IFERROR(VLOOKUP(MID(T35,U35,V35-U35),[5]skilldef!$A:$B,2,FALSE),"-")</f>
        <v>味方全体に / ステータスDOWN</v>
      </c>
      <c r="Z35" s="50"/>
      <c r="AA35" s="52"/>
      <c r="AB35" s="50"/>
    </row>
    <row r="36" spans="1:28" ht="21" customHeight="1" x14ac:dyDescent="0.15">
      <c r="A36" s="47">
        <v>40038035</v>
      </c>
      <c r="B36" s="47" t="s">
        <v>394</v>
      </c>
      <c r="C36" s="50">
        <v>3</v>
      </c>
      <c r="D36" s="50" t="s">
        <v>128</v>
      </c>
      <c r="E36" s="51" t="s">
        <v>307</v>
      </c>
      <c r="F36" s="51" t="s">
        <v>372</v>
      </c>
      <c r="G36" s="64" t="str">
        <f t="shared" si="0"/>
        <v>[effect:force_change_block, new_block:damage, target:block_all, ignore01:block_positive, ignore02:block_negative, color:block_yellow, count:7, val:0.15, animation:change_block]</v>
      </c>
      <c r="H36" s="64">
        <f t="shared" si="1"/>
        <v>9</v>
      </c>
      <c r="I36" s="64">
        <f t="shared" si="2"/>
        <v>27</v>
      </c>
      <c r="J36" s="64">
        <f t="shared" si="3"/>
        <v>54</v>
      </c>
      <c r="K36" s="64">
        <f t="shared" si="4"/>
        <v>45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5"/>
        <v>none</v>
      </c>
      <c r="N36" s="48" t="str">
        <f>IFERROR(LEFT(M36,FIND("],",M36)+S46),M36)</f>
        <v>none</v>
      </c>
      <c r="O36" s="64" t="e">
        <f t="shared" si="6"/>
        <v>#VALUE!</v>
      </c>
      <c r="P36" s="64">
        <f t="shared" si="7"/>
        <v>4</v>
      </c>
      <c r="Q36" s="64" t="e">
        <f t="shared" si="8"/>
        <v>#VALUE!</v>
      </c>
      <c r="R36" s="64" t="e">
        <f t="shared" si="9"/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0"/>
        <v>none</v>
      </c>
      <c r="U36" s="64" t="e">
        <f t="shared" si="11"/>
        <v>#VALUE!</v>
      </c>
      <c r="V36" s="64">
        <f t="shared" si="12"/>
        <v>4</v>
      </c>
      <c r="W36" s="64" t="e">
        <f t="shared" si="13"/>
        <v>#VALUE!</v>
      </c>
      <c r="X36" s="64" t="e">
        <f t="shared" si="14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40038036</v>
      </c>
      <c r="B37" s="47" t="s">
        <v>395</v>
      </c>
      <c r="C37" s="50">
        <v>3</v>
      </c>
      <c r="D37" s="50" t="s">
        <v>128</v>
      </c>
      <c r="E37" s="51" t="s">
        <v>308</v>
      </c>
      <c r="F37" s="51" t="s">
        <v>369</v>
      </c>
      <c r="G37" s="64" t="str">
        <f t="shared" si="0"/>
        <v>[effect:force_change_block, new_block:damage, target:block_all, ignore01:block_positive, ignore02:block_negative, color:block_yellow, count:10, val:0.15, animation:change_block]</v>
      </c>
      <c r="H37" s="64">
        <f t="shared" si="1"/>
        <v>9</v>
      </c>
      <c r="I37" s="64">
        <f t="shared" si="2"/>
        <v>27</v>
      </c>
      <c r="J37" s="64">
        <f t="shared" si="3"/>
        <v>54</v>
      </c>
      <c r="K37" s="64">
        <f t="shared" si="4"/>
        <v>45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5"/>
        <v>none</v>
      </c>
      <c r="N37" s="48" t="str">
        <f>IFERROR(LEFT(M37,FIND("],",M37)+S47),M37)</f>
        <v>none</v>
      </c>
      <c r="O37" s="64" t="e">
        <f t="shared" si="6"/>
        <v>#VALUE!</v>
      </c>
      <c r="P37" s="64">
        <f t="shared" si="7"/>
        <v>4</v>
      </c>
      <c r="Q37" s="64" t="e">
        <f t="shared" si="8"/>
        <v>#VALUE!</v>
      </c>
      <c r="R37" s="64" t="e">
        <f t="shared" si="9"/>
        <v>#VALUE!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 t="shared" si="10"/>
        <v>none</v>
      </c>
      <c r="U37" s="64" t="e">
        <f t="shared" si="11"/>
        <v>#VALUE!</v>
      </c>
      <c r="V37" s="64">
        <f t="shared" si="12"/>
        <v>4</v>
      </c>
      <c r="W37" s="64" t="e">
        <f t="shared" si="13"/>
        <v>#VALUE!</v>
      </c>
      <c r="X37" s="64" t="e">
        <f t="shared" si="14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40038037</v>
      </c>
      <c r="B38" s="47" t="s">
        <v>375</v>
      </c>
      <c r="C38" s="50">
        <v>3</v>
      </c>
      <c r="D38" s="50" t="s">
        <v>128</v>
      </c>
      <c r="E38" s="51" t="s">
        <v>309</v>
      </c>
      <c r="F38" s="51" t="s">
        <v>277</v>
      </c>
      <c r="G38" s="64" t="str">
        <f t="shared" si="0"/>
        <v>[effect:enemy_message, val1:1.2, val2:1.8]</v>
      </c>
      <c r="H38" s="64">
        <f t="shared" si="1"/>
        <v>9</v>
      </c>
      <c r="I38" s="64">
        <f t="shared" si="2"/>
        <v>22</v>
      </c>
      <c r="J38" s="64" t="e">
        <f t="shared" si="3"/>
        <v>#VALUE!</v>
      </c>
      <c r="K38" s="64">
        <f t="shared" si="4"/>
        <v>32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5"/>
        <v>[effect:rush, count:7, val:0.28]</v>
      </c>
      <c r="N38" s="48" t="str">
        <f>IFERROR(LEFT(M38,FIND("],",M38)+S47),M38)</f>
        <v>[effect:rush, count:7, val:0.28]</v>
      </c>
      <c r="O38" s="64">
        <f t="shared" si="6"/>
        <v>9</v>
      </c>
      <c r="P38" s="64">
        <f t="shared" si="7"/>
        <v>13</v>
      </c>
      <c r="Q38" s="64" t="e">
        <f t="shared" si="8"/>
        <v>#VALUE!</v>
      </c>
      <c r="R38" s="64">
        <f t="shared" si="9"/>
        <v>22</v>
      </c>
      <c r="S38" s="64" t="str">
        <f>IFERROR(VLOOKUP(MID(N38,Q38,R38-Q38),[5]skilldef!$C:$D,2,FALSE),"-") &amp; " / " &amp; IFERROR(VLOOKUP(MID(N38,O38,P38-O38),[5]skilldef!$A:$B,2,FALSE),"-")</f>
        <v>- / 連続攻撃</v>
      </c>
      <c r="T38" s="48" t="str">
        <f t="shared" si="10"/>
        <v>none</v>
      </c>
      <c r="U38" s="64" t="e">
        <f t="shared" si="11"/>
        <v>#VALUE!</v>
      </c>
      <c r="V38" s="64">
        <f t="shared" si="12"/>
        <v>4</v>
      </c>
      <c r="W38" s="64" t="e">
        <f t="shared" si="13"/>
        <v>#VALUE!</v>
      </c>
      <c r="X38" s="64" t="e">
        <f t="shared" si="14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40038038</v>
      </c>
      <c r="B39" s="47" t="s">
        <v>376</v>
      </c>
      <c r="C39" s="50">
        <v>3</v>
      </c>
      <c r="D39" s="50" t="s">
        <v>128</v>
      </c>
      <c r="E39" s="51" t="s">
        <v>310</v>
      </c>
      <c r="F39" s="51" t="s">
        <v>278</v>
      </c>
      <c r="G39" s="64" t="str">
        <f t="shared" si="0"/>
        <v>[effect:enemy_message, val1:1.2, val2:1.8]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[effect:rush, count:17, val:0.17]</v>
      </c>
      <c r="N39" s="48" t="str">
        <f>IFERROR(LEFT(M39,FIND("],",M39)+S48),M39)</f>
        <v>[effect:rush, count:17, val:0.17]</v>
      </c>
      <c r="O39" s="64">
        <f t="shared" si="6"/>
        <v>9</v>
      </c>
      <c r="P39" s="64">
        <f t="shared" si="7"/>
        <v>13</v>
      </c>
      <c r="Q39" s="64" t="e">
        <f t="shared" si="8"/>
        <v>#VALUE!</v>
      </c>
      <c r="R39" s="64">
        <f t="shared" si="9"/>
        <v>23</v>
      </c>
      <c r="S39" s="64" t="str">
        <f>IFERROR(VLOOKUP(MID(N39,Q39,R39-Q39),[5]skilldef!$C:$D,2,FALSE),"-") &amp; " / " &amp; IFERROR(VLOOKUP(MID(N39,O39,P39-O39),[5]skilldef!$A:$B,2,FALSE),"-")</f>
        <v>- / 連続攻撃</v>
      </c>
      <c r="T39" s="48" t="str">
        <f t="shared" si="10"/>
        <v>none</v>
      </c>
      <c r="U39" s="64" t="e">
        <f t="shared" si="11"/>
        <v>#VALUE!</v>
      </c>
      <c r="V39" s="64">
        <f t="shared" si="12"/>
        <v>4</v>
      </c>
      <c r="W39" s="64" t="e">
        <f t="shared" si="13"/>
        <v>#VALUE!</v>
      </c>
      <c r="X39" s="64" t="e">
        <f t="shared" si="14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40038039</v>
      </c>
      <c r="B40" s="47" t="s">
        <v>374</v>
      </c>
      <c r="C40" s="50">
        <v>3</v>
      </c>
      <c r="D40" s="50" t="s">
        <v>128</v>
      </c>
      <c r="E40" s="51" t="s">
        <v>358</v>
      </c>
      <c r="F40" s="51" t="s">
        <v>279</v>
      </c>
      <c r="G40" s="64" t="str">
        <f t="shared" si="0"/>
        <v>[effect:enemy_message, val1:1.6, val2:1.8]</v>
      </c>
      <c r="H40" s="64">
        <f t="shared" si="1"/>
        <v>9</v>
      </c>
      <c r="I40" s="64">
        <f t="shared" si="2"/>
        <v>22</v>
      </c>
      <c r="J40" s="64" t="e">
        <f t="shared" si="3"/>
        <v>#VALUE!</v>
      </c>
      <c r="K40" s="64">
        <f t="shared" si="4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5"/>
        <v>[effect:spread, val:0.16],[effect:spread, val:0.16],[effect:spread, val:0.16],[effect:spread, val:0.16],[effect:spread, val:0.16],[effect:spread, val:0.16]</v>
      </c>
      <c r="N40" s="48" t="str">
        <f>IFERROR(LEFT(M40,FIND("],",M40)+S49),M40)</f>
        <v>[effect:spread, val:0.16]</v>
      </c>
      <c r="O40" s="64">
        <f t="shared" si="6"/>
        <v>9</v>
      </c>
      <c r="P40" s="64">
        <f t="shared" si="7"/>
        <v>15</v>
      </c>
      <c r="Q40" s="64" t="e">
        <f t="shared" si="8"/>
        <v>#VALUE!</v>
      </c>
      <c r="R40" s="64" t="e">
        <f t="shared" si="9"/>
        <v>#VALUE!</v>
      </c>
      <c r="S40" s="64" t="str">
        <f>IFERROR(VLOOKUP(MID(N40,Q40,R40-Q40),[5]skilldef!$C:$D,2,FALSE),"-") &amp; " / " &amp; IFERROR(VLOOKUP(MID(N40,O40,P40-O40),[5]skilldef!$A:$B,2,FALSE),"-")</f>
        <v>- / 全体攻撃</v>
      </c>
      <c r="T40" s="48" t="str">
        <f t="shared" si="10"/>
        <v>[effect:spread, val:0.16],[effect:spread, val:0.16],[effect:spread, val:0.16],[effect:spread, val:0.16],[effect:spread, val:0.16]</v>
      </c>
      <c r="U40" s="64">
        <f t="shared" si="11"/>
        <v>9</v>
      </c>
      <c r="V40" s="64">
        <f t="shared" si="12"/>
        <v>15</v>
      </c>
      <c r="W40" s="64" t="e">
        <f t="shared" si="13"/>
        <v>#VALUE!</v>
      </c>
      <c r="X40" s="64">
        <f t="shared" si="14"/>
        <v>26</v>
      </c>
      <c r="Y40" s="64" t="str">
        <f>IFERROR(VLOOKUP(MID(T40,W40,X40-W40),[5]skilldef!$C:$D,2,FALSE),"-") &amp; " / " &amp; IFERROR(VLOOKUP(MID(T40,U40,V40-U40),[5]skilldef!$A:$B,2,FALSE),"-")</f>
        <v>- / 全体攻撃</v>
      </c>
      <c r="Z40" s="50"/>
      <c r="AA40" s="52"/>
      <c r="AB40" s="50"/>
    </row>
    <row r="41" spans="1:28" ht="21" customHeight="1" x14ac:dyDescent="0.15">
      <c r="A41" s="47">
        <v>40038040</v>
      </c>
      <c r="B41" s="47" t="s">
        <v>359</v>
      </c>
      <c r="C41" s="50">
        <v>3</v>
      </c>
      <c r="D41" s="50" t="s">
        <v>128</v>
      </c>
      <c r="E41" s="51" t="s">
        <v>318</v>
      </c>
      <c r="F41" s="51" t="s">
        <v>383</v>
      </c>
      <c r="G41" s="64" t="str">
        <f t="shared" si="0"/>
        <v>[effect:enemy_message, val1:1.4, val2:2.8]</v>
      </c>
      <c r="H41" s="64">
        <f t="shared" si="1"/>
        <v>9</v>
      </c>
      <c r="I41" s="64">
        <f t="shared" si="2"/>
        <v>22</v>
      </c>
      <c r="J41" s="64" t="e">
        <f t="shared" si="3"/>
        <v>#VALUE!</v>
      </c>
      <c r="K41" s="64">
        <f t="shared" si="4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5"/>
        <v>[effect:hungup, target:unit_all, turn:1, rate:1, animation:hungup01],[effect:force_change_block, new_block:block_heart, target:block_all, count:0, val:0, animation:change_block]</v>
      </c>
      <c r="N41" s="48" t="str">
        <f>IFERROR(LEFT(M41,FIND("],",M41)+S50),M41)</f>
        <v>[effect:hungup, target:unit_all, turn:1, rate:1, animation:hungup01]</v>
      </c>
      <c r="O41" s="64">
        <f t="shared" si="6"/>
        <v>9</v>
      </c>
      <c r="P41" s="64">
        <f t="shared" si="7"/>
        <v>15</v>
      </c>
      <c r="Q41" s="64">
        <f t="shared" si="8"/>
        <v>24</v>
      </c>
      <c r="R41" s="64">
        <f t="shared" si="9"/>
        <v>32</v>
      </c>
      <c r="S41" s="64" t="str">
        <f>IFERROR(VLOOKUP(MID(N41,Q41,R41-Q41),[5]skilldef!$C:$D,2,FALSE),"-") &amp; " / " &amp; IFERROR(VLOOKUP(MID(N41,O41,P41-O41),[5]skilldef!$A:$B,2,FALSE),"-")</f>
        <v>味方全体に / ハングアップ</v>
      </c>
      <c r="T41" s="48" t="str">
        <f t="shared" si="10"/>
        <v>[effect:force_change_block, new_block:block_heart, target:block_all, count:0, val:0, animation:change_block]</v>
      </c>
      <c r="U41" s="64">
        <f t="shared" si="11"/>
        <v>9</v>
      </c>
      <c r="V41" s="64">
        <f t="shared" si="12"/>
        <v>27</v>
      </c>
      <c r="W41" s="64">
        <f t="shared" si="13"/>
        <v>59</v>
      </c>
      <c r="X41" s="64">
        <f t="shared" si="14"/>
        <v>50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40038041</v>
      </c>
      <c r="B42" s="47" t="s">
        <v>360</v>
      </c>
      <c r="C42" s="50">
        <v>3</v>
      </c>
      <c r="D42" s="50" t="s">
        <v>128</v>
      </c>
      <c r="E42" s="51" t="s">
        <v>313</v>
      </c>
      <c r="F42" s="51" t="s">
        <v>280</v>
      </c>
      <c r="G42" s="64" t="str">
        <f t="shared" si="0"/>
        <v>[effect:enemy_message, val1:1.4, val2:1.8]</v>
      </c>
      <c r="H42" s="64">
        <f t="shared" si="1"/>
        <v>9</v>
      </c>
      <c r="I42" s="64">
        <f t="shared" si="2"/>
        <v>22</v>
      </c>
      <c r="J42" s="64" t="e">
        <f t="shared" si="3"/>
        <v>#VALUE!</v>
      </c>
      <c r="K42" s="64">
        <f t="shared" si="4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5"/>
        <v>[effect:damage_gravity, val:1, animation:fevergauge_down]</v>
      </c>
      <c r="N42" s="48" t="str">
        <f>IFERROR(LEFT(M42,FIND("],",M42)+S50),M42)</f>
        <v>[effect:damage_gravity, val:1, animation:fevergauge_down]</v>
      </c>
      <c r="O42" s="64">
        <f t="shared" si="6"/>
        <v>9</v>
      </c>
      <c r="P42" s="64">
        <f t="shared" si="7"/>
        <v>23</v>
      </c>
      <c r="Q42" s="64" t="e">
        <f t="shared" si="8"/>
        <v>#VALUE!</v>
      </c>
      <c r="R42" s="64">
        <f t="shared" si="9"/>
        <v>30</v>
      </c>
      <c r="S42" s="64" t="str">
        <f>IFERROR(VLOOKUP(MID(N42,Q42,R42-Q42),[5]skilldef!$C:$D,2,FALSE),"-") &amp; " / " &amp; IFERROR(VLOOKUP(MID(N42,O42,P42-O42),[5]skilldef!$A:$B,2,FALSE),"-")</f>
        <v>- / 割合ダメージ</v>
      </c>
      <c r="T42" s="48" t="str">
        <f t="shared" si="10"/>
        <v>none</v>
      </c>
      <c r="U42" s="64" t="e">
        <f t="shared" si="11"/>
        <v>#VALUE!</v>
      </c>
      <c r="V42" s="64">
        <f t="shared" si="12"/>
        <v>4</v>
      </c>
      <c r="W42" s="64" t="e">
        <f t="shared" si="13"/>
        <v>#VALUE!</v>
      </c>
      <c r="X42" s="64" t="e">
        <f t="shared" si="14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40038042</v>
      </c>
      <c r="B43" s="47" t="s">
        <v>361</v>
      </c>
      <c r="C43" s="50">
        <v>3</v>
      </c>
      <c r="D43" s="50" t="s">
        <v>128</v>
      </c>
      <c r="E43" s="51" t="s">
        <v>323</v>
      </c>
      <c r="F43" s="51" t="s">
        <v>324</v>
      </c>
      <c r="G43" s="64" t="str">
        <f t="shared" ref="G43:G44" si="60">IFERROR(LEFT(B43,FIND("],",B43)),B43)</f>
        <v>[effect:enemy_message, val1:1, val2:2]</v>
      </c>
      <c r="H43" s="64">
        <f t="shared" ref="H43:H44" si="61">FIND("effect:",G43)+7</f>
        <v>9</v>
      </c>
      <c r="I43" s="64">
        <f t="shared" ref="I43:I44" si="62">IFERROR(FIND(",",G43),LEN(G43))</f>
        <v>22</v>
      </c>
      <c r="J43" s="64" t="e">
        <f t="shared" ref="J43:J44" si="63">FIND("target:",G43)+7</f>
        <v>#VALUE!</v>
      </c>
      <c r="K43" s="64">
        <f t="shared" ref="K43:K44" si="64">FIND(",",G43,I43+1)</f>
        <v>30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ref="M43:M44" si="65">IFERROR(RIGHT(B43,LEN(B43)-FIND("],",B43)-1),"none")</f>
        <v>none</v>
      </c>
      <c r="N43" s="48" t="str">
        <f>IFERROR(LEFT(M43,FIND("],",M43)+S51),M43)</f>
        <v>none</v>
      </c>
      <c r="O43" s="64" t="e">
        <f t="shared" ref="O43:O44" si="66">FIND("effect:",N43)+7</f>
        <v>#VALUE!</v>
      </c>
      <c r="P43" s="64">
        <f t="shared" ref="P43:P44" si="67">IFERROR(FIND(",",N43),LEN(N43))</f>
        <v>4</v>
      </c>
      <c r="Q43" s="64" t="e">
        <f t="shared" ref="Q43:Q44" si="68">FIND("target:",N43)+7</f>
        <v>#VALUE!</v>
      </c>
      <c r="R43" s="64" t="e">
        <f t="shared" ref="R43:R44" si="69">FIND(",",N43,P43+1)</f>
        <v>#VALUE!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ref="T43:T44" si="70">IFERROR(RIGHT(M43,LEN(M43)-FIND("],",M43)-1),"none")</f>
        <v>none</v>
      </c>
      <c r="U43" s="64" t="e">
        <f t="shared" ref="U43:U44" si="71">FIND("effect:",T43)+7</f>
        <v>#VALUE!</v>
      </c>
      <c r="V43" s="64">
        <f t="shared" ref="V43:V44" si="72">IFERROR(FIND(",",T43),LEN(T43))</f>
        <v>4</v>
      </c>
      <c r="W43" s="64" t="e">
        <f t="shared" ref="W43:W44" si="73">FIND("target:",T43)+7</f>
        <v>#VALUE!</v>
      </c>
      <c r="X43" s="64" t="e">
        <f t="shared" ref="X43:X44" si="74">FIND(",",T43,V43+1)</f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40038043</v>
      </c>
      <c r="B44" s="47" t="s">
        <v>362</v>
      </c>
      <c r="C44" s="50">
        <v>3</v>
      </c>
      <c r="D44" s="50" t="s">
        <v>128</v>
      </c>
      <c r="E44" s="51" t="s">
        <v>322</v>
      </c>
      <c r="F44" s="51" t="s">
        <v>343</v>
      </c>
      <c r="G44" s="64" t="str">
        <f t="shared" si="60"/>
        <v>[effect:enemy_message, val1:1.8, val2:1.8]</v>
      </c>
      <c r="H44" s="64">
        <f t="shared" si="61"/>
        <v>9</v>
      </c>
      <c r="I44" s="64">
        <f t="shared" si="62"/>
        <v>22</v>
      </c>
      <c r="J44" s="64" t="e">
        <f t="shared" si="63"/>
        <v>#VALUE!</v>
      </c>
      <c r="K44" s="64">
        <f t="shared" si="64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65"/>
        <v>none</v>
      </c>
      <c r="N44" s="48" t="str">
        <f>IFERROR(LEFT(M44,FIND("],",M44)+S53),M44)</f>
        <v>none</v>
      </c>
      <c r="O44" s="64" t="e">
        <f t="shared" si="66"/>
        <v>#VALUE!</v>
      </c>
      <c r="P44" s="64">
        <f t="shared" si="67"/>
        <v>4</v>
      </c>
      <c r="Q44" s="64" t="e">
        <f t="shared" si="68"/>
        <v>#VALUE!</v>
      </c>
      <c r="R44" s="64" t="e">
        <f t="shared" si="69"/>
        <v>#VALUE!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70"/>
        <v>none</v>
      </c>
      <c r="U44" s="64" t="e">
        <f t="shared" si="71"/>
        <v>#VALUE!</v>
      </c>
      <c r="V44" s="64">
        <f t="shared" si="72"/>
        <v>4</v>
      </c>
      <c r="W44" s="64" t="e">
        <f t="shared" si="73"/>
        <v>#VALUE!</v>
      </c>
      <c r="X44" s="64" t="e">
        <f t="shared" si="74"/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zoomScale="75" zoomScaleNormal="75" zoomScalePageLayoutView="75" workbookViewId="0">
      <pane ySplit="1" topLeftCell="A2" activePane="bottomLeft" state="frozenSplit"/>
      <selection pane="bottomLeft" activeCell="C18" sqref="C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40038001</v>
      </c>
      <c r="B2" s="47">
        <v>0</v>
      </c>
      <c r="C2" s="47" t="s">
        <v>89</v>
      </c>
      <c r="D2" s="47">
        <v>100</v>
      </c>
      <c r="E2" s="47" t="s">
        <v>90</v>
      </c>
      <c r="F2" s="47" t="s">
        <v>90</v>
      </c>
      <c r="G2" s="47" t="s">
        <v>90</v>
      </c>
      <c r="H2" s="47">
        <v>2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40038002</v>
      </c>
      <c r="B3" s="47">
        <v>1</v>
      </c>
      <c r="C3" s="47" t="s">
        <v>53</v>
      </c>
      <c r="D3" s="47">
        <v>100</v>
      </c>
      <c r="E3" s="47" t="s">
        <v>90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16" si="1">D3</f>
        <v>100</v>
      </c>
    </row>
    <row r="4" spans="1:11" ht="21" customHeight="1" x14ac:dyDescent="0.15">
      <c r="A4" s="47">
        <v>40038003</v>
      </c>
      <c r="B4" s="47">
        <v>0</v>
      </c>
      <c r="C4" s="47" t="s">
        <v>53</v>
      </c>
      <c r="D4" s="47">
        <v>100</v>
      </c>
      <c r="E4" s="47" t="s">
        <v>90</v>
      </c>
      <c r="F4" s="47" t="s">
        <v>90</v>
      </c>
      <c r="G4" s="47">
        <v>1</v>
      </c>
      <c r="H4" s="47">
        <v>2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40038004</v>
      </c>
      <c r="B5" s="47">
        <v>0</v>
      </c>
      <c r="C5" s="47" t="s">
        <v>53</v>
      </c>
      <c r="D5" s="47">
        <v>100</v>
      </c>
      <c r="E5" s="47" t="s">
        <v>90</v>
      </c>
      <c r="F5" s="47" t="s">
        <v>90</v>
      </c>
      <c r="G5" s="47">
        <v>1</v>
      </c>
      <c r="H5" s="47">
        <v>3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40038005</v>
      </c>
      <c r="B6" s="47">
        <v>0</v>
      </c>
      <c r="C6" s="47" t="s">
        <v>53</v>
      </c>
      <c r="D6" s="47">
        <v>100</v>
      </c>
      <c r="E6" s="47" t="s">
        <v>90</v>
      </c>
      <c r="F6" s="47" t="s">
        <v>90</v>
      </c>
      <c r="G6" s="47">
        <v>1</v>
      </c>
      <c r="H6" s="47">
        <v>4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40038006</v>
      </c>
      <c r="B7" s="47">
        <v>0</v>
      </c>
      <c r="C7" s="47" t="s">
        <v>53</v>
      </c>
      <c r="D7" s="47">
        <v>100</v>
      </c>
      <c r="E7" s="47" t="s">
        <v>90</v>
      </c>
      <c r="F7" s="47" t="s">
        <v>90</v>
      </c>
      <c r="G7" s="47">
        <v>1</v>
      </c>
      <c r="H7" s="47">
        <v>5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40038007</v>
      </c>
      <c r="B8" s="47">
        <v>0</v>
      </c>
      <c r="C8" s="47" t="s">
        <v>53</v>
      </c>
      <c r="D8" s="47">
        <v>100</v>
      </c>
      <c r="E8" s="47" t="s">
        <v>90</v>
      </c>
      <c r="F8" s="47" t="s">
        <v>90</v>
      </c>
      <c r="G8" s="47">
        <v>1</v>
      </c>
      <c r="H8" s="47">
        <v>6</v>
      </c>
      <c r="I8" s="47" t="s">
        <v>90</v>
      </c>
      <c r="J8" s="48">
        <f t="shared" si="1"/>
        <v>100</v>
      </c>
    </row>
    <row r="9" spans="1:11" ht="21" customHeight="1" x14ac:dyDescent="0.15">
      <c r="A9" s="47">
        <v>40038008</v>
      </c>
      <c r="B9" s="47">
        <v>0</v>
      </c>
      <c r="C9" s="47" t="s">
        <v>53</v>
      </c>
      <c r="D9" s="47">
        <v>100</v>
      </c>
      <c r="E9" s="47" t="s">
        <v>90</v>
      </c>
      <c r="F9" s="47" t="s">
        <v>90</v>
      </c>
      <c r="G9" s="47" t="s">
        <v>90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40038009</v>
      </c>
      <c r="B10" s="47">
        <v>1</v>
      </c>
      <c r="C10" s="47" t="s">
        <v>53</v>
      </c>
      <c r="D10" s="47">
        <v>100</v>
      </c>
      <c r="E10" s="47" t="s">
        <v>90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40038010</v>
      </c>
      <c r="B11" s="47">
        <v>0</v>
      </c>
      <c r="C11" s="47" t="s">
        <v>53</v>
      </c>
      <c r="D11" s="47">
        <v>100</v>
      </c>
      <c r="E11" s="47" t="s">
        <v>90</v>
      </c>
      <c r="F11" s="47" t="s">
        <v>90</v>
      </c>
      <c r="G11" s="47" t="s">
        <v>90</v>
      </c>
      <c r="H11" s="47">
        <v>2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40038011</v>
      </c>
      <c r="B12" s="47">
        <v>1</v>
      </c>
      <c r="C12" s="47" t="s">
        <v>53</v>
      </c>
      <c r="D12" s="47">
        <v>100</v>
      </c>
      <c r="E12" s="47" t="s">
        <v>90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1"/>
        <v>100</v>
      </c>
    </row>
    <row r="13" spans="1:11" ht="21" customHeight="1" x14ac:dyDescent="0.15">
      <c r="A13" s="47">
        <v>40038012</v>
      </c>
      <c r="B13" s="47">
        <v>0</v>
      </c>
      <c r="C13" s="47">
        <v>2</v>
      </c>
      <c r="D13" s="47">
        <v>100</v>
      </c>
      <c r="E13" s="47" t="s">
        <v>90</v>
      </c>
      <c r="F13" s="47" t="s">
        <v>90</v>
      </c>
      <c r="G13" s="47" t="s">
        <v>90</v>
      </c>
      <c r="H13" s="47">
        <v>8</v>
      </c>
      <c r="I13" s="47" t="s">
        <v>90</v>
      </c>
      <c r="J13" s="48">
        <f t="shared" si="1"/>
        <v>100</v>
      </c>
    </row>
    <row r="14" spans="1:11" ht="21" customHeight="1" x14ac:dyDescent="0.15">
      <c r="A14" s="47">
        <v>40038013</v>
      </c>
      <c r="B14" s="47">
        <v>0</v>
      </c>
      <c r="C14" s="47">
        <v>1</v>
      </c>
      <c r="D14" s="47">
        <v>100</v>
      </c>
      <c r="E14" s="47" t="s">
        <v>90</v>
      </c>
      <c r="F14" s="47" t="s">
        <v>90</v>
      </c>
      <c r="G14" s="47" t="s">
        <v>90</v>
      </c>
      <c r="H14" s="47">
        <v>2</v>
      </c>
      <c r="I14" s="47" t="s">
        <v>90</v>
      </c>
      <c r="J14" s="48">
        <f t="shared" si="1"/>
        <v>100</v>
      </c>
    </row>
    <row r="15" spans="1:11" ht="21" customHeight="1" x14ac:dyDescent="0.15">
      <c r="A15" s="47">
        <v>40038014</v>
      </c>
      <c r="B15" s="47">
        <v>0</v>
      </c>
      <c r="C15" s="47" t="s">
        <v>53</v>
      </c>
      <c r="D15" s="47">
        <v>100</v>
      </c>
      <c r="E15" s="47" t="s">
        <v>90</v>
      </c>
      <c r="F15" s="47" t="s">
        <v>90</v>
      </c>
      <c r="G15" s="47" t="s">
        <v>90</v>
      </c>
      <c r="H15" s="47">
        <v>4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40038015</v>
      </c>
      <c r="B16" s="47">
        <v>1</v>
      </c>
      <c r="C16" s="47" t="s">
        <v>53</v>
      </c>
      <c r="D16" s="47">
        <v>100</v>
      </c>
      <c r="E16" s="47" t="s">
        <v>90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 x14ac:dyDescent="0.15">
      <c r="A17" s="47">
        <v>40038016</v>
      </c>
      <c r="B17" s="47">
        <v>0</v>
      </c>
      <c r="C17" s="47">
        <v>1</v>
      </c>
      <c r="D17" s="47">
        <v>100</v>
      </c>
      <c r="E17" s="47" t="s">
        <v>90</v>
      </c>
      <c r="F17" s="47" t="s">
        <v>90</v>
      </c>
      <c r="G17" s="47" t="s">
        <v>90</v>
      </c>
      <c r="H17" s="47">
        <v>5</v>
      </c>
      <c r="I17" s="47" t="s">
        <v>90</v>
      </c>
      <c r="J17" s="48">
        <f t="shared" ref="J17:J34" si="2">D17</f>
        <v>100</v>
      </c>
    </row>
    <row r="18" spans="1:10" ht="21" customHeight="1" x14ac:dyDescent="0.15">
      <c r="A18" s="47">
        <v>40038017</v>
      </c>
      <c r="B18" s="47">
        <v>0</v>
      </c>
      <c r="C18" s="47">
        <v>2</v>
      </c>
      <c r="D18" s="47">
        <v>100</v>
      </c>
      <c r="E18" s="47" t="s">
        <v>90</v>
      </c>
      <c r="F18" s="47" t="s">
        <v>90</v>
      </c>
      <c r="G18" s="47" t="s">
        <v>90</v>
      </c>
      <c r="H18" s="47">
        <v>3</v>
      </c>
      <c r="I18" s="47" t="s">
        <v>90</v>
      </c>
      <c r="J18" s="48">
        <f t="shared" si="2"/>
        <v>100</v>
      </c>
    </row>
    <row r="19" spans="1:10" ht="21" customHeight="1" x14ac:dyDescent="0.15">
      <c r="A19" s="47">
        <v>40038018</v>
      </c>
      <c r="B19" s="47">
        <v>0</v>
      </c>
      <c r="C19" s="47">
        <v>3</v>
      </c>
      <c r="D19" s="47">
        <v>100</v>
      </c>
      <c r="E19" s="47" t="s">
        <v>90</v>
      </c>
      <c r="F19" s="47" t="s">
        <v>90</v>
      </c>
      <c r="G19" s="47">
        <v>1</v>
      </c>
      <c r="H19" s="47">
        <v>11</v>
      </c>
      <c r="I19" s="47" t="s">
        <v>90</v>
      </c>
      <c r="J19" s="48">
        <f t="shared" si="2"/>
        <v>100</v>
      </c>
    </row>
    <row r="20" spans="1:10" ht="21" customHeight="1" x14ac:dyDescent="0.15">
      <c r="A20" s="47">
        <v>40038019</v>
      </c>
      <c r="B20" s="47">
        <v>0</v>
      </c>
      <c r="C20" s="47">
        <v>4</v>
      </c>
      <c r="D20" s="47">
        <v>100</v>
      </c>
      <c r="E20" s="47" t="s">
        <v>90</v>
      </c>
      <c r="F20" s="47" t="s">
        <v>90</v>
      </c>
      <c r="G20" s="47">
        <v>1</v>
      </c>
      <c r="H20" s="47">
        <v>12</v>
      </c>
      <c r="I20" s="47" t="s">
        <v>90</v>
      </c>
      <c r="J20" s="48">
        <f t="shared" si="2"/>
        <v>100</v>
      </c>
    </row>
    <row r="21" spans="1:10" ht="21" customHeight="1" x14ac:dyDescent="0.15">
      <c r="A21" s="47">
        <v>40038020</v>
      </c>
      <c r="B21" s="47">
        <v>0</v>
      </c>
      <c r="C21" s="47" t="s">
        <v>53</v>
      </c>
      <c r="D21" s="47">
        <v>100</v>
      </c>
      <c r="E21" s="47" t="s">
        <v>90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2"/>
        <v>100</v>
      </c>
    </row>
    <row r="22" spans="1:10" ht="21" customHeight="1" x14ac:dyDescent="0.15">
      <c r="A22" s="47">
        <v>40038021</v>
      </c>
      <c r="B22" s="47">
        <v>1</v>
      </c>
      <c r="C22" s="47">
        <v>6</v>
      </c>
      <c r="D22" s="47">
        <v>100</v>
      </c>
      <c r="E22" s="47" t="s">
        <v>90</v>
      </c>
      <c r="F22" s="47" t="s">
        <v>90</v>
      </c>
      <c r="G22" s="47">
        <v>1</v>
      </c>
      <c r="H22" s="47" t="s">
        <v>89</v>
      </c>
      <c r="I22" s="47">
        <v>1230</v>
      </c>
      <c r="J22" s="48">
        <f t="shared" si="2"/>
        <v>100</v>
      </c>
    </row>
    <row r="23" spans="1:10" ht="21" customHeight="1" x14ac:dyDescent="0.15">
      <c r="A23" s="47">
        <v>40038022</v>
      </c>
      <c r="B23" s="47">
        <v>1</v>
      </c>
      <c r="C23" s="47">
        <v>5</v>
      </c>
      <c r="D23" s="47">
        <v>100</v>
      </c>
      <c r="E23" s="47" t="s">
        <v>90</v>
      </c>
      <c r="F23" s="47" t="s">
        <v>90</v>
      </c>
      <c r="G23" s="47">
        <v>1</v>
      </c>
      <c r="H23" s="47" t="s">
        <v>90</v>
      </c>
      <c r="I23" s="47">
        <v>1231</v>
      </c>
      <c r="J23" s="48">
        <f t="shared" si="2"/>
        <v>100</v>
      </c>
    </row>
    <row r="24" spans="1:10" ht="21" customHeight="1" x14ac:dyDescent="0.15">
      <c r="A24" s="47">
        <v>40038023</v>
      </c>
      <c r="B24" s="47">
        <v>1</v>
      </c>
      <c r="C24" s="47">
        <v>4</v>
      </c>
      <c r="D24" s="47">
        <v>100</v>
      </c>
      <c r="E24" s="47" t="s">
        <v>90</v>
      </c>
      <c r="F24" s="47" t="s">
        <v>90</v>
      </c>
      <c r="G24" s="47">
        <v>1</v>
      </c>
      <c r="H24" s="47" t="s">
        <v>90</v>
      </c>
      <c r="I24" s="47" t="s">
        <v>90</v>
      </c>
      <c r="J24" s="48">
        <f t="shared" ref="J24" si="3">D24</f>
        <v>100</v>
      </c>
    </row>
    <row r="25" spans="1:10" ht="21" customHeight="1" x14ac:dyDescent="0.15">
      <c r="A25" s="47">
        <v>40038024</v>
      </c>
      <c r="B25" s="47">
        <v>0</v>
      </c>
      <c r="C25" s="47" t="s">
        <v>53</v>
      </c>
      <c r="D25" s="47">
        <v>100</v>
      </c>
      <c r="E25" s="47" t="s">
        <v>90</v>
      </c>
      <c r="F25" s="47" t="s">
        <v>90</v>
      </c>
      <c r="G25" s="47">
        <v>1</v>
      </c>
      <c r="H25" s="47">
        <v>1</v>
      </c>
      <c r="I25" s="47" t="s">
        <v>90</v>
      </c>
      <c r="J25" s="48">
        <f t="shared" ref="J25" si="4">D25</f>
        <v>100</v>
      </c>
    </row>
    <row r="26" spans="1:10" ht="21" customHeight="1" x14ac:dyDescent="0.15">
      <c r="A26" s="47">
        <v>40038025</v>
      </c>
      <c r="B26" s="47">
        <v>0</v>
      </c>
      <c r="C26" s="47">
        <v>3</v>
      </c>
      <c r="D26" s="47">
        <v>50</v>
      </c>
      <c r="E26" s="47" t="s">
        <v>90</v>
      </c>
      <c r="F26" s="47" t="s">
        <v>90</v>
      </c>
      <c r="G26" s="47" t="s">
        <v>90</v>
      </c>
      <c r="H26" s="47" t="s">
        <v>90</v>
      </c>
      <c r="I26" s="47" t="s">
        <v>90</v>
      </c>
      <c r="J26" s="48">
        <f t="shared" si="2"/>
        <v>50</v>
      </c>
    </row>
    <row r="27" spans="1:10" ht="21" customHeight="1" x14ac:dyDescent="0.15">
      <c r="A27" s="47">
        <v>40038026</v>
      </c>
      <c r="B27" s="47">
        <v>0</v>
      </c>
      <c r="C27" s="47">
        <v>2</v>
      </c>
      <c r="D27" s="47">
        <v>50</v>
      </c>
      <c r="E27" s="47" t="s">
        <v>90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2"/>
        <v>50</v>
      </c>
    </row>
    <row r="28" spans="1:10" ht="21" customHeight="1" x14ac:dyDescent="0.15">
      <c r="A28" s="47">
        <v>40038027</v>
      </c>
      <c r="B28" s="47">
        <v>0</v>
      </c>
      <c r="C28" s="47" t="s">
        <v>53</v>
      </c>
      <c r="D28" s="47">
        <v>100</v>
      </c>
      <c r="E28" s="47" t="s">
        <v>90</v>
      </c>
      <c r="F28" s="47" t="s">
        <v>90</v>
      </c>
      <c r="G28" s="47" t="s">
        <v>90</v>
      </c>
      <c r="H28" s="47">
        <v>8</v>
      </c>
      <c r="I28" s="47" t="s">
        <v>90</v>
      </c>
      <c r="J28" s="48">
        <f t="shared" si="2"/>
        <v>100</v>
      </c>
    </row>
    <row r="29" spans="1:10" ht="21" customHeight="1" x14ac:dyDescent="0.15">
      <c r="A29" s="47">
        <v>40038028</v>
      </c>
      <c r="B29" s="47">
        <v>0</v>
      </c>
      <c r="C29" s="47">
        <v>1</v>
      </c>
      <c r="D29" s="47">
        <v>100</v>
      </c>
      <c r="E29" s="47" t="s">
        <v>90</v>
      </c>
      <c r="F29" s="47" t="s">
        <v>90</v>
      </c>
      <c r="G29" s="47" t="s">
        <v>90</v>
      </c>
      <c r="H29" s="47" t="s">
        <v>90</v>
      </c>
      <c r="I29" s="47" t="s">
        <v>90</v>
      </c>
      <c r="J29" s="48">
        <f t="shared" si="2"/>
        <v>100</v>
      </c>
    </row>
    <row r="30" spans="1:10" ht="21" customHeight="1" x14ac:dyDescent="0.15">
      <c r="A30" s="47">
        <v>40038029</v>
      </c>
      <c r="B30" s="47">
        <v>1</v>
      </c>
      <c r="C30" s="47" t="s">
        <v>53</v>
      </c>
      <c r="D30" s="47">
        <v>100</v>
      </c>
      <c r="E30" s="47" t="s">
        <v>90</v>
      </c>
      <c r="F30" s="47" t="s">
        <v>90</v>
      </c>
      <c r="G30" s="47">
        <v>1</v>
      </c>
      <c r="H30" s="47" t="s">
        <v>90</v>
      </c>
      <c r="I30" s="47" t="s">
        <v>90</v>
      </c>
      <c r="J30" s="48">
        <f t="shared" si="2"/>
        <v>100</v>
      </c>
    </row>
    <row r="31" spans="1:10" ht="21" customHeight="1" x14ac:dyDescent="0.15">
      <c r="A31" s="47">
        <v>40038030</v>
      </c>
      <c r="B31" s="47">
        <v>0</v>
      </c>
      <c r="C31" s="47">
        <v>2</v>
      </c>
      <c r="D31" s="47">
        <v>100</v>
      </c>
      <c r="E31" s="47" t="s">
        <v>90</v>
      </c>
      <c r="F31" s="47" t="s">
        <v>90</v>
      </c>
      <c r="G31" s="47">
        <v>1</v>
      </c>
      <c r="H31" s="47">
        <v>2</v>
      </c>
      <c r="I31" s="47" t="s">
        <v>90</v>
      </c>
      <c r="J31" s="48">
        <f t="shared" si="2"/>
        <v>100</v>
      </c>
    </row>
    <row r="32" spans="1:10" ht="21" customHeight="1" x14ac:dyDescent="0.15">
      <c r="A32" s="47">
        <v>40038031</v>
      </c>
      <c r="B32" s="47">
        <v>0</v>
      </c>
      <c r="C32" s="47" t="s">
        <v>53</v>
      </c>
      <c r="D32" s="47">
        <v>100</v>
      </c>
      <c r="E32" s="47" t="s">
        <v>90</v>
      </c>
      <c r="F32" s="47" t="s">
        <v>90</v>
      </c>
      <c r="G32" s="47">
        <v>1</v>
      </c>
      <c r="H32" s="47">
        <v>6</v>
      </c>
      <c r="I32" s="47" t="s">
        <v>90</v>
      </c>
      <c r="J32" s="48">
        <f t="shared" si="2"/>
        <v>100</v>
      </c>
    </row>
    <row r="33" spans="1:10" ht="21" customHeight="1" x14ac:dyDescent="0.15">
      <c r="A33" s="47">
        <v>40038032</v>
      </c>
      <c r="B33" s="47">
        <v>0</v>
      </c>
      <c r="C33" s="47" t="s">
        <v>53</v>
      </c>
      <c r="D33" s="47">
        <v>100</v>
      </c>
      <c r="E33" s="47" t="s">
        <v>90</v>
      </c>
      <c r="F33" s="47" t="s">
        <v>90</v>
      </c>
      <c r="G33" s="47">
        <v>1</v>
      </c>
      <c r="H33" s="47">
        <v>11</v>
      </c>
      <c r="I33" s="47" t="s">
        <v>90</v>
      </c>
      <c r="J33" s="48">
        <f t="shared" si="2"/>
        <v>100</v>
      </c>
    </row>
    <row r="34" spans="1:10" ht="21" customHeight="1" x14ac:dyDescent="0.15">
      <c r="A34" s="47">
        <v>40038033</v>
      </c>
      <c r="B34" s="47">
        <v>0</v>
      </c>
      <c r="C34" s="47" t="s">
        <v>53</v>
      </c>
      <c r="D34" s="47">
        <v>100</v>
      </c>
      <c r="E34" s="47" t="s">
        <v>90</v>
      </c>
      <c r="F34" s="47" t="s">
        <v>90</v>
      </c>
      <c r="G34" s="47">
        <v>1</v>
      </c>
      <c r="H34" s="47">
        <v>12</v>
      </c>
      <c r="I34" s="47" t="s">
        <v>90</v>
      </c>
      <c r="J34" s="48">
        <f t="shared" si="2"/>
        <v>100</v>
      </c>
    </row>
    <row r="35" spans="1:10" ht="21" customHeight="1" x14ac:dyDescent="0.15">
      <c r="A35" s="47">
        <v>40038034</v>
      </c>
      <c r="B35" s="47">
        <v>0</v>
      </c>
      <c r="C35" s="47">
        <v>1</v>
      </c>
      <c r="D35" s="47">
        <v>100</v>
      </c>
      <c r="E35" s="47" t="s">
        <v>90</v>
      </c>
      <c r="F35" s="47" t="s">
        <v>90</v>
      </c>
      <c r="G35" s="47" t="s">
        <v>90</v>
      </c>
      <c r="H35" s="47" t="s">
        <v>90</v>
      </c>
      <c r="I35" s="47" t="s">
        <v>90</v>
      </c>
      <c r="J35" s="48">
        <f t="shared" ref="J35:J46" si="5">D35</f>
        <v>100</v>
      </c>
    </row>
    <row r="36" spans="1:10" ht="21" customHeight="1" x14ac:dyDescent="0.15">
      <c r="A36" s="47">
        <v>40038035</v>
      </c>
      <c r="B36" s="47">
        <v>1</v>
      </c>
      <c r="C36" s="47" t="s">
        <v>53</v>
      </c>
      <c r="D36" s="47">
        <v>100</v>
      </c>
      <c r="E36" s="47" t="s">
        <v>90</v>
      </c>
      <c r="F36" s="47" t="s">
        <v>90</v>
      </c>
      <c r="G36" s="47">
        <v>1</v>
      </c>
      <c r="H36" s="47" t="s">
        <v>90</v>
      </c>
      <c r="I36" s="47" t="s">
        <v>90</v>
      </c>
      <c r="J36" s="48">
        <f t="shared" si="5"/>
        <v>100</v>
      </c>
    </row>
    <row r="37" spans="1:10" ht="21" customHeight="1" x14ac:dyDescent="0.15">
      <c r="A37" s="47">
        <v>40038036</v>
      </c>
      <c r="B37" s="47">
        <v>0</v>
      </c>
      <c r="C37" s="47" t="s">
        <v>53</v>
      </c>
      <c r="D37" s="47">
        <v>100</v>
      </c>
      <c r="E37" s="47" t="s">
        <v>90</v>
      </c>
      <c r="F37" s="47" t="s">
        <v>90</v>
      </c>
      <c r="G37" s="47">
        <v>1</v>
      </c>
      <c r="H37" s="47">
        <v>1</v>
      </c>
      <c r="I37" s="47" t="s">
        <v>90</v>
      </c>
      <c r="J37" s="48">
        <f t="shared" si="5"/>
        <v>100</v>
      </c>
    </row>
    <row r="38" spans="1:10" ht="21" customHeight="1" x14ac:dyDescent="0.15">
      <c r="A38" s="47">
        <v>40038037</v>
      </c>
      <c r="B38" s="47">
        <v>0</v>
      </c>
      <c r="C38" s="47" t="s">
        <v>53</v>
      </c>
      <c r="D38" s="47">
        <v>100</v>
      </c>
      <c r="E38" s="47" t="s">
        <v>90</v>
      </c>
      <c r="F38" s="47" t="s">
        <v>90</v>
      </c>
      <c r="G38" s="47">
        <v>1</v>
      </c>
      <c r="H38" s="47">
        <v>2</v>
      </c>
      <c r="I38" s="47" t="s">
        <v>90</v>
      </c>
      <c r="J38" s="48">
        <f t="shared" si="5"/>
        <v>100</v>
      </c>
    </row>
    <row r="39" spans="1:10" ht="21" customHeight="1" x14ac:dyDescent="0.15">
      <c r="A39" s="47">
        <v>40038038</v>
      </c>
      <c r="B39" s="47">
        <v>0</v>
      </c>
      <c r="C39" s="47" t="s">
        <v>53</v>
      </c>
      <c r="D39" s="47">
        <v>100</v>
      </c>
      <c r="E39" s="47" t="s">
        <v>90</v>
      </c>
      <c r="F39" s="47" t="s">
        <v>90</v>
      </c>
      <c r="G39" s="47">
        <v>1</v>
      </c>
      <c r="H39" s="47">
        <v>3</v>
      </c>
      <c r="I39" s="47" t="s">
        <v>90</v>
      </c>
      <c r="J39" s="48">
        <f t="shared" si="5"/>
        <v>100</v>
      </c>
    </row>
    <row r="40" spans="1:10" ht="21" customHeight="1" x14ac:dyDescent="0.15">
      <c r="A40" s="47">
        <v>40038039</v>
      </c>
      <c r="B40" s="47">
        <v>0</v>
      </c>
      <c r="C40" s="47" t="s">
        <v>53</v>
      </c>
      <c r="D40" s="47">
        <v>100</v>
      </c>
      <c r="E40" s="47" t="s">
        <v>90</v>
      </c>
      <c r="F40" s="47" t="s">
        <v>90</v>
      </c>
      <c r="G40" s="47">
        <v>1</v>
      </c>
      <c r="H40" s="47">
        <v>4</v>
      </c>
      <c r="I40" s="47" t="s">
        <v>90</v>
      </c>
      <c r="J40" s="48">
        <f t="shared" si="5"/>
        <v>100</v>
      </c>
    </row>
    <row r="41" spans="1:10" ht="21" customHeight="1" x14ac:dyDescent="0.15">
      <c r="A41" s="47">
        <v>40038040</v>
      </c>
      <c r="B41" s="47">
        <v>0</v>
      </c>
      <c r="C41" s="47" t="s">
        <v>53</v>
      </c>
      <c r="D41" s="47">
        <v>100</v>
      </c>
      <c r="E41" s="47" t="s">
        <v>90</v>
      </c>
      <c r="F41" s="47" t="s">
        <v>90</v>
      </c>
      <c r="G41" s="47">
        <v>1</v>
      </c>
      <c r="H41" s="47">
        <v>5</v>
      </c>
      <c r="I41" s="47" t="s">
        <v>90</v>
      </c>
      <c r="J41" s="48">
        <f t="shared" si="5"/>
        <v>100</v>
      </c>
    </row>
    <row r="42" spans="1:10" ht="21" customHeight="1" x14ac:dyDescent="0.15">
      <c r="A42" s="47">
        <v>40038041</v>
      </c>
      <c r="B42" s="47">
        <v>0</v>
      </c>
      <c r="C42" s="47" t="s">
        <v>53</v>
      </c>
      <c r="D42" s="47">
        <v>100</v>
      </c>
      <c r="E42" s="47" t="s">
        <v>90</v>
      </c>
      <c r="F42" s="47" t="s">
        <v>90</v>
      </c>
      <c r="G42" s="47">
        <v>1</v>
      </c>
      <c r="H42" s="47">
        <v>6</v>
      </c>
      <c r="I42" s="47" t="s">
        <v>90</v>
      </c>
      <c r="J42" s="48">
        <f t="shared" si="5"/>
        <v>100</v>
      </c>
    </row>
    <row r="43" spans="1:10" ht="21" customHeight="1" x14ac:dyDescent="0.15">
      <c r="A43" s="47">
        <v>40038042</v>
      </c>
      <c r="B43" s="47">
        <v>0</v>
      </c>
      <c r="C43" s="47" t="s">
        <v>53</v>
      </c>
      <c r="D43" s="47">
        <v>100</v>
      </c>
      <c r="E43" s="47" t="s">
        <v>90</v>
      </c>
      <c r="F43" s="47" t="s">
        <v>90</v>
      </c>
      <c r="G43" s="47">
        <v>1</v>
      </c>
      <c r="H43" s="47">
        <v>7</v>
      </c>
      <c r="I43" s="47" t="s">
        <v>90</v>
      </c>
      <c r="J43" s="48">
        <f t="shared" si="5"/>
        <v>100</v>
      </c>
    </row>
    <row r="44" spans="1:10" ht="21" customHeight="1" x14ac:dyDescent="0.15">
      <c r="A44" s="47">
        <v>40038043</v>
      </c>
      <c r="B44" s="47">
        <v>0</v>
      </c>
      <c r="C44" s="47">
        <v>3</v>
      </c>
      <c r="D44" s="47">
        <v>100</v>
      </c>
      <c r="E44" s="47" t="s">
        <v>90</v>
      </c>
      <c r="F44" s="47" t="s">
        <v>90</v>
      </c>
      <c r="G44" s="47">
        <v>0</v>
      </c>
      <c r="H44" s="47" t="s">
        <v>89</v>
      </c>
      <c r="I44" s="47">
        <v>1230</v>
      </c>
      <c r="J44" s="48">
        <f t="shared" si="5"/>
        <v>100</v>
      </c>
    </row>
    <row r="45" spans="1:10" ht="21" customHeight="1" x14ac:dyDescent="0.15">
      <c r="A45" s="47">
        <v>40038044</v>
      </c>
      <c r="B45" s="47">
        <v>0</v>
      </c>
      <c r="C45" s="47">
        <v>2</v>
      </c>
      <c r="D45" s="47">
        <v>100</v>
      </c>
      <c r="E45" s="47" t="s">
        <v>90</v>
      </c>
      <c r="F45" s="47" t="s">
        <v>90</v>
      </c>
      <c r="G45" s="47">
        <v>0</v>
      </c>
      <c r="H45" s="47" t="s">
        <v>90</v>
      </c>
      <c r="I45" s="47">
        <v>1231</v>
      </c>
      <c r="J45" s="48">
        <f t="shared" si="5"/>
        <v>100</v>
      </c>
    </row>
    <row r="46" spans="1:10" ht="21" customHeight="1" x14ac:dyDescent="0.15">
      <c r="A46" s="47">
        <v>40038045</v>
      </c>
      <c r="B46" s="47">
        <v>0</v>
      </c>
      <c r="C46" s="47" t="s">
        <v>53</v>
      </c>
      <c r="D46" s="47">
        <v>100</v>
      </c>
      <c r="E46" s="47" t="s">
        <v>90</v>
      </c>
      <c r="F46" s="47" t="s">
        <v>90</v>
      </c>
      <c r="G46" s="47">
        <v>0</v>
      </c>
      <c r="H46" s="47" t="s">
        <v>90</v>
      </c>
      <c r="I46" s="47">
        <v>0</v>
      </c>
      <c r="J46" s="48">
        <f t="shared" si="5"/>
        <v>100</v>
      </c>
    </row>
  </sheetData>
  <autoFilter ref="A1:G1"/>
  <phoneticPr fontId="5"/>
  <conditionalFormatting sqref="K47:K1048576 K1:K2">
    <cfRule type="duplicateValues" dxfId="44" priority="45"/>
  </conditionalFormatting>
  <conditionalFormatting sqref="K3">
    <cfRule type="duplicateValues" dxfId="43" priority="44"/>
  </conditionalFormatting>
  <conditionalFormatting sqref="K4">
    <cfRule type="duplicateValues" dxfId="42" priority="43"/>
  </conditionalFormatting>
  <conditionalFormatting sqref="K5">
    <cfRule type="duplicateValues" dxfId="41" priority="42"/>
  </conditionalFormatting>
  <conditionalFormatting sqref="K6">
    <cfRule type="duplicateValues" dxfId="40" priority="41"/>
  </conditionalFormatting>
  <conditionalFormatting sqref="K7">
    <cfRule type="duplicateValues" dxfId="39" priority="40"/>
  </conditionalFormatting>
  <conditionalFormatting sqref="K8">
    <cfRule type="duplicateValues" dxfId="38" priority="39"/>
  </conditionalFormatting>
  <conditionalFormatting sqref="K9">
    <cfRule type="duplicateValues" dxfId="37" priority="38"/>
  </conditionalFormatting>
  <conditionalFormatting sqref="K10">
    <cfRule type="duplicateValues" dxfId="36" priority="37"/>
  </conditionalFormatting>
  <conditionalFormatting sqref="K11">
    <cfRule type="duplicateValues" dxfId="35" priority="36"/>
  </conditionalFormatting>
  <conditionalFormatting sqref="K12">
    <cfRule type="duplicateValues" dxfId="34" priority="35"/>
  </conditionalFormatting>
  <conditionalFormatting sqref="K13">
    <cfRule type="duplicateValues" dxfId="33" priority="34"/>
  </conditionalFormatting>
  <conditionalFormatting sqref="K14">
    <cfRule type="duplicateValues" dxfId="32" priority="33"/>
  </conditionalFormatting>
  <conditionalFormatting sqref="K15">
    <cfRule type="duplicateValues" dxfId="31" priority="32"/>
  </conditionalFormatting>
  <conditionalFormatting sqref="K16">
    <cfRule type="duplicateValues" dxfId="30" priority="31"/>
  </conditionalFormatting>
  <conditionalFormatting sqref="K17">
    <cfRule type="duplicateValues" dxfId="29" priority="30"/>
  </conditionalFormatting>
  <conditionalFormatting sqref="K18">
    <cfRule type="duplicateValues" dxfId="28" priority="29"/>
  </conditionalFormatting>
  <conditionalFormatting sqref="K19">
    <cfRule type="duplicateValues" dxfId="27" priority="28"/>
  </conditionalFormatting>
  <conditionalFormatting sqref="K20">
    <cfRule type="duplicateValues" dxfId="26" priority="27"/>
  </conditionalFormatting>
  <conditionalFormatting sqref="K21">
    <cfRule type="duplicateValues" dxfId="25" priority="26"/>
  </conditionalFormatting>
  <conditionalFormatting sqref="K22">
    <cfRule type="duplicateValues" dxfId="24" priority="25"/>
  </conditionalFormatting>
  <conditionalFormatting sqref="K26">
    <cfRule type="duplicateValues" dxfId="23" priority="24"/>
  </conditionalFormatting>
  <conditionalFormatting sqref="K27">
    <cfRule type="duplicateValues" dxfId="22" priority="23"/>
  </conditionalFormatting>
  <conditionalFormatting sqref="K28">
    <cfRule type="duplicateValues" dxfId="21" priority="22"/>
  </conditionalFormatting>
  <conditionalFormatting sqref="K30">
    <cfRule type="duplicateValues" dxfId="20" priority="21"/>
  </conditionalFormatting>
  <conditionalFormatting sqref="K31">
    <cfRule type="duplicateValues" dxfId="19" priority="20"/>
  </conditionalFormatting>
  <conditionalFormatting sqref="K32">
    <cfRule type="duplicateValues" dxfId="18" priority="19"/>
  </conditionalFormatting>
  <conditionalFormatting sqref="K33">
    <cfRule type="duplicateValues" dxfId="17" priority="18"/>
  </conditionalFormatting>
  <conditionalFormatting sqref="K34">
    <cfRule type="duplicateValues" dxfId="16" priority="17"/>
  </conditionalFormatting>
  <conditionalFormatting sqref="K35">
    <cfRule type="duplicateValues" dxfId="15" priority="16"/>
  </conditionalFormatting>
  <conditionalFormatting sqref="K36">
    <cfRule type="duplicateValues" dxfId="14" priority="15"/>
  </conditionalFormatting>
  <conditionalFormatting sqref="K37">
    <cfRule type="duplicateValues" dxfId="13" priority="14"/>
  </conditionalFormatting>
  <conditionalFormatting sqref="K38">
    <cfRule type="duplicateValues" dxfId="12" priority="13"/>
  </conditionalFormatting>
  <conditionalFormatting sqref="K39">
    <cfRule type="duplicateValues" dxfId="11" priority="12"/>
  </conditionalFormatting>
  <conditionalFormatting sqref="K40">
    <cfRule type="duplicateValues" dxfId="10" priority="11"/>
  </conditionalFormatting>
  <conditionalFormatting sqref="K41">
    <cfRule type="duplicateValues" dxfId="9" priority="10"/>
  </conditionalFormatting>
  <conditionalFormatting sqref="K42">
    <cfRule type="duplicateValues" dxfId="8" priority="9"/>
  </conditionalFormatting>
  <conditionalFormatting sqref="K43">
    <cfRule type="duplicateValues" dxfId="7" priority="8"/>
  </conditionalFormatting>
  <conditionalFormatting sqref="K25">
    <cfRule type="duplicateValues" dxfId="6" priority="7"/>
  </conditionalFormatting>
  <conditionalFormatting sqref="K29">
    <cfRule type="duplicateValues" dxfId="5" priority="6"/>
  </conditionalFormatting>
  <conditionalFormatting sqref="K24">
    <cfRule type="duplicateValues" dxfId="4" priority="5"/>
  </conditionalFormatting>
  <conditionalFormatting sqref="K23">
    <cfRule type="duplicateValues" dxfId="3" priority="4"/>
  </conditionalFormatting>
  <conditionalFormatting sqref="K44">
    <cfRule type="duplicateValues" dxfId="2" priority="3"/>
  </conditionalFormatting>
  <conditionalFormatting sqref="K46">
    <cfRule type="duplicateValues" dxfId="1" priority="2"/>
  </conditionalFormatting>
  <conditionalFormatting sqref="K4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workbookViewId="0">
      <pane xSplit="5" ySplit="1" topLeftCell="L6" activePane="bottomRight" state="frozen"/>
      <selection pane="topRight"/>
      <selection pane="bottomLeft"/>
      <selection pane="bottomRight" activeCell="M15" sqref="M1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40038001_40038001</v>
      </c>
      <c r="B2" s="47">
        <v>40038001</v>
      </c>
      <c r="C2" s="47">
        <v>40038001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当意即妙の舞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2ターンユニット全体の回復力50%DOWN+全体攻撃</v>
      </c>
      <c r="F2" s="47">
        <v>40038001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2" si="1">B3&amp;"_"&amp;C3</f>
        <v>40038002_40038002</v>
      </c>
      <c r="B3" s="47">
        <v>40038002</v>
      </c>
      <c r="C3" s="47">
        <v>40038002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余興ダ_x000D_オレを楽しませてミセロ！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" s="47">
        <v>40038002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40038002_40038003</v>
      </c>
      <c r="B4" s="47">
        <v>40038002</v>
      </c>
      <c r="C4" s="47">
        <v>40038003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グハハ　…次はオマエらダ！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7">
        <v>40038003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40038002_40038004</v>
      </c>
      <c r="B5" s="47">
        <v>40038002</v>
      </c>
      <c r="C5" s="47">
        <v>40038004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なんダ　…その程度カ？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4ターンユニット全体にスキルバインド</v>
      </c>
      <c r="F5" s="47">
        <v>40038004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40038002_40038005</v>
      </c>
      <c r="B6" s="47">
        <v>40038002</v>
      </c>
      <c r="C6" s="47">
        <v>40038005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破滅のオーラ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10ターンテクニカルタイプのユニットにスキルバインド+_x000D_4回連続攻撃</v>
      </c>
      <c r="F6" s="47">
        <v>40038005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40038002_40038006</v>
      </c>
      <c r="B7" s="47">
        <v>40038002</v>
      </c>
      <c r="C7" s="47">
        <v>40038006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詰まラン…！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7" s="47">
        <v>40038006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40038002_40038007</v>
      </c>
      <c r="B8" s="47">
        <v>40038002</v>
      </c>
      <c r="C8" s="47">
        <v>40038007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ソノ身で償うがイイ！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8" s="47">
        <v>40038007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40038002_40038008</v>
      </c>
      <c r="B9" s="47">
        <v>40038002</v>
      </c>
      <c r="C9" s="47">
        <v>40038008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踊レ踊レ！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9" s="47">
        <v>40038008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40038003_40038009</v>
      </c>
      <c r="B10" s="47">
        <v>40038003</v>
      </c>
      <c r="C10" s="47">
        <v>40038009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亀甲装甲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状態異常耐性+敵全体に1ターン全属性ダメージ50%軽減</v>
      </c>
      <c r="F10" s="47">
        <v>40038009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40038003_40038010</v>
      </c>
      <c r="B11" s="47">
        <v>40038003</v>
      </c>
      <c r="C11" s="47">
        <v>40038010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大亀の施し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敵全体に3ターン全属性ダメージ50%軽減</v>
      </c>
      <c r="F11" s="47">
        <v>40038010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40038004_40038011</v>
      </c>
      <c r="B12" s="47">
        <v>40038004</v>
      </c>
      <c r="C12" s="47">
        <v>40038011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上書き完了！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状態異常耐性+_x000D_ランダムで赤のダメージパネルに15個変換</v>
      </c>
      <c r="F12" s="47">
        <v>40038011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35" si="2">B13&amp;"_"&amp;C13</f>
        <v>40038004_40038012</v>
      </c>
      <c r="B13" s="47">
        <v>40038004</v>
      </c>
      <c r="C13" s="47">
        <v>40038012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制圧プログラム【玉手箱】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ランダムで赤のダメージパネルに15個変換</v>
      </c>
      <c r="F13" s="47">
        <v>40038012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40038004_40038013</v>
      </c>
      <c r="B14" s="47">
        <v>40038004</v>
      </c>
      <c r="C14" s="47">
        <v>40038013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システムハック！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14" s="47">
        <v>40038013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40038005_40038014</v>
      </c>
      <c r="B15" s="47">
        <v>40038005</v>
      </c>
      <c r="C15" s="47">
        <v>40038014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心略の罠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2ターンユニット全体の回復力100%DOWN+全体攻撃</v>
      </c>
      <c r="F15" s="47">
        <v>40038014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40038006_40038015</v>
      </c>
      <c r="B16" s="47">
        <v>40038006</v>
      </c>
      <c r="C16" s="47">
        <v>40038015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ブッちぎってやる！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40038015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3">B17&amp;"_"&amp;C17</f>
        <v>40038006_40038016</v>
      </c>
      <c r="B17" s="47">
        <v>40038006</v>
      </c>
      <c r="C17" s="47">
        <v>40038016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烈火の如き赤兎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17" s="47">
        <v>40038016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40038006_40038017</v>
      </c>
      <c r="B18" s="47">
        <v>40038006</v>
      </c>
      <c r="C18" s="47">
        <v>40038017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泥みたいに沈めー！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1ターンユニット全体にスキルバインド+全体攻撃</v>
      </c>
      <c r="F18" s="47">
        <v>40038017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40038006_40038018</v>
      </c>
      <c r="B19" s="47">
        <v>40038006</v>
      </c>
      <c r="C19" s="47">
        <v>40038018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トップギアでいくぞー！！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19" s="47">
        <v>40038018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40038006_40038019</v>
      </c>
      <c r="B20" s="47">
        <v>40038006</v>
      </c>
      <c r="C20" s="47">
        <v>40038019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赤兎式スクランブル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20" s="47">
        <v>40038019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40038006_40038020</v>
      </c>
      <c r="B21" s="47">
        <v>40038006</v>
      </c>
      <c r="C21" s="47">
        <v>40038020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おそすぎー！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1" s="47">
        <v>40038020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40038007_40038021</v>
      </c>
      <c r="B22" s="47">
        <v>40038007</v>
      </c>
      <c r="C22" s="47">
        <v>40038021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夏目漱石か…_x000D_君の作品は気楽だが深くない…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2" s="47">
        <v>40038021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40038007_40038021</v>
      </c>
      <c r="B23" s="47">
        <v>40038007</v>
      </c>
      <c r="C23" s="47">
        <v>40038021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夏目漱石か…_x000D_君の作品は気楽だが深くない…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47">
        <v>40038022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4">B24&amp;"_"&amp;C24</f>
        <v>40038007_40038022</v>
      </c>
      <c r="B24" s="47">
        <v>40038007</v>
      </c>
      <c r="C24" s="47">
        <v>40038022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バカな奴だ_x000D_君は何もわかつてゐない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47">
        <v>40038023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40038007_40038023</v>
      </c>
      <c r="B25" s="47">
        <v>40038007</v>
      </c>
      <c r="C25" s="47">
        <v>40038023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【痛みと罰】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ランダムで青のダメージパネルに10個変換</v>
      </c>
      <c r="F25" s="47">
        <v>40038024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5">B26&amp;"_"&amp;C26</f>
        <v>40038007_40038024</v>
      </c>
      <c r="B26" s="47">
        <v>40038007</v>
      </c>
      <c r="C26" s="47">
        <v>40038024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愛より哀をあたへよう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26" s="47">
        <v>40038025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2"/>
        <v>40038007_40038025</v>
      </c>
      <c r="B27" s="47">
        <v>40038007</v>
      </c>
      <c r="C27" s="47">
        <v>40038025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間違いなんてない_x000D_間違う奴がゐるだけだ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2ターンユニット単体の回復力50%DOWN+単体攻撃</v>
      </c>
      <c r="F27" s="47">
        <v>40038026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si="2"/>
        <v>40038007_40038026</v>
      </c>
      <c r="B28" s="47">
        <v>40038007</v>
      </c>
      <c r="C28" s="47">
        <v>40038026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【道化の涙】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ランダムで青のダメージパネルに20個変換</v>
      </c>
      <c r="F28" s="47">
        <v>40038027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40038007_40038027</v>
      </c>
      <c r="B29" s="47">
        <v>40038007</v>
      </c>
      <c r="C29" s="47">
        <v>40038027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無言の圧力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40038028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40038008_40038028</v>
      </c>
      <c r="B30" s="47">
        <v>40038008</v>
      </c>
      <c r="C30" s="47">
        <v>40038028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所詮　この世界に救いなど無いよ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状態異常耐性+_x000D_ランダムで黄のダメージパネルに7個変換</v>
      </c>
      <c r="F30" s="47">
        <v>40038029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40038008_40038029</v>
      </c>
      <c r="B31" s="47">
        <v>40038008</v>
      </c>
      <c r="C31" s="47">
        <v>40038029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【落陽】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ランダムで青のダメージパネルに10個変換+_x000D_残りHPの30%ダメージ！</v>
      </c>
      <c r="F31" s="47">
        <v>40038030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40038008_40038030</v>
      </c>
      <c r="B32" s="47">
        <v>40038008</v>
      </c>
      <c r="C32" s="47">
        <v>40038030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物事には得手不得手があるだらう_x000D_僕には前者が足りないんだ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テクニカルタイプのユニットに大ダメージの全体攻撃</v>
      </c>
      <c r="F32" s="47">
        <v>40038031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40038008_40038031</v>
      </c>
      <c r="B33" s="47">
        <v>40038008</v>
      </c>
      <c r="C33" s="47">
        <v>40038031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生き続けるのも大変だ…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33" s="47">
        <v>40038032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40038008_40038032</v>
      </c>
      <c r="B34" s="47">
        <v>40038008</v>
      </c>
      <c r="C34" s="47">
        <v>40038032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死にたいのではない_x000D_生きることを辞めたいんだ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34" s="47">
        <v>40038033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40038008_40038033</v>
      </c>
      <c r="B35" s="47">
        <v>40038008</v>
      </c>
      <c r="C35" s="47">
        <v>40038033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一緒におどろうか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47">
        <v>40038034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76" si="6">B36&amp;"_"&amp;C36</f>
        <v>40038009_40038034</v>
      </c>
      <c r="B36" s="47">
        <v>40038009</v>
      </c>
      <c r="C36" s="47">
        <v>40038034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確信したよ…_x000D_僕の全盛は今なんだと…！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状態異常耐性+ユニット全体の回復力90%DOWN</v>
      </c>
      <c r="F36" s="47">
        <v>40038035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6"/>
        <v>40038009_40038035</v>
      </c>
      <c r="B37" s="47">
        <v>40038009</v>
      </c>
      <c r="C37" s="47">
        <v>40038035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【道しるべ】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ランダムで黄のダメージパネルに7個変換</v>
      </c>
      <c r="F37" s="47">
        <v>40038036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40038009_40038036</v>
      </c>
      <c r="B38" s="47">
        <v>40038009</v>
      </c>
      <c r="C38" s="47">
        <v>40038036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【盛衰】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ランダムで黄のダメージパネルに10個変換</v>
      </c>
      <c r="F38" s="47">
        <v>40038037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40038009_40038037</v>
      </c>
      <c r="B39" s="47">
        <v>40038009</v>
      </c>
      <c r="C39" s="47">
        <v>40038037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今まで幾度も幾度も後悔したよ…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39" s="47">
        <v>40038038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40038009_40038038</v>
      </c>
      <c r="B40" s="47">
        <v>40038009</v>
      </c>
      <c r="C40" s="47">
        <v>40038038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悔やんで悩んで迷つて泣いて諦めた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17回連続攻撃</v>
      </c>
      <c r="F40" s="47">
        <v>40038039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6"/>
        <v>40038009_40038039</v>
      </c>
      <c r="B41" s="47">
        <v>40038009</v>
      </c>
      <c r="C41" s="47">
        <v>40038039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君は希望も苦悩も欲望も罪悪も_x000D_感じることができるだらう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6回連続全体攻撃</v>
      </c>
      <c r="F41" s="47">
        <v>40038040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6"/>
        <v>40038009_40038040</v>
      </c>
      <c r="B42" s="47">
        <v>40038009</v>
      </c>
      <c r="C42" s="47">
        <v>40038040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僕にはそれができないんだ…_x000D_この間それにきづいた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1ターンユニット全体にスキルバインド+_x000D_全てのパネルをハートパネルに変換+_x000D_次のターンに強力な攻撃！</v>
      </c>
      <c r="F42" s="47">
        <v>40038041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6"/>
        <v>40038009_40038041</v>
      </c>
      <c r="B43" s="47">
        <v>40038009</v>
      </c>
      <c r="C43" s="47">
        <v>40038041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最早　僕は人ですらないと_x000D_…そう思いたつたよ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残りHPの100%ダメージ！</v>
      </c>
      <c r="F43" s="47">
        <v>40038042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6"/>
        <v>40038009_40038042</v>
      </c>
      <c r="B44" s="47">
        <v>40038009</v>
      </c>
      <c r="C44" s="47">
        <v>40038042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ああくだらない…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この程度で終わつてしまうのか…_x000D_…やはりつまらなかつた</v>
      </c>
      <c r="F44" s="47">
        <v>40038043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6"/>
        <v>40038009_40038042</v>
      </c>
      <c r="B45" s="47">
        <v>40038009</v>
      </c>
      <c r="C45" s="47">
        <v>40038042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ああくだらない…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この程度で終わつてしまうのか…_x000D_…やはりつまらなかつた</v>
      </c>
      <c r="F45" s="47">
        <v>40038044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thickBot="1" x14ac:dyDescent="0.2">
      <c r="A46" s="159" t="str">
        <f t="shared" si="6"/>
        <v>40038009_40038043</v>
      </c>
      <c r="B46" s="160">
        <v>40038009</v>
      </c>
      <c r="C46" s="160">
        <v>40038043</v>
      </c>
      <c r="D46" s="16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終わるのも良いかと思つていたが_x000D_…無性に畏れている自分が嫌いだ</v>
      </c>
      <c r="E46" s="16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生きるのが辛かつたと…_x000D_そう思つてゐたのに…</v>
      </c>
      <c r="F46" s="160">
        <v>40038045</v>
      </c>
      <c r="G46" s="162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62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62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62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62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62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162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62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162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60"/>
      <c r="Q46" s="160"/>
      <c r="R46" s="160"/>
    </row>
    <row r="47" spans="1:18" ht="21" customHeight="1" thickTop="1" x14ac:dyDescent="0.15">
      <c r="A47" s="39" t="str">
        <f t="shared" si="6"/>
        <v>40038010_40038001</v>
      </c>
      <c r="B47" s="156">
        <v>40038010</v>
      </c>
      <c r="C47" s="156">
        <v>40038001</v>
      </c>
      <c r="D47" s="157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当意即妙の舞</v>
      </c>
      <c r="E47" s="157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2ターンユニット全体の回復力50%DOWN+全体攻撃</v>
      </c>
      <c r="F47" s="156">
        <v>40038001</v>
      </c>
      <c r="G47" s="15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5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15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5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5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5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15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7" s="15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5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56"/>
      <c r="Q47" s="156"/>
      <c r="R47" s="156"/>
    </row>
    <row r="48" spans="1:18" ht="21" customHeight="1" x14ac:dyDescent="0.15">
      <c r="A48" s="39" t="str">
        <f t="shared" si="6"/>
        <v>40038011_40038002</v>
      </c>
      <c r="B48" s="47">
        <v>40038011</v>
      </c>
      <c r="C48" s="47">
        <v>40038002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余興ダ_x000D_オレを楽しませてミセロ！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47">
        <v>40038002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6"/>
        <v>40038011_40038003</v>
      </c>
      <c r="B49" s="47">
        <v>40038011</v>
      </c>
      <c r="C49" s="47">
        <v>40038003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グハハ　…次はオマエらダ！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9" s="47">
        <v>40038003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40038011_40038004</v>
      </c>
      <c r="B50" s="47">
        <v>40038011</v>
      </c>
      <c r="C50" s="47">
        <v>40038004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なんダ　…その程度カ？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4ターンユニット全体にスキルバインド</v>
      </c>
      <c r="F50" s="47">
        <v>40038004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40038011_40038005</v>
      </c>
      <c r="B51" s="47">
        <v>40038011</v>
      </c>
      <c r="C51" s="47">
        <v>40038005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破滅のオーラ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10ターンテクニカルタイプのユニットにスキルバインド+_x000D_4回連続攻撃</v>
      </c>
      <c r="F51" s="47">
        <v>40038005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40038011_40038008</v>
      </c>
      <c r="B52" s="47">
        <v>40038011</v>
      </c>
      <c r="C52" s="47">
        <v>40038008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踊レ踊レ！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52" s="47">
        <v>40038008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6"/>
        <v>40038012_40038009</v>
      </c>
      <c r="B53" s="47">
        <v>40038012</v>
      </c>
      <c r="C53" s="47">
        <v>40038009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亀甲装甲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状態異常耐性+敵全体に1ターン全属性ダメージ50%軽減</v>
      </c>
      <c r="F53" s="47">
        <v>40038009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6"/>
        <v>40038012_40038010</v>
      </c>
      <c r="B54" s="47">
        <v>40038012</v>
      </c>
      <c r="C54" s="47">
        <v>40038010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大亀の施し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敵全体に3ターン全属性ダメージ50%軽減</v>
      </c>
      <c r="F54" s="47">
        <v>40038010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6"/>
        <v>40038013_40038011</v>
      </c>
      <c r="B55" s="47">
        <v>40038013</v>
      </c>
      <c r="C55" s="47">
        <v>40038011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上書き完了！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状態異常耐性+_x000D_ランダムで赤のダメージパネルに15個変換</v>
      </c>
      <c r="F55" s="47">
        <v>40038011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6"/>
        <v>40038013_40038012</v>
      </c>
      <c r="B56" s="47">
        <v>40038013</v>
      </c>
      <c r="C56" s="47">
        <v>40038012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制圧プログラム【玉手箱】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ランダムで赤のダメージパネルに15個変換</v>
      </c>
      <c r="F56" s="47">
        <v>40038012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6"/>
        <v>40038013_40038013</v>
      </c>
      <c r="B57" s="47">
        <v>40038013</v>
      </c>
      <c r="C57" s="47">
        <v>40038013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システムハック！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57" s="47">
        <v>40038013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6"/>
        <v>40038014_40038014</v>
      </c>
      <c r="B58" s="47">
        <v>40038014</v>
      </c>
      <c r="C58" s="47">
        <v>40038014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心略の罠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2ターンユニット全体の回復力100%DOWN+全体攻撃</v>
      </c>
      <c r="F58" s="47">
        <v>40038014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6"/>
        <v>40038015_40038015</v>
      </c>
      <c r="B59" s="47">
        <v>40038015</v>
      </c>
      <c r="C59" s="47">
        <v>40038015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ブッちぎってやる！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9" s="47">
        <v>40038015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6"/>
        <v>40038015_40038016</v>
      </c>
      <c r="B60" s="47">
        <v>40038015</v>
      </c>
      <c r="C60" s="47">
        <v>40038016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烈火の如き赤兎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60" s="47">
        <v>40038016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6"/>
        <v>40038015_40038017</v>
      </c>
      <c r="B61" s="47">
        <v>40038015</v>
      </c>
      <c r="C61" s="47">
        <v>40038017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泥みたいに沈めー！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1ターンユニット全体にスキルバインド+全体攻撃</v>
      </c>
      <c r="F61" s="47">
        <v>40038017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2" customHeight="1" x14ac:dyDescent="0.15">
      <c r="A62" s="39" t="str">
        <f t="shared" si="6"/>
        <v>40038015_40038020</v>
      </c>
      <c r="B62" s="47">
        <v>40038015</v>
      </c>
      <c r="C62" s="47">
        <v>40038020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おそすぎー！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2" s="47">
        <v>40038020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6"/>
        <v>40038016_40038021</v>
      </c>
      <c r="B63" s="47">
        <v>40038016</v>
      </c>
      <c r="C63" s="47">
        <v>40038021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夏目漱石か…_x000D_君の作品は気楽だが深くない…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3" s="47">
        <v>40038021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6"/>
        <v>40038016_40038021</v>
      </c>
      <c r="B64" s="47">
        <v>40038016</v>
      </c>
      <c r="C64" s="47">
        <v>40038021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夏目漱石か…_x000D_君の作品は気楽だが深くない…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4" s="47">
        <v>40038022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6"/>
        <v>40038016_40038022</v>
      </c>
      <c r="B65" s="47">
        <v>40038016</v>
      </c>
      <c r="C65" s="47">
        <v>40038022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バカな奴だ_x000D_君は何もわかつてゐない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5" s="47">
        <v>40038023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6"/>
        <v>40038016_40038023</v>
      </c>
      <c r="B66" s="47">
        <v>40038016</v>
      </c>
      <c r="C66" s="47">
        <v>40038023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【痛みと罰】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ランダムで青のダメージパネルに10個変換</v>
      </c>
      <c r="F66" s="47">
        <v>40038024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6"/>
        <v>40038016_40038024</v>
      </c>
      <c r="B67" s="47">
        <v>40038016</v>
      </c>
      <c r="C67" s="47">
        <v>40038024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愛より哀をあたへよう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67" s="47">
        <v>40038025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7" s="47"/>
      <c r="Q67" s="47"/>
      <c r="R67" s="47"/>
    </row>
    <row r="68" spans="1:18" ht="21" customHeight="1" x14ac:dyDescent="0.15">
      <c r="A68" s="39" t="str">
        <f t="shared" si="6"/>
        <v>40038016_40038025</v>
      </c>
      <c r="B68" s="47">
        <v>40038016</v>
      </c>
      <c r="C68" s="47">
        <v>40038025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間違いなんてない_x000D_間違う奴がゐるだけだ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2ターンユニット単体の回復力50%DOWN+単体攻撃</v>
      </c>
      <c r="F68" s="47">
        <v>40038026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8" s="47"/>
      <c r="Q68" s="47"/>
      <c r="R68" s="47"/>
    </row>
    <row r="69" spans="1:18" ht="21" customHeight="1" x14ac:dyDescent="0.15">
      <c r="A69" s="39" t="str">
        <f t="shared" si="6"/>
        <v>40038016_40038026</v>
      </c>
      <c r="B69" s="47">
        <v>40038016</v>
      </c>
      <c r="C69" s="47">
        <v>40038026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【道化の涙】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ランダムで青のダメージパネルに20個変換</v>
      </c>
      <c r="F69" s="47">
        <v>40038027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6"/>
        <v>40038016_40038027</v>
      </c>
      <c r="B70" s="47">
        <v>40038016</v>
      </c>
      <c r="C70" s="47">
        <v>40038027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無言の圧力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0" s="47">
        <v>40038028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6"/>
        <v>40038017_40038028</v>
      </c>
      <c r="B71" s="47">
        <v>40038017</v>
      </c>
      <c r="C71" s="47">
        <v>40038028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所詮　この世界に救いなど無いよ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状態異常耐性+_x000D_ランダムで黄のダメージパネルに7個変換</v>
      </c>
      <c r="F71" s="47">
        <v>40038029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6"/>
        <v>40038017_40038029</v>
      </c>
      <c r="B72" s="47">
        <v>40038017</v>
      </c>
      <c r="C72" s="47">
        <v>40038029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【落陽】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ランダムで青のダメージパネルに10個変換+_x000D_残りHPの30%ダメージ！</v>
      </c>
      <c r="F72" s="47">
        <v>40038030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6"/>
        <v>40038017_40038030</v>
      </c>
      <c r="B73" s="47">
        <v>40038017</v>
      </c>
      <c r="C73" s="47">
        <v>40038030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物事には得手不得手があるだらう_x000D_僕には前者が足りないんだ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テクニカルタイプのユニットに大ダメージの全体攻撃</v>
      </c>
      <c r="F73" s="47">
        <v>40038031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6"/>
        <v>40038017_40038031</v>
      </c>
      <c r="B74" s="47">
        <v>40038017</v>
      </c>
      <c r="C74" s="47">
        <v>40038031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生き続けるのも大変だ…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74" s="47">
        <v>40038032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6"/>
        <v>40038017_40038032</v>
      </c>
      <c r="B75" s="47">
        <v>40038017</v>
      </c>
      <c r="C75" s="47">
        <v>40038032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死にたいのではない_x000D_生きることを辞めたいんだ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75" s="47">
        <v>40038033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6"/>
        <v>40038017_40038033</v>
      </c>
      <c r="B76" s="47">
        <v>40038017</v>
      </c>
      <c r="C76" s="47">
        <v>40038033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一緒におどろうか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6" s="47">
        <v>40038034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:A79" si="7">B77&amp;"_"&amp;C77</f>
        <v>40038017_40038042</v>
      </c>
      <c r="B77" s="47">
        <v>40038017</v>
      </c>
      <c r="C77" s="47">
        <v>40038042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ああくだらない…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この程度で終わつてしまうのか…_x000D_…やはりつまらなかつた</v>
      </c>
      <c r="F77" s="47">
        <v>40038043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7"/>
        <v>40038017_40038042</v>
      </c>
      <c r="B78" s="47">
        <v>40038017</v>
      </c>
      <c r="C78" s="47">
        <v>40038042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ああくだらない…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この程度で終わつてしまうのか…_x000D_…やはりつまらなかつた</v>
      </c>
      <c r="F78" s="47">
        <v>40038044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7"/>
        <v>40038017_40038043</v>
      </c>
      <c r="B79" s="47">
        <v>40038017</v>
      </c>
      <c r="C79" s="47">
        <v>40038043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終わるのも良いかと思つていたが_x000D_…無性に畏れている自分が嫌いだ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生きるのが辛かつたと…_x000D_そう思つてゐたのに…</v>
      </c>
      <c r="F79" s="47">
        <v>40038045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D1" workbookViewId="0">
      <selection activeCell="H21" sqref="H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16">
        <f>floors!$C$6</f>
        <v>40038</v>
      </c>
      <c r="B2" s="108">
        <v>1</v>
      </c>
      <c r="C2" s="117" t="str">
        <f>A2&amp; "_"&amp;B2</f>
        <v>40038_1</v>
      </c>
      <c r="D2" s="1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8">
        <v>1</v>
      </c>
      <c r="F2" s="108" t="s">
        <v>169</v>
      </c>
      <c r="G2" s="109">
        <v>40000</v>
      </c>
      <c r="H2" s="108" t="s">
        <v>256</v>
      </c>
      <c r="I2" s="108">
        <v>1</v>
      </c>
      <c r="J2" s="108">
        <v>1</v>
      </c>
      <c r="K2" s="108">
        <v>0</v>
      </c>
      <c r="L2" s="108">
        <v>0</v>
      </c>
      <c r="M2" s="108">
        <v>0</v>
      </c>
      <c r="N2" s="108">
        <v>0</v>
      </c>
      <c r="O2" s="108">
        <v>1</v>
      </c>
      <c r="P2" s="108">
        <v>150</v>
      </c>
      <c r="Q2" s="108" t="s">
        <v>170</v>
      </c>
      <c r="R2" s="110" t="s">
        <v>171</v>
      </c>
    </row>
    <row r="3" spans="1:18" x14ac:dyDescent="0.15">
      <c r="A3" s="116">
        <f>floors!$C$6</f>
        <v>40038</v>
      </c>
      <c r="B3" s="57">
        <v>1</v>
      </c>
      <c r="C3" s="71" t="str">
        <f t="shared" ref="C3:C18" si="0">A3&amp; "_"&amp;B3</f>
        <v>40038_1</v>
      </c>
      <c r="D3" s="1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257</v>
      </c>
      <c r="G3" s="111">
        <v>30</v>
      </c>
      <c r="H3" s="57" t="s">
        <v>256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12" t="s">
        <v>171</v>
      </c>
    </row>
    <row r="4" spans="1:18" x14ac:dyDescent="0.15">
      <c r="A4" s="116">
        <f>floors!$C$6</f>
        <v>40038</v>
      </c>
      <c r="B4" s="57">
        <v>1</v>
      </c>
      <c r="C4" s="71" t="str">
        <f t="shared" si="0"/>
        <v>40038_1</v>
      </c>
      <c r="D4" s="1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258</v>
      </c>
      <c r="G4" s="111">
        <v>341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12" t="s">
        <v>171</v>
      </c>
    </row>
    <row r="5" spans="1:18" x14ac:dyDescent="0.15">
      <c r="A5" s="116">
        <f>floors!$C$6</f>
        <v>40038</v>
      </c>
      <c r="B5" s="57">
        <v>1</v>
      </c>
      <c r="C5" s="71" t="str">
        <f t="shared" si="0"/>
        <v>40038_1</v>
      </c>
      <c r="D5" s="1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258</v>
      </c>
      <c r="G5" s="111">
        <v>342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12" t="s">
        <v>171</v>
      </c>
    </row>
    <row r="6" spans="1:18" x14ac:dyDescent="0.15">
      <c r="A6" s="116">
        <f>floors!$C$6</f>
        <v>40038</v>
      </c>
      <c r="B6" s="57">
        <v>1</v>
      </c>
      <c r="C6" s="71" t="str">
        <f t="shared" si="0"/>
        <v>40038_1</v>
      </c>
      <c r="D6" s="1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258</v>
      </c>
      <c r="G6" s="111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19">
        <v>100</v>
      </c>
      <c r="Q6" s="57" t="s">
        <v>170</v>
      </c>
      <c r="R6" s="112" t="s">
        <v>171</v>
      </c>
    </row>
    <row r="7" spans="1:18" x14ac:dyDescent="0.15">
      <c r="A7" s="116">
        <f>floors!$C$6</f>
        <v>40038</v>
      </c>
      <c r="B7" s="57">
        <v>1</v>
      </c>
      <c r="C7" s="71" t="str">
        <f t="shared" si="0"/>
        <v>40038_1</v>
      </c>
      <c r="D7" s="1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258</v>
      </c>
      <c r="G7" s="111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19">
        <v>100</v>
      </c>
      <c r="Q7" s="57" t="s">
        <v>170</v>
      </c>
      <c r="R7" s="112" t="s">
        <v>171</v>
      </c>
    </row>
    <row r="8" spans="1:18" x14ac:dyDescent="0.15">
      <c r="A8" s="116">
        <f>floors!$C$6</f>
        <v>40038</v>
      </c>
      <c r="B8" s="57">
        <v>1</v>
      </c>
      <c r="C8" s="71" t="str">
        <f t="shared" si="0"/>
        <v>40038_1</v>
      </c>
      <c r="D8" s="1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258</v>
      </c>
      <c r="G8" s="111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19">
        <v>100</v>
      </c>
      <c r="Q8" s="57" t="s">
        <v>170</v>
      </c>
      <c r="R8" s="112" t="s">
        <v>171</v>
      </c>
    </row>
    <row r="9" spans="1:18" x14ac:dyDescent="0.15">
      <c r="A9" s="116">
        <f>floors!$C$6</f>
        <v>40038</v>
      </c>
      <c r="B9" s="57">
        <v>1</v>
      </c>
      <c r="C9" s="71" t="str">
        <f t="shared" si="0"/>
        <v>40038_1</v>
      </c>
      <c r="D9" s="1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258</v>
      </c>
      <c r="G9" s="111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119">
        <v>10</v>
      </c>
      <c r="Q9" s="57" t="s">
        <v>170</v>
      </c>
      <c r="R9" s="112" t="s">
        <v>171</v>
      </c>
    </row>
    <row r="10" spans="1:18" x14ac:dyDescent="0.15">
      <c r="A10" s="116">
        <f>floors!$C$6</f>
        <v>40038</v>
      </c>
      <c r="B10" s="57">
        <v>1</v>
      </c>
      <c r="C10" s="71" t="str">
        <f t="shared" si="0"/>
        <v>40038_1</v>
      </c>
      <c r="D10" s="1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258</v>
      </c>
      <c r="G10" s="120">
        <v>1218</v>
      </c>
      <c r="H10" s="121">
        <v>1</v>
      </c>
      <c r="I10" s="121">
        <v>1</v>
      </c>
      <c r="J10" s="121">
        <v>1</v>
      </c>
      <c r="K10" s="121">
        <v>0</v>
      </c>
      <c r="L10" s="121">
        <v>0</v>
      </c>
      <c r="M10" s="121">
        <v>0</v>
      </c>
      <c r="N10" s="121">
        <v>0</v>
      </c>
      <c r="O10" s="121">
        <v>1</v>
      </c>
      <c r="P10" s="121">
        <v>100</v>
      </c>
      <c r="Q10" s="57" t="s">
        <v>170</v>
      </c>
      <c r="R10" s="112" t="s">
        <v>171</v>
      </c>
    </row>
    <row r="11" spans="1:18" ht="16" thickBot="1" x14ac:dyDescent="0.2">
      <c r="A11" s="116">
        <f>floors!$C$6</f>
        <v>40038</v>
      </c>
      <c r="B11" s="113">
        <v>1</v>
      </c>
      <c r="C11" s="122" t="str">
        <f t="shared" si="0"/>
        <v>40038_1</v>
      </c>
      <c r="D11" s="1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3">
        <v>10</v>
      </c>
      <c r="F11" s="113" t="s">
        <v>258</v>
      </c>
      <c r="G11" s="114">
        <v>352</v>
      </c>
      <c r="H11" s="113">
        <v>1</v>
      </c>
      <c r="I11" s="113">
        <v>1</v>
      </c>
      <c r="J11" s="113">
        <v>1</v>
      </c>
      <c r="K11" s="113">
        <v>0</v>
      </c>
      <c r="L11" s="113">
        <v>0</v>
      </c>
      <c r="M11" s="113">
        <v>0</v>
      </c>
      <c r="N11" s="113">
        <v>0</v>
      </c>
      <c r="O11" s="113">
        <v>1</v>
      </c>
      <c r="P11" s="113">
        <v>150</v>
      </c>
      <c r="Q11" s="113" t="s">
        <v>170</v>
      </c>
      <c r="R11" s="115" t="s">
        <v>171</v>
      </c>
    </row>
    <row r="12" spans="1:18" x14ac:dyDescent="0.15">
      <c r="A12" s="116">
        <f>floors!$C$6</f>
        <v>40038</v>
      </c>
      <c r="B12" s="108">
        <v>2</v>
      </c>
      <c r="C12" s="117" t="str">
        <f t="shared" si="0"/>
        <v>40038_2</v>
      </c>
      <c r="D12" s="1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8">
        <v>1</v>
      </c>
      <c r="F12" s="108" t="s">
        <v>258</v>
      </c>
      <c r="G12" s="109">
        <v>342</v>
      </c>
      <c r="H12" s="108">
        <v>1</v>
      </c>
      <c r="I12" s="108">
        <v>1</v>
      </c>
      <c r="J12" s="108">
        <v>1</v>
      </c>
      <c r="K12" s="108">
        <v>0</v>
      </c>
      <c r="L12" s="108">
        <v>0</v>
      </c>
      <c r="M12" s="108">
        <v>0</v>
      </c>
      <c r="N12" s="108">
        <v>0</v>
      </c>
      <c r="O12" s="108">
        <v>1</v>
      </c>
      <c r="P12" s="108">
        <v>50</v>
      </c>
      <c r="Q12" s="108" t="s">
        <v>170</v>
      </c>
      <c r="R12" s="110" t="s">
        <v>171</v>
      </c>
    </row>
    <row r="13" spans="1:18" x14ac:dyDescent="0.15">
      <c r="A13" s="116">
        <f>floors!$C$6</f>
        <v>40038</v>
      </c>
      <c r="B13" s="57">
        <v>2</v>
      </c>
      <c r="C13" s="71" t="str">
        <f t="shared" si="0"/>
        <v>40038_2</v>
      </c>
      <c r="D13" s="1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258</v>
      </c>
      <c r="G13" s="111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12" t="s">
        <v>171</v>
      </c>
    </row>
    <row r="14" spans="1:18" x14ac:dyDescent="0.15">
      <c r="A14" s="116">
        <f>floors!$C$6</f>
        <v>40038</v>
      </c>
      <c r="B14" s="57">
        <v>2</v>
      </c>
      <c r="C14" s="71" t="str">
        <f t="shared" si="0"/>
        <v>40038_2</v>
      </c>
      <c r="D14" s="1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258</v>
      </c>
      <c r="G14" s="111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12" t="s">
        <v>171</v>
      </c>
    </row>
    <row r="15" spans="1:18" x14ac:dyDescent="0.15">
      <c r="A15" s="116">
        <f>floors!$C$6</f>
        <v>40038</v>
      </c>
      <c r="B15" s="57">
        <v>2</v>
      </c>
      <c r="C15" s="71" t="str">
        <f t="shared" si="0"/>
        <v>40038_2</v>
      </c>
      <c r="D15" s="1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258</v>
      </c>
      <c r="G15" s="111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12" t="s">
        <v>171</v>
      </c>
    </row>
    <row r="16" spans="1:18" x14ac:dyDescent="0.15">
      <c r="A16" s="116">
        <f>floors!$C$6</f>
        <v>40038</v>
      </c>
      <c r="B16" s="57">
        <v>2</v>
      </c>
      <c r="C16" s="71" t="str">
        <f t="shared" si="0"/>
        <v>40038_2</v>
      </c>
      <c r="D16" s="1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258</v>
      </c>
      <c r="G16" s="111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12" t="s">
        <v>171</v>
      </c>
    </row>
    <row r="17" spans="1:18" x14ac:dyDescent="0.15">
      <c r="A17" s="116">
        <f>floors!$C$6</f>
        <v>40038</v>
      </c>
      <c r="B17" s="57">
        <v>2</v>
      </c>
      <c r="C17" s="71" t="str">
        <f t="shared" si="0"/>
        <v>40038_2</v>
      </c>
      <c r="D17" s="1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258</v>
      </c>
      <c r="G17" s="120">
        <v>1218</v>
      </c>
      <c r="H17" s="121">
        <v>1</v>
      </c>
      <c r="I17" s="121">
        <v>1</v>
      </c>
      <c r="J17" s="121">
        <v>1</v>
      </c>
      <c r="K17" s="121">
        <v>0</v>
      </c>
      <c r="L17" s="121">
        <v>0</v>
      </c>
      <c r="M17" s="121">
        <v>0</v>
      </c>
      <c r="N17" s="121">
        <v>0</v>
      </c>
      <c r="O17" s="121">
        <v>1</v>
      </c>
      <c r="P17" s="121">
        <v>500</v>
      </c>
      <c r="Q17" s="57" t="s">
        <v>170</v>
      </c>
      <c r="R17" s="112" t="s">
        <v>171</v>
      </c>
    </row>
    <row r="18" spans="1:18" ht="16" thickBot="1" x14ac:dyDescent="0.2">
      <c r="A18" s="116">
        <f>floors!$C$6</f>
        <v>40038</v>
      </c>
      <c r="B18" s="113">
        <v>2</v>
      </c>
      <c r="C18" s="122" t="str">
        <f t="shared" si="0"/>
        <v>40038_2</v>
      </c>
      <c r="D18" s="1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3">
        <v>7</v>
      </c>
      <c r="F18" s="113" t="s">
        <v>258</v>
      </c>
      <c r="G18" s="114">
        <v>352</v>
      </c>
      <c r="H18" s="113">
        <v>1</v>
      </c>
      <c r="I18" s="113">
        <v>1</v>
      </c>
      <c r="J18" s="113">
        <v>1</v>
      </c>
      <c r="K18" s="113">
        <v>0</v>
      </c>
      <c r="L18" s="113">
        <v>0</v>
      </c>
      <c r="M18" s="113">
        <v>0</v>
      </c>
      <c r="N18" s="113">
        <v>0</v>
      </c>
      <c r="O18" s="113">
        <v>1</v>
      </c>
      <c r="P18" s="113">
        <v>120</v>
      </c>
      <c r="Q18" s="113" t="s">
        <v>170</v>
      </c>
      <c r="R18" s="115" t="s">
        <v>171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1"/>
  <sheetViews>
    <sheetView showGridLines="0" topLeftCell="B1" workbookViewId="0">
      <pane ySplit="1" topLeftCell="A2" activePane="bottomLeft" state="frozen"/>
      <selection pane="bottomLeft" activeCell="K9" sqref="K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377</v>
      </c>
      <c r="B2" s="82">
        <f>floors!$C$2</f>
        <v>40038</v>
      </c>
      <c r="C2" s="83" t="str">
        <f ca="1">VLOOKUP($B2,OFFSET([2]quests!$A$1,0,0,COUNTA([2]quests!$A:$A),MATCH(C$1,[2]quests!$1:$1,0)-MATCH($B$1,[2]quests!$1:$1,0)+1),MATCH(C$1,[2]quests!$1:$1,0)-MATCH($B$1,[2]quests!$1:$1,0)+1,FALSE)</f>
        <v>太宰治襲来！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降臨38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【超絶級】太宰治襲来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降臨38</v>
      </c>
      <c r="H2" s="85">
        <v>0</v>
      </c>
      <c r="I2" s="90">
        <f t="shared" ref="I2:I18" si="0">ROW()-1</f>
        <v>1</v>
      </c>
      <c r="J2" s="86" t="str">
        <f t="shared" ref="J2:J5" si="1">B2&amp;TEXT(I2,"00")</f>
        <v>4003801</v>
      </c>
      <c r="K2" s="84" t="s">
        <v>128</v>
      </c>
      <c r="L2" s="87" t="s">
        <v>333</v>
      </c>
      <c r="M2" s="163" t="s">
        <v>334</v>
      </c>
      <c r="N2" s="57" t="s">
        <v>200</v>
      </c>
    </row>
    <row r="3" spans="1:14" ht="56" x14ac:dyDescent="0.15">
      <c r="A3" s="81" t="s">
        <v>377</v>
      </c>
      <c r="B3" s="82">
        <f>floors!$C$2</f>
        <v>40038</v>
      </c>
      <c r="C3" s="83" t="str">
        <f ca="1">VLOOKUP($B3,OFFSET([2]quests!$A$1,0,0,COUNTA([2]quests!$A:$A),MATCH(C$1,[2]quests!$1:$1,0)-MATCH($B$1,[2]quests!$1:$1,0)+1),MATCH(C$1,[2]quests!$1:$1,0)-MATCH($B$1,[2]quests!$1:$1,0)+1,FALSE)</f>
        <v>太宰治襲来！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降臨38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【超絶級】太宰治襲来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降臨38</v>
      </c>
      <c r="H3" s="85">
        <v>0</v>
      </c>
      <c r="I3" s="90">
        <f t="shared" si="0"/>
        <v>2</v>
      </c>
      <c r="J3" s="86" t="str">
        <f t="shared" si="1"/>
        <v>4003802</v>
      </c>
      <c r="K3" s="84" t="s">
        <v>198</v>
      </c>
      <c r="L3" s="87" t="s">
        <v>335</v>
      </c>
      <c r="M3" s="163" t="s">
        <v>336</v>
      </c>
      <c r="N3" s="57" t="s">
        <v>200</v>
      </c>
    </row>
    <row r="4" spans="1:14" ht="56" x14ac:dyDescent="0.15">
      <c r="A4" s="81" t="s">
        <v>377</v>
      </c>
      <c r="B4" s="82">
        <f>floors!$C$2</f>
        <v>40038</v>
      </c>
      <c r="C4" s="83" t="str">
        <f ca="1">VLOOKUP($B4,OFFSET([2]quests!$A$1,0,0,COUNTA([2]quests!$A:$A),MATCH(C$1,[2]quests!$1:$1,0)-MATCH($B$1,[2]quests!$1:$1,0)+1),MATCH(C$1,[2]quests!$1:$1,0)-MATCH($B$1,[2]quests!$1:$1,0)+1,FALSE)</f>
        <v>太宰治襲来！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降臨38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【超絶級】太宰治襲来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降臨38</v>
      </c>
      <c r="H4" s="85">
        <v>0</v>
      </c>
      <c r="I4" s="90">
        <f t="shared" si="0"/>
        <v>3</v>
      </c>
      <c r="J4" s="86" t="str">
        <f t="shared" si="1"/>
        <v>4003803</v>
      </c>
      <c r="K4" s="84" t="s">
        <v>128</v>
      </c>
      <c r="L4" s="87" t="s">
        <v>337</v>
      </c>
      <c r="M4" s="163" t="s">
        <v>338</v>
      </c>
      <c r="N4" s="57" t="s">
        <v>200</v>
      </c>
    </row>
    <row r="5" spans="1:14" ht="42" x14ac:dyDescent="0.15">
      <c r="A5" s="81" t="s">
        <v>377</v>
      </c>
      <c r="B5" s="82">
        <f>floors!$C$2</f>
        <v>40038</v>
      </c>
      <c r="C5" s="83" t="str">
        <f ca="1">VLOOKUP($B5,OFFSET([2]quests!$A$1,0,0,COUNTA([2]quests!$A:$A),MATCH(C$1,[2]quests!$1:$1,0)-MATCH($B$1,[2]quests!$1:$1,0)+1),MATCH(C$1,[2]quests!$1:$1,0)-MATCH($B$1,[2]quests!$1:$1,0)+1,FALSE)</f>
        <v>太宰治襲来！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降臨38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【超絶級】太宰治襲来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降臨38</v>
      </c>
      <c r="H5" s="85">
        <v>0</v>
      </c>
      <c r="I5" s="90">
        <f t="shared" si="0"/>
        <v>4</v>
      </c>
      <c r="J5" s="86" t="str">
        <f t="shared" si="1"/>
        <v>4003804</v>
      </c>
      <c r="K5" s="84" t="s">
        <v>128</v>
      </c>
      <c r="L5" s="87" t="s">
        <v>340</v>
      </c>
      <c r="M5" s="163" t="s">
        <v>339</v>
      </c>
      <c r="N5" s="57" t="s">
        <v>200</v>
      </c>
    </row>
    <row r="6" spans="1:14" ht="42" x14ac:dyDescent="0.15">
      <c r="A6" s="81" t="s">
        <v>197</v>
      </c>
      <c r="B6" s="82">
        <f>floors!$C$2</f>
        <v>40038</v>
      </c>
      <c r="C6" s="83" t="str">
        <f ca="1">VLOOKUP($B6,OFFSET([2]quests!$A$1,0,0,COUNTA([2]quests!$A:$A),MATCH(C$1,[2]quests!$1:$1,0)-MATCH($B$1,[2]quests!$1:$1,0)+1),MATCH(C$1,[2]quests!$1:$1,0)-MATCH($B$1,[2]quests!$1:$1,0)+1,FALSE)</f>
        <v>太宰治襲来！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降臨38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【超絶級】太宰治襲来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降臨38</v>
      </c>
      <c r="H6" s="85">
        <v>1</v>
      </c>
      <c r="I6" s="90">
        <f t="shared" si="0"/>
        <v>5</v>
      </c>
      <c r="J6" s="86" t="str">
        <f t="shared" ref="J6:J18" si="2">B6&amp;TEXT(I6,"00")</f>
        <v>4003805</v>
      </c>
      <c r="K6" s="84" t="s">
        <v>198</v>
      </c>
      <c r="L6" s="87" t="s">
        <v>199</v>
      </c>
      <c r="M6" s="163" t="s">
        <v>325</v>
      </c>
      <c r="N6" s="57" t="s">
        <v>200</v>
      </c>
    </row>
    <row r="7" spans="1:14" ht="56" x14ac:dyDescent="0.15">
      <c r="A7" s="81" t="s">
        <v>197</v>
      </c>
      <c r="B7" s="82">
        <f>floors!$C$2</f>
        <v>40038</v>
      </c>
      <c r="C7" s="83" t="str">
        <f ca="1">VLOOKUP($B7,OFFSET([2]quests!$A$1,0,0,COUNTA([2]quests!$A:$A),MATCH(C$1,[2]quests!$1:$1,0)-MATCH($B$1,[2]quests!$1:$1,0)+1),MATCH(C$1,[2]quests!$1:$1,0)-MATCH($B$1,[2]quests!$1:$1,0)+1,FALSE)</f>
        <v>太宰治襲来！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降臨38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【超絶級】太宰治襲来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降臨38</v>
      </c>
      <c r="H7" s="85">
        <v>1</v>
      </c>
      <c r="I7" s="90">
        <f t="shared" si="0"/>
        <v>6</v>
      </c>
      <c r="J7" s="86" t="str">
        <f t="shared" si="2"/>
        <v>4003806</v>
      </c>
      <c r="K7" s="84" t="s">
        <v>128</v>
      </c>
      <c r="L7" s="87" t="s">
        <v>199</v>
      </c>
      <c r="M7" s="163" t="s">
        <v>326</v>
      </c>
      <c r="N7" s="57" t="s">
        <v>200</v>
      </c>
    </row>
    <row r="8" spans="1:14" ht="42" x14ac:dyDescent="0.15">
      <c r="A8" s="81" t="s">
        <v>197</v>
      </c>
      <c r="B8" s="82">
        <f>floors!$C$2</f>
        <v>40038</v>
      </c>
      <c r="C8" s="83" t="str">
        <f ca="1">VLOOKUP($B8,OFFSET([2]quests!$A$1,0,0,COUNTA([2]quests!$A:$A),MATCH(C$1,[2]quests!$1:$1,0)-MATCH($B$1,[2]quests!$1:$1,0)+1),MATCH(C$1,[2]quests!$1:$1,0)-MATCH($B$1,[2]quests!$1:$1,0)+1,FALSE)</f>
        <v>太宰治襲来！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降臨38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【超絶級】太宰治襲来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降臨38</v>
      </c>
      <c r="H8" s="85">
        <v>2</v>
      </c>
      <c r="I8" s="90">
        <f t="shared" si="0"/>
        <v>7</v>
      </c>
      <c r="J8" s="86" t="str">
        <f t="shared" si="2"/>
        <v>4003807</v>
      </c>
      <c r="K8" s="84" t="s">
        <v>128</v>
      </c>
      <c r="L8" s="87" t="s">
        <v>199</v>
      </c>
      <c r="M8" s="163" t="s">
        <v>387</v>
      </c>
      <c r="N8" s="57" t="s">
        <v>200</v>
      </c>
    </row>
    <row r="9" spans="1:14" ht="28" x14ac:dyDescent="0.15">
      <c r="A9" s="81" t="s">
        <v>197</v>
      </c>
      <c r="B9" s="82">
        <f>floors!$C$2</f>
        <v>40038</v>
      </c>
      <c r="C9" s="83" t="str">
        <f ca="1">VLOOKUP($B9,OFFSET([2]quests!$A$1,0,0,COUNTA([2]quests!$A:$A),MATCH(C$1,[2]quests!$1:$1,0)-MATCH($B$1,[2]quests!$1:$1,0)+1),MATCH(C$1,[2]quests!$1:$1,0)-MATCH($B$1,[2]quests!$1:$1,0)+1,FALSE)</f>
        <v>太宰治襲来！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降臨38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【超絶級】太宰治襲来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降臨38</v>
      </c>
      <c r="H9" s="85">
        <v>2</v>
      </c>
      <c r="I9" s="90">
        <f t="shared" si="0"/>
        <v>8</v>
      </c>
      <c r="J9" s="86" t="str">
        <f t="shared" si="2"/>
        <v>4003808</v>
      </c>
      <c r="K9" s="84" t="s">
        <v>128</v>
      </c>
      <c r="L9" s="87" t="s">
        <v>199</v>
      </c>
      <c r="M9" s="163" t="s">
        <v>328</v>
      </c>
      <c r="N9" s="57" t="s">
        <v>200</v>
      </c>
    </row>
    <row r="10" spans="1:14" ht="56" x14ac:dyDescent="0.15">
      <c r="A10" s="81" t="s">
        <v>197</v>
      </c>
      <c r="B10" s="82">
        <f>floors!$C$2</f>
        <v>40038</v>
      </c>
      <c r="C10" s="83" t="str">
        <f ca="1">VLOOKUP($B10,OFFSET([2]quests!$A$1,0,0,COUNTA([2]quests!$A:$A),MATCH(C$1,[2]quests!$1:$1,0)-MATCH($B$1,[2]quests!$1:$1,0)+1),MATCH(C$1,[2]quests!$1:$1,0)-MATCH($B$1,[2]quests!$1:$1,0)+1,FALSE)</f>
        <v>太宰治襲来！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降臨38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【超絶級】太宰治襲来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降臨38</v>
      </c>
      <c r="H10" s="85">
        <v>2</v>
      </c>
      <c r="I10" s="90">
        <f t="shared" si="0"/>
        <v>9</v>
      </c>
      <c r="J10" s="86" t="str">
        <f t="shared" si="2"/>
        <v>4003809</v>
      </c>
      <c r="K10" s="84" t="s">
        <v>128</v>
      </c>
      <c r="L10" s="87" t="s">
        <v>199</v>
      </c>
      <c r="M10" s="163" t="s">
        <v>388</v>
      </c>
      <c r="N10" s="57" t="s">
        <v>200</v>
      </c>
    </row>
    <row r="11" spans="1:14" ht="56" x14ac:dyDescent="0.15">
      <c r="A11" s="81" t="s">
        <v>197</v>
      </c>
      <c r="B11" s="82">
        <f>floors!$C$2</f>
        <v>40038</v>
      </c>
      <c r="C11" s="83" t="str">
        <f ca="1">VLOOKUP($B11,OFFSET([2]quests!$A$1,0,0,COUNTA([2]quests!$A:$A),MATCH(C$1,[2]quests!$1:$1,0)-MATCH($B$1,[2]quests!$1:$1,0)+1),MATCH(C$1,[2]quests!$1:$1,0)-MATCH($B$1,[2]quests!$1:$1,0)+1,FALSE)</f>
        <v>太宰治襲来！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降臨38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【超絶級】太宰治襲来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降臨38</v>
      </c>
      <c r="H11" s="85">
        <v>3</v>
      </c>
      <c r="I11" s="90">
        <f t="shared" si="0"/>
        <v>10</v>
      </c>
      <c r="J11" s="86" t="str">
        <f t="shared" si="2"/>
        <v>4003810</v>
      </c>
      <c r="K11" s="84" t="s">
        <v>128</v>
      </c>
      <c r="L11" s="87" t="s">
        <v>199</v>
      </c>
      <c r="M11" s="163" t="s">
        <v>389</v>
      </c>
      <c r="N11" s="57" t="s">
        <v>200</v>
      </c>
    </row>
    <row r="12" spans="1:14" ht="28" x14ac:dyDescent="0.15">
      <c r="A12" s="81" t="s">
        <v>197</v>
      </c>
      <c r="B12" s="82">
        <f>floors!$C$2</f>
        <v>40038</v>
      </c>
      <c r="C12" s="83" t="str">
        <f ca="1">VLOOKUP($B12,OFFSET([2]quests!$A$1,0,0,COUNTA([2]quests!$A:$A),MATCH(C$1,[2]quests!$1:$1,0)-MATCH($B$1,[2]quests!$1:$1,0)+1),MATCH(C$1,[2]quests!$1:$1,0)-MATCH($B$1,[2]quests!$1:$1,0)+1,FALSE)</f>
        <v>太宰治襲来！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降臨38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【超絶級】太宰治襲来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降臨38</v>
      </c>
      <c r="H12" s="85">
        <v>3</v>
      </c>
      <c r="I12" s="90">
        <f t="shared" si="0"/>
        <v>11</v>
      </c>
      <c r="J12" s="86" t="str">
        <f t="shared" si="2"/>
        <v>4003811</v>
      </c>
      <c r="K12" s="84" t="s">
        <v>198</v>
      </c>
      <c r="L12" s="87" t="s">
        <v>199</v>
      </c>
      <c r="M12" s="163" t="s">
        <v>329</v>
      </c>
      <c r="N12" s="57" t="s">
        <v>200</v>
      </c>
    </row>
    <row r="13" spans="1:14" ht="56" x14ac:dyDescent="0.15">
      <c r="A13" s="81" t="s">
        <v>197</v>
      </c>
      <c r="B13" s="82">
        <f>floors!$C$2</f>
        <v>40038</v>
      </c>
      <c r="C13" s="83" t="str">
        <f ca="1">VLOOKUP($B13,OFFSET([2]quests!$A$1,0,0,COUNTA([2]quests!$A:$A),MATCH(C$1,[2]quests!$1:$1,0)-MATCH($B$1,[2]quests!$1:$1,0)+1),MATCH(C$1,[2]quests!$1:$1,0)-MATCH($B$1,[2]quests!$1:$1,0)+1,FALSE)</f>
        <v>太宰治襲来！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降臨38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【超絶級】太宰治襲来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降臨38</v>
      </c>
      <c r="H13" s="85">
        <v>4</v>
      </c>
      <c r="I13" s="90">
        <f t="shared" si="0"/>
        <v>12</v>
      </c>
      <c r="J13" s="86" t="str">
        <f t="shared" si="2"/>
        <v>4003812</v>
      </c>
      <c r="K13" s="84" t="s">
        <v>128</v>
      </c>
      <c r="L13" s="87" t="s">
        <v>199</v>
      </c>
      <c r="M13" s="163" t="s">
        <v>385</v>
      </c>
      <c r="N13" s="57" t="s">
        <v>200</v>
      </c>
    </row>
    <row r="14" spans="1:14" ht="56" x14ac:dyDescent="0.15">
      <c r="A14" s="81" t="s">
        <v>197</v>
      </c>
      <c r="B14" s="82">
        <f>floors!$C$2</f>
        <v>40038</v>
      </c>
      <c r="C14" s="83" t="str">
        <f ca="1">VLOOKUP($B14,OFFSET([2]quests!$A$1,0,0,COUNTA([2]quests!$A:$A),MATCH(C$1,[2]quests!$1:$1,0)-MATCH($B$1,[2]quests!$1:$1,0)+1),MATCH(C$1,[2]quests!$1:$1,0)-MATCH($B$1,[2]quests!$1:$1,0)+1,FALSE)</f>
        <v>太宰治襲来！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降臨38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【超絶級】太宰治襲来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降臨38</v>
      </c>
      <c r="H14" s="85">
        <v>4</v>
      </c>
      <c r="I14" s="90">
        <f t="shared" si="0"/>
        <v>13</v>
      </c>
      <c r="J14" s="86" t="str">
        <f t="shared" si="2"/>
        <v>4003813</v>
      </c>
      <c r="K14" s="84" t="s">
        <v>128</v>
      </c>
      <c r="L14" s="87" t="s">
        <v>199</v>
      </c>
      <c r="M14" s="163" t="s">
        <v>331</v>
      </c>
      <c r="N14" s="57" t="s">
        <v>200</v>
      </c>
    </row>
    <row r="15" spans="1:14" ht="42" x14ac:dyDescent="0.15">
      <c r="A15" s="81" t="s">
        <v>377</v>
      </c>
      <c r="B15" s="82">
        <f>floors!$C$2</f>
        <v>40038</v>
      </c>
      <c r="C15" s="83" t="str">
        <f ca="1">VLOOKUP($B15,OFFSET([2]quests!$A$1,0,0,COUNTA([2]quests!$A:$A),MATCH(C$1,[2]quests!$1:$1,0)-MATCH($B$1,[2]quests!$1:$1,0)+1),MATCH(C$1,[2]quests!$1:$1,0)-MATCH($B$1,[2]quests!$1:$1,0)+1,FALSE)</f>
        <v>太宰治襲来！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降臨38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降臨38</v>
      </c>
      <c r="H15" s="85">
        <v>0</v>
      </c>
      <c r="I15" s="90">
        <f t="shared" si="0"/>
        <v>14</v>
      </c>
      <c r="J15" s="86" t="str">
        <f t="shared" si="2"/>
        <v>4003814</v>
      </c>
      <c r="K15" s="84" t="s">
        <v>128</v>
      </c>
      <c r="L15" s="87" t="s">
        <v>333</v>
      </c>
      <c r="M15" s="163" t="s">
        <v>334</v>
      </c>
      <c r="N15" s="57" t="s">
        <v>200</v>
      </c>
    </row>
    <row r="16" spans="1:14" ht="56" x14ac:dyDescent="0.15">
      <c r="A16" s="81" t="s">
        <v>377</v>
      </c>
      <c r="B16" s="82">
        <f>floors!$C$2</f>
        <v>40038</v>
      </c>
      <c r="C16" s="83" t="str">
        <f ca="1">VLOOKUP($B16,OFFSET([2]quests!$A$1,0,0,COUNTA([2]quests!$A:$A),MATCH(C$1,[2]quests!$1:$1,0)-MATCH($B$1,[2]quests!$1:$1,0)+1),MATCH(C$1,[2]quests!$1:$1,0)-MATCH($B$1,[2]quests!$1:$1,0)+1,FALSE)</f>
        <v>太宰治襲来！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降臨38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降臨38</v>
      </c>
      <c r="H16" s="85">
        <v>0</v>
      </c>
      <c r="I16" s="90">
        <f t="shared" si="0"/>
        <v>15</v>
      </c>
      <c r="J16" s="86" t="str">
        <f t="shared" si="2"/>
        <v>4003815</v>
      </c>
      <c r="K16" s="84" t="s">
        <v>198</v>
      </c>
      <c r="L16" s="87" t="s">
        <v>335</v>
      </c>
      <c r="M16" s="163" t="s">
        <v>336</v>
      </c>
      <c r="N16" s="57" t="s">
        <v>200</v>
      </c>
    </row>
    <row r="17" spans="1:14" ht="56" x14ac:dyDescent="0.15">
      <c r="A17" s="81" t="s">
        <v>377</v>
      </c>
      <c r="B17" s="82">
        <f>floors!$C$2</f>
        <v>40038</v>
      </c>
      <c r="C17" s="83" t="str">
        <f ca="1">VLOOKUP($B17,OFFSET([2]quests!$A$1,0,0,COUNTA([2]quests!$A:$A),MATCH(C$1,[2]quests!$1:$1,0)-MATCH($B$1,[2]quests!$1:$1,0)+1),MATCH(C$1,[2]quests!$1:$1,0)-MATCH($B$1,[2]quests!$1:$1,0)+1,FALSE)</f>
        <v>太宰治襲来！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降臨38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降臨38</v>
      </c>
      <c r="H17" s="85">
        <v>0</v>
      </c>
      <c r="I17" s="90">
        <f t="shared" si="0"/>
        <v>16</v>
      </c>
      <c r="J17" s="86" t="str">
        <f t="shared" si="2"/>
        <v>4003816</v>
      </c>
      <c r="K17" s="84" t="s">
        <v>128</v>
      </c>
      <c r="L17" s="87" t="s">
        <v>337</v>
      </c>
      <c r="M17" s="163" t="s">
        <v>338</v>
      </c>
      <c r="N17" s="57" t="s">
        <v>200</v>
      </c>
    </row>
    <row r="18" spans="1:14" ht="42" x14ac:dyDescent="0.15">
      <c r="A18" s="81" t="s">
        <v>377</v>
      </c>
      <c r="B18" s="82">
        <f>floors!$C$2</f>
        <v>40038</v>
      </c>
      <c r="C18" s="83" t="str">
        <f ca="1">VLOOKUP($B18,OFFSET([2]quests!$A$1,0,0,COUNTA([2]quests!$A:$A),MATCH(C$1,[2]quests!$1:$1,0)-MATCH($B$1,[2]quests!$1:$1,0)+1),MATCH(C$1,[2]quests!$1:$1,0)-MATCH($B$1,[2]quests!$1:$1,0)+1,FALSE)</f>
        <v>太宰治襲来！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降臨38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降臨38</v>
      </c>
      <c r="H18" s="85">
        <v>0</v>
      </c>
      <c r="I18" s="90">
        <f t="shared" si="0"/>
        <v>17</v>
      </c>
      <c r="J18" s="86" t="str">
        <f t="shared" si="2"/>
        <v>4003817</v>
      </c>
      <c r="K18" s="84" t="s">
        <v>128</v>
      </c>
      <c r="L18" s="87" t="s">
        <v>340</v>
      </c>
      <c r="M18" s="163" t="s">
        <v>339</v>
      </c>
      <c r="N18" s="57" t="s">
        <v>200</v>
      </c>
    </row>
    <row r="19" spans="1:14" ht="42" x14ac:dyDescent="0.15">
      <c r="A19" s="81" t="s">
        <v>197</v>
      </c>
      <c r="B19" s="82">
        <f>floors!$C$2</f>
        <v>40038</v>
      </c>
      <c r="C19" s="83" t="str">
        <f ca="1">VLOOKUP($B19,OFFSET([2]quests!$A$1,0,0,COUNTA([2]quests!$A:$A),MATCH(C$1,[2]quests!$1:$1,0)-MATCH($B$1,[2]quests!$1:$1,0)+1),MATCH(C$1,[2]quests!$1:$1,0)-MATCH($B$1,[2]quests!$1:$1,0)+1,FALSE)</f>
        <v>太宰治襲来！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降臨38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降臨38</v>
      </c>
      <c r="H19" s="85">
        <v>1</v>
      </c>
      <c r="I19" s="90">
        <f t="shared" ref="I19:I31" si="3">ROW()-1</f>
        <v>18</v>
      </c>
      <c r="J19" s="86" t="str">
        <f t="shared" ref="J19:J25" si="4">B19&amp;TEXT(I19,"00")</f>
        <v>4003818</v>
      </c>
      <c r="K19" s="84" t="s">
        <v>198</v>
      </c>
      <c r="L19" s="87" t="s">
        <v>199</v>
      </c>
      <c r="M19" s="163" t="s">
        <v>325</v>
      </c>
      <c r="N19" s="57" t="s">
        <v>200</v>
      </c>
    </row>
    <row r="20" spans="1:14" ht="56" x14ac:dyDescent="0.15">
      <c r="A20" s="81" t="s">
        <v>197</v>
      </c>
      <c r="B20" s="82">
        <f>floors!$C$2</f>
        <v>40038</v>
      </c>
      <c r="C20" s="83" t="str">
        <f ca="1">VLOOKUP($B20,OFFSET([2]quests!$A$1,0,0,COUNTA([2]quests!$A:$A),MATCH(C$1,[2]quests!$1:$1,0)-MATCH($B$1,[2]quests!$1:$1,0)+1),MATCH(C$1,[2]quests!$1:$1,0)-MATCH($B$1,[2]quests!$1:$1,0)+1,FALSE)</f>
        <v>太宰治襲来！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降臨38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降臨38</v>
      </c>
      <c r="H20" s="85">
        <v>1</v>
      </c>
      <c r="I20" s="90">
        <f t="shared" si="3"/>
        <v>19</v>
      </c>
      <c r="J20" s="86" t="str">
        <f t="shared" si="4"/>
        <v>4003819</v>
      </c>
      <c r="K20" s="84" t="s">
        <v>128</v>
      </c>
      <c r="L20" s="87" t="s">
        <v>199</v>
      </c>
      <c r="M20" s="163" t="s">
        <v>326</v>
      </c>
      <c r="N20" s="57" t="s">
        <v>200</v>
      </c>
    </row>
    <row r="21" spans="1:14" ht="56" x14ac:dyDescent="0.15">
      <c r="A21" s="81" t="s">
        <v>197</v>
      </c>
      <c r="B21" s="82">
        <f>floors!$C$2</f>
        <v>40038</v>
      </c>
      <c r="C21" s="83" t="str">
        <f ca="1">VLOOKUP($B21,OFFSET([2]quests!$A$1,0,0,COUNTA([2]quests!$A:$A),MATCH(C$1,[2]quests!$1:$1,0)-MATCH($B$1,[2]quests!$1:$1,0)+1),MATCH(C$1,[2]quests!$1:$1,0)-MATCH($B$1,[2]quests!$1:$1,0)+1,FALSE)</f>
        <v>太宰治襲来！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降臨38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降臨38</v>
      </c>
      <c r="H21" s="85">
        <v>1</v>
      </c>
      <c r="I21" s="90">
        <f t="shared" si="3"/>
        <v>20</v>
      </c>
      <c r="J21" s="86" t="str">
        <f t="shared" si="4"/>
        <v>4003820</v>
      </c>
      <c r="K21" s="84" t="s">
        <v>128</v>
      </c>
      <c r="L21" s="87" t="s">
        <v>199</v>
      </c>
      <c r="M21" s="163" t="s">
        <v>327</v>
      </c>
      <c r="N21" s="57" t="s">
        <v>200</v>
      </c>
    </row>
    <row r="22" spans="1:14" ht="42" x14ac:dyDescent="0.15">
      <c r="A22" s="81" t="s">
        <v>197</v>
      </c>
      <c r="B22" s="82">
        <f>floors!$C$2</f>
        <v>40038</v>
      </c>
      <c r="C22" s="83" t="str">
        <f ca="1">VLOOKUP($B22,OFFSET([2]quests!$A$1,0,0,COUNTA([2]quests!$A:$A),MATCH(C$1,[2]quests!$1:$1,0)-MATCH($B$1,[2]quests!$1:$1,0)+1),MATCH(C$1,[2]quests!$1:$1,0)-MATCH($B$1,[2]quests!$1:$1,0)+1,FALSE)</f>
        <v>太宰治襲来！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降臨38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降臨38</v>
      </c>
      <c r="H22" s="85">
        <v>2</v>
      </c>
      <c r="I22" s="90">
        <f t="shared" si="3"/>
        <v>21</v>
      </c>
      <c r="J22" s="86" t="str">
        <f t="shared" si="4"/>
        <v>4003821</v>
      </c>
      <c r="K22" s="84" t="s">
        <v>128</v>
      </c>
      <c r="L22" s="87" t="s">
        <v>199</v>
      </c>
      <c r="M22" s="163" t="s">
        <v>387</v>
      </c>
      <c r="N22" s="57" t="s">
        <v>200</v>
      </c>
    </row>
    <row r="23" spans="1:14" ht="28" x14ac:dyDescent="0.15">
      <c r="A23" s="81" t="s">
        <v>197</v>
      </c>
      <c r="B23" s="82">
        <f>floors!$C$2</f>
        <v>40038</v>
      </c>
      <c r="C23" s="83" t="str">
        <f ca="1">VLOOKUP($B23,OFFSET([2]quests!$A$1,0,0,COUNTA([2]quests!$A:$A),MATCH(C$1,[2]quests!$1:$1,0)-MATCH($B$1,[2]quests!$1:$1,0)+1),MATCH(C$1,[2]quests!$1:$1,0)-MATCH($B$1,[2]quests!$1:$1,0)+1,FALSE)</f>
        <v>太宰治襲来！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降臨38</v>
      </c>
      <c r="E23" s="8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降臨38</v>
      </c>
      <c r="H23" s="85">
        <v>2</v>
      </c>
      <c r="I23" s="90">
        <f t="shared" si="3"/>
        <v>22</v>
      </c>
      <c r="J23" s="86" t="str">
        <f t="shared" si="4"/>
        <v>4003822</v>
      </c>
      <c r="K23" s="84" t="s">
        <v>128</v>
      </c>
      <c r="L23" s="87" t="s">
        <v>199</v>
      </c>
      <c r="M23" s="163" t="s">
        <v>328</v>
      </c>
      <c r="N23" s="57" t="s">
        <v>200</v>
      </c>
    </row>
    <row r="24" spans="1:14" ht="56" x14ac:dyDescent="0.15">
      <c r="A24" s="81" t="s">
        <v>197</v>
      </c>
      <c r="B24" s="82">
        <f>floors!$C$2</f>
        <v>40038</v>
      </c>
      <c r="C24" s="83" t="str">
        <f ca="1">VLOOKUP($B24,OFFSET([2]quests!$A$1,0,0,COUNTA([2]quests!$A:$A),MATCH(C$1,[2]quests!$1:$1,0)-MATCH($B$1,[2]quests!$1:$1,0)+1),MATCH(C$1,[2]quests!$1:$1,0)-MATCH($B$1,[2]quests!$1:$1,0)+1,FALSE)</f>
        <v>太宰治襲来！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降臨38</v>
      </c>
      <c r="E24" s="84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降臨38</v>
      </c>
      <c r="H24" s="85">
        <v>2</v>
      </c>
      <c r="I24" s="90">
        <f t="shared" si="3"/>
        <v>23</v>
      </c>
      <c r="J24" s="86" t="str">
        <f t="shared" si="4"/>
        <v>4003823</v>
      </c>
      <c r="K24" s="84" t="s">
        <v>128</v>
      </c>
      <c r="L24" s="87" t="s">
        <v>199</v>
      </c>
      <c r="M24" s="163" t="s">
        <v>388</v>
      </c>
      <c r="N24" s="57" t="s">
        <v>200</v>
      </c>
    </row>
    <row r="25" spans="1:14" ht="56" x14ac:dyDescent="0.15">
      <c r="A25" s="81" t="s">
        <v>197</v>
      </c>
      <c r="B25" s="82">
        <f>floors!$C$2</f>
        <v>40038</v>
      </c>
      <c r="C25" s="83" t="str">
        <f ca="1">VLOOKUP($B25,OFFSET([2]quests!$A$1,0,0,COUNTA([2]quests!$A:$A),MATCH(C$1,[2]quests!$1:$1,0)-MATCH($B$1,[2]quests!$1:$1,0)+1),MATCH(C$1,[2]quests!$1:$1,0)-MATCH($B$1,[2]quests!$1:$1,0)+1,FALSE)</f>
        <v>太宰治襲来！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降臨38</v>
      </c>
      <c r="E25" s="84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降臨38</v>
      </c>
      <c r="H25" s="85">
        <v>3</v>
      </c>
      <c r="I25" s="90">
        <f t="shared" si="3"/>
        <v>24</v>
      </c>
      <c r="J25" s="86" t="str">
        <f t="shared" si="4"/>
        <v>4003824</v>
      </c>
      <c r="K25" s="84" t="s">
        <v>128</v>
      </c>
      <c r="L25" s="87" t="s">
        <v>199</v>
      </c>
      <c r="M25" s="163" t="s">
        <v>389</v>
      </c>
      <c r="N25" s="57" t="s">
        <v>200</v>
      </c>
    </row>
    <row r="26" spans="1:14" ht="28" x14ac:dyDescent="0.15">
      <c r="A26" s="81" t="s">
        <v>197</v>
      </c>
      <c r="B26" s="82">
        <f>floors!$C$2</f>
        <v>40038</v>
      </c>
      <c r="C26" s="83" t="str">
        <f ca="1">VLOOKUP($B26,OFFSET([2]quests!$A$1,0,0,COUNTA([2]quests!$A:$A),MATCH(C$1,[2]quests!$1:$1,0)-MATCH($B$1,[2]quests!$1:$1,0)+1),MATCH(C$1,[2]quests!$1:$1,0)-MATCH($B$1,[2]quests!$1:$1,0)+1,FALSE)</f>
        <v>太宰治襲来！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降臨38</v>
      </c>
      <c r="E26" s="84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降臨38</v>
      </c>
      <c r="H26" s="85">
        <v>3</v>
      </c>
      <c r="I26" s="90">
        <f t="shared" si="3"/>
        <v>25</v>
      </c>
      <c r="J26" s="86" t="str">
        <f t="shared" ref="J26:J31" si="5">B26&amp;TEXT(I26,"00")</f>
        <v>4003825</v>
      </c>
      <c r="K26" s="84" t="s">
        <v>198</v>
      </c>
      <c r="L26" s="87" t="s">
        <v>199</v>
      </c>
      <c r="M26" s="163" t="s">
        <v>329</v>
      </c>
      <c r="N26" s="57" t="s">
        <v>200</v>
      </c>
    </row>
    <row r="27" spans="1:14" ht="56" x14ac:dyDescent="0.15">
      <c r="A27" s="81" t="s">
        <v>197</v>
      </c>
      <c r="B27" s="82">
        <f>floors!$C$2</f>
        <v>40038</v>
      </c>
      <c r="C27" s="83" t="str">
        <f ca="1">VLOOKUP($B27,OFFSET([2]quests!$A$1,0,0,COUNTA([2]quests!$A:$A),MATCH(C$1,[2]quests!$1:$1,0)-MATCH($B$1,[2]quests!$1:$1,0)+1),MATCH(C$1,[2]quests!$1:$1,0)-MATCH($B$1,[2]quests!$1:$1,0)+1,FALSE)</f>
        <v>太宰治襲来！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降臨38</v>
      </c>
      <c r="E27" s="84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降臨38</v>
      </c>
      <c r="H27" s="85">
        <v>3</v>
      </c>
      <c r="I27" s="90">
        <f t="shared" si="3"/>
        <v>26</v>
      </c>
      <c r="J27" s="86" t="str">
        <f t="shared" si="5"/>
        <v>4003826</v>
      </c>
      <c r="K27" s="84" t="s">
        <v>128</v>
      </c>
      <c r="L27" s="87" t="s">
        <v>199</v>
      </c>
      <c r="M27" s="163" t="s">
        <v>330</v>
      </c>
      <c r="N27" s="57" t="s">
        <v>200</v>
      </c>
    </row>
    <row r="28" spans="1:14" ht="56" x14ac:dyDescent="0.15">
      <c r="A28" s="81" t="s">
        <v>197</v>
      </c>
      <c r="B28" s="82">
        <f>floors!$C$2</f>
        <v>40038</v>
      </c>
      <c r="C28" s="83" t="str">
        <f ca="1">VLOOKUP($B28,OFFSET([2]quests!$A$1,0,0,COUNTA([2]quests!$A:$A),MATCH(C$1,[2]quests!$1:$1,0)-MATCH($B$1,[2]quests!$1:$1,0)+1),MATCH(C$1,[2]quests!$1:$1,0)-MATCH($B$1,[2]quests!$1:$1,0)+1,FALSE)</f>
        <v>太宰治襲来！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降臨38</v>
      </c>
      <c r="E28" s="84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降臨38</v>
      </c>
      <c r="H28" s="85">
        <v>4</v>
      </c>
      <c r="I28" s="90">
        <f t="shared" si="3"/>
        <v>27</v>
      </c>
      <c r="J28" s="86" t="str">
        <f t="shared" si="5"/>
        <v>4003827</v>
      </c>
      <c r="K28" s="84" t="s">
        <v>128</v>
      </c>
      <c r="L28" s="87" t="s">
        <v>199</v>
      </c>
      <c r="M28" s="163" t="s">
        <v>385</v>
      </c>
      <c r="N28" s="57" t="s">
        <v>200</v>
      </c>
    </row>
    <row r="29" spans="1:14" ht="56" x14ac:dyDescent="0.15">
      <c r="A29" s="81" t="s">
        <v>197</v>
      </c>
      <c r="B29" s="82">
        <f>floors!$C$2</f>
        <v>40038</v>
      </c>
      <c r="C29" s="83" t="str">
        <f ca="1">VLOOKUP($B29,OFFSET([2]quests!$A$1,0,0,COUNTA([2]quests!$A:$A),MATCH(C$1,[2]quests!$1:$1,0)-MATCH($B$1,[2]quests!$1:$1,0)+1),MATCH(C$1,[2]quests!$1:$1,0)-MATCH($B$1,[2]quests!$1:$1,0)+1,FALSE)</f>
        <v>太宰治襲来！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降臨38</v>
      </c>
      <c r="E29" s="84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降臨38</v>
      </c>
      <c r="H29" s="85">
        <v>4</v>
      </c>
      <c r="I29" s="90">
        <f t="shared" si="3"/>
        <v>28</v>
      </c>
      <c r="J29" s="86" t="str">
        <f t="shared" si="5"/>
        <v>4003828</v>
      </c>
      <c r="K29" s="84" t="s">
        <v>128</v>
      </c>
      <c r="L29" s="87" t="s">
        <v>199</v>
      </c>
      <c r="M29" s="163" t="s">
        <v>331</v>
      </c>
      <c r="N29" s="57" t="s">
        <v>200</v>
      </c>
    </row>
    <row r="30" spans="1:14" ht="56" x14ac:dyDescent="0.15">
      <c r="A30" s="81" t="s">
        <v>197</v>
      </c>
      <c r="B30" s="82">
        <f>floors!$C$2</f>
        <v>40038</v>
      </c>
      <c r="C30" s="83" t="str">
        <f ca="1">VLOOKUP($B30,OFFSET([2]quests!$A$1,0,0,COUNTA([2]quests!$A:$A),MATCH(C$1,[2]quests!$1:$1,0)-MATCH($B$1,[2]quests!$1:$1,0)+1),MATCH(C$1,[2]quests!$1:$1,0)-MATCH($B$1,[2]quests!$1:$1,0)+1,FALSE)</f>
        <v>太宰治襲来！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降臨38</v>
      </c>
      <c r="E30" s="84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降臨38</v>
      </c>
      <c r="H30" s="85">
        <v>4</v>
      </c>
      <c r="I30" s="90">
        <f t="shared" si="3"/>
        <v>29</v>
      </c>
      <c r="J30" s="86" t="str">
        <f t="shared" si="5"/>
        <v>4003829</v>
      </c>
      <c r="K30" s="84" t="s">
        <v>128</v>
      </c>
      <c r="L30" s="87" t="s">
        <v>199</v>
      </c>
      <c r="M30" s="163" t="s">
        <v>386</v>
      </c>
      <c r="N30" s="57" t="s">
        <v>200</v>
      </c>
    </row>
    <row r="31" spans="1:14" ht="56" x14ac:dyDescent="0.15">
      <c r="A31" s="81" t="s">
        <v>197</v>
      </c>
      <c r="B31" s="82">
        <f>floors!$C$2</f>
        <v>40038</v>
      </c>
      <c r="C31" s="83" t="str">
        <f ca="1">VLOOKUP($B31,OFFSET([2]quests!$A$1,0,0,COUNTA([2]quests!$A:$A),MATCH(C$1,[2]quests!$1:$1,0)-MATCH($B$1,[2]quests!$1:$1,0)+1),MATCH(C$1,[2]quests!$1:$1,0)-MATCH($B$1,[2]quests!$1:$1,0)+1,FALSE)</f>
        <v>太宰治襲来！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降臨38</v>
      </c>
      <c r="E31" s="84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降臨38</v>
      </c>
      <c r="H31" s="85">
        <v>4</v>
      </c>
      <c r="I31" s="90">
        <f t="shared" si="3"/>
        <v>30</v>
      </c>
      <c r="J31" s="86" t="str">
        <f t="shared" si="5"/>
        <v>4003830</v>
      </c>
      <c r="K31" s="84" t="s">
        <v>128</v>
      </c>
      <c r="L31" s="87" t="s">
        <v>199</v>
      </c>
      <c r="M31" s="163" t="s">
        <v>332</v>
      </c>
      <c r="N31" s="57" t="s">
        <v>200</v>
      </c>
    </row>
  </sheetData>
  <phoneticPr fontId="5"/>
  <dataValidations count="1">
    <dataValidation type="list" allowBlank="1" showInputMessage="1" showErrorMessage="1" sqref="A2:A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5" sqref="M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157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40038_2_everyone_no_continue_1</v>
      </c>
      <c r="B2" s="82">
        <v>40038</v>
      </c>
      <c r="C2" s="83" t="str">
        <f ca="1">VLOOKUP($B2,OFFSET([2]quests!$A$1,0,0,COUNTA([2]quests!$A:$A),MATCH(C$1,[2]quests!$1:$1,0)-MATCH($B$1,[2]quests!$1:$1,0)+1),MATCH(C$1,[2]quests!$1:$1,0)-MATCH($B$1,[2]quests!$1:$1,0)+1,FALSE)</f>
        <v>太宰治襲来！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降臨38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降臨38</v>
      </c>
      <c r="H2" s="85" t="s">
        <v>253</v>
      </c>
      <c r="I2" s="84" t="s">
        <v>229</v>
      </c>
      <c r="J2" s="84">
        <v>1</v>
      </c>
      <c r="K2" s="84">
        <v>100</v>
      </c>
      <c r="L2" s="106" t="s">
        <v>254</v>
      </c>
      <c r="M2" s="107">
        <v>1218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太宰治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  <row r="3" spans="1:24" x14ac:dyDescent="0.15">
      <c r="A3" s="96" t="str">
        <f>B3&amp;"_"&amp;E3&amp;"_"&amp;H3&amp;"_"&amp;I3&amp;"_"&amp;J3</f>
        <v>40038_2_everyone_full_member_1</v>
      </c>
      <c r="B3" s="82">
        <v>40038</v>
      </c>
      <c r="C3" s="83" t="str">
        <f ca="1">VLOOKUP($B3,OFFSET([2]quests!$A$1,0,0,COUNTA([2]quests!$A:$A),MATCH(C$1,[2]quests!$1:$1,0)-MATCH($B$1,[2]quests!$1:$1,0)+1),MATCH(C$1,[2]quests!$1:$1,0)-MATCH($B$1,[2]quests!$1:$1,0)+1,FALSE)</f>
        <v>太宰治襲来！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降臨38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【ウィザード級】太宰治襲来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降臨38</v>
      </c>
      <c r="H3" s="85" t="s">
        <v>253</v>
      </c>
      <c r="I3" s="84" t="s">
        <v>255</v>
      </c>
      <c r="J3" s="84">
        <v>1</v>
      </c>
      <c r="K3" s="84">
        <v>100</v>
      </c>
      <c r="L3" s="84" t="s">
        <v>226</v>
      </c>
      <c r="M3" s="107">
        <v>1218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太宰治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227</v>
      </c>
      <c r="X3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2017-03-30T01:20:56Z</dcterms:modified>
</cp:coreProperties>
</file>