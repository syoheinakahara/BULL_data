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0" yWindow="460" windowWidth="38400" windowHeight="210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stage_hints_failure!$B$1:$M$1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autoNoTable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21" l="1"/>
  <c r="C6" i="21"/>
  <c r="D6" i="21"/>
  <c r="F6" i="21"/>
  <c r="G6" i="21"/>
  <c r="I6" i="21"/>
  <c r="J6" i="21"/>
  <c r="O6" i="21"/>
  <c r="AB28" i="10"/>
  <c r="AB29" i="10"/>
  <c r="AB27" i="10"/>
  <c r="A41" i="9"/>
  <c r="D41" i="9"/>
  <c r="E41" i="9"/>
  <c r="G41" i="9"/>
  <c r="H41" i="9"/>
  <c r="I41" i="9"/>
  <c r="J41" i="9"/>
  <c r="K41" i="9"/>
  <c r="L41" i="9"/>
  <c r="M41" i="9"/>
  <c r="N41" i="9"/>
  <c r="O41" i="9"/>
  <c r="A42" i="9"/>
  <c r="D42" i="9"/>
  <c r="E42" i="9"/>
  <c r="G42" i="9"/>
  <c r="H42" i="9"/>
  <c r="I42" i="9"/>
  <c r="J42" i="9"/>
  <c r="K42" i="9"/>
  <c r="L42" i="9"/>
  <c r="M42" i="9"/>
  <c r="N42" i="9"/>
  <c r="O42" i="9"/>
  <c r="A43" i="9"/>
  <c r="D43" i="9"/>
  <c r="E43" i="9"/>
  <c r="G43" i="9"/>
  <c r="H43" i="9"/>
  <c r="I43" i="9"/>
  <c r="J43" i="9"/>
  <c r="K43" i="9"/>
  <c r="L43" i="9"/>
  <c r="M43" i="9"/>
  <c r="N43" i="9"/>
  <c r="O43" i="9"/>
  <c r="A44" i="9"/>
  <c r="D44" i="9"/>
  <c r="E44" i="9"/>
  <c r="G44" i="9"/>
  <c r="H44" i="9"/>
  <c r="I44" i="9"/>
  <c r="J44" i="9"/>
  <c r="K44" i="9"/>
  <c r="L44" i="9"/>
  <c r="M44" i="9"/>
  <c r="N44" i="9"/>
  <c r="O44" i="9"/>
  <c r="A45" i="9"/>
  <c r="D45" i="9"/>
  <c r="E45" i="9"/>
  <c r="G45" i="9"/>
  <c r="H45" i="9"/>
  <c r="I45" i="9"/>
  <c r="J45" i="9"/>
  <c r="K45" i="9"/>
  <c r="L45" i="9"/>
  <c r="M45" i="9"/>
  <c r="N45" i="9"/>
  <c r="O45" i="9"/>
  <c r="A46" i="9"/>
  <c r="D46" i="9"/>
  <c r="E46" i="9"/>
  <c r="G46" i="9"/>
  <c r="H46" i="9"/>
  <c r="I46" i="9"/>
  <c r="J46" i="9"/>
  <c r="K46" i="9"/>
  <c r="L46" i="9"/>
  <c r="M46" i="9"/>
  <c r="N46" i="9"/>
  <c r="O46" i="9"/>
  <c r="A47" i="9"/>
  <c r="D47" i="9"/>
  <c r="E47" i="9"/>
  <c r="G47" i="9"/>
  <c r="H47" i="9"/>
  <c r="I47" i="9"/>
  <c r="J47" i="9"/>
  <c r="K47" i="9"/>
  <c r="L47" i="9"/>
  <c r="M47" i="9"/>
  <c r="N47" i="9"/>
  <c r="O47" i="9"/>
  <c r="A48" i="9"/>
  <c r="D48" i="9"/>
  <c r="E48" i="9"/>
  <c r="G48" i="9"/>
  <c r="H48" i="9"/>
  <c r="I48" i="9"/>
  <c r="J48" i="9"/>
  <c r="K48" i="9"/>
  <c r="L48" i="9"/>
  <c r="M48" i="9"/>
  <c r="N48" i="9"/>
  <c r="O48" i="9"/>
  <c r="A49" i="9"/>
  <c r="D49" i="9"/>
  <c r="E49" i="9"/>
  <c r="G49" i="9"/>
  <c r="H49" i="9"/>
  <c r="I49" i="9"/>
  <c r="J49" i="9"/>
  <c r="K49" i="9"/>
  <c r="L49" i="9"/>
  <c r="M49" i="9"/>
  <c r="N49" i="9"/>
  <c r="O49" i="9"/>
  <c r="A50" i="9"/>
  <c r="D50" i="9"/>
  <c r="E50" i="9"/>
  <c r="G50" i="9"/>
  <c r="H50" i="9"/>
  <c r="I50" i="9"/>
  <c r="J50" i="9"/>
  <c r="K50" i="9"/>
  <c r="L50" i="9"/>
  <c r="M50" i="9"/>
  <c r="N50" i="9"/>
  <c r="O50" i="9"/>
  <c r="A51" i="9"/>
  <c r="D51" i="9"/>
  <c r="E51" i="9"/>
  <c r="G51" i="9"/>
  <c r="H51" i="9"/>
  <c r="I51" i="9"/>
  <c r="J51" i="9"/>
  <c r="K51" i="9"/>
  <c r="L51" i="9"/>
  <c r="M51" i="9"/>
  <c r="N51" i="9"/>
  <c r="O51" i="9"/>
  <c r="A52" i="9"/>
  <c r="D52" i="9"/>
  <c r="E52" i="9"/>
  <c r="G52" i="9"/>
  <c r="H52" i="9"/>
  <c r="I52" i="9"/>
  <c r="J52" i="9"/>
  <c r="K52" i="9"/>
  <c r="L52" i="9"/>
  <c r="M52" i="9"/>
  <c r="N52" i="9"/>
  <c r="O52" i="9"/>
  <c r="A53" i="9"/>
  <c r="D53" i="9"/>
  <c r="E53" i="9"/>
  <c r="G53" i="9"/>
  <c r="H53" i="9"/>
  <c r="I53" i="9"/>
  <c r="J53" i="9"/>
  <c r="K53" i="9"/>
  <c r="L53" i="9"/>
  <c r="M53" i="9"/>
  <c r="N53" i="9"/>
  <c r="O53" i="9"/>
  <c r="A40" i="9"/>
  <c r="D40" i="9"/>
  <c r="E40" i="9"/>
  <c r="G40" i="9"/>
  <c r="H40" i="9"/>
  <c r="I40" i="9"/>
  <c r="J40" i="9"/>
  <c r="K40" i="9"/>
  <c r="L40" i="9"/>
  <c r="M40" i="9"/>
  <c r="N40" i="9"/>
  <c r="O40" i="9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49" i="11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A33" i="9"/>
  <c r="D33" i="9"/>
  <c r="E33" i="9"/>
  <c r="G33" i="9"/>
  <c r="H33" i="9"/>
  <c r="I33" i="9"/>
  <c r="J33" i="9"/>
  <c r="K33" i="9"/>
  <c r="L33" i="9"/>
  <c r="M33" i="9"/>
  <c r="N33" i="9"/>
  <c r="O33" i="9"/>
  <c r="A34" i="9"/>
  <c r="D34" i="9"/>
  <c r="E34" i="9"/>
  <c r="G34" i="9"/>
  <c r="H34" i="9"/>
  <c r="I34" i="9"/>
  <c r="J34" i="9"/>
  <c r="K34" i="9"/>
  <c r="L34" i="9"/>
  <c r="M34" i="9"/>
  <c r="N34" i="9"/>
  <c r="O34" i="9"/>
  <c r="A35" i="9"/>
  <c r="D35" i="9"/>
  <c r="E35" i="9"/>
  <c r="G35" i="9"/>
  <c r="H35" i="9"/>
  <c r="I35" i="9"/>
  <c r="J35" i="9"/>
  <c r="K35" i="9"/>
  <c r="L35" i="9"/>
  <c r="M35" i="9"/>
  <c r="N35" i="9"/>
  <c r="O35" i="9"/>
  <c r="A36" i="9"/>
  <c r="D36" i="9"/>
  <c r="E36" i="9"/>
  <c r="G36" i="9"/>
  <c r="H36" i="9"/>
  <c r="I36" i="9"/>
  <c r="J36" i="9"/>
  <c r="K36" i="9"/>
  <c r="L36" i="9"/>
  <c r="M36" i="9"/>
  <c r="N36" i="9"/>
  <c r="O36" i="9"/>
  <c r="A37" i="9"/>
  <c r="D37" i="9"/>
  <c r="E37" i="9"/>
  <c r="G37" i="9"/>
  <c r="H37" i="9"/>
  <c r="I37" i="9"/>
  <c r="J37" i="9"/>
  <c r="K37" i="9"/>
  <c r="L37" i="9"/>
  <c r="M37" i="9"/>
  <c r="N37" i="9"/>
  <c r="O37" i="9"/>
  <c r="A38" i="9"/>
  <c r="D38" i="9"/>
  <c r="E38" i="9"/>
  <c r="G38" i="9"/>
  <c r="H38" i="9"/>
  <c r="I38" i="9"/>
  <c r="J38" i="9"/>
  <c r="K38" i="9"/>
  <c r="L38" i="9"/>
  <c r="M38" i="9"/>
  <c r="N38" i="9"/>
  <c r="O38" i="9"/>
  <c r="J46" i="11"/>
  <c r="J47" i="11"/>
  <c r="J48" i="11"/>
  <c r="J44" i="11"/>
  <c r="J45" i="11"/>
  <c r="J43" i="11"/>
  <c r="G24" i="9"/>
  <c r="H24" i="9"/>
  <c r="I24" i="9"/>
  <c r="J24" i="9"/>
  <c r="K24" i="9"/>
  <c r="L24" i="9"/>
  <c r="M24" i="9"/>
  <c r="N24" i="9"/>
  <c r="O24" i="9"/>
  <c r="G25" i="9"/>
  <c r="H25" i="9"/>
  <c r="I25" i="9"/>
  <c r="J25" i="9"/>
  <c r="K25" i="9"/>
  <c r="L25" i="9"/>
  <c r="M25" i="9"/>
  <c r="N25" i="9"/>
  <c r="O25" i="9"/>
  <c r="G26" i="9"/>
  <c r="H26" i="9"/>
  <c r="I26" i="9"/>
  <c r="J26" i="9"/>
  <c r="K26" i="9"/>
  <c r="L26" i="9"/>
  <c r="M26" i="9"/>
  <c r="N26" i="9"/>
  <c r="O26" i="9"/>
  <c r="G27" i="9"/>
  <c r="H27" i="9"/>
  <c r="I27" i="9"/>
  <c r="J27" i="9"/>
  <c r="K27" i="9"/>
  <c r="L27" i="9"/>
  <c r="M27" i="9"/>
  <c r="N27" i="9"/>
  <c r="O27" i="9"/>
  <c r="G28" i="9"/>
  <c r="H28" i="9"/>
  <c r="I28" i="9"/>
  <c r="J28" i="9"/>
  <c r="K28" i="9"/>
  <c r="L28" i="9"/>
  <c r="M28" i="9"/>
  <c r="N28" i="9"/>
  <c r="O28" i="9"/>
  <c r="G29" i="9"/>
  <c r="H29" i="9"/>
  <c r="I29" i="9"/>
  <c r="J29" i="9"/>
  <c r="K29" i="9"/>
  <c r="L29" i="9"/>
  <c r="M29" i="9"/>
  <c r="N29" i="9"/>
  <c r="O29" i="9"/>
  <c r="D24" i="9"/>
  <c r="E24" i="9"/>
  <c r="D25" i="9"/>
  <c r="E25" i="9"/>
  <c r="D26" i="9"/>
  <c r="E26" i="9"/>
  <c r="D27" i="9"/>
  <c r="E27" i="9"/>
  <c r="D28" i="9"/>
  <c r="E28" i="9"/>
  <c r="D29" i="9"/>
  <c r="E29" i="9"/>
  <c r="A24" i="9"/>
  <c r="A25" i="9"/>
  <c r="A26" i="9"/>
  <c r="A27" i="9"/>
  <c r="A28" i="9"/>
  <c r="A29" i="9"/>
  <c r="A13" i="9"/>
  <c r="D13" i="9"/>
  <c r="E13" i="9"/>
  <c r="G13" i="9"/>
  <c r="H13" i="9"/>
  <c r="I13" i="9"/>
  <c r="J13" i="9"/>
  <c r="K13" i="9"/>
  <c r="L13" i="9"/>
  <c r="M13" i="9"/>
  <c r="N13" i="9"/>
  <c r="O13" i="9"/>
  <c r="A14" i="9"/>
  <c r="D14" i="9"/>
  <c r="E14" i="9"/>
  <c r="G14" i="9"/>
  <c r="H14" i="9"/>
  <c r="I14" i="9"/>
  <c r="J14" i="9"/>
  <c r="K14" i="9"/>
  <c r="L14" i="9"/>
  <c r="M14" i="9"/>
  <c r="N14" i="9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A16" i="9"/>
  <c r="D16" i="9"/>
  <c r="E16" i="9"/>
  <c r="G16" i="9"/>
  <c r="H16" i="9"/>
  <c r="I16" i="9"/>
  <c r="J16" i="9"/>
  <c r="K16" i="9"/>
  <c r="L16" i="9"/>
  <c r="M16" i="9"/>
  <c r="N16" i="9"/>
  <c r="O16" i="9"/>
  <c r="A17" i="9"/>
  <c r="D17" i="9"/>
  <c r="E17" i="9"/>
  <c r="G17" i="9"/>
  <c r="H17" i="9"/>
  <c r="I17" i="9"/>
  <c r="J17" i="9"/>
  <c r="K17" i="9"/>
  <c r="L17" i="9"/>
  <c r="M17" i="9"/>
  <c r="N17" i="9"/>
  <c r="O17" i="9"/>
  <c r="A18" i="9"/>
  <c r="D18" i="9"/>
  <c r="E18" i="9"/>
  <c r="G18" i="9"/>
  <c r="H18" i="9"/>
  <c r="I18" i="9"/>
  <c r="J18" i="9"/>
  <c r="K18" i="9"/>
  <c r="L18" i="9"/>
  <c r="M18" i="9"/>
  <c r="N18" i="9"/>
  <c r="O18" i="9"/>
  <c r="J42" i="11"/>
  <c r="J41" i="11"/>
  <c r="J40" i="11"/>
  <c r="J36" i="11"/>
  <c r="J35" i="11"/>
  <c r="J34" i="11"/>
  <c r="J33" i="11"/>
  <c r="J32" i="11"/>
  <c r="J31" i="11"/>
  <c r="J39" i="11"/>
  <c r="J38" i="11"/>
  <c r="J37" i="11"/>
  <c r="O2" i="21"/>
  <c r="O3" i="21"/>
  <c r="O4" i="21"/>
  <c r="O5" i="21"/>
  <c r="B5" i="21"/>
  <c r="I5" i="21"/>
  <c r="J5" i="21"/>
  <c r="G5" i="21"/>
  <c r="F5" i="21"/>
  <c r="D5" i="21"/>
  <c r="C5" i="21"/>
  <c r="B4" i="21"/>
  <c r="C4" i="21"/>
  <c r="D4" i="21"/>
  <c r="F4" i="21"/>
  <c r="G4" i="21"/>
  <c r="I4" i="21"/>
  <c r="J4" i="21"/>
  <c r="B2" i="21"/>
  <c r="C2" i="21"/>
  <c r="D2" i="21"/>
  <c r="F2" i="21"/>
  <c r="G2" i="21"/>
  <c r="I2" i="21"/>
  <c r="J2" i="21"/>
  <c r="B3" i="21"/>
  <c r="C3" i="21"/>
  <c r="D3" i="21"/>
  <c r="F3" i="21"/>
  <c r="G3" i="21"/>
  <c r="I3" i="21"/>
  <c r="J3" i="21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B3" i="7"/>
  <c r="B4" i="7"/>
  <c r="B5" i="7"/>
  <c r="B2" i="7"/>
  <c r="Y2" i="7"/>
  <c r="Y3" i="7"/>
  <c r="Y4" i="7"/>
  <c r="A3" i="7"/>
  <c r="D3" i="7"/>
  <c r="E3" i="7"/>
  <c r="F3" i="7"/>
  <c r="H3" i="7"/>
  <c r="G2" i="2"/>
  <c r="A2" i="2"/>
  <c r="G3" i="2"/>
  <c r="A3" i="2"/>
  <c r="G4" i="2"/>
  <c r="A4" i="2"/>
  <c r="G5" i="2"/>
  <c r="A5" i="2"/>
  <c r="I3" i="7"/>
  <c r="J3" i="7"/>
  <c r="N3" i="7"/>
  <c r="O3" i="7"/>
  <c r="P3" i="7"/>
  <c r="Q3" i="7"/>
  <c r="R3" i="7"/>
  <c r="U3" i="7"/>
  <c r="W3" i="7"/>
  <c r="A4" i="7"/>
  <c r="D4" i="7"/>
  <c r="E4" i="7"/>
  <c r="F4" i="7"/>
  <c r="H4" i="7"/>
  <c r="I4" i="7"/>
  <c r="J4" i="7"/>
  <c r="N4" i="7"/>
  <c r="O4" i="7"/>
  <c r="P4" i="7"/>
  <c r="Q4" i="7"/>
  <c r="R4" i="7"/>
  <c r="U4" i="7"/>
  <c r="W4" i="7"/>
  <c r="A5" i="7"/>
  <c r="D5" i="7"/>
  <c r="E5" i="7"/>
  <c r="F5" i="7"/>
  <c r="H5" i="7"/>
  <c r="I5" i="7"/>
  <c r="J5" i="7"/>
  <c r="N5" i="7"/>
  <c r="O5" i="7"/>
  <c r="P5" i="7"/>
  <c r="Q5" i="7"/>
  <c r="R5" i="7"/>
  <c r="U5" i="7"/>
  <c r="W5" i="7"/>
  <c r="Y5" i="7"/>
  <c r="A62" i="9"/>
  <c r="D62" i="9"/>
  <c r="E62" i="9"/>
  <c r="G62" i="9"/>
  <c r="H62" i="9"/>
  <c r="I62" i="9"/>
  <c r="J62" i="9"/>
  <c r="K62" i="9"/>
  <c r="L62" i="9"/>
  <c r="M62" i="9"/>
  <c r="N62" i="9"/>
  <c r="J30" i="11"/>
  <c r="O62" i="9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A59" i="9"/>
  <c r="D59" i="9"/>
  <c r="E59" i="9"/>
  <c r="G59" i="9"/>
  <c r="H59" i="9"/>
  <c r="I59" i="9"/>
  <c r="J59" i="9"/>
  <c r="K59" i="9"/>
  <c r="L59" i="9"/>
  <c r="M59" i="9"/>
  <c r="N59" i="9"/>
  <c r="O59" i="9"/>
  <c r="A60" i="9"/>
  <c r="D60" i="9"/>
  <c r="E60" i="9"/>
  <c r="G60" i="9"/>
  <c r="H60" i="9"/>
  <c r="I60" i="9"/>
  <c r="J60" i="9"/>
  <c r="K60" i="9"/>
  <c r="L60" i="9"/>
  <c r="M60" i="9"/>
  <c r="N60" i="9"/>
  <c r="O60" i="9"/>
  <c r="A61" i="9"/>
  <c r="D61" i="9"/>
  <c r="E61" i="9"/>
  <c r="G61" i="9"/>
  <c r="H61" i="9"/>
  <c r="I61" i="9"/>
  <c r="J61" i="9"/>
  <c r="K61" i="9"/>
  <c r="L61" i="9"/>
  <c r="M61" i="9"/>
  <c r="N61" i="9"/>
  <c r="O61" i="9"/>
  <c r="G3" i="10"/>
  <c r="H3" i="10"/>
  <c r="I3" i="10"/>
  <c r="J3" i="10"/>
  <c r="K3" i="10"/>
  <c r="L3" i="10"/>
  <c r="M3" i="10"/>
  <c r="M13" i="10"/>
  <c r="M27" i="10"/>
  <c r="N27" i="10"/>
  <c r="Q27" i="10"/>
  <c r="P27" i="10"/>
  <c r="R27" i="10"/>
  <c r="O27" i="10"/>
  <c r="S27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M28" i="10"/>
  <c r="N28" i="10"/>
  <c r="Q28" i="10"/>
  <c r="P28" i="10"/>
  <c r="R28" i="10"/>
  <c r="O28" i="10"/>
  <c r="S28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5" i="10"/>
  <c r="M29" i="10"/>
  <c r="N29" i="10"/>
  <c r="Q29" i="10"/>
  <c r="P29" i="10"/>
  <c r="R29" i="10"/>
  <c r="O29" i="10"/>
  <c r="S29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6" i="10"/>
  <c r="M30" i="10"/>
  <c r="N30" i="10"/>
  <c r="Q30" i="10"/>
  <c r="P30" i="10"/>
  <c r="R30" i="10"/>
  <c r="O30" i="10"/>
  <c r="S30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7" i="10"/>
  <c r="M31" i="10"/>
  <c r="N31" i="10"/>
  <c r="Q31" i="10"/>
  <c r="P31" i="10"/>
  <c r="R31" i="10"/>
  <c r="O31" i="10"/>
  <c r="S31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8" i="10"/>
  <c r="M32" i="10"/>
  <c r="N32" i="10"/>
  <c r="Q32" i="10"/>
  <c r="P32" i="10"/>
  <c r="R32" i="10"/>
  <c r="O32" i="10"/>
  <c r="S32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22" i="10"/>
  <c r="M33" i="10"/>
  <c r="N33" i="10"/>
  <c r="Q33" i="10"/>
  <c r="P33" i="10"/>
  <c r="R33" i="10"/>
  <c r="O33" i="10"/>
  <c r="S33" i="10"/>
  <c r="N22" i="10"/>
  <c r="Q22" i="10"/>
  <c r="P22" i="10"/>
  <c r="R22" i="10"/>
  <c r="O22" i="10"/>
  <c r="S22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3" i="10"/>
  <c r="N23" i="10"/>
  <c r="Q23" i="10"/>
  <c r="P23" i="10"/>
  <c r="R23" i="10"/>
  <c r="O23" i="10"/>
  <c r="S23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24" i="10"/>
  <c r="N24" i="10"/>
  <c r="Q24" i="10"/>
  <c r="P24" i="10"/>
  <c r="R24" i="10"/>
  <c r="O24" i="10"/>
  <c r="S24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M26" i="10"/>
  <c r="N26" i="10"/>
  <c r="Q26" i="10"/>
  <c r="P26" i="10"/>
  <c r="R26" i="10"/>
  <c r="O26" i="10"/>
  <c r="S26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T33" i="10"/>
  <c r="U33" i="10"/>
  <c r="V33" i="10"/>
  <c r="W33" i="10"/>
  <c r="X33" i="10"/>
  <c r="Y33" i="10"/>
  <c r="A3" i="9"/>
  <c r="D3" i="9"/>
  <c r="E3" i="9"/>
  <c r="G3" i="9"/>
  <c r="H3" i="9"/>
  <c r="I3" i="9"/>
  <c r="J3" i="9"/>
  <c r="K3" i="9"/>
  <c r="L3" i="9"/>
  <c r="M3" i="9"/>
  <c r="N3" i="9"/>
  <c r="O3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E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A7" i="9"/>
  <c r="D7" i="9"/>
  <c r="E7" i="9"/>
  <c r="G7" i="9"/>
  <c r="H7" i="9"/>
  <c r="I7" i="9"/>
  <c r="J7" i="9"/>
  <c r="K7" i="9"/>
  <c r="L7" i="9"/>
  <c r="M7" i="9"/>
  <c r="N7" i="9"/>
  <c r="O7" i="9"/>
  <c r="A8" i="9"/>
  <c r="D8" i="9"/>
  <c r="E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E10" i="9"/>
  <c r="G10" i="9"/>
  <c r="H10" i="9"/>
  <c r="I10" i="9"/>
  <c r="J10" i="9"/>
  <c r="K10" i="9"/>
  <c r="L10" i="9"/>
  <c r="M10" i="9"/>
  <c r="N10" i="9"/>
  <c r="O10" i="9"/>
  <c r="A11" i="9"/>
  <c r="D11" i="9"/>
  <c r="E11" i="9"/>
  <c r="G11" i="9"/>
  <c r="H11" i="9"/>
  <c r="I11" i="9"/>
  <c r="J11" i="9"/>
  <c r="K11" i="9"/>
  <c r="L11" i="9"/>
  <c r="M11" i="9"/>
  <c r="N11" i="9"/>
  <c r="O11" i="9"/>
  <c r="A12" i="9"/>
  <c r="D12" i="9"/>
  <c r="E12" i="9"/>
  <c r="G12" i="9"/>
  <c r="H12" i="9"/>
  <c r="I12" i="9"/>
  <c r="J12" i="9"/>
  <c r="K12" i="9"/>
  <c r="L12" i="9"/>
  <c r="M12" i="9"/>
  <c r="N12" i="9"/>
  <c r="O12" i="9"/>
  <c r="A19" i="9"/>
  <c r="D19" i="9"/>
  <c r="E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A21" i="9"/>
  <c r="D21" i="9"/>
  <c r="E21" i="9"/>
  <c r="G21" i="9"/>
  <c r="H21" i="9"/>
  <c r="I21" i="9"/>
  <c r="J21" i="9"/>
  <c r="K21" i="9"/>
  <c r="L21" i="9"/>
  <c r="M21" i="9"/>
  <c r="N21" i="9"/>
  <c r="O21" i="9"/>
  <c r="A22" i="9"/>
  <c r="D22" i="9"/>
  <c r="E22" i="9"/>
  <c r="G22" i="9"/>
  <c r="H22" i="9"/>
  <c r="I22" i="9"/>
  <c r="J22" i="9"/>
  <c r="K22" i="9"/>
  <c r="L22" i="9"/>
  <c r="M22" i="9"/>
  <c r="N22" i="9"/>
  <c r="O22" i="9"/>
  <c r="A23" i="9"/>
  <c r="D23" i="9"/>
  <c r="E23" i="9"/>
  <c r="G23" i="9"/>
  <c r="H23" i="9"/>
  <c r="I23" i="9"/>
  <c r="J23" i="9"/>
  <c r="K23" i="9"/>
  <c r="L23" i="9"/>
  <c r="M23" i="9"/>
  <c r="N23" i="9"/>
  <c r="O23" i="9"/>
  <c r="A30" i="9"/>
  <c r="D30" i="9"/>
  <c r="E30" i="9"/>
  <c r="G30" i="9"/>
  <c r="H30" i="9"/>
  <c r="I30" i="9"/>
  <c r="J30" i="9"/>
  <c r="K30" i="9"/>
  <c r="L30" i="9"/>
  <c r="M30" i="9"/>
  <c r="N30" i="9"/>
  <c r="O30" i="9"/>
  <c r="A31" i="9"/>
  <c r="D31" i="9"/>
  <c r="E31" i="9"/>
  <c r="G31" i="9"/>
  <c r="H31" i="9"/>
  <c r="I31" i="9"/>
  <c r="J31" i="9"/>
  <c r="K31" i="9"/>
  <c r="L31" i="9"/>
  <c r="M31" i="9"/>
  <c r="N31" i="9"/>
  <c r="O31" i="9"/>
  <c r="A32" i="9"/>
  <c r="D32" i="9"/>
  <c r="E32" i="9"/>
  <c r="G32" i="9"/>
  <c r="H32" i="9"/>
  <c r="I32" i="9"/>
  <c r="J32" i="9"/>
  <c r="K32" i="9"/>
  <c r="L32" i="9"/>
  <c r="M32" i="9"/>
  <c r="N32" i="9"/>
  <c r="O32" i="9"/>
  <c r="A39" i="9"/>
  <c r="D39" i="9"/>
  <c r="E39" i="9"/>
  <c r="G39" i="9"/>
  <c r="H39" i="9"/>
  <c r="I39" i="9"/>
  <c r="J39" i="9"/>
  <c r="K39" i="9"/>
  <c r="L39" i="9"/>
  <c r="M39" i="9"/>
  <c r="N39" i="9"/>
  <c r="O39" i="9"/>
  <c r="A54" i="9"/>
  <c r="D54" i="9"/>
  <c r="E54" i="9"/>
  <c r="G54" i="9"/>
  <c r="H54" i="9"/>
  <c r="I54" i="9"/>
  <c r="J54" i="9"/>
  <c r="K54" i="9"/>
  <c r="L54" i="9"/>
  <c r="M54" i="9"/>
  <c r="N54" i="9"/>
  <c r="O54" i="9"/>
  <c r="A55" i="9"/>
  <c r="D55" i="9"/>
  <c r="E55" i="9"/>
  <c r="G55" i="9"/>
  <c r="H55" i="9"/>
  <c r="I55" i="9"/>
  <c r="J55" i="9"/>
  <c r="K55" i="9"/>
  <c r="L55" i="9"/>
  <c r="M55" i="9"/>
  <c r="N55" i="9"/>
  <c r="O55" i="9"/>
  <c r="A56" i="9"/>
  <c r="D56" i="9"/>
  <c r="E56" i="9"/>
  <c r="G56" i="9"/>
  <c r="H56" i="9"/>
  <c r="I56" i="9"/>
  <c r="J56" i="9"/>
  <c r="K56" i="9"/>
  <c r="L56" i="9"/>
  <c r="M56" i="9"/>
  <c r="N56" i="9"/>
  <c r="O56" i="9"/>
  <c r="A57" i="9"/>
  <c r="D57" i="9"/>
  <c r="E57" i="9"/>
  <c r="G57" i="9"/>
  <c r="H57" i="9"/>
  <c r="I57" i="9"/>
  <c r="J57" i="9"/>
  <c r="K57" i="9"/>
  <c r="L57" i="9"/>
  <c r="M57" i="9"/>
  <c r="N57" i="9"/>
  <c r="O57" i="9"/>
  <c r="A58" i="9"/>
  <c r="D58" i="9"/>
  <c r="E58" i="9"/>
  <c r="G58" i="9"/>
  <c r="H58" i="9"/>
  <c r="I58" i="9"/>
  <c r="J58" i="9"/>
  <c r="K58" i="9"/>
  <c r="L58" i="9"/>
  <c r="M58" i="9"/>
  <c r="N58" i="9"/>
  <c r="O58" i="9"/>
  <c r="B2" i="1"/>
  <c r="B3" i="1"/>
  <c r="B4" i="1"/>
  <c r="B5" i="1"/>
  <c r="A3" i="1"/>
  <c r="D3" i="1"/>
  <c r="E3" i="1"/>
  <c r="F3" i="1"/>
  <c r="H3" i="1"/>
  <c r="I3" i="1"/>
  <c r="J3" i="1"/>
  <c r="M3" i="1"/>
  <c r="N3" i="1"/>
  <c r="O3" i="1"/>
  <c r="P3" i="1"/>
  <c r="Q3" i="1"/>
  <c r="T3" i="1"/>
  <c r="V3" i="1"/>
  <c r="X3" i="1"/>
  <c r="AD3" i="1"/>
  <c r="AE3" i="1"/>
  <c r="AF3" i="1"/>
  <c r="AG3" i="1"/>
  <c r="AI3" i="1"/>
  <c r="A4" i="1"/>
  <c r="D4" i="1"/>
  <c r="E4" i="1"/>
  <c r="F4" i="1"/>
  <c r="H4" i="1"/>
  <c r="I4" i="1"/>
  <c r="J4" i="1"/>
  <c r="M4" i="1"/>
  <c r="N4" i="1"/>
  <c r="O4" i="1"/>
  <c r="P4" i="1"/>
  <c r="Q4" i="1"/>
  <c r="T4" i="1"/>
  <c r="V4" i="1"/>
  <c r="X4" i="1"/>
  <c r="AD4" i="1"/>
  <c r="AE4" i="1"/>
  <c r="AF4" i="1"/>
  <c r="AG4" i="1"/>
  <c r="AI4" i="1"/>
  <c r="A5" i="1"/>
  <c r="D5" i="1"/>
  <c r="E5" i="1"/>
  <c r="F5" i="1"/>
  <c r="H5" i="1"/>
  <c r="I5" i="1"/>
  <c r="J5" i="1"/>
  <c r="M5" i="1"/>
  <c r="N5" i="1"/>
  <c r="O5" i="1"/>
  <c r="P5" i="1"/>
  <c r="Q5" i="1"/>
  <c r="T5" i="1"/>
  <c r="V5" i="1"/>
  <c r="X5" i="1"/>
  <c r="AD5" i="1"/>
  <c r="AE5" i="1"/>
  <c r="AF5" i="1"/>
  <c r="AG5" i="1"/>
  <c r="AI5" i="1"/>
  <c r="C4" i="2"/>
  <c r="C5" i="2"/>
  <c r="C3" i="2"/>
  <c r="C2" i="2"/>
  <c r="H2" i="1"/>
  <c r="B3" i="2"/>
  <c r="D3" i="2"/>
  <c r="E3" i="2"/>
  <c r="H3" i="2"/>
  <c r="B4" i="2"/>
  <c r="D4" i="2"/>
  <c r="E4" i="2"/>
  <c r="H4" i="2"/>
  <c r="B5" i="2"/>
  <c r="D5" i="2"/>
  <c r="E5" i="2"/>
  <c r="H5" i="2"/>
  <c r="W2" i="7"/>
  <c r="U2" i="7"/>
  <c r="V2" i="1"/>
  <c r="T2" i="1"/>
  <c r="C13" i="16"/>
  <c r="E13" i="16"/>
  <c r="C12" i="16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E2" i="9"/>
  <c r="D2" i="9"/>
  <c r="C4" i="16"/>
  <c r="C5" i="16"/>
  <c r="C6" i="16"/>
  <c r="C7" i="16"/>
  <c r="C8" i="16"/>
  <c r="C9" i="16"/>
  <c r="C3" i="16"/>
  <c r="E9" i="16"/>
  <c r="X2" i="1"/>
  <c r="R2" i="7"/>
  <c r="Q2" i="7"/>
  <c r="P2" i="7"/>
  <c r="O2" i="7"/>
  <c r="N2" i="7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<sst xmlns="http://schemas.openxmlformats.org/spreadsheetml/2006/main" count="771" uniqueCount="373">
  <si>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</si>
  <si>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</si>
  <si>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</si>
  <si>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</si>
  <si>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</si>
  <si>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</si>
  <si>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</si>
  <si>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</si>
  <si>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</si>
  <si>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</si>
  <si>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</si>
  <si>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</si>
  <si>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</si>
  <si>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</si>
  <si>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</si>
  <si>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</si>
  <si>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</si>
  <si>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</si>
  <si>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</si>
  <si>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</si>
  <si>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</si>
  <si>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</si>
  <si>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</si>
  <si>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</si>
  <si>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</si>
  <si>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</si>
  <si>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</si>
  <si>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</si>
  <si>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</si>
  <si>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</si>
  <si>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</si>
  <si>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</si>
  <si>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</si>
  <si>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</si>
  <si>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</si>
  <si>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</si>
  <si>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</si>
  <si>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</si>
  <si>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</si>
  <si>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</si>
  <si>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</si>
  <si>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</si>
  <si>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</si>
  <si>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</si>
  <si>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</si>
  <si>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</si>
  <si>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</si>
  <si>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</si>
  <si>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</si>
  <si>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</si>
  <si>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</si>
  <si>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</si>
  <si>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</si>
  <si>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</si>
  <si>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</si>
  <si>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</si>
  <si>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</si>
  <si>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</si>
  <si>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</si>
  <si>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</si>
  <si>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</si>
  <si>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</si>
  <si>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</si>
  <si>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</si>
  <si>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</si>
  <si>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</si>
  <si>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</si>
  <si>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</si>
  <si>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</si>
  <si>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</si>
  <si>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</si>
  <si>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</si>
  <si>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</si>
  <si>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</si>
  <si>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</si>
  <si>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</si>
  <si>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</si>
  <si>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</si>
  <si>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</si>
  <si>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</si>
  <si>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</si>
  <si>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</si>
  <si>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</si>
  <si>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</si>
  <si>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</si>
  <si>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</si>
  <si>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</si>
  <si>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</si>
  <si>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</si>
  <si>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</si>
  <si>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</si>
  <si>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</si>
  <si>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</si>
  <si>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</si>
  <si>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</si>
  <si>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</si>
  <si>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</si>
  <si>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</si>
  <si>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</si>
  <si>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</si>
  <si>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</si>
  <si>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</si>
  <si>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</si>
  <si>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</si>
  <si>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</si>
  <si>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</si>
  <si>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</si>
  <si>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</si>
  <si>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</si>
  <si>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</si>
  <si>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</si>
  <si>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</si>
  <si>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</si>
  <si>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</si>
  <si>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</si>
  <si>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</si>
  <si>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</si>
  <si>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</si>
  <si>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</si>
  <si>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</si>
  <si>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</si>
  <si>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</si>
  <si>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</si>
  <si>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</si>
  <si>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</si>
  <si>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</si>
  <si>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</si>
  <si>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</si>
  <si>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</si>
  <si>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</si>
  <si>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</si>
  <si>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</si>
  <si>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</si>
  <si>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</si>
  <si>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</si>
  <si>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</si>
  <si>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</si>
  <si>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</si>
  <si>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</si>
  <si>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</si>
  <si>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</si>
  <si>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</si>
  <si>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</si>
  <si>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</si>
  <si>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</si>
  <si>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</si>
  <si>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</si>
  <si>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</si>
  <si>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</si>
  <si>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</si>
  <si>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</si>
  <si>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</si>
  <si>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</si>
  <si>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</si>
  <si>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</si>
  <si>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</si>
  <si>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</si>
  <si>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</si>
  <si>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</si>
  <si>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</si>
  <si>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</si>
  <si>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</si>
  <si>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</si>
  <si>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</si>
  <si>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</si>
  <si>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</si>
  <si>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</si>
  <si>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</si>
  <si>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</si>
  <si>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</si>
  <si>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</si>
  <si>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</si>
  <si>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</si>
  <si>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</si>
  <si>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</si>
  <si>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</si>
  <si>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</si>
  <si>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</si>
  <si>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</si>
  <si>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</si>
  <si>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</si>
  <si>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</si>
  <si>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</si>
  <si>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</si>
  <si>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</si>
  <si>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</si>
  <si>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</si>
  <si>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</si>
  <si>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</si>
  <si>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</si>
  <si>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</si>
  <si>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</si>
  <si>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</si>
  <si>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</si>
  <si>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</si>
  <si>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</si>
  <si>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</si>
  <si>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</si>
  <si>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</si>
  <si>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</si>
  <si>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</si>
  <si>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</si>
  <si>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</si>
  <si>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</si>
  <si>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</si>
  <si>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</si>
  <si>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</si>
  <si>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</si>
  <si>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</si>
  <si>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</si>
  <si>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</si>
  <si>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</si>
  <si>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</si>
  <si>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</si>
  <si>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</si>
  <si>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</si>
  <si>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</si>
  <si>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</si>
  <si>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</si>
  <si>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</si>
  <si>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</si>
  <si>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</si>
  <si>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</si>
  <si>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</si>
  <si>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</si>
  <si>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</si>
  <si>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</si>
  <si>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</si>
  <si>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</si>
  <si>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</si>
  <si>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</si>
  <si>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</si>
  <si>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</si>
  <si>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</si>
  <si>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</si>
  <si>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</si>
  <si>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</si>
  <si>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</si>
  <si>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</si>
  <si>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</si>
  <si>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</si>
  <si>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</si>
  <si>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</si>
  <si>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「あとで一緒に食べようね！約束だよ！」</t>
    <rPh sb="13" eb="15">
      <t>ヤクソク</t>
    </rPh>
    <phoneticPr fontId="5"/>
  </si>
  <si>
    <t>473,820</t>
    <phoneticPr fontId="5"/>
  </si>
  <si>
    <t>463,464</t>
    <phoneticPr fontId="5"/>
  </si>
  <si>
    <t>233,234</t>
    <phoneticPr fontId="5"/>
  </si>
  <si>
    <t>321,838</t>
    <phoneticPr fontId="5"/>
  </si>
  <si>
    <t>323,966</t>
    <phoneticPr fontId="5"/>
  </si>
  <si>
    <t>327,967</t>
    <phoneticPr fontId="5"/>
  </si>
  <si>
    <t>あ！近藤さん！お団子確保しておきましたよ！</t>
    <rPh sb="10" eb="12">
      <t>カクホ</t>
    </rPh>
    <phoneticPr fontId="5"/>
  </si>
  <si>
    <t>ん？何か違和感を感じるね…</t>
    <rPh sb="2" eb="3">
      <t>ナニ</t>
    </rPh>
    <phoneticPr fontId="5"/>
  </si>
  <si>
    <t>ねぇアーサー！お団子が売ってるよ！</t>
    <phoneticPr fontId="5"/>
  </si>
  <si>
    <t>「お願い！お団子買ってよ！」</t>
    <phoneticPr fontId="5"/>
  </si>
  <si>
    <t>桜花の管理者</t>
    <rPh sb="0" eb="1">
      <t>サクラ</t>
    </rPh>
    <rPh sb="1" eb="2">
      <t>ハナ</t>
    </rPh>
    <rPh sb="3" eb="5">
      <t>カンリ</t>
    </rPh>
    <rPh sb="5" eb="6">
      <t>シャ</t>
    </rPh>
    <phoneticPr fontId="5"/>
  </si>
  <si>
    <t>センコの暴露話</t>
    <rPh sb="4" eb="6">
      <t>バクロ</t>
    </rPh>
    <rPh sb="6" eb="7">
      <t>バナシ</t>
    </rPh>
    <phoneticPr fontId="5"/>
  </si>
  <si>
    <t>センコの推測によると
花見会の主催者であるコノハナサクヤは
大好きなお酒を堂々と呑む機会のため
お花見会を企画したようです</t>
    <rPh sb="4" eb="6">
      <t>スイソク</t>
    </rPh>
    <rPh sb="11" eb="14">
      <t>ハナミカイ</t>
    </rPh>
    <rPh sb="15" eb="18">
      <t>シュサイシャ</t>
    </rPh>
    <rPh sb="30" eb="32">
      <t>ダイスキ</t>
    </rPh>
    <rPh sb="51" eb="52">
      <t>カイ</t>
    </rPh>
    <rPh sb="53" eb="55">
      <t>キカク</t>
    </rPh>
    <phoneticPr fontId="5"/>
  </si>
  <si>
    <t>ja</t>
    <phoneticPr fontId="5"/>
  </si>
  <si>
    <t>え？おっきな蛇さんです？？？</t>
    <phoneticPr fontId="5"/>
  </si>
  <si>
    <t>あの管理AIちゃん、分体を
作りながら逃げたわね</t>
    <rPh sb="11" eb="12">
      <t>カラダ</t>
    </rPh>
    <rPh sb="14" eb="15">
      <t>ツクリ</t>
    </rPh>
    <phoneticPr fontId="5"/>
  </si>
  <si>
    <t>あ！お団子が売ってる！</t>
    <phoneticPr fontId="5"/>
  </si>
  <si>
    <t>「アーサーとお花見しながら、食べたいな！」</t>
    <phoneticPr fontId="5"/>
  </si>
  <si>
    <t>あれー？お花見会場はどっちだっけ？</t>
    <phoneticPr fontId="5"/>
  </si>
  <si>
    <t>こんにちは！土方さん</t>
    <phoneticPr fontId="5"/>
  </si>
  <si>
    <t>ごきげんよう、斎藤さん</t>
    <phoneticPr fontId="5"/>
  </si>
  <si>
    <t>皆でお花見…
楽しみだったのに…</t>
    <phoneticPr fontId="5"/>
  </si>
  <si>
    <t>センコさん…サクヤさん…</t>
    <phoneticPr fontId="5"/>
  </si>
  <si>
    <t>ja</t>
    <phoneticPr fontId="5"/>
  </si>
  <si>
    <t>null</t>
  </si>
  <si>
    <t>old</t>
  </si>
  <si>
    <t>[effect:enemy_message, val1:1.3, val2:1.6],[effect:fix_speed, target:myself, turn:1]</t>
  </si>
  <si>
    <t>[effect:enemy_message, val1:1.7, val2:4.4],[effect:suicide, val:1, dead_type:escape, target:enemy_all]</t>
    <phoneticPr fontId="5"/>
  </si>
  <si>
    <t>[effect:enemy_message, val1:2.6, val2:4.8],[effect:suicide, val:1, dead_type:escape, target:enemy_all]</t>
    <phoneticPr fontId="5"/>
  </si>
  <si>
    <t>「あ、沖田さーん！こんにちはです！」
トリスタンは駆け出した！</t>
    <rPh sb="3" eb="5">
      <t>オキタ</t>
    </rPh>
    <rPh sb="25" eb="26">
      <t>カケダシタ</t>
    </rPh>
    <phoneticPr fontId="5"/>
  </si>
  <si>
    <t>おや、トリスタンも
お団子を買いに来たんですか？</t>
    <rPh sb="11" eb="13">
      <t>ダンゴ</t>
    </rPh>
    <rPh sb="14" eb="15">
      <t>カイニ</t>
    </rPh>
    <rPh sb="17" eb="18">
      <t>キタン</t>
    </rPh>
    <phoneticPr fontId="5"/>
  </si>
  <si>
    <t>私、ここにお花見に来るのは
初めてなんですよ</t>
    <phoneticPr fontId="5"/>
  </si>
  <si>
    <t>「桜がすごく綺麗と聞いてて、
だからすごく楽しみなんです！
会場はまだですか？牛若丸さん」</t>
    <rPh sb="30" eb="32">
      <t>カイジョウ</t>
    </rPh>
    <rPh sb="39" eb="41">
      <t>ウシワカ</t>
    </rPh>
    <rPh sb="41" eb="42">
      <t>マル</t>
    </rPh>
    <phoneticPr fontId="5"/>
  </si>
  <si>
    <t>「そろそろお花見会場に到着だよ」</t>
    <phoneticPr fontId="5"/>
  </si>
  <si>
    <t>[effect:enemy_message, val1:1.2, val2:2.1],[effect:fix_speed, target:myself, turn:1],[effect:force_change_block, new_block:crack_bomb, target:block_blue, ignore01:block_positive, color:block_random, count:9, val:36, animation:change_block]</t>
    <phoneticPr fontId="5"/>
  </si>
  <si>
    <t>「私も、桜のお団子を買ったんですよ
それじゃ、お花見会場まで一緒に行きましょう？」</t>
    <rPh sb="1" eb="2">
      <t>ワタシモ</t>
    </rPh>
    <rPh sb="4" eb="5">
      <t>サクラモチ</t>
    </rPh>
    <rPh sb="7" eb="9">
      <t>ダンゴ</t>
    </rPh>
    <rPh sb="10" eb="11">
      <t>カッタンデスヨ</t>
    </rPh>
    <phoneticPr fontId="5"/>
  </si>
  <si>
    <t>[effect:enemy_message, val1:1.7, val2:1.9],[effect:fix_speed, target:myself, turn:1],[effect:force_change_block, new_block:crack_bomb, target:block_blue, ignore01:block_positive, color:block_random, count:9, val:36, animation:change_block]</t>
    <phoneticPr fontId="5"/>
  </si>
  <si>
    <t>「ドガさん、状況をサクヤ達に報告しにいきましょう」</t>
    <rPh sb="6" eb="8">
      <t>ジョウキョウ</t>
    </rPh>
    <phoneticPr fontId="5"/>
  </si>
  <si>
    <t>「はわぁ〜散らさないでくださ〜い〜！！」
ヨシノは怯えて逃げ出した！</t>
    <rPh sb="5" eb="6">
      <t>チラサ</t>
    </rPh>
    <rPh sb="25" eb="26">
      <t>オビエテ</t>
    </rPh>
    <rPh sb="28" eb="29">
      <t>ニゲダシタ</t>
    </rPh>
    <phoneticPr fontId="5"/>
  </si>
  <si>
    <t>いろいろトラブルがありましたが
今年も綺麗に咲いてくれましたぁ</t>
    <phoneticPr fontId="5"/>
  </si>
  <si>
    <t>なんと！今日の酒代は…
センコちゃんのオゴりや！</t>
    <phoneticPr fontId="5"/>
  </si>
  <si>
    <t>[effect:enemy_message, val1:1.9, val2:3.8],[effect:suicide, val:1, dead_type:escape, target:enemy_all]</t>
    <phoneticPr fontId="5"/>
  </si>
  <si>
    <t>[effect:enemy_message, val1:2.2, val2:3.5],[effect:suicide, val:1, dead_type:escape, target:enemy_all]</t>
    <phoneticPr fontId="5"/>
  </si>
  <si>
    <t xml:space="preserve">[effect:enemy_message, val1:2.3, val2:4.0],[effect:fix_speed, target:myself, turn:1],[effect:force_change_block, new_block:crack_bomb, target:block_blue, ignore01:block_positive, color:block_heart, count:4, val:36, animation:change_block]    </t>
    <phoneticPr fontId="5"/>
  </si>
  <si>
    <t>暗躍する影</t>
    <rPh sb="0" eb="2">
      <t>アンヤク</t>
    </rPh>
    <rPh sb="4" eb="5">
      <t>カゲ</t>
    </rPh>
    <phoneticPr fontId="5"/>
  </si>
  <si>
    <t>「お花見のお客さんが待ち遠しいですねぇ〜
そろそろサクヤさまが案内してきてくれる
予定の時間なのですが」</t>
    <rPh sb="31" eb="33">
      <t>アンナイ</t>
    </rPh>
    <rPh sb="41" eb="43">
      <t>ヨテイ</t>
    </rPh>
    <rPh sb="44" eb="46">
      <t>ジカン</t>
    </rPh>
    <phoneticPr fontId="5"/>
  </si>
  <si>
    <t>桜の管理AIであるヨシノは
お花見のシーズンになると
桜の一本一本に専任の分体をつけて
お花見客を歓迎してくれます</t>
    <rPh sb="0" eb="1">
      <t>サクラ</t>
    </rPh>
    <rPh sb="2" eb="4">
      <t>カンリ</t>
    </rPh>
    <rPh sb="27" eb="28">
      <t>サクラ</t>
    </rPh>
    <rPh sb="29" eb="33">
      <t>イッポンイッポン</t>
    </rPh>
    <rPh sb="34" eb="36">
      <t>sennninn</t>
    </rPh>
    <rPh sb="37" eb="39">
      <t>bunntai</t>
    </rPh>
    <rPh sb="47" eb="48">
      <t>キャク</t>
    </rPh>
    <rPh sb="49" eb="51">
      <t>カンゲイ</t>
    </rPh>
    <phoneticPr fontId="5"/>
  </si>
  <si>
    <t>サクヤとヨシノ</t>
    <phoneticPr fontId="5"/>
  </si>
  <si>
    <t>「トリスタンも会場まで一緒に行きましょうね」</t>
    <phoneticPr fontId="5"/>
  </si>
  <si>
    <t>与一、座る場所は
確保できたかい？</t>
    <rPh sb="0" eb="2">
      <t>ヨイチ</t>
    </rPh>
    <rPh sb="3" eb="4">
      <t>スワル</t>
    </rPh>
    <rPh sb="5" eb="7">
      <t>バショ</t>
    </rPh>
    <rPh sb="9" eb="11">
      <t>カクホｄ</t>
    </rPh>
    <rPh sb="16" eb="17">
      <t>カクホｄ</t>
    </rPh>
    <phoneticPr fontId="5"/>
  </si>
  <si>
    <t>やぁ弁慶
荷物運びお疲れさま！</t>
    <rPh sb="2" eb="4">
      <t>ベンケイ</t>
    </rPh>
    <rPh sb="5" eb="7">
      <t>ニモツ</t>
    </rPh>
    <rPh sb="7" eb="8">
      <t>ハコビ</t>
    </rPh>
    <phoneticPr fontId="5"/>
  </si>
  <si>
    <t>皆、歩き疲れていないかい？</t>
    <phoneticPr fontId="5"/>
  </si>
  <si>
    <t>「さぁ皆！そろそろお花見会場に到着だよ」</t>
    <rPh sb="3" eb="4">
      <t>ミンナ</t>
    </rPh>
    <phoneticPr fontId="5"/>
  </si>
  <si>
    <t>静…？ふふ、くすぐったいよ</t>
    <rPh sb="0" eb="1">
      <t>シズカ</t>
    </rPh>
    <phoneticPr fontId="5"/>
  </si>
  <si>
    <t>[effect:enemy_message, val1:1.3, val2:2.0],[effect:fix_speed, target:myself, turn:1]</t>
    <phoneticPr fontId="5"/>
  </si>
  <si>
    <t>「もうすぐお花見会場に到着するよ」</t>
    <phoneticPr fontId="5"/>
  </si>
  <si>
    <t>[effect:enemy_message, val1:1.6, val2:1.7],[effect:fix_speed, target:myself, turn:1]</t>
    <phoneticPr fontId="5"/>
  </si>
  <si>
    <t>「もうちょっとでお花見会場に到着だよ」</t>
    <phoneticPr fontId="5"/>
  </si>
  <si>
    <t>皆で桜のデッサン…
楽しみだったのに…</t>
    <rPh sb="2" eb="3">
      <t>サクラ</t>
    </rPh>
    <phoneticPr fontId="5"/>
  </si>
  <si>
    <t>せやな…
センコちゃんの説も一理あるな！</t>
    <phoneticPr fontId="5"/>
  </si>
  <si>
    <t>「お花見会場…本当にここであってますか…？」
不安そうな表情でセンコに抱きついた</t>
    <rPh sb="23" eb="25">
      <t>フアｎ</t>
    </rPh>
    <rPh sb="28" eb="30">
      <t>ヒョウジョウ</t>
    </rPh>
    <rPh sb="35" eb="36">
      <t>ダキツキニイッタ</t>
    </rPh>
    <phoneticPr fontId="5"/>
  </si>
  <si>
    <t>何か事件が起こったというのか？</t>
    <rPh sb="2" eb="4">
      <t>ジケｎ</t>
    </rPh>
    <phoneticPr fontId="5"/>
  </si>
  <si>
    <t>ん？あなたたち
お花見に来たお客さん？</t>
    <rPh sb="12" eb="13">
      <t>キタ</t>
    </rPh>
    <phoneticPr fontId="5"/>
  </si>
  <si>
    <t>[effect:enemy_message, val1:2.3, val2:3.5]</t>
    <phoneticPr fontId="5"/>
  </si>
  <si>
    <t>お花見を邪魔しちゃって
申し訳ないとは思ってるのよ？</t>
    <rPh sb="4" eb="6">
      <t>ジャマシチャッテ</t>
    </rPh>
    <rPh sb="12" eb="13">
      <t>モウシワケナイ</t>
    </rPh>
    <rPh sb="19" eb="20">
      <t>オモウンダケドネ</t>
    </rPh>
    <phoneticPr fontId="5"/>
  </si>
  <si>
    <t>「それじゃあそろそろ、あの子を追いかけましょうか」
ヨルムンガンドはヨシノを探しに去っていった</t>
    <rPh sb="15" eb="16">
      <t>オイカケマショウ</t>
    </rPh>
    <rPh sb="38" eb="39">
      <t>サガシテイルヨウダ</t>
    </rPh>
    <rPh sb="41" eb="42">
      <t>サッテイッタ</t>
    </rPh>
    <phoneticPr fontId="5"/>
  </si>
  <si>
    <t>メルクシャ</t>
    <phoneticPr fontId="5"/>
  </si>
  <si>
    <t>ジャリダルサ</t>
    <phoneticPr fontId="5"/>
  </si>
  <si>
    <t>ルピカ</t>
    <phoneticPr fontId="5"/>
  </si>
  <si>
    <t>ルピカ</t>
    <phoneticPr fontId="5"/>
  </si>
  <si>
    <t>ラファエロ</t>
    <phoneticPr fontId="5"/>
  </si>
  <si>
    <t>ラファエロ</t>
    <phoneticPr fontId="5"/>
  </si>
  <si>
    <t>北斎</t>
    <rPh sb="0" eb="2">
      <t>ホクサイ</t>
    </rPh>
    <phoneticPr fontId="5"/>
  </si>
  <si>
    <t>ドガ</t>
    <phoneticPr fontId="5"/>
  </si>
  <si>
    <t>ドガ</t>
    <phoneticPr fontId="5"/>
  </si>
  <si>
    <t>クリムト</t>
    <phoneticPr fontId="5"/>
  </si>
  <si>
    <t>クリムト</t>
    <phoneticPr fontId="5"/>
  </si>
  <si>
    <t>静御前</t>
    <rPh sb="0" eb="3">
      <t>シズカゴゼｎ</t>
    </rPh>
    <phoneticPr fontId="5"/>
  </si>
  <si>
    <t>那須与一</t>
    <rPh sb="0" eb="4">
      <t>ナスノヨイチ</t>
    </rPh>
    <phoneticPr fontId="5"/>
  </si>
  <si>
    <t>武蔵坊弁慶</t>
    <rPh sb="0" eb="5">
      <t>ムサシボウベンケイ</t>
    </rPh>
    <phoneticPr fontId="5"/>
  </si>
  <si>
    <t>うふふ、いただきまーす♪</t>
    <phoneticPr fontId="5"/>
  </si>
  <si>
    <t>「他の部隊に多少遅れをとってしまったけど、
あの子を回収できればまだ…」</t>
    <rPh sb="1" eb="2">
      <t>ホカ</t>
    </rPh>
    <rPh sb="3" eb="5">
      <t>ブタイ</t>
    </rPh>
    <rPh sb="8" eb="9">
      <t>デオクレテシマッタ</t>
    </rPh>
    <rPh sb="24" eb="25">
      <t>コ</t>
    </rPh>
    <rPh sb="26" eb="28">
      <t>カイシュウ</t>
    </rPh>
    <phoneticPr fontId="5"/>
  </si>
  <si>
    <t>女王配下のデルピュネー部隊所属
ヨルムンガンドが目撃されています
目的は不明ですが
注意したほうがよさそうです</t>
    <rPh sb="0" eb="2">
      <t>ジョオウ</t>
    </rPh>
    <rPh sb="2" eb="4">
      <t>ハイカ</t>
    </rPh>
    <rPh sb="11" eb="13">
      <t>ブタイ</t>
    </rPh>
    <rPh sb="13" eb="15">
      <t>ショゾク</t>
    </rPh>
    <rPh sb="24" eb="26">
      <t>モクゲキ</t>
    </rPh>
    <rPh sb="33" eb="35">
      <t>モクテキ</t>
    </rPh>
    <rPh sb="36" eb="38">
      <t>フメイ</t>
    </rPh>
    <rPh sb="42" eb="44">
      <t>チュウイ</t>
    </rPh>
    <phoneticPr fontId="5"/>
  </si>
  <si>
    <t>自分の親分として慕っているのか
コノハナサクヤの後ろについて
チョロチョロしているヨシノが
よく目撃されています</t>
    <rPh sb="0" eb="2">
      <t>ジブｎ</t>
    </rPh>
    <rPh sb="3" eb="5">
      <t>オヤブン</t>
    </rPh>
    <rPh sb="8" eb="9">
      <t>シタッテイル</t>
    </rPh>
    <rPh sb="24" eb="25">
      <t>ウシロ</t>
    </rPh>
    <rPh sb="48" eb="50">
      <t>モクゲキサレマス</t>
    </rPh>
    <phoneticPr fontId="5"/>
  </si>
  <si>
    <t>「あたり一帯の桜のデータは
全部いただいちゃったわ！」</t>
    <rPh sb="7" eb="8">
      <t>サクラ</t>
    </rPh>
    <rPh sb="14" eb="16">
      <t>ゼンブ</t>
    </rPh>
    <phoneticPr fontId="5"/>
  </si>
  <si>
    <t>「まだ見つかるわけにはいかないのよね〜」</t>
    <rPh sb="3" eb="4">
      <t>ミツカル</t>
    </rPh>
    <phoneticPr fontId="5"/>
  </si>
  <si>
    <t>「咲いている桜がほとんど無い…ね」</t>
    <phoneticPr fontId="5"/>
  </si>
  <si>
    <t>桜が見られなくてドガはしょんぼりしている</t>
    <rPh sb="0" eb="1">
      <t>サクラ</t>
    </rPh>
    <rPh sb="2" eb="3">
      <t>ミラレナクテ</t>
    </rPh>
    <phoneticPr fontId="5"/>
  </si>
  <si>
    <t>ほな美味しい花見酒のために！</t>
    <phoneticPr fontId="5"/>
  </si>
  <si>
    <t>皆、景気付けの一杯はもろたかー？</t>
    <phoneticPr fontId="5"/>
  </si>
  <si>
    <t>「もぅ〜どうしてそうなるのよ！サクヤったら！」
センコの激しいツッコミが響き渡る</t>
    <rPh sb="28" eb="29">
      <t>ハゲシイ</t>
    </rPh>
    <rPh sb="36" eb="37">
      <t>ヒビキワタリ</t>
    </rPh>
    <phoneticPr fontId="5"/>
  </si>
  <si>
    <t>[effect:enemy_message, val1:1.8, val2:2.0],[effect:sleep, target:unit_all, turn:-1, rate:1],[effect:hungup, target:unit_all, turn:-1, rate:1, animation:hungup01],[effect:force_change_block, new_block:block_blue, target:block_all, count:0, val:0, animation:change_block]</t>
    <phoneticPr fontId="5"/>
  </si>
  <si>
    <t xml:space="preserve">[effect:enemy_message, val1:2.1, val2:2.2],[effect:fix_speed, target:myself, turn:1],[effect:force_change_block, new_block:crack_bomb, target:block_blue, ignore01:block_positive, color:block_heart, count:4, val:36, animation:change_block]    </t>
    <phoneticPr fontId="5"/>
  </si>
  <si>
    <t xml:space="preserve">[effect:enemy_message, val1:1.2, val2:2.2],[effect:fix_speed, target:myself, turn:1],[effect:force_change_block, new_block:crack_bomb, target:block_blue, ignore01:block_positive, color:block_heart, count:4, val:36, animation:change_block]    </t>
    <phoneticPr fontId="5"/>
  </si>
  <si>
    <t xml:space="preserve">[effect:enemy_message, val1:1.2, val2:2.2],[effect:fix_speed, target:myself, turn:1],[effect:force_change_block, new_block:crack_bomb, target:block_blue, ignore01:block_positive, color:block_heart, count:4, val:36, animation:change_block]    </t>
    <phoneticPr fontId="5"/>
  </si>
  <si>
    <t>[effect:enemy_message, val1:1.4, val2:1.9],[effect:fix_speed, target:myself, turn:1]</t>
    <phoneticPr fontId="5"/>
  </si>
  <si>
    <t>[effect:enemy_message, val1:1.3, val2:1.7],[effect:change_bomb_range, target:unit_red/unit_blue, val:0.1, rate:1, turn:-1, animation:bomb_small]</t>
    <phoneticPr fontId="5"/>
  </si>
  <si>
    <t>[effect:enemy_message, val1:2.0, val2:3.0],[effect:suicide, val:1, dead_type:escape, target:enemy_all]</t>
    <phoneticPr fontId="5"/>
  </si>
  <si>
    <t xml:space="preserve">[effect:enemy_message, val1:1.5, val2:2.0],[effect:fix_speed, target:myself, turn:1],[effect:change_bomb_range, target:unit_green/unit_yellow, val:0.1, rate:1, turn:-1, animation:bomb_small]    </t>
    <phoneticPr fontId="5"/>
  </si>
  <si>
    <t xml:space="preserve">[effect:enemy_message, val1:1.8, val2:2.0],[effect:fix_speed, target:myself, turn:1],[effect:change_bomb_range, target:unit_green/unit_yellow, val:0.1, rate:1, turn:-1, animation:bomb_small]    </t>
    <phoneticPr fontId="5"/>
  </si>
  <si>
    <t>「姉さんもお団子食べるよね？」</t>
    <phoneticPr fontId="5"/>
  </si>
  <si>
    <t>「花より団子っちゅーけどやっぱヨシノちゃんも
花も取り返してこその美酒やな！」
団子をサクヤに食べられた！</t>
    <rPh sb="1" eb="2">
      <t>ハナヨリ</t>
    </rPh>
    <rPh sb="4" eb="6">
      <t>ダンゴ</t>
    </rPh>
    <rPh sb="23" eb="24">
      <t>ハナガナイト</t>
    </rPh>
    <rPh sb="25" eb="26">
      <t>トリモドサン</t>
    </rPh>
    <rPh sb="27" eb="28">
      <t>カエシテ</t>
    </rPh>
    <rPh sb="33" eb="35">
      <t>ビシュ</t>
    </rPh>
    <phoneticPr fontId="5"/>
  </si>
  <si>
    <t>こっちだよ！パーシ姉さん！</t>
    <phoneticPr fontId="5"/>
  </si>
  <si>
    <t>[effect:enemy_message, val1:1.3, val2:1.5],[effect:fix_speed, target:myself, turn:1],[effect:force_change_block, new_block:crack_bomb, target:block_blue, ignore01:block_positive, color:block_random, count:9, val:36, animation:change_block]</t>
    <phoneticPr fontId="5"/>
  </si>
  <si>
    <t>あ！ガウェインおじさんだ！</t>
    <phoneticPr fontId="5"/>
  </si>
  <si>
    <t>[effect:enemy_message, val1:1.3, val2:1.4],[effect:fix_speed, target:myself, turn:1],[effect:force_change_block, new_block:crack_bomb, target:block_blue, ignore01:block_positive, color:block_random, count:9, val:36, animation:change_block]</t>
    <phoneticPr fontId="5"/>
  </si>
  <si>
    <t>ね〜え牛若丸♪
気付いたかしら？</t>
    <rPh sb="3" eb="6">
      <t>ウシワカマル</t>
    </rPh>
    <phoneticPr fontId="5"/>
  </si>
  <si>
    <t>「桜のデータが誰かに
喰い荒らされちゃってるみたいよ？」
ドガを抱きしめて頭を撫でている
緑・黄属性ユニットのボム爆風DOWNを解除！</t>
    <rPh sb="7" eb="8">
      <t>ダレカニ</t>
    </rPh>
    <rPh sb="11" eb="12">
      <t>クイ</t>
    </rPh>
    <phoneticPr fontId="5"/>
  </si>
  <si>
    <t>あと、桜の管理をしてる
ヨシノも見当たらないわね〜</t>
    <rPh sb="3" eb="4">
      <t>サクラノ</t>
    </rPh>
    <rPh sb="5" eb="7">
      <t>カンリ</t>
    </rPh>
    <rPh sb="16" eb="18">
      <t>ミアタリ</t>
    </rPh>
    <phoneticPr fontId="5"/>
  </si>
  <si>
    <t>「何かに怯えて逃げちゃったのかしら？
サクヤ～、どう対処するつもりなの？」</t>
    <phoneticPr fontId="5"/>
  </si>
  <si>
    <t>あらサクヤ、もう呑んでたのね…
まぁ構わないけど♪</t>
    <phoneticPr fontId="5"/>
  </si>
  <si>
    <t>「ヨシノを連れ戻せたら、
綺麗な満開の桜の下で
もっと美味しいお酒が呑めるわよっ♪」</t>
    <phoneticPr fontId="5"/>
  </si>
  <si>
    <t>[effect:enemy_message, val1:1.5, val2:6.4],[effect:fix_speed, target:myself, turn:1],[effect:remove_enhancement, target:unit_green/unit_yellow, target_effect:change_bomb_range, target_type:debuff, animation:frozen_wave]</t>
    <phoneticPr fontId="5"/>
  </si>
  <si>
    <t>[effect:enemy_message, val1:2.4, val2:3.6],[effect:enhance_unit, target:unit_all, turn:-1, status:action, val:2, calc:add]</t>
    <phoneticPr fontId="5"/>
  </si>
  <si>
    <t>[effect:enemy_message, val1:2.9, val2:4.5],[effect:crash_condition, target:unit_all, turn:-1, val:-11, animation:crash_panel_reduce04],[effect:suicide, val:1, dead_type:escape, target:enemy_all]</t>
    <phoneticPr fontId="5"/>
  </si>
  <si>
    <t xml:space="preserve">[effect:enemy_message, val1:2.3, val2:3.9],[effect:damage_gravity, target:enemy_one, val:0.2, animation:damage_gravity_one03],[effect:remove_enhancement, target:unit_all, target_effect:sleep, animation:frozen_wave],[effect:remove_enhancement, target:unit_all, target_effect:hungup, animation:frozen_wave],[effect:sp_boost, target:unit_all, val:20],[effect:reduction, target:myself, color:all, turn:-1, val:0.99, animation:reduction_one01]    </t>
    <phoneticPr fontId="5"/>
  </si>
  <si>
    <t xml:space="preserve">[effect:enemy_message, val1:1.2, val2:2.6],[effect:fix_speed, target:myself, turn:1],[effect:break_enchance_enemy, target:myself, val:50, lowest_val:100, count:-1, status:attack, turn:-1, block_color:block_heart, block01:block_all, calc:add, animation:enemy_enhance_attack],[effect:crash_condition, target:unit_all, turn:-1, val:99],[effect:change_panel_ratio, turn:-1, block_type:heal, val:0],[effect:set_background, turn:-1, background_id:1006, switching_mode:cross_fade, duration:2]    </t>
    <phoneticPr fontId="5"/>
  </si>
  <si>
    <t>「あんたらも良いツッコミありがとな！
ほなヨシノちゃん探し、気張って行こか〜！」</t>
    <rPh sb="6" eb="7">
      <t>ヨイ</t>
    </rPh>
    <phoneticPr fontId="5"/>
  </si>
  <si>
    <t>お、あんたらもイケるクチ？
後でウチと呑み直そ！？</t>
    <rPh sb="14" eb="15">
      <t>アトデ</t>
    </rPh>
    <rPh sb="19" eb="20">
      <t>nominaosou</t>
    </rPh>
    <phoneticPr fontId="5"/>
  </si>
  <si>
    <t>[effect:enemy_message, val1:2.9, val2:4.4],[effect:suicide, val:1, dead_type:escape, target:enemy_all]</t>
    <phoneticPr fontId="5"/>
  </si>
  <si>
    <t>[effect:enemy_message, val1:2.1, val2:4.4],[effect:suicide, val:1, dead_type:escape, target:enemy_all]</t>
    <phoneticPr fontId="5"/>
  </si>
  <si>
    <t>[effect:enemy_message, val1:1.4, val2:5.2],[effect:remove_enhancement, target:unit_red/unit_blue, target_effect:change_bomb_range, target_type:debuff, animation:frozen_wave]</t>
    <phoneticPr fontId="5"/>
  </si>
  <si>
    <t>[effect:enemy_message, val1:3.0, val2:5.0],[effect:fix_speed, target:myself, turn:1],[effect:force_change_block, new_block:block_heart, target:block_all, count:0, val:0, animation:change_block],[effect:ability_lock, target:unit_all, turn:-1],[effect:sleep, target:unit_all, turn:2, rate:1]</t>
    <phoneticPr fontId="5"/>
  </si>
  <si>
    <t>failure</t>
  </si>
  <si>
    <t>のみ過ぎにはご用心！？</t>
    <phoneticPr fontId="5"/>
  </si>
  <si>
    <t>コノハナサクヤの振る舞い酒で
酔いつぶれてしまいました！
スキルでHPを消費して０以下になると
敗北となるため注意しましょう</t>
    <phoneticPr fontId="5"/>
  </si>
  <si>
    <t>「皆でヨシノちゃん迎えに行くで〜！
あんたらも手伝って〜な〜」
赤・青属性ユニットのボム爆風DOWNを解除</t>
    <rPh sb="1" eb="2">
      <t>ミンナ</t>
    </rPh>
    <rPh sb="12" eb="13">
      <t>イコウ</t>
    </rPh>
    <rPh sb="23" eb="25">
      <t>テツダッテ</t>
    </rPh>
    <rPh sb="32" eb="33">
      <t>アカ</t>
    </rPh>
    <rPh sb="34" eb="35">
      <t>アオ</t>
    </rPh>
    <rPh sb="35" eb="37">
      <t>ゾクセイ</t>
    </rPh>
    <rPh sb="44" eb="46">
      <t>バクフウ</t>
    </rPh>
    <rPh sb="51" eb="53">
      <t>カイジョ</t>
    </rPh>
    <phoneticPr fontId="5"/>
  </si>
  <si>
    <t>[effect:enemy_message, val1:3.0, val2:5.1],[effect:suicide, val:1, dead_type:escape, target:enemy_all]</t>
    <phoneticPr fontId="5"/>
  </si>
  <si>
    <t>[effect:enemy_message, val1:1.9, val2:5.1],[effect:fix_speed, target:myself, turn:1],[effect:tolerance, target:myself, turn:-1, count:-1, tolerance_effect:all, animation:enemy_tolerance],[effect:break_enchance_enemy, target:myself, val:0.1, lowest_val:0.1, count:-1, status:attack, turn:-1, block01:crack_bomb, calc:mul, animation:enemy_enhance_attack]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</si>
</sst>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98BA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563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70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 wrapText="1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 wrapText="1"/>
    </xf>
    <xf numFmtId="0" fontId="16" fillId="36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horizontal="left" vertical="center"/>
    </xf>
    <xf numFmtId="0" fontId="16" fillId="36" borderId="7" xfId="0" applyFont="1" applyFill="1" applyBorder="1" applyAlignment="1">
      <alignment horizontal="left" vertical="center" wrapText="1"/>
    </xf>
    <xf numFmtId="0" fontId="16" fillId="37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horizontal="left" vertical="center"/>
    </xf>
    <xf numFmtId="0" fontId="16" fillId="37" borderId="7" xfId="0" applyFont="1" applyFill="1" applyBorder="1" applyAlignment="1">
      <alignment horizontal="left" vertical="center" wrapText="1"/>
    </xf>
    <xf numFmtId="0" fontId="16" fillId="13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/>
    </xf>
    <xf numFmtId="0" fontId="16" fillId="13" borderId="7" xfId="0" applyFont="1" applyFill="1" applyBorder="1" applyAlignment="1">
      <alignment horizontal="left" vertical="center" wrapText="1"/>
    </xf>
    <xf numFmtId="49" fontId="16" fillId="0" borderId="0" xfId="0" applyNumberFormat="1" applyFont="1" applyAlignment="1">
      <alignment vertical="center"/>
    </xf>
    <xf numFmtId="38" fontId="16" fillId="0" borderId="7" xfId="628" applyFont="1" applyFill="1" applyBorder="1" applyAlignment="1">
      <alignment wrapText="1"/>
    </xf>
  </cellXfs>
  <cellStyles count="70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赤字強調" xfId="431"/>
    <cellStyle name="青字強調" xfId="43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5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40045</v>
          </cell>
        </row>
        <row r="238">
          <cell r="A238">
            <v>48001</v>
          </cell>
        </row>
        <row r="239">
          <cell r="A239">
            <v>48002</v>
          </cell>
        </row>
        <row r="240">
          <cell r="A240">
            <v>48003</v>
          </cell>
        </row>
        <row r="241">
          <cell r="A241">
            <v>48004</v>
          </cell>
        </row>
        <row r="242">
          <cell r="A242">
            <v>48005</v>
          </cell>
        </row>
        <row r="243">
          <cell r="A243">
            <v>48006</v>
          </cell>
        </row>
        <row r="244">
          <cell r="A244">
            <v>48007</v>
          </cell>
        </row>
        <row r="245">
          <cell r="A245">
            <v>48008</v>
          </cell>
        </row>
        <row r="246">
          <cell r="A246">
            <v>48009</v>
          </cell>
        </row>
        <row r="247">
          <cell r="A247">
            <v>48010</v>
          </cell>
        </row>
        <row r="248">
          <cell r="A248">
            <v>48011</v>
          </cell>
        </row>
        <row r="249">
          <cell r="A249">
            <v>48012</v>
          </cell>
        </row>
        <row r="250">
          <cell r="A250">
            <v>48501</v>
          </cell>
        </row>
        <row r="251">
          <cell r="A251">
            <v>48502</v>
          </cell>
        </row>
        <row r="252">
          <cell r="A252">
            <v>48701</v>
          </cell>
        </row>
        <row r="253">
          <cell r="A253">
            <v>48702</v>
          </cell>
        </row>
        <row r="254">
          <cell r="A254">
            <v>41001</v>
          </cell>
        </row>
        <row r="255">
          <cell r="A255">
            <v>41002</v>
          </cell>
        </row>
        <row r="256">
          <cell r="A256">
            <v>41003</v>
          </cell>
        </row>
        <row r="257">
          <cell r="A257">
            <v>41004</v>
          </cell>
        </row>
        <row r="258">
          <cell r="A258">
            <v>41005</v>
          </cell>
        </row>
        <row r="259">
          <cell r="A259">
            <v>41006</v>
          </cell>
        </row>
        <row r="260">
          <cell r="A260">
            <v>41007</v>
          </cell>
        </row>
        <row r="261">
          <cell r="A261">
            <v>41008</v>
          </cell>
        </row>
        <row r="262">
          <cell r="A262">
            <v>41009</v>
          </cell>
        </row>
        <row r="263">
          <cell r="A263">
            <v>41010</v>
          </cell>
        </row>
        <row r="264">
          <cell r="A264">
            <v>41011</v>
          </cell>
        </row>
        <row r="265">
          <cell r="A265">
            <v>41012</v>
          </cell>
        </row>
        <row r="266">
          <cell r="A266">
            <v>41013</v>
          </cell>
        </row>
        <row r="267">
          <cell r="A267">
            <v>41014</v>
          </cell>
        </row>
        <row r="268">
          <cell r="A268">
            <v>41015</v>
          </cell>
        </row>
        <row r="269">
          <cell r="A269">
            <v>47001</v>
          </cell>
        </row>
        <row r="270">
          <cell r="A270">
            <v>47002</v>
          </cell>
        </row>
        <row r="271">
          <cell r="A271">
            <v>47003</v>
          </cell>
        </row>
        <row r="272">
          <cell r="A272">
            <v>47004</v>
          </cell>
        </row>
        <row r="273">
          <cell r="A273">
            <v>47005</v>
          </cell>
        </row>
        <row r="274">
          <cell r="A274">
            <v>47006</v>
          </cell>
        </row>
        <row r="275">
          <cell r="A275">
            <v>47007</v>
          </cell>
        </row>
        <row r="276">
          <cell r="A276">
            <v>47008</v>
          </cell>
        </row>
        <row r="277">
          <cell r="A277">
            <v>47009</v>
          </cell>
        </row>
        <row r="278">
          <cell r="A278">
            <v>47010</v>
          </cell>
        </row>
        <row r="279">
          <cell r="A279">
            <v>47011</v>
          </cell>
        </row>
        <row r="280">
          <cell r="A280">
            <v>47012</v>
          </cell>
        </row>
        <row r="281">
          <cell r="A281">
            <v>49001</v>
          </cell>
        </row>
        <row r="282">
          <cell r="A282">
            <v>49002</v>
          </cell>
        </row>
        <row r="283">
          <cell r="A283">
            <v>49003</v>
          </cell>
        </row>
        <row r="284">
          <cell r="A284">
            <v>49004</v>
          </cell>
        </row>
        <row r="285">
          <cell r="A285">
            <v>49005</v>
          </cell>
        </row>
        <row r="286">
          <cell r="A286">
            <v>49006</v>
          </cell>
        </row>
        <row r="287">
          <cell r="A287">
            <v>49007</v>
          </cell>
        </row>
        <row r="288">
          <cell r="A288">
            <v>49008</v>
          </cell>
        </row>
        <row r="289">
          <cell r="A289">
            <v>49009</v>
          </cell>
        </row>
        <row r="290">
          <cell r="A290">
            <v>49010</v>
          </cell>
        </row>
        <row r="291">
          <cell r="A291">
            <v>49011</v>
          </cell>
        </row>
        <row r="292">
          <cell r="A292">
            <v>49012</v>
          </cell>
        </row>
        <row r="293">
          <cell r="A293">
            <v>49013</v>
          </cell>
        </row>
        <row r="294">
          <cell r="A294">
            <v>49014</v>
          </cell>
        </row>
        <row r="295">
          <cell r="A295">
            <v>49015</v>
          </cell>
        </row>
        <row r="296">
          <cell r="A296">
            <v>50001</v>
          </cell>
        </row>
        <row r="297">
          <cell r="A297">
            <v>50002</v>
          </cell>
        </row>
        <row r="298">
          <cell r="A298">
            <v>50003</v>
          </cell>
        </row>
        <row r="299">
          <cell r="A299">
            <v>50004</v>
          </cell>
        </row>
        <row r="300">
          <cell r="A300">
            <v>50005</v>
          </cell>
        </row>
        <row r="301">
          <cell r="A301">
            <v>50006</v>
          </cell>
        </row>
        <row r="302">
          <cell r="A302">
            <v>50007</v>
          </cell>
        </row>
        <row r="303">
          <cell r="A303">
            <v>50008</v>
          </cell>
        </row>
        <row r="304">
          <cell r="A304">
            <v>50009</v>
          </cell>
        </row>
        <row r="305">
          <cell r="A305">
            <v>50010</v>
          </cell>
        </row>
        <row r="306">
          <cell r="A306">
            <v>50011</v>
          </cell>
        </row>
        <row r="307">
          <cell r="A307">
            <v>50012</v>
          </cell>
        </row>
        <row r="308">
          <cell r="A308">
            <v>50013</v>
          </cell>
        </row>
        <row r="309">
          <cell r="A309">
            <v>50014</v>
          </cell>
        </row>
        <row r="310">
          <cell r="A310">
            <v>50015</v>
          </cell>
        </row>
        <row r="311">
          <cell r="A311">
            <v>51001</v>
          </cell>
        </row>
        <row r="312">
          <cell r="A312">
            <v>51002</v>
          </cell>
        </row>
        <row r="313">
          <cell r="A313">
            <v>58001</v>
          </cell>
        </row>
        <row r="314">
          <cell r="A314">
            <v>59001</v>
          </cell>
        </row>
        <row r="315">
          <cell r="A315">
            <v>59002</v>
          </cell>
        </row>
        <row r="316">
          <cell r="A316">
            <v>60001</v>
          </cell>
        </row>
        <row r="317">
          <cell r="A317">
            <v>60002</v>
          </cell>
        </row>
        <row r="318">
          <cell r="A318">
            <v>60003</v>
          </cell>
        </row>
        <row r="319">
          <cell r="A319">
            <v>60004</v>
          </cell>
        </row>
        <row r="320">
          <cell r="A320">
            <v>60005</v>
          </cell>
        </row>
        <row r="321">
          <cell r="A321">
            <v>60006</v>
          </cell>
        </row>
        <row r="322">
          <cell r="A322">
            <v>60007</v>
          </cell>
        </row>
        <row r="323">
          <cell r="A323">
            <v>60010</v>
          </cell>
        </row>
        <row r="324">
          <cell r="A324">
            <v>60011</v>
          </cell>
        </row>
        <row r="325">
          <cell r="A325">
            <v>61011</v>
          </cell>
        </row>
        <row r="326">
          <cell r="A326">
            <v>60012</v>
          </cell>
        </row>
        <row r="327">
          <cell r="A327">
            <v>60013</v>
          </cell>
        </row>
        <row r="328">
          <cell r="A328">
            <v>60014</v>
          </cell>
        </row>
        <row r="329">
          <cell r="A329">
            <v>60015</v>
          </cell>
        </row>
        <row r="330">
          <cell r="A330">
            <v>60016</v>
          </cell>
        </row>
        <row r="331">
          <cell r="A331">
            <v>60017</v>
          </cell>
        </row>
        <row r="332">
          <cell r="A332">
            <v>60018</v>
          </cell>
        </row>
        <row r="333">
          <cell r="A333">
            <v>60019</v>
          </cell>
        </row>
        <row r="334">
          <cell r="A334">
            <v>60020</v>
          </cell>
        </row>
        <row r="335">
          <cell r="A335">
            <v>60025</v>
          </cell>
        </row>
        <row r="336">
          <cell r="A336">
            <v>60026</v>
          </cell>
        </row>
        <row r="337">
          <cell r="A337">
            <v>60027</v>
          </cell>
        </row>
        <row r="338">
          <cell r="A338">
            <v>60028</v>
          </cell>
        </row>
        <row r="339">
          <cell r="A339">
            <v>60029</v>
          </cell>
        </row>
        <row r="340">
          <cell r="A340">
            <v>65523</v>
          </cell>
        </row>
        <row r="341">
          <cell r="A341">
            <v>65524</v>
          </cell>
        </row>
        <row r="342">
          <cell r="A342">
            <v>65525</v>
          </cell>
        </row>
        <row r="343">
          <cell r="A343">
            <v>65526</v>
          </cell>
        </row>
        <row r="344">
          <cell r="A344">
            <v>65527</v>
          </cell>
        </row>
        <row r="345">
          <cell r="A345">
            <v>65528</v>
          </cell>
        </row>
        <row r="346">
          <cell r="A346">
            <v>65529</v>
          </cell>
        </row>
        <row r="347">
          <cell r="A347">
            <v>65530</v>
          </cell>
        </row>
        <row r="348">
          <cell r="A348">
            <v>65531</v>
          </cell>
        </row>
        <row r="349">
          <cell r="A349">
            <v>65532</v>
          </cell>
        </row>
        <row r="350">
          <cell r="A350">
            <v>65533</v>
          </cell>
        </row>
        <row r="351">
          <cell r="A351">
            <v>65534</v>
          </cell>
        </row>
        <row r="352">
          <cell r="A352">
            <v>65535</v>
          </cell>
        </row>
        <row r="353">
          <cell r="A353">
            <v>60021</v>
          </cell>
        </row>
        <row r="354">
          <cell r="A354">
            <v>60022</v>
          </cell>
        </row>
        <row r="355">
          <cell r="A355">
            <v>60023</v>
          </cell>
        </row>
        <row r="356">
          <cell r="A356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40045_1</v>
          </cell>
        </row>
        <row r="794">
          <cell r="A794" t="str">
            <v>40045_2</v>
          </cell>
        </row>
        <row r="795">
          <cell r="A795" t="str">
            <v>41001_1</v>
          </cell>
        </row>
        <row r="796">
          <cell r="A796" t="str">
            <v>41001_2</v>
          </cell>
        </row>
        <row r="797">
          <cell r="A797" t="str">
            <v>41001_3</v>
          </cell>
        </row>
        <row r="798">
          <cell r="A798" t="str">
            <v>41002_1</v>
          </cell>
        </row>
        <row r="799">
          <cell r="A799" t="str">
            <v>41002_2</v>
          </cell>
        </row>
        <row r="800">
          <cell r="A800" t="str">
            <v>41002_3</v>
          </cell>
        </row>
        <row r="801">
          <cell r="A801" t="str">
            <v>41003_1</v>
          </cell>
        </row>
        <row r="802">
          <cell r="A802" t="str">
            <v>41003_2</v>
          </cell>
        </row>
        <row r="803">
          <cell r="A803" t="str">
            <v>41003_3</v>
          </cell>
        </row>
        <row r="804">
          <cell r="A804" t="str">
            <v>41004_1</v>
          </cell>
        </row>
        <row r="805">
          <cell r="A805" t="str">
            <v>41004_2</v>
          </cell>
        </row>
        <row r="806">
          <cell r="A806" t="str">
            <v>41004_3</v>
          </cell>
        </row>
        <row r="807">
          <cell r="A807" t="str">
            <v>41005_1</v>
          </cell>
        </row>
        <row r="808">
          <cell r="A808" t="str">
            <v>41005_2</v>
          </cell>
        </row>
        <row r="809">
          <cell r="A809" t="str">
            <v>41005_3</v>
          </cell>
        </row>
        <row r="810">
          <cell r="A810" t="str">
            <v>41006_1</v>
          </cell>
        </row>
        <row r="811">
          <cell r="A811" t="str">
            <v>41006_2</v>
          </cell>
        </row>
        <row r="812">
          <cell r="A812" t="str">
            <v>41006_3</v>
          </cell>
        </row>
        <row r="813">
          <cell r="A813" t="str">
            <v>41007_1</v>
          </cell>
        </row>
        <row r="814">
          <cell r="A814" t="str">
            <v>41007_2</v>
          </cell>
        </row>
        <row r="815">
          <cell r="A815" t="str">
            <v>41007_3</v>
          </cell>
        </row>
        <row r="816">
          <cell r="A816" t="str">
            <v>41008_1</v>
          </cell>
        </row>
        <row r="817">
          <cell r="A817" t="str">
            <v>41008_2</v>
          </cell>
        </row>
        <row r="818">
          <cell r="A818" t="str">
            <v>41008_3</v>
          </cell>
        </row>
        <row r="819">
          <cell r="A819" t="str">
            <v>41009_1</v>
          </cell>
        </row>
        <row r="820">
          <cell r="A820" t="str">
            <v>41009_2</v>
          </cell>
        </row>
        <row r="821">
          <cell r="A821" t="str">
            <v>41009_3</v>
          </cell>
        </row>
        <row r="822">
          <cell r="A822" t="str">
            <v>41010_1</v>
          </cell>
        </row>
        <row r="823">
          <cell r="A823" t="str">
            <v>41010_2</v>
          </cell>
        </row>
        <row r="824">
          <cell r="A824" t="str">
            <v>41010_3</v>
          </cell>
        </row>
        <row r="825">
          <cell r="A825" t="str">
            <v>41011_1</v>
          </cell>
        </row>
        <row r="826">
          <cell r="A826" t="str">
            <v>41011_2</v>
          </cell>
        </row>
        <row r="827">
          <cell r="A827" t="str">
            <v>41012_1</v>
          </cell>
        </row>
        <row r="828">
          <cell r="A828" t="str">
            <v>41012_2</v>
          </cell>
        </row>
        <row r="829">
          <cell r="A829" t="str">
            <v>41013_1</v>
          </cell>
        </row>
        <row r="830">
          <cell r="A830" t="str">
            <v>41013_2</v>
          </cell>
        </row>
        <row r="831">
          <cell r="A831" t="str">
            <v>41014_1</v>
          </cell>
        </row>
        <row r="832">
          <cell r="A832" t="str">
            <v>41014_2</v>
          </cell>
        </row>
        <row r="833">
          <cell r="A833" t="str">
            <v>41015_1</v>
          </cell>
        </row>
        <row r="834">
          <cell r="A834" t="str">
            <v>41015_2</v>
          </cell>
        </row>
        <row r="835">
          <cell r="A835" t="str">
            <v>47001_1</v>
          </cell>
        </row>
        <row r="836">
          <cell r="A836" t="str">
            <v>47001_2</v>
          </cell>
        </row>
        <row r="837">
          <cell r="A837" t="str">
            <v>47002_1</v>
          </cell>
        </row>
        <row r="838">
          <cell r="A838" t="str">
            <v>47002_2</v>
          </cell>
        </row>
        <row r="839">
          <cell r="A839" t="str">
            <v>47003_1</v>
          </cell>
        </row>
        <row r="840">
          <cell r="A840" t="str">
            <v>47003_2</v>
          </cell>
        </row>
        <row r="841">
          <cell r="A841" t="str">
            <v>47003_3</v>
          </cell>
        </row>
        <row r="842">
          <cell r="A842" t="str">
            <v>47003_4</v>
          </cell>
        </row>
        <row r="843">
          <cell r="A843" t="str">
            <v>47004_1</v>
          </cell>
        </row>
        <row r="844">
          <cell r="A844" t="str">
            <v>47004_2</v>
          </cell>
        </row>
        <row r="845">
          <cell r="A845" t="str">
            <v>47004_3</v>
          </cell>
        </row>
        <row r="846">
          <cell r="A846" t="str">
            <v>47004_4</v>
          </cell>
        </row>
        <row r="847">
          <cell r="A847" t="str">
            <v>47005_1</v>
          </cell>
        </row>
        <row r="848">
          <cell r="A848" t="str">
            <v>47006_1</v>
          </cell>
        </row>
        <row r="849">
          <cell r="A849" t="str">
            <v>47006_2</v>
          </cell>
        </row>
        <row r="850">
          <cell r="A850" t="str">
            <v>47007_1</v>
          </cell>
        </row>
        <row r="851">
          <cell r="A851" t="str">
            <v>47007_2</v>
          </cell>
        </row>
        <row r="852">
          <cell r="A852" t="str">
            <v>47008_1</v>
          </cell>
        </row>
        <row r="853">
          <cell r="A853" t="str">
            <v>47008_2</v>
          </cell>
        </row>
        <row r="854">
          <cell r="A854" t="str">
            <v>47009_1</v>
          </cell>
        </row>
        <row r="855">
          <cell r="A855" t="str">
            <v>47009_2</v>
          </cell>
        </row>
        <row r="856">
          <cell r="A856" t="str">
            <v>47010_1</v>
          </cell>
        </row>
        <row r="857">
          <cell r="A857" t="str">
            <v>47010_2</v>
          </cell>
        </row>
        <row r="858">
          <cell r="A858" t="str">
            <v>47011_1</v>
          </cell>
        </row>
        <row r="859">
          <cell r="A859" t="str">
            <v>47012_1</v>
          </cell>
        </row>
        <row r="860">
          <cell r="A860" t="str">
            <v>47012_2</v>
          </cell>
        </row>
        <row r="861">
          <cell r="A861" t="str">
            <v>48001_1</v>
          </cell>
        </row>
        <row r="862">
          <cell r="A862" t="str">
            <v>48002_1</v>
          </cell>
        </row>
        <row r="863">
          <cell r="A863" t="str">
            <v>48002_2</v>
          </cell>
        </row>
        <row r="864">
          <cell r="A864" t="str">
            <v>48002_3</v>
          </cell>
        </row>
        <row r="865">
          <cell r="A865" t="str">
            <v>48003_1</v>
          </cell>
        </row>
        <row r="866">
          <cell r="A866" t="str">
            <v>48003_2</v>
          </cell>
        </row>
        <row r="867">
          <cell r="A867" t="str">
            <v>48004_1</v>
          </cell>
        </row>
        <row r="868">
          <cell r="A868" t="str">
            <v>48004_2</v>
          </cell>
        </row>
        <row r="869">
          <cell r="A869" t="str">
            <v>48005_1</v>
          </cell>
        </row>
        <row r="870">
          <cell r="A870" t="str">
            <v>48005_2</v>
          </cell>
        </row>
        <row r="871">
          <cell r="A871" t="str">
            <v>48006_1</v>
          </cell>
        </row>
        <row r="872">
          <cell r="A872" t="str">
            <v>48006_2</v>
          </cell>
        </row>
        <row r="873">
          <cell r="A873" t="str">
            <v>48007_1</v>
          </cell>
        </row>
        <row r="874">
          <cell r="A874" t="str">
            <v>48007_2</v>
          </cell>
        </row>
        <row r="875">
          <cell r="A875" t="str">
            <v>48008_1</v>
          </cell>
        </row>
        <row r="876">
          <cell r="A876" t="str">
            <v>48008_2</v>
          </cell>
        </row>
        <row r="877">
          <cell r="A877" t="str">
            <v>48009_1</v>
          </cell>
        </row>
        <row r="878">
          <cell r="A878" t="str">
            <v>48009_2</v>
          </cell>
        </row>
        <row r="879">
          <cell r="A879" t="str">
            <v>48010_1</v>
          </cell>
        </row>
        <row r="880">
          <cell r="A880" t="str">
            <v>48011_1</v>
          </cell>
        </row>
        <row r="881">
          <cell r="A881" t="str">
            <v>48011_2</v>
          </cell>
        </row>
        <row r="882">
          <cell r="A882" t="str">
            <v>48012_1</v>
          </cell>
        </row>
        <row r="883">
          <cell r="A883" t="str">
            <v>48012_2</v>
          </cell>
        </row>
        <row r="884">
          <cell r="A884" t="str">
            <v>48501_1</v>
          </cell>
        </row>
        <row r="885">
          <cell r="A885" t="str">
            <v>48501_2</v>
          </cell>
        </row>
        <row r="886">
          <cell r="A886" t="str">
            <v>48502_1</v>
          </cell>
        </row>
        <row r="887">
          <cell r="A887" t="str">
            <v>48502_2</v>
          </cell>
        </row>
        <row r="888">
          <cell r="A888" t="str">
            <v>48701_1</v>
          </cell>
        </row>
        <row r="889">
          <cell r="A889" t="str">
            <v>48701_2</v>
          </cell>
        </row>
        <row r="890">
          <cell r="A890" t="str">
            <v>48702_1</v>
          </cell>
        </row>
        <row r="891">
          <cell r="A891" t="str">
            <v>48702_2</v>
          </cell>
        </row>
        <row r="892">
          <cell r="A892" t="str">
            <v>49001_1</v>
          </cell>
        </row>
        <row r="893">
          <cell r="A893" t="str">
            <v>49002_1</v>
          </cell>
        </row>
        <row r="894">
          <cell r="A894" t="str">
            <v>49002_2</v>
          </cell>
        </row>
        <row r="895">
          <cell r="A895" t="str">
            <v>49003_1</v>
          </cell>
        </row>
        <row r="896">
          <cell r="A896" t="str">
            <v>49003_2</v>
          </cell>
        </row>
        <row r="897">
          <cell r="A897" t="str">
            <v>49004_1</v>
          </cell>
        </row>
        <row r="898">
          <cell r="A898" t="str">
            <v>49004_2</v>
          </cell>
        </row>
        <row r="899">
          <cell r="A899" t="str">
            <v>49004_3</v>
          </cell>
        </row>
        <row r="900">
          <cell r="A900" t="str">
            <v>49005_1</v>
          </cell>
        </row>
        <row r="901">
          <cell r="A901" t="str">
            <v>49006_1</v>
          </cell>
        </row>
        <row r="902">
          <cell r="A902" t="str">
            <v>49006_2</v>
          </cell>
        </row>
        <row r="903">
          <cell r="A903" t="str">
            <v>49007_1</v>
          </cell>
        </row>
        <row r="904">
          <cell r="A904" t="str">
            <v>49007_2</v>
          </cell>
        </row>
        <row r="905">
          <cell r="A905" t="str">
            <v>49007_3</v>
          </cell>
        </row>
        <row r="906">
          <cell r="A906" t="str">
            <v>49008_1</v>
          </cell>
        </row>
        <row r="907">
          <cell r="A907" t="str">
            <v>49009_1</v>
          </cell>
        </row>
        <row r="908">
          <cell r="A908" t="str">
            <v>49010_1</v>
          </cell>
        </row>
        <row r="909">
          <cell r="A909" t="str">
            <v>49011_1</v>
          </cell>
        </row>
        <row r="910">
          <cell r="A910" t="str">
            <v>49012_1</v>
          </cell>
        </row>
        <row r="911">
          <cell r="A911" t="str">
            <v>49013_1</v>
          </cell>
        </row>
        <row r="912">
          <cell r="A912" t="str">
            <v>49014_1</v>
          </cell>
        </row>
        <row r="913">
          <cell r="A913" t="str">
            <v>49014_2</v>
          </cell>
        </row>
        <row r="914">
          <cell r="A914" t="str">
            <v>49015_1</v>
          </cell>
        </row>
        <row r="915">
          <cell r="A915" t="str">
            <v>49015_2</v>
          </cell>
        </row>
        <row r="916">
          <cell r="A916" t="str">
            <v>49015_3</v>
          </cell>
        </row>
        <row r="917">
          <cell r="A917" t="str">
            <v>50001_1</v>
          </cell>
        </row>
        <row r="918">
          <cell r="A918" t="str">
            <v>50002_1</v>
          </cell>
        </row>
        <row r="919">
          <cell r="A919" t="str">
            <v>50003_1</v>
          </cell>
        </row>
        <row r="920">
          <cell r="A920" t="str">
            <v>50004_1</v>
          </cell>
        </row>
        <row r="921">
          <cell r="A921" t="str">
            <v>50005_1</v>
          </cell>
        </row>
        <row r="922">
          <cell r="A922" t="str">
            <v>50006_1</v>
          </cell>
        </row>
        <row r="923">
          <cell r="A923" t="str">
            <v>50007_1</v>
          </cell>
        </row>
        <row r="924">
          <cell r="A924" t="str">
            <v>50008_1</v>
          </cell>
        </row>
        <row r="925">
          <cell r="A925" t="str">
            <v>50009_1</v>
          </cell>
        </row>
        <row r="926">
          <cell r="A926" t="str">
            <v>50010_1</v>
          </cell>
        </row>
        <row r="927">
          <cell r="A927" t="str">
            <v>50011_1</v>
          </cell>
        </row>
        <row r="928">
          <cell r="A928" t="str">
            <v>50012_1</v>
          </cell>
        </row>
        <row r="929">
          <cell r="A929" t="str">
            <v>50013_1</v>
          </cell>
        </row>
        <row r="930">
          <cell r="A930" t="str">
            <v>50014_1</v>
          </cell>
        </row>
        <row r="931">
          <cell r="A931" t="str">
            <v>50015_1</v>
          </cell>
        </row>
        <row r="932">
          <cell r="A932" t="str">
            <v>51001_1</v>
          </cell>
        </row>
        <row r="933">
          <cell r="A933" t="str">
            <v>51002_1</v>
          </cell>
        </row>
        <row r="934">
          <cell r="A934" t="str">
            <v>58001_1</v>
          </cell>
        </row>
        <row r="935">
          <cell r="A935" t="str">
            <v>59001_1</v>
          </cell>
        </row>
        <row r="936">
          <cell r="A936" t="str">
            <v>59002_1</v>
          </cell>
        </row>
        <row r="937">
          <cell r="A937" t="str">
            <v>60001_1</v>
          </cell>
        </row>
        <row r="938">
          <cell r="A938" t="str">
            <v>60002_1</v>
          </cell>
        </row>
        <row r="939">
          <cell r="A939" t="str">
            <v>60002_2</v>
          </cell>
        </row>
        <row r="940">
          <cell r="A940" t="str">
            <v>60003_1</v>
          </cell>
        </row>
        <row r="941">
          <cell r="A941" t="str">
            <v>60003_2</v>
          </cell>
        </row>
        <row r="942">
          <cell r="A942" t="str">
            <v>60003_3</v>
          </cell>
        </row>
        <row r="943">
          <cell r="A943" t="str">
            <v>60004_1</v>
          </cell>
        </row>
        <row r="944">
          <cell r="A944" t="str">
            <v>60005_1</v>
          </cell>
        </row>
        <row r="945">
          <cell r="A945" t="str">
            <v>60006_1</v>
          </cell>
        </row>
        <row r="946">
          <cell r="A946" t="str">
            <v>60006_2</v>
          </cell>
        </row>
        <row r="947">
          <cell r="A947" t="str">
            <v>60006_3</v>
          </cell>
        </row>
        <row r="948">
          <cell r="A948" t="str">
            <v>60007_1</v>
          </cell>
        </row>
        <row r="949">
          <cell r="A949" t="str">
            <v>60007_2</v>
          </cell>
        </row>
        <row r="950">
          <cell r="A950" t="str">
            <v>60007_3</v>
          </cell>
        </row>
        <row r="951">
          <cell r="A951" t="str">
            <v>60010_1</v>
          </cell>
        </row>
        <row r="952">
          <cell r="A952" t="str">
            <v>60011_1</v>
          </cell>
        </row>
        <row r="953">
          <cell r="A953" t="str">
            <v>60011_2</v>
          </cell>
        </row>
        <row r="954">
          <cell r="A954" t="str">
            <v>60012_1</v>
          </cell>
        </row>
        <row r="955">
          <cell r="A955" t="str">
            <v>60013_1</v>
          </cell>
        </row>
        <row r="956">
          <cell r="A956" t="str">
            <v>60013_2</v>
          </cell>
        </row>
        <row r="957">
          <cell r="A957" t="str">
            <v>60013_3</v>
          </cell>
        </row>
        <row r="958">
          <cell r="A958" t="str">
            <v>60014_1</v>
          </cell>
        </row>
        <row r="959">
          <cell r="A959" t="str">
            <v>60015_1</v>
          </cell>
        </row>
        <row r="960">
          <cell r="A960" t="str">
            <v>60016_1</v>
          </cell>
        </row>
        <row r="961">
          <cell r="A961" t="str">
            <v>60017_1</v>
          </cell>
        </row>
        <row r="962">
          <cell r="A962" t="str">
            <v>60018_1</v>
          </cell>
        </row>
        <row r="963">
          <cell r="A963" t="str">
            <v>60019_1</v>
          </cell>
        </row>
        <row r="964">
          <cell r="A964" t="str">
            <v>60020_1</v>
          </cell>
        </row>
        <row r="965">
          <cell r="A965" t="str">
            <v>60021_3</v>
          </cell>
        </row>
        <row r="966">
          <cell r="A966" t="str">
            <v>60022_3</v>
          </cell>
        </row>
        <row r="967">
          <cell r="A967" t="str">
            <v>60023_3</v>
          </cell>
        </row>
        <row r="968">
          <cell r="A968" t="str">
            <v>60024_3</v>
          </cell>
        </row>
        <row r="969">
          <cell r="A969" t="str">
            <v>60025_1</v>
          </cell>
        </row>
        <row r="970">
          <cell r="A970" t="str">
            <v>60026_1</v>
          </cell>
        </row>
        <row r="971">
          <cell r="A971" t="str">
            <v>61011_1</v>
          </cell>
        </row>
        <row r="972">
          <cell r="A972" t="str">
            <v>60027_1</v>
          </cell>
        </row>
        <row r="973">
          <cell r="A973" t="str">
            <v>60028_1</v>
          </cell>
        </row>
        <row r="974">
          <cell r="A974" t="str">
            <v>60029_1</v>
          </cell>
        </row>
        <row r="975">
          <cell r="A975" t="str">
            <v>65523_1</v>
          </cell>
        </row>
        <row r="976">
          <cell r="A976" t="str">
            <v>65524_1</v>
          </cell>
        </row>
        <row r="977">
          <cell r="A977" t="str">
            <v>65524_2</v>
          </cell>
        </row>
        <row r="978">
          <cell r="A978" t="str">
            <v>65525_1</v>
          </cell>
        </row>
        <row r="979">
          <cell r="A979" t="str">
            <v>65526_1</v>
          </cell>
        </row>
        <row r="980">
          <cell r="A980" t="str">
            <v>65526_2</v>
          </cell>
        </row>
        <row r="981">
          <cell r="A981" t="str">
            <v>65527_1</v>
          </cell>
        </row>
        <row r="982">
          <cell r="A982" t="str">
            <v>65528_1</v>
          </cell>
        </row>
        <row r="983">
          <cell r="A983" t="str">
            <v>65529_1</v>
          </cell>
        </row>
        <row r="984">
          <cell r="A984" t="str">
            <v>65530_1</v>
          </cell>
        </row>
        <row r="985">
          <cell r="A985" t="str">
            <v>65531_1</v>
          </cell>
        </row>
        <row r="986">
          <cell r="A986" t="str">
            <v>65531_2</v>
          </cell>
        </row>
        <row r="987">
          <cell r="A987" t="str">
            <v>65532_1</v>
          </cell>
        </row>
        <row r="988">
          <cell r="A988" t="str">
            <v>65532_2</v>
          </cell>
        </row>
        <row r="989">
          <cell r="A989" t="str">
            <v>65533_1</v>
          </cell>
        </row>
        <row r="990">
          <cell r="A990" t="str">
            <v>65533_2</v>
          </cell>
        </row>
        <row r="991">
          <cell r="A991" t="str">
            <v>65534_1</v>
          </cell>
        </row>
        <row r="992">
          <cell r="A992" t="str">
            <v>65534_2</v>
          </cell>
        </row>
        <row r="993">
          <cell r="A993" t="str">
            <v>65535_1</v>
          </cell>
        </row>
        <row r="994">
          <cell r="A994" t="str">
            <v>65535_2</v>
          </cell>
        </row>
        <row r="995">
          <cell r="A995" t="str">
            <v>65535_3</v>
          </cell>
        </row>
        <row r="996">
          <cell r="A996" t="str">
            <v>65535_4</v>
          </cell>
        </row>
        <row r="997">
          <cell r="A997" t="str">
            <v>65535_5</v>
          </cell>
        </row>
        <row r="998">
          <cell r="A998" t="str">
            <v>65535_6</v>
          </cell>
        </row>
        <row r="999">
          <cell r="A999" t="str">
            <v>65535_7</v>
          </cell>
        </row>
        <row r="1000">
          <cell r="A1000" t="str">
            <v>65535_8</v>
          </cell>
        </row>
        <row r="1001">
          <cell r="A1001" t="str">
            <v>65535_9</v>
          </cell>
        </row>
        <row r="1002">
          <cell r="A100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1466</v>
          </cell>
        </row>
        <row r="1349">
          <cell r="A1349">
            <v>1467</v>
          </cell>
        </row>
        <row r="1350">
          <cell r="A1350">
            <v>1468</v>
          </cell>
        </row>
        <row r="1351">
          <cell r="A1351">
            <v>1469</v>
          </cell>
        </row>
        <row r="1352">
          <cell r="A1352">
            <v>1470</v>
          </cell>
        </row>
        <row r="1353">
          <cell r="A1353">
            <v>1471</v>
          </cell>
        </row>
        <row r="1354">
          <cell r="A1354">
            <v>1495</v>
          </cell>
        </row>
        <row r="1355">
          <cell r="A1355">
            <v>1496</v>
          </cell>
        </row>
        <row r="1356">
          <cell r="A1356">
            <v>1497</v>
          </cell>
        </row>
        <row r="1357">
          <cell r="A1357">
            <v>1498</v>
          </cell>
        </row>
        <row r="1358">
          <cell r="A1358">
            <v>1499</v>
          </cell>
        </row>
        <row r="1359">
          <cell r="A1359">
            <v>1500</v>
          </cell>
        </row>
        <row r="1360">
          <cell r="A1360">
            <v>1501</v>
          </cell>
        </row>
        <row r="1361">
          <cell r="A1361">
            <v>1502</v>
          </cell>
        </row>
        <row r="1362">
          <cell r="A1362">
            <v>1503</v>
          </cell>
        </row>
        <row r="1363">
          <cell r="A1363">
            <v>1504</v>
          </cell>
        </row>
        <row r="1364">
          <cell r="A1364">
            <v>1505</v>
          </cell>
        </row>
        <row r="1365">
          <cell r="A1365">
            <v>1506</v>
          </cell>
        </row>
        <row r="1366">
          <cell r="A1366">
            <v>1507</v>
          </cell>
        </row>
        <row r="1367">
          <cell r="A1367">
            <v>1508</v>
          </cell>
        </row>
        <row r="1368">
          <cell r="A1368">
            <v>1509</v>
          </cell>
        </row>
        <row r="1369">
          <cell r="A1369">
            <v>1510</v>
          </cell>
        </row>
        <row r="1370">
          <cell r="A1370">
            <v>1511</v>
          </cell>
        </row>
        <row r="1371">
          <cell r="A1371">
            <v>1512</v>
          </cell>
        </row>
        <row r="1372">
          <cell r="A1372">
            <v>1523</v>
          </cell>
        </row>
        <row r="1373">
          <cell r="A1373">
            <v>1524</v>
          </cell>
        </row>
        <row r="1374">
          <cell r="A1374">
            <v>1525</v>
          </cell>
        </row>
        <row r="1375">
          <cell r="A1375">
            <v>1526</v>
          </cell>
        </row>
        <row r="1376">
          <cell r="A1376">
            <v>5001</v>
          </cell>
        </row>
        <row r="1377">
          <cell r="A1377">
            <v>5002</v>
          </cell>
        </row>
        <row r="1378">
          <cell r="A1378">
            <v>5003</v>
          </cell>
        </row>
        <row r="1379">
          <cell r="A1379">
            <v>5004</v>
          </cell>
        </row>
        <row r="1380">
          <cell r="A1380">
            <v>5005</v>
          </cell>
        </row>
        <row r="1381">
          <cell r="A1381">
            <v>5006</v>
          </cell>
        </row>
        <row r="1382">
          <cell r="A1382">
            <v>5007</v>
          </cell>
        </row>
        <row r="1383">
          <cell r="A1383">
            <v>5008</v>
          </cell>
        </row>
        <row r="1384">
          <cell r="A1384">
            <v>6001</v>
          </cell>
        </row>
        <row r="1385">
          <cell r="A1385">
            <v>6002</v>
          </cell>
        </row>
        <row r="1386">
          <cell r="A1386">
            <v>6003</v>
          </cell>
        </row>
        <row r="1387">
          <cell r="A1387">
            <v>6004</v>
          </cell>
        </row>
        <row r="1388">
          <cell r="A1388">
            <v>6005</v>
          </cell>
        </row>
        <row r="1389">
          <cell r="A1389">
            <v>6006</v>
          </cell>
        </row>
        <row r="1390">
          <cell r="A1390">
            <v>6007</v>
          </cell>
        </row>
        <row r="1391">
          <cell r="A1391">
            <v>6008</v>
          </cell>
        </row>
        <row r="1392">
          <cell r="A1392">
            <v>6009</v>
          </cell>
        </row>
        <row r="1393">
          <cell r="A1393">
            <v>6010</v>
          </cell>
        </row>
        <row r="1394">
          <cell r="A1394">
            <v>6011</v>
          </cell>
        </row>
        <row r="1395">
          <cell r="A1395">
            <v>6012</v>
          </cell>
        </row>
        <row r="1396">
          <cell r="A1396">
            <v>6013</v>
          </cell>
        </row>
        <row r="1397">
          <cell r="A1397">
            <v>6014</v>
          </cell>
        </row>
        <row r="1398">
          <cell r="A1398">
            <v>6015</v>
          </cell>
        </row>
        <row r="1399">
          <cell r="A1399">
            <v>6016</v>
          </cell>
        </row>
        <row r="1400">
          <cell r="A1400">
            <v>6017</v>
          </cell>
        </row>
        <row r="1401">
          <cell r="A1401">
            <v>6018</v>
          </cell>
        </row>
        <row r="1402">
          <cell r="A1402">
            <v>6019</v>
          </cell>
        </row>
        <row r="1403">
          <cell r="A1403">
            <v>6020</v>
          </cell>
        </row>
        <row r="1404">
          <cell r="A1404">
            <v>8001</v>
          </cell>
        </row>
        <row r="1405">
          <cell r="A1405">
            <v>8002</v>
          </cell>
        </row>
        <row r="1406">
          <cell r="A1406">
            <v>8003</v>
          </cell>
        </row>
        <row r="1407">
          <cell r="A1407">
            <v>8004</v>
          </cell>
        </row>
        <row r="1408">
          <cell r="A1408">
            <v>8005</v>
          </cell>
        </row>
        <row r="1409">
          <cell r="A1409">
            <v>8006</v>
          </cell>
        </row>
        <row r="1410">
          <cell r="A1410">
            <v>8007</v>
          </cell>
        </row>
        <row r="1411">
          <cell r="A1411">
            <v>8008</v>
          </cell>
        </row>
        <row r="1412">
          <cell r="A1412">
            <v>8009</v>
          </cell>
        </row>
        <row r="1413">
          <cell r="A1413">
            <v>8010</v>
          </cell>
        </row>
        <row r="1414">
          <cell r="A1414">
            <v>8011</v>
          </cell>
        </row>
        <row r="1415">
          <cell r="A1415">
            <v>8012</v>
          </cell>
        </row>
        <row r="1416">
          <cell r="A1416">
            <v>8013</v>
          </cell>
        </row>
        <row r="1417">
          <cell r="A1417">
            <v>8014</v>
          </cell>
        </row>
        <row r="1418">
          <cell r="A1418">
            <v>8015</v>
          </cell>
        </row>
        <row r="1419">
          <cell r="A1419">
            <v>8016</v>
          </cell>
        </row>
        <row r="1420">
          <cell r="A1420">
            <v>8017</v>
          </cell>
        </row>
        <row r="1421">
          <cell r="A1421">
            <v>8018</v>
          </cell>
        </row>
        <row r="1422">
          <cell r="A1422">
            <v>8019</v>
          </cell>
        </row>
        <row r="1423">
          <cell r="A1423">
            <v>8020</v>
          </cell>
        </row>
        <row r="1424">
          <cell r="A1424">
            <v>8021</v>
          </cell>
        </row>
        <row r="1425">
          <cell r="A1425">
            <v>8022</v>
          </cell>
        </row>
        <row r="1426">
          <cell r="A1426">
            <v>8023</v>
          </cell>
        </row>
        <row r="1427">
          <cell r="A1427">
            <v>8024</v>
          </cell>
        </row>
        <row r="1428">
          <cell r="A1428">
            <v>8025</v>
          </cell>
        </row>
        <row r="1429">
          <cell r="A1429">
            <v>8026</v>
          </cell>
        </row>
        <row r="1430">
          <cell r="A1430">
            <v>8027</v>
          </cell>
        </row>
        <row r="1431">
          <cell r="A1431">
            <v>8028</v>
          </cell>
        </row>
        <row r="1432">
          <cell r="A1432">
            <v>8029</v>
          </cell>
        </row>
        <row r="1433">
          <cell r="A1433">
            <v>8030</v>
          </cell>
        </row>
        <row r="1434">
          <cell r="A1434">
            <v>8031</v>
          </cell>
        </row>
        <row r="1435">
          <cell r="A1435">
            <v>8032</v>
          </cell>
        </row>
        <row r="1436">
          <cell r="A1436">
            <v>8033</v>
          </cell>
        </row>
        <row r="1437">
          <cell r="A1437">
            <v>8034</v>
          </cell>
        </row>
        <row r="1438">
          <cell r="A1438">
            <v>8035</v>
          </cell>
        </row>
        <row r="1439">
          <cell r="A1439">
            <v>8036</v>
          </cell>
        </row>
        <row r="1440">
          <cell r="A1440">
            <v>8037</v>
          </cell>
        </row>
        <row r="1441">
          <cell r="A1441">
            <v>8038</v>
          </cell>
        </row>
        <row r="1442">
          <cell r="A1442">
            <v>8039</v>
          </cell>
        </row>
        <row r="1443">
          <cell r="A1443">
            <v>8040</v>
          </cell>
        </row>
        <row r="1444">
          <cell r="A1444">
            <v>8041</v>
          </cell>
        </row>
        <row r="1445">
          <cell r="A1445">
            <v>8042</v>
          </cell>
        </row>
        <row r="1446">
          <cell r="A1446">
            <v>8043</v>
          </cell>
        </row>
        <row r="1447">
          <cell r="A1447">
            <v>8044</v>
          </cell>
        </row>
        <row r="1448">
          <cell r="A1448">
            <v>8045</v>
          </cell>
        </row>
        <row r="1449">
          <cell r="A1449">
            <v>8046</v>
          </cell>
        </row>
        <row r="1450">
          <cell r="A1450">
            <v>8047</v>
          </cell>
        </row>
        <row r="1451">
          <cell r="A1451">
            <v>8048</v>
          </cell>
        </row>
        <row r="1452">
          <cell r="A1452">
            <v>8049</v>
          </cell>
        </row>
        <row r="1453">
          <cell r="A1453">
            <v>8050</v>
          </cell>
        </row>
        <row r="1454">
          <cell r="A1454">
            <v>8051</v>
          </cell>
        </row>
        <row r="1455">
          <cell r="A1455">
            <v>8052</v>
          </cell>
        </row>
        <row r="1456">
          <cell r="A1456">
            <v>8053</v>
          </cell>
        </row>
        <row r="1457">
          <cell r="A1457">
            <v>8054</v>
          </cell>
        </row>
        <row r="1458">
          <cell r="A1458">
            <v>8055</v>
          </cell>
        </row>
        <row r="1459">
          <cell r="A1459">
            <v>8056</v>
          </cell>
        </row>
        <row r="1460">
          <cell r="A1460">
            <v>8057</v>
          </cell>
        </row>
        <row r="1461">
          <cell r="A1461">
            <v>8058</v>
          </cell>
        </row>
        <row r="1462">
          <cell r="A1462">
            <v>8059</v>
          </cell>
        </row>
        <row r="1463">
          <cell r="A1463">
            <v>8060</v>
          </cell>
        </row>
        <row r="1464">
          <cell r="A1464">
            <v>8061</v>
          </cell>
        </row>
        <row r="1465">
          <cell r="A1465">
            <v>8062</v>
          </cell>
        </row>
        <row r="1466">
          <cell r="A1466">
            <v>8063</v>
          </cell>
        </row>
        <row r="1467">
          <cell r="A1467">
            <v>8064</v>
          </cell>
        </row>
        <row r="1468">
          <cell r="A1468">
            <v>8065</v>
          </cell>
        </row>
        <row r="1469">
          <cell r="A1469">
            <v>8066</v>
          </cell>
        </row>
        <row r="1470">
          <cell r="A1470">
            <v>8067</v>
          </cell>
        </row>
        <row r="1471">
          <cell r="A1471">
            <v>8068</v>
          </cell>
        </row>
        <row r="1472">
          <cell r="A1472">
            <v>8069</v>
          </cell>
        </row>
        <row r="1473">
          <cell r="A1473">
            <v>8070</v>
          </cell>
        </row>
        <row r="1474">
          <cell r="A1474">
            <v>8071</v>
          </cell>
        </row>
        <row r="1475">
          <cell r="A1475">
            <v>8072</v>
          </cell>
        </row>
        <row r="1476">
          <cell r="A1476">
            <v>8073</v>
          </cell>
        </row>
        <row r="1477">
          <cell r="A1477">
            <v>8074</v>
          </cell>
        </row>
        <row r="1478">
          <cell r="A1478">
            <v>8077</v>
          </cell>
        </row>
        <row r="1479">
          <cell r="A1479">
            <v>8078</v>
          </cell>
        </row>
        <row r="1480">
          <cell r="A1480">
            <v>8079</v>
          </cell>
        </row>
        <row r="1481">
          <cell r="A1481">
            <v>8080</v>
          </cell>
        </row>
        <row r="1482">
          <cell r="A1482">
            <v>8081</v>
          </cell>
        </row>
        <row r="1483">
          <cell r="A1483">
            <v>8082</v>
          </cell>
        </row>
        <row r="1484">
          <cell r="A1484">
            <v>8083</v>
          </cell>
        </row>
        <row r="1485">
          <cell r="A1485">
            <v>8084</v>
          </cell>
        </row>
        <row r="1486">
          <cell r="A1486">
            <v>8085</v>
          </cell>
        </row>
        <row r="1487">
          <cell r="A1487">
            <v>8086</v>
          </cell>
        </row>
        <row r="1488">
          <cell r="A1488">
            <v>8087</v>
          </cell>
        </row>
        <row r="1489">
          <cell r="A1489">
            <v>8088</v>
          </cell>
        </row>
        <row r="1490">
          <cell r="A1490">
            <v>8089</v>
          </cell>
        </row>
        <row r="1491">
          <cell r="A1491">
            <v>8090</v>
          </cell>
        </row>
        <row r="1492">
          <cell r="A1492">
            <v>8095</v>
          </cell>
        </row>
        <row r="1493">
          <cell r="A1493">
            <v>8096</v>
          </cell>
        </row>
        <row r="1494">
          <cell r="A1494">
            <v>8097</v>
          </cell>
        </row>
        <row r="1495">
          <cell r="A1495">
            <v>8098</v>
          </cell>
        </row>
        <row r="1496">
          <cell r="A1496">
            <v>8099</v>
          </cell>
        </row>
        <row r="1497">
          <cell r="A1497">
            <v>8100</v>
          </cell>
        </row>
        <row r="1498">
          <cell r="A1498">
            <v>8101</v>
          </cell>
        </row>
        <row r="1499">
          <cell r="A1499">
            <v>8102</v>
          </cell>
        </row>
        <row r="1500">
          <cell r="A1500">
            <v>8103</v>
          </cell>
        </row>
        <row r="1501">
          <cell r="A1501">
            <v>8104</v>
          </cell>
        </row>
        <row r="1502">
          <cell r="A1502">
            <v>8105</v>
          </cell>
        </row>
        <row r="1503">
          <cell r="A1503">
            <v>8106</v>
          </cell>
        </row>
        <row r="1504">
          <cell r="A1504">
            <v>9001</v>
          </cell>
        </row>
        <row r="1505">
          <cell r="A1505">
            <v>9002</v>
          </cell>
        </row>
        <row r="1506">
          <cell r="A1506">
            <v>9003</v>
          </cell>
        </row>
        <row r="1507">
          <cell r="A1507">
            <v>9004</v>
          </cell>
        </row>
        <row r="1508">
          <cell r="A1508">
            <v>9005</v>
          </cell>
        </row>
        <row r="1509">
          <cell r="A1509">
            <v>9006</v>
          </cell>
        </row>
        <row r="1510">
          <cell r="A1510">
            <v>9007</v>
          </cell>
        </row>
        <row r="1511">
          <cell r="A1511">
            <v>9008</v>
          </cell>
        </row>
        <row r="1512">
          <cell r="A1512">
            <v>10101</v>
          </cell>
        </row>
        <row r="1513">
          <cell r="A1513">
            <v>10102</v>
          </cell>
        </row>
        <row r="1514">
          <cell r="A1514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1427</v>
          </cell>
        </row>
        <row r="1419">
          <cell r="A1419">
            <v>1428</v>
          </cell>
        </row>
        <row r="1420">
          <cell r="A1420">
            <v>1431</v>
          </cell>
        </row>
        <row r="1421">
          <cell r="A1421">
            <v>1432</v>
          </cell>
        </row>
        <row r="1422">
          <cell r="A1422">
            <v>1433</v>
          </cell>
        </row>
        <row r="1423">
          <cell r="A1423">
            <v>1434</v>
          </cell>
        </row>
        <row r="1424">
          <cell r="A1424">
            <v>1435</v>
          </cell>
        </row>
        <row r="1425">
          <cell r="A1425">
            <v>1452</v>
          </cell>
        </row>
        <row r="1426">
          <cell r="A1426">
            <v>1453</v>
          </cell>
        </row>
        <row r="1427">
          <cell r="A1427">
            <v>1454</v>
          </cell>
        </row>
        <row r="1428">
          <cell r="A1428">
            <v>1455</v>
          </cell>
        </row>
        <row r="1429">
          <cell r="A1429">
            <v>1456</v>
          </cell>
        </row>
        <row r="1430">
          <cell r="A1430">
            <v>1457</v>
          </cell>
        </row>
        <row r="1431">
          <cell r="A1431">
            <v>1458</v>
          </cell>
        </row>
        <row r="1432">
          <cell r="A1432">
            <v>1459</v>
          </cell>
        </row>
        <row r="1433">
          <cell r="A1433">
            <v>1460</v>
          </cell>
        </row>
        <row r="1434">
          <cell r="A1434">
            <v>1461</v>
          </cell>
        </row>
        <row r="1435">
          <cell r="A1435">
            <v>1462</v>
          </cell>
        </row>
        <row r="1436">
          <cell r="A1436">
            <v>1463</v>
          </cell>
        </row>
        <row r="1437">
          <cell r="A1437">
            <v>1464</v>
          </cell>
        </row>
        <row r="1438">
          <cell r="A1438">
            <v>1465</v>
          </cell>
        </row>
        <row r="1439">
          <cell r="A1439">
            <v>1466</v>
          </cell>
        </row>
        <row r="1440">
          <cell r="A1440">
            <v>1467</v>
          </cell>
        </row>
        <row r="1441">
          <cell r="A1441">
            <v>1468</v>
          </cell>
        </row>
        <row r="1442">
          <cell r="A1442">
            <v>1469</v>
          </cell>
        </row>
        <row r="1443">
          <cell r="A1443">
            <v>1470</v>
          </cell>
        </row>
        <row r="1444">
          <cell r="A1444">
            <v>1471</v>
          </cell>
        </row>
        <row r="1445">
          <cell r="A1445">
            <v>1488</v>
          </cell>
        </row>
        <row r="1446">
          <cell r="A1446">
            <v>1489</v>
          </cell>
        </row>
        <row r="1447">
          <cell r="A1447">
            <v>1495</v>
          </cell>
        </row>
        <row r="1448">
          <cell r="A1448">
            <v>1496</v>
          </cell>
        </row>
        <row r="1449">
          <cell r="A1449">
            <v>1497</v>
          </cell>
        </row>
        <row r="1450">
          <cell r="A1450">
            <v>1498</v>
          </cell>
        </row>
        <row r="1451">
          <cell r="A1451">
            <v>1499</v>
          </cell>
        </row>
        <row r="1452">
          <cell r="A1452">
            <v>1500</v>
          </cell>
        </row>
        <row r="1453">
          <cell r="A1453">
            <v>1501</v>
          </cell>
        </row>
        <row r="1454">
          <cell r="A1454">
            <v>1502</v>
          </cell>
        </row>
        <row r="1455">
          <cell r="A1455">
            <v>1503</v>
          </cell>
        </row>
        <row r="1456">
          <cell r="A1456">
            <v>1504</v>
          </cell>
        </row>
        <row r="1457">
          <cell r="A1457">
            <v>1505</v>
          </cell>
        </row>
        <row r="1458">
          <cell r="A1458">
            <v>1506</v>
          </cell>
        </row>
        <row r="1459">
          <cell r="A1459">
            <v>1507</v>
          </cell>
        </row>
        <row r="1460">
          <cell r="A1460">
            <v>1508</v>
          </cell>
        </row>
        <row r="1461">
          <cell r="A1461">
            <v>1509</v>
          </cell>
        </row>
        <row r="1462">
          <cell r="A1462">
            <v>1510</v>
          </cell>
        </row>
        <row r="1463">
          <cell r="A1463">
            <v>1511</v>
          </cell>
        </row>
        <row r="1464">
          <cell r="A1464">
            <v>1512</v>
          </cell>
        </row>
        <row r="1465">
          <cell r="A1465">
            <v>1513</v>
          </cell>
        </row>
        <row r="1466">
          <cell r="A1466">
            <v>1514</v>
          </cell>
        </row>
        <row r="1467">
          <cell r="A1467">
            <v>1515</v>
          </cell>
        </row>
        <row r="1468">
          <cell r="A1468">
            <v>1516</v>
          </cell>
        </row>
        <row r="1469">
          <cell r="A1469">
            <v>1517</v>
          </cell>
        </row>
        <row r="1470">
          <cell r="A1470">
            <v>1518</v>
          </cell>
        </row>
        <row r="1471">
          <cell r="A1471">
            <v>1519</v>
          </cell>
        </row>
        <row r="1472">
          <cell r="A1472">
            <v>1520</v>
          </cell>
        </row>
        <row r="1473">
          <cell r="A1473">
            <v>1521</v>
          </cell>
        </row>
        <row r="1474">
          <cell r="A1474">
            <v>1522</v>
          </cell>
        </row>
        <row r="1475">
          <cell r="A1475">
            <v>1523</v>
          </cell>
        </row>
        <row r="1476">
          <cell r="A1476">
            <v>1524</v>
          </cell>
        </row>
        <row r="1477">
          <cell r="A1477">
            <v>1525</v>
          </cell>
        </row>
        <row r="1478">
          <cell r="A1478">
            <v>1526</v>
          </cell>
        </row>
        <row r="1479">
          <cell r="A1479">
            <v>1527</v>
          </cell>
        </row>
        <row r="1480">
          <cell r="A1480">
            <v>1528</v>
          </cell>
        </row>
        <row r="1481">
          <cell r="A1481">
            <v>1529</v>
          </cell>
        </row>
        <row r="1482">
          <cell r="A1482">
            <v>1530</v>
          </cell>
        </row>
        <row r="1483">
          <cell r="A1483">
            <v>1531</v>
          </cell>
        </row>
        <row r="1484">
          <cell r="A1484">
            <v>1532</v>
          </cell>
        </row>
        <row r="1485">
          <cell r="A1485">
            <v>1533</v>
          </cell>
        </row>
        <row r="1486">
          <cell r="A1486">
            <v>1534</v>
          </cell>
        </row>
        <row r="1487">
          <cell r="A1487">
            <v>1535</v>
          </cell>
        </row>
        <row r="1488">
          <cell r="A1488">
            <v>1536</v>
          </cell>
        </row>
        <row r="1489">
          <cell r="A1489">
            <v>1537</v>
          </cell>
        </row>
        <row r="1490">
          <cell r="A1490">
            <v>1538</v>
          </cell>
        </row>
        <row r="1491">
          <cell r="A1491">
            <v>1539</v>
          </cell>
        </row>
        <row r="1492">
          <cell r="A1492">
            <v>1540</v>
          </cell>
        </row>
        <row r="1493">
          <cell r="A1493">
            <v>1541</v>
          </cell>
        </row>
        <row r="1494">
          <cell r="A1494">
            <v>1542</v>
          </cell>
        </row>
        <row r="1495">
          <cell r="A1495">
            <v>1543</v>
          </cell>
        </row>
        <row r="1496">
          <cell r="A1496">
            <v>1544</v>
          </cell>
        </row>
        <row r="1497">
          <cell r="A1497">
            <v>1545</v>
          </cell>
        </row>
        <row r="1498">
          <cell r="A1498">
            <v>1546</v>
          </cell>
        </row>
        <row r="1499">
          <cell r="A1499">
            <v>1547</v>
          </cell>
        </row>
        <row r="1500">
          <cell r="A1500">
            <v>1548</v>
          </cell>
        </row>
        <row r="1501">
          <cell r="A1501">
            <v>1549</v>
          </cell>
        </row>
        <row r="1502">
          <cell r="A1502">
            <v>1550</v>
          </cell>
        </row>
        <row r="1503">
          <cell r="A1503">
            <v>1551</v>
          </cell>
        </row>
        <row r="1504">
          <cell r="A1504">
            <v>1552</v>
          </cell>
        </row>
        <row r="1505">
          <cell r="A1505">
            <v>1553</v>
          </cell>
        </row>
        <row r="1506">
          <cell r="A1506">
            <v>1554</v>
          </cell>
        </row>
        <row r="1507">
          <cell r="A1507">
            <v>1555</v>
          </cell>
        </row>
        <row r="1508">
          <cell r="A1508">
            <v>1556</v>
          </cell>
        </row>
        <row r="1509">
          <cell r="A1509">
            <v>1557</v>
          </cell>
        </row>
        <row r="1510">
          <cell r="A1510">
            <v>1558</v>
          </cell>
        </row>
        <row r="1511">
          <cell r="A1511">
            <v>1559</v>
          </cell>
        </row>
        <row r="1512">
          <cell r="A1512">
            <v>1560</v>
          </cell>
        </row>
        <row r="1513">
          <cell r="A1513">
            <v>1561</v>
          </cell>
        </row>
        <row r="1514">
          <cell r="A1514">
            <v>1562</v>
          </cell>
        </row>
        <row r="1515">
          <cell r="A1515">
            <v>1563</v>
          </cell>
        </row>
        <row r="1516">
          <cell r="A1516">
            <v>1564</v>
          </cell>
        </row>
        <row r="1517">
          <cell r="A1517">
            <v>1565</v>
          </cell>
        </row>
        <row r="1518">
          <cell r="A1518">
            <v>1566</v>
          </cell>
        </row>
        <row r="1519">
          <cell r="A1519">
            <v>1567</v>
          </cell>
        </row>
        <row r="1520">
          <cell r="A1520">
            <v>1568</v>
          </cell>
        </row>
        <row r="1521">
          <cell r="A1521">
            <v>1569</v>
          </cell>
        </row>
        <row r="1522">
          <cell r="A1522">
            <v>1570</v>
          </cell>
        </row>
        <row r="1523">
          <cell r="A1523">
            <v>1571</v>
          </cell>
        </row>
        <row r="1524">
          <cell r="A1524">
            <v>1572</v>
          </cell>
        </row>
        <row r="1525">
          <cell r="A1525">
            <v>1573</v>
          </cell>
        </row>
        <row r="1526">
          <cell r="A1526">
            <v>1574</v>
          </cell>
        </row>
        <row r="1527">
          <cell r="A1527">
            <v>1575</v>
          </cell>
        </row>
        <row r="1528">
          <cell r="A1528">
            <v>1576</v>
          </cell>
        </row>
        <row r="1529">
          <cell r="A1529">
            <v>1577</v>
          </cell>
        </row>
        <row r="1530">
          <cell r="A1530">
            <v>1578</v>
          </cell>
        </row>
        <row r="1531">
          <cell r="A1531">
            <v>1579</v>
          </cell>
        </row>
        <row r="1532">
          <cell r="A1532">
            <v>1580</v>
          </cell>
        </row>
        <row r="1533">
          <cell r="A1533">
            <v>1581</v>
          </cell>
        </row>
        <row r="1534">
          <cell r="A1534">
            <v>1582</v>
          </cell>
        </row>
        <row r="1535">
          <cell r="A1535">
            <v>1583</v>
          </cell>
        </row>
        <row r="1536">
          <cell r="A1536">
            <v>1584</v>
          </cell>
        </row>
        <row r="1537">
          <cell r="A1537">
            <v>1585</v>
          </cell>
        </row>
        <row r="1538">
          <cell r="A1538">
            <v>1586</v>
          </cell>
        </row>
        <row r="1539">
          <cell r="A1539">
            <v>1587</v>
          </cell>
        </row>
        <row r="1540">
          <cell r="A1540">
            <v>1588</v>
          </cell>
        </row>
        <row r="1541">
          <cell r="A1541">
            <v>5001</v>
          </cell>
        </row>
        <row r="1542">
          <cell r="A1542">
            <v>5002</v>
          </cell>
        </row>
        <row r="1543">
          <cell r="A1543">
            <v>5003</v>
          </cell>
        </row>
        <row r="1544">
          <cell r="A1544">
            <v>5004</v>
          </cell>
        </row>
        <row r="1545">
          <cell r="A1545">
            <v>5005</v>
          </cell>
        </row>
        <row r="1546">
          <cell r="A1546">
            <v>5006</v>
          </cell>
        </row>
        <row r="1547">
          <cell r="A1547">
            <v>5007</v>
          </cell>
        </row>
        <row r="1548">
          <cell r="A1548">
            <v>5008</v>
          </cell>
        </row>
        <row r="1549">
          <cell r="A1549">
            <v>6001</v>
          </cell>
        </row>
        <row r="1550">
          <cell r="A1550">
            <v>6002</v>
          </cell>
        </row>
        <row r="1551">
          <cell r="A1551">
            <v>6003</v>
          </cell>
        </row>
        <row r="1552">
          <cell r="A1552">
            <v>6004</v>
          </cell>
        </row>
        <row r="1553">
          <cell r="A1553">
            <v>6005</v>
          </cell>
        </row>
        <row r="1554">
          <cell r="A1554">
            <v>6006</v>
          </cell>
        </row>
        <row r="1555">
          <cell r="A1555">
            <v>6007</v>
          </cell>
        </row>
        <row r="1556">
          <cell r="A1556">
            <v>6008</v>
          </cell>
        </row>
        <row r="1557">
          <cell r="A1557">
            <v>6009</v>
          </cell>
        </row>
        <row r="1558">
          <cell r="A1558">
            <v>6010</v>
          </cell>
        </row>
        <row r="1559">
          <cell r="A1559">
            <v>6011</v>
          </cell>
        </row>
        <row r="1560">
          <cell r="A1560">
            <v>6012</v>
          </cell>
        </row>
        <row r="1561">
          <cell r="A1561">
            <v>6013</v>
          </cell>
        </row>
        <row r="1562">
          <cell r="A1562">
            <v>6014</v>
          </cell>
        </row>
        <row r="1563">
          <cell r="A1563">
            <v>6015</v>
          </cell>
        </row>
        <row r="1564">
          <cell r="A1564">
            <v>6016</v>
          </cell>
        </row>
        <row r="1565">
          <cell r="A1565">
            <v>6017</v>
          </cell>
        </row>
        <row r="1566">
          <cell r="A1566">
            <v>6018</v>
          </cell>
        </row>
        <row r="1567">
          <cell r="A1567">
            <v>6019</v>
          </cell>
        </row>
        <row r="1568">
          <cell r="A1568">
            <v>6020</v>
          </cell>
        </row>
        <row r="1569">
          <cell r="A1569">
            <v>8001</v>
          </cell>
        </row>
        <row r="1570">
          <cell r="A1570">
            <v>8002</v>
          </cell>
        </row>
        <row r="1571">
          <cell r="A1571">
            <v>8003</v>
          </cell>
        </row>
        <row r="1572">
          <cell r="A1572">
            <v>8004</v>
          </cell>
        </row>
        <row r="1573">
          <cell r="A1573">
            <v>8005</v>
          </cell>
        </row>
        <row r="1574">
          <cell r="A1574">
            <v>8006</v>
          </cell>
        </row>
        <row r="1575">
          <cell r="A1575">
            <v>8007</v>
          </cell>
        </row>
        <row r="1576">
          <cell r="A1576">
            <v>8008</v>
          </cell>
        </row>
        <row r="1577">
          <cell r="A1577">
            <v>8009</v>
          </cell>
        </row>
        <row r="1578">
          <cell r="A1578">
            <v>8010</v>
          </cell>
        </row>
        <row r="1579">
          <cell r="A1579">
            <v>8011</v>
          </cell>
        </row>
        <row r="1580">
          <cell r="A1580">
            <v>8012</v>
          </cell>
        </row>
        <row r="1581">
          <cell r="A1581">
            <v>8013</v>
          </cell>
        </row>
        <row r="1582">
          <cell r="A1582">
            <v>8014</v>
          </cell>
        </row>
        <row r="1583">
          <cell r="A1583">
            <v>8015</v>
          </cell>
        </row>
        <row r="1584">
          <cell r="A1584">
            <v>8016</v>
          </cell>
        </row>
        <row r="1585">
          <cell r="A1585">
            <v>8017</v>
          </cell>
        </row>
        <row r="1586">
          <cell r="A1586">
            <v>8018</v>
          </cell>
        </row>
        <row r="1587">
          <cell r="A1587">
            <v>8019</v>
          </cell>
        </row>
        <row r="1588">
          <cell r="A1588">
            <v>8020</v>
          </cell>
        </row>
        <row r="1589">
          <cell r="A1589">
            <v>8021</v>
          </cell>
        </row>
        <row r="1590">
          <cell r="A1590">
            <v>8022</v>
          </cell>
        </row>
        <row r="1591">
          <cell r="A1591">
            <v>8023</v>
          </cell>
        </row>
        <row r="1592">
          <cell r="A1592">
            <v>8024</v>
          </cell>
        </row>
        <row r="1593">
          <cell r="A1593">
            <v>8025</v>
          </cell>
        </row>
        <row r="1594">
          <cell r="A1594">
            <v>8026</v>
          </cell>
        </row>
        <row r="1595">
          <cell r="A1595">
            <v>8027</v>
          </cell>
        </row>
        <row r="1596">
          <cell r="A1596">
            <v>8028</v>
          </cell>
        </row>
        <row r="1597">
          <cell r="A1597">
            <v>8029</v>
          </cell>
        </row>
        <row r="1598">
          <cell r="A1598">
            <v>8030</v>
          </cell>
        </row>
        <row r="1599">
          <cell r="A1599">
            <v>8031</v>
          </cell>
        </row>
        <row r="1600">
          <cell r="A1600">
            <v>8032</v>
          </cell>
        </row>
        <row r="1601">
          <cell r="A1601">
            <v>8033</v>
          </cell>
        </row>
        <row r="1602">
          <cell r="A1602">
            <v>8034</v>
          </cell>
        </row>
        <row r="1603">
          <cell r="A1603">
            <v>8035</v>
          </cell>
        </row>
        <row r="1604">
          <cell r="A1604">
            <v>8036</v>
          </cell>
        </row>
        <row r="1605">
          <cell r="A1605">
            <v>8037</v>
          </cell>
        </row>
        <row r="1606">
          <cell r="A1606">
            <v>8038</v>
          </cell>
        </row>
        <row r="1607">
          <cell r="A1607">
            <v>8039</v>
          </cell>
        </row>
        <row r="1608">
          <cell r="A1608">
            <v>8040</v>
          </cell>
        </row>
        <row r="1609">
          <cell r="A1609">
            <v>8041</v>
          </cell>
        </row>
        <row r="1610">
          <cell r="A1610">
            <v>8042</v>
          </cell>
        </row>
        <row r="1611">
          <cell r="A1611">
            <v>8043</v>
          </cell>
        </row>
        <row r="1612">
          <cell r="A1612">
            <v>8044</v>
          </cell>
        </row>
        <row r="1613">
          <cell r="A1613">
            <v>8045</v>
          </cell>
        </row>
        <row r="1614">
          <cell r="A1614">
            <v>8046</v>
          </cell>
        </row>
        <row r="1615">
          <cell r="A1615">
            <v>8047</v>
          </cell>
        </row>
        <row r="1616">
          <cell r="A1616">
            <v>8048</v>
          </cell>
        </row>
        <row r="1617">
          <cell r="A1617">
            <v>8049</v>
          </cell>
        </row>
        <row r="1618">
          <cell r="A1618">
            <v>8050</v>
          </cell>
        </row>
        <row r="1619">
          <cell r="A1619">
            <v>8051</v>
          </cell>
        </row>
        <row r="1620">
          <cell r="A1620">
            <v>8052</v>
          </cell>
        </row>
        <row r="1621">
          <cell r="A1621">
            <v>8053</v>
          </cell>
        </row>
        <row r="1622">
          <cell r="A1622">
            <v>8054</v>
          </cell>
        </row>
        <row r="1623">
          <cell r="A1623">
            <v>8055</v>
          </cell>
        </row>
        <row r="1624">
          <cell r="A1624">
            <v>8056</v>
          </cell>
        </row>
        <row r="1625">
          <cell r="A1625">
            <v>8057</v>
          </cell>
        </row>
        <row r="1626">
          <cell r="A1626">
            <v>8058</v>
          </cell>
        </row>
        <row r="1627">
          <cell r="A1627">
            <v>8059</v>
          </cell>
        </row>
        <row r="1628">
          <cell r="A1628">
            <v>8060</v>
          </cell>
        </row>
        <row r="1629">
          <cell r="A1629">
            <v>8061</v>
          </cell>
        </row>
        <row r="1630">
          <cell r="A1630">
            <v>8062</v>
          </cell>
        </row>
        <row r="1631">
          <cell r="A1631">
            <v>8063</v>
          </cell>
        </row>
        <row r="1632">
          <cell r="A1632">
            <v>8064</v>
          </cell>
        </row>
        <row r="1633">
          <cell r="A1633">
            <v>8065</v>
          </cell>
        </row>
        <row r="1634">
          <cell r="A1634">
            <v>8066</v>
          </cell>
        </row>
        <row r="1635">
          <cell r="A1635">
            <v>8067</v>
          </cell>
        </row>
        <row r="1636">
          <cell r="A1636">
            <v>8068</v>
          </cell>
        </row>
        <row r="1637">
          <cell r="A1637">
            <v>8069</v>
          </cell>
        </row>
        <row r="1638">
          <cell r="A1638">
            <v>8070</v>
          </cell>
        </row>
        <row r="1639">
          <cell r="A1639">
            <v>8071</v>
          </cell>
        </row>
        <row r="1640">
          <cell r="A1640">
            <v>8072</v>
          </cell>
        </row>
        <row r="1641">
          <cell r="A1641">
            <v>8073</v>
          </cell>
        </row>
        <row r="1642">
          <cell r="A1642">
            <v>8074</v>
          </cell>
        </row>
        <row r="1643">
          <cell r="A1643">
            <v>8075</v>
          </cell>
        </row>
        <row r="1644">
          <cell r="A1644">
            <v>8076</v>
          </cell>
        </row>
        <row r="1645">
          <cell r="A1645">
            <v>8077</v>
          </cell>
        </row>
        <row r="1646">
          <cell r="A1646">
            <v>8078</v>
          </cell>
        </row>
        <row r="1647">
          <cell r="A1647">
            <v>8079</v>
          </cell>
        </row>
        <row r="1648">
          <cell r="A1648">
            <v>8080</v>
          </cell>
        </row>
        <row r="1649">
          <cell r="A1649">
            <v>8081</v>
          </cell>
        </row>
        <row r="1650">
          <cell r="A1650">
            <v>8082</v>
          </cell>
        </row>
        <row r="1651">
          <cell r="A1651">
            <v>8083</v>
          </cell>
        </row>
        <row r="1652">
          <cell r="A1652">
            <v>8084</v>
          </cell>
        </row>
        <row r="1653">
          <cell r="A1653">
            <v>8085</v>
          </cell>
        </row>
        <row r="1654">
          <cell r="A1654">
            <v>8086</v>
          </cell>
        </row>
        <row r="1655">
          <cell r="A1655">
            <v>8087</v>
          </cell>
        </row>
        <row r="1656">
          <cell r="A1656">
            <v>8088</v>
          </cell>
        </row>
        <row r="1657">
          <cell r="A1657">
            <v>8089</v>
          </cell>
        </row>
        <row r="1658">
          <cell r="A1658">
            <v>8090</v>
          </cell>
        </row>
        <row r="1659">
          <cell r="A1659">
            <v>8095</v>
          </cell>
        </row>
        <row r="1660">
          <cell r="A1660">
            <v>8096</v>
          </cell>
        </row>
        <row r="1661">
          <cell r="A1661">
            <v>8097</v>
          </cell>
        </row>
        <row r="1662">
          <cell r="A1662">
            <v>8098</v>
          </cell>
        </row>
        <row r="1663">
          <cell r="A1663">
            <v>8099</v>
          </cell>
        </row>
        <row r="1664">
          <cell r="A1664">
            <v>8100</v>
          </cell>
        </row>
        <row r="1665">
          <cell r="A1665">
            <v>8101</v>
          </cell>
        </row>
        <row r="1666">
          <cell r="A1666">
            <v>8102</v>
          </cell>
        </row>
        <row r="1667">
          <cell r="A1667">
            <v>8103</v>
          </cell>
        </row>
        <row r="1668">
          <cell r="A1668">
            <v>8104</v>
          </cell>
        </row>
        <row r="1669">
          <cell r="A1669">
            <v>8105</v>
          </cell>
        </row>
        <row r="1670">
          <cell r="A1670">
            <v>8106</v>
          </cell>
        </row>
        <row r="1671">
          <cell r="A1671">
            <v>9001</v>
          </cell>
        </row>
        <row r="1672">
          <cell r="A1672">
            <v>9002</v>
          </cell>
        </row>
        <row r="1673">
          <cell r="A1673">
            <v>9003</v>
          </cell>
        </row>
        <row r="1674">
          <cell r="A1674">
            <v>9004</v>
          </cell>
        </row>
        <row r="1675">
          <cell r="A1675">
            <v>9005</v>
          </cell>
        </row>
        <row r="1676">
          <cell r="A1676">
            <v>9006</v>
          </cell>
        </row>
        <row r="1677">
          <cell r="A1677">
            <v>9007</v>
          </cell>
        </row>
        <row r="1678">
          <cell r="A1678">
            <v>9008</v>
          </cell>
        </row>
        <row r="1679">
          <cell r="A1679">
            <v>10001</v>
          </cell>
        </row>
        <row r="1680">
          <cell r="A1680">
            <v>10002</v>
          </cell>
        </row>
        <row r="1681">
          <cell r="A1681">
            <v>10003</v>
          </cell>
        </row>
        <row r="1682">
          <cell r="A1682">
            <v>10004</v>
          </cell>
        </row>
        <row r="1683">
          <cell r="A1683">
            <v>10005</v>
          </cell>
        </row>
        <row r="1684">
          <cell r="A1684">
            <v>10006</v>
          </cell>
        </row>
        <row r="1685">
          <cell r="A1685">
            <v>10007</v>
          </cell>
        </row>
        <row r="1686">
          <cell r="A1686">
            <v>10008</v>
          </cell>
        </row>
        <row r="1687">
          <cell r="A1687">
            <v>10009</v>
          </cell>
        </row>
        <row r="1688">
          <cell r="A1688">
            <v>10010</v>
          </cell>
        </row>
        <row r="1689">
          <cell r="A1689">
            <v>10011</v>
          </cell>
        </row>
        <row r="1690">
          <cell r="A1690">
            <v>10012</v>
          </cell>
        </row>
        <row r="1691">
          <cell r="A1691">
            <v>10013</v>
          </cell>
        </row>
        <row r="1692">
          <cell r="A1692">
            <v>10014</v>
          </cell>
        </row>
        <row r="1693">
          <cell r="A1693">
            <v>10015</v>
          </cell>
        </row>
        <row r="1694">
          <cell r="A1694">
            <v>10016</v>
          </cell>
        </row>
        <row r="1695">
          <cell r="A1695">
            <v>10017</v>
          </cell>
        </row>
        <row r="1696">
          <cell r="A1696">
            <v>10018</v>
          </cell>
        </row>
        <row r="1697">
          <cell r="A1697">
            <v>10019</v>
          </cell>
        </row>
        <row r="1698">
          <cell r="A1698">
            <v>10020</v>
          </cell>
        </row>
        <row r="1699">
          <cell r="A1699">
            <v>10021</v>
          </cell>
        </row>
        <row r="1700">
          <cell r="A1700">
            <v>10022</v>
          </cell>
        </row>
        <row r="1701">
          <cell r="A1701">
            <v>10023</v>
          </cell>
        </row>
        <row r="1702">
          <cell r="A1702">
            <v>10024</v>
          </cell>
        </row>
        <row r="1703">
          <cell r="A1703">
            <v>10025</v>
          </cell>
        </row>
        <row r="1704">
          <cell r="A1704">
            <v>10026</v>
          </cell>
        </row>
        <row r="1705">
          <cell r="A1705">
            <v>10027</v>
          </cell>
        </row>
        <row r="1706">
          <cell r="A1706">
            <v>10028</v>
          </cell>
        </row>
        <row r="1707">
          <cell r="A1707">
            <v>10029</v>
          </cell>
        </row>
        <row r="1708">
          <cell r="A1708">
            <v>10030</v>
          </cell>
        </row>
        <row r="1709">
          <cell r="A1709">
            <v>10031</v>
          </cell>
        </row>
        <row r="1710">
          <cell r="A1710">
            <v>10032</v>
          </cell>
        </row>
        <row r="1711">
          <cell r="A1711">
            <v>10033</v>
          </cell>
        </row>
        <row r="1712">
          <cell r="A1712">
            <v>10034</v>
          </cell>
        </row>
        <row r="1713">
          <cell r="A1713">
            <v>10035</v>
          </cell>
        </row>
        <row r="1714">
          <cell r="A1714">
            <v>10036</v>
          </cell>
        </row>
        <row r="1715">
          <cell r="A1715">
            <v>10037</v>
          </cell>
        </row>
        <row r="1716">
          <cell r="A1716">
            <v>10038</v>
          </cell>
        </row>
        <row r="1717">
          <cell r="A1717">
            <v>10039</v>
          </cell>
        </row>
        <row r="1718">
          <cell r="A1718">
            <v>10040</v>
          </cell>
        </row>
        <row r="1719">
          <cell r="A1719">
            <v>10041</v>
          </cell>
        </row>
        <row r="1720">
          <cell r="A1720">
            <v>10042</v>
          </cell>
        </row>
        <row r="1721">
          <cell r="A1721">
            <v>10043</v>
          </cell>
        </row>
        <row r="1722">
          <cell r="A1722">
            <v>10044</v>
          </cell>
        </row>
        <row r="1723">
          <cell r="A1723">
            <v>10045</v>
          </cell>
        </row>
        <row r="1724">
          <cell r="A1724">
            <v>10046</v>
          </cell>
        </row>
        <row r="1725">
          <cell r="A1725">
            <v>10047</v>
          </cell>
        </row>
        <row r="1726">
          <cell r="A1726">
            <v>10048</v>
          </cell>
        </row>
        <row r="1727">
          <cell r="A1727">
            <v>10049</v>
          </cell>
        </row>
        <row r="1728">
          <cell r="A1728">
            <v>10050</v>
          </cell>
        </row>
        <row r="1729">
          <cell r="A1729">
            <v>10051</v>
          </cell>
        </row>
        <row r="1730">
          <cell r="A1730">
            <v>10052</v>
          </cell>
        </row>
        <row r="1731">
          <cell r="A1731">
            <v>10053</v>
          </cell>
        </row>
        <row r="1732">
          <cell r="A1732">
            <v>10054</v>
          </cell>
        </row>
        <row r="1733">
          <cell r="A1733">
            <v>10055</v>
          </cell>
        </row>
        <row r="1734">
          <cell r="A1734">
            <v>10056</v>
          </cell>
        </row>
        <row r="1735">
          <cell r="A1735">
            <v>10057</v>
          </cell>
        </row>
        <row r="1736">
          <cell r="A1736">
            <v>10058</v>
          </cell>
        </row>
        <row r="1737">
          <cell r="A1737">
            <v>10059</v>
          </cell>
        </row>
        <row r="1738">
          <cell r="A1738">
            <v>10060</v>
          </cell>
        </row>
        <row r="1739">
          <cell r="A1739">
            <v>10061</v>
          </cell>
        </row>
        <row r="1740">
          <cell r="A1740">
            <v>10062</v>
          </cell>
        </row>
        <row r="1741">
          <cell r="A1741">
            <v>10063</v>
          </cell>
        </row>
        <row r="1742">
          <cell r="A1742">
            <v>10064</v>
          </cell>
        </row>
        <row r="1743">
          <cell r="A1743">
            <v>10065</v>
          </cell>
        </row>
        <row r="1744">
          <cell r="A1744">
            <v>10066</v>
          </cell>
        </row>
        <row r="1745">
          <cell r="A1745">
            <v>10067</v>
          </cell>
        </row>
        <row r="1746">
          <cell r="A1746">
            <v>10068</v>
          </cell>
        </row>
        <row r="1747">
          <cell r="A1747">
            <v>10069</v>
          </cell>
        </row>
        <row r="1748">
          <cell r="A1748">
            <v>10070</v>
          </cell>
        </row>
        <row r="1749">
          <cell r="A1749">
            <v>10071</v>
          </cell>
        </row>
        <row r="1750">
          <cell r="A1750">
            <v>10072</v>
          </cell>
        </row>
        <row r="1751">
          <cell r="A1751">
            <v>10073</v>
          </cell>
        </row>
        <row r="1752">
          <cell r="A1752">
            <v>10074</v>
          </cell>
        </row>
        <row r="1753">
          <cell r="A1753">
            <v>10075</v>
          </cell>
        </row>
        <row r="1754">
          <cell r="A1754">
            <v>10076</v>
          </cell>
        </row>
        <row r="1755">
          <cell r="A1755">
            <v>10077</v>
          </cell>
        </row>
        <row r="1756">
          <cell r="A1756">
            <v>10078</v>
          </cell>
        </row>
        <row r="1757">
          <cell r="A1757">
            <v>10079</v>
          </cell>
        </row>
        <row r="1758">
          <cell r="A1758">
            <v>10080</v>
          </cell>
        </row>
        <row r="1759">
          <cell r="A1759">
            <v>10081</v>
          </cell>
        </row>
        <row r="1760">
          <cell r="A1760">
            <v>10082</v>
          </cell>
        </row>
        <row r="1761">
          <cell r="A1761">
            <v>10083</v>
          </cell>
        </row>
        <row r="1762">
          <cell r="A1762">
            <v>10084</v>
          </cell>
        </row>
        <row r="1763">
          <cell r="A1763">
            <v>10085</v>
          </cell>
        </row>
        <row r="1764">
          <cell r="A1764">
            <v>10086</v>
          </cell>
        </row>
        <row r="1765">
          <cell r="A1765">
            <v>10087</v>
          </cell>
        </row>
        <row r="1766">
          <cell r="A1766">
            <v>10088</v>
          </cell>
        </row>
        <row r="1767">
          <cell r="A1767">
            <v>10089</v>
          </cell>
        </row>
        <row r="1768">
          <cell r="A1768">
            <v>10090</v>
          </cell>
        </row>
        <row r="1769">
          <cell r="A1769">
            <v>10101</v>
          </cell>
        </row>
        <row r="1770">
          <cell r="A1770">
            <v>10102</v>
          </cell>
        </row>
        <row r="1771">
          <cell r="A1771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E21" sqref="E21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128</v>
      </c>
      <c r="B1" s="54" t="s">
        <v>98</v>
      </c>
      <c r="C1" s="54" t="s">
        <v>99</v>
      </c>
      <c r="D1" s="54" t="s">
        <v>100</v>
      </c>
      <c r="E1" s="54" t="s">
        <v>101</v>
      </c>
      <c r="F1" s="54" t="s">
        <v>102</v>
      </c>
      <c r="G1" s="54" t="s">
        <v>103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269</v>
      </c>
      <c r="B2" s="56" t="s">
        <v>104</v>
      </c>
      <c r="C2" s="61">
        <v>11231</v>
      </c>
      <c r="D2" s="56" t="s">
        <v>105</v>
      </c>
      <c r="E2" s="55" t="str">
        <f>B2&amp;C2&amp;D2</f>
        <v>floors_11231.tmp</v>
      </c>
      <c r="F2" s="56" t="s">
        <v>106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269</v>
      </c>
      <c r="B3" s="56" t="s">
        <v>107</v>
      </c>
      <c r="C3" s="61">
        <f>C$2</f>
        <v>11231</v>
      </c>
      <c r="D3" s="56" t="s">
        <v>105</v>
      </c>
      <c r="E3" s="55" t="str">
        <f>B3&amp;C3&amp;D3</f>
        <v>enemy_habitats_11231.tmp</v>
      </c>
      <c r="F3" s="56" t="s">
        <v>108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53</v>
      </c>
      <c r="AD3" s="57" t="s">
        <v>173</v>
      </c>
    </row>
    <row r="4" spans="1:30" x14ac:dyDescent="0.15">
      <c r="A4" s="60" t="s">
        <v>269</v>
      </c>
      <c r="B4" s="56" t="s">
        <v>109</v>
      </c>
      <c r="C4" s="61">
        <f t="shared" ref="C4:C13" si="0">C$2</f>
        <v>11231</v>
      </c>
      <c r="D4" s="56" t="s">
        <v>105</v>
      </c>
      <c r="E4" s="55" t="str">
        <f>B4&amp;C4&amp;D4</f>
        <v>enemy_habitat_S_11231.tmp</v>
      </c>
      <c r="F4" s="56" t="s">
        <v>110</v>
      </c>
      <c r="G4" s="57" t="s">
        <v>0</v>
      </c>
      <c r="H4" s="57" t="s">
        <v>1</v>
      </c>
      <c r="I4" s="57" t="s">
        <v>13</v>
      </c>
      <c r="J4" s="57" t="s">
        <v>53</v>
      </c>
      <c r="K4" s="57" t="s">
        <v>54</v>
      </c>
      <c r="L4" s="57" t="s">
        <v>55</v>
      </c>
      <c r="M4" s="57" t="s">
        <v>56</v>
      </c>
      <c r="N4" s="57" t="s">
        <v>57</v>
      </c>
      <c r="O4" s="57" t="s">
        <v>58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269</v>
      </c>
      <c r="B5" s="56" t="s">
        <v>111</v>
      </c>
      <c r="C5" s="61">
        <f t="shared" si="0"/>
        <v>11231</v>
      </c>
      <c r="D5" s="56" t="s">
        <v>105</v>
      </c>
      <c r="E5" s="55" t="str">
        <f>B5&amp;C5&amp;D5</f>
        <v>enemy_skill_sets_11231.tmp</v>
      </c>
      <c r="F5" s="56" t="s">
        <v>112</v>
      </c>
      <c r="G5" s="58" t="s">
        <v>22</v>
      </c>
      <c r="H5" s="58" t="s">
        <v>97</v>
      </c>
      <c r="I5" s="58" t="s">
        <v>92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269</v>
      </c>
      <c r="B6" s="56" t="s">
        <v>113</v>
      </c>
      <c r="C6" s="61">
        <f t="shared" si="0"/>
        <v>11231</v>
      </c>
      <c r="D6" s="56" t="s">
        <v>114</v>
      </c>
      <c r="E6" s="55" t="str">
        <f t="shared" ref="E6:E10" si="1">B6&amp;C6&amp;D6</f>
        <v>enemy_skills_tmp_11231.tmp</v>
      </c>
      <c r="F6" s="56" t="s">
        <v>88</v>
      </c>
      <c r="G6" s="57" t="s">
        <v>78</v>
      </c>
      <c r="H6" s="57" t="s">
        <v>79</v>
      </c>
      <c r="I6" s="57" t="s">
        <v>80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269</v>
      </c>
      <c r="B7" s="56" t="s">
        <v>115</v>
      </c>
      <c r="C7" s="61">
        <f t="shared" si="0"/>
        <v>11231</v>
      </c>
      <c r="D7" s="56" t="s">
        <v>105</v>
      </c>
      <c r="E7" s="55" t="str">
        <f>B7&amp;C7&amp;D7</f>
        <v>enemy_skills_i18n_11231.tmp</v>
      </c>
      <c r="F7" s="56" t="s">
        <v>116</v>
      </c>
      <c r="G7" s="57" t="s">
        <v>78</v>
      </c>
      <c r="H7" s="57" t="s">
        <v>89</v>
      </c>
      <c r="I7" s="57" t="s">
        <v>90</v>
      </c>
      <c r="J7" s="57" t="s">
        <v>91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269</v>
      </c>
      <c r="B8" s="56" t="s">
        <v>117</v>
      </c>
      <c r="C8" s="61">
        <f t="shared" si="0"/>
        <v>11231</v>
      </c>
      <c r="D8" s="56" t="s">
        <v>118</v>
      </c>
      <c r="E8" s="55" t="str">
        <f t="shared" si="1"/>
        <v>enemy_skill_triggers_11231.tmp</v>
      </c>
      <c r="F8" s="56" t="s">
        <v>119</v>
      </c>
      <c r="G8" s="57" t="s">
        <v>92</v>
      </c>
      <c r="H8" s="57" t="s">
        <v>93</v>
      </c>
      <c r="I8" s="57" t="s">
        <v>94</v>
      </c>
      <c r="J8" s="57" t="s">
        <v>95</v>
      </c>
      <c r="K8" s="57" t="s">
        <v>120</v>
      </c>
      <c r="L8" s="57" t="s">
        <v>96</v>
      </c>
      <c r="M8" s="57" t="s">
        <v>121</v>
      </c>
      <c r="N8" s="57" t="s">
        <v>122</v>
      </c>
      <c r="O8" s="57" t="s">
        <v>123</v>
      </c>
      <c r="P8" s="57" t="s">
        <v>66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182</v>
      </c>
      <c r="B9" s="66" t="s">
        <v>172</v>
      </c>
      <c r="C9" s="61">
        <f t="shared" si="0"/>
        <v>11231</v>
      </c>
      <c r="D9" s="66" t="s">
        <v>166</v>
      </c>
      <c r="E9" s="67" t="str">
        <f t="shared" si="1"/>
        <v>stage_bug_bonuses_11231.tmp</v>
      </c>
      <c r="F9" s="66" t="s">
        <v>167</v>
      </c>
      <c r="G9" s="63" t="s">
        <v>148</v>
      </c>
      <c r="H9" s="63" t="s">
        <v>168</v>
      </c>
      <c r="I9" s="63" t="s">
        <v>169</v>
      </c>
      <c r="J9" s="65" t="s">
        <v>170</v>
      </c>
      <c r="K9" s="63" t="s">
        <v>171</v>
      </c>
      <c r="L9" s="63" t="s">
        <v>154</v>
      </c>
      <c r="M9" s="63" t="s">
        <v>155</v>
      </c>
      <c r="N9" s="63" t="s">
        <v>156</v>
      </c>
      <c r="O9" s="63" t="s">
        <v>157</v>
      </c>
      <c r="P9" s="63" t="s">
        <v>158</v>
      </c>
      <c r="Q9" s="63" t="s">
        <v>159</v>
      </c>
      <c r="R9" s="63" t="s">
        <v>160</v>
      </c>
      <c r="S9" s="63" t="s">
        <v>161</v>
      </c>
      <c r="T9" s="63" t="s">
        <v>162</v>
      </c>
      <c r="U9" s="63" t="s">
        <v>163</v>
      </c>
      <c r="V9" s="63" t="s">
        <v>164</v>
      </c>
      <c r="W9" s="63" t="s">
        <v>165</v>
      </c>
      <c r="X9" s="56"/>
      <c r="Y9" s="56"/>
      <c r="Z9" s="56"/>
      <c r="AA9" s="56"/>
      <c r="AB9" s="56"/>
      <c r="AC9" s="56"/>
      <c r="AD9" s="56"/>
    </row>
    <row r="10" spans="1:30" s="74" customFormat="1" x14ac:dyDescent="0.15">
      <c r="A10" s="60" t="s">
        <v>182</v>
      </c>
      <c r="B10" s="66" t="s">
        <v>194</v>
      </c>
      <c r="C10" s="61">
        <f>C$2</f>
        <v>11231</v>
      </c>
      <c r="D10" s="66" t="s">
        <v>175</v>
      </c>
      <c r="E10" s="67" t="str">
        <f t="shared" si="1"/>
        <v>stage_hints_data_c_11231.tmp</v>
      </c>
      <c r="F10" s="66" t="s">
        <v>202</v>
      </c>
      <c r="G10" s="72" t="s">
        <v>176</v>
      </c>
      <c r="H10" s="72" t="s">
        <v>168</v>
      </c>
      <c r="I10" s="73" t="s">
        <v>177</v>
      </c>
      <c r="J10" s="65" t="s">
        <v>178</v>
      </c>
      <c r="K10" s="65" t="s">
        <v>179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4" customFormat="1" x14ac:dyDescent="0.15">
      <c r="A11" s="60" t="s">
        <v>269</v>
      </c>
      <c r="B11" s="66" t="s">
        <v>195</v>
      </c>
      <c r="C11" s="61">
        <f t="shared" si="0"/>
        <v>11231</v>
      </c>
      <c r="D11" s="66" t="s">
        <v>166</v>
      </c>
      <c r="E11" s="67" t="str">
        <f t="shared" ref="E11:E13" si="2">B11&amp;C11&amp;D11</f>
        <v>stage_hints_data_f_11231.tmp</v>
      </c>
      <c r="F11" s="66" t="s">
        <v>203</v>
      </c>
      <c r="G11" s="72" t="s">
        <v>176</v>
      </c>
      <c r="H11" s="72" t="s">
        <v>168</v>
      </c>
      <c r="I11" s="73" t="s">
        <v>177</v>
      </c>
      <c r="J11" s="65" t="s">
        <v>178</v>
      </c>
      <c r="K11" s="65" t="s">
        <v>179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4" customFormat="1" x14ac:dyDescent="0.15">
      <c r="A12" s="60" t="s">
        <v>269</v>
      </c>
      <c r="B12" s="66" t="s">
        <v>196</v>
      </c>
      <c r="C12" s="61">
        <f t="shared" si="0"/>
        <v>11231</v>
      </c>
      <c r="D12" s="66" t="s">
        <v>166</v>
      </c>
      <c r="E12" s="67" t="str">
        <f t="shared" si="2"/>
        <v>stage_hints_i18n_11231.tmp</v>
      </c>
      <c r="F12" s="66" t="s">
        <v>204</v>
      </c>
      <c r="G12" s="73" t="s">
        <v>197</v>
      </c>
      <c r="H12" s="92" t="s">
        <v>198</v>
      </c>
      <c r="I12" s="72" t="s">
        <v>199</v>
      </c>
      <c r="J12" s="100" t="s">
        <v>200</v>
      </c>
      <c r="K12" s="65" t="s">
        <v>201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4" customFormat="1" x14ac:dyDescent="0.15">
      <c r="A13" s="66" t="s">
        <v>240</v>
      </c>
      <c r="B13" s="66" t="s">
        <v>239</v>
      </c>
      <c r="C13" s="61">
        <f t="shared" si="0"/>
        <v>11231</v>
      </c>
      <c r="D13" s="66" t="s">
        <v>220</v>
      </c>
      <c r="E13" s="67" t="str">
        <f t="shared" si="2"/>
        <v>stage_bonuses_11231.tmp</v>
      </c>
      <c r="F13" s="66" t="s">
        <v>219</v>
      </c>
      <c r="G13" s="72" t="s">
        <v>221</v>
      </c>
      <c r="H13" s="72" t="s">
        <v>222</v>
      </c>
      <c r="I13" s="72" t="s">
        <v>223</v>
      </c>
      <c r="J13" s="72" t="s">
        <v>224</v>
      </c>
      <c r="K13" s="72" t="s">
        <v>225</v>
      </c>
      <c r="L13" s="72" t="s">
        <v>226</v>
      </c>
      <c r="M13" s="72" t="s">
        <v>227</v>
      </c>
      <c r="N13" s="72" t="s">
        <v>228</v>
      </c>
      <c r="O13" s="72" t="s">
        <v>229</v>
      </c>
      <c r="P13" s="72" t="s">
        <v>230</v>
      </c>
      <c r="Q13" s="72" t="s">
        <v>231</v>
      </c>
      <c r="R13" s="72" t="s">
        <v>232</v>
      </c>
      <c r="S13" s="72" t="s">
        <v>233</v>
      </c>
      <c r="T13" s="72" t="s">
        <v>234</v>
      </c>
      <c r="U13" s="72" t="s">
        <v>235</v>
      </c>
      <c r="V13" s="72" t="s">
        <v>236</v>
      </c>
      <c r="W13" s="72" t="s">
        <v>237</v>
      </c>
      <c r="X13" s="72" t="s">
        <v>238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G8" sqref="G8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11231_1-1</v>
      </c>
      <c r="B2" s="16" t="str">
        <f>IF(COUNTIF(enemy_habitats!$H:$H,A2),"OK","NG")</f>
        <v>OK</v>
      </c>
      <c r="C2" s="7">
        <f>output!C2</f>
        <v>11231</v>
      </c>
      <c r="D2" s="11" t="str">
        <f ca="1">VLOOKUP($C2,OFFSET([2]quests!$A$1,0,0,COUNTA([2]quests!$A:$A),MATCH(D$1,[2]quests!$1:$1,0)-MATCH($C$1,[2]quests!$1:$1,0)+1),MATCH(D$1,[2]quests!$1:$1,0)-MATCH($C$1,[2]quests!$1:$1,0)+1,FALSE)</f>
        <v>桜姫の招待状</v>
      </c>
      <c r="E2" s="18" t="str">
        <f ca="1">VLOOKUP($C2,OFFSET([2]quests!$A$1,0,0,COUNTA([2]quests!$A:$A),MATCH(E$1,[2]quests!$1:$1,0)-MATCH($C$1,[2]quests!$1:$1,0)+1),MATCH(E$1,[2]quests!$1:$1,0)-MATCH($C$1,[2]quests!$1:$1,0)+1,FALSE)</f>
        <v>2017年お花見ストーリークエスト</v>
      </c>
      <c r="F2" s="21">
        <v>1</v>
      </c>
      <c r="G2" s="23" t="str">
        <f>C2&amp;"_"&amp;F2</f>
        <v>11231_1</v>
      </c>
      <c r="H2" s="15" t="str">
        <f ca="1">VLOOKUP($G2,OFFSET([2]stages!$A$1,0,0,COUNTA([2]stages!$A:$A),MATCH(H$1,[2]stages!$2:$2,0)-MATCH($G$1,[2]stages!$2:$2,0)+1),MATCH(H$1,[2]stages!$2:$2,0)-MATCH($G$1,[2]stages!$2:$2,0)+1,FALSE)</f>
        <v>【ストーリー】桜姫の招待状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5" si="0">G3&amp;"-"&amp;I3</f>
        <v>11231_1-2</v>
      </c>
      <c r="B3" s="16" t="str">
        <f>IF(COUNTIF(enemy_habitats!$H:$H,A3),"OK","NG")</f>
        <v>OK</v>
      </c>
      <c r="C3" s="7">
        <f>$C$2</f>
        <v>11231</v>
      </c>
      <c r="D3" s="11" t="str">
        <f ca="1">VLOOKUP($C3,OFFSET([2]quests!$A$1,0,0,COUNTA([2]quests!$A:$A),MATCH(D$1,[2]quests!$1:$1,0)-MATCH($C$1,[2]quests!$1:$1,0)+1),MATCH(D$1,[2]quests!$1:$1,0)-MATCH($C$1,[2]quests!$1:$1,0)+1,FALSE)</f>
        <v>桜姫の招待状</v>
      </c>
      <c r="E3" s="18" t="str">
        <f ca="1">VLOOKUP($C3,OFFSET([2]quests!$A$1,0,0,COUNTA([2]quests!$A:$A),MATCH(E$1,[2]quests!$1:$1,0)-MATCH($C$1,[2]quests!$1:$1,0)+1),MATCH(E$1,[2]quests!$1:$1,0)-MATCH($C$1,[2]quests!$1:$1,0)+1,FALSE)</f>
        <v>2017年お花見ストーリークエスト</v>
      </c>
      <c r="F3" s="21">
        <v>1</v>
      </c>
      <c r="G3" s="23" t="str">
        <f t="shared" ref="G3:G5" si="1">C3&amp;"_"&amp;F3</f>
        <v>11231_1</v>
      </c>
      <c r="H3" s="15" t="str">
        <f ca="1">VLOOKUP($G3,OFFSET([2]stages!$A$1,0,0,COUNTA([2]stages!$A:$A),MATCH(H$1,[2]stages!$2:$2,0)-MATCH($G$1,[2]stages!$2:$2,0)+1),MATCH(H$1,[2]stages!$2:$2,0)-MATCH($G$1,[2]stages!$2:$2,0)+1,FALSE)</f>
        <v>【ストーリー】桜姫の招待状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11231_1-3</v>
      </c>
      <c r="B4" s="16" t="str">
        <f>IF(COUNTIF(enemy_habitats!$H:$H,A4),"OK","NG")</f>
        <v>OK</v>
      </c>
      <c r="C4" s="7">
        <f t="shared" ref="C4:C5" si="2">$C$2</f>
        <v>11231</v>
      </c>
      <c r="D4" s="11" t="str">
        <f ca="1">VLOOKUP($C4,OFFSET([2]quests!$A$1,0,0,COUNTA([2]quests!$A:$A),MATCH(D$1,[2]quests!$1:$1,0)-MATCH($C$1,[2]quests!$1:$1,0)+1),MATCH(D$1,[2]quests!$1:$1,0)-MATCH($C$1,[2]quests!$1:$1,0)+1,FALSE)</f>
        <v>桜姫の招待状</v>
      </c>
      <c r="E4" s="18" t="str">
        <f ca="1">VLOOKUP($C4,OFFSET([2]quests!$A$1,0,0,COUNTA([2]quests!$A:$A),MATCH(E$1,[2]quests!$1:$1,0)-MATCH($C$1,[2]quests!$1:$1,0)+1),MATCH(E$1,[2]quests!$1:$1,0)-MATCH($C$1,[2]quests!$1:$1,0)+1,FALSE)</f>
        <v>2017年お花見ストーリークエスト</v>
      </c>
      <c r="F4" s="21">
        <v>1</v>
      </c>
      <c r="G4" s="23" t="str">
        <f t="shared" si="1"/>
        <v>11231_1</v>
      </c>
      <c r="H4" s="15" t="str">
        <f ca="1">VLOOKUP($G4,OFFSET([2]stages!$A$1,0,0,COUNTA([2]stages!$A:$A),MATCH(H$1,[2]stages!$2:$2,0)-MATCH($G$1,[2]stages!$2:$2,0)+1),MATCH(H$1,[2]stages!$2:$2,0)-MATCH($G$1,[2]stages!$2:$2,0)+1,FALSE)</f>
        <v>【ストーリー】桜姫の招待状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11231_1-4</v>
      </c>
      <c r="B5" s="16" t="str">
        <f>IF(COUNTIF(enemy_habitats!$H:$H,A5),"OK","NG")</f>
        <v>OK</v>
      </c>
      <c r="C5" s="7">
        <f t="shared" si="2"/>
        <v>11231</v>
      </c>
      <c r="D5" s="11" t="str">
        <f ca="1">VLOOKUP($C5,OFFSET([2]quests!$A$1,0,0,COUNTA([2]quests!$A:$A),MATCH(D$1,[2]quests!$1:$1,0)-MATCH($C$1,[2]quests!$1:$1,0)+1),MATCH(D$1,[2]quests!$1:$1,0)-MATCH($C$1,[2]quests!$1:$1,0)+1,FALSE)</f>
        <v>桜姫の招待状</v>
      </c>
      <c r="E5" s="18" t="str">
        <f ca="1">VLOOKUP($C5,OFFSET([2]quests!$A$1,0,0,COUNTA([2]quests!$A:$A),MATCH(E$1,[2]quests!$1:$1,0)-MATCH($C$1,[2]quests!$1:$1,0)+1),MATCH(E$1,[2]quests!$1:$1,0)-MATCH($C$1,[2]quests!$1:$1,0)+1,FALSE)</f>
        <v>2017年お花見ストーリークエスト</v>
      </c>
      <c r="F5" s="21">
        <v>1</v>
      </c>
      <c r="G5" s="23" t="str">
        <f t="shared" si="1"/>
        <v>11231_1</v>
      </c>
      <c r="H5" s="15" t="str">
        <f ca="1">VLOOKUP($G5,OFFSET([2]stages!$A$1,0,0,COUNTA([2]stages!$A:$A),MATCH(H$1,[2]stages!$2:$2,0)-MATCH($G$1,[2]stages!$2:$2,0)+1),MATCH(H$1,[2]stages!$2:$2,0)-MATCH($G$1,[2]stages!$2:$2,0)+1,FALSE)</f>
        <v>【ストーリー】桜姫の招待状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5"/>
  <sheetViews>
    <sheetView showGridLines="0" workbookViewId="0">
      <pane xSplit="17" ySplit="1" topLeftCell="Y2" activePane="bottomRight" state="frozen"/>
      <selection pane="topRight" activeCell="N1" sqref="N1"/>
      <selection pane="bottomLeft" activeCell="A2" sqref="A2"/>
      <selection pane="bottomRight" activeCell="AS10" sqref="AS10"/>
    </sheetView>
  </sheetViews>
  <sheetFormatPr baseColWidth="12" defaultColWidth="13" defaultRowHeight="21" customHeight="1" outlineLevelCol="1" x14ac:dyDescent="0.15"/>
  <cols>
    <col min="1" max="1" width="18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1" t="s">
        <v>241</v>
      </c>
      <c r="U1" s="26" t="s">
        <v>50</v>
      </c>
      <c r="V1" s="101" t="s">
        <v>242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174</v>
      </c>
    </row>
    <row r="2" spans="1:42" ht="21" customHeight="1" x14ac:dyDescent="0.15">
      <c r="A2" s="16" t="str">
        <f>B2&amp;"_"&amp;C2&amp;"-"&amp;G2&amp;"/"&amp;L2&amp;"&lt;lv"&amp;R2&amp;"&gt;s"&amp;AC2</f>
        <v>11231_1-1/1498&lt;lv1&gt;s1</v>
      </c>
      <c r="B2" s="22">
        <f>output!C2</f>
        <v>11231</v>
      </c>
      <c r="C2" s="21">
        <v>1</v>
      </c>
      <c r="D2" s="2" t="str">
        <f>B2&amp;"_"&amp;C2</f>
        <v>11231_1</v>
      </c>
      <c r="E2" s="4" t="str">
        <f ca="1">VLOOKUP($B2,OFFSET([2]quests!$A$1,0,0,COUNTA([2]quests!$A:$A),MATCH(E$1,[2]quests!$1:$1,0)-MATCH($B$1,[2]quests!$1:$1,0)+1),MATCH(E$1,[2]quests!$1:$1,0)-MATCH($B$1,[2]quests!$1:$1,0)+1,FALSE)</f>
        <v>桜姫の招待状</v>
      </c>
      <c r="F2" s="4" t="str">
        <f ca="1">VLOOKUP($D2,OFFSET([2]stages!$A$1,0,0,COUNTA([2]stages!$A:$A),MATCH(F$1,[2]stages!$2:$2,0)-MATCH($D$1,[2]stages!$2:$2,0)+1),MATCH(F$1,[2]stages!$2:$2,0)-MATCH($D$1,[2]stages!$2:$2,0)+1,FALSE)</f>
        <v>【ストーリー】桜姫の招待状</v>
      </c>
      <c r="G2" s="21">
        <v>1</v>
      </c>
      <c r="H2" s="15" t="str">
        <f>B2&amp;"_"&amp;C2&amp;"-"&amp;G2</f>
        <v>11231_1-1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20">
        <v>1498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咲誇る夢見草 ヨシノ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DropWizS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fantasy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1</v>
      </c>
      <c r="S2" s="25">
        <v>99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395802</v>
      </c>
      <c r="U2" s="25">
        <v>1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374</v>
      </c>
      <c r="W2" s="5">
        <v>10000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4">
        <v>11231000</v>
      </c>
      <c r="Z2" s="6">
        <v>0</v>
      </c>
      <c r="AA2" s="6">
        <v>100</v>
      </c>
      <c r="AB2" s="6">
        <v>0</v>
      </c>
      <c r="AC2" s="17">
        <v>1</v>
      </c>
      <c r="AD2" s="24">
        <f>L2</f>
        <v>1498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咲誇る夢見草 ヨシノ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6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2" s="7">
        <v>1</v>
      </c>
      <c r="AI2" s="24">
        <f ca="1">AF2</f>
        <v>6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 t="shared" ref="A3:A5" si="0">B3&amp;"_"&amp;C3&amp;"-"&amp;G3&amp;"/"&amp;L3&amp;"&lt;lv"&amp;R3&amp;"&gt;s"&amp;AC3</f>
        <v>11231_1-2/1502&lt;lv1&gt;s1</v>
      </c>
      <c r="B3" s="22">
        <f t="shared" ref="B3:B5" si="1">$B$2</f>
        <v>11231</v>
      </c>
      <c r="C3" s="21">
        <v>1</v>
      </c>
      <c r="D3" s="2" t="str">
        <f t="shared" ref="D3:D5" si="2">B3&amp;"_"&amp;C3</f>
        <v>11231_1</v>
      </c>
      <c r="E3" s="4" t="str">
        <f ca="1">VLOOKUP($B3,OFFSET([2]quests!$A$1,0,0,COUNTA([2]quests!$A:$A),MATCH(E$1,[2]quests!$1:$1,0)-MATCH($B$1,[2]quests!$1:$1,0)+1),MATCH(E$1,[2]quests!$1:$1,0)-MATCH($B$1,[2]quests!$1:$1,0)+1,FALSE)</f>
        <v>桜姫の招待状</v>
      </c>
      <c r="F3" s="4" t="str">
        <f ca="1">VLOOKUP($D3,OFFSET([2]stages!$A$1,0,0,COUNTA([2]stages!$A:$A),MATCH(F$1,[2]stages!$2:$2,0)-MATCH($D$1,[2]stages!$2:$2,0)+1),MATCH(F$1,[2]stages!$2:$2,0)-MATCH($D$1,[2]stages!$2:$2,0)+1,FALSE)</f>
        <v>【ストーリー】桜姫の招待状</v>
      </c>
      <c r="G3" s="21">
        <v>2</v>
      </c>
      <c r="H3" s="15" t="str">
        <f t="shared" ref="H3:H5" si="3">B3&amp;"_"&amp;C3&amp;"-"&amp;G3</f>
        <v>11231_1-2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20">
        <v>1502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打咲かす桜花灯 トリスタン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1</v>
      </c>
      <c r="S3" s="25">
        <v>99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597366</v>
      </c>
      <c r="U3" s="25">
        <v>1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232</v>
      </c>
      <c r="W3" s="5">
        <v>10000</v>
      </c>
      <c r="X3" s="4" t="e">
        <f ca="1">VLOOKUP($Y3,OFFSET([5]enemy_skill_sets!$B$1,0,0,COUNTA([5]enemy_skill_sets!$B:$B),MATCH(M$1,[5]enemy_skill_sets!$1:$1,0)-MATCH($Y$1,[5]enemy_skill_sets!$1:$1,0)+2),MATCH(M$1,[5]enemy_skill_sets!$1:$1,0)-MATCH($Y$1,[5]enemy_skill_sets!$1:$1,0)+2,FALSE)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3" s="4">
        <v>11231002</v>
      </c>
      <c r="Z3" s="6">
        <v>0</v>
      </c>
      <c r="AA3" s="6">
        <v>100</v>
      </c>
      <c r="AB3" s="6">
        <v>0</v>
      </c>
      <c r="AC3" s="17">
        <v>1</v>
      </c>
      <c r="AD3" s="24">
        <f t="shared" ref="AD3:AD5" si="4">L3</f>
        <v>1502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打咲かす桜花灯 トリスタン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5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7">
        <v>1</v>
      </c>
      <c r="AI3" s="24">
        <f t="shared" ref="AI3:AI5" ca="1" si="5">AF3</f>
        <v>5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x14ac:dyDescent="0.15">
      <c r="A4" s="16" t="str">
        <f t="shared" si="0"/>
        <v>11231_1-3/1495&lt;lv1&gt;s1</v>
      </c>
      <c r="B4" s="22">
        <f t="shared" si="1"/>
        <v>11231</v>
      </c>
      <c r="C4" s="21">
        <v>1</v>
      </c>
      <c r="D4" s="2" t="str">
        <f t="shared" si="2"/>
        <v>11231_1</v>
      </c>
      <c r="E4" s="4" t="str">
        <f ca="1">VLOOKUP($B4,OFFSET([2]quests!$A$1,0,0,COUNTA([2]quests!$A:$A),MATCH(E$1,[2]quests!$1:$1,0)-MATCH($B$1,[2]quests!$1:$1,0)+1),MATCH(E$1,[2]quests!$1:$1,0)-MATCH($B$1,[2]quests!$1:$1,0)+1,FALSE)</f>
        <v>桜姫の招待状</v>
      </c>
      <c r="F4" s="4" t="str">
        <f ca="1">VLOOKUP($D4,OFFSET([2]stages!$A$1,0,0,COUNTA([2]stages!$A:$A),MATCH(F$1,[2]stages!$2:$2,0)-MATCH($D$1,[2]stages!$2:$2,0)+1),MATCH(F$1,[2]stages!$2:$2,0)-MATCH($D$1,[2]stages!$2:$2,0)+1,FALSE)</f>
        <v>【ストーリー】桜姫の招待状</v>
      </c>
      <c r="G4" s="21">
        <v>3</v>
      </c>
      <c r="H4" s="15" t="str">
        <f t="shared" si="3"/>
        <v>11231_1-3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20">
        <v>1495</v>
      </c>
      <c r="M4" s="17" t="str">
        <f ca="1">VLOOKUP($L4,OFFSET([3]enemies!$A$1,0,0,COUNTA([3]enemies!$A:$A),MATCH(M$1,[3]enemies!$1:$1,0)-MATCH($L$1,[3]enemies!$1:$1,0)+1),MATCH(M$1,[3]enemies!$1:$1,0)-MATCH($L$1,[3]enemies!$1:$1,0)+1,FALSE)</f>
        <v>桜乱の武奏術 牛若丸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samurai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1</v>
      </c>
      <c r="S4" s="25">
        <v>99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412038</v>
      </c>
      <c r="U4" s="25">
        <v>1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273</v>
      </c>
      <c r="W4" s="5">
        <v>10000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4">
        <v>11231004</v>
      </c>
      <c r="Z4" s="6">
        <v>0</v>
      </c>
      <c r="AA4" s="6">
        <v>100</v>
      </c>
      <c r="AB4" s="6">
        <v>0</v>
      </c>
      <c r="AC4" s="17">
        <v>1</v>
      </c>
      <c r="AD4" s="24">
        <f t="shared" si="4"/>
        <v>1495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桜乱の武奏術 牛若丸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6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4" s="7">
        <v>1</v>
      </c>
      <c r="AI4" s="24">
        <f t="shared" ca="1" si="5"/>
        <v>6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x14ac:dyDescent="0.15">
      <c r="A5" s="16" t="str">
        <f t="shared" si="0"/>
        <v>11231_1-4/1432&lt;lv1&gt;s1</v>
      </c>
      <c r="B5" s="22">
        <f t="shared" si="1"/>
        <v>11231</v>
      </c>
      <c r="C5" s="21">
        <v>1</v>
      </c>
      <c r="D5" s="2" t="str">
        <f t="shared" si="2"/>
        <v>11231_1</v>
      </c>
      <c r="E5" s="4" t="str">
        <f ca="1">VLOOKUP($B5,OFFSET([2]quests!$A$1,0,0,COUNTA([2]quests!$A:$A),MATCH(E$1,[2]quests!$1:$1,0)-MATCH($B$1,[2]quests!$1:$1,0)+1),MATCH(E$1,[2]quests!$1:$1,0)-MATCH($B$1,[2]quests!$1:$1,0)+1,FALSE)</f>
        <v>桜姫の招待状</v>
      </c>
      <c r="F5" s="4" t="str">
        <f ca="1">VLOOKUP($D5,OFFSET([2]stages!$A$1,0,0,COUNTA([2]stages!$A:$A),MATCH(F$1,[2]stages!$2:$2,0)-MATCH($D$1,[2]stages!$2:$2,0)+1),MATCH(F$1,[2]stages!$2:$2,0)-MATCH($D$1,[2]stages!$2:$2,0)+1,FALSE)</f>
        <v>【ストーリー】桜姫の招待状</v>
      </c>
      <c r="G5" s="21">
        <v>4</v>
      </c>
      <c r="H5" s="15" t="str">
        <f t="shared" si="3"/>
        <v>11231_1-4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4</v>
      </c>
      <c r="L5" s="20">
        <v>1432</v>
      </c>
      <c r="M5" s="17" t="str">
        <f ca="1">VLOOKUP($L5,OFFSET([3]enemies!$A$1,0,0,COUNTA([3]enemies!$A:$A),MATCH(M$1,[3]enemies!$1:$1,0)-MATCH($L$1,[3]enemies!$1:$1,0)+1),MATCH(M$1,[3]enemies!$1:$1,0)-MATCH($L$1,[3]enemies!$1:$1,0)+1,FALSE)</f>
        <v>華宴の千年狐 センコ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1</v>
      </c>
      <c r="S5" s="25">
        <v>99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336600</v>
      </c>
      <c r="U5" s="25">
        <v>1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209</v>
      </c>
      <c r="W5" s="5">
        <v>10000</v>
      </c>
      <c r="X5" s="4" t="e">
        <f ca="1">VLOOKUP($Y5,OFFSET([5]enemy_skill_sets!$B$1,0,0,COUNTA([5]enemy_skill_sets!$B:$B),MATCH(M$1,[5]enemy_skill_sets!$1:$1,0)-MATCH($Y$1,[5]enemy_skill_sets!$1:$1,0)+2),MATCH(M$1,[5]enemy_skill_sets!$1:$1,0)-MATCH($Y$1,[5]enemy_skill_sets!$1:$1,0)+2,FALSE)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5" s="4">
        <v>11231006</v>
      </c>
      <c r="Z5" s="6">
        <v>0</v>
      </c>
      <c r="AA5" s="6">
        <v>100</v>
      </c>
      <c r="AB5" s="6">
        <v>0</v>
      </c>
      <c r="AC5" s="17">
        <v>1</v>
      </c>
      <c r="AD5" s="24">
        <f t="shared" si="4"/>
        <v>1432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華宴の千年狐 センコ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6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5" s="7">
        <v>1</v>
      </c>
      <c r="AI5" s="24">
        <f t="shared" ca="1" si="5"/>
        <v>6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8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N18" sqref="N18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27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1" t="s">
        <v>241</v>
      </c>
      <c r="V1" s="26" t="s">
        <v>50</v>
      </c>
      <c r="W1" s="101" t="s">
        <v>242</v>
      </c>
      <c r="X1" s="26" t="s">
        <v>52</v>
      </c>
      <c r="Y1" s="28" t="s">
        <v>127</v>
      </c>
      <c r="Z1" s="29" t="s">
        <v>126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11231_1-1/1503&lt;lv80&gt;sq1st2</v>
      </c>
      <c r="B2" s="22">
        <f>output!C2</f>
        <v>11231</v>
      </c>
      <c r="C2" s="21">
        <v>1</v>
      </c>
      <c r="D2" s="2" t="str">
        <f>B2&amp;"_"&amp;C2</f>
        <v>11231_1</v>
      </c>
      <c r="E2" s="4" t="str">
        <f ca="1">VLOOKUP($B2,OFFSET([2]quests!$A$1,0,0,COUNTA([2]quests!$A:$A),MATCH(E$1,[2]quests!$1:$1,0)-MATCH($B$1,[2]quests!$1:$1,0)+1),MATCH(E$1,[2]quests!$1:$1,0)-MATCH($B$1,[2]quests!$1:$1,0)+1,FALSE)</f>
        <v>桜姫の招待状</v>
      </c>
      <c r="F2" s="4" t="str">
        <f ca="1">VLOOKUP($D2,OFFSET([2]stages!$A$1,0,0,COUNTA([2]stages!$A:$A),MATCH(F$1,[2]stages!$2:$2,0)-MATCH($D$1,[2]stages!$2:$2,0)+1),MATCH(F$1,[2]stages!$2:$2,0)-MATCH($D$1,[2]stages!$2:$2,0)+1,FALSE)</f>
        <v>【ストーリー】桜姫の招待状</v>
      </c>
      <c r="G2" s="21">
        <v>1</v>
      </c>
      <c r="H2" s="15" t="str">
        <f>B2&amp;"_"&amp;C2&amp;"-"&amp;G2</f>
        <v>11231_1-1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1503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春纏う蛇撫子 ヨルムンガンド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75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9767775</v>
      </c>
      <c r="V2" s="25">
        <v>1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11953</v>
      </c>
      <c r="X2" s="5">
        <v>10000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">
        <v>11231001</v>
      </c>
      <c r="AA2" s="69">
        <v>1</v>
      </c>
    </row>
    <row r="3" spans="1:27" ht="21" customHeight="1" x14ac:dyDescent="0.15">
      <c r="A3" s="16" t="str">
        <f t="shared" ref="A3:A5" si="0">B3&amp;"_"&amp;C3&amp;"-"&amp;G3&amp;"/"&amp;M3&amp;"&lt;lv"&amp;S3&amp;"&gt;sq"&amp;K3&amp;"st"&amp;L3</f>
        <v>11231_1-2/1496&lt;lv1&gt;sq2st2</v>
      </c>
      <c r="B3" s="22">
        <f>output!C3</f>
        <v>11231</v>
      </c>
      <c r="C3" s="21">
        <v>1</v>
      </c>
      <c r="D3" s="2" t="str">
        <f t="shared" ref="D3:D5" si="1">B3&amp;"_"&amp;C3</f>
        <v>11231_1</v>
      </c>
      <c r="E3" s="4" t="str">
        <f ca="1">VLOOKUP($B3,OFFSET([2]quests!$A$1,0,0,COUNTA([2]quests!$A:$A),MATCH(E$1,[2]quests!$1:$1,0)-MATCH($B$1,[2]quests!$1:$1,0)+1),MATCH(E$1,[2]quests!$1:$1,0)-MATCH($B$1,[2]quests!$1:$1,0)+1,FALSE)</f>
        <v>桜姫の招待状</v>
      </c>
      <c r="F3" s="4" t="str">
        <f ca="1">VLOOKUP($D3,OFFSET([2]stages!$A$1,0,0,COUNTA([2]stages!$A:$A),MATCH(F$1,[2]stages!$2:$2,0)-MATCH($D$1,[2]stages!$2:$2,0)+1),MATCH(F$1,[2]stages!$2:$2,0)-MATCH($D$1,[2]stages!$2:$2,0)+1,FALSE)</f>
        <v>【ストーリー】桜姫の招待状</v>
      </c>
      <c r="G3" s="21">
        <v>2</v>
      </c>
      <c r="H3" s="15" t="str">
        <f t="shared" ref="H3:H5" si="2">B3&amp;"_"&amp;C3&amp;"-"&amp;G3</f>
        <v>11231_1-2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1496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晴眼桜花一文字 沖田総司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samurai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1</v>
      </c>
      <c r="T3" s="25">
        <v>99.9</v>
      </c>
      <c r="U3" s="10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415783.80000000005</v>
      </c>
      <c r="V3" s="25">
        <v>1</v>
      </c>
      <c r="W3" s="10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273</v>
      </c>
      <c r="X3" s="5">
        <v>10000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">
        <v>11231003</v>
      </c>
      <c r="AA3" s="69">
        <v>1</v>
      </c>
    </row>
    <row r="4" spans="1:27" ht="21" customHeight="1" x14ac:dyDescent="0.15">
      <c r="A4" s="16" t="str">
        <f t="shared" si="0"/>
        <v>11231_1-3/1501&lt;lv1&gt;sq3st2</v>
      </c>
      <c r="B4" s="22">
        <f>output!C4</f>
        <v>11231</v>
      </c>
      <c r="C4" s="21">
        <v>1</v>
      </c>
      <c r="D4" s="2" t="str">
        <f t="shared" si="1"/>
        <v>11231_1</v>
      </c>
      <c r="E4" s="4" t="str">
        <f ca="1">VLOOKUP($B4,OFFSET([2]quests!$A$1,0,0,COUNTA([2]quests!$A:$A),MATCH(E$1,[2]quests!$1:$1,0)-MATCH($B$1,[2]quests!$1:$1,0)+1),MATCH(E$1,[2]quests!$1:$1,0)-MATCH($B$1,[2]quests!$1:$1,0)+1,FALSE)</f>
        <v>桜姫の招待状</v>
      </c>
      <c r="F4" s="4" t="str">
        <f ca="1">VLOOKUP($D4,OFFSET([2]stages!$A$1,0,0,COUNTA([2]stages!$A:$A),MATCH(F$1,[2]stages!$2:$2,0)-MATCH($D$1,[2]stages!$2:$2,0)+1),MATCH(F$1,[2]stages!$2:$2,0)-MATCH($D$1,[2]stages!$2:$2,0)+1,FALSE)</f>
        <v>【ストーリー】桜姫の招待状</v>
      </c>
      <c r="G4" s="21">
        <v>3</v>
      </c>
      <c r="H4" s="15" t="str">
        <f t="shared" si="2"/>
        <v>11231_1-3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1501</v>
      </c>
      <c r="N4" s="17" t="str">
        <f ca="1">VLOOKUP($M4,OFFSET([3]enemies!$A$1,0,0,COUNTA([3]enemies!$A:$A),MATCH(N$1,[3]enemies!$1:$1,0)-MATCH($M$1,[3]enemies!$1:$1,0)+1),MATCH(N$1,[3]enemies!$1:$1,0)-MATCH($M$1,[3]enemies!$1:$1,0)+1,FALSE)</f>
        <v>晴舞台の桜舞 ドガ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1</v>
      </c>
      <c r="T4" s="25">
        <v>99</v>
      </c>
      <c r="U4" s="102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597366</v>
      </c>
      <c r="V4" s="25">
        <v>1</v>
      </c>
      <c r="W4" s="10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232</v>
      </c>
      <c r="X4" s="5">
        <v>10000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">
        <v>11231005</v>
      </c>
      <c r="AA4" s="69">
        <v>1</v>
      </c>
    </row>
    <row r="5" spans="1:27" ht="21" customHeight="1" x14ac:dyDescent="0.15">
      <c r="A5" s="16" t="str">
        <f t="shared" si="0"/>
        <v>11231_1-4/1500&lt;lv80&gt;sq4st2</v>
      </c>
      <c r="B5" s="22">
        <f>output!C5</f>
        <v>11231</v>
      </c>
      <c r="C5" s="21">
        <v>1</v>
      </c>
      <c r="D5" s="2" t="str">
        <f t="shared" si="1"/>
        <v>11231_1</v>
      </c>
      <c r="E5" s="4" t="str">
        <f ca="1">VLOOKUP($B5,OFFSET([2]quests!$A$1,0,0,COUNTA([2]quests!$A:$A),MATCH(E$1,[2]quests!$1:$1,0)-MATCH($B$1,[2]quests!$1:$1,0)+1),MATCH(E$1,[2]quests!$1:$1,0)-MATCH($B$1,[2]quests!$1:$1,0)+1,FALSE)</f>
        <v>桜姫の招待状</v>
      </c>
      <c r="F5" s="4" t="str">
        <f ca="1">VLOOKUP($D5,OFFSET([2]stages!$A$1,0,0,COUNTA([2]stages!$A:$A),MATCH(F$1,[2]stages!$2:$2,0)-MATCH($D$1,[2]stages!$2:$2,0)+1),MATCH(F$1,[2]stages!$2:$2,0)-MATCH($D$1,[2]stages!$2:$2,0)+1,FALSE)</f>
        <v>【ストーリー】桜姫の招待状</v>
      </c>
      <c r="G5" s="21">
        <v>4</v>
      </c>
      <c r="H5" s="15" t="str">
        <f t="shared" si="2"/>
        <v>11231_1-4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4</v>
      </c>
      <c r="L5" s="38">
        <v>2</v>
      </c>
      <c r="M5" s="20">
        <v>1500</v>
      </c>
      <c r="N5" s="17" t="str">
        <f ca="1">VLOOKUP($M5,OFFSET([3]enemies!$A$1,0,0,COUNTA([3]enemies!$A:$A),MATCH(N$1,[3]enemies!$1:$1,0)-MATCH($M$1,[3]enemies!$1:$1,0)+1),MATCH(N$1,[3]enemies!$1:$1,0)-MATCH($M$1,[3]enemies!$1:$1,0)+1,FALSE)</f>
        <v>櫻歌する開華 コノハナサクヤ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80</v>
      </c>
      <c r="T5" s="25">
        <v>75</v>
      </c>
      <c r="U5" s="102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8978025</v>
      </c>
      <c r="V5" s="25">
        <v>1</v>
      </c>
      <c r="W5" s="102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8333</v>
      </c>
      <c r="X5" s="5">
        <v>100000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4">
        <v>11231007</v>
      </c>
      <c r="AA5" s="69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62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L30" sqref="L30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customWidth="1" outlineLevel="1"/>
    <col min="8" max="9" width="12.83203125" style="49" customWidth="1" outlineLevel="1"/>
    <col min="10" max="10" width="17.6640625" style="49" customWidth="1" outlineLevel="1"/>
    <col min="11" max="15" width="12.83203125" style="49" customWidth="1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11231000_11231000</v>
      </c>
      <c r="B2" s="104">
        <v>11231000</v>
      </c>
      <c r="C2" s="104">
        <v>11231000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いろいろトラブルがありましたが_x000D_今年も綺麗に咲いてくれましたぁ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「お花見のお客さんが待ち遠しいですねぇ〜_x000D_そろそろサクヤさまが案内してきてくれる_x000D_予定の時間なのですが」</v>
      </c>
      <c r="F2" s="104">
        <v>11231000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58" si="1">B3&amp;"_"&amp;C3</f>
        <v>11231000_11231001</v>
      </c>
      <c r="B3" s="104">
        <v>11231000</v>
      </c>
      <c r="C3" s="104">
        <v>11231001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え？おっきな蛇さんです？？？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「はわぁ〜散らさないでくださ〜い〜！！」_x000D_ヨシノは怯えて逃げ出した！</v>
      </c>
      <c r="F3" s="104">
        <v>11231001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11231001_11231002</v>
      </c>
      <c r="B4" s="108">
        <v>11231001</v>
      </c>
      <c r="C4" s="108">
        <v>11231002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うふふ、いただきまーす♪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「あたり一帯の桜のデータは_x000D_全部いただいちゃったわ！」</v>
      </c>
      <c r="F4" s="108">
        <v>11231002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11231001_11231003</v>
      </c>
      <c r="B5" s="108">
        <v>11231001</v>
      </c>
      <c r="C5" s="108">
        <v>11231003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あの管理AIちゃん、分体を_x000D_作りながら逃げたわね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「他の部隊に多少遅れをとってしまったけど、_x000D_あの子を回収できればまだ…」</v>
      </c>
      <c r="F5" s="108">
        <v>11231003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11231001_11231004</v>
      </c>
      <c r="B6" s="108">
        <v>11231001</v>
      </c>
      <c r="C6" s="108">
        <v>11231004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ん？あなたたち_x000D_お花見に来たお客さん？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「まだ見つかるわけにはいかないのよね〜」</v>
      </c>
      <c r="F6" s="108">
        <v>11231004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11231001_11231005</v>
      </c>
      <c r="B7" s="108">
        <v>11231001</v>
      </c>
      <c r="C7" s="108">
        <v>11231005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お花見を邪魔しちゃって_x000D_申し訳ないとは思ってるのよ？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「それじゃあそろそろ、あの子を追いかけましょうか」_x000D_ヨルムンガンドはヨシノを探しに去っていった</v>
      </c>
      <c r="F7" s="108">
        <v>11231005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11231002_11231006</v>
      </c>
      <c r="B8" s="114">
        <v>11231002</v>
      </c>
      <c r="C8" s="114">
        <v>11231006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あ！お団子が売ってる！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「アーサーとお花見しながら、食べたいな！」</v>
      </c>
      <c r="F8" s="114">
        <v>11231006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11231002_11231007</v>
      </c>
      <c r="B9" s="114">
        <v>11231002</v>
      </c>
      <c r="C9" s="114">
        <v>11231007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ねぇアーサー！お団子が売ってるよ！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「あとで一緒に食べようね！約束だよ！」</v>
      </c>
      <c r="F9" s="114">
        <v>11231007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472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11231002_11231008</v>
      </c>
      <c r="B10" s="114">
        <v>11231002</v>
      </c>
      <c r="C10" s="114">
        <v>11231008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あ！ガウェインおじさんだ！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「お願い！お団子買ってよ！」</v>
      </c>
      <c r="F10" s="114">
        <v>11231008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462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11231002_11231009</v>
      </c>
      <c r="B11" s="114">
        <v>11231002</v>
      </c>
      <c r="C11" s="114">
        <v>11231009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こっちだよ！パーシ姉さん！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「姉さんもお団子食べるよね？」</v>
      </c>
      <c r="F11" s="114">
        <v>11231009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232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11231002_11231010</v>
      </c>
      <c r="B12" s="114">
        <v>11231002</v>
      </c>
      <c r="C12" s="114">
        <v>11231010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あれー？お花見会場はどっちだっけ？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「あ、沖田さーん！こんにちはです！」_x000D_トリスタンは駆け出した！</v>
      </c>
      <c r="F12" s="114">
        <v>11231010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ref="A13:A18" si="2">B13&amp;"_"&amp;C13</f>
        <v>11231002_11231007</v>
      </c>
      <c r="B13" s="114">
        <v>11231002</v>
      </c>
      <c r="C13" s="114">
        <v>11231007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ねぇアーサー！お団子が売ってるよ！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「あとで一緒に食べようね！約束だよ！」</v>
      </c>
      <c r="F13" s="114">
        <v>11231029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473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2"/>
        <v>11231002_11231008</v>
      </c>
      <c r="B14" s="114">
        <v>11231002</v>
      </c>
      <c r="C14" s="114">
        <v>11231008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あ！ガウェインおじさんだ！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「お願い！お団子買ってよ！」</v>
      </c>
      <c r="F14" s="114">
        <v>11231030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463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2"/>
        <v>11231002_11231009</v>
      </c>
      <c r="B15" s="114">
        <v>11231002</v>
      </c>
      <c r="C15" s="114">
        <v>11231009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こっちだよ！パーシ姉さん！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「姉さんもお団子食べるよね？」</v>
      </c>
      <c r="F15" s="114">
        <v>11231031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233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2"/>
        <v>11231002_11231007</v>
      </c>
      <c r="B16" s="114">
        <v>11231002</v>
      </c>
      <c r="C16" s="114">
        <v>11231007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ねぇアーサー！お団子が売ってるよ！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「あとで一緒に食べようね！約束だよ！」</v>
      </c>
      <c r="F16" s="114">
        <v>11231032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107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820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2"/>
        <v>11231002_11231008</v>
      </c>
      <c r="B17" s="114">
        <v>11231002</v>
      </c>
      <c r="C17" s="114">
        <v>11231008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あ！ガウェインおじさんだ！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「お願い！お団子買ってよ！」</v>
      </c>
      <c r="F17" s="114">
        <v>11231033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464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2"/>
        <v>11231002_11231009</v>
      </c>
      <c r="B18" s="114">
        <v>11231002</v>
      </c>
      <c r="C18" s="114">
        <v>11231009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こっちだよ！パーシ姉さん！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「姉さんもお団子食べるよね？」</v>
      </c>
      <c r="F18" s="114">
        <v>11231034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109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234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11231003_11231011</v>
      </c>
      <c r="B19" s="111">
        <v>11231003</v>
      </c>
      <c r="C19" s="111">
        <v>11231011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おや、トリスタンも_x000D_お団子を買いに来たんですか？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「私も、桜のお団子を買ったんですよ_x000D_それじゃ、お花見会場まで一緒に行きましょう？」</v>
      </c>
      <c r="F19" s="111">
        <v>11231011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1"/>
        <v>11231003_11231012</v>
      </c>
      <c r="B20" s="111">
        <v>11231003</v>
      </c>
      <c r="C20" s="111">
        <v>11231012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あ！近藤さん！お団子確保しておきましたよ！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「トリスタンも会場まで一緒に行きましょうね」</v>
      </c>
      <c r="F20" s="111">
        <v>11231012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320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11231003_11231013</v>
      </c>
      <c r="B21" s="111">
        <v>11231003</v>
      </c>
      <c r="C21" s="111">
        <v>11231013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こんにちは！土方さん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「トリスタンも会場まで一緒に行きましょうね」</v>
      </c>
      <c r="F21" s="111">
        <v>11231013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322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11231003_11231014</v>
      </c>
      <c r="B22" s="111">
        <v>11231003</v>
      </c>
      <c r="C22" s="111">
        <v>11231014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ごきげんよう、斎藤さん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「トリスタンも会場まで一緒に行きましょうね」</v>
      </c>
      <c r="F22" s="111">
        <v>11231014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326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"/>
        <v>11231003_11231015</v>
      </c>
      <c r="B23" s="111">
        <v>11231003</v>
      </c>
      <c r="C23" s="111">
        <v>11231015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私、ここにお花見に来るのは_x000D_初めてなんですよ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「桜がすごく綺麗と聞いてて、_x000D_だからすごく楽しみなんです！_x000D_会場はまだですか？牛若丸さん」</v>
      </c>
      <c r="F23" s="111">
        <v>11231015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11231003_11231012</v>
      </c>
      <c r="B24" s="111">
        <v>11231003</v>
      </c>
      <c r="C24" s="111">
        <v>11231012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あ！近藤さん！お団子確保しておきましたよ！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「トリスタンも会場まで一緒に行きましょうね」</v>
      </c>
      <c r="F24" s="111">
        <v>11231035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321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"/>
        <v>11231003_11231013</v>
      </c>
      <c r="B25" s="111">
        <v>11231003</v>
      </c>
      <c r="C25" s="111">
        <v>11231013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こんにちは！土方さん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「トリスタンも会場まで一緒に行きましょうね」</v>
      </c>
      <c r="F25" s="111">
        <v>11231036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323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1"/>
        <v>11231003_11231014</v>
      </c>
      <c r="B26" s="111">
        <v>11231003</v>
      </c>
      <c r="C26" s="111">
        <v>11231014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ごきげんよう、斎藤さん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「トリスタンも会場まで一緒に行きましょうね」</v>
      </c>
      <c r="F26" s="111">
        <v>11231037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327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"/>
        <v>11231003_11231012</v>
      </c>
      <c r="B27" s="111">
        <v>11231003</v>
      </c>
      <c r="C27" s="111">
        <v>11231012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あ！近藤さん！お団子確保しておきましたよ！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「トリスタンも会場まで一緒に行きましょうね」</v>
      </c>
      <c r="F27" s="111">
        <v>11231038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107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838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1"/>
        <v>11231003_11231013</v>
      </c>
      <c r="B28" s="111">
        <v>11231003</v>
      </c>
      <c r="C28" s="111">
        <v>11231013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こんにちは！土方さん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「トリスタンも会場まで一緒に行きましょうね」</v>
      </c>
      <c r="F28" s="111">
        <v>11231039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966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"/>
        <v>11231003_11231014</v>
      </c>
      <c r="B29" s="111">
        <v>11231003</v>
      </c>
      <c r="C29" s="111">
        <v>11231014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ごきげんよう、斎藤さん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「トリスタンも会場まで一緒に行きましょうね」</v>
      </c>
      <c r="F29" s="111">
        <v>11231040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109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967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"/>
        <v>11231004_11231016</v>
      </c>
      <c r="B30" s="108">
        <v>11231004</v>
      </c>
      <c r="C30" s="108">
        <v>11231016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皆、歩き疲れていないかい？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「そろそろお花見会場に到着だよ」</v>
      </c>
      <c r="F30" s="108">
        <v>11231016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1"/>
        <v>11231004_11231017</v>
      </c>
      <c r="B31" s="108">
        <v>11231004</v>
      </c>
      <c r="C31" s="108">
        <v>11231017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ん？何か違和感を感じるね…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「咲いている桜がほとんど無い…ね」</v>
      </c>
      <c r="F31" s="108">
        <v>11231017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1"/>
        <v>11231004_11231018</v>
      </c>
      <c r="B32" s="108">
        <v>11231004</v>
      </c>
      <c r="C32" s="108">
        <v>11231018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何か事件が起こったというのか？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「ドガさん、状況をサクヤ達に報告しにいきましょう」</v>
      </c>
      <c r="F32" s="108">
        <v>11231018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ref="A33:A38" si="3">B33&amp;"_"&amp;C33</f>
        <v>11231004_11231029</v>
      </c>
      <c r="B33" s="108">
        <v>11231004</v>
      </c>
      <c r="C33" s="108">
        <v>11231029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静…？ふふ、くすぐったいよ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「さぁ皆！そろそろお花見会場に到着だよ」</v>
      </c>
      <c r="F33" s="108">
        <v>11231041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1020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3"/>
        <v>11231004_11231029</v>
      </c>
      <c r="B34" s="108">
        <v>11231004</v>
      </c>
      <c r="C34" s="108">
        <v>11231029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静…？ふふ、くすぐったいよ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「さぁ皆！そろそろお花見会場に到着だよ」</v>
      </c>
      <c r="F34" s="108">
        <v>11231042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1021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3"/>
        <v>11231004_11231030</v>
      </c>
      <c r="B35" s="108">
        <v>11231004</v>
      </c>
      <c r="C35" s="108">
        <v>11231030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与一、座る場所は_x000D_確保できたかい？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「もうすぐお花見会場に到着するよ」</v>
      </c>
      <c r="F35" s="108">
        <v>11231043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1022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3"/>
        <v>11231004_11231030</v>
      </c>
      <c r="B36" s="108">
        <v>11231004</v>
      </c>
      <c r="C36" s="108">
        <v>11231030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与一、座る場所は_x000D_確保できたかい？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「もうすぐお花見会場に到着するよ」</v>
      </c>
      <c r="F36" s="108">
        <v>11231044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1023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3"/>
        <v>11231004_11231031</v>
      </c>
      <c r="B37" s="108">
        <v>11231004</v>
      </c>
      <c r="C37" s="108">
        <v>11231031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やぁ弁慶_x000D_荷物運びお疲れさま！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「もうちょっとでお花見会場に到着だよ」</v>
      </c>
      <c r="F37" s="108">
        <v>11231045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1024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3"/>
        <v>11231004_11231031</v>
      </c>
      <c r="B38" s="108">
        <v>11231004</v>
      </c>
      <c r="C38" s="108">
        <v>11231031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やぁ弁慶_x000D_荷物運びお疲れさま！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「もうちょっとでお花見会場に到着だよ」</v>
      </c>
      <c r="F38" s="108">
        <v>11231046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1025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1"/>
        <v>11231005_11231019</v>
      </c>
      <c r="B39" s="117">
        <v>11231005</v>
      </c>
      <c r="C39" s="117">
        <v>11231019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皆でお花見…_x000D_楽しみだったのに…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桜が見られなくてドガはしょんぼりしている</v>
      </c>
      <c r="F39" s="117">
        <v>11231019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ref="A40" si="4">B40&amp;"_"&amp;C40</f>
        <v>11231005_11231032</v>
      </c>
      <c r="B40" s="117">
        <v>11231005</v>
      </c>
      <c r="C40" s="117">
        <v>11231032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皆で桜のデッサン…_x000D_楽しみだったのに…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桜が見られなくてドガはしょんぼりしている</v>
      </c>
      <c r="F40" s="117">
        <v>11231047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1094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ref="A41:A53" si="5">B41&amp;"_"&amp;C41</f>
        <v>11231005_11231032</v>
      </c>
      <c r="B41" s="117">
        <v>11231005</v>
      </c>
      <c r="C41" s="117">
        <v>11231032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皆で桜のデッサン…_x000D_楽しみだったのに…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桜が見られなくてドガはしょんぼりしている</v>
      </c>
      <c r="F41" s="117">
        <v>11231048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1095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5"/>
        <v>11231005_11231032</v>
      </c>
      <c r="B42" s="117">
        <v>11231005</v>
      </c>
      <c r="C42" s="117">
        <v>11231032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皆で桜のデッサン…_x000D_楽しみだったのに…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桜が見られなくてドガはしょんぼりしている</v>
      </c>
      <c r="F42" s="117">
        <v>11231049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1096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5"/>
        <v>11231005_11231032</v>
      </c>
      <c r="B43" s="117">
        <v>11231005</v>
      </c>
      <c r="C43" s="117">
        <v>11231032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皆で桜のデッサン…_x000D_楽しみだったのに…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桜が見られなくてドガはしょんぼりしている</v>
      </c>
      <c r="F43" s="117">
        <v>11231050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1097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5"/>
        <v>11231005_11231032</v>
      </c>
      <c r="B44" s="117">
        <v>11231005</v>
      </c>
      <c r="C44" s="117">
        <v>11231032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皆で桜のデッサン…_x000D_楽しみだったのに…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桜が見られなくてドガはしょんぼりしている</v>
      </c>
      <c r="F44" s="117">
        <v>11231051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1098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5"/>
        <v>11231005_11231032</v>
      </c>
      <c r="B45" s="117">
        <v>11231005</v>
      </c>
      <c r="C45" s="117">
        <v>11231032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皆で桜のデッサン…_x000D_楽しみだったのに…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桜が見られなくてドガはしょんぼりしている</v>
      </c>
      <c r="F45" s="117">
        <v>11231052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1099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5"/>
        <v>11231005_11231032</v>
      </c>
      <c r="B46" s="117">
        <v>11231005</v>
      </c>
      <c r="C46" s="117">
        <v>11231032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皆で桜のデッサン…_x000D_楽しみだったのに…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桜が見られなくてドガはしょんぼりしている</v>
      </c>
      <c r="F46" s="117">
        <v>11231053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107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1100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5"/>
        <v>11231005_11231032</v>
      </c>
      <c r="B47" s="117">
        <v>11231005</v>
      </c>
      <c r="C47" s="117">
        <v>11231032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皆で桜のデッサン…_x000D_楽しみだったのに…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桜が見られなくてドガはしょんぼりしている</v>
      </c>
      <c r="F47" s="117">
        <v>11231054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1101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5"/>
        <v>11231005_11231032</v>
      </c>
      <c r="B48" s="117">
        <v>11231005</v>
      </c>
      <c r="C48" s="117">
        <v>11231032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皆で桜のデッサン…_x000D_楽しみだったのに…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桜が見られなくてドガはしょんぼりしている</v>
      </c>
      <c r="F48" s="117">
        <v>11231055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109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1102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5"/>
        <v>11231005_11231032</v>
      </c>
      <c r="B49" s="117">
        <v>11231005</v>
      </c>
      <c r="C49" s="117">
        <v>11231032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皆で桜のデッサン…_x000D_楽しみだったのに…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桜が見られなくてドガはしょんぼりしている</v>
      </c>
      <c r="F49" s="117">
        <v>11231056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1103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5"/>
        <v>11231005_11231032</v>
      </c>
      <c r="B50" s="117">
        <v>11231005</v>
      </c>
      <c r="C50" s="117">
        <v>11231032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皆で桜のデッサン…_x000D_楽しみだったのに…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桜が見られなくてドガはしょんぼりしている</v>
      </c>
      <c r="F50" s="117">
        <v>11231057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1104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5"/>
        <v>11231005_11231032</v>
      </c>
      <c r="B51" s="117">
        <v>11231005</v>
      </c>
      <c r="C51" s="117">
        <v>11231032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皆で桜のデッサン…_x000D_楽しみだったのに…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桜が見られなくてドガはしょんぼりしている</v>
      </c>
      <c r="F51" s="117">
        <v>11231058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112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1105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5"/>
        <v>11231005_11231032</v>
      </c>
      <c r="B52" s="117">
        <v>11231005</v>
      </c>
      <c r="C52" s="117">
        <v>11231032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皆で桜のデッサン…_x000D_楽しみだったのに…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桜が見られなくてドガはしょんぼりしている</v>
      </c>
      <c r="F52" s="117">
        <v>11231059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113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1106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5"/>
        <v>11231005_11231032</v>
      </c>
      <c r="B53" s="117">
        <v>11231005</v>
      </c>
      <c r="C53" s="117">
        <v>11231032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皆で桜のデッサン…_x000D_楽しみだったのに…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桜が見られなくてドガはしょんぼりしている</v>
      </c>
      <c r="F53" s="117">
        <v>11231060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114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1107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1"/>
        <v>11231005_11231020</v>
      </c>
      <c r="B54" s="117">
        <v>11231005</v>
      </c>
      <c r="C54" s="117">
        <v>11231020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センコさん…サクヤさん…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「お花見会場…本当にここであってますか…？」_x000D_不安そうな表情でセンコに抱きついた</v>
      </c>
      <c r="F54" s="117">
        <v>11231020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1"/>
        <v>11231006_11231021</v>
      </c>
      <c r="B55" s="120">
        <v>11231006</v>
      </c>
      <c r="C55" s="120">
        <v>11231021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ね〜え牛若丸♪_x000D_気付いたかしら？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「桜のデータが誰かに_x000D_喰い荒らされちゃってるみたいよ？」_x000D_ドガを抱きしめて頭を撫でている_x000D_緑・黄属性ユニットのボム爆風DOWNを解除！</v>
      </c>
      <c r="F55" s="120">
        <v>11231021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1"/>
        <v>11231006_11231022</v>
      </c>
      <c r="B56" s="120">
        <v>11231006</v>
      </c>
      <c r="C56" s="120">
        <v>11231022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あと、桜の管理をしてる_x000D_ヨシノも見当たらないわね〜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「何かに怯えて逃げちゃったのかしら？_x000D_サクヤ～、どう対処するつもりなの？」</v>
      </c>
      <c r="F56" s="120">
        <v>11231022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1"/>
        <v>11231006_11231023</v>
      </c>
      <c r="B57" s="120">
        <v>11231006</v>
      </c>
      <c r="C57" s="120">
        <v>11231023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あらサクヤ、もう呑んでたのね…_x000D_まぁ構わないけど♪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「ヨシノを連れ戻せたら、_x000D_綺麗な満開の桜の下で_x000D_もっと美味しいお酒が呑めるわよっ♪」</v>
      </c>
      <c r="F57" s="120">
        <v>11231023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1"/>
        <v>11231007_11231024</v>
      </c>
      <c r="B58" s="123">
        <v>11231007</v>
      </c>
      <c r="C58" s="123">
        <v>11231024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せやな…_x000D_センコちゃんの説も一理あるな！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「花より団子っちゅーけどやっぱヨシノちゃんも_x000D_花も取り返してこその美酒やな！」_x000D_団子をサクヤに食べられた！</v>
      </c>
      <c r="F58" s="123">
        <v>11231024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ref="A59:A61" si="6">B59&amp;"_"&amp;C59</f>
        <v>11231007_11231025</v>
      </c>
      <c r="B59" s="123">
        <v>11231007</v>
      </c>
      <c r="C59" s="123">
        <v>11231025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ほな美味しい花見酒のために！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「皆でヨシノちゃん迎えに行くで〜！_x000D_あんたらも手伝って〜な〜」_x000D_赤・青属性ユニットのボム爆風DOWNを解除</v>
      </c>
      <c r="F59" s="123">
        <v>11231025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6"/>
        <v>11231007_11231026</v>
      </c>
      <c r="B60" s="123">
        <v>11231007</v>
      </c>
      <c r="C60" s="123">
        <v>11231026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なんと！今日の酒代は…_x000D_センコちゃんのオゴりや！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「もぅ〜どうしてそうなるのよ！サクヤったら！」_x000D_センコの激しいツッコミが響き渡る</v>
      </c>
      <c r="F60" s="123">
        <v>11231026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6"/>
        <v>11231007_11231027</v>
      </c>
      <c r="B61" s="123">
        <v>11231007</v>
      </c>
      <c r="C61" s="123">
        <v>11231027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皆、景気付けの一杯はもろたかー？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「あんたらも良いツッコミありがとな！_x000D_ほなヨシノちゃん探し、気張って行こか〜！」</v>
      </c>
      <c r="F61" s="123">
        <v>11231027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ref="A62" si="7">B62&amp;"_"&amp;C62</f>
        <v>11231007_11231028</v>
      </c>
      <c r="B62" s="123">
        <v>11231007</v>
      </c>
      <c r="C62" s="123">
        <v>11231028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お、あんたらもイケるクチ？_x000D_後でウチと呑み直そ！？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「あんたらも良いツッコミありがとな！_x000D_ほなヨシノちゃん探し、気張って行こか〜！」</v>
      </c>
      <c r="F62" s="123">
        <v>11231028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4"/>
  <sheetViews>
    <sheetView showGridLines="0" tabSelected="1" workbookViewId="0">
      <pane ySplit="1" topLeftCell="A24" activePane="bottomLeft" state="frozenSplit"/>
      <selection pane="bottomLeft" activeCell="B30" sqref="B30"/>
    </sheetView>
  </sheetViews>
  <sheetFormatPr baseColWidth="12" defaultColWidth="12.83203125" defaultRowHeight="14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x14ac:dyDescent="0.15">
      <c r="A1" s="40" t="s">
        <v>78</v>
      </c>
      <c r="B1" s="40" t="s">
        <v>79</v>
      </c>
      <c r="C1" s="40" t="s">
        <v>80</v>
      </c>
      <c r="D1" s="40" t="s">
        <v>124</v>
      </c>
      <c r="E1" s="40" t="s">
        <v>81</v>
      </c>
      <c r="F1" s="40" t="s">
        <v>82</v>
      </c>
      <c r="G1" s="41" t="s">
        <v>130</v>
      </c>
      <c r="H1" s="41" t="s">
        <v>136</v>
      </c>
      <c r="I1" s="41" t="s">
        <v>138</v>
      </c>
      <c r="J1" s="41" t="s">
        <v>137</v>
      </c>
      <c r="K1" s="41" t="s">
        <v>139</v>
      </c>
      <c r="L1" s="41" t="s">
        <v>131</v>
      </c>
      <c r="M1" s="41" t="s">
        <v>129</v>
      </c>
      <c r="N1" s="41" t="s">
        <v>132</v>
      </c>
      <c r="O1" s="41" t="s">
        <v>140</v>
      </c>
      <c r="P1" s="41" t="s">
        <v>141</v>
      </c>
      <c r="Q1" s="41" t="s">
        <v>142</v>
      </c>
      <c r="R1" s="41" t="s">
        <v>143</v>
      </c>
      <c r="S1" s="41" t="s">
        <v>133</v>
      </c>
      <c r="T1" s="41" t="s">
        <v>134</v>
      </c>
      <c r="U1" s="41" t="s">
        <v>144</v>
      </c>
      <c r="V1" s="41" t="s">
        <v>145</v>
      </c>
      <c r="W1" s="41" t="s">
        <v>146</v>
      </c>
      <c r="X1" s="41" t="s">
        <v>147</v>
      </c>
      <c r="Y1" s="41" t="s">
        <v>135</v>
      </c>
      <c r="Z1" s="41" t="s">
        <v>75</v>
      </c>
      <c r="AA1" s="41" t="s">
        <v>76</v>
      </c>
      <c r="AB1" s="41" t="s">
        <v>77</v>
      </c>
    </row>
    <row r="2" spans="1:28" ht="112" x14ac:dyDescent="0.15">
      <c r="A2" s="104">
        <v>11231000</v>
      </c>
      <c r="B2" s="105" t="s">
        <v>366</v>
      </c>
      <c r="C2" s="106">
        <v>3</v>
      </c>
      <c r="D2" s="106" t="s">
        <v>257</v>
      </c>
      <c r="E2" s="107" t="s">
        <v>283</v>
      </c>
      <c r="F2" s="107" t="s">
        <v>289</v>
      </c>
      <c r="G2" s="62" t="str">
        <f>IFERROR(LEFT(B2,FIND("],",B2)),B2)</f>
        <v>[effect:enemy_message, val1:3.0, val2:5.0]</v>
      </c>
      <c r="H2" s="62">
        <f>FIND("effect:",G2)+7</f>
        <v>9</v>
      </c>
      <c r="I2" s="62">
        <f>IFERROR(FIND(",",G2),LEN(G2))</f>
        <v>22</v>
      </c>
      <c r="J2" s="62" t="e">
        <f>FIND("target:",G2)+7</f>
        <v>#VALUE!</v>
      </c>
      <c r="K2" s="62">
        <f>FIND(",",G2,I2+1)</f>
        <v>32</v>
      </c>
      <c r="L2" s="62" t="str">
        <f>IFERROR(VLOOKUP(MID(G2,J2,K2-J2),[6]skilldef!$C:$D,2,FALSE),"-") &amp; " / " &amp; IFERROR(VLOOKUP(MID(G2,H2,I2-H2),[6]skilldef!$A:$B,2,FALSE),"-")</f>
        <v>- / -</v>
      </c>
      <c r="M2" s="62" t="str">
        <f>IFERROR(RIGHT(B2,LEN(B2)-FIND("],",B2)-1),"none")</f>
        <v>[effect:fix_speed, target:myself, turn:1],[effect:force_change_block, new_block:block_heart, target:block_all, count:0, val:0, animation:change_block],[effect:ability_lock, target:unit_all, turn:-1],[effect:sleep, target:unit_all, turn:2, rate:1]</v>
      </c>
      <c r="N2" s="48" t="str">
        <f>IFERROR(LEFT(M2,FIND("],",M2)+S12),M2)</f>
        <v>[effect:fix_speed, target:myself, turn:1],[effect:force_change_block, new_block:block_heart, target:block_all, count:0, val:0, animation:change_block],[effect:ability_lock, target:unit_all, turn:-1],[effect:sleep, target:unit_all, turn:2, rate:1]</v>
      </c>
      <c r="O2" s="62">
        <f>FIND("effect:",N2)+7</f>
        <v>9</v>
      </c>
      <c r="P2" s="62">
        <f>IFERROR(FIND(",",N2),LEN(N2))</f>
        <v>18</v>
      </c>
      <c r="Q2" s="62">
        <f>FIND("target:",N2)+7</f>
        <v>27</v>
      </c>
      <c r="R2" s="62">
        <f>FIND(",",N2,P2+1)</f>
        <v>33</v>
      </c>
      <c r="S2" s="62" t="str">
        <f>IFERROR(VLOOKUP(MID(N2,Q2,R2-Q2),[6]skilldef!$C:$D,2,FALSE),"-") &amp; " / " &amp; IFERROR(VLOOKUP(MID(N2,O2,P2-O2),[6]skilldef!$A:$B,2,FALSE),"-")</f>
        <v>自分自身に / 行動値設定</v>
      </c>
      <c r="T2" s="48" t="str">
        <f>IFERROR(RIGHT(M2,LEN(M2)-FIND("],",M2)-1),"none")</f>
        <v>[effect:force_change_block, new_block:block_heart, target:block_all, count:0, val:0, animation:change_block],[effect:ability_lock, target:unit_all, turn:-1],[effect:sleep, target:unit_all, turn:2, rate:1]</v>
      </c>
      <c r="U2" s="62">
        <f>FIND("effect:",T2)+7</f>
        <v>9</v>
      </c>
      <c r="V2" s="62">
        <f>IFERROR(FIND(",",T2),LEN(T2))</f>
        <v>27</v>
      </c>
      <c r="W2" s="62">
        <f>FIND("target:",T2)+7</f>
        <v>59</v>
      </c>
      <c r="X2" s="62">
        <f>FIND(",",T2,V2+1)</f>
        <v>50</v>
      </c>
      <c r="Y2" s="62" t="str">
        <f>IFERROR(VLOOKUP(MID(T2,W2,X2-W2),[6]skilldef!$C:$D,2,FALSE),"-") &amp; " / " &amp; IFERROR(VLOOKUP(MID(T2,U2,V2-U2),[6]skilldef!$A:$B,2,FALSE),"-")</f>
        <v>- / -</v>
      </c>
      <c r="Z2" s="50"/>
      <c r="AA2" s="51"/>
      <c r="AB2" s="50"/>
    </row>
    <row r="3" spans="1:28" ht="42" x14ac:dyDescent="0.15">
      <c r="A3" s="104">
        <v>11231001</v>
      </c>
      <c r="B3" s="104" t="s">
        <v>285</v>
      </c>
      <c r="C3" s="106">
        <v>3</v>
      </c>
      <c r="D3" s="106" t="s">
        <v>257</v>
      </c>
      <c r="E3" s="107" t="s">
        <v>258</v>
      </c>
      <c r="F3" s="107" t="s">
        <v>282</v>
      </c>
      <c r="G3" s="62" t="str">
        <f t="shared" ref="G3:G33" si="0">IFERROR(LEFT(B3,FIND("],",B3)),B3)</f>
        <v>[effect:enemy_message, val1:1.9, val2:3.8]</v>
      </c>
      <c r="H3" s="62">
        <f t="shared" ref="H3:H33" si="1">FIND("effect:",G3)+7</f>
        <v>9</v>
      </c>
      <c r="I3" s="62">
        <f t="shared" ref="I3:I33" si="2">IFERROR(FIND(",",G3),LEN(G3))</f>
        <v>22</v>
      </c>
      <c r="J3" s="62" t="e">
        <f t="shared" ref="J3:J33" si="3">FIND("target:",G3)+7</f>
        <v>#VALUE!</v>
      </c>
      <c r="K3" s="62">
        <f t="shared" ref="K3:K33" si="4">FIND(",",G3,I3+1)</f>
        <v>32</v>
      </c>
      <c r="L3" s="62" t="str">
        <f>IFERROR(VLOOKUP(MID(G3,J3,K3-J3),[6]skilldef!$C:$D,2,FALSE),"-") &amp; " / " &amp; IFERROR(VLOOKUP(MID(G3,H3,I3-H3),[6]skilldef!$A:$B,2,FALSE),"-")</f>
        <v>- / -</v>
      </c>
      <c r="M3" s="62" t="str">
        <f t="shared" ref="M3:M33" si="5">IFERROR(RIGHT(B3,LEN(B3)-FIND("],",B3)-1),"none")</f>
        <v>[effect:suicide, val:1, dead_type:escape, target:enemy_all]</v>
      </c>
      <c r="N3" s="48" t="str">
        <f t="shared" ref="N3:N8" si="6">IFERROR(LEFT(M3,FIND("],",M3)+S13),M3)</f>
        <v>[effect:suicide, val:1, dead_type:escape, target:enemy_all]</v>
      </c>
      <c r="O3" s="62">
        <f t="shared" ref="O3:O33" si="7">FIND("effect:",N3)+7</f>
        <v>9</v>
      </c>
      <c r="P3" s="62">
        <f t="shared" ref="P3:P33" si="8">IFERROR(FIND(",",N3),LEN(N3))</f>
        <v>16</v>
      </c>
      <c r="Q3" s="62">
        <f t="shared" ref="Q3:Q33" si="9">FIND("target:",N3)+7</f>
        <v>50</v>
      </c>
      <c r="R3" s="62">
        <f t="shared" ref="R3:R33" si="10">FIND(",",N3,P3+1)</f>
        <v>23</v>
      </c>
      <c r="S3" s="62" t="str">
        <f>IFERROR(VLOOKUP(MID(N3,Q3,R3-Q3),[6]skilldef!$C:$D,2,FALSE),"-") &amp; " / " &amp; IFERROR(VLOOKUP(MID(N3,O3,P3-O3),[6]skilldef!$A:$B,2,FALSE),"-")</f>
        <v>- / -</v>
      </c>
      <c r="T3" s="48" t="str">
        <f t="shared" ref="T3:T33" si="11">IFERROR(RIGHT(M3,LEN(M3)-FIND("],",M3)-1),"none")</f>
        <v>none</v>
      </c>
      <c r="U3" s="62" t="e">
        <f t="shared" ref="U3:U33" si="12">FIND("effect:",T3)+7</f>
        <v>#VALUE!</v>
      </c>
      <c r="V3" s="62">
        <f t="shared" ref="V3:V33" si="13">IFERROR(FIND(",",T3),LEN(T3))</f>
        <v>4</v>
      </c>
      <c r="W3" s="62" t="e">
        <f t="shared" ref="W3:W33" si="14">FIND("target:",T3)+7</f>
        <v>#VALUE!</v>
      </c>
      <c r="X3" s="62" t="e">
        <f t="shared" ref="X3:X33" si="15">FIND(",",T3,V3+1)</f>
        <v>#VALUE!</v>
      </c>
      <c r="Y3" s="62" t="str">
        <f>IFERROR(VLOOKUP(MID(T3,W3,X3-W3),[6]skilldef!$C:$D,2,FALSE),"-") &amp; " / " &amp; IFERROR(VLOOKUP(MID(T3,U3,V3-U3),[6]skilldef!$A:$B,2,FALSE),"-")</f>
        <v>- / -</v>
      </c>
      <c r="Z3" s="50"/>
      <c r="AA3" s="51"/>
      <c r="AB3" s="50"/>
    </row>
    <row r="4" spans="1:28" ht="224" x14ac:dyDescent="0.15">
      <c r="A4" s="108">
        <v>11231002</v>
      </c>
      <c r="B4" s="108" t="s">
        <v>360</v>
      </c>
      <c r="C4" s="109">
        <v>3</v>
      </c>
      <c r="D4" s="109" t="s">
        <v>257</v>
      </c>
      <c r="E4" s="110" t="s">
        <v>324</v>
      </c>
      <c r="F4" s="110" t="s">
        <v>328</v>
      </c>
      <c r="G4" s="62" t="str">
        <f t="shared" si="0"/>
        <v>[effect:enemy_message, val1:1.2, val2:2.6]</v>
      </c>
      <c r="H4" s="62">
        <f t="shared" si="1"/>
        <v>9</v>
      </c>
      <c r="I4" s="62">
        <f t="shared" si="2"/>
        <v>22</v>
      </c>
      <c r="J4" s="62" t="e">
        <f t="shared" si="3"/>
        <v>#VALUE!</v>
      </c>
      <c r="K4" s="62">
        <f t="shared" si="4"/>
        <v>32</v>
      </c>
      <c r="L4" s="62" t="str">
        <f>IFERROR(VLOOKUP(MID(G4,J4,K4-J4),[6]skilldef!$C:$D,2,FALSE),"-") &amp; " / " &amp; IFERROR(VLOOKUP(MID(G4,H4,I4-H4),[6]skilldef!$A:$B,2,FALSE),"-")</f>
        <v>- / -</v>
      </c>
      <c r="M4" s="62" t="str">
        <f t="shared" si="5"/>
        <v xml:space="preserve">[effect:fix_speed, target:myself, turn:1],[effect:break_enchance_enemy, target:myself, val:50, lowest_val:100, count:-1, status:attack, turn:-1, block_color:block_heart, block01:block_all, calc:add, animation:enemy_enhance_attack],[effect:crash_condition, target:unit_all, turn:-1, val:99],[effect:change_panel_ratio, turn:-1, block_type:heal, val:0],[effect:set_background, turn:-1, background_id:1006, switching_mode:cross_fade, duration:2]    </v>
      </c>
      <c r="N4" s="48" t="str">
        <f t="shared" si="6"/>
        <v xml:space="preserve">[effect:fix_speed, target:myself, turn:1],[effect:break_enchance_enemy, target:myself, val:50, lowest_val:100, count:-1, status:attack, turn:-1, block_color:block_heart, block01:block_all, calc:add, animation:enemy_enhance_attack],[effect:crash_condition, target:unit_all, turn:-1, val:99],[effect:change_panel_ratio, turn:-1, block_type:heal, val:0],[effect:set_background, turn:-1, background_id:1006, switching_mode:cross_fade, duration:2]    </v>
      </c>
      <c r="O4" s="62">
        <f t="shared" si="7"/>
        <v>9</v>
      </c>
      <c r="P4" s="62">
        <f t="shared" si="8"/>
        <v>18</v>
      </c>
      <c r="Q4" s="62">
        <f t="shared" si="9"/>
        <v>27</v>
      </c>
      <c r="R4" s="62">
        <f t="shared" si="10"/>
        <v>33</v>
      </c>
      <c r="S4" s="62" t="str">
        <f>IFERROR(VLOOKUP(MID(N4,Q4,R4-Q4),[6]skilldef!$C:$D,2,FALSE),"-") &amp; " / " &amp; IFERROR(VLOOKUP(MID(N4,O4,P4-O4),[6]skilldef!$A:$B,2,FALSE),"-")</f>
        <v>自分自身に / 行動値設定</v>
      </c>
      <c r="T4" s="48" t="str">
        <f t="shared" si="11"/>
        <v xml:space="preserve">[effect:break_enchance_enemy, target:myself, val:50, lowest_val:100, count:-1, status:attack, turn:-1, block_color:block_heart, block01:block_all, calc:add, animation:enemy_enhance_attack],[effect:crash_condition, target:unit_all, turn:-1, val:99],[effect:change_panel_ratio, turn:-1, block_type:heal, val:0],[effect:set_background, turn:-1, background_id:1006, switching_mode:cross_fade, duration:2]    </v>
      </c>
      <c r="U4" s="62">
        <f t="shared" si="12"/>
        <v>9</v>
      </c>
      <c r="V4" s="62">
        <f t="shared" si="13"/>
        <v>29</v>
      </c>
      <c r="W4" s="62">
        <f t="shared" si="14"/>
        <v>38</v>
      </c>
      <c r="X4" s="62">
        <f t="shared" si="15"/>
        <v>44</v>
      </c>
      <c r="Y4" s="62" t="str">
        <f>IFERROR(VLOOKUP(MID(T4,W4,X4-W4),[6]skilldef!$C:$D,2,FALSE),"-") &amp; " / " &amp; IFERROR(VLOOKUP(MID(T4,U4,V4-U4),[6]skilldef!$A:$B,2,FALSE),"-")</f>
        <v>自分自身に / -</v>
      </c>
      <c r="Z4" s="50"/>
      <c r="AA4" s="51"/>
      <c r="AB4" s="50"/>
    </row>
    <row r="5" spans="1:28" ht="28" x14ac:dyDescent="0.15">
      <c r="A5" s="108">
        <v>11231003</v>
      </c>
      <c r="B5" s="108" t="s">
        <v>307</v>
      </c>
      <c r="C5" s="109">
        <v>3</v>
      </c>
      <c r="D5" s="109" t="s">
        <v>257</v>
      </c>
      <c r="E5" s="110" t="s">
        <v>259</v>
      </c>
      <c r="F5" s="110" t="s">
        <v>325</v>
      </c>
      <c r="G5" s="62" t="str">
        <f t="shared" si="0"/>
        <v>[effect:enemy_message, val1:2.3, val2:3.5]</v>
      </c>
      <c r="H5" s="62">
        <f t="shared" si="1"/>
        <v>9</v>
      </c>
      <c r="I5" s="62">
        <f t="shared" si="2"/>
        <v>22</v>
      </c>
      <c r="J5" s="62" t="e">
        <f t="shared" si="3"/>
        <v>#VALUE!</v>
      </c>
      <c r="K5" s="62">
        <f t="shared" si="4"/>
        <v>32</v>
      </c>
      <c r="L5" s="62" t="str">
        <f>IFERROR(VLOOKUP(MID(G5,J5,K5-J5),[6]skilldef!$C:$D,2,FALSE),"-") &amp; " / " &amp; IFERROR(VLOOKUP(MID(G5,H5,I5-H5),[6]skilldef!$A:$B,2,FALSE),"-")</f>
        <v>- / -</v>
      </c>
      <c r="M5" s="62" t="str">
        <f t="shared" si="5"/>
        <v>none</v>
      </c>
      <c r="N5" s="48" t="str">
        <f t="shared" si="6"/>
        <v>none</v>
      </c>
      <c r="O5" s="62" t="e">
        <f t="shared" si="7"/>
        <v>#VALUE!</v>
      </c>
      <c r="P5" s="62">
        <f t="shared" si="8"/>
        <v>4</v>
      </c>
      <c r="Q5" s="62" t="e">
        <f t="shared" si="9"/>
        <v>#VALUE!</v>
      </c>
      <c r="R5" s="62" t="e">
        <f t="shared" si="10"/>
        <v>#VALUE!</v>
      </c>
      <c r="S5" s="62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2" t="e">
        <f t="shared" si="12"/>
        <v>#VALUE!</v>
      </c>
      <c r="V5" s="62">
        <f t="shared" si="13"/>
        <v>4</v>
      </c>
      <c r="W5" s="62" t="e">
        <f t="shared" si="14"/>
        <v>#VALUE!</v>
      </c>
      <c r="X5" s="62" t="e">
        <f t="shared" si="15"/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50"/>
      <c r="AA5" s="51"/>
      <c r="AB5" s="50"/>
    </row>
    <row r="6" spans="1:28" ht="112" x14ac:dyDescent="0.15">
      <c r="A6" s="108">
        <v>11231004</v>
      </c>
      <c r="B6" s="108" t="s">
        <v>335</v>
      </c>
      <c r="C6" s="109">
        <v>3</v>
      </c>
      <c r="D6" s="109" t="s">
        <v>257</v>
      </c>
      <c r="E6" s="110" t="s">
        <v>306</v>
      </c>
      <c r="F6" s="110" t="s">
        <v>329</v>
      </c>
      <c r="G6" s="62" t="str">
        <f t="shared" si="0"/>
        <v>[effect:enemy_message, val1:1.8, val2:2.0]</v>
      </c>
      <c r="H6" s="62">
        <f t="shared" si="1"/>
        <v>9</v>
      </c>
      <c r="I6" s="62">
        <f t="shared" si="2"/>
        <v>22</v>
      </c>
      <c r="J6" s="62" t="e">
        <f t="shared" si="3"/>
        <v>#VALUE!</v>
      </c>
      <c r="K6" s="62">
        <f t="shared" si="4"/>
        <v>32</v>
      </c>
      <c r="L6" s="62" t="str">
        <f>IFERROR(VLOOKUP(MID(G6,J6,K6-J6),[6]skilldef!$C:$D,2,FALSE),"-") &amp; " / " &amp; IFERROR(VLOOKUP(MID(G6,H6,I6-H6),[6]skilldef!$A:$B,2,FALSE),"-")</f>
        <v>- / -</v>
      </c>
      <c r="M6" s="62" t="str">
        <f t="shared" si="5"/>
        <v>[effect:sleep, target:unit_all, turn:-1, rate:1],[effect:hungup, target:unit_all, turn:-1, rate:1, animation:hungup01],[effect:force_change_block, new_block:block_blue, target:block_all, count:0, val:0, animation:change_block]</v>
      </c>
      <c r="N6" s="48" t="str">
        <f t="shared" si="6"/>
        <v>[effect:sleep, target:unit_all, turn:-1, rate:1],[effect:hungup, target:unit_all, turn:-1, rate:1, animation:hungup01],[effect:force_change_block, new_block:block_blue, target:block_all, count:0, val:0, animation:change_block]</v>
      </c>
      <c r="O6" s="62">
        <f t="shared" si="7"/>
        <v>9</v>
      </c>
      <c r="P6" s="62">
        <f t="shared" si="8"/>
        <v>14</v>
      </c>
      <c r="Q6" s="62">
        <f t="shared" si="9"/>
        <v>23</v>
      </c>
      <c r="R6" s="62">
        <f t="shared" si="10"/>
        <v>31</v>
      </c>
      <c r="S6" s="62" t="str">
        <f>IFERROR(VLOOKUP(MID(N6,Q6,R6-Q6),[6]skilldef!$C:$D,2,FALSE),"-") &amp; " / " &amp; IFERROR(VLOOKUP(MID(N6,O6,P6-O6),[6]skilldef!$A:$B,2,FALSE),"-")</f>
        <v>味方全体に / スリープ</v>
      </c>
      <c r="T6" s="48" t="str">
        <f t="shared" si="11"/>
        <v>[effect:hungup, target:unit_all, turn:-1, rate:1, animation:hungup01],[effect:force_change_block, new_block:block_blue, target:block_all, count:0, val:0, animation:change_block]</v>
      </c>
      <c r="U6" s="62">
        <f t="shared" si="12"/>
        <v>9</v>
      </c>
      <c r="V6" s="62">
        <f t="shared" si="13"/>
        <v>15</v>
      </c>
      <c r="W6" s="62">
        <f t="shared" si="14"/>
        <v>24</v>
      </c>
      <c r="X6" s="62">
        <f t="shared" si="15"/>
        <v>32</v>
      </c>
      <c r="Y6" s="62" t="str">
        <f>IFERROR(VLOOKUP(MID(T6,W6,X6-W6),[6]skilldef!$C:$D,2,FALSE),"-") &amp; " / " &amp; IFERROR(VLOOKUP(MID(T6,U6,V6-U6),[6]skilldef!$A:$B,2,FALSE),"-")</f>
        <v>味方全体に / ハングアップ</v>
      </c>
      <c r="Z6" s="50"/>
      <c r="AA6" s="51"/>
      <c r="AB6" s="50"/>
    </row>
    <row r="7" spans="1:28" ht="140" x14ac:dyDescent="0.15">
      <c r="A7" s="108">
        <v>11231005</v>
      </c>
      <c r="B7" s="108" t="s">
        <v>371</v>
      </c>
      <c r="C7" s="109">
        <v>3</v>
      </c>
      <c r="D7" s="109" t="s">
        <v>257</v>
      </c>
      <c r="E7" s="110" t="s">
        <v>308</v>
      </c>
      <c r="F7" s="110" t="s">
        <v>309</v>
      </c>
      <c r="G7" s="62" t="str">
        <f t="shared" si="0"/>
        <v>[effect:enemy_message, val1:3.0, val2:5.1]</v>
      </c>
      <c r="H7" s="62">
        <f t="shared" si="1"/>
        <v>9</v>
      </c>
      <c r="I7" s="62">
        <f t="shared" si="2"/>
        <v>22</v>
      </c>
      <c r="J7" s="62" t="e">
        <f t="shared" si="3"/>
        <v>#VALUE!</v>
      </c>
      <c r="K7" s="62">
        <f t="shared" si="4"/>
        <v>32</v>
      </c>
      <c r="L7" s="62" t="str">
        <f>IFERROR(VLOOKUP(MID(G7,J7,K7-J7),[6]skilldef!$C:$D,2,FALSE),"-") &amp; " / " &amp; IFERROR(VLOOKUP(MID(G7,H7,I7-H7),[6]skilldef!$A:$B,2,FALSE),"-")</f>
        <v>- / -</v>
      </c>
      <c r="M7" s="62" t="str">
        <f t="shared" si="5"/>
        <v>[effect:suicide, val:1, dead_type:escape, target:enemy_all]</v>
      </c>
      <c r="N7" s="48" t="str">
        <f t="shared" si="6"/>
        <v>[effect:suicide, val:1, dead_type:escape, target:enemy_all]</v>
      </c>
      <c r="O7" s="62">
        <f t="shared" si="7"/>
        <v>9</v>
      </c>
      <c r="P7" s="62">
        <f t="shared" si="8"/>
        <v>16</v>
      </c>
      <c r="Q7" s="62">
        <f t="shared" si="9"/>
        <v>50</v>
      </c>
      <c r="R7" s="62">
        <f t="shared" si="10"/>
        <v>23</v>
      </c>
      <c r="S7" s="62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2" t="e">
        <f t="shared" si="12"/>
        <v>#VALUE!</v>
      </c>
      <c r="V7" s="62">
        <f t="shared" si="13"/>
        <v>4</v>
      </c>
      <c r="W7" s="62" t="e">
        <f t="shared" si="14"/>
        <v>#VALUE!</v>
      </c>
      <c r="X7" s="62" t="e">
        <f t="shared" si="15"/>
        <v>#VALUE!</v>
      </c>
      <c r="Y7" s="62" t="str">
        <f>IFERROR(VLOOKUP(MID(T7,W7,X7-W7),[6]skilldef!$C:$D,2,FALSE),"-") &amp; " / " &amp; IFERROR(VLOOKUP(MID(T7,U7,V7-U7),[6]skilldef!$A:$B,2,FALSE),"-")</f>
        <v>- / -</v>
      </c>
      <c r="Z7" s="50"/>
      <c r="AA7" s="51"/>
      <c r="AB7" s="50"/>
    </row>
    <row r="8" spans="1:28" ht="98" x14ac:dyDescent="0.15">
      <c r="A8" s="114">
        <v>11231006</v>
      </c>
      <c r="B8" s="114" t="s">
        <v>278</v>
      </c>
      <c r="C8" s="115">
        <v>3</v>
      </c>
      <c r="D8" s="115" t="s">
        <v>257</v>
      </c>
      <c r="E8" s="116" t="s">
        <v>260</v>
      </c>
      <c r="F8" s="116" t="s">
        <v>261</v>
      </c>
      <c r="G8" s="62" t="str">
        <f t="shared" si="0"/>
        <v>[effect:enemy_message, val1:1.2, val2:2.1]</v>
      </c>
      <c r="H8" s="62">
        <f t="shared" si="1"/>
        <v>9</v>
      </c>
      <c r="I8" s="62">
        <f t="shared" si="2"/>
        <v>22</v>
      </c>
      <c r="J8" s="62" t="e">
        <f t="shared" si="3"/>
        <v>#VALUE!</v>
      </c>
      <c r="K8" s="62">
        <f t="shared" si="4"/>
        <v>32</v>
      </c>
      <c r="L8" s="62" t="str">
        <f>IFERROR(VLOOKUP(MID(G8,J8,K8-J8),[6]skilldef!$C:$D,2,FALSE),"-") &amp; " / " &amp; IFERROR(VLOOKUP(MID(G8,H8,I8-H8),[6]skilldef!$A:$B,2,FALSE),"-")</f>
        <v>- / -</v>
      </c>
      <c r="M8" s="62" t="str">
        <f t="shared" si="5"/>
        <v>[effect:fix_speed, target:myself, turn:1],[effect:force_change_block, new_block:crack_bomb, target:block_blue, ignore01:block_positive, color:block_random, count:9, val:36, animation:change_block]</v>
      </c>
      <c r="N8" s="48" t="str">
        <f t="shared" si="6"/>
        <v>[effect:fix_speed, target:myself, turn:1],[effect:force_change_block, new_block:crack_bomb, target:block_blue, ignore01:block_positive, color:block_random, count:9, val:36, animation:change_block]</v>
      </c>
      <c r="O8" s="62">
        <f t="shared" si="7"/>
        <v>9</v>
      </c>
      <c r="P8" s="62">
        <f t="shared" si="8"/>
        <v>18</v>
      </c>
      <c r="Q8" s="62">
        <f t="shared" si="9"/>
        <v>27</v>
      </c>
      <c r="R8" s="62">
        <f t="shared" si="10"/>
        <v>33</v>
      </c>
      <c r="S8" s="62" t="str">
        <f>IFERROR(VLOOKUP(MID(N8,Q8,R8-Q8),[6]skilldef!$C:$D,2,FALSE),"-") &amp; " / " &amp; IFERROR(VLOOKUP(MID(N8,O8,P8-O8),[6]skilldef!$A:$B,2,FALSE),"-")</f>
        <v>自分自身に / 行動値設定</v>
      </c>
      <c r="T8" s="48" t="str">
        <f t="shared" si="11"/>
        <v>[effect:force_change_block, new_block:crack_bomb, target:block_blue, ignore01:block_positive, color:block_random, count:9, val:36, animation:change_block]</v>
      </c>
      <c r="U8" s="62">
        <f t="shared" si="12"/>
        <v>9</v>
      </c>
      <c r="V8" s="62">
        <f t="shared" si="13"/>
        <v>27</v>
      </c>
      <c r="W8" s="62">
        <f t="shared" si="14"/>
        <v>58</v>
      </c>
      <c r="X8" s="62">
        <f t="shared" si="15"/>
        <v>49</v>
      </c>
      <c r="Y8" s="62" t="str">
        <f>IFERROR(VLOOKUP(MID(T8,W8,X8-W8),[6]skilldef!$C:$D,2,FALSE),"-") &amp; " / " &amp; IFERROR(VLOOKUP(MID(T8,U8,V8-U8),[6]skilldef!$A:$B,2,FALSE),"-")</f>
        <v>- / -</v>
      </c>
      <c r="Z8" s="50"/>
      <c r="AA8" s="51"/>
      <c r="AB8" s="50"/>
    </row>
    <row r="9" spans="1:28" ht="98" x14ac:dyDescent="0.15">
      <c r="A9" s="114">
        <v>11231007</v>
      </c>
      <c r="B9" s="114" t="s">
        <v>280</v>
      </c>
      <c r="C9" s="115">
        <v>3</v>
      </c>
      <c r="D9" s="115" t="s">
        <v>257</v>
      </c>
      <c r="E9" s="116" t="s">
        <v>252</v>
      </c>
      <c r="F9" s="116" t="s">
        <v>243</v>
      </c>
      <c r="G9" s="62" t="str">
        <f t="shared" si="0"/>
        <v>[effect:enemy_message, val1:1.7, val2:1.9]</v>
      </c>
      <c r="H9" s="62">
        <f t="shared" si="1"/>
        <v>9</v>
      </c>
      <c r="I9" s="62">
        <f t="shared" si="2"/>
        <v>22</v>
      </c>
      <c r="J9" s="62" t="e">
        <f t="shared" si="3"/>
        <v>#VALUE!</v>
      </c>
      <c r="K9" s="62">
        <f t="shared" si="4"/>
        <v>32</v>
      </c>
      <c r="L9" s="62" t="str">
        <f>IFERROR(VLOOKUP(MID(G9,J9,K9-J9),[6]skilldef!$C:$D,2,FALSE),"-") &amp; " / " &amp; IFERROR(VLOOKUP(MID(G9,H9,I9-H9),[6]skilldef!$A:$B,2,FALSE),"-")</f>
        <v>- / -</v>
      </c>
      <c r="M9" s="62" t="str">
        <f t="shared" si="5"/>
        <v>[effect:fix_speed, target:myself, turn:1],[effect:force_change_block, new_block:crack_bomb, target:block_blue, ignore01:block_positive, color:block_random, count:9, val:36, animation:change_block]</v>
      </c>
      <c r="N9" s="48" t="str">
        <f>IFERROR(LEFT(M9,FIND("],",M9)+S22),M9)</f>
        <v>[effect:fix_speed, target:myself, turn:1],[effect:force_change_block, new_block:crack_bomb, target:block_blue, ignore01:block_positive, color:block_random, count:9, val:36, animation:change_block]</v>
      </c>
      <c r="O9" s="62">
        <f t="shared" si="7"/>
        <v>9</v>
      </c>
      <c r="P9" s="62">
        <f t="shared" si="8"/>
        <v>18</v>
      </c>
      <c r="Q9" s="62">
        <f t="shared" si="9"/>
        <v>27</v>
      </c>
      <c r="R9" s="62">
        <f t="shared" si="10"/>
        <v>33</v>
      </c>
      <c r="S9" s="62" t="str">
        <f>IFERROR(VLOOKUP(MID(N9,Q9,R9-Q9),[6]skilldef!$C:$D,2,FALSE),"-") &amp; " / " &amp; IFERROR(VLOOKUP(MID(N9,O9,P9-O9),[6]skilldef!$A:$B,2,FALSE),"-")</f>
        <v>自分自身に / 行動値設定</v>
      </c>
      <c r="T9" s="48" t="str">
        <f t="shared" si="11"/>
        <v>[effect:force_change_block, new_block:crack_bomb, target:block_blue, ignore01:block_positive, color:block_random, count:9, val:36, animation:change_block]</v>
      </c>
      <c r="U9" s="62">
        <f t="shared" si="12"/>
        <v>9</v>
      </c>
      <c r="V9" s="62">
        <f t="shared" si="13"/>
        <v>27</v>
      </c>
      <c r="W9" s="62">
        <f t="shared" si="14"/>
        <v>58</v>
      </c>
      <c r="X9" s="62">
        <f t="shared" si="15"/>
        <v>49</v>
      </c>
      <c r="Y9" s="62" t="str">
        <f>IFERROR(VLOOKUP(MID(T9,W9,X9-W9),[6]skilldef!$C:$D,2,FALSE),"-") &amp; " / " &amp; IFERROR(VLOOKUP(MID(T9,U9,V9-U9),[6]skilldef!$A:$B,2,FALSE),"-")</f>
        <v>- / -</v>
      </c>
      <c r="Z9" s="50"/>
      <c r="AA9" s="51"/>
      <c r="AB9" s="50"/>
    </row>
    <row r="10" spans="1:28" ht="98" x14ac:dyDescent="0.15">
      <c r="A10" s="114">
        <v>11231008</v>
      </c>
      <c r="B10" s="114" t="s">
        <v>349</v>
      </c>
      <c r="C10" s="115">
        <v>3</v>
      </c>
      <c r="D10" s="115" t="s">
        <v>257</v>
      </c>
      <c r="E10" s="116" t="s">
        <v>348</v>
      </c>
      <c r="F10" s="116" t="s">
        <v>253</v>
      </c>
      <c r="G10" s="62" t="str">
        <f t="shared" si="0"/>
        <v>[effect:enemy_message, val1:1.3, val2:1.4]</v>
      </c>
      <c r="H10" s="62">
        <f t="shared" si="1"/>
        <v>9</v>
      </c>
      <c r="I10" s="62">
        <f t="shared" si="2"/>
        <v>22</v>
      </c>
      <c r="J10" s="62" t="e">
        <f t="shared" si="3"/>
        <v>#VALUE!</v>
      </c>
      <c r="K10" s="62">
        <f t="shared" si="4"/>
        <v>32</v>
      </c>
      <c r="L10" s="62" t="str">
        <f>IFERROR(VLOOKUP(MID(G10,J10,K10-J10),[6]skilldef!$C:$D,2,FALSE),"-") &amp; " / " &amp; IFERROR(VLOOKUP(MID(G10,H10,I10-H10),[6]skilldef!$A:$B,2,FALSE),"-")</f>
        <v>- / -</v>
      </c>
      <c r="M10" s="62" t="str">
        <f t="shared" si="5"/>
        <v>[effect:fix_speed, target:myself, turn:1],[effect:force_change_block, new_block:crack_bomb, target:block_blue, ignore01:block_positive, color:block_random, count:9, val:36, animation:change_block]</v>
      </c>
      <c r="N10" s="48" t="str">
        <f>IFERROR(LEFT(M10,FIND("],",M10)+S23),M10)</f>
        <v>[effect:fix_speed, target:myself, turn:1],[effect:force_change_block, new_block:crack_bomb, target:block_blue, ignore01:block_positive, color:block_random, count:9, val:36, animation:change_block]</v>
      </c>
      <c r="O10" s="62">
        <f t="shared" si="7"/>
        <v>9</v>
      </c>
      <c r="P10" s="62">
        <f t="shared" si="8"/>
        <v>18</v>
      </c>
      <c r="Q10" s="62">
        <f t="shared" si="9"/>
        <v>27</v>
      </c>
      <c r="R10" s="62">
        <f t="shared" si="10"/>
        <v>33</v>
      </c>
      <c r="S10" s="62" t="str">
        <f>IFERROR(VLOOKUP(MID(N10,Q10,R10-Q10),[6]skilldef!$C:$D,2,FALSE),"-") &amp; " / " &amp; IFERROR(VLOOKUP(MID(N10,O10,P10-O10),[6]skilldef!$A:$B,2,FALSE),"-")</f>
        <v>自分自身に / 行動値設定</v>
      </c>
      <c r="T10" s="48" t="str">
        <f t="shared" si="11"/>
        <v>[effect:force_change_block, new_block:crack_bomb, target:block_blue, ignore01:block_positive, color:block_random, count:9, val:36, animation:change_block]</v>
      </c>
      <c r="U10" s="62">
        <f t="shared" si="12"/>
        <v>9</v>
      </c>
      <c r="V10" s="62">
        <f t="shared" si="13"/>
        <v>27</v>
      </c>
      <c r="W10" s="62">
        <f t="shared" si="14"/>
        <v>58</v>
      </c>
      <c r="X10" s="62">
        <f t="shared" si="15"/>
        <v>49</v>
      </c>
      <c r="Y10" s="62" t="str">
        <f>IFERROR(VLOOKUP(MID(T10,W10,X10-W10),[6]skilldef!$C:$D,2,FALSE),"-") &amp; " / " &amp; IFERROR(VLOOKUP(MID(T10,U10,V10-U10),[6]skilldef!$A:$B,2,FALSE),"-")</f>
        <v>- / -</v>
      </c>
      <c r="Z10" s="50"/>
      <c r="AA10" s="51"/>
      <c r="AB10" s="50"/>
    </row>
    <row r="11" spans="1:28" ht="98" x14ac:dyDescent="0.15">
      <c r="A11" s="114">
        <v>11231009</v>
      </c>
      <c r="B11" s="114" t="s">
        <v>347</v>
      </c>
      <c r="C11" s="115">
        <v>3</v>
      </c>
      <c r="D11" s="115" t="s">
        <v>257</v>
      </c>
      <c r="E11" s="116" t="s">
        <v>346</v>
      </c>
      <c r="F11" s="116" t="s">
        <v>344</v>
      </c>
      <c r="G11" s="62" t="str">
        <f t="shared" si="0"/>
        <v>[effect:enemy_message, val1:1.3, val2:1.5]</v>
      </c>
      <c r="H11" s="62">
        <f t="shared" si="1"/>
        <v>9</v>
      </c>
      <c r="I11" s="62">
        <f t="shared" si="2"/>
        <v>22</v>
      </c>
      <c r="J11" s="62" t="e">
        <f t="shared" si="3"/>
        <v>#VALUE!</v>
      </c>
      <c r="K11" s="62">
        <f t="shared" si="4"/>
        <v>32</v>
      </c>
      <c r="L11" s="62" t="str">
        <f>IFERROR(VLOOKUP(MID(G11,J11,K11-J11),[6]skilldef!$C:$D,2,FALSE),"-") &amp; " / " &amp; IFERROR(VLOOKUP(MID(G11,H11,I11-H11),[6]skilldef!$A:$B,2,FALSE),"-")</f>
        <v>- / -</v>
      </c>
      <c r="M11" s="62" t="str">
        <f t="shared" si="5"/>
        <v>[effect:fix_speed, target:myself, turn:1],[effect:force_change_block, new_block:crack_bomb, target:block_blue, ignore01:block_positive, color:block_random, count:9, val:36, animation:change_block]</v>
      </c>
      <c r="N11" s="48" t="str">
        <f>IFERROR(LEFT(M11,FIND("],",M11)+S24),M11)</f>
        <v>[effect:fix_speed, target:myself, turn:1],[effect:force_change_block, new_block:crack_bomb, target:block_blue, ignore01:block_positive, color:block_random, count:9, val:36, animation:change_block]</v>
      </c>
      <c r="O11" s="62">
        <f t="shared" si="7"/>
        <v>9</v>
      </c>
      <c r="P11" s="62">
        <f t="shared" si="8"/>
        <v>18</v>
      </c>
      <c r="Q11" s="62">
        <f t="shared" si="9"/>
        <v>27</v>
      </c>
      <c r="R11" s="62">
        <f t="shared" si="10"/>
        <v>33</v>
      </c>
      <c r="S11" s="62" t="str">
        <f>IFERROR(VLOOKUP(MID(N11,Q11,R11-Q11),[6]skilldef!$C:$D,2,FALSE),"-") &amp; " / " &amp; IFERROR(VLOOKUP(MID(N11,O11,P11-O11),[6]skilldef!$A:$B,2,FALSE),"-")</f>
        <v>自分自身に / 行動値設定</v>
      </c>
      <c r="T11" s="48" t="str">
        <f t="shared" si="11"/>
        <v>[effect:force_change_block, new_block:crack_bomb, target:block_blue, ignore01:block_positive, color:block_random, count:9, val:36, animation:change_block]</v>
      </c>
      <c r="U11" s="62">
        <f t="shared" si="12"/>
        <v>9</v>
      </c>
      <c r="V11" s="62">
        <f t="shared" si="13"/>
        <v>27</v>
      </c>
      <c r="W11" s="62">
        <f t="shared" si="14"/>
        <v>58</v>
      </c>
      <c r="X11" s="62">
        <f t="shared" si="15"/>
        <v>49</v>
      </c>
      <c r="Y11" s="62" t="str">
        <f>IFERROR(VLOOKUP(MID(T11,W11,X11-W11),[6]skilldef!$C:$D,2,FALSE),"-") &amp; " / " &amp; IFERROR(VLOOKUP(MID(T11,U11,V11-U11),[6]skilldef!$A:$B,2,FALSE),"-")</f>
        <v>- / -</v>
      </c>
      <c r="Z11" s="50"/>
      <c r="AA11" s="51"/>
      <c r="AB11" s="50"/>
    </row>
    <row r="12" spans="1:28" ht="42" x14ac:dyDescent="0.15">
      <c r="A12" s="114">
        <v>11231010</v>
      </c>
      <c r="B12" s="114" t="s">
        <v>286</v>
      </c>
      <c r="C12" s="115">
        <v>3</v>
      </c>
      <c r="D12" s="115" t="s">
        <v>257</v>
      </c>
      <c r="E12" s="116" t="s">
        <v>262</v>
      </c>
      <c r="F12" s="116" t="s">
        <v>273</v>
      </c>
      <c r="G12" s="62" t="str">
        <f t="shared" si="0"/>
        <v>[effect:enemy_message, val1:2.2, val2:3.5]</v>
      </c>
      <c r="H12" s="62">
        <f t="shared" si="1"/>
        <v>9</v>
      </c>
      <c r="I12" s="62">
        <f t="shared" si="2"/>
        <v>22</v>
      </c>
      <c r="J12" s="62" t="e">
        <f t="shared" si="3"/>
        <v>#VALUE!</v>
      </c>
      <c r="K12" s="62">
        <f t="shared" si="4"/>
        <v>32</v>
      </c>
      <c r="L12" s="62" t="str">
        <f>IFERROR(VLOOKUP(MID(G12,J12,K12-J12),[6]skilldef!$C:$D,2,FALSE),"-") &amp; " / " &amp; IFERROR(VLOOKUP(MID(G12,H12,I12-H12),[6]skilldef!$A:$B,2,FALSE),"-")</f>
        <v>- / -</v>
      </c>
      <c r="M12" s="62" t="str">
        <f t="shared" si="5"/>
        <v>[effect:suicide, val:1, dead_type:escape, target:enemy_all]</v>
      </c>
      <c r="N12" s="48" t="str">
        <f t="shared" ref="N12:N18" si="16">IFERROR(LEFT(M12,FIND("],",M12)+S26),M12)</f>
        <v>[effect:suicide, val:1, dead_type:escape, target:enemy_all]</v>
      </c>
      <c r="O12" s="62">
        <f t="shared" si="7"/>
        <v>9</v>
      </c>
      <c r="P12" s="62">
        <f t="shared" si="8"/>
        <v>16</v>
      </c>
      <c r="Q12" s="62">
        <f t="shared" si="9"/>
        <v>50</v>
      </c>
      <c r="R12" s="62">
        <f t="shared" si="10"/>
        <v>23</v>
      </c>
      <c r="S12" s="62" t="str">
        <f>IFERROR(VLOOKUP(MID(N12,Q12,R12-Q12),[6]skilldef!$C:$D,2,FALSE),"-") &amp; " / " &amp; IFERROR(VLOOKUP(MID(N12,O12,P12-O12),[6]skilldef!$A:$B,2,FALSE),"-")</f>
        <v>- / -</v>
      </c>
      <c r="T12" s="48" t="str">
        <f t="shared" si="11"/>
        <v>none</v>
      </c>
      <c r="U12" s="62" t="e">
        <f t="shared" si="12"/>
        <v>#VALUE!</v>
      </c>
      <c r="V12" s="62">
        <f t="shared" si="13"/>
        <v>4</v>
      </c>
      <c r="W12" s="62" t="e">
        <f t="shared" si="14"/>
        <v>#VALUE!</v>
      </c>
      <c r="X12" s="62" t="e">
        <f t="shared" si="15"/>
        <v>#VALUE!</v>
      </c>
      <c r="Y12" s="62" t="str">
        <f>IFERROR(VLOOKUP(MID(T12,W12,X12-W12),[6]skilldef!$C:$D,2,FALSE),"-") &amp; " / " &amp; IFERROR(VLOOKUP(MID(T12,U12,V12-U12),[6]skilldef!$A:$B,2,FALSE),"-")</f>
        <v>- / -</v>
      </c>
      <c r="Z12" s="50"/>
      <c r="AA12" s="51"/>
      <c r="AB12" s="50"/>
    </row>
    <row r="13" spans="1:28" ht="98" x14ac:dyDescent="0.15">
      <c r="A13" s="111">
        <v>11231011</v>
      </c>
      <c r="B13" s="111" t="s">
        <v>287</v>
      </c>
      <c r="C13" s="112">
        <v>3</v>
      </c>
      <c r="D13" s="112" t="s">
        <v>257</v>
      </c>
      <c r="E13" s="113" t="s">
        <v>274</v>
      </c>
      <c r="F13" s="113" t="s">
        <v>279</v>
      </c>
      <c r="G13" s="62" t="str">
        <f t="shared" si="0"/>
        <v>[effect:enemy_message, val1:2.3, val2:4.0]</v>
      </c>
      <c r="H13" s="62">
        <f t="shared" si="1"/>
        <v>9</v>
      </c>
      <c r="I13" s="62">
        <f t="shared" si="2"/>
        <v>22</v>
      </c>
      <c r="J13" s="62" t="e">
        <f t="shared" si="3"/>
        <v>#VALUE!</v>
      </c>
      <c r="K13" s="62">
        <f t="shared" si="4"/>
        <v>32</v>
      </c>
      <c r="L13" s="62" t="str">
        <f>IFERROR(VLOOKUP(MID(G13,J13,K13-J13),[6]skilldef!$C:$D,2,FALSE),"-") &amp; " / " &amp; IFERROR(VLOOKUP(MID(G13,H13,I13-H13),[6]skilldef!$A:$B,2,FALSE),"-")</f>
        <v>- / -</v>
      </c>
      <c r="M13" s="62" t="str">
        <f t="shared" si="5"/>
        <v xml:space="preserve">[effect:fix_speed, target:myself, turn:1],[effect:force_change_block, new_block:crack_bomb, target:block_blue, ignore01:block_positive, color:block_heart, count:4, val:36, animation:change_block]    </v>
      </c>
      <c r="N13" s="48" t="str">
        <f t="shared" si="16"/>
        <v xml:space="preserve">[effect:fix_speed, target:myself, turn:1],[effect:force_change_block, new_block:crack_bomb, target:block_blue, ignore01:block_positive, color:block_heart, count:4, val:36, animation:change_block]    </v>
      </c>
      <c r="O13" s="62">
        <f t="shared" si="7"/>
        <v>9</v>
      </c>
      <c r="P13" s="62">
        <f t="shared" si="8"/>
        <v>18</v>
      </c>
      <c r="Q13" s="62">
        <f t="shared" si="9"/>
        <v>27</v>
      </c>
      <c r="R13" s="62">
        <f t="shared" si="10"/>
        <v>33</v>
      </c>
      <c r="S13" s="62" t="str">
        <f>IFERROR(VLOOKUP(MID(N13,Q13,R13-Q13),[6]skilldef!$C:$D,2,FALSE),"-") &amp; " / " &amp; IFERROR(VLOOKUP(MID(N13,O13,P13-O13),[6]skilldef!$A:$B,2,FALSE),"-")</f>
        <v>自分自身に / 行動値設定</v>
      </c>
      <c r="T13" s="48" t="str">
        <f t="shared" si="11"/>
        <v xml:space="preserve">[effect:force_change_block, new_block:crack_bomb, target:block_blue, ignore01:block_positive, color:block_heart, count:4, val:36, animation:change_block]    </v>
      </c>
      <c r="U13" s="62">
        <f t="shared" si="12"/>
        <v>9</v>
      </c>
      <c r="V13" s="62">
        <f t="shared" si="13"/>
        <v>27</v>
      </c>
      <c r="W13" s="62">
        <f t="shared" si="14"/>
        <v>58</v>
      </c>
      <c r="X13" s="62">
        <f t="shared" si="15"/>
        <v>49</v>
      </c>
      <c r="Y13" s="62" t="str">
        <f>IFERROR(VLOOKUP(MID(T13,W13,X13-W13),[6]skilldef!$C:$D,2,FALSE),"-") &amp; " / " &amp; IFERROR(VLOOKUP(MID(T13,U13,V13-U13),[6]skilldef!$A:$B,2,FALSE),"-")</f>
        <v>- / -</v>
      </c>
      <c r="Z13" s="50"/>
      <c r="AA13" s="51"/>
      <c r="AB13" s="50"/>
    </row>
    <row r="14" spans="1:28" ht="98" x14ac:dyDescent="0.15">
      <c r="A14" s="111">
        <v>11231012</v>
      </c>
      <c r="B14" s="111" t="s">
        <v>336</v>
      </c>
      <c r="C14" s="112">
        <v>3</v>
      </c>
      <c r="D14" s="112" t="s">
        <v>257</v>
      </c>
      <c r="E14" s="113" t="s">
        <v>250</v>
      </c>
      <c r="F14" s="113" t="s">
        <v>292</v>
      </c>
      <c r="G14" s="62" t="str">
        <f t="shared" si="0"/>
        <v>[effect:enemy_message, val1:2.1, val2:2.2]</v>
      </c>
      <c r="H14" s="62">
        <f t="shared" si="1"/>
        <v>9</v>
      </c>
      <c r="I14" s="62">
        <f t="shared" si="2"/>
        <v>22</v>
      </c>
      <c r="J14" s="62" t="e">
        <f t="shared" si="3"/>
        <v>#VALUE!</v>
      </c>
      <c r="K14" s="62">
        <f t="shared" si="4"/>
        <v>32</v>
      </c>
      <c r="L14" s="62" t="str">
        <f>IFERROR(VLOOKUP(MID(G14,J14,K14-J14),[6]skilldef!$C:$D,2,FALSE),"-") &amp; " / " &amp; IFERROR(VLOOKUP(MID(G14,H14,I14-H14),[6]skilldef!$A:$B,2,FALSE),"-")</f>
        <v>- / -</v>
      </c>
      <c r="M14" s="62" t="str">
        <f t="shared" si="5"/>
        <v xml:space="preserve">[effect:fix_speed, target:myself, turn:1],[effect:force_change_block, new_block:crack_bomb, target:block_blue, ignore01:block_positive, color:block_heart, count:4, val:36, animation:change_block]    </v>
      </c>
      <c r="N14" s="48" t="str">
        <f t="shared" si="16"/>
        <v xml:space="preserve">[effect:fix_speed, target:myself, turn:1],[effect:force_change_block, new_block:crack_bomb, target:block_blue, ignore01:block_positive, color:block_heart, count:4, val:36, animation:change_block]    </v>
      </c>
      <c r="O14" s="62">
        <f t="shared" si="7"/>
        <v>9</v>
      </c>
      <c r="P14" s="62">
        <f t="shared" si="8"/>
        <v>18</v>
      </c>
      <c r="Q14" s="62">
        <f t="shared" si="9"/>
        <v>27</v>
      </c>
      <c r="R14" s="62">
        <f t="shared" si="10"/>
        <v>33</v>
      </c>
      <c r="S14" s="62" t="str">
        <f>IFERROR(VLOOKUP(MID(N14,Q14,R14-Q14),[6]skilldef!$C:$D,2,FALSE),"-") &amp; " / " &amp; IFERROR(VLOOKUP(MID(N14,O14,P14-O14),[6]skilldef!$A:$B,2,FALSE),"-")</f>
        <v>自分自身に / 行動値設定</v>
      </c>
      <c r="T14" s="48" t="str">
        <f t="shared" si="11"/>
        <v xml:space="preserve">[effect:force_change_block, new_block:crack_bomb, target:block_blue, ignore01:block_positive, color:block_heart, count:4, val:36, animation:change_block]    </v>
      </c>
      <c r="U14" s="62">
        <f t="shared" si="12"/>
        <v>9</v>
      </c>
      <c r="V14" s="62">
        <f t="shared" si="13"/>
        <v>27</v>
      </c>
      <c r="W14" s="62">
        <f t="shared" si="14"/>
        <v>58</v>
      </c>
      <c r="X14" s="62">
        <f t="shared" si="15"/>
        <v>49</v>
      </c>
      <c r="Y14" s="62" t="str">
        <f>IFERROR(VLOOKUP(MID(T14,W14,X14-W14),[6]skilldef!$C:$D,2,FALSE),"-") &amp; " / " &amp; IFERROR(VLOOKUP(MID(T14,U14,V14-U14),[6]skilldef!$A:$B,2,FALSE),"-")</f>
        <v>- / -</v>
      </c>
      <c r="Z14" s="50"/>
      <c r="AA14" s="51"/>
      <c r="AB14" s="50"/>
    </row>
    <row r="15" spans="1:28" ht="98" x14ac:dyDescent="0.15">
      <c r="A15" s="111">
        <v>11231013</v>
      </c>
      <c r="B15" s="111" t="s">
        <v>337</v>
      </c>
      <c r="C15" s="112">
        <v>3</v>
      </c>
      <c r="D15" s="112" t="s">
        <v>257</v>
      </c>
      <c r="E15" s="113" t="s">
        <v>263</v>
      </c>
      <c r="F15" s="113" t="s">
        <v>292</v>
      </c>
      <c r="G15" s="62" t="str">
        <f t="shared" si="0"/>
        <v>[effect:enemy_message, val1:1.2, val2:2.2]</v>
      </c>
      <c r="H15" s="62">
        <f t="shared" si="1"/>
        <v>9</v>
      </c>
      <c r="I15" s="62">
        <f t="shared" si="2"/>
        <v>22</v>
      </c>
      <c r="J15" s="62" t="e">
        <f t="shared" si="3"/>
        <v>#VALUE!</v>
      </c>
      <c r="K15" s="62">
        <f t="shared" si="4"/>
        <v>32</v>
      </c>
      <c r="L15" s="62" t="str">
        <f>IFERROR(VLOOKUP(MID(G15,J15,K15-J15),[6]skilldef!$C:$D,2,FALSE),"-") &amp; " / " &amp; IFERROR(VLOOKUP(MID(G15,H15,I15-H15),[6]skilldef!$A:$B,2,FALSE),"-")</f>
        <v>- / -</v>
      </c>
      <c r="M15" s="62" t="str">
        <f t="shared" si="5"/>
        <v xml:space="preserve">[effect:fix_speed, target:myself, turn:1],[effect:force_change_block, new_block:crack_bomb, target:block_blue, ignore01:block_positive, color:block_heart, count:4, val:36, animation:change_block]    </v>
      </c>
      <c r="N15" s="48" t="str">
        <f t="shared" si="16"/>
        <v xml:space="preserve">[effect:fix_speed, target:myself, turn:1],[effect:force_change_block, new_block:crack_bomb, target:block_blue, ignore01:block_positive, color:block_heart, count:4, val:36, animation:change_block]    </v>
      </c>
      <c r="O15" s="62">
        <f t="shared" si="7"/>
        <v>9</v>
      </c>
      <c r="P15" s="62">
        <f t="shared" si="8"/>
        <v>18</v>
      </c>
      <c r="Q15" s="62">
        <f t="shared" si="9"/>
        <v>27</v>
      </c>
      <c r="R15" s="62">
        <f t="shared" si="10"/>
        <v>33</v>
      </c>
      <c r="S15" s="62" t="str">
        <f>IFERROR(VLOOKUP(MID(N15,Q15,R15-Q15),[6]skilldef!$C:$D,2,FALSE),"-") &amp; " / " &amp; IFERROR(VLOOKUP(MID(N15,O15,P15-O15),[6]skilldef!$A:$B,2,FALSE),"-")</f>
        <v>自分自身に / 行動値設定</v>
      </c>
      <c r="T15" s="48" t="str">
        <f t="shared" si="11"/>
        <v xml:space="preserve">[effect:force_change_block, new_block:crack_bomb, target:block_blue, ignore01:block_positive, color:block_heart, count:4, val:36, animation:change_block]    </v>
      </c>
      <c r="U15" s="62">
        <f t="shared" si="12"/>
        <v>9</v>
      </c>
      <c r="V15" s="62">
        <f t="shared" si="13"/>
        <v>27</v>
      </c>
      <c r="W15" s="62">
        <f t="shared" si="14"/>
        <v>58</v>
      </c>
      <c r="X15" s="62">
        <f t="shared" si="15"/>
        <v>49</v>
      </c>
      <c r="Y15" s="62" t="str">
        <f>IFERROR(VLOOKUP(MID(T15,W15,X15-W15),[6]skilldef!$C:$D,2,FALSE),"-") &amp; " / " &amp; IFERROR(VLOOKUP(MID(T15,U15,V15-U15),[6]skilldef!$A:$B,2,FALSE),"-")</f>
        <v>- / -</v>
      </c>
      <c r="Z15" s="50"/>
      <c r="AA15" s="51"/>
      <c r="AB15" s="50"/>
    </row>
    <row r="16" spans="1:28" ht="98" x14ac:dyDescent="0.15">
      <c r="A16" s="111">
        <v>11231014</v>
      </c>
      <c r="B16" s="111" t="s">
        <v>338</v>
      </c>
      <c r="C16" s="112">
        <v>3</v>
      </c>
      <c r="D16" s="112" t="s">
        <v>257</v>
      </c>
      <c r="E16" s="113" t="s">
        <v>264</v>
      </c>
      <c r="F16" s="113" t="s">
        <v>292</v>
      </c>
      <c r="G16" s="62" t="str">
        <f t="shared" si="0"/>
        <v>[effect:enemy_message, val1:1.2, val2:2.2]</v>
      </c>
      <c r="H16" s="62">
        <f t="shared" si="1"/>
        <v>9</v>
      </c>
      <c r="I16" s="62">
        <f t="shared" si="2"/>
        <v>22</v>
      </c>
      <c r="J16" s="62" t="e">
        <f t="shared" si="3"/>
        <v>#VALUE!</v>
      </c>
      <c r="K16" s="62">
        <f t="shared" si="4"/>
        <v>32</v>
      </c>
      <c r="L16" s="62" t="str">
        <f>IFERROR(VLOOKUP(MID(G16,J16,K16-J16),[6]skilldef!$C:$D,2,FALSE),"-") &amp; " / " &amp; IFERROR(VLOOKUP(MID(G16,H16,I16-H16),[6]skilldef!$A:$B,2,FALSE),"-")</f>
        <v>- / -</v>
      </c>
      <c r="M16" s="62" t="str">
        <f t="shared" si="5"/>
        <v xml:space="preserve">[effect:fix_speed, target:myself, turn:1],[effect:force_change_block, new_block:crack_bomb, target:block_blue, ignore01:block_positive, color:block_heart, count:4, val:36, animation:change_block]    </v>
      </c>
      <c r="N16" s="48" t="str">
        <f t="shared" si="16"/>
        <v xml:space="preserve">[effect:fix_speed, target:myself, turn:1],[effect:force_change_block, new_block:crack_bomb, target:block_blue, ignore01:block_positive, color:block_heart, count:4, val:36, animation:change_block]    </v>
      </c>
      <c r="O16" s="62">
        <f t="shared" si="7"/>
        <v>9</v>
      </c>
      <c r="P16" s="62">
        <f t="shared" si="8"/>
        <v>18</v>
      </c>
      <c r="Q16" s="62">
        <f t="shared" si="9"/>
        <v>27</v>
      </c>
      <c r="R16" s="62">
        <f t="shared" si="10"/>
        <v>33</v>
      </c>
      <c r="S16" s="62" t="str">
        <f>IFERROR(VLOOKUP(MID(N16,Q16,R16-Q16),[6]skilldef!$C:$D,2,FALSE),"-") &amp; " / " &amp; IFERROR(VLOOKUP(MID(N16,O16,P16-O16),[6]skilldef!$A:$B,2,FALSE),"-")</f>
        <v>自分自身に / 行動値設定</v>
      </c>
      <c r="T16" s="48" t="str">
        <f t="shared" si="11"/>
        <v xml:space="preserve">[effect:force_change_block, new_block:crack_bomb, target:block_blue, ignore01:block_positive, color:block_heart, count:4, val:36, animation:change_block]    </v>
      </c>
      <c r="U16" s="62">
        <f t="shared" si="12"/>
        <v>9</v>
      </c>
      <c r="V16" s="62">
        <f t="shared" si="13"/>
        <v>27</v>
      </c>
      <c r="W16" s="62">
        <f t="shared" si="14"/>
        <v>58</v>
      </c>
      <c r="X16" s="62">
        <f t="shared" si="15"/>
        <v>49</v>
      </c>
      <c r="Y16" s="62" t="str">
        <f>IFERROR(VLOOKUP(MID(T16,W16,X16-W16),[6]skilldef!$C:$D,2,FALSE),"-") &amp; " / " &amp; IFERROR(VLOOKUP(MID(T16,U16,V16-U16),[6]skilldef!$A:$B,2,FALSE),"-")</f>
        <v>- / -</v>
      </c>
      <c r="Z16" s="50"/>
      <c r="AA16" s="51"/>
      <c r="AB16" s="50"/>
    </row>
    <row r="17" spans="1:28" ht="42" x14ac:dyDescent="0.15">
      <c r="A17" s="111">
        <v>11231015</v>
      </c>
      <c r="B17" s="111" t="s">
        <v>272</v>
      </c>
      <c r="C17" s="112">
        <v>3</v>
      </c>
      <c r="D17" s="112" t="s">
        <v>257</v>
      </c>
      <c r="E17" s="113" t="s">
        <v>275</v>
      </c>
      <c r="F17" s="113" t="s">
        <v>276</v>
      </c>
      <c r="G17" s="62" t="str">
        <f t="shared" si="0"/>
        <v>[effect:enemy_message, val1:2.6, val2:4.8]</v>
      </c>
      <c r="H17" s="62">
        <f t="shared" si="1"/>
        <v>9</v>
      </c>
      <c r="I17" s="62">
        <f t="shared" si="2"/>
        <v>22</v>
      </c>
      <c r="J17" s="62" t="e">
        <f t="shared" si="3"/>
        <v>#VALUE!</v>
      </c>
      <c r="K17" s="62">
        <f t="shared" si="4"/>
        <v>32</v>
      </c>
      <c r="L17" s="62" t="str">
        <f>IFERROR(VLOOKUP(MID(G17,J17,K17-J17),[6]skilldef!$C:$D,2,FALSE),"-") &amp; " / " &amp; IFERROR(VLOOKUP(MID(G17,H17,I17-H17),[6]skilldef!$A:$B,2,FALSE),"-")</f>
        <v>- / -</v>
      </c>
      <c r="M17" s="62" t="str">
        <f t="shared" si="5"/>
        <v>[effect:suicide, val:1, dead_type:escape, target:enemy_all]</v>
      </c>
      <c r="N17" s="48" t="str">
        <f t="shared" si="16"/>
        <v>[effect:suicide, val:1, dead_type:escape, target:enemy_all]</v>
      </c>
      <c r="O17" s="62">
        <f t="shared" si="7"/>
        <v>9</v>
      </c>
      <c r="P17" s="62">
        <f t="shared" si="8"/>
        <v>16</v>
      </c>
      <c r="Q17" s="62">
        <f t="shared" si="9"/>
        <v>50</v>
      </c>
      <c r="R17" s="62">
        <f t="shared" si="10"/>
        <v>23</v>
      </c>
      <c r="S17" s="62" t="str">
        <f>IFERROR(VLOOKUP(MID(N17,Q17,R17-Q17),[6]skilldef!$C:$D,2,FALSE),"-") &amp; " / " &amp; IFERROR(VLOOKUP(MID(N17,O17,P17-O17),[6]skilldef!$A:$B,2,FALSE),"-")</f>
        <v>- / -</v>
      </c>
      <c r="T17" s="48" t="str">
        <f t="shared" si="11"/>
        <v>none</v>
      </c>
      <c r="U17" s="62" t="e">
        <f t="shared" si="12"/>
        <v>#VALUE!</v>
      </c>
      <c r="V17" s="62">
        <f t="shared" si="13"/>
        <v>4</v>
      </c>
      <c r="W17" s="62" t="e">
        <f t="shared" si="14"/>
        <v>#VALUE!</v>
      </c>
      <c r="X17" s="62" t="e">
        <f t="shared" si="15"/>
        <v>#VALUE!</v>
      </c>
      <c r="Y17" s="62" t="str">
        <f>IFERROR(VLOOKUP(MID(T17,W17,X17-W17),[6]skilldef!$C:$D,2,FALSE),"-") &amp; " / " &amp; IFERROR(VLOOKUP(MID(T17,U17,V17-U17),[6]skilldef!$A:$B,2,FALSE),"-")</f>
        <v>- / -</v>
      </c>
      <c r="Z17" s="50"/>
      <c r="AA17" s="51"/>
      <c r="AB17" s="50"/>
    </row>
    <row r="18" spans="1:28" ht="28" x14ac:dyDescent="0.15">
      <c r="A18" s="108">
        <v>11231016</v>
      </c>
      <c r="B18" s="108" t="s">
        <v>270</v>
      </c>
      <c r="C18" s="109">
        <v>3</v>
      </c>
      <c r="D18" s="109" t="s">
        <v>257</v>
      </c>
      <c r="E18" s="110" t="s">
        <v>295</v>
      </c>
      <c r="F18" s="110" t="s">
        <v>277</v>
      </c>
      <c r="G18" s="62" t="str">
        <f t="shared" si="0"/>
        <v>[effect:enemy_message, val1:1.3, val2:1.6]</v>
      </c>
      <c r="H18" s="62">
        <f t="shared" si="1"/>
        <v>9</v>
      </c>
      <c r="I18" s="62">
        <f t="shared" si="2"/>
        <v>22</v>
      </c>
      <c r="J18" s="62" t="e">
        <f t="shared" si="3"/>
        <v>#VALUE!</v>
      </c>
      <c r="K18" s="62">
        <f t="shared" si="4"/>
        <v>32</v>
      </c>
      <c r="L18" s="62" t="str">
        <f>IFERROR(VLOOKUP(MID(G18,J18,K18-J18),[6]skilldef!$C:$D,2,FALSE),"-") &amp; " / " &amp; IFERROR(VLOOKUP(MID(G18,H18,I18-H18),[6]skilldef!$A:$B,2,FALSE),"-")</f>
        <v>- / -</v>
      </c>
      <c r="M18" s="62" t="str">
        <f t="shared" si="5"/>
        <v>[effect:fix_speed, target:myself, turn:1]</v>
      </c>
      <c r="N18" s="48" t="str">
        <f t="shared" si="16"/>
        <v>[effect:fix_speed, target:myself, turn:1]</v>
      </c>
      <c r="O18" s="62">
        <f t="shared" si="7"/>
        <v>9</v>
      </c>
      <c r="P18" s="62">
        <f t="shared" si="8"/>
        <v>18</v>
      </c>
      <c r="Q18" s="62">
        <f t="shared" si="9"/>
        <v>27</v>
      </c>
      <c r="R18" s="62">
        <f t="shared" si="10"/>
        <v>33</v>
      </c>
      <c r="S18" s="62" t="str">
        <f>IFERROR(VLOOKUP(MID(N18,Q18,R18-Q18),[6]skilldef!$C:$D,2,FALSE),"-") &amp; " / " &amp; IFERROR(VLOOKUP(MID(N18,O18,P18-O18),[6]skilldef!$A:$B,2,FALSE),"-")</f>
        <v>自分自身に / 行動値設定</v>
      </c>
      <c r="T18" s="48" t="str">
        <f t="shared" si="11"/>
        <v>none</v>
      </c>
      <c r="U18" s="62" t="e">
        <f t="shared" si="12"/>
        <v>#VALUE!</v>
      </c>
      <c r="V18" s="62">
        <f t="shared" si="13"/>
        <v>4</v>
      </c>
      <c r="W18" s="62" t="e">
        <f t="shared" si="14"/>
        <v>#VALUE!</v>
      </c>
      <c r="X18" s="62" t="e">
        <f t="shared" si="15"/>
        <v>#VALUE!</v>
      </c>
      <c r="Y18" s="62" t="str">
        <f>IFERROR(VLOOKUP(MID(T18,W18,X18-W18),[6]skilldef!$C:$D,2,FALSE),"-") &amp; " / " &amp; IFERROR(VLOOKUP(MID(T18,U18,V18-U18),[6]skilldef!$A:$B,2,FALSE),"-")</f>
        <v>- / -</v>
      </c>
      <c r="Z18" s="50"/>
      <c r="AA18" s="51"/>
      <c r="AB18" s="50"/>
    </row>
    <row r="19" spans="1:28" x14ac:dyDescent="0.15">
      <c r="A19" s="108">
        <v>11231029</v>
      </c>
      <c r="B19" s="108" t="s">
        <v>298</v>
      </c>
      <c r="C19" s="109">
        <v>3</v>
      </c>
      <c r="D19" s="109" t="s">
        <v>257</v>
      </c>
      <c r="E19" s="110" t="s">
        <v>297</v>
      </c>
      <c r="F19" s="110" t="s">
        <v>296</v>
      </c>
      <c r="G19" s="62"/>
      <c r="H19" s="62"/>
      <c r="I19" s="62"/>
      <c r="J19" s="62"/>
      <c r="K19" s="62"/>
      <c r="L19" s="62"/>
      <c r="M19" s="62"/>
      <c r="N19" s="48"/>
      <c r="O19" s="62"/>
      <c r="P19" s="62"/>
      <c r="Q19" s="62"/>
      <c r="R19" s="62"/>
      <c r="S19" s="62"/>
      <c r="T19" s="48"/>
      <c r="U19" s="62"/>
      <c r="V19" s="62"/>
      <c r="W19" s="62"/>
      <c r="X19" s="62"/>
      <c r="Y19" s="62"/>
      <c r="Z19" s="50"/>
      <c r="AA19" s="51"/>
      <c r="AB19" s="50"/>
    </row>
    <row r="20" spans="1:28" ht="28" x14ac:dyDescent="0.15">
      <c r="A20" s="108">
        <v>11231030</v>
      </c>
      <c r="B20" s="108" t="s">
        <v>300</v>
      </c>
      <c r="C20" s="109">
        <v>3</v>
      </c>
      <c r="D20" s="109" t="s">
        <v>257</v>
      </c>
      <c r="E20" s="110" t="s">
        <v>293</v>
      </c>
      <c r="F20" s="110" t="s">
        <v>299</v>
      </c>
      <c r="G20" s="62"/>
      <c r="H20" s="62"/>
      <c r="I20" s="62"/>
      <c r="J20" s="62"/>
      <c r="K20" s="62"/>
      <c r="L20" s="62"/>
      <c r="M20" s="62"/>
      <c r="N20" s="48"/>
      <c r="O20" s="62"/>
      <c r="P20" s="62"/>
      <c r="Q20" s="62"/>
      <c r="R20" s="62"/>
      <c r="S20" s="62"/>
      <c r="T20" s="48"/>
      <c r="U20" s="62"/>
      <c r="V20" s="62"/>
      <c r="W20" s="62"/>
      <c r="X20" s="62"/>
      <c r="Y20" s="62"/>
      <c r="Z20" s="50"/>
      <c r="AA20" s="51"/>
      <c r="AB20" s="50"/>
    </row>
    <row r="21" spans="1:28" ht="28" x14ac:dyDescent="0.15">
      <c r="A21" s="108">
        <v>11231031</v>
      </c>
      <c r="B21" s="108" t="s">
        <v>339</v>
      </c>
      <c r="C21" s="109">
        <v>3</v>
      </c>
      <c r="D21" s="109" t="s">
        <v>257</v>
      </c>
      <c r="E21" s="110" t="s">
        <v>294</v>
      </c>
      <c r="F21" s="110" t="s">
        <v>301</v>
      </c>
      <c r="G21" s="62"/>
      <c r="H21" s="62"/>
      <c r="I21" s="62"/>
      <c r="J21" s="62"/>
      <c r="K21" s="62"/>
      <c r="L21" s="62"/>
      <c r="M21" s="62"/>
      <c r="N21" s="48"/>
      <c r="O21" s="62"/>
      <c r="P21" s="62"/>
      <c r="Q21" s="62"/>
      <c r="R21" s="62"/>
      <c r="S21" s="62"/>
      <c r="T21" s="48"/>
      <c r="U21" s="62"/>
      <c r="V21" s="62"/>
      <c r="W21" s="62"/>
      <c r="X21" s="62"/>
      <c r="Y21" s="62"/>
      <c r="Z21" s="50"/>
      <c r="AA21" s="51"/>
      <c r="AB21" s="50"/>
    </row>
    <row r="22" spans="1:28" ht="56" x14ac:dyDescent="0.15">
      <c r="A22" s="108">
        <v>11231017</v>
      </c>
      <c r="B22" s="108" t="s">
        <v>340</v>
      </c>
      <c r="C22" s="109">
        <v>3</v>
      </c>
      <c r="D22" s="109" t="s">
        <v>257</v>
      </c>
      <c r="E22" s="110" t="s">
        <v>251</v>
      </c>
      <c r="F22" s="110" t="s">
        <v>330</v>
      </c>
      <c r="G22" s="62" t="str">
        <f t="shared" si="0"/>
        <v>[effect:enemy_message, val1:1.3, val2:1.7]</v>
      </c>
      <c r="H22" s="62">
        <f t="shared" si="1"/>
        <v>9</v>
      </c>
      <c r="I22" s="62">
        <f t="shared" si="2"/>
        <v>22</v>
      </c>
      <c r="J22" s="62" t="e">
        <f t="shared" si="3"/>
        <v>#VALUE!</v>
      </c>
      <c r="K22" s="62">
        <f t="shared" si="4"/>
        <v>32</v>
      </c>
      <c r="L22" s="62" t="str">
        <f>IFERROR(VLOOKUP(MID(G22,J22,K22-J22),[6]skilldef!$C:$D,2,FALSE),"-") &amp; " / " &amp; IFERROR(VLOOKUP(MID(G22,H22,I22-H22),[6]skilldef!$A:$B,2,FALSE),"-")</f>
        <v>- / -</v>
      </c>
      <c r="M22" s="62" t="str">
        <f t="shared" si="5"/>
        <v>[effect:change_bomb_range, target:unit_red/unit_blue, val:0.1, rate:1, turn:-1, animation:bomb_small]</v>
      </c>
      <c r="N22" s="48" t="str">
        <f>IFERROR(LEFT(M22,FIND("],",M22)+S33),M22)</f>
        <v>[effect:change_bomb_range, target:unit_red/unit_blue, val:0.1, rate:1, turn:-1, animation:bomb_small]</v>
      </c>
      <c r="O22" s="62">
        <f t="shared" si="7"/>
        <v>9</v>
      </c>
      <c r="P22" s="62">
        <f t="shared" si="8"/>
        <v>26</v>
      </c>
      <c r="Q22" s="62">
        <f t="shared" si="9"/>
        <v>35</v>
      </c>
      <c r="R22" s="62">
        <f t="shared" si="10"/>
        <v>53</v>
      </c>
      <c r="S22" s="62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none</v>
      </c>
      <c r="U22" s="62" t="e">
        <f t="shared" si="12"/>
        <v>#VALUE!</v>
      </c>
      <c r="V22" s="62">
        <f t="shared" si="13"/>
        <v>4</v>
      </c>
      <c r="W22" s="62" t="e">
        <f t="shared" si="14"/>
        <v>#VALUE!</v>
      </c>
      <c r="X22" s="62" t="e">
        <f t="shared" si="15"/>
        <v>#VALUE!</v>
      </c>
      <c r="Y22" s="62" t="str">
        <f>IFERROR(VLOOKUP(MID(T22,W22,X22-W22),[6]skilldef!$C:$D,2,FALSE),"-") &amp; " / " &amp; IFERROR(VLOOKUP(MID(T22,U22,V22-U22),[6]skilldef!$A:$B,2,FALSE),"-")</f>
        <v>- / -</v>
      </c>
      <c r="Z22" s="50"/>
      <c r="AA22" s="51"/>
      <c r="AB22" s="50"/>
    </row>
    <row r="23" spans="1:28" ht="42" x14ac:dyDescent="0.15">
      <c r="A23" s="108">
        <v>11231018</v>
      </c>
      <c r="B23" s="108" t="s">
        <v>341</v>
      </c>
      <c r="C23" s="109">
        <v>3</v>
      </c>
      <c r="D23" s="109" t="s">
        <v>257</v>
      </c>
      <c r="E23" s="110" t="s">
        <v>305</v>
      </c>
      <c r="F23" s="110" t="s">
        <v>281</v>
      </c>
      <c r="G23" s="62" t="str">
        <f t="shared" si="0"/>
        <v>[effect:enemy_message, val1:2.0, val2:3.0]</v>
      </c>
      <c r="H23" s="62">
        <f t="shared" si="1"/>
        <v>9</v>
      </c>
      <c r="I23" s="62">
        <f t="shared" si="2"/>
        <v>22</v>
      </c>
      <c r="J23" s="62" t="e">
        <f t="shared" si="3"/>
        <v>#VALUE!</v>
      </c>
      <c r="K23" s="62">
        <f t="shared" si="4"/>
        <v>32</v>
      </c>
      <c r="L23" s="62" t="str">
        <f>IFERROR(VLOOKUP(MID(G23,J23,K23-J23),[6]skilldef!$C:$D,2,FALSE),"-") &amp; " / " &amp; IFERROR(VLOOKUP(MID(G23,H23,I23-H23),[6]skilldef!$A:$B,2,FALSE),"-")</f>
        <v>- / -</v>
      </c>
      <c r="M23" s="62" t="str">
        <f t="shared" si="5"/>
        <v>[effect:suicide, val:1, dead_type:escape, target:enemy_all]</v>
      </c>
      <c r="N23" s="48" t="str">
        <f>IFERROR(LEFT(M23,FIND("],",M23)+#REF!),M23)</f>
        <v>[effect:suicide, val:1, dead_type:escape, target:enemy_all]</v>
      </c>
      <c r="O23" s="62">
        <f t="shared" si="7"/>
        <v>9</v>
      </c>
      <c r="P23" s="62">
        <f t="shared" si="8"/>
        <v>16</v>
      </c>
      <c r="Q23" s="62">
        <f t="shared" si="9"/>
        <v>50</v>
      </c>
      <c r="R23" s="62">
        <f t="shared" si="10"/>
        <v>23</v>
      </c>
      <c r="S23" s="62" t="str">
        <f>IFERROR(VLOOKUP(MID(N23,Q23,R23-Q23),[6]skilldef!$C:$D,2,FALSE),"-") &amp; " / " &amp; IFERROR(VLOOKUP(MID(N23,O23,P23-O23),[6]skilldef!$A:$B,2,FALSE),"-")</f>
        <v>- / -</v>
      </c>
      <c r="T23" s="48" t="str">
        <f t="shared" si="11"/>
        <v>none</v>
      </c>
      <c r="U23" s="62" t="e">
        <f t="shared" si="12"/>
        <v>#VALUE!</v>
      </c>
      <c r="V23" s="62">
        <f t="shared" si="13"/>
        <v>4</v>
      </c>
      <c r="W23" s="62" t="e">
        <f t="shared" si="14"/>
        <v>#VALUE!</v>
      </c>
      <c r="X23" s="62" t="e">
        <f t="shared" si="15"/>
        <v>#VALUE!</v>
      </c>
      <c r="Y23" s="62" t="str">
        <f>IFERROR(VLOOKUP(MID(T23,W23,X23-W23),[6]skilldef!$C:$D,2,FALSE),"-") &amp; " / " &amp; IFERROR(VLOOKUP(MID(T23,U23,V23-U23),[6]skilldef!$A:$B,2,FALSE),"-")</f>
        <v>- / -</v>
      </c>
      <c r="Z23" s="50"/>
      <c r="AA23" s="51"/>
      <c r="AB23" s="50"/>
    </row>
    <row r="24" spans="1:28" ht="70" x14ac:dyDescent="0.15">
      <c r="A24" s="117">
        <v>11231019</v>
      </c>
      <c r="B24" s="117" t="s">
        <v>342</v>
      </c>
      <c r="C24" s="118">
        <v>3</v>
      </c>
      <c r="D24" s="118" t="s">
        <v>257</v>
      </c>
      <c r="E24" s="119" t="s">
        <v>265</v>
      </c>
      <c r="F24" s="119" t="s">
        <v>331</v>
      </c>
      <c r="G24" s="62" t="str">
        <f t="shared" si="0"/>
        <v>[effect:enemy_message, val1:1.5, val2:2.0]</v>
      </c>
      <c r="H24" s="62">
        <f t="shared" si="1"/>
        <v>9</v>
      </c>
      <c r="I24" s="62">
        <f t="shared" si="2"/>
        <v>22</v>
      </c>
      <c r="J24" s="62" t="e">
        <f t="shared" si="3"/>
        <v>#VALUE!</v>
      </c>
      <c r="K24" s="62">
        <f t="shared" si="4"/>
        <v>32</v>
      </c>
      <c r="L24" s="62" t="str">
        <f>IFERROR(VLOOKUP(MID(G24,J24,K24-J24),[6]skilldef!$C:$D,2,FALSE),"-") &amp; " / " &amp; IFERROR(VLOOKUP(MID(G24,H24,I24-H24),[6]skilldef!$A:$B,2,FALSE),"-")</f>
        <v>- / -</v>
      </c>
      <c r="M24" s="62" t="str">
        <f t="shared" si="5"/>
        <v xml:space="preserve">[effect:fix_speed, target:myself, turn:1],[effect:change_bomb_range, target:unit_green/unit_yellow, val:0.1, rate:1, turn:-1, animation:bomb_small]    </v>
      </c>
      <c r="N24" s="48" t="str">
        <f>IFERROR(LEFT(M24,FIND("],",M24)+#REF!),M24)</f>
        <v xml:space="preserve">[effect:fix_speed, target:myself, turn:1],[effect:change_bomb_range, target:unit_green/unit_yellow, val:0.1, rate:1, turn:-1, animation:bomb_small]    </v>
      </c>
      <c r="O24" s="62">
        <f t="shared" si="7"/>
        <v>9</v>
      </c>
      <c r="P24" s="62">
        <f t="shared" si="8"/>
        <v>18</v>
      </c>
      <c r="Q24" s="62">
        <f t="shared" si="9"/>
        <v>27</v>
      </c>
      <c r="R24" s="62">
        <f t="shared" si="10"/>
        <v>33</v>
      </c>
      <c r="S24" s="62" t="str">
        <f>IFERROR(VLOOKUP(MID(N24,Q24,R24-Q24),[6]skilldef!$C:$D,2,FALSE),"-") &amp; " / " &amp; IFERROR(VLOOKUP(MID(N24,O24,P24-O24),[6]skilldef!$A:$B,2,FALSE),"-")</f>
        <v>自分自身に / 行動値設定</v>
      </c>
      <c r="T24" s="48" t="str">
        <f t="shared" si="11"/>
        <v xml:space="preserve">[effect:change_bomb_range, target:unit_green/unit_yellow, val:0.1, rate:1, turn:-1, animation:bomb_small]    </v>
      </c>
      <c r="U24" s="62">
        <f t="shared" si="12"/>
        <v>9</v>
      </c>
      <c r="V24" s="62">
        <f t="shared" si="13"/>
        <v>26</v>
      </c>
      <c r="W24" s="62">
        <f t="shared" si="14"/>
        <v>35</v>
      </c>
      <c r="X24" s="62">
        <f t="shared" si="15"/>
        <v>57</v>
      </c>
      <c r="Y24" s="62" t="str">
        <f>IFERROR(VLOOKUP(MID(T24,W24,X24-W24),[6]skilldef!$C:$D,2,FALSE),"-") &amp; " / " &amp; IFERROR(VLOOKUP(MID(T24,U24,V24-U24),[6]skilldef!$A:$B,2,FALSE),"-")</f>
        <v>- / -</v>
      </c>
      <c r="Z24" s="50"/>
      <c r="AA24" s="51"/>
      <c r="AB24" s="50"/>
    </row>
    <row r="25" spans="1:28" ht="70" x14ac:dyDescent="0.15">
      <c r="A25" s="117">
        <v>11231032</v>
      </c>
      <c r="B25" s="117" t="s">
        <v>343</v>
      </c>
      <c r="C25" s="118">
        <v>3</v>
      </c>
      <c r="D25" s="118" t="s">
        <v>257</v>
      </c>
      <c r="E25" s="119" t="s">
        <v>302</v>
      </c>
      <c r="F25" s="119" t="s">
        <v>331</v>
      </c>
      <c r="G25" s="62" t="str">
        <f t="shared" ref="G25" si="17">IFERROR(LEFT(B25,FIND("],",B25)),B25)</f>
        <v>[effect:enemy_message, val1:1.8, val2:2.0]</v>
      </c>
      <c r="H25" s="62">
        <f t="shared" ref="H25" si="18">FIND("effect:",G25)+7</f>
        <v>9</v>
      </c>
      <c r="I25" s="62">
        <f t="shared" ref="I25" si="19">IFERROR(FIND(",",G25),LEN(G25))</f>
        <v>22</v>
      </c>
      <c r="J25" s="62" t="e">
        <f t="shared" ref="J25" si="20">FIND("target:",G25)+7</f>
        <v>#VALUE!</v>
      </c>
      <c r="K25" s="62">
        <f t="shared" ref="K25" si="21">FIND(",",G25,I25+1)</f>
        <v>32</v>
      </c>
      <c r="L25" s="62" t="str">
        <f>IFERROR(VLOOKUP(MID(G25,J25,K25-J25),[6]skilldef!$C:$D,2,FALSE),"-") &amp; " / " &amp; IFERROR(VLOOKUP(MID(G25,H25,I25-H25),[6]skilldef!$A:$B,2,FALSE),"-")</f>
        <v>- / -</v>
      </c>
      <c r="M25" s="62" t="str">
        <f t="shared" ref="M25" si="22">IFERROR(RIGHT(B25,LEN(B25)-FIND("],",B25)-1),"none")</f>
        <v xml:space="preserve">[effect:fix_speed, target:myself, turn:1],[effect:change_bomb_range, target:unit_green/unit_yellow, val:0.1, rate:1, turn:-1, animation:bomb_small]    </v>
      </c>
      <c r="N25" s="48" t="str">
        <f>IFERROR(LEFT(M25,FIND("],",M25)+#REF!),M25)</f>
        <v xml:space="preserve">[effect:fix_speed, target:myself, turn:1],[effect:change_bomb_range, target:unit_green/unit_yellow, val:0.1, rate:1, turn:-1, animation:bomb_small]    </v>
      </c>
      <c r="O25" s="62">
        <f t="shared" ref="O25" si="23">FIND("effect:",N25)+7</f>
        <v>9</v>
      </c>
      <c r="P25" s="62">
        <f t="shared" ref="P25" si="24">IFERROR(FIND(",",N25),LEN(N25))</f>
        <v>18</v>
      </c>
      <c r="Q25" s="62">
        <f t="shared" ref="Q25" si="25">FIND("target:",N25)+7</f>
        <v>27</v>
      </c>
      <c r="R25" s="62">
        <f t="shared" ref="R25" si="26">FIND(",",N25,P25+1)</f>
        <v>33</v>
      </c>
      <c r="S25" s="62" t="str">
        <f>IFERROR(VLOOKUP(MID(N25,Q25,R25-Q25),[6]skilldef!$C:$D,2,FALSE),"-") &amp; " / " &amp; IFERROR(VLOOKUP(MID(N25,O25,P25-O25),[6]skilldef!$A:$B,2,FALSE),"-")</f>
        <v>自分自身に / 行動値設定</v>
      </c>
      <c r="T25" s="48" t="str">
        <f t="shared" ref="T25" si="27">IFERROR(RIGHT(M25,LEN(M25)-FIND("],",M25)-1),"none")</f>
        <v xml:space="preserve">[effect:change_bomb_range, target:unit_green/unit_yellow, val:0.1, rate:1, turn:-1, animation:bomb_small]    </v>
      </c>
      <c r="U25" s="62">
        <f t="shared" ref="U25" si="28">FIND("effect:",T25)+7</f>
        <v>9</v>
      </c>
      <c r="V25" s="62">
        <f t="shared" ref="V25" si="29">IFERROR(FIND(",",T25),LEN(T25))</f>
        <v>26</v>
      </c>
      <c r="W25" s="62">
        <f t="shared" ref="W25" si="30">FIND("target:",T25)+7</f>
        <v>35</v>
      </c>
      <c r="X25" s="62">
        <f t="shared" ref="X25" si="31">FIND(",",T25,V25+1)</f>
        <v>57</v>
      </c>
      <c r="Y25" s="62" t="str">
        <f>IFERROR(VLOOKUP(MID(T25,W25,X25-W25),[6]skilldef!$C:$D,2,FALSE),"-") &amp; " / " &amp; IFERROR(VLOOKUP(MID(T25,U25,V25-U25),[6]skilldef!$A:$B,2,FALSE),"-")</f>
        <v>- / -</v>
      </c>
      <c r="Z25" s="50"/>
      <c r="AA25" s="51"/>
      <c r="AB25" s="50"/>
    </row>
    <row r="26" spans="1:28" ht="42" x14ac:dyDescent="0.15">
      <c r="A26" s="117">
        <v>11231020</v>
      </c>
      <c r="B26" s="117" t="s">
        <v>271</v>
      </c>
      <c r="C26" s="118">
        <v>3</v>
      </c>
      <c r="D26" s="118" t="s">
        <v>257</v>
      </c>
      <c r="E26" s="119" t="s">
        <v>266</v>
      </c>
      <c r="F26" s="119" t="s">
        <v>304</v>
      </c>
      <c r="G26" s="62" t="str">
        <f t="shared" si="0"/>
        <v>[effect:enemy_message, val1:1.7, val2:4.4]</v>
      </c>
      <c r="H26" s="62">
        <f t="shared" si="1"/>
        <v>9</v>
      </c>
      <c r="I26" s="62">
        <f t="shared" si="2"/>
        <v>22</v>
      </c>
      <c r="J26" s="62" t="e">
        <f t="shared" si="3"/>
        <v>#VALUE!</v>
      </c>
      <c r="K26" s="62">
        <f t="shared" si="4"/>
        <v>32</v>
      </c>
      <c r="L26" s="62" t="str">
        <f>IFERROR(VLOOKUP(MID(G26,J26,K26-J26),[6]skilldef!$C:$D,2,FALSE),"-") &amp; " / " &amp; IFERROR(VLOOKUP(MID(G26,H26,I26-H26),[6]skilldef!$A:$B,2,FALSE),"-")</f>
        <v>- / -</v>
      </c>
      <c r="M26" s="62" t="str">
        <f t="shared" si="5"/>
        <v>[effect:suicide, val:1, dead_type:escape, target:enemy_all]</v>
      </c>
      <c r="N26" s="48" t="str">
        <f>IFERROR(LEFT(M26,FIND("],",M26)+#REF!),M26)</f>
        <v>[effect:suicide, val:1, dead_type:escape, target:enemy_all]</v>
      </c>
      <c r="O26" s="62">
        <f t="shared" si="7"/>
        <v>9</v>
      </c>
      <c r="P26" s="62">
        <f t="shared" si="8"/>
        <v>16</v>
      </c>
      <c r="Q26" s="62">
        <f t="shared" si="9"/>
        <v>50</v>
      </c>
      <c r="R26" s="62">
        <f t="shared" si="10"/>
        <v>23</v>
      </c>
      <c r="S26" s="62" t="str">
        <f>IFERROR(VLOOKUP(MID(N26,Q26,R26-Q26),[6]skilldef!$C:$D,2,FALSE),"-") &amp; " / " &amp; IFERROR(VLOOKUP(MID(N26,O26,P26-O26),[6]skilldef!$A:$B,2,FALSE),"-")</f>
        <v>- / -</v>
      </c>
      <c r="T26" s="48" t="str">
        <f t="shared" si="11"/>
        <v>none</v>
      </c>
      <c r="U26" s="62" t="e">
        <f t="shared" si="12"/>
        <v>#VALUE!</v>
      </c>
      <c r="V26" s="62">
        <f t="shared" si="13"/>
        <v>4</v>
      </c>
      <c r="W26" s="62" t="e">
        <f t="shared" si="14"/>
        <v>#VALUE!</v>
      </c>
      <c r="X26" s="62" t="e">
        <f t="shared" si="15"/>
        <v>#VALUE!</v>
      </c>
      <c r="Y26" s="62" t="str">
        <f>IFERROR(VLOOKUP(MID(T26,W26,X26-W26),[6]skilldef!$C:$D,2,FALSE),"-") &amp; " / " &amp; IFERROR(VLOOKUP(MID(T26,U26,V26-U26),[6]skilldef!$A:$B,2,FALSE),"-")</f>
        <v>- / -</v>
      </c>
      <c r="Z26" s="50"/>
      <c r="AA26" s="51"/>
      <c r="AB26" s="50"/>
    </row>
    <row r="27" spans="1:28" ht="98" x14ac:dyDescent="0.15">
      <c r="A27" s="120">
        <v>11231021</v>
      </c>
      <c r="B27" s="120" t="s">
        <v>356</v>
      </c>
      <c r="C27" s="121">
        <v>3</v>
      </c>
      <c r="D27" s="121" t="s">
        <v>257</v>
      </c>
      <c r="E27" s="122" t="s">
        <v>350</v>
      </c>
      <c r="F27" s="122" t="s">
        <v>351</v>
      </c>
      <c r="G27" s="62" t="str">
        <f t="shared" si="0"/>
        <v>[effect:enemy_message, val1:1.5, val2:6.4]</v>
      </c>
      <c r="H27" s="62">
        <f t="shared" si="1"/>
        <v>9</v>
      </c>
      <c r="I27" s="62">
        <f t="shared" si="2"/>
        <v>22</v>
      </c>
      <c r="J27" s="62" t="e">
        <f t="shared" si="3"/>
        <v>#VALUE!</v>
      </c>
      <c r="K27" s="62">
        <f t="shared" si="4"/>
        <v>32</v>
      </c>
      <c r="L27" s="62" t="str">
        <f>IFERROR(VLOOKUP(MID(G27,J27,K27-J27),[6]skilldef!$C:$D,2,FALSE),"-") &amp; " / " &amp; IFERROR(VLOOKUP(MID(G27,H27,I27-H27),[6]skilldef!$A:$B,2,FALSE),"-")</f>
        <v>- / -</v>
      </c>
      <c r="M27" s="62" t="str">
        <f t="shared" si="5"/>
        <v>[effect:fix_speed, target:myself, turn:1],[effect:remove_enhancement, target:unit_green/unit_yellow, target_effect:change_bomb_range, target_type:debuff, animation:frozen_wave]</v>
      </c>
      <c r="N27" s="48" t="str">
        <f>IFERROR(LEFT(M27,FIND("],",M27)+#REF!),M27)</f>
        <v>[effect:fix_speed, target:myself, turn:1],[effect:remove_enhancement, target:unit_green/unit_yellow, target_effect:change_bomb_range, target_type:debuff, animation:frozen_wave]</v>
      </c>
      <c r="O27" s="62">
        <f t="shared" si="7"/>
        <v>9</v>
      </c>
      <c r="P27" s="62">
        <f t="shared" si="8"/>
        <v>18</v>
      </c>
      <c r="Q27" s="62">
        <f t="shared" si="9"/>
        <v>27</v>
      </c>
      <c r="R27" s="62">
        <f t="shared" si="10"/>
        <v>33</v>
      </c>
      <c r="S27" s="62" t="str">
        <f>IFERROR(VLOOKUP(MID(N27,Q27,R27-Q27),[6]skilldef!$C:$D,2,FALSE),"-") &amp; " / " &amp; IFERROR(VLOOKUP(MID(N27,O27,P27-O27),[6]skilldef!$A:$B,2,FALSE),"-")</f>
        <v>自分自身に / 行動値設定</v>
      </c>
      <c r="T27" s="48" t="str">
        <f t="shared" si="11"/>
        <v>[effect:remove_enhancement, target:unit_green/unit_yellow, target_effect:change_bomb_range, target_type:debuff, animation:frozen_wave]</v>
      </c>
      <c r="U27" s="62">
        <f t="shared" si="12"/>
        <v>9</v>
      </c>
      <c r="V27" s="62">
        <f t="shared" si="13"/>
        <v>27</v>
      </c>
      <c r="W27" s="62">
        <f t="shared" si="14"/>
        <v>36</v>
      </c>
      <c r="X27" s="62">
        <f t="shared" si="15"/>
        <v>58</v>
      </c>
      <c r="Y27" s="62" t="str">
        <f>IFERROR(VLOOKUP(MID(T27,W27,X27-W27),[6]skilldef!$C:$D,2,FALSE),"-") &amp; " / " &amp; IFERROR(VLOOKUP(MID(T27,U27,V27-U27),[6]skilldef!$A:$B,2,FALSE),"-")</f>
        <v>- / -</v>
      </c>
      <c r="Z27" s="50"/>
      <c r="AA27" s="51"/>
      <c r="AB27" s="50">
        <f>LEN(F27)</f>
        <v>67</v>
      </c>
    </row>
    <row r="28" spans="1:28" ht="42" x14ac:dyDescent="0.15">
      <c r="A28" s="120">
        <v>11231022</v>
      </c>
      <c r="B28" s="120" t="s">
        <v>357</v>
      </c>
      <c r="C28" s="121">
        <v>3</v>
      </c>
      <c r="D28" s="121" t="s">
        <v>257</v>
      </c>
      <c r="E28" s="122" t="s">
        <v>352</v>
      </c>
      <c r="F28" s="122" t="s">
        <v>353</v>
      </c>
      <c r="G28" s="62" t="str">
        <f t="shared" si="0"/>
        <v>[effect:enemy_message, val1:2.4, val2:3.6]</v>
      </c>
      <c r="H28" s="62">
        <f t="shared" si="1"/>
        <v>9</v>
      </c>
      <c r="I28" s="62">
        <f t="shared" si="2"/>
        <v>22</v>
      </c>
      <c r="J28" s="62" t="e">
        <f t="shared" si="3"/>
        <v>#VALUE!</v>
      </c>
      <c r="K28" s="62">
        <f t="shared" si="4"/>
        <v>32</v>
      </c>
      <c r="L28" s="62" t="str">
        <f>IFERROR(VLOOKUP(MID(G28,J28,K28-J28),[6]skilldef!$C:$D,2,FALSE),"-") &amp; " / " &amp; IFERROR(VLOOKUP(MID(G28,H28,I28-H28),[6]skilldef!$A:$B,2,FALSE),"-")</f>
        <v>- / -</v>
      </c>
      <c r="M28" s="62" t="str">
        <f t="shared" si="5"/>
        <v>[effect:enhance_unit, target:unit_all, turn:-1, status:action, val:2, calc:add]</v>
      </c>
      <c r="N28" s="48" t="str">
        <f>IFERROR(LEFT(M28,FIND("],",M28)+#REF!),M28)</f>
        <v>[effect:enhance_unit, target:unit_all, turn:-1, status:action, val:2, calc:add]</v>
      </c>
      <c r="O28" s="62">
        <f t="shared" si="7"/>
        <v>9</v>
      </c>
      <c r="P28" s="62">
        <f t="shared" si="8"/>
        <v>21</v>
      </c>
      <c r="Q28" s="62">
        <f t="shared" si="9"/>
        <v>30</v>
      </c>
      <c r="R28" s="62">
        <f t="shared" si="10"/>
        <v>38</v>
      </c>
      <c r="S28" s="62" t="str">
        <f>IFERROR(VLOOKUP(MID(N28,Q28,R28-Q28),[6]skilldef!$C:$D,2,FALSE),"-") &amp; " / " &amp; IFERROR(VLOOKUP(MID(N28,O28,P28-O28),[6]skilldef!$A:$B,2,FALSE),"-")</f>
        <v>味方全体に / -</v>
      </c>
      <c r="T28" s="48" t="str">
        <f t="shared" si="11"/>
        <v>none</v>
      </c>
      <c r="U28" s="62" t="e">
        <f t="shared" si="12"/>
        <v>#VALUE!</v>
      </c>
      <c r="V28" s="62">
        <f t="shared" si="13"/>
        <v>4</v>
      </c>
      <c r="W28" s="62" t="e">
        <f t="shared" si="14"/>
        <v>#VALUE!</v>
      </c>
      <c r="X28" s="62" t="e">
        <f t="shared" si="15"/>
        <v>#VALUE!</v>
      </c>
      <c r="Y28" s="62" t="str">
        <f>IFERROR(VLOOKUP(MID(T28,W28,X28-W28),[6]skilldef!$C:$D,2,FALSE),"-") &amp; " / " &amp; IFERROR(VLOOKUP(MID(T28,U28,V28-U28),[6]skilldef!$A:$B,2,FALSE),"-")</f>
        <v>- / -</v>
      </c>
      <c r="Z28" s="50"/>
      <c r="AA28" s="51"/>
      <c r="AB28" s="50">
        <f t="shared" ref="AB28:AB29" si="32">LEN(F28)</f>
        <v>37</v>
      </c>
    </row>
    <row r="29" spans="1:28" ht="84" x14ac:dyDescent="0.15">
      <c r="A29" s="120">
        <v>11231023</v>
      </c>
      <c r="B29" s="120" t="s">
        <v>358</v>
      </c>
      <c r="C29" s="121">
        <v>3</v>
      </c>
      <c r="D29" s="121" t="s">
        <v>257</v>
      </c>
      <c r="E29" s="122" t="s">
        <v>354</v>
      </c>
      <c r="F29" s="122" t="s">
        <v>355</v>
      </c>
      <c r="G29" s="62" t="str">
        <f t="shared" si="0"/>
        <v>[effect:enemy_message, val1:2.9, val2:4.5]</v>
      </c>
      <c r="H29" s="62">
        <f t="shared" si="1"/>
        <v>9</v>
      </c>
      <c r="I29" s="62">
        <f t="shared" si="2"/>
        <v>22</v>
      </c>
      <c r="J29" s="62" t="e">
        <f t="shared" si="3"/>
        <v>#VALUE!</v>
      </c>
      <c r="K29" s="62">
        <f t="shared" si="4"/>
        <v>32</v>
      </c>
      <c r="L29" s="62" t="str">
        <f>IFERROR(VLOOKUP(MID(G29,J29,K29-J29),[6]skilldef!$C:$D,2,FALSE),"-") &amp; " / " &amp; IFERROR(VLOOKUP(MID(G29,H29,I29-H29),[6]skilldef!$A:$B,2,FALSE),"-")</f>
        <v>- / -</v>
      </c>
      <c r="M29" s="62" t="str">
        <f t="shared" si="5"/>
        <v>[effect:crash_condition, target:unit_all, turn:-1, val:-11, animation:crash_panel_reduce04],[effect:suicide, val:1, dead_type:escape, target:enemy_all]</v>
      </c>
      <c r="N29" s="48" t="str">
        <f>IFERROR(LEFT(M29,FIND("],",M29)+#REF!),M29)</f>
        <v>[effect:crash_condition, target:unit_all, turn:-1, val:-11, animation:crash_panel_reduce04],[effect:suicide, val:1, dead_type:escape, target:enemy_all]</v>
      </c>
      <c r="O29" s="62">
        <f t="shared" si="7"/>
        <v>9</v>
      </c>
      <c r="P29" s="62">
        <f t="shared" si="8"/>
        <v>24</v>
      </c>
      <c r="Q29" s="62">
        <f t="shared" si="9"/>
        <v>33</v>
      </c>
      <c r="R29" s="62">
        <f t="shared" si="10"/>
        <v>41</v>
      </c>
      <c r="S29" s="62" t="str">
        <f>IFERROR(VLOOKUP(MID(N29,Q29,R29-Q29),[6]skilldef!$C:$D,2,FALSE),"-") &amp; " / " &amp; IFERROR(VLOOKUP(MID(N29,O29,P29-O29),[6]skilldef!$A:$B,2,FALSE),"-")</f>
        <v>味方全体に / -</v>
      </c>
      <c r="T29" s="48" t="str">
        <f t="shared" si="11"/>
        <v>[effect:suicide, val:1, dead_type:escape, target:enemy_all]</v>
      </c>
      <c r="U29" s="62">
        <f t="shared" si="12"/>
        <v>9</v>
      </c>
      <c r="V29" s="62">
        <f t="shared" si="13"/>
        <v>16</v>
      </c>
      <c r="W29" s="62">
        <f t="shared" si="14"/>
        <v>50</v>
      </c>
      <c r="X29" s="62">
        <f t="shared" si="15"/>
        <v>23</v>
      </c>
      <c r="Y29" s="62" t="str">
        <f>IFERROR(VLOOKUP(MID(T29,W29,X29-W29),[6]skilldef!$C:$D,2,FALSE),"-") &amp; " / " &amp; IFERROR(VLOOKUP(MID(T29,U29,V29-U29),[6]skilldef!$A:$B,2,FALSE),"-")</f>
        <v>- / -</v>
      </c>
      <c r="Z29" s="50"/>
      <c r="AA29" s="51"/>
      <c r="AB29" s="50">
        <f t="shared" si="32"/>
        <v>42</v>
      </c>
    </row>
    <row r="30" spans="1:28" ht="98" x14ac:dyDescent="0.15">
      <c r="A30" s="123">
        <v>11231024</v>
      </c>
      <c r="B30" s="123" t="s">
        <v>372</v>
      </c>
      <c r="C30" s="124">
        <v>3</v>
      </c>
      <c r="D30" s="124" t="s">
        <v>257</v>
      </c>
      <c r="E30" s="125" t="s">
        <v>303</v>
      </c>
      <c r="F30" s="125" t="s">
        <v>345</v>
      </c>
      <c r="G30" s="62" t="str">
        <f t="shared" si="0"/>
        <v>[effect:enemy_message, val1:1.9, val2:5.1]</v>
      </c>
      <c r="H30" s="62">
        <f t="shared" si="1"/>
        <v>9</v>
      </c>
      <c r="I30" s="62">
        <f t="shared" si="2"/>
        <v>22</v>
      </c>
      <c r="J30" s="62" t="e">
        <f t="shared" si="3"/>
        <v>#VALUE!</v>
      </c>
      <c r="K30" s="62">
        <f t="shared" si="4"/>
        <v>32</v>
      </c>
      <c r="L30" s="62" t="str">
        <f>IFERROR(VLOOKUP(MID(G30,J30,K30-J30),[6]skilldef!$C:$D,2,FALSE),"-") &amp; " / " &amp; IFERROR(VLOOKUP(MID(G30,H30,I30-H30),[6]skilldef!$A:$B,2,FALSE),"-")</f>
        <v>- / -</v>
      </c>
      <c r="M30" s="62" t="str">
        <f t="shared" si="5"/>
        <v>[effect:fix_speed, target:myself, turn:1],[effect:tolerance, target:myself, turn:-1, count:-1, tolerance_effect:all, animation:enemy_tolerance],[effect:break_enchance_enemy, target:myself, val:0.1, lowest_val:0.1, count:-1, status:attack, turn:-1, block01:crack_bomb, calc:mul, animation:enemy_enhance_attack]</v>
      </c>
      <c r="N30" s="48" t="str">
        <f>IFERROR(LEFT(M30,FIND("],",M30)+#REF!),M30)</f>
        <v>[effect:fix_speed, target:myself, turn:1],[effect:tolerance, target:myself, turn:-1, count:-1, tolerance_effect:all, animation:enemy_tolerance],[effect:break_enchance_enemy, target:myself, val:0.1, lowest_val:0.1, count:-1, status:attack, turn:-1, block01:crack_bomb, calc:mul, animation:enemy_enhance_attack]</v>
      </c>
      <c r="O30" s="62">
        <f t="shared" si="7"/>
        <v>9</v>
      </c>
      <c r="P30" s="62">
        <f t="shared" si="8"/>
        <v>18</v>
      </c>
      <c r="Q30" s="62">
        <f t="shared" si="9"/>
        <v>27</v>
      </c>
      <c r="R30" s="62">
        <f t="shared" si="10"/>
        <v>33</v>
      </c>
      <c r="S30" s="62" t="str">
        <f>IFERROR(VLOOKUP(MID(N30,Q30,R30-Q30),[6]skilldef!$C:$D,2,FALSE),"-") &amp; " / " &amp; IFERROR(VLOOKUP(MID(N30,O30,P30-O30),[6]skilldef!$A:$B,2,FALSE),"-")</f>
        <v>自分自身に / 行動値設定</v>
      </c>
      <c r="T30" s="48" t="str">
        <f t="shared" si="11"/>
        <v>[effect:tolerance, target:myself, turn:-1, count:-1, tolerance_effect:all, animation:enemy_tolerance],[effect:break_enchance_enemy, target:myself, val:0.1, lowest_val:0.1, count:-1, status:attack, turn:-1, block01:crack_bomb, calc:mul, animation:enemy_enhance_attack]</v>
      </c>
      <c r="U30" s="62">
        <f t="shared" si="12"/>
        <v>9</v>
      </c>
      <c r="V30" s="62">
        <f t="shared" si="13"/>
        <v>18</v>
      </c>
      <c r="W30" s="62">
        <f t="shared" si="14"/>
        <v>27</v>
      </c>
      <c r="X30" s="62">
        <f t="shared" si="15"/>
        <v>33</v>
      </c>
      <c r="Y30" s="62" t="str">
        <f>IFERROR(VLOOKUP(MID(T30,W30,X30-W30),[6]skilldef!$C:$D,2,FALSE),"-") &amp; " / " &amp; IFERROR(VLOOKUP(MID(T30,U30,V30-U30),[6]skilldef!$A:$B,2,FALSE),"-")</f>
        <v>自分自身に / 状態異常耐性</v>
      </c>
      <c r="Z30" s="50"/>
      <c r="AA30" s="51"/>
      <c r="AB30" s="50"/>
    </row>
    <row r="31" spans="1:28" ht="70" x14ac:dyDescent="0.15">
      <c r="A31" s="123">
        <v>11231025</v>
      </c>
      <c r="B31" s="123" t="s">
        <v>365</v>
      </c>
      <c r="C31" s="124">
        <v>3</v>
      </c>
      <c r="D31" s="124" t="s">
        <v>267</v>
      </c>
      <c r="E31" s="125" t="s">
        <v>332</v>
      </c>
      <c r="F31" s="125" t="s">
        <v>370</v>
      </c>
      <c r="G31" s="62" t="str">
        <f t="shared" si="0"/>
        <v>[effect:enemy_message, val1:1.4, val2:5.2]</v>
      </c>
      <c r="H31" s="62">
        <f t="shared" si="1"/>
        <v>9</v>
      </c>
      <c r="I31" s="62">
        <f t="shared" si="2"/>
        <v>22</v>
      </c>
      <c r="J31" s="62" t="e">
        <f t="shared" si="3"/>
        <v>#VALUE!</v>
      </c>
      <c r="K31" s="62">
        <f t="shared" si="4"/>
        <v>32</v>
      </c>
      <c r="L31" s="62" t="str">
        <f>IFERROR(VLOOKUP(MID(G31,J31,K31-J31),[6]skilldef!$C:$D,2,FALSE),"-") &amp; " / " &amp; IFERROR(VLOOKUP(MID(G31,H31,I31-H31),[6]skilldef!$A:$B,2,FALSE),"-")</f>
        <v>- / -</v>
      </c>
      <c r="M31" s="62" t="str">
        <f t="shared" si="5"/>
        <v>[effect:remove_enhancement, target:unit_red/unit_blue, target_effect:change_bomb_range, target_type:debuff, animation:frozen_wave]</v>
      </c>
      <c r="N31" s="48" t="str">
        <f>IFERROR(LEFT(M31,FIND("],",M31)+#REF!),M31)</f>
        <v>[effect:remove_enhancement, target:unit_red/unit_blue, target_effect:change_bomb_range, target_type:debuff, animation:frozen_wave]</v>
      </c>
      <c r="O31" s="62">
        <f t="shared" si="7"/>
        <v>9</v>
      </c>
      <c r="P31" s="62">
        <f t="shared" si="8"/>
        <v>27</v>
      </c>
      <c r="Q31" s="62">
        <f t="shared" si="9"/>
        <v>36</v>
      </c>
      <c r="R31" s="62">
        <f t="shared" si="10"/>
        <v>54</v>
      </c>
      <c r="S31" s="62" t="str">
        <f>IFERROR(VLOOKUP(MID(N31,Q31,R31-Q31),[6]skilldef!$C:$D,2,FALSE),"-") &amp; " / " &amp; IFERROR(VLOOKUP(MID(N31,O31,P31-O31),[6]skilldef!$A:$B,2,FALSE),"-")</f>
        <v>- / -</v>
      </c>
      <c r="T31" s="48" t="str">
        <f t="shared" si="11"/>
        <v>none</v>
      </c>
      <c r="U31" s="62" t="e">
        <f t="shared" si="12"/>
        <v>#VALUE!</v>
      </c>
      <c r="V31" s="62">
        <f t="shared" si="13"/>
        <v>4</v>
      </c>
      <c r="W31" s="62" t="e">
        <f t="shared" si="14"/>
        <v>#VALUE!</v>
      </c>
      <c r="X31" s="62" t="e">
        <f t="shared" si="15"/>
        <v>#VALUE!</v>
      </c>
      <c r="Y31" s="62" t="str">
        <f>IFERROR(VLOOKUP(MID(T31,W31,X31-W31),[6]skilldef!$C:$D,2,FALSE),"-") &amp; " / " &amp; IFERROR(VLOOKUP(MID(T31,U31,V31-U31),[6]skilldef!$A:$B,2,FALSE),"-")</f>
        <v>- / -</v>
      </c>
      <c r="Z31" s="50"/>
      <c r="AA31" s="51"/>
      <c r="AB31" s="50"/>
    </row>
    <row r="32" spans="1:28" ht="210" x14ac:dyDescent="0.15">
      <c r="A32" s="123">
        <v>11231026</v>
      </c>
      <c r="B32" s="123" t="s">
        <v>359</v>
      </c>
      <c r="C32" s="124">
        <v>3</v>
      </c>
      <c r="D32" s="124" t="s">
        <v>257</v>
      </c>
      <c r="E32" s="125" t="s">
        <v>284</v>
      </c>
      <c r="F32" s="125" t="s">
        <v>334</v>
      </c>
      <c r="G32" s="62" t="str">
        <f t="shared" si="0"/>
        <v>[effect:enemy_message, val1:2.3, val2:3.9]</v>
      </c>
      <c r="H32" s="62">
        <f t="shared" si="1"/>
        <v>9</v>
      </c>
      <c r="I32" s="62">
        <f t="shared" si="2"/>
        <v>22</v>
      </c>
      <c r="J32" s="62" t="e">
        <f t="shared" si="3"/>
        <v>#VALUE!</v>
      </c>
      <c r="K32" s="62">
        <f t="shared" si="4"/>
        <v>32</v>
      </c>
      <c r="L32" s="62" t="str">
        <f>IFERROR(VLOOKUP(MID(G32,J32,K32-J32),[6]skilldef!$C:$D,2,FALSE),"-") &amp; " / " &amp; IFERROR(VLOOKUP(MID(G32,H32,I32-H32),[6]skilldef!$A:$B,2,FALSE),"-")</f>
        <v>- / -</v>
      </c>
      <c r="M32" s="62" t="str">
        <f t="shared" si="5"/>
        <v xml:space="preserve">[effect:damage_gravity, target:enemy_one, val:0.2, animation:damage_gravity_one03],[effect:remove_enhancement, target:unit_all, target_effect:sleep, animation:frozen_wave],[effect:remove_enhancement, target:unit_all, target_effect:hungup, animation:frozen_wave],[effect:sp_boost, target:unit_all, val:20],[effect:reduction, target:myself, color:all, turn:-1, val:0.99, animation:reduction_one01]    </v>
      </c>
      <c r="N32" s="48" t="str">
        <f>IFERROR(LEFT(M32,FIND("],",M32)+#REF!),M32)</f>
        <v xml:space="preserve">[effect:damage_gravity, target:enemy_one, val:0.2, animation:damage_gravity_one03],[effect:remove_enhancement, target:unit_all, target_effect:sleep, animation:frozen_wave],[effect:remove_enhancement, target:unit_all, target_effect:hungup, animation:frozen_wave],[effect:sp_boost, target:unit_all, val:20],[effect:reduction, target:myself, color:all, turn:-1, val:0.99, animation:reduction_one01]    </v>
      </c>
      <c r="O32" s="62">
        <f t="shared" si="7"/>
        <v>9</v>
      </c>
      <c r="P32" s="62">
        <f t="shared" si="8"/>
        <v>23</v>
      </c>
      <c r="Q32" s="62">
        <f t="shared" si="9"/>
        <v>32</v>
      </c>
      <c r="R32" s="62">
        <f t="shared" si="10"/>
        <v>41</v>
      </c>
      <c r="S32" s="62" t="str">
        <f>IFERROR(VLOOKUP(MID(N32,Q32,R32-Q32),[6]skilldef!$C:$D,2,FALSE),"-") &amp; " / " &amp; IFERROR(VLOOKUP(MID(N32,O32,P32-O32),[6]skilldef!$A:$B,2,FALSE),"-")</f>
        <v>敵単体に / 割合ダメージ</v>
      </c>
      <c r="T32" s="48" t="str">
        <f t="shared" si="11"/>
        <v xml:space="preserve">[effect:remove_enhancement, target:unit_all, target_effect:sleep, animation:frozen_wave],[effect:remove_enhancement, target:unit_all, target_effect:hungup, animation:frozen_wave],[effect:sp_boost, target:unit_all, val:20],[effect:reduction, target:myself, color:all, turn:-1, val:0.99, animation:reduction_one01]    </v>
      </c>
      <c r="U32" s="62">
        <f t="shared" si="12"/>
        <v>9</v>
      </c>
      <c r="V32" s="62">
        <f t="shared" si="13"/>
        <v>27</v>
      </c>
      <c r="W32" s="62">
        <f t="shared" si="14"/>
        <v>36</v>
      </c>
      <c r="X32" s="62">
        <f t="shared" si="15"/>
        <v>44</v>
      </c>
      <c r="Y32" s="62" t="str">
        <f>IFERROR(VLOOKUP(MID(T32,W32,X32-W32),[6]skilldef!$C:$D,2,FALSE),"-") &amp; " / " &amp; IFERROR(VLOOKUP(MID(T32,U32,V32-U32),[6]skilldef!$A:$B,2,FALSE),"-")</f>
        <v>味方全体に / -</v>
      </c>
      <c r="Z32" s="50"/>
      <c r="AA32" s="51"/>
      <c r="AB32" s="50"/>
    </row>
    <row r="33" spans="1:28" ht="42" x14ac:dyDescent="0.15">
      <c r="A33" s="123">
        <v>11231027</v>
      </c>
      <c r="B33" s="123" t="s">
        <v>364</v>
      </c>
      <c r="C33" s="124">
        <v>3</v>
      </c>
      <c r="D33" s="124" t="s">
        <v>257</v>
      </c>
      <c r="E33" s="125" t="s">
        <v>333</v>
      </c>
      <c r="F33" s="125" t="s">
        <v>361</v>
      </c>
      <c r="G33" s="62" t="str">
        <f t="shared" si="0"/>
        <v>[effect:enemy_message, val1:2.1, val2:4.4]</v>
      </c>
      <c r="H33" s="62">
        <f t="shared" si="1"/>
        <v>9</v>
      </c>
      <c r="I33" s="62">
        <f t="shared" si="2"/>
        <v>22</v>
      </c>
      <c r="J33" s="62" t="e">
        <f t="shared" si="3"/>
        <v>#VALUE!</v>
      </c>
      <c r="K33" s="62">
        <f t="shared" si="4"/>
        <v>32</v>
      </c>
      <c r="L33" s="62" t="str">
        <f>IFERROR(VLOOKUP(MID(G33,J33,K33-J33),[6]skilldef!$C:$D,2,FALSE),"-") &amp; " / " &amp; IFERROR(VLOOKUP(MID(G33,H33,I33-H33),[6]skilldef!$A:$B,2,FALSE),"-")</f>
        <v>- / -</v>
      </c>
      <c r="M33" s="62" t="str">
        <f t="shared" si="5"/>
        <v>[effect:suicide, val:1, dead_type:escape, target:enemy_all]</v>
      </c>
      <c r="N33" s="48" t="str">
        <f>IFERROR(LEFT(M33,FIND("],",M33)+#REF!),M33)</f>
        <v>[effect:suicide, val:1, dead_type:escape, target:enemy_all]</v>
      </c>
      <c r="O33" s="62">
        <f t="shared" si="7"/>
        <v>9</v>
      </c>
      <c r="P33" s="62">
        <f t="shared" si="8"/>
        <v>16</v>
      </c>
      <c r="Q33" s="62">
        <f t="shared" si="9"/>
        <v>50</v>
      </c>
      <c r="R33" s="62">
        <f t="shared" si="10"/>
        <v>23</v>
      </c>
      <c r="S33" s="62" t="str">
        <f>IFERROR(VLOOKUP(MID(N33,Q33,R33-Q33),[6]skilldef!$C:$D,2,FALSE),"-") &amp; " / " &amp; IFERROR(VLOOKUP(MID(N33,O33,P33-O33),[6]skilldef!$A:$B,2,FALSE),"-")</f>
        <v>- / -</v>
      </c>
      <c r="T33" s="48" t="str">
        <f t="shared" si="11"/>
        <v>none</v>
      </c>
      <c r="U33" s="62" t="e">
        <f t="shared" si="12"/>
        <v>#VALUE!</v>
      </c>
      <c r="V33" s="62">
        <f t="shared" si="13"/>
        <v>4</v>
      </c>
      <c r="W33" s="62" t="e">
        <f t="shared" si="14"/>
        <v>#VALUE!</v>
      </c>
      <c r="X33" s="62" t="e">
        <f t="shared" si="15"/>
        <v>#VALUE!</v>
      </c>
      <c r="Y33" s="62" t="str">
        <f>IFERROR(VLOOKUP(MID(T33,W33,X33-W33),[6]skilldef!$C:$D,2,FALSE),"-") &amp; " / " &amp; IFERROR(VLOOKUP(MID(T33,U33,V33-U33),[6]skilldef!$A:$B,2,FALSE),"-")</f>
        <v>- / -</v>
      </c>
      <c r="Z33" s="50"/>
      <c r="AA33" s="51"/>
      <c r="AB33" s="50"/>
    </row>
    <row r="34" spans="1:28" ht="42" x14ac:dyDescent="0.15">
      <c r="A34" s="123">
        <v>11231028</v>
      </c>
      <c r="B34" s="123" t="s">
        <v>363</v>
      </c>
      <c r="C34" s="124">
        <v>3</v>
      </c>
      <c r="D34" s="124" t="s">
        <v>257</v>
      </c>
      <c r="E34" s="125" t="s">
        <v>362</v>
      </c>
      <c r="F34" s="125" t="s">
        <v>361</v>
      </c>
      <c r="G34" s="62" t="str">
        <f t="shared" ref="G34" si="33">IFERROR(LEFT(B34,FIND("],",B34)),B34)</f>
        <v>[effect:enemy_message, val1:2.9, val2:4.4]</v>
      </c>
      <c r="H34" s="62">
        <f t="shared" ref="H34" si="34">FIND("effect:",G34)+7</f>
        <v>9</v>
      </c>
      <c r="I34" s="62">
        <f t="shared" ref="I34" si="35">IFERROR(FIND(",",G34),LEN(G34))</f>
        <v>22</v>
      </c>
      <c r="J34" s="62" t="e">
        <f t="shared" ref="J34" si="36">FIND("target:",G34)+7</f>
        <v>#VALUE!</v>
      </c>
      <c r="K34" s="62">
        <f t="shared" ref="K34" si="37">FIND(",",G34,I34+1)</f>
        <v>32</v>
      </c>
      <c r="L34" s="62" t="str">
        <f>IFERROR(VLOOKUP(MID(G34,J34,K34-J34),[6]skilldef!$C:$D,2,FALSE),"-") &amp; " / " &amp; IFERROR(VLOOKUP(MID(G34,H34,I34-H34),[6]skilldef!$A:$B,2,FALSE),"-")</f>
        <v>- / -</v>
      </c>
      <c r="M34" s="62" t="str">
        <f t="shared" ref="M34" si="38">IFERROR(RIGHT(B34,LEN(B34)-FIND("],",B34)-1),"none")</f>
        <v>[effect:suicide, val:1, dead_type:escape, target:enemy_all]</v>
      </c>
      <c r="N34" s="48" t="str">
        <f>IFERROR(LEFT(M34,FIND("],",M34)+#REF!),M34)</f>
        <v>[effect:suicide, val:1, dead_type:escape, target:enemy_all]</v>
      </c>
      <c r="O34" s="62">
        <f t="shared" ref="O34" si="39">FIND("effect:",N34)+7</f>
        <v>9</v>
      </c>
      <c r="P34" s="62">
        <f t="shared" ref="P34" si="40">IFERROR(FIND(",",N34),LEN(N34))</f>
        <v>16</v>
      </c>
      <c r="Q34" s="62">
        <f t="shared" ref="Q34" si="41">FIND("target:",N34)+7</f>
        <v>50</v>
      </c>
      <c r="R34" s="62">
        <f t="shared" ref="R34" si="42">FIND(",",N34,P34+1)</f>
        <v>23</v>
      </c>
      <c r="S34" s="62" t="str">
        <f>IFERROR(VLOOKUP(MID(N34,Q34,R34-Q34),[6]skilldef!$C:$D,2,FALSE),"-") &amp; " / " &amp; IFERROR(VLOOKUP(MID(N34,O34,P34-O34),[6]skilldef!$A:$B,2,FALSE),"-")</f>
        <v>- / -</v>
      </c>
      <c r="T34" s="48" t="str">
        <f t="shared" ref="T34" si="43">IFERROR(RIGHT(M34,LEN(M34)-FIND("],",M34)-1),"none")</f>
        <v>none</v>
      </c>
      <c r="U34" s="62" t="e">
        <f t="shared" ref="U34" si="44">FIND("effect:",T34)+7</f>
        <v>#VALUE!</v>
      </c>
      <c r="V34" s="62">
        <f t="shared" ref="V34" si="45">IFERROR(FIND(",",T34),LEN(T34))</f>
        <v>4</v>
      </c>
      <c r="W34" s="62" t="e">
        <f t="shared" ref="W34" si="46">FIND("target:",T34)+7</f>
        <v>#VALUE!</v>
      </c>
      <c r="X34" s="62" t="e">
        <f t="shared" ref="X34" si="47">FIND(",",T34,V34+1)</f>
        <v>#VALUE!</v>
      </c>
      <c r="Y34" s="62" t="str">
        <f>IFERROR(VLOOKUP(MID(T34,W34,X34-W34),[6]skilldef!$C:$D,2,FALSE),"-") &amp; " / " &amp; IFERROR(VLOOKUP(MID(T34,U34,V34-U34),[6]skilldef!$A:$B,2,FALSE),"-")</f>
        <v>- / -</v>
      </c>
      <c r="Z34" s="50"/>
      <c r="AA34" s="51"/>
      <c r="AB34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L62"/>
  <sheetViews>
    <sheetView showGridLines="0" workbookViewId="0">
      <pane ySplit="1" topLeftCell="A29" activePane="bottomLeft" state="frozenSplit"/>
      <selection pane="bottomLeft" activeCell="A49" sqref="A49:A6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2" width="12.83203125" style="126"/>
    <col min="13" max="16384" width="12.83203125" style="45"/>
  </cols>
  <sheetData>
    <row r="1" spans="1:12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2" t="s">
        <v>70</v>
      </c>
      <c r="G1" s="52" t="s">
        <v>71</v>
      </c>
      <c r="H1" s="42" t="s">
        <v>72</v>
      </c>
      <c r="I1" s="42" t="s">
        <v>73</v>
      </c>
      <c r="J1" s="42" t="s">
        <v>74</v>
      </c>
      <c r="K1" s="53" t="s">
        <v>87</v>
      </c>
    </row>
    <row r="2" spans="1:12" ht="21" customHeight="1" x14ac:dyDescent="0.15">
      <c r="A2" s="104">
        <v>11231000</v>
      </c>
      <c r="B2" s="47">
        <v>1</v>
      </c>
      <c r="C2" s="47">
        <v>100</v>
      </c>
      <c r="D2" s="47">
        <v>100</v>
      </c>
      <c r="E2" s="47" t="s">
        <v>268</v>
      </c>
      <c r="F2" s="47" t="s">
        <v>268</v>
      </c>
      <c r="G2" s="47">
        <v>1</v>
      </c>
      <c r="H2" s="47" t="s">
        <v>268</v>
      </c>
      <c r="I2" s="47" t="s">
        <v>268</v>
      </c>
      <c r="J2" s="48">
        <f t="shared" ref="J2" si="0">D2</f>
        <v>100</v>
      </c>
    </row>
    <row r="3" spans="1:12" ht="21" customHeight="1" x14ac:dyDescent="0.15">
      <c r="A3" s="104">
        <v>11231001</v>
      </c>
      <c r="B3" s="47">
        <v>0</v>
      </c>
      <c r="C3" s="47">
        <v>99</v>
      </c>
      <c r="D3" s="47">
        <v>100</v>
      </c>
      <c r="E3" s="47" t="s">
        <v>268</v>
      </c>
      <c r="F3" s="47" t="s">
        <v>268</v>
      </c>
      <c r="G3" s="47">
        <v>1</v>
      </c>
      <c r="H3" s="47" t="s">
        <v>268</v>
      </c>
      <c r="I3" s="47" t="s">
        <v>268</v>
      </c>
      <c r="J3" s="48">
        <f t="shared" ref="J3:J29" si="1">D3</f>
        <v>100</v>
      </c>
    </row>
    <row r="4" spans="1:12" ht="21" customHeight="1" x14ac:dyDescent="0.15">
      <c r="A4" s="108">
        <v>11231002</v>
      </c>
      <c r="B4" s="47">
        <v>1</v>
      </c>
      <c r="C4" s="47">
        <v>100</v>
      </c>
      <c r="D4" s="47">
        <v>100</v>
      </c>
      <c r="E4" s="47" t="s">
        <v>268</v>
      </c>
      <c r="F4" s="47" t="s">
        <v>268</v>
      </c>
      <c r="G4" s="47">
        <v>1</v>
      </c>
      <c r="H4" s="47" t="s">
        <v>268</v>
      </c>
      <c r="I4" s="47" t="s">
        <v>268</v>
      </c>
      <c r="J4" s="48">
        <f t="shared" si="1"/>
        <v>100</v>
      </c>
    </row>
    <row r="5" spans="1:12" ht="21" customHeight="1" x14ac:dyDescent="0.15">
      <c r="A5" s="108">
        <v>11231003</v>
      </c>
      <c r="B5" s="47">
        <v>0</v>
      </c>
      <c r="C5" s="47">
        <v>99</v>
      </c>
      <c r="D5" s="47">
        <v>100</v>
      </c>
      <c r="E5" s="47" t="s">
        <v>268</v>
      </c>
      <c r="F5" s="47" t="s">
        <v>268</v>
      </c>
      <c r="G5" s="47">
        <v>1</v>
      </c>
      <c r="H5" s="47" t="s">
        <v>268</v>
      </c>
      <c r="I5" s="47" t="s">
        <v>268</v>
      </c>
      <c r="J5" s="48">
        <f t="shared" si="1"/>
        <v>100</v>
      </c>
    </row>
    <row r="6" spans="1:12" ht="21" customHeight="1" x14ac:dyDescent="0.15">
      <c r="A6" s="108">
        <v>11231004</v>
      </c>
      <c r="B6" s="47">
        <v>0</v>
      </c>
      <c r="C6" s="47">
        <v>98</v>
      </c>
      <c r="D6" s="47">
        <v>100</v>
      </c>
      <c r="E6" s="47" t="s">
        <v>268</v>
      </c>
      <c r="F6" s="47" t="s">
        <v>268</v>
      </c>
      <c r="G6" s="47">
        <v>1</v>
      </c>
      <c r="H6" s="47" t="s">
        <v>268</v>
      </c>
      <c r="I6" s="47" t="s">
        <v>268</v>
      </c>
      <c r="J6" s="48">
        <f t="shared" si="1"/>
        <v>100</v>
      </c>
    </row>
    <row r="7" spans="1:12" ht="21" customHeight="1" x14ac:dyDescent="0.15">
      <c r="A7" s="108">
        <v>11231005</v>
      </c>
      <c r="B7" s="47">
        <v>0</v>
      </c>
      <c r="C7" s="47">
        <v>97</v>
      </c>
      <c r="D7" s="47">
        <v>100</v>
      </c>
      <c r="E7" s="47" t="s">
        <v>268</v>
      </c>
      <c r="F7" s="47" t="s">
        <v>268</v>
      </c>
      <c r="G7" s="47">
        <v>1</v>
      </c>
      <c r="H7" s="47" t="s">
        <v>268</v>
      </c>
      <c r="I7" s="47" t="s">
        <v>268</v>
      </c>
      <c r="J7" s="48">
        <f t="shared" si="1"/>
        <v>100</v>
      </c>
    </row>
    <row r="8" spans="1:12" ht="21" customHeight="1" x14ac:dyDescent="0.15">
      <c r="A8" s="114">
        <v>11231006</v>
      </c>
      <c r="B8" s="47">
        <v>1</v>
      </c>
      <c r="C8" s="47">
        <v>100</v>
      </c>
      <c r="D8" s="47">
        <v>100</v>
      </c>
      <c r="E8" s="47" t="s">
        <v>268</v>
      </c>
      <c r="F8" s="47" t="s">
        <v>268</v>
      </c>
      <c r="G8" s="47">
        <v>1</v>
      </c>
      <c r="H8" s="47" t="s">
        <v>268</v>
      </c>
      <c r="I8" s="47" t="s">
        <v>268</v>
      </c>
      <c r="J8" s="48">
        <f t="shared" si="1"/>
        <v>100</v>
      </c>
    </row>
    <row r="9" spans="1:12" ht="21" customHeight="1" x14ac:dyDescent="0.15">
      <c r="A9" s="114">
        <v>11231007</v>
      </c>
      <c r="B9" s="47">
        <v>1</v>
      </c>
      <c r="C9" s="47">
        <v>101</v>
      </c>
      <c r="D9" s="47">
        <v>100</v>
      </c>
      <c r="E9" s="47" t="s">
        <v>268</v>
      </c>
      <c r="F9" s="47" t="s">
        <v>268</v>
      </c>
      <c r="G9" s="47">
        <v>1</v>
      </c>
      <c r="H9" s="47" t="s">
        <v>268</v>
      </c>
      <c r="I9" s="47">
        <v>472</v>
      </c>
      <c r="J9" s="48">
        <f t="shared" si="1"/>
        <v>100</v>
      </c>
      <c r="L9" s="126" t="s">
        <v>244</v>
      </c>
    </row>
    <row r="10" spans="1:12" ht="21" customHeight="1" x14ac:dyDescent="0.15">
      <c r="A10" s="114">
        <v>11231008</v>
      </c>
      <c r="B10" s="47">
        <v>1</v>
      </c>
      <c r="C10" s="47">
        <v>102</v>
      </c>
      <c r="D10" s="47">
        <v>100</v>
      </c>
      <c r="E10" s="47" t="s">
        <v>268</v>
      </c>
      <c r="F10" s="47" t="s">
        <v>268</v>
      </c>
      <c r="G10" s="47">
        <v>1</v>
      </c>
      <c r="H10" s="47" t="s">
        <v>268</v>
      </c>
      <c r="I10" s="47">
        <v>462</v>
      </c>
      <c r="J10" s="48">
        <f t="shared" si="1"/>
        <v>100</v>
      </c>
      <c r="L10" s="126" t="s">
        <v>245</v>
      </c>
    </row>
    <row r="11" spans="1:12" ht="21" customHeight="1" x14ac:dyDescent="0.15">
      <c r="A11" s="114">
        <v>11231009</v>
      </c>
      <c r="B11" s="47">
        <v>1</v>
      </c>
      <c r="C11" s="47">
        <v>103</v>
      </c>
      <c r="D11" s="47">
        <v>100</v>
      </c>
      <c r="E11" s="47" t="s">
        <v>268</v>
      </c>
      <c r="F11" s="47" t="s">
        <v>268</v>
      </c>
      <c r="G11" s="47">
        <v>1</v>
      </c>
      <c r="H11" s="47" t="s">
        <v>268</v>
      </c>
      <c r="I11" s="47">
        <v>232</v>
      </c>
      <c r="J11" s="48">
        <f t="shared" si="1"/>
        <v>100</v>
      </c>
      <c r="L11" s="126" t="s">
        <v>246</v>
      </c>
    </row>
    <row r="12" spans="1:12" ht="21" customHeight="1" x14ac:dyDescent="0.15">
      <c r="A12" s="114">
        <v>11231010</v>
      </c>
      <c r="B12" s="47">
        <v>0</v>
      </c>
      <c r="C12" s="47">
        <v>99</v>
      </c>
      <c r="D12" s="47">
        <v>100</v>
      </c>
      <c r="E12" s="47" t="s">
        <v>268</v>
      </c>
      <c r="F12" s="47" t="s">
        <v>268</v>
      </c>
      <c r="G12" s="47">
        <v>1</v>
      </c>
      <c r="H12" s="47" t="s">
        <v>268</v>
      </c>
      <c r="I12" s="47" t="s">
        <v>268</v>
      </c>
      <c r="J12" s="48">
        <f t="shared" si="1"/>
        <v>100</v>
      </c>
    </row>
    <row r="13" spans="1:12" ht="21" customHeight="1" x14ac:dyDescent="0.15">
      <c r="A13" s="111">
        <v>11231011</v>
      </c>
      <c r="B13" s="47">
        <v>1</v>
      </c>
      <c r="C13" s="47">
        <v>100</v>
      </c>
      <c r="D13" s="47">
        <v>100</v>
      </c>
      <c r="E13" s="47" t="s">
        <v>268</v>
      </c>
      <c r="F13" s="47" t="s">
        <v>268</v>
      </c>
      <c r="G13" s="47">
        <v>1</v>
      </c>
      <c r="H13" s="47" t="s">
        <v>268</v>
      </c>
      <c r="I13" s="47" t="s">
        <v>268</v>
      </c>
      <c r="J13" s="48">
        <f t="shared" si="1"/>
        <v>100</v>
      </c>
    </row>
    <row r="14" spans="1:12" ht="21" customHeight="1" x14ac:dyDescent="0.15">
      <c r="A14" s="111">
        <v>11231012</v>
      </c>
      <c r="B14" s="47">
        <v>1</v>
      </c>
      <c r="C14" s="47">
        <v>101</v>
      </c>
      <c r="D14" s="47">
        <v>100</v>
      </c>
      <c r="E14" s="47" t="s">
        <v>268</v>
      </c>
      <c r="F14" s="47" t="s">
        <v>268</v>
      </c>
      <c r="G14" s="47">
        <v>1</v>
      </c>
      <c r="H14" s="47" t="s">
        <v>268</v>
      </c>
      <c r="I14" s="47">
        <v>320</v>
      </c>
      <c r="J14" s="48">
        <f t="shared" si="1"/>
        <v>100</v>
      </c>
      <c r="L14" s="126" t="s">
        <v>247</v>
      </c>
    </row>
    <row r="15" spans="1:12" ht="21" customHeight="1" x14ac:dyDescent="0.15">
      <c r="A15" s="111">
        <v>11231013</v>
      </c>
      <c r="B15" s="47">
        <v>1</v>
      </c>
      <c r="C15" s="47">
        <v>102</v>
      </c>
      <c r="D15" s="47">
        <v>100</v>
      </c>
      <c r="E15" s="47" t="s">
        <v>268</v>
      </c>
      <c r="F15" s="47" t="s">
        <v>268</v>
      </c>
      <c r="G15" s="47">
        <v>1</v>
      </c>
      <c r="H15" s="47" t="s">
        <v>268</v>
      </c>
      <c r="I15" s="47">
        <v>322</v>
      </c>
      <c r="J15" s="48">
        <f t="shared" si="1"/>
        <v>100</v>
      </c>
      <c r="L15" s="126" t="s">
        <v>248</v>
      </c>
    </row>
    <row r="16" spans="1:12" ht="21" customHeight="1" x14ac:dyDescent="0.15">
      <c r="A16" s="111">
        <v>11231014</v>
      </c>
      <c r="B16" s="47">
        <v>1</v>
      </c>
      <c r="C16" s="47">
        <v>103</v>
      </c>
      <c r="D16" s="47">
        <v>100</v>
      </c>
      <c r="E16" s="47" t="s">
        <v>268</v>
      </c>
      <c r="F16" s="47" t="s">
        <v>268</v>
      </c>
      <c r="G16" s="47">
        <v>1</v>
      </c>
      <c r="H16" s="47" t="s">
        <v>268</v>
      </c>
      <c r="I16" s="47">
        <v>326</v>
      </c>
      <c r="J16" s="48">
        <f t="shared" si="1"/>
        <v>100</v>
      </c>
      <c r="L16" s="126" t="s">
        <v>249</v>
      </c>
    </row>
    <row r="17" spans="1:12" ht="21" customHeight="1" x14ac:dyDescent="0.15">
      <c r="A17" s="111">
        <v>11231015</v>
      </c>
      <c r="B17" s="47">
        <v>0</v>
      </c>
      <c r="C17" s="47">
        <v>99</v>
      </c>
      <c r="D17" s="47">
        <v>100</v>
      </c>
      <c r="E17" s="47" t="s">
        <v>268</v>
      </c>
      <c r="F17" s="47" t="s">
        <v>268</v>
      </c>
      <c r="G17" s="47">
        <v>1</v>
      </c>
      <c r="H17" s="47" t="s">
        <v>268</v>
      </c>
      <c r="I17" s="47" t="s">
        <v>268</v>
      </c>
      <c r="J17" s="48">
        <f t="shared" si="1"/>
        <v>100</v>
      </c>
    </row>
    <row r="18" spans="1:12" ht="21" customHeight="1" x14ac:dyDescent="0.15">
      <c r="A18" s="108">
        <v>11231016</v>
      </c>
      <c r="B18" s="47">
        <v>1</v>
      </c>
      <c r="C18" s="47">
        <v>100</v>
      </c>
      <c r="D18" s="47">
        <v>100</v>
      </c>
      <c r="E18" s="47" t="s">
        <v>268</v>
      </c>
      <c r="F18" s="47" t="s">
        <v>268</v>
      </c>
      <c r="G18" s="47">
        <v>1</v>
      </c>
      <c r="H18" s="47" t="s">
        <v>268</v>
      </c>
      <c r="I18" s="47" t="s">
        <v>268</v>
      </c>
      <c r="J18" s="48">
        <f t="shared" si="1"/>
        <v>100</v>
      </c>
    </row>
    <row r="19" spans="1:12" ht="21" customHeight="1" x14ac:dyDescent="0.15">
      <c r="A19" s="108">
        <v>11231017</v>
      </c>
      <c r="B19" s="47">
        <v>0</v>
      </c>
      <c r="C19" s="47">
        <v>99</v>
      </c>
      <c r="D19" s="47">
        <v>100</v>
      </c>
      <c r="E19" s="47" t="s">
        <v>268</v>
      </c>
      <c r="F19" s="47" t="s">
        <v>268</v>
      </c>
      <c r="G19" s="47">
        <v>1</v>
      </c>
      <c r="H19" s="47" t="s">
        <v>268</v>
      </c>
      <c r="I19" s="47" t="s">
        <v>268</v>
      </c>
      <c r="J19" s="48">
        <f t="shared" si="1"/>
        <v>100</v>
      </c>
    </row>
    <row r="20" spans="1:12" ht="21" customHeight="1" x14ac:dyDescent="0.15">
      <c r="A20" s="108">
        <v>11231018</v>
      </c>
      <c r="B20" s="47">
        <v>0</v>
      </c>
      <c r="C20" s="47">
        <v>98</v>
      </c>
      <c r="D20" s="47">
        <v>100</v>
      </c>
      <c r="E20" s="47" t="s">
        <v>268</v>
      </c>
      <c r="F20" s="47" t="s">
        <v>268</v>
      </c>
      <c r="G20" s="47">
        <v>1</v>
      </c>
      <c r="H20" s="47" t="s">
        <v>268</v>
      </c>
      <c r="I20" s="47" t="s">
        <v>268</v>
      </c>
      <c r="J20" s="48">
        <f t="shared" si="1"/>
        <v>100</v>
      </c>
    </row>
    <row r="21" spans="1:12" ht="21" customHeight="1" x14ac:dyDescent="0.15">
      <c r="A21" s="117">
        <v>11231019</v>
      </c>
      <c r="B21" s="47">
        <v>1</v>
      </c>
      <c r="C21" s="47">
        <v>100</v>
      </c>
      <c r="D21" s="47">
        <v>100</v>
      </c>
      <c r="E21" s="47" t="s">
        <v>268</v>
      </c>
      <c r="F21" s="47" t="s">
        <v>268</v>
      </c>
      <c r="G21" s="47">
        <v>1</v>
      </c>
      <c r="H21" s="47" t="s">
        <v>268</v>
      </c>
      <c r="I21" s="47" t="s">
        <v>268</v>
      </c>
      <c r="J21" s="48">
        <f t="shared" si="1"/>
        <v>100</v>
      </c>
    </row>
    <row r="22" spans="1:12" ht="21" customHeight="1" x14ac:dyDescent="0.15">
      <c r="A22" s="117">
        <v>11231020</v>
      </c>
      <c r="B22" s="47">
        <v>0</v>
      </c>
      <c r="C22" s="47">
        <v>99</v>
      </c>
      <c r="D22" s="47">
        <v>100</v>
      </c>
      <c r="E22" s="47" t="s">
        <v>268</v>
      </c>
      <c r="F22" s="47" t="s">
        <v>268</v>
      </c>
      <c r="G22" s="47">
        <v>1</v>
      </c>
      <c r="H22" s="47" t="s">
        <v>268</v>
      </c>
      <c r="I22" s="47" t="s">
        <v>268</v>
      </c>
      <c r="J22" s="48">
        <f t="shared" si="1"/>
        <v>100</v>
      </c>
    </row>
    <row r="23" spans="1:12" ht="21" customHeight="1" x14ac:dyDescent="0.15">
      <c r="A23" s="120">
        <v>11231021</v>
      </c>
      <c r="B23" s="47">
        <v>1</v>
      </c>
      <c r="C23" s="47">
        <v>100</v>
      </c>
      <c r="D23" s="47">
        <v>100</v>
      </c>
      <c r="E23" s="47" t="s">
        <v>268</v>
      </c>
      <c r="F23" s="47" t="s">
        <v>268</v>
      </c>
      <c r="G23" s="47">
        <v>1</v>
      </c>
      <c r="H23" s="47" t="s">
        <v>268</v>
      </c>
      <c r="I23" s="47" t="s">
        <v>268</v>
      </c>
      <c r="J23" s="48">
        <f t="shared" si="1"/>
        <v>100</v>
      </c>
    </row>
    <row r="24" spans="1:12" ht="21" customHeight="1" x14ac:dyDescent="0.15">
      <c r="A24" s="120">
        <v>11231022</v>
      </c>
      <c r="B24" s="47">
        <v>0</v>
      </c>
      <c r="C24" s="47">
        <v>99</v>
      </c>
      <c r="D24" s="47">
        <v>100</v>
      </c>
      <c r="E24" s="47" t="s">
        <v>268</v>
      </c>
      <c r="F24" s="47" t="s">
        <v>268</v>
      </c>
      <c r="G24" s="47">
        <v>1</v>
      </c>
      <c r="H24" s="47" t="s">
        <v>268</v>
      </c>
      <c r="I24" s="47" t="s">
        <v>268</v>
      </c>
      <c r="J24" s="48">
        <f t="shared" si="1"/>
        <v>100</v>
      </c>
    </row>
    <row r="25" spans="1:12" ht="21" customHeight="1" x14ac:dyDescent="0.15">
      <c r="A25" s="120">
        <v>11231023</v>
      </c>
      <c r="B25" s="47">
        <v>0</v>
      </c>
      <c r="C25" s="47">
        <v>98</v>
      </c>
      <c r="D25" s="47">
        <v>100</v>
      </c>
      <c r="E25" s="47" t="s">
        <v>268</v>
      </c>
      <c r="F25" s="47" t="s">
        <v>268</v>
      </c>
      <c r="G25" s="47">
        <v>1</v>
      </c>
      <c r="H25" s="47" t="s">
        <v>268</v>
      </c>
      <c r="I25" s="47" t="s">
        <v>268</v>
      </c>
      <c r="J25" s="48">
        <f t="shared" si="1"/>
        <v>100</v>
      </c>
    </row>
    <row r="26" spans="1:12" ht="21" customHeight="1" x14ac:dyDescent="0.15">
      <c r="A26" s="123">
        <v>11231024</v>
      </c>
      <c r="B26" s="47">
        <v>1</v>
      </c>
      <c r="C26" s="47">
        <v>100</v>
      </c>
      <c r="D26" s="47">
        <v>100</v>
      </c>
      <c r="E26" s="47" t="s">
        <v>268</v>
      </c>
      <c r="F26" s="47" t="s">
        <v>268</v>
      </c>
      <c r="G26" s="47">
        <v>1</v>
      </c>
      <c r="H26" s="47" t="s">
        <v>268</v>
      </c>
      <c r="I26" s="47" t="s">
        <v>268</v>
      </c>
      <c r="J26" s="48">
        <f t="shared" si="1"/>
        <v>100</v>
      </c>
    </row>
    <row r="27" spans="1:12" ht="21" customHeight="1" x14ac:dyDescent="0.15">
      <c r="A27" s="123">
        <v>11231025</v>
      </c>
      <c r="B27" s="47">
        <v>0</v>
      </c>
      <c r="C27" s="47">
        <v>99</v>
      </c>
      <c r="D27" s="47">
        <v>100</v>
      </c>
      <c r="E27" s="47" t="s">
        <v>268</v>
      </c>
      <c r="F27" s="47" t="s">
        <v>268</v>
      </c>
      <c r="G27" s="47">
        <v>1</v>
      </c>
      <c r="H27" s="47" t="s">
        <v>268</v>
      </c>
      <c r="I27" s="47" t="s">
        <v>268</v>
      </c>
      <c r="J27" s="48">
        <f t="shared" si="1"/>
        <v>100</v>
      </c>
    </row>
    <row r="28" spans="1:12" ht="21" customHeight="1" x14ac:dyDescent="0.15">
      <c r="A28" s="123">
        <v>11231026</v>
      </c>
      <c r="B28" s="47">
        <v>0</v>
      </c>
      <c r="C28" s="47">
        <v>98</v>
      </c>
      <c r="D28" s="47">
        <v>100</v>
      </c>
      <c r="E28" s="47" t="s">
        <v>268</v>
      </c>
      <c r="F28" s="47" t="s">
        <v>268</v>
      </c>
      <c r="G28" s="47">
        <v>1</v>
      </c>
      <c r="H28" s="47" t="s">
        <v>268</v>
      </c>
      <c r="I28" s="47" t="s">
        <v>268</v>
      </c>
      <c r="J28" s="48">
        <f t="shared" si="1"/>
        <v>100</v>
      </c>
    </row>
    <row r="29" spans="1:12" ht="21" customHeight="1" x14ac:dyDescent="0.15">
      <c r="A29" s="123">
        <v>11231027</v>
      </c>
      <c r="B29" s="47">
        <v>0</v>
      </c>
      <c r="C29" s="47">
        <v>97</v>
      </c>
      <c r="D29" s="47">
        <v>100</v>
      </c>
      <c r="E29" s="47" t="s">
        <v>268</v>
      </c>
      <c r="F29" s="47">
        <v>50</v>
      </c>
      <c r="G29" s="47">
        <v>1</v>
      </c>
      <c r="H29" s="47" t="s">
        <v>268</v>
      </c>
      <c r="I29" s="47" t="s">
        <v>268</v>
      </c>
      <c r="J29" s="48">
        <f t="shared" si="1"/>
        <v>100</v>
      </c>
    </row>
    <row r="30" spans="1:12" ht="21" customHeight="1" x14ac:dyDescent="0.15">
      <c r="A30" s="123">
        <v>11231028</v>
      </c>
      <c r="B30" s="47">
        <v>0</v>
      </c>
      <c r="C30" s="47">
        <v>96</v>
      </c>
      <c r="D30" s="47">
        <v>100</v>
      </c>
      <c r="E30" s="47">
        <v>50</v>
      </c>
      <c r="F30" s="47" t="s">
        <v>268</v>
      </c>
      <c r="G30" s="47">
        <v>1</v>
      </c>
      <c r="H30" s="47" t="s">
        <v>268</v>
      </c>
      <c r="I30" s="47" t="s">
        <v>268</v>
      </c>
      <c r="J30" s="48">
        <f t="shared" ref="J30:J33" si="2">D30</f>
        <v>100</v>
      </c>
    </row>
    <row r="31" spans="1:12" ht="21" customHeight="1" x14ac:dyDescent="0.15">
      <c r="A31" s="114">
        <v>11231029</v>
      </c>
      <c r="B31" s="47">
        <v>1</v>
      </c>
      <c r="C31" s="47">
        <v>104</v>
      </c>
      <c r="D31" s="47">
        <v>100</v>
      </c>
      <c r="E31" s="47" t="s">
        <v>268</v>
      </c>
      <c r="F31" s="47" t="s">
        <v>268</v>
      </c>
      <c r="G31" s="47">
        <v>1</v>
      </c>
      <c r="H31" s="47" t="s">
        <v>268</v>
      </c>
      <c r="I31" s="47">
        <v>473</v>
      </c>
      <c r="J31" s="48">
        <f t="shared" si="2"/>
        <v>100</v>
      </c>
      <c r="L31" s="126" t="s">
        <v>244</v>
      </c>
    </row>
    <row r="32" spans="1:12" ht="21" customHeight="1" x14ac:dyDescent="0.15">
      <c r="A32" s="114">
        <v>11231030</v>
      </c>
      <c r="B32" s="47">
        <v>1</v>
      </c>
      <c r="C32" s="47">
        <v>105</v>
      </c>
      <c r="D32" s="47">
        <v>100</v>
      </c>
      <c r="E32" s="47" t="s">
        <v>268</v>
      </c>
      <c r="F32" s="47" t="s">
        <v>268</v>
      </c>
      <c r="G32" s="47">
        <v>1</v>
      </c>
      <c r="H32" s="47" t="s">
        <v>268</v>
      </c>
      <c r="I32" s="47">
        <v>463</v>
      </c>
      <c r="J32" s="48">
        <f t="shared" si="2"/>
        <v>100</v>
      </c>
      <c r="L32" s="126" t="s">
        <v>245</v>
      </c>
    </row>
    <row r="33" spans="1:12" ht="21" customHeight="1" x14ac:dyDescent="0.15">
      <c r="A33" s="114">
        <v>11231031</v>
      </c>
      <c r="B33" s="47">
        <v>1</v>
      </c>
      <c r="C33" s="47">
        <v>106</v>
      </c>
      <c r="D33" s="47">
        <v>100</v>
      </c>
      <c r="E33" s="47" t="s">
        <v>268</v>
      </c>
      <c r="F33" s="47" t="s">
        <v>268</v>
      </c>
      <c r="G33" s="47">
        <v>1</v>
      </c>
      <c r="H33" s="47" t="s">
        <v>268</v>
      </c>
      <c r="I33" s="47">
        <v>233</v>
      </c>
      <c r="J33" s="48">
        <f t="shared" si="2"/>
        <v>100</v>
      </c>
      <c r="L33" s="126" t="s">
        <v>246</v>
      </c>
    </row>
    <row r="34" spans="1:12" ht="21" customHeight="1" x14ac:dyDescent="0.15">
      <c r="A34" s="114">
        <v>11231032</v>
      </c>
      <c r="B34" s="47">
        <v>1</v>
      </c>
      <c r="C34" s="47">
        <v>107</v>
      </c>
      <c r="D34" s="47">
        <v>100</v>
      </c>
      <c r="E34" s="47" t="s">
        <v>268</v>
      </c>
      <c r="F34" s="47" t="s">
        <v>268</v>
      </c>
      <c r="G34" s="47">
        <v>1</v>
      </c>
      <c r="H34" s="47" t="s">
        <v>268</v>
      </c>
      <c r="I34" s="47">
        <v>820</v>
      </c>
      <c r="J34" s="48">
        <f t="shared" ref="J34:J36" si="3">D34</f>
        <v>100</v>
      </c>
      <c r="L34" s="126" t="s">
        <v>244</v>
      </c>
    </row>
    <row r="35" spans="1:12" ht="21" customHeight="1" x14ac:dyDescent="0.15">
      <c r="A35" s="114">
        <v>11231033</v>
      </c>
      <c r="B35" s="47">
        <v>1</v>
      </c>
      <c r="C35" s="47">
        <v>108</v>
      </c>
      <c r="D35" s="47">
        <v>100</v>
      </c>
      <c r="E35" s="47" t="s">
        <v>268</v>
      </c>
      <c r="F35" s="47" t="s">
        <v>268</v>
      </c>
      <c r="G35" s="47">
        <v>1</v>
      </c>
      <c r="H35" s="47" t="s">
        <v>268</v>
      </c>
      <c r="I35" s="47">
        <v>464</v>
      </c>
      <c r="J35" s="48">
        <f t="shared" si="3"/>
        <v>100</v>
      </c>
      <c r="L35" s="126" t="s">
        <v>245</v>
      </c>
    </row>
    <row r="36" spans="1:12" ht="21" customHeight="1" x14ac:dyDescent="0.15">
      <c r="A36" s="114">
        <v>11231034</v>
      </c>
      <c r="B36" s="47">
        <v>1</v>
      </c>
      <c r="C36" s="47">
        <v>109</v>
      </c>
      <c r="D36" s="47">
        <v>100</v>
      </c>
      <c r="E36" s="47" t="s">
        <v>268</v>
      </c>
      <c r="F36" s="47" t="s">
        <v>268</v>
      </c>
      <c r="G36" s="47">
        <v>1</v>
      </c>
      <c r="H36" s="47" t="s">
        <v>268</v>
      </c>
      <c r="I36" s="47">
        <v>234</v>
      </c>
      <c r="J36" s="48">
        <f t="shared" si="3"/>
        <v>100</v>
      </c>
      <c r="L36" s="126" t="s">
        <v>246</v>
      </c>
    </row>
    <row r="37" spans="1:12" ht="21" customHeight="1" x14ac:dyDescent="0.15">
      <c r="A37" s="111">
        <v>11231035</v>
      </c>
      <c r="B37" s="47">
        <v>1</v>
      </c>
      <c r="C37" s="47">
        <v>104</v>
      </c>
      <c r="D37" s="47">
        <v>100</v>
      </c>
      <c r="E37" s="47" t="s">
        <v>268</v>
      </c>
      <c r="F37" s="47" t="s">
        <v>268</v>
      </c>
      <c r="G37" s="47">
        <v>1</v>
      </c>
      <c r="H37" s="47" t="s">
        <v>268</v>
      </c>
      <c r="I37" s="47">
        <v>321</v>
      </c>
      <c r="J37" s="48">
        <f t="shared" ref="J37:J39" si="4">D37</f>
        <v>100</v>
      </c>
      <c r="L37" s="126" t="s">
        <v>247</v>
      </c>
    </row>
    <row r="38" spans="1:12" ht="21" customHeight="1" x14ac:dyDescent="0.15">
      <c r="A38" s="111">
        <v>11231036</v>
      </c>
      <c r="B38" s="47">
        <v>1</v>
      </c>
      <c r="C38" s="47">
        <v>105</v>
      </c>
      <c r="D38" s="47">
        <v>100</v>
      </c>
      <c r="E38" s="47" t="s">
        <v>268</v>
      </c>
      <c r="F38" s="47" t="s">
        <v>268</v>
      </c>
      <c r="G38" s="47">
        <v>1</v>
      </c>
      <c r="H38" s="47" t="s">
        <v>268</v>
      </c>
      <c r="I38" s="47">
        <v>323</v>
      </c>
      <c r="J38" s="48">
        <f t="shared" si="4"/>
        <v>100</v>
      </c>
      <c r="L38" s="126" t="s">
        <v>248</v>
      </c>
    </row>
    <row r="39" spans="1:12" ht="21" customHeight="1" x14ac:dyDescent="0.15">
      <c r="A39" s="111">
        <v>11231037</v>
      </c>
      <c r="B39" s="47">
        <v>1</v>
      </c>
      <c r="C39" s="47">
        <v>106</v>
      </c>
      <c r="D39" s="47">
        <v>100</v>
      </c>
      <c r="E39" s="47" t="s">
        <v>268</v>
      </c>
      <c r="F39" s="47" t="s">
        <v>268</v>
      </c>
      <c r="G39" s="47">
        <v>1</v>
      </c>
      <c r="H39" s="47" t="s">
        <v>268</v>
      </c>
      <c r="I39" s="47">
        <v>327</v>
      </c>
      <c r="J39" s="48">
        <f t="shared" si="4"/>
        <v>100</v>
      </c>
      <c r="L39" s="126" t="s">
        <v>249</v>
      </c>
    </row>
    <row r="40" spans="1:12" ht="21" customHeight="1" x14ac:dyDescent="0.15">
      <c r="A40" s="111">
        <v>11231038</v>
      </c>
      <c r="B40" s="47">
        <v>1</v>
      </c>
      <c r="C40" s="47">
        <v>107</v>
      </c>
      <c r="D40" s="47">
        <v>100</v>
      </c>
      <c r="E40" s="47" t="s">
        <v>268</v>
      </c>
      <c r="F40" s="47" t="s">
        <v>268</v>
      </c>
      <c r="G40" s="47">
        <v>1</v>
      </c>
      <c r="H40" s="47" t="s">
        <v>268</v>
      </c>
      <c r="I40" s="47">
        <v>838</v>
      </c>
      <c r="J40" s="48">
        <f t="shared" ref="J40:J43" si="5">D40</f>
        <v>100</v>
      </c>
      <c r="L40" s="126" t="s">
        <v>247</v>
      </c>
    </row>
    <row r="41" spans="1:12" ht="21" customHeight="1" x14ac:dyDescent="0.15">
      <c r="A41" s="111">
        <v>11231039</v>
      </c>
      <c r="B41" s="47">
        <v>1</v>
      </c>
      <c r="C41" s="47">
        <v>108</v>
      </c>
      <c r="D41" s="47">
        <v>100</v>
      </c>
      <c r="E41" s="47" t="s">
        <v>268</v>
      </c>
      <c r="F41" s="47" t="s">
        <v>268</v>
      </c>
      <c r="G41" s="47">
        <v>1</v>
      </c>
      <c r="H41" s="47" t="s">
        <v>268</v>
      </c>
      <c r="I41" s="47">
        <v>966</v>
      </c>
      <c r="J41" s="48">
        <f t="shared" si="5"/>
        <v>100</v>
      </c>
      <c r="L41" s="126" t="s">
        <v>248</v>
      </c>
    </row>
    <row r="42" spans="1:12" ht="21" customHeight="1" x14ac:dyDescent="0.15">
      <c r="A42" s="111">
        <v>11231040</v>
      </c>
      <c r="B42" s="47">
        <v>1</v>
      </c>
      <c r="C42" s="47">
        <v>109</v>
      </c>
      <c r="D42" s="47">
        <v>100</v>
      </c>
      <c r="E42" s="47" t="s">
        <v>268</v>
      </c>
      <c r="F42" s="47" t="s">
        <v>268</v>
      </c>
      <c r="G42" s="47">
        <v>1</v>
      </c>
      <c r="H42" s="47" t="s">
        <v>268</v>
      </c>
      <c r="I42" s="47">
        <v>967</v>
      </c>
      <c r="J42" s="48">
        <f t="shared" si="5"/>
        <v>100</v>
      </c>
      <c r="L42" s="126" t="s">
        <v>249</v>
      </c>
    </row>
    <row r="43" spans="1:12" ht="21" customHeight="1" x14ac:dyDescent="0.15">
      <c r="A43" s="108">
        <v>11231041</v>
      </c>
      <c r="B43" s="47">
        <v>1</v>
      </c>
      <c r="C43" s="47">
        <v>106</v>
      </c>
      <c r="D43" s="47">
        <v>100</v>
      </c>
      <c r="E43" s="47" t="s">
        <v>268</v>
      </c>
      <c r="F43" s="47" t="s">
        <v>268</v>
      </c>
      <c r="G43" s="47">
        <v>1</v>
      </c>
      <c r="H43" s="47" t="s">
        <v>268</v>
      </c>
      <c r="I43" s="47">
        <v>1020</v>
      </c>
      <c r="J43" s="48">
        <f t="shared" si="5"/>
        <v>100</v>
      </c>
      <c r="L43" s="126" t="s">
        <v>321</v>
      </c>
    </row>
    <row r="44" spans="1:12" ht="21" customHeight="1" x14ac:dyDescent="0.15">
      <c r="A44" s="108">
        <v>11231042</v>
      </c>
      <c r="B44" s="47">
        <v>1</v>
      </c>
      <c r="C44" s="47">
        <v>105</v>
      </c>
      <c r="D44" s="47">
        <v>100</v>
      </c>
      <c r="E44" s="47" t="s">
        <v>268</v>
      </c>
      <c r="F44" s="47" t="s">
        <v>268</v>
      </c>
      <c r="G44" s="47">
        <v>1</v>
      </c>
      <c r="H44" s="47" t="s">
        <v>268</v>
      </c>
      <c r="I44" s="47">
        <v>1021</v>
      </c>
      <c r="J44" s="48">
        <f t="shared" ref="J44:J45" si="6">D44</f>
        <v>100</v>
      </c>
      <c r="L44" s="126" t="s">
        <v>321</v>
      </c>
    </row>
    <row r="45" spans="1:12" ht="21" customHeight="1" x14ac:dyDescent="0.15">
      <c r="A45" s="108">
        <v>11231043</v>
      </c>
      <c r="B45" s="47">
        <v>1</v>
      </c>
      <c r="C45" s="47">
        <v>104</v>
      </c>
      <c r="D45" s="47">
        <v>100</v>
      </c>
      <c r="E45" s="47" t="s">
        <v>268</v>
      </c>
      <c r="F45" s="47" t="s">
        <v>268</v>
      </c>
      <c r="G45" s="47">
        <v>1</v>
      </c>
      <c r="H45" s="47" t="s">
        <v>268</v>
      </c>
      <c r="I45" s="47">
        <v>1022</v>
      </c>
      <c r="J45" s="48">
        <f t="shared" si="6"/>
        <v>100</v>
      </c>
      <c r="L45" s="126" t="s">
        <v>322</v>
      </c>
    </row>
    <row r="46" spans="1:12" ht="21" customHeight="1" x14ac:dyDescent="0.15">
      <c r="A46" s="108">
        <v>11231044</v>
      </c>
      <c r="B46" s="47">
        <v>1</v>
      </c>
      <c r="C46" s="47">
        <v>103</v>
      </c>
      <c r="D46" s="47">
        <v>100</v>
      </c>
      <c r="E46" s="47" t="s">
        <v>268</v>
      </c>
      <c r="F46" s="47" t="s">
        <v>268</v>
      </c>
      <c r="G46" s="47">
        <v>1</v>
      </c>
      <c r="H46" s="47" t="s">
        <v>268</v>
      </c>
      <c r="I46" s="47">
        <v>1023</v>
      </c>
      <c r="J46" s="48">
        <f t="shared" ref="J46:J49" si="7">D46</f>
        <v>100</v>
      </c>
      <c r="L46" s="126" t="s">
        <v>322</v>
      </c>
    </row>
    <row r="47" spans="1:12" ht="21" customHeight="1" x14ac:dyDescent="0.15">
      <c r="A47" s="108">
        <v>11231045</v>
      </c>
      <c r="B47" s="47">
        <v>1</v>
      </c>
      <c r="C47" s="47">
        <v>102</v>
      </c>
      <c r="D47" s="47">
        <v>100</v>
      </c>
      <c r="E47" s="47" t="s">
        <v>268</v>
      </c>
      <c r="F47" s="47" t="s">
        <v>268</v>
      </c>
      <c r="G47" s="47">
        <v>1</v>
      </c>
      <c r="H47" s="47" t="s">
        <v>268</v>
      </c>
      <c r="I47" s="47">
        <v>1024</v>
      </c>
      <c r="J47" s="48">
        <f t="shared" si="7"/>
        <v>100</v>
      </c>
      <c r="L47" s="126" t="s">
        <v>323</v>
      </c>
    </row>
    <row r="48" spans="1:12" ht="21" customHeight="1" x14ac:dyDescent="0.15">
      <c r="A48" s="108">
        <v>11231046</v>
      </c>
      <c r="B48" s="47">
        <v>1</v>
      </c>
      <c r="C48" s="47">
        <v>101</v>
      </c>
      <c r="D48" s="47">
        <v>100</v>
      </c>
      <c r="E48" s="47" t="s">
        <v>268</v>
      </c>
      <c r="F48" s="47" t="s">
        <v>268</v>
      </c>
      <c r="G48" s="47">
        <v>1</v>
      </c>
      <c r="H48" s="47" t="s">
        <v>268</v>
      </c>
      <c r="I48" s="47">
        <v>1025</v>
      </c>
      <c r="J48" s="48">
        <f t="shared" si="7"/>
        <v>100</v>
      </c>
      <c r="L48" s="126" t="s">
        <v>323</v>
      </c>
    </row>
    <row r="49" spans="1:12" ht="21" customHeight="1" x14ac:dyDescent="0.15">
      <c r="A49" s="117">
        <v>11231047</v>
      </c>
      <c r="B49" s="47">
        <v>1</v>
      </c>
      <c r="C49" s="47">
        <v>101</v>
      </c>
      <c r="D49" s="47">
        <v>100</v>
      </c>
      <c r="E49" s="47" t="s">
        <v>268</v>
      </c>
      <c r="F49" s="47" t="s">
        <v>268</v>
      </c>
      <c r="G49" s="47">
        <v>1</v>
      </c>
      <c r="H49" s="47" t="s">
        <v>268</v>
      </c>
      <c r="I49" s="47">
        <v>1094</v>
      </c>
      <c r="J49" s="48">
        <f t="shared" si="7"/>
        <v>100</v>
      </c>
      <c r="L49" s="126" t="s">
        <v>310</v>
      </c>
    </row>
    <row r="50" spans="1:12" ht="21" customHeight="1" x14ac:dyDescent="0.15">
      <c r="A50" s="117">
        <v>11231048</v>
      </c>
      <c r="B50" s="47">
        <v>1</v>
      </c>
      <c r="C50" s="47">
        <v>102</v>
      </c>
      <c r="D50" s="47">
        <v>100</v>
      </c>
      <c r="E50" s="47" t="s">
        <v>268</v>
      </c>
      <c r="F50" s="47" t="s">
        <v>268</v>
      </c>
      <c r="G50" s="47">
        <v>1</v>
      </c>
      <c r="H50" s="47" t="s">
        <v>268</v>
      </c>
      <c r="I50" s="47">
        <v>1095</v>
      </c>
      <c r="J50" s="48">
        <f t="shared" ref="J50:J62" si="8">D50</f>
        <v>100</v>
      </c>
      <c r="L50" s="126" t="s">
        <v>310</v>
      </c>
    </row>
    <row r="51" spans="1:12" ht="21" customHeight="1" x14ac:dyDescent="0.15">
      <c r="A51" s="117">
        <v>11231049</v>
      </c>
      <c r="B51" s="47">
        <v>1</v>
      </c>
      <c r="C51" s="47">
        <v>103</v>
      </c>
      <c r="D51" s="47">
        <v>100</v>
      </c>
      <c r="E51" s="47" t="s">
        <v>268</v>
      </c>
      <c r="F51" s="47" t="s">
        <v>268</v>
      </c>
      <c r="G51" s="47">
        <v>1</v>
      </c>
      <c r="H51" s="47" t="s">
        <v>268</v>
      </c>
      <c r="I51" s="47">
        <v>1096</v>
      </c>
      <c r="J51" s="48">
        <f t="shared" si="8"/>
        <v>100</v>
      </c>
      <c r="L51" s="126" t="s">
        <v>311</v>
      </c>
    </row>
    <row r="52" spans="1:12" ht="21" customHeight="1" x14ac:dyDescent="0.15">
      <c r="A52" s="117">
        <v>11231050</v>
      </c>
      <c r="B52" s="47">
        <v>1</v>
      </c>
      <c r="C52" s="47">
        <v>104</v>
      </c>
      <c r="D52" s="47">
        <v>100</v>
      </c>
      <c r="E52" s="47" t="s">
        <v>268</v>
      </c>
      <c r="F52" s="47" t="s">
        <v>268</v>
      </c>
      <c r="G52" s="47">
        <v>1</v>
      </c>
      <c r="H52" s="47" t="s">
        <v>268</v>
      </c>
      <c r="I52" s="47">
        <v>1097</v>
      </c>
      <c r="J52" s="48">
        <f t="shared" si="8"/>
        <v>100</v>
      </c>
      <c r="L52" s="126" t="s">
        <v>311</v>
      </c>
    </row>
    <row r="53" spans="1:12" ht="21" customHeight="1" x14ac:dyDescent="0.15">
      <c r="A53" s="117">
        <v>11231051</v>
      </c>
      <c r="B53" s="47">
        <v>1</v>
      </c>
      <c r="C53" s="47">
        <v>105</v>
      </c>
      <c r="D53" s="47">
        <v>100</v>
      </c>
      <c r="E53" s="47" t="s">
        <v>268</v>
      </c>
      <c r="F53" s="47" t="s">
        <v>268</v>
      </c>
      <c r="G53" s="47">
        <v>1</v>
      </c>
      <c r="H53" s="47" t="s">
        <v>268</v>
      </c>
      <c r="I53" s="47">
        <v>1098</v>
      </c>
      <c r="J53" s="48">
        <f t="shared" si="8"/>
        <v>100</v>
      </c>
      <c r="L53" s="126" t="s">
        <v>312</v>
      </c>
    </row>
    <row r="54" spans="1:12" ht="21" customHeight="1" x14ac:dyDescent="0.15">
      <c r="A54" s="117">
        <v>11231052</v>
      </c>
      <c r="B54" s="47">
        <v>1</v>
      </c>
      <c r="C54" s="47">
        <v>106</v>
      </c>
      <c r="D54" s="47">
        <v>100</v>
      </c>
      <c r="E54" s="47" t="s">
        <v>268</v>
      </c>
      <c r="F54" s="47" t="s">
        <v>268</v>
      </c>
      <c r="G54" s="47">
        <v>1</v>
      </c>
      <c r="H54" s="47" t="s">
        <v>268</v>
      </c>
      <c r="I54" s="47">
        <v>1099</v>
      </c>
      <c r="J54" s="48">
        <f t="shared" si="8"/>
        <v>100</v>
      </c>
      <c r="L54" s="126" t="s">
        <v>313</v>
      </c>
    </row>
    <row r="55" spans="1:12" ht="21" customHeight="1" x14ac:dyDescent="0.15">
      <c r="A55" s="117">
        <v>11231053</v>
      </c>
      <c r="B55" s="47">
        <v>1</v>
      </c>
      <c r="C55" s="47">
        <v>107</v>
      </c>
      <c r="D55" s="47">
        <v>100</v>
      </c>
      <c r="E55" s="47" t="s">
        <v>268</v>
      </c>
      <c r="F55" s="47" t="s">
        <v>268</v>
      </c>
      <c r="G55" s="47">
        <v>1</v>
      </c>
      <c r="H55" s="47" t="s">
        <v>268</v>
      </c>
      <c r="I55" s="47">
        <v>1100</v>
      </c>
      <c r="J55" s="48">
        <f t="shared" si="8"/>
        <v>100</v>
      </c>
      <c r="L55" s="126" t="s">
        <v>316</v>
      </c>
    </row>
    <row r="56" spans="1:12" ht="21" customHeight="1" x14ac:dyDescent="0.15">
      <c r="A56" s="117">
        <v>11231054</v>
      </c>
      <c r="B56" s="47">
        <v>1</v>
      </c>
      <c r="C56" s="47">
        <v>108</v>
      </c>
      <c r="D56" s="47">
        <v>100</v>
      </c>
      <c r="E56" s="47" t="s">
        <v>268</v>
      </c>
      <c r="F56" s="47" t="s">
        <v>268</v>
      </c>
      <c r="G56" s="47">
        <v>1</v>
      </c>
      <c r="H56" s="47" t="s">
        <v>268</v>
      </c>
      <c r="I56" s="47">
        <v>1101</v>
      </c>
      <c r="J56" s="48">
        <f t="shared" si="8"/>
        <v>100</v>
      </c>
      <c r="L56" s="126" t="s">
        <v>316</v>
      </c>
    </row>
    <row r="57" spans="1:12" ht="21" customHeight="1" x14ac:dyDescent="0.15">
      <c r="A57" s="117">
        <v>11231055</v>
      </c>
      <c r="B57" s="47">
        <v>1</v>
      </c>
      <c r="C57" s="47">
        <v>109</v>
      </c>
      <c r="D57" s="47">
        <v>100</v>
      </c>
      <c r="E57" s="47" t="s">
        <v>268</v>
      </c>
      <c r="F57" s="47" t="s">
        <v>268</v>
      </c>
      <c r="G57" s="47">
        <v>1</v>
      </c>
      <c r="H57" s="47" t="s">
        <v>268</v>
      </c>
      <c r="I57" s="47">
        <v>1102</v>
      </c>
      <c r="J57" s="48">
        <f t="shared" si="8"/>
        <v>100</v>
      </c>
      <c r="L57" s="126" t="s">
        <v>317</v>
      </c>
    </row>
    <row r="58" spans="1:12" ht="21" customHeight="1" x14ac:dyDescent="0.15">
      <c r="A58" s="117">
        <v>11231056</v>
      </c>
      <c r="B58" s="47">
        <v>1</v>
      </c>
      <c r="C58" s="47">
        <v>110</v>
      </c>
      <c r="D58" s="47">
        <v>100</v>
      </c>
      <c r="E58" s="47" t="s">
        <v>268</v>
      </c>
      <c r="F58" s="47" t="s">
        <v>268</v>
      </c>
      <c r="G58" s="47">
        <v>1</v>
      </c>
      <c r="H58" s="47" t="s">
        <v>268</v>
      </c>
      <c r="I58" s="47">
        <v>1103</v>
      </c>
      <c r="J58" s="48">
        <f t="shared" si="8"/>
        <v>100</v>
      </c>
      <c r="L58" s="126" t="s">
        <v>318</v>
      </c>
    </row>
    <row r="59" spans="1:12" ht="21" customHeight="1" x14ac:dyDescent="0.15">
      <c r="A59" s="117">
        <v>11231057</v>
      </c>
      <c r="B59" s="47">
        <v>1</v>
      </c>
      <c r="C59" s="47">
        <v>111</v>
      </c>
      <c r="D59" s="47">
        <v>100</v>
      </c>
      <c r="E59" s="47" t="s">
        <v>268</v>
      </c>
      <c r="F59" s="47" t="s">
        <v>268</v>
      </c>
      <c r="G59" s="47">
        <v>1</v>
      </c>
      <c r="H59" s="47" t="s">
        <v>268</v>
      </c>
      <c r="I59" s="47">
        <v>1104</v>
      </c>
      <c r="J59" s="48">
        <f t="shared" si="8"/>
        <v>100</v>
      </c>
      <c r="L59" s="126" t="s">
        <v>319</v>
      </c>
    </row>
    <row r="60" spans="1:12" ht="21" customHeight="1" x14ac:dyDescent="0.15">
      <c r="A60" s="117">
        <v>11231058</v>
      </c>
      <c r="B60" s="47">
        <v>1</v>
      </c>
      <c r="C60" s="47">
        <v>112</v>
      </c>
      <c r="D60" s="47">
        <v>100</v>
      </c>
      <c r="E60" s="47" t="s">
        <v>268</v>
      </c>
      <c r="F60" s="47" t="s">
        <v>268</v>
      </c>
      <c r="G60" s="47">
        <v>1</v>
      </c>
      <c r="H60" s="47" t="s">
        <v>268</v>
      </c>
      <c r="I60" s="47">
        <v>1105</v>
      </c>
      <c r="J60" s="48">
        <f t="shared" si="8"/>
        <v>100</v>
      </c>
      <c r="L60" s="126" t="s">
        <v>320</v>
      </c>
    </row>
    <row r="61" spans="1:12" ht="21" customHeight="1" x14ac:dyDescent="0.15">
      <c r="A61" s="117">
        <v>11231059</v>
      </c>
      <c r="B61" s="47">
        <v>1</v>
      </c>
      <c r="C61" s="47">
        <v>113</v>
      </c>
      <c r="D61" s="47">
        <v>100</v>
      </c>
      <c r="E61" s="47" t="s">
        <v>268</v>
      </c>
      <c r="F61" s="47" t="s">
        <v>268</v>
      </c>
      <c r="G61" s="47">
        <v>1</v>
      </c>
      <c r="H61" s="47" t="s">
        <v>268</v>
      </c>
      <c r="I61" s="47">
        <v>1106</v>
      </c>
      <c r="J61" s="48">
        <f t="shared" si="8"/>
        <v>100</v>
      </c>
      <c r="L61" s="126" t="s">
        <v>314</v>
      </c>
    </row>
    <row r="62" spans="1:12" ht="21" customHeight="1" x14ac:dyDescent="0.15">
      <c r="A62" s="117">
        <v>11231060</v>
      </c>
      <c r="B62" s="47">
        <v>1</v>
      </c>
      <c r="C62" s="47">
        <v>114</v>
      </c>
      <c r="D62" s="47">
        <v>100</v>
      </c>
      <c r="E62" s="47" t="s">
        <v>268</v>
      </c>
      <c r="F62" s="47" t="s">
        <v>268</v>
      </c>
      <c r="G62" s="47">
        <v>1</v>
      </c>
      <c r="H62" s="47" t="s">
        <v>268</v>
      </c>
      <c r="I62" s="47">
        <v>1107</v>
      </c>
      <c r="J62" s="48">
        <f t="shared" si="8"/>
        <v>100</v>
      </c>
      <c r="L62" s="126" t="s">
        <v>315</v>
      </c>
    </row>
  </sheetData>
  <autoFilter ref="A1:G1"/>
  <phoneticPr fontId="5"/>
  <conditionalFormatting sqref="K1:K30 K63:K1048576">
    <cfRule type="duplicateValues" dxfId="6" priority="11"/>
  </conditionalFormatting>
  <conditionalFormatting sqref="K37:K39">
    <cfRule type="duplicateValues" dxfId="5" priority="6"/>
  </conditionalFormatting>
  <conditionalFormatting sqref="K31:K33">
    <cfRule type="duplicateValues" dxfId="4" priority="5"/>
  </conditionalFormatting>
  <conditionalFormatting sqref="K34:K36">
    <cfRule type="duplicateValues" dxfId="3" priority="4"/>
  </conditionalFormatting>
  <conditionalFormatting sqref="K40:K42">
    <cfRule type="duplicateValues" dxfId="2" priority="3"/>
  </conditionalFormatting>
  <conditionalFormatting sqref="K43:K48">
    <cfRule type="duplicateValues" dxfId="1" priority="2"/>
  </conditionalFormatting>
  <conditionalFormatting sqref="K49:K62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K24" sqref="K24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148</v>
      </c>
      <c r="B1" s="63" t="s">
        <v>149</v>
      </c>
      <c r="C1" s="64" t="s">
        <v>150</v>
      </c>
      <c r="D1" s="71" t="s">
        <v>151</v>
      </c>
      <c r="E1" s="65" t="s">
        <v>152</v>
      </c>
      <c r="F1" s="63" t="s">
        <v>153</v>
      </c>
      <c r="G1" s="63" t="s">
        <v>154</v>
      </c>
      <c r="H1" s="63" t="s">
        <v>155</v>
      </c>
      <c r="I1" s="63" t="s">
        <v>156</v>
      </c>
      <c r="J1" s="63" t="s">
        <v>157</v>
      </c>
      <c r="K1" s="63" t="s">
        <v>158</v>
      </c>
      <c r="L1" s="63" t="s">
        <v>159</v>
      </c>
      <c r="M1" s="63" t="s">
        <v>160</v>
      </c>
      <c r="N1" s="63" t="s">
        <v>161</v>
      </c>
      <c r="O1" s="63" t="s">
        <v>162</v>
      </c>
      <c r="P1" s="63" t="s">
        <v>163</v>
      </c>
      <c r="Q1" s="63" t="s">
        <v>164</v>
      </c>
      <c r="R1" s="63" t="s">
        <v>165</v>
      </c>
    </row>
    <row r="2" spans="1:18" x14ac:dyDescent="0.15">
      <c r="A2" s="56"/>
      <c r="B2" s="56"/>
      <c r="C2" s="70"/>
      <c r="D2" s="11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</row>
    <row r="3" spans="1:18" x14ac:dyDescent="0.1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</row>
    <row r="4" spans="1:18" x14ac:dyDescent="0.1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</row>
    <row r="5" spans="1:18" x14ac:dyDescent="0.1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I24" sqref="I24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183</v>
      </c>
      <c r="B1" s="72" t="s">
        <v>184</v>
      </c>
      <c r="C1" s="76" t="s">
        <v>185</v>
      </c>
      <c r="D1" s="76" t="s">
        <v>33</v>
      </c>
      <c r="E1" s="72" t="s">
        <v>186</v>
      </c>
      <c r="F1" s="76" t="s">
        <v>187</v>
      </c>
      <c r="G1" s="76" t="s">
        <v>33</v>
      </c>
      <c r="H1" s="72" t="s">
        <v>188</v>
      </c>
      <c r="I1" s="90" t="s">
        <v>190</v>
      </c>
      <c r="J1" s="78" t="s">
        <v>124</v>
      </c>
      <c r="K1" s="77" t="s">
        <v>181</v>
      </c>
      <c r="L1" s="91" t="s">
        <v>180</v>
      </c>
      <c r="M1" s="79" t="s">
        <v>191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6"/>
  <sheetViews>
    <sheetView showGridLines="0" workbookViewId="0">
      <pane ySplit="1" topLeftCell="A2" activePane="bottomLeft" state="frozen"/>
      <selection pane="bottomLeft" activeCell="A6" sqref="A6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5" t="s">
        <v>183</v>
      </c>
      <c r="B1" s="72" t="s">
        <v>148</v>
      </c>
      <c r="C1" s="76" t="s">
        <v>185</v>
      </c>
      <c r="D1" s="76" t="s">
        <v>33</v>
      </c>
      <c r="E1" s="72" t="s">
        <v>186</v>
      </c>
      <c r="F1" s="76" t="s">
        <v>18</v>
      </c>
      <c r="G1" s="76" t="s">
        <v>33</v>
      </c>
      <c r="H1" s="72" t="s">
        <v>188</v>
      </c>
      <c r="I1" s="88" t="s">
        <v>189</v>
      </c>
      <c r="J1" s="90" t="s">
        <v>190</v>
      </c>
      <c r="K1" s="78" t="s">
        <v>124</v>
      </c>
      <c r="L1" s="77" t="s">
        <v>181</v>
      </c>
      <c r="M1" s="91" t="s">
        <v>180</v>
      </c>
      <c r="N1" s="79" t="s">
        <v>191</v>
      </c>
    </row>
    <row r="2" spans="1:15" ht="56" x14ac:dyDescent="0.15">
      <c r="A2" s="80" t="s">
        <v>193</v>
      </c>
      <c r="B2" s="81">
        <f>floors!$C$2</f>
        <v>11231</v>
      </c>
      <c r="C2" s="82" t="str">
        <f ca="1">VLOOKUP($B2,OFFSET([2]quests!$A$1,0,0,COUNTA([2]quests!$A:$A),MATCH(C$1,[2]quests!$1:$1,0)-MATCH($B$1,[2]quests!$1:$1,0)+1),MATCH(C$1,[2]quests!$1:$1,0)-MATCH($B$1,[2]quests!$1:$1,0)+1,FALSE)</f>
        <v>桜姫の招待状</v>
      </c>
      <c r="D2" s="82" t="str">
        <f ca="1">VLOOKUP($B2,OFFSET([2]quests!$A$1,0,0,COUNTA([2]quests!$A:$A),MATCH(D$1,[2]quests!$1:$1,0)-MATCH($B$1,[2]quests!$1:$1,0)+1),MATCH(D$1,[2]quests!$1:$1,0)-MATCH($B$1,[2]quests!$1:$1,0)+1,FALSE)</f>
        <v>2017年お花見ストーリークエスト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【ストーリー】桜姫の招待状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2017年お花見ストーリークエスト</v>
      </c>
      <c r="H2" s="84">
        <v>0</v>
      </c>
      <c r="I2" s="89">
        <f t="shared" ref="I2:I6" si="0">ROW()-1</f>
        <v>1</v>
      </c>
      <c r="J2" s="85" t="str">
        <f t="shared" ref="J2:J3" si="1">B2&amp;TEXT(I2,"00")</f>
        <v>1123101</v>
      </c>
      <c r="K2" s="83" t="s">
        <v>125</v>
      </c>
      <c r="L2" s="86" t="s">
        <v>254</v>
      </c>
      <c r="M2" s="127" t="s">
        <v>290</v>
      </c>
      <c r="N2" s="56" t="s">
        <v>192</v>
      </c>
      <c r="O2">
        <f t="shared" ref="O2:O4" si="2">LEN(M2)</f>
        <v>57</v>
      </c>
    </row>
    <row r="3" spans="1:15" ht="56" x14ac:dyDescent="0.15">
      <c r="A3" s="80" t="s">
        <v>193</v>
      </c>
      <c r="B3" s="81">
        <f>floors!$C$2</f>
        <v>11231</v>
      </c>
      <c r="C3" s="82" t="str">
        <f ca="1">VLOOKUP($B3,OFFSET([2]quests!$A$1,0,0,COUNTA([2]quests!$A:$A),MATCH(C$1,[2]quests!$1:$1,0)-MATCH($B$1,[2]quests!$1:$1,0)+1),MATCH(C$1,[2]quests!$1:$1,0)-MATCH($B$1,[2]quests!$1:$1,0)+1,FALSE)</f>
        <v>桜姫の招待状</v>
      </c>
      <c r="D3" s="82" t="str">
        <f ca="1">VLOOKUP($B3,OFFSET([2]quests!$A$1,0,0,COUNTA([2]quests!$A:$A),MATCH(D$1,[2]quests!$1:$1,0)-MATCH($B$1,[2]quests!$1:$1,0)+1),MATCH(D$1,[2]quests!$1:$1,0)-MATCH($B$1,[2]quests!$1:$1,0)+1,FALSE)</f>
        <v>2017年お花見ストーリークエスト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【ストーリー】桜姫の招待状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2017年お花見ストーリークエスト</v>
      </c>
      <c r="H3" s="84">
        <v>0</v>
      </c>
      <c r="I3" s="89">
        <f t="shared" si="0"/>
        <v>2</v>
      </c>
      <c r="J3" s="85" t="str">
        <f t="shared" si="1"/>
        <v>1123102</v>
      </c>
      <c r="K3" s="83" t="s">
        <v>125</v>
      </c>
      <c r="L3" s="86" t="s">
        <v>255</v>
      </c>
      <c r="M3" s="127" t="s">
        <v>256</v>
      </c>
      <c r="N3" s="56" t="s">
        <v>192</v>
      </c>
      <c r="O3">
        <f t="shared" si="2"/>
        <v>61</v>
      </c>
    </row>
    <row r="4" spans="1:15" ht="56" x14ac:dyDescent="0.15">
      <c r="A4" s="80" t="s">
        <v>193</v>
      </c>
      <c r="B4" s="81">
        <f>floors!$C$2</f>
        <v>11231</v>
      </c>
      <c r="C4" s="82" t="str">
        <f ca="1">VLOOKUP($B4,OFFSET([2]quests!$A$1,0,0,COUNTA([2]quests!$A:$A),MATCH(C$1,[2]quests!$1:$1,0)-MATCH($B$1,[2]quests!$1:$1,0)+1),MATCH(C$1,[2]quests!$1:$1,0)-MATCH($B$1,[2]quests!$1:$1,0)+1,FALSE)</f>
        <v>桜姫の招待状</v>
      </c>
      <c r="D4" s="82" t="str">
        <f ca="1">VLOOKUP($B4,OFFSET([2]quests!$A$1,0,0,COUNTA([2]quests!$A:$A),MATCH(D$1,[2]quests!$1:$1,0)-MATCH($B$1,[2]quests!$1:$1,0)+1),MATCH(D$1,[2]quests!$1:$1,0)-MATCH($B$1,[2]quests!$1:$1,0)+1,FALSE)</f>
        <v>2017年お花見ストーリークエスト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【ストーリー】桜姫の招待状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2017年お花見ストーリークエスト</v>
      </c>
      <c r="H4" s="84">
        <v>0</v>
      </c>
      <c r="I4" s="89">
        <f t="shared" si="0"/>
        <v>3</v>
      </c>
      <c r="J4" s="85" t="str">
        <f t="shared" ref="J4" si="3">B4&amp;TEXT(I4,"00")</f>
        <v>1123103</v>
      </c>
      <c r="K4" s="83" t="s">
        <v>125</v>
      </c>
      <c r="L4" s="86" t="s">
        <v>288</v>
      </c>
      <c r="M4" s="127" t="s">
        <v>326</v>
      </c>
      <c r="N4" s="56" t="s">
        <v>192</v>
      </c>
      <c r="O4">
        <f t="shared" si="2"/>
        <v>55</v>
      </c>
    </row>
    <row r="5" spans="1:15" ht="56" x14ac:dyDescent="0.15">
      <c r="A5" s="80" t="s">
        <v>193</v>
      </c>
      <c r="B5" s="81">
        <f>floors!$C$2</f>
        <v>11231</v>
      </c>
      <c r="C5" s="82" t="str">
        <f ca="1">VLOOKUP($B5,OFFSET([2]quests!$A$1,0,0,COUNTA([2]quests!$A:$A),MATCH(C$1,[2]quests!$1:$1,0)-MATCH($B$1,[2]quests!$1:$1,0)+1),MATCH(C$1,[2]quests!$1:$1,0)-MATCH($B$1,[2]quests!$1:$1,0)+1,FALSE)</f>
        <v>桜姫の招待状</v>
      </c>
      <c r="D5" s="82" t="str">
        <f ca="1">VLOOKUP($B5,OFFSET([2]quests!$A$1,0,0,COUNTA([2]quests!$A:$A),MATCH(D$1,[2]quests!$1:$1,0)-MATCH($B$1,[2]quests!$1:$1,0)+1),MATCH(D$1,[2]quests!$1:$1,0)-MATCH($B$1,[2]quests!$1:$1,0)+1,FALSE)</f>
        <v>2017年お花見ストーリークエスト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【ストーリー】桜姫の招待状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2017年お花見ストーリークエスト</v>
      </c>
      <c r="H5" s="84">
        <v>0</v>
      </c>
      <c r="I5" s="89">
        <f t="shared" si="0"/>
        <v>4</v>
      </c>
      <c r="J5" s="85" t="str">
        <f t="shared" ref="J5" si="4">B5&amp;TEXT(I5,"00")</f>
        <v>1123104</v>
      </c>
      <c r="K5" s="83" t="s">
        <v>125</v>
      </c>
      <c r="L5" s="86" t="s">
        <v>291</v>
      </c>
      <c r="M5" s="127" t="s">
        <v>327</v>
      </c>
      <c r="N5" s="56" t="s">
        <v>192</v>
      </c>
      <c r="O5">
        <f>LEN(M5)</f>
        <v>56</v>
      </c>
    </row>
    <row r="6" spans="1:15" ht="56" x14ac:dyDescent="0.15">
      <c r="A6" s="80" t="s">
        <v>367</v>
      </c>
      <c r="B6" s="81">
        <f>floors!$C$2</f>
        <v>11231</v>
      </c>
      <c r="C6" s="82" t="str">
        <f ca="1">VLOOKUP($B6,OFFSET([2]quests!$A$1,0,0,COUNTA([2]quests!$A:$A),MATCH(C$1,[2]quests!$1:$1,0)-MATCH($B$1,[2]quests!$1:$1,0)+1),MATCH(C$1,[2]quests!$1:$1,0)-MATCH($B$1,[2]quests!$1:$1,0)+1,FALSE)</f>
        <v>桜姫の招待状</v>
      </c>
      <c r="D6" s="82" t="str">
        <f ca="1">VLOOKUP($B6,OFFSET([2]quests!$A$1,0,0,COUNTA([2]quests!$A:$A),MATCH(D$1,[2]quests!$1:$1,0)-MATCH($B$1,[2]quests!$1:$1,0)+1),MATCH(D$1,[2]quests!$1:$1,0)-MATCH($B$1,[2]quests!$1:$1,0)+1,FALSE)</f>
        <v>2017年お花見ストーリークエスト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【ストーリー】桜姫の招待状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2017年お花見ストーリークエスト</v>
      </c>
      <c r="H6" s="84">
        <v>4</v>
      </c>
      <c r="I6" s="89">
        <f t="shared" si="0"/>
        <v>5</v>
      </c>
      <c r="J6" s="85" t="str">
        <f t="shared" ref="J6" si="5">B6&amp;TEXT(I6,"00")</f>
        <v>1123105</v>
      </c>
      <c r="K6" s="83" t="s">
        <v>125</v>
      </c>
      <c r="L6" s="86" t="s">
        <v>368</v>
      </c>
      <c r="M6" s="127" t="s">
        <v>369</v>
      </c>
      <c r="N6" s="56" t="s">
        <v>192</v>
      </c>
      <c r="O6">
        <f>LEN(M6)</f>
        <v>62</v>
      </c>
    </row>
  </sheetData>
  <phoneticPr fontId="5"/>
  <dataValidations count="1">
    <dataValidation type="list" allowBlank="1" showInputMessage="1" showErrorMessage="1" sqref="A2:A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A2" sqref="A2:XFD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205</v>
      </c>
      <c r="B1" s="94" t="s">
        <v>206</v>
      </c>
      <c r="C1" s="76" t="s">
        <v>207</v>
      </c>
      <c r="D1" s="76" t="s">
        <v>33</v>
      </c>
      <c r="E1" s="94" t="s">
        <v>208</v>
      </c>
      <c r="F1" s="76" t="s">
        <v>209</v>
      </c>
      <c r="G1" s="76" t="s">
        <v>33</v>
      </c>
      <c r="H1" s="94" t="s">
        <v>210</v>
      </c>
      <c r="I1" s="94" t="s">
        <v>211</v>
      </c>
      <c r="J1" s="94" t="s">
        <v>212</v>
      </c>
      <c r="K1" s="72" t="s">
        <v>213</v>
      </c>
      <c r="L1" s="72" t="s">
        <v>214</v>
      </c>
      <c r="M1" s="72" t="s">
        <v>154</v>
      </c>
      <c r="N1" s="76" t="s">
        <v>16</v>
      </c>
      <c r="O1" s="72" t="s">
        <v>215</v>
      </c>
      <c r="P1" s="72" t="s">
        <v>56</v>
      </c>
      <c r="Q1" s="72" t="s">
        <v>216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217</v>
      </c>
      <c r="X1" s="72" t="s">
        <v>218</v>
      </c>
    </row>
    <row r="2" spans="1:24" x14ac:dyDescent="0.15">
      <c r="A2" s="95"/>
      <c r="B2" s="81"/>
      <c r="C2" s="82"/>
      <c r="D2" s="82"/>
      <c r="E2" s="83"/>
      <c r="F2" s="82"/>
      <c r="G2" s="82"/>
      <c r="H2" s="84"/>
      <c r="I2" s="83"/>
      <c r="J2" s="83"/>
      <c r="K2" s="83"/>
      <c r="L2" s="83"/>
      <c r="M2" s="83"/>
      <c r="N2" s="96"/>
      <c r="O2" s="83"/>
      <c r="P2" s="83"/>
      <c r="Q2" s="83"/>
      <c r="R2" s="83"/>
      <c r="S2" s="83"/>
      <c r="T2" s="83"/>
      <c r="U2" s="83"/>
      <c r="V2" s="83"/>
      <c r="W2" s="97"/>
      <c r="X2" s="98"/>
    </row>
    <row r="3" spans="1:24" x14ac:dyDescent="0.15">
      <c r="A3" s="95"/>
      <c r="B3" s="81"/>
      <c r="C3" s="82"/>
      <c r="D3" s="82"/>
      <c r="E3" s="83"/>
      <c r="F3" s="82"/>
      <c r="G3" s="82"/>
      <c r="H3" s="84"/>
      <c r="I3" s="83"/>
      <c r="J3" s="83"/>
      <c r="K3" s="83"/>
      <c r="L3" s="83"/>
      <c r="M3" s="83"/>
      <c r="N3" s="96"/>
      <c r="O3" s="83"/>
      <c r="P3" s="83"/>
      <c r="Q3" s="83"/>
      <c r="R3" s="83"/>
      <c r="S3" s="83"/>
      <c r="T3" s="83"/>
      <c r="U3" s="83"/>
      <c r="V3" s="83"/>
      <c r="W3" s="97"/>
      <c r="X3" s="98"/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2017-04-04T09:48:13Z</dcterms:modified>
</cp:coreProperties>
</file>