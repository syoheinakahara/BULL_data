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drop_3_2" sheetId="2" r:id="rId1"/>
    <sheet name="enemy_habitats_drop_3_2" sheetId="1" r:id="rId2"/>
    <sheet name="floors_drop_3_2.tmp" sheetId="5" r:id="rId3"/>
    <sheet name="enemy_habitats_drop_3_2.tmp" sheetId="6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1" hidden="1">enemy_habitats_drop_3_2!$B$1:$AG$2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5" i="6" l="1"/>
  <c r="R38" i="6"/>
  <c r="R11" i="6"/>
  <c r="AD37" i="1"/>
  <c r="AC37" i="1"/>
  <c r="AF37" i="1"/>
  <c r="AB37" i="1"/>
  <c r="AB25" i="1"/>
  <c r="AB3" i="1"/>
  <c r="AC3" i="1"/>
  <c r="AD3" i="1"/>
  <c r="AB4" i="1"/>
  <c r="AC4" i="1"/>
  <c r="AD4" i="1"/>
  <c r="AB5" i="1"/>
  <c r="AC5" i="1"/>
  <c r="AD5" i="1"/>
  <c r="AB6" i="1"/>
  <c r="AC6" i="1"/>
  <c r="AD6" i="1"/>
  <c r="AB7" i="1"/>
  <c r="AC7" i="1"/>
  <c r="AD7" i="1"/>
  <c r="AB8" i="1"/>
  <c r="AC8" i="1"/>
  <c r="AD8" i="1"/>
  <c r="AB9" i="1"/>
  <c r="AC9" i="1"/>
  <c r="AD9" i="1"/>
  <c r="AB10" i="1"/>
  <c r="AC10" i="1"/>
  <c r="AD10" i="1"/>
  <c r="AB11" i="1"/>
  <c r="AC11" i="1"/>
  <c r="AD11" i="1"/>
  <c r="AB12" i="1"/>
  <c r="AC12" i="1"/>
  <c r="AD12" i="1"/>
  <c r="AB13" i="1"/>
  <c r="AC13" i="1"/>
  <c r="AD13" i="1"/>
  <c r="AB14" i="1"/>
  <c r="AC14" i="1"/>
  <c r="AD14" i="1"/>
  <c r="AB15" i="1"/>
  <c r="AC15" i="1"/>
  <c r="AD15" i="1"/>
  <c r="AB16" i="1"/>
  <c r="AC16" i="1"/>
  <c r="AD16" i="1"/>
  <c r="AB17" i="1"/>
  <c r="AC17" i="1"/>
  <c r="AD17" i="1"/>
  <c r="AB18" i="1"/>
  <c r="AC18" i="1"/>
  <c r="AD18" i="1"/>
  <c r="AB19" i="1"/>
  <c r="AC19" i="1"/>
  <c r="AD19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B24" i="1"/>
  <c r="AC24" i="1"/>
  <c r="AD24" i="1"/>
  <c r="AC25" i="1"/>
  <c r="AD25" i="1"/>
  <c r="AB26" i="1"/>
  <c r="AC26" i="1"/>
  <c r="AD26" i="1"/>
  <c r="AB27" i="1"/>
  <c r="AC27" i="1"/>
  <c r="AD27" i="1"/>
  <c r="AB28" i="1"/>
  <c r="AC28" i="1"/>
  <c r="AD28" i="1"/>
  <c r="AB29" i="1"/>
  <c r="AC29" i="1"/>
  <c r="AD29" i="1"/>
  <c r="AB30" i="1"/>
  <c r="AC30" i="1"/>
  <c r="AD30" i="1"/>
  <c r="AB31" i="1"/>
  <c r="AC31" i="1"/>
  <c r="AD31" i="1"/>
  <c r="AB32" i="1"/>
  <c r="AC32" i="1"/>
  <c r="AD32" i="1"/>
  <c r="AB33" i="1"/>
  <c r="AC33" i="1"/>
  <c r="AD33" i="1"/>
  <c r="AB34" i="1"/>
  <c r="AC34" i="1"/>
  <c r="AD34" i="1"/>
  <c r="AB35" i="1"/>
  <c r="AC35" i="1"/>
  <c r="AD35" i="1"/>
  <c r="AB36" i="1"/>
  <c r="AC36" i="1"/>
  <c r="AD36" i="1"/>
  <c r="AB38" i="1"/>
  <c r="AC38" i="1"/>
  <c r="AD38" i="1"/>
  <c r="AD2" i="1"/>
  <c r="AC2" i="1"/>
  <c r="AB2" i="1"/>
  <c r="Z38" i="1"/>
  <c r="Z26" i="1"/>
  <c r="Z27" i="1"/>
  <c r="Z28" i="1"/>
  <c r="Z29" i="1"/>
  <c r="Z30" i="1"/>
  <c r="Z31" i="1"/>
  <c r="Z32" i="1"/>
  <c r="Z33" i="1"/>
  <c r="Z34" i="1"/>
  <c r="Z35" i="1"/>
  <c r="Z36" i="1"/>
  <c r="Z25" i="1"/>
  <c r="Z12" i="1"/>
  <c r="Z13" i="1"/>
  <c r="Z14" i="1"/>
  <c r="Z15" i="1"/>
  <c r="Z16" i="1"/>
  <c r="Z17" i="1"/>
  <c r="Z18" i="1"/>
  <c r="Z19" i="1"/>
  <c r="Z20" i="1"/>
  <c r="Z21" i="1"/>
  <c r="Z22" i="1"/>
  <c r="Z23" i="1"/>
  <c r="Z11" i="1"/>
  <c r="Z3" i="1"/>
  <c r="Z4" i="1"/>
  <c r="Z5" i="1"/>
  <c r="Z6" i="1"/>
  <c r="Z7" i="1"/>
  <c r="Z8" i="1"/>
  <c r="Z9" i="1"/>
  <c r="Z2" i="1"/>
  <c r="U27" i="1"/>
  <c r="V27" i="1"/>
  <c r="U28" i="1"/>
  <c r="V28" i="1"/>
  <c r="U29" i="1"/>
  <c r="V29" i="1"/>
  <c r="U30" i="1"/>
  <c r="V30" i="1"/>
  <c r="U31" i="1"/>
  <c r="V31" i="1"/>
  <c r="U32" i="1"/>
  <c r="V32" i="1"/>
  <c r="U33" i="1"/>
  <c r="V33" i="1"/>
  <c r="U34" i="1"/>
  <c r="V34" i="1"/>
  <c r="U35" i="1"/>
  <c r="V35" i="1"/>
  <c r="U26" i="1"/>
  <c r="V26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11" i="1"/>
  <c r="V11" i="1"/>
  <c r="U3" i="1"/>
  <c r="V3" i="1"/>
  <c r="U4" i="1"/>
  <c r="V4" i="1"/>
  <c r="U5" i="1"/>
  <c r="V5" i="1"/>
  <c r="U6" i="1"/>
  <c r="V6" i="1"/>
  <c r="U7" i="1"/>
  <c r="V7" i="1"/>
  <c r="U8" i="1"/>
  <c r="V8" i="1"/>
  <c r="U9" i="1"/>
  <c r="V9" i="1"/>
  <c r="U2" i="1"/>
  <c r="V2" i="1"/>
  <c r="L3" i="1"/>
  <c r="M3" i="1"/>
  <c r="N3" i="1"/>
  <c r="O3" i="1"/>
  <c r="P3" i="1"/>
  <c r="L4" i="1"/>
  <c r="M4" i="1"/>
  <c r="N4" i="1"/>
  <c r="O4" i="1"/>
  <c r="P4" i="1"/>
  <c r="L5" i="1"/>
  <c r="M5" i="1"/>
  <c r="N5" i="1"/>
  <c r="O5" i="1"/>
  <c r="P5" i="1"/>
  <c r="L6" i="1"/>
  <c r="M6" i="1"/>
  <c r="N6" i="1"/>
  <c r="O6" i="1"/>
  <c r="P6" i="1"/>
  <c r="L7" i="1"/>
  <c r="M7" i="1"/>
  <c r="N7" i="1"/>
  <c r="O7" i="1"/>
  <c r="P7" i="1"/>
  <c r="L8" i="1"/>
  <c r="M8" i="1"/>
  <c r="N8" i="1"/>
  <c r="O8" i="1"/>
  <c r="P8" i="1"/>
  <c r="L9" i="1"/>
  <c r="M9" i="1"/>
  <c r="N9" i="1"/>
  <c r="O9" i="1"/>
  <c r="P9" i="1"/>
  <c r="L10" i="1"/>
  <c r="M10" i="1"/>
  <c r="N10" i="1"/>
  <c r="O10" i="1"/>
  <c r="P10" i="1"/>
  <c r="L11" i="1"/>
  <c r="M11" i="1"/>
  <c r="N11" i="1"/>
  <c r="O11" i="1"/>
  <c r="P11" i="1"/>
  <c r="L12" i="1"/>
  <c r="M12" i="1"/>
  <c r="N12" i="1"/>
  <c r="O12" i="1"/>
  <c r="P12" i="1"/>
  <c r="L13" i="1"/>
  <c r="M13" i="1"/>
  <c r="N13" i="1"/>
  <c r="O13" i="1"/>
  <c r="P13" i="1"/>
  <c r="L14" i="1"/>
  <c r="M14" i="1"/>
  <c r="N14" i="1"/>
  <c r="O14" i="1"/>
  <c r="P14" i="1"/>
  <c r="L15" i="1"/>
  <c r="M15" i="1"/>
  <c r="N15" i="1"/>
  <c r="O15" i="1"/>
  <c r="P15" i="1"/>
  <c r="L16" i="1"/>
  <c r="M16" i="1"/>
  <c r="N16" i="1"/>
  <c r="O16" i="1"/>
  <c r="P16" i="1"/>
  <c r="L17" i="1"/>
  <c r="M17" i="1"/>
  <c r="N17" i="1"/>
  <c r="O17" i="1"/>
  <c r="P17" i="1"/>
  <c r="L18" i="1"/>
  <c r="M18" i="1"/>
  <c r="N18" i="1"/>
  <c r="O18" i="1"/>
  <c r="P18" i="1"/>
  <c r="L19" i="1"/>
  <c r="M19" i="1"/>
  <c r="N19" i="1"/>
  <c r="O19" i="1"/>
  <c r="P19" i="1"/>
  <c r="L20" i="1"/>
  <c r="M20" i="1"/>
  <c r="N20" i="1"/>
  <c r="O20" i="1"/>
  <c r="P20" i="1"/>
  <c r="L21" i="1"/>
  <c r="M21" i="1"/>
  <c r="N21" i="1"/>
  <c r="O21" i="1"/>
  <c r="P21" i="1"/>
  <c r="L22" i="1"/>
  <c r="M22" i="1"/>
  <c r="N22" i="1"/>
  <c r="O22" i="1"/>
  <c r="P22" i="1"/>
  <c r="L23" i="1"/>
  <c r="M23" i="1"/>
  <c r="N23" i="1"/>
  <c r="O23" i="1"/>
  <c r="P23" i="1"/>
  <c r="L24" i="1"/>
  <c r="M24" i="1"/>
  <c r="N24" i="1"/>
  <c r="O24" i="1"/>
  <c r="P24" i="1"/>
  <c r="L25" i="1"/>
  <c r="M25" i="1"/>
  <c r="N25" i="1"/>
  <c r="O25" i="1"/>
  <c r="P25" i="1"/>
  <c r="L26" i="1"/>
  <c r="M26" i="1"/>
  <c r="N26" i="1"/>
  <c r="O26" i="1"/>
  <c r="P26" i="1"/>
  <c r="L27" i="1"/>
  <c r="M27" i="1"/>
  <c r="N27" i="1"/>
  <c r="O27" i="1"/>
  <c r="P27" i="1"/>
  <c r="L28" i="1"/>
  <c r="M28" i="1"/>
  <c r="N28" i="1"/>
  <c r="O28" i="1"/>
  <c r="P28" i="1"/>
  <c r="L29" i="1"/>
  <c r="M29" i="1"/>
  <c r="N29" i="1"/>
  <c r="O29" i="1"/>
  <c r="P29" i="1"/>
  <c r="L30" i="1"/>
  <c r="M30" i="1"/>
  <c r="N30" i="1"/>
  <c r="O30" i="1"/>
  <c r="P30" i="1"/>
  <c r="L31" i="1"/>
  <c r="M31" i="1"/>
  <c r="N31" i="1"/>
  <c r="O31" i="1"/>
  <c r="P31" i="1"/>
  <c r="L32" i="1"/>
  <c r="M32" i="1"/>
  <c r="N32" i="1"/>
  <c r="O32" i="1"/>
  <c r="P32" i="1"/>
  <c r="L33" i="1"/>
  <c r="M33" i="1"/>
  <c r="N33" i="1"/>
  <c r="O33" i="1"/>
  <c r="P33" i="1"/>
  <c r="L34" i="1"/>
  <c r="M34" i="1"/>
  <c r="N34" i="1"/>
  <c r="O34" i="1"/>
  <c r="P34" i="1"/>
  <c r="L35" i="1"/>
  <c r="M35" i="1"/>
  <c r="N35" i="1"/>
  <c r="O35" i="1"/>
  <c r="P35" i="1"/>
  <c r="L36" i="1"/>
  <c r="M36" i="1"/>
  <c r="N36" i="1"/>
  <c r="O36" i="1"/>
  <c r="P36" i="1"/>
  <c r="L37" i="1"/>
  <c r="M37" i="1"/>
  <c r="N37" i="1"/>
  <c r="O37" i="1"/>
  <c r="P37" i="1"/>
  <c r="L38" i="1"/>
  <c r="M38" i="1"/>
  <c r="N38" i="1"/>
  <c r="O38" i="1"/>
  <c r="P38" i="1"/>
  <c r="P2" i="1"/>
  <c r="O2" i="1"/>
  <c r="N2" i="1"/>
  <c r="M2" i="1"/>
  <c r="L2" i="1"/>
  <c r="C1" i="6"/>
  <c r="A1" i="6"/>
  <c r="A38" i="1"/>
  <c r="A39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B1" i="6"/>
  <c r="W39" i="6"/>
  <c r="V39" i="6"/>
  <c r="U39" i="6"/>
  <c r="T39" i="6"/>
  <c r="S39" i="6"/>
  <c r="R39" i="6"/>
  <c r="AF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F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F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F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F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F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F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F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F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F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F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F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F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AF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F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F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F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F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F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F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F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F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F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F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F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F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F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AF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F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F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F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F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F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F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F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C1" i="5"/>
  <c r="A1" i="5"/>
  <c r="A11" i="5"/>
  <c r="B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G10" i="2"/>
  <c r="H10" i="2"/>
  <c r="E10" i="2"/>
  <c r="D10" i="2"/>
  <c r="A10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G6" i="2"/>
  <c r="H6" i="2"/>
  <c r="E6" i="2"/>
  <c r="D6" i="2"/>
  <c r="A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D4" i="1"/>
  <c r="E4" i="1"/>
  <c r="F4" i="1"/>
  <c r="G2" i="2"/>
  <c r="A2" i="2"/>
  <c r="I4" i="1"/>
  <c r="J4" i="1"/>
  <c r="D5" i="1"/>
  <c r="E5" i="1"/>
  <c r="F5" i="1"/>
  <c r="I5" i="1"/>
  <c r="J5" i="1"/>
  <c r="D6" i="1"/>
  <c r="E6" i="1"/>
  <c r="F6" i="1"/>
  <c r="I6" i="1"/>
  <c r="J6" i="1"/>
  <c r="D7" i="1"/>
  <c r="E7" i="1"/>
  <c r="F7" i="1"/>
  <c r="I7" i="1"/>
  <c r="J7" i="1"/>
  <c r="D8" i="1"/>
  <c r="E8" i="1"/>
  <c r="F8" i="1"/>
  <c r="I8" i="1"/>
  <c r="J8" i="1"/>
  <c r="D9" i="1"/>
  <c r="E9" i="1"/>
  <c r="F9" i="1"/>
  <c r="I9" i="1"/>
  <c r="J9" i="1"/>
  <c r="D10" i="1"/>
  <c r="E10" i="1"/>
  <c r="F10" i="1"/>
  <c r="I10" i="1"/>
  <c r="J10" i="1"/>
  <c r="D11" i="1"/>
  <c r="E11" i="1"/>
  <c r="F11" i="1"/>
  <c r="I11" i="1"/>
  <c r="J11" i="1"/>
  <c r="D12" i="1"/>
  <c r="E12" i="1"/>
  <c r="F12" i="1"/>
  <c r="I12" i="1"/>
  <c r="J12" i="1"/>
  <c r="D13" i="1"/>
  <c r="E13" i="1"/>
  <c r="F13" i="1"/>
  <c r="I13" i="1"/>
  <c r="J13" i="1"/>
  <c r="D14" i="1"/>
  <c r="E14" i="1"/>
  <c r="F14" i="1"/>
  <c r="I14" i="1"/>
  <c r="J14" i="1"/>
  <c r="D15" i="1"/>
  <c r="E15" i="1"/>
  <c r="F15" i="1"/>
  <c r="I15" i="1"/>
  <c r="J15" i="1"/>
  <c r="D16" i="1"/>
  <c r="E16" i="1"/>
  <c r="F16" i="1"/>
  <c r="I16" i="1"/>
  <c r="J16" i="1"/>
  <c r="D17" i="1"/>
  <c r="E17" i="1"/>
  <c r="F17" i="1"/>
  <c r="I17" i="1"/>
  <c r="J17" i="1"/>
  <c r="D18" i="1"/>
  <c r="E18" i="1"/>
  <c r="F18" i="1"/>
  <c r="I18" i="1"/>
  <c r="J18" i="1"/>
  <c r="D19" i="1"/>
  <c r="E19" i="1"/>
  <c r="F19" i="1"/>
  <c r="I19" i="1"/>
  <c r="J19" i="1"/>
  <c r="D20" i="1"/>
  <c r="E20" i="1"/>
  <c r="F20" i="1"/>
  <c r="I20" i="1"/>
  <c r="J20" i="1"/>
  <c r="D21" i="1"/>
  <c r="E21" i="1"/>
  <c r="F21" i="1"/>
  <c r="I21" i="1"/>
  <c r="J21" i="1"/>
  <c r="D22" i="1"/>
  <c r="E22" i="1"/>
  <c r="F22" i="1"/>
  <c r="I22" i="1"/>
  <c r="J22" i="1"/>
  <c r="D23" i="1"/>
  <c r="E23" i="1"/>
  <c r="F23" i="1"/>
  <c r="I23" i="1"/>
  <c r="J23" i="1"/>
  <c r="D24" i="1"/>
  <c r="E24" i="1"/>
  <c r="F24" i="1"/>
  <c r="I24" i="1"/>
  <c r="J24" i="1"/>
  <c r="D25" i="1"/>
  <c r="E25" i="1"/>
  <c r="F25" i="1"/>
  <c r="I25" i="1"/>
  <c r="J25" i="1"/>
  <c r="D26" i="1"/>
  <c r="E26" i="1"/>
  <c r="F26" i="1"/>
  <c r="I26" i="1"/>
  <c r="J26" i="1"/>
  <c r="D27" i="1"/>
  <c r="E27" i="1"/>
  <c r="F27" i="1"/>
  <c r="I27" i="1"/>
  <c r="J27" i="1"/>
  <c r="D28" i="1"/>
  <c r="E28" i="1"/>
  <c r="F28" i="1"/>
  <c r="I28" i="1"/>
  <c r="J28" i="1"/>
  <c r="D29" i="1"/>
  <c r="E29" i="1"/>
  <c r="F29" i="1"/>
  <c r="I29" i="1"/>
  <c r="J29" i="1"/>
  <c r="D30" i="1"/>
  <c r="E30" i="1"/>
  <c r="F30" i="1"/>
  <c r="I30" i="1"/>
  <c r="J30" i="1"/>
  <c r="D31" i="1"/>
  <c r="E31" i="1"/>
  <c r="F31" i="1"/>
  <c r="I31" i="1"/>
  <c r="J31" i="1"/>
  <c r="D32" i="1"/>
  <c r="E32" i="1"/>
  <c r="F32" i="1"/>
  <c r="I32" i="1"/>
  <c r="J32" i="1"/>
  <c r="D33" i="1"/>
  <c r="E33" i="1"/>
  <c r="F33" i="1"/>
  <c r="I33" i="1"/>
  <c r="J33" i="1"/>
  <c r="D34" i="1"/>
  <c r="E34" i="1"/>
  <c r="F34" i="1"/>
  <c r="I34" i="1"/>
  <c r="J34" i="1"/>
  <c r="D35" i="1"/>
  <c r="E35" i="1"/>
  <c r="F35" i="1"/>
  <c r="I35" i="1"/>
  <c r="J35" i="1"/>
  <c r="D36" i="1"/>
  <c r="E36" i="1"/>
  <c r="F36" i="1"/>
  <c r="I36" i="1"/>
  <c r="J36" i="1"/>
  <c r="D37" i="1"/>
  <c r="E37" i="1"/>
  <c r="F37" i="1"/>
  <c r="I37" i="1"/>
  <c r="J37" i="1"/>
  <c r="D38" i="1"/>
  <c r="E38" i="1"/>
  <c r="F38" i="1"/>
  <c r="I38" i="1"/>
  <c r="J38" i="1"/>
  <c r="V10" i="1"/>
  <c r="V24" i="1"/>
  <c r="V25" i="1"/>
  <c r="V36" i="1"/>
  <c r="V37" i="1"/>
  <c r="V38" i="1"/>
  <c r="J3" i="1"/>
  <c r="I3" i="1"/>
  <c r="D3" i="1"/>
  <c r="F3" i="1"/>
  <c r="E3" i="1"/>
  <c r="J2" i="1"/>
  <c r="I2" i="1"/>
  <c r="D2" i="2"/>
  <c r="E2" i="2"/>
  <c r="H2" i="2"/>
  <c r="D2" i="1"/>
  <c r="E2" i="1"/>
  <c r="A3" i="6"/>
  <c r="I3" i="6"/>
  <c r="H3" i="6"/>
  <c r="G3" i="6"/>
  <c r="F2" i="1"/>
  <c r="W3" i="6"/>
  <c r="V3" i="6"/>
  <c r="U3" i="6"/>
  <c r="T3" i="6"/>
  <c r="S3" i="6"/>
  <c r="AF2" i="1"/>
  <c r="B2" i="2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<sst xmlns="http://schemas.openxmlformats.org/spreadsheetml/2006/main" count="78" uniqueCount="55">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</sst>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</borders>
  <cellStyleXfs count="549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420" applyFont="1" applyFill="1" applyBorder="1" applyAlignment="1">
      <alignment horizontal="right" vertical="center"/>
    </xf>
    <xf numFmtId="0" fontId="2" fillId="0" borderId="7" xfId="420" applyFont="1" applyFill="1" applyBorder="1" applyAlignment="1">
      <alignment horizontal="right" vertical="center"/>
    </xf>
    <xf numFmtId="0" fontId="2" fillId="0" borderId="12" xfId="420" applyFont="1" applyFill="1" applyBorder="1" applyAlignment="1">
      <alignment horizontal="right" vertical="center"/>
    </xf>
    <xf numFmtId="0" fontId="2" fillId="0" borderId="13" xfId="420" applyFont="1" applyFill="1" applyBorder="1" applyAlignment="1">
      <alignment horizontal="right" vertical="center"/>
    </xf>
    <xf numFmtId="0" fontId="2" fillId="0" borderId="14" xfId="0" applyFont="1" applyBorder="1" applyAlignment="1">
      <alignment horizontal="center" vertical="center"/>
    </xf>
    <xf numFmtId="0" fontId="10" fillId="8" borderId="15" xfId="0" applyFont="1" applyFill="1" applyBorder="1" applyAlignment="1">
      <alignment vertical="center"/>
    </xf>
    <xf numFmtId="177" fontId="2" fillId="0" borderId="16" xfId="0" applyNumberFormat="1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vertical="center"/>
    </xf>
    <xf numFmtId="0" fontId="6" fillId="0" borderId="18" xfId="0" applyFont="1" applyBorder="1" applyAlignment="1">
      <alignment vertical="center"/>
    </xf>
    <xf numFmtId="178" fontId="6" fillId="0" borderId="18" xfId="0" applyNumberFormat="1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17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10" fillId="8" borderId="20" xfId="0" applyFont="1" applyFill="1" applyBorder="1" applyAlignment="1">
      <alignment vertical="center"/>
    </xf>
    <xf numFmtId="177" fontId="2" fillId="0" borderId="21" xfId="0" applyNumberFormat="1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vertical="center"/>
    </xf>
    <xf numFmtId="0" fontId="2" fillId="0" borderId="23" xfId="420" applyFont="1" applyFill="1" applyBorder="1" applyAlignment="1">
      <alignment horizontal="right" vertical="center"/>
    </xf>
    <xf numFmtId="0" fontId="6" fillId="0" borderId="24" xfId="0" applyFont="1" applyBorder="1" applyAlignment="1">
      <alignment vertical="center"/>
    </xf>
    <xf numFmtId="178" fontId="6" fillId="0" borderId="24" xfId="0" applyNumberFormat="1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0" fontId="2" fillId="0" borderId="22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178" fontId="6" fillId="0" borderId="29" xfId="0" applyNumberFormat="1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9" borderId="1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vertical="center"/>
    </xf>
    <xf numFmtId="0" fontId="4" fillId="10" borderId="16" xfId="0" applyFont="1" applyFill="1" applyBorder="1" applyAlignment="1">
      <alignment vertical="center"/>
    </xf>
    <xf numFmtId="0" fontId="4" fillId="5" borderId="30" xfId="0" applyFont="1" applyFill="1" applyBorder="1" applyAlignment="1">
      <alignment vertical="center"/>
    </xf>
    <xf numFmtId="0" fontId="2" fillId="11" borderId="6" xfId="0" applyFont="1" applyFill="1" applyBorder="1" applyAlignment="1">
      <alignment vertical="center"/>
    </xf>
    <xf numFmtId="0" fontId="2" fillId="11" borderId="12" xfId="0" applyFont="1" applyFill="1" applyBorder="1" applyAlignment="1">
      <alignment vertical="center"/>
    </xf>
  </cellXfs>
  <cellStyles count="54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標準" xfId="0" builtinId="0"/>
    <cellStyle name="標準 2 2" xfId="42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externalLink" Target="externalLinks/externalLink5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event_drop_3_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  <cell r="Y3">
            <v>1</v>
          </cell>
          <cell r="Z3">
            <v>1</v>
          </cell>
          <cell r="AA3">
            <v>1</v>
          </cell>
          <cell r="AB3">
            <v>0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  <cell r="Y4">
            <v>1</v>
          </cell>
          <cell r="Z4">
            <v>1</v>
          </cell>
          <cell r="AA4">
            <v>1</v>
          </cell>
          <cell r="AB4">
            <v>0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  <cell r="Y5">
            <v>1</v>
          </cell>
          <cell r="Z5">
            <v>1</v>
          </cell>
          <cell r="AA5">
            <v>1</v>
          </cell>
          <cell r="AB5">
            <v>0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  <cell r="Y6">
            <v>1</v>
          </cell>
          <cell r="Z6">
            <v>1</v>
          </cell>
          <cell r="AA6">
            <v>1</v>
          </cell>
          <cell r="AB6">
            <v>0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  <cell r="Y7">
            <v>1</v>
          </cell>
          <cell r="Z7">
            <v>1</v>
          </cell>
          <cell r="AA7">
            <v>1</v>
          </cell>
          <cell r="AB7">
            <v>0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  <cell r="Y8">
            <v>1</v>
          </cell>
          <cell r="Z8">
            <v>1</v>
          </cell>
          <cell r="AA8">
            <v>1</v>
          </cell>
          <cell r="AB8">
            <v>0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  <cell r="Y9">
            <v>1</v>
          </cell>
          <cell r="Z9">
            <v>1</v>
          </cell>
          <cell r="AA9">
            <v>1</v>
          </cell>
          <cell r="AB9">
            <v>0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  <cell r="Y10">
            <v>1</v>
          </cell>
          <cell r="Z10">
            <v>1</v>
          </cell>
          <cell r="AA10">
            <v>1</v>
          </cell>
          <cell r="AB10">
            <v>0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  <cell r="Y11">
            <v>1</v>
          </cell>
          <cell r="Z11">
            <v>1</v>
          </cell>
          <cell r="AA11">
            <v>1</v>
          </cell>
          <cell r="AB11">
            <v>0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  <cell r="Y12">
            <v>1</v>
          </cell>
          <cell r="Z12">
            <v>1</v>
          </cell>
          <cell r="AA12">
            <v>1</v>
          </cell>
          <cell r="AB12">
            <v>0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  <cell r="Y13">
            <v>1</v>
          </cell>
          <cell r="Z13">
            <v>1</v>
          </cell>
          <cell r="AA13">
            <v>1</v>
          </cell>
          <cell r="AB13">
            <v>0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  <cell r="Y14">
            <v>1</v>
          </cell>
          <cell r="Z14">
            <v>1</v>
          </cell>
          <cell r="AA14">
            <v>1</v>
          </cell>
          <cell r="AB14">
            <v>0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  <cell r="Y15">
            <v>1</v>
          </cell>
          <cell r="Z15">
            <v>1</v>
          </cell>
          <cell r="AA15">
            <v>1</v>
          </cell>
          <cell r="AB15">
            <v>0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  <cell r="Y16">
            <v>1</v>
          </cell>
          <cell r="Z16">
            <v>1</v>
          </cell>
          <cell r="AA16">
            <v>1</v>
          </cell>
          <cell r="AB16">
            <v>0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  <cell r="Y17">
            <v>1</v>
          </cell>
          <cell r="Z17">
            <v>1</v>
          </cell>
          <cell r="AA17">
            <v>1</v>
          </cell>
          <cell r="AB17">
            <v>0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  <cell r="Y18">
            <v>1</v>
          </cell>
          <cell r="Z18">
            <v>1</v>
          </cell>
          <cell r="AA18">
            <v>1</v>
          </cell>
          <cell r="AB18">
            <v>0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  <cell r="Y19">
            <v>1</v>
          </cell>
          <cell r="Z19">
            <v>1</v>
          </cell>
          <cell r="AA19">
            <v>1</v>
          </cell>
          <cell r="AB19">
            <v>0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  <cell r="Y20">
            <v>1</v>
          </cell>
          <cell r="Z20">
            <v>1</v>
          </cell>
          <cell r="AA20">
            <v>1</v>
          </cell>
          <cell r="AB20">
            <v>0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  <cell r="Y21">
            <v>1</v>
          </cell>
          <cell r="Z21">
            <v>1</v>
          </cell>
          <cell r="AA21">
            <v>1</v>
          </cell>
          <cell r="AB21">
            <v>0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  <cell r="Y22">
            <v>1</v>
          </cell>
          <cell r="Z22">
            <v>1</v>
          </cell>
          <cell r="AA22">
            <v>1</v>
          </cell>
          <cell r="AB22">
            <v>0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  <cell r="Y23">
            <v>1</v>
          </cell>
          <cell r="Z23">
            <v>1</v>
          </cell>
          <cell r="AA23">
            <v>1</v>
          </cell>
          <cell r="AB23">
            <v>0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  <cell r="Y24">
            <v>1</v>
          </cell>
          <cell r="Z24">
            <v>1</v>
          </cell>
          <cell r="AA24">
            <v>1</v>
          </cell>
          <cell r="AB24">
            <v>0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  <cell r="Y25">
            <v>1</v>
          </cell>
          <cell r="Z25">
            <v>1</v>
          </cell>
          <cell r="AA25">
            <v>1</v>
          </cell>
          <cell r="AB25">
            <v>0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  <cell r="Y26">
            <v>1</v>
          </cell>
          <cell r="Z26">
            <v>1</v>
          </cell>
          <cell r="AA26">
            <v>1</v>
          </cell>
          <cell r="AB26">
            <v>0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  <cell r="Y27">
            <v>1</v>
          </cell>
          <cell r="Z27">
            <v>1</v>
          </cell>
          <cell r="AA27">
            <v>1</v>
          </cell>
          <cell r="AB27">
            <v>0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  <cell r="Y28">
            <v>1</v>
          </cell>
          <cell r="Z28">
            <v>1</v>
          </cell>
          <cell r="AA28">
            <v>1</v>
          </cell>
          <cell r="AB28">
            <v>0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  <cell r="Y29">
            <v>1</v>
          </cell>
          <cell r="Z29">
            <v>1</v>
          </cell>
          <cell r="AA29">
            <v>1</v>
          </cell>
          <cell r="AB29">
            <v>28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  <cell r="Y30">
            <v>1</v>
          </cell>
          <cell r="Z30">
            <v>1</v>
          </cell>
          <cell r="AA30">
            <v>1</v>
          </cell>
          <cell r="AB30">
            <v>0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  <cell r="Y31">
            <v>1</v>
          </cell>
          <cell r="Z31">
            <v>1</v>
          </cell>
          <cell r="AA31">
            <v>1</v>
          </cell>
          <cell r="AB31">
            <v>30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  <cell r="Y32">
            <v>1</v>
          </cell>
          <cell r="Z32">
            <v>1</v>
          </cell>
          <cell r="AA32">
            <v>1</v>
          </cell>
          <cell r="AB32">
            <v>0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  <cell r="Y33">
            <v>1</v>
          </cell>
          <cell r="Z33">
            <v>1</v>
          </cell>
          <cell r="AA33">
            <v>1</v>
          </cell>
          <cell r="AB33">
            <v>0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  <cell r="Y34">
            <v>1</v>
          </cell>
          <cell r="Z34">
            <v>1</v>
          </cell>
          <cell r="AA34">
            <v>1</v>
          </cell>
          <cell r="AB34">
            <v>33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  <cell r="Y35">
            <v>1.1000000000000001</v>
          </cell>
          <cell r="Z35">
            <v>1.2</v>
          </cell>
          <cell r="AA35">
            <v>1.2</v>
          </cell>
          <cell r="AB35">
            <v>34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  <cell r="Y36">
            <v>1</v>
          </cell>
          <cell r="Z36">
            <v>1</v>
          </cell>
          <cell r="AA36">
            <v>1</v>
          </cell>
          <cell r="AB36">
            <v>35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  <cell r="Y37">
            <v>1.1000000000000001</v>
          </cell>
          <cell r="Z37">
            <v>1.2</v>
          </cell>
          <cell r="AA37">
            <v>1.2</v>
          </cell>
          <cell r="AB37">
            <v>36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  <cell r="Y38">
            <v>1</v>
          </cell>
          <cell r="Z38">
            <v>1</v>
          </cell>
          <cell r="AA38">
            <v>1</v>
          </cell>
          <cell r="AB38">
            <v>37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  <cell r="Y39">
            <v>1.1000000000000001</v>
          </cell>
          <cell r="Z39">
            <v>1.2</v>
          </cell>
          <cell r="AA39">
            <v>1.2</v>
          </cell>
          <cell r="AB39">
            <v>38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  <cell r="Y40">
            <v>1</v>
          </cell>
          <cell r="Z40">
            <v>1</v>
          </cell>
          <cell r="AA40">
            <v>1</v>
          </cell>
          <cell r="AB40">
            <v>39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  <cell r="Y41">
            <v>1.1000000000000001</v>
          </cell>
          <cell r="Z41">
            <v>1.2</v>
          </cell>
          <cell r="AA41">
            <v>1.2</v>
          </cell>
          <cell r="AB41">
            <v>40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  <cell r="Y42">
            <v>1</v>
          </cell>
          <cell r="Z42">
            <v>1</v>
          </cell>
          <cell r="AA42">
            <v>1</v>
          </cell>
          <cell r="AB42">
            <v>0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  <cell r="Y43">
            <v>1.1000000000000001</v>
          </cell>
          <cell r="Z43">
            <v>1.2</v>
          </cell>
          <cell r="AA43">
            <v>1.2</v>
          </cell>
          <cell r="AB43">
            <v>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  <cell r="Y44">
            <v>1</v>
          </cell>
          <cell r="Z44">
            <v>1</v>
          </cell>
          <cell r="AA44">
            <v>1</v>
          </cell>
          <cell r="AB44">
            <v>0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  <cell r="Y45">
            <v>1.1000000000000001</v>
          </cell>
          <cell r="Z45">
            <v>1.2</v>
          </cell>
          <cell r="AA45">
            <v>1.2</v>
          </cell>
          <cell r="AB45">
            <v>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  <cell r="Y46">
            <v>1</v>
          </cell>
          <cell r="Z46">
            <v>1</v>
          </cell>
          <cell r="AA46">
            <v>1</v>
          </cell>
          <cell r="AB46">
            <v>0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  <cell r="Y47">
            <v>1.1000000000000001</v>
          </cell>
          <cell r="Z47">
            <v>1.2</v>
          </cell>
          <cell r="AA47">
            <v>1.2</v>
          </cell>
          <cell r="AB47">
            <v>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  <cell r="Y48">
            <v>1</v>
          </cell>
          <cell r="Z48">
            <v>1</v>
          </cell>
          <cell r="AA48">
            <v>1</v>
          </cell>
          <cell r="AB48">
            <v>0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  <cell r="Y49">
            <v>1.1000000000000001</v>
          </cell>
          <cell r="Z49">
            <v>1.2</v>
          </cell>
          <cell r="AA49">
            <v>1.2</v>
          </cell>
          <cell r="AB49">
            <v>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  <cell r="Y50">
            <v>1</v>
          </cell>
          <cell r="Z50">
            <v>1</v>
          </cell>
          <cell r="AA50">
            <v>1</v>
          </cell>
          <cell r="AB50">
            <v>49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  <cell r="Y51">
            <v>1.1000000000000001</v>
          </cell>
          <cell r="Z51">
            <v>1.2</v>
          </cell>
          <cell r="AA51">
            <v>1.2</v>
          </cell>
          <cell r="AB51">
            <v>50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  <cell r="Y52">
            <v>1</v>
          </cell>
          <cell r="Z52">
            <v>1</v>
          </cell>
          <cell r="AA52">
            <v>1</v>
          </cell>
          <cell r="AB52">
            <v>51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  <cell r="Y53">
            <v>1.1000000000000001</v>
          </cell>
          <cell r="Z53">
            <v>1.2</v>
          </cell>
          <cell r="AA53">
            <v>1.2</v>
          </cell>
          <cell r="AB53">
            <v>51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  <cell r="Y54">
            <v>1</v>
          </cell>
          <cell r="Z54">
            <v>1</v>
          </cell>
          <cell r="AA54">
            <v>1</v>
          </cell>
          <cell r="AB54">
            <v>53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  <cell r="Y55">
            <v>1.1000000000000001</v>
          </cell>
          <cell r="Z55">
            <v>1.2</v>
          </cell>
          <cell r="AA55">
            <v>1.2</v>
          </cell>
          <cell r="AB55">
            <v>53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  <cell r="Y56">
            <v>1</v>
          </cell>
          <cell r="Z56">
            <v>1</v>
          </cell>
          <cell r="AA56">
            <v>1</v>
          </cell>
          <cell r="AB56">
            <v>55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  <cell r="Y57">
            <v>1.1000000000000001</v>
          </cell>
          <cell r="Z57">
            <v>1.2</v>
          </cell>
          <cell r="AA57">
            <v>1.2</v>
          </cell>
          <cell r="AB57">
            <v>56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  <cell r="Y58">
            <v>1</v>
          </cell>
          <cell r="Z58">
            <v>1</v>
          </cell>
          <cell r="AA58">
            <v>1</v>
          </cell>
          <cell r="AB58">
            <v>57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  <cell r="Y59">
            <v>1.1000000000000001</v>
          </cell>
          <cell r="Z59">
            <v>1.2</v>
          </cell>
          <cell r="AA59">
            <v>1.2</v>
          </cell>
          <cell r="AB59">
            <v>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  <cell r="Y60">
            <v>1</v>
          </cell>
          <cell r="Z60">
            <v>1</v>
          </cell>
          <cell r="AA60">
            <v>1</v>
          </cell>
          <cell r="AB60">
            <v>59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  <cell r="Y61">
            <v>1.1000000000000001</v>
          </cell>
          <cell r="Z61">
            <v>1.2</v>
          </cell>
          <cell r="AA61">
            <v>1.2</v>
          </cell>
          <cell r="AB61">
            <v>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  <cell r="Y62">
            <v>1</v>
          </cell>
          <cell r="Z62">
            <v>1</v>
          </cell>
          <cell r="AA62">
            <v>1</v>
          </cell>
          <cell r="AB62">
            <v>61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  <cell r="Y63">
            <v>1.1000000000000001</v>
          </cell>
          <cell r="Z63">
            <v>1.2</v>
          </cell>
          <cell r="AA63">
            <v>1.2</v>
          </cell>
          <cell r="AB63">
            <v>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  <cell r="Y64">
            <v>1</v>
          </cell>
          <cell r="Z64">
            <v>1</v>
          </cell>
          <cell r="AA64">
            <v>1</v>
          </cell>
          <cell r="AB64">
            <v>63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  <cell r="Y65">
            <v>1.1000000000000001</v>
          </cell>
          <cell r="Z65">
            <v>1.2</v>
          </cell>
          <cell r="AA65">
            <v>1.2</v>
          </cell>
          <cell r="AB65">
            <v>64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  <cell r="Y66">
            <v>1</v>
          </cell>
          <cell r="Z66">
            <v>1</v>
          </cell>
          <cell r="AA66">
            <v>1</v>
          </cell>
          <cell r="AB66">
            <v>0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  <cell r="Y67">
            <v>1.1000000000000001</v>
          </cell>
          <cell r="Z67">
            <v>1.2</v>
          </cell>
          <cell r="AA67">
            <v>1.2</v>
          </cell>
          <cell r="AB67">
            <v>66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  <cell r="Y68">
            <v>1.3</v>
          </cell>
          <cell r="Z68">
            <v>1.3</v>
          </cell>
          <cell r="AA68">
            <v>1.1000000000000001</v>
          </cell>
          <cell r="AB68">
            <v>67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  <cell r="Y69">
            <v>1</v>
          </cell>
          <cell r="Z69">
            <v>1</v>
          </cell>
          <cell r="AA69">
            <v>1</v>
          </cell>
          <cell r="AB69">
            <v>0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  <cell r="Y70">
            <v>1.1000000000000001</v>
          </cell>
          <cell r="Z70">
            <v>1.2</v>
          </cell>
          <cell r="AA70">
            <v>1.2</v>
          </cell>
          <cell r="AB70">
            <v>69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  <cell r="Y71">
            <v>1.3</v>
          </cell>
          <cell r="Z71">
            <v>1.3</v>
          </cell>
          <cell r="AA71">
            <v>1.1000000000000001</v>
          </cell>
          <cell r="AB71">
            <v>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  <cell r="Y72">
            <v>1</v>
          </cell>
          <cell r="Z72">
            <v>1</v>
          </cell>
          <cell r="AA72">
            <v>1</v>
          </cell>
          <cell r="AB72">
            <v>71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  <cell r="Y73">
            <v>1.1000000000000001</v>
          </cell>
          <cell r="Z73">
            <v>1.2</v>
          </cell>
          <cell r="AA73">
            <v>1.2</v>
          </cell>
          <cell r="AB73">
            <v>72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  <cell r="Y74">
            <v>1.3</v>
          </cell>
          <cell r="Z74">
            <v>1.3</v>
          </cell>
          <cell r="AA74">
            <v>1.1000000000000001</v>
          </cell>
          <cell r="AB74">
            <v>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  <cell r="Y75">
            <v>1</v>
          </cell>
          <cell r="Z75">
            <v>1</v>
          </cell>
          <cell r="AA75">
            <v>1</v>
          </cell>
          <cell r="AB75">
            <v>74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  <cell r="Y76">
            <v>1.1000000000000001</v>
          </cell>
          <cell r="Z76">
            <v>1.2</v>
          </cell>
          <cell r="AA76">
            <v>1.2</v>
          </cell>
          <cell r="AB76">
            <v>75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  <cell r="Y77">
            <v>1.3</v>
          </cell>
          <cell r="Z77">
            <v>1.3</v>
          </cell>
          <cell r="AA77">
            <v>1.1000000000000001</v>
          </cell>
          <cell r="AB77">
            <v>76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  <cell r="Y78">
            <v>1.1000000000000001</v>
          </cell>
          <cell r="Z78">
            <v>1.2</v>
          </cell>
          <cell r="AA78">
            <v>1.2</v>
          </cell>
          <cell r="AB78">
            <v>77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  <cell r="Y79">
            <v>1.3</v>
          </cell>
          <cell r="Z79">
            <v>1.3</v>
          </cell>
          <cell r="AA79">
            <v>1.1000000000000001</v>
          </cell>
          <cell r="AB79">
            <v>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  <cell r="Y80">
            <v>1.1000000000000001</v>
          </cell>
          <cell r="Z80">
            <v>1.2</v>
          </cell>
          <cell r="AA80">
            <v>1.2</v>
          </cell>
          <cell r="AB80">
            <v>79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  <cell r="Y81">
            <v>1.3</v>
          </cell>
          <cell r="Z81">
            <v>1.3</v>
          </cell>
          <cell r="AA81">
            <v>1.1000000000000001</v>
          </cell>
          <cell r="AB81">
            <v>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  <cell r="Y82">
            <v>1.1000000000000001</v>
          </cell>
          <cell r="Z82">
            <v>1.2</v>
          </cell>
          <cell r="AA82">
            <v>1.2</v>
          </cell>
          <cell r="AB82">
            <v>81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  <cell r="Y83">
            <v>1.3</v>
          </cell>
          <cell r="Z83">
            <v>1.3</v>
          </cell>
          <cell r="AA83">
            <v>1.1000000000000001</v>
          </cell>
          <cell r="AB83">
            <v>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  <cell r="Y84">
            <v>1.1000000000000001</v>
          </cell>
          <cell r="Z84">
            <v>1.2</v>
          </cell>
          <cell r="AA84">
            <v>1.2</v>
          </cell>
          <cell r="AB84">
            <v>83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  <cell r="Y85">
            <v>1.3</v>
          </cell>
          <cell r="Z85">
            <v>1.3</v>
          </cell>
          <cell r="AA85">
            <v>1.1000000000000001</v>
          </cell>
          <cell r="AB85">
            <v>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  <cell r="Y86">
            <v>1.1000000000000001</v>
          </cell>
          <cell r="Z86">
            <v>1.2</v>
          </cell>
          <cell r="AA86">
            <v>1.2</v>
          </cell>
          <cell r="AB86">
            <v>85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  <cell r="Y87">
            <v>1.3</v>
          </cell>
          <cell r="Z87">
            <v>1.3</v>
          </cell>
          <cell r="AA87">
            <v>1.1000000000000001</v>
          </cell>
          <cell r="AB87">
            <v>86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  <cell r="Y88">
            <v>1.7</v>
          </cell>
          <cell r="Z88">
            <v>1.4</v>
          </cell>
          <cell r="AA88">
            <v>1</v>
          </cell>
          <cell r="AB88">
            <v>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  <cell r="Y89">
            <v>1.1000000000000001</v>
          </cell>
          <cell r="Z89">
            <v>1.2</v>
          </cell>
          <cell r="AA89">
            <v>1.2</v>
          </cell>
          <cell r="AB89">
            <v>88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  <cell r="Y90">
            <v>1.3</v>
          </cell>
          <cell r="Z90">
            <v>1.3</v>
          </cell>
          <cell r="AA90">
            <v>1.1000000000000001</v>
          </cell>
          <cell r="AB90">
            <v>89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  <cell r="Y91">
            <v>1.7</v>
          </cell>
          <cell r="Z91">
            <v>1.4</v>
          </cell>
          <cell r="AA91">
            <v>1</v>
          </cell>
          <cell r="AB91">
            <v>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  <cell r="Y92">
            <v>1.1000000000000001</v>
          </cell>
          <cell r="Z92">
            <v>1.2</v>
          </cell>
          <cell r="AA92">
            <v>1.2</v>
          </cell>
          <cell r="AB92">
            <v>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  <cell r="Y93">
            <v>1.3</v>
          </cell>
          <cell r="Z93">
            <v>1.3</v>
          </cell>
          <cell r="AA93">
            <v>1.1000000000000001</v>
          </cell>
          <cell r="AB93">
            <v>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  <cell r="Y94">
            <v>1.7</v>
          </cell>
          <cell r="Z94">
            <v>1.4</v>
          </cell>
          <cell r="AA94">
            <v>1</v>
          </cell>
          <cell r="AB94">
            <v>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  <cell r="Y95">
            <v>1.1000000000000001</v>
          </cell>
          <cell r="Z95">
            <v>1.2</v>
          </cell>
          <cell r="AA95">
            <v>1.2</v>
          </cell>
          <cell r="AB95">
            <v>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  <cell r="Y96">
            <v>1.3</v>
          </cell>
          <cell r="Z96">
            <v>1.3</v>
          </cell>
          <cell r="AA96">
            <v>1.1000000000000001</v>
          </cell>
          <cell r="AB96">
            <v>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  <cell r="Y97">
            <v>1.7</v>
          </cell>
          <cell r="Z97">
            <v>1.4</v>
          </cell>
          <cell r="AA97">
            <v>1</v>
          </cell>
          <cell r="AB97">
            <v>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  <cell r="Y98">
            <v>1.1000000000000001</v>
          </cell>
          <cell r="Z98">
            <v>1.2</v>
          </cell>
          <cell r="AA98">
            <v>1.2</v>
          </cell>
          <cell r="AB98">
            <v>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  <cell r="Y99">
            <v>1.1000000000000001</v>
          </cell>
          <cell r="Z99">
            <v>1.2</v>
          </cell>
          <cell r="AA99">
            <v>1.2</v>
          </cell>
          <cell r="AB99">
            <v>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  <cell r="Y100">
            <v>1.1000000000000001</v>
          </cell>
          <cell r="Z100">
            <v>1.2</v>
          </cell>
          <cell r="AA100">
            <v>1.2</v>
          </cell>
          <cell r="AB100">
            <v>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  <cell r="Y101">
            <v>1.1000000000000001</v>
          </cell>
          <cell r="Z101">
            <v>1.2</v>
          </cell>
          <cell r="AA101">
            <v>1.2</v>
          </cell>
          <cell r="AB101">
            <v>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  <cell r="Y102">
            <v>1</v>
          </cell>
          <cell r="Z102">
            <v>1</v>
          </cell>
          <cell r="AA102">
            <v>1</v>
          </cell>
          <cell r="AB102">
            <v>0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  <cell r="Y103">
            <v>1</v>
          </cell>
          <cell r="Z103">
            <v>1</v>
          </cell>
          <cell r="AA103">
            <v>1</v>
          </cell>
          <cell r="AB103">
            <v>0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  <cell r="Y104">
            <v>1</v>
          </cell>
          <cell r="Z104">
            <v>1</v>
          </cell>
          <cell r="AA104">
            <v>1</v>
          </cell>
          <cell r="AB104">
            <v>0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  <cell r="Y105">
            <v>1.1000000000000001</v>
          </cell>
          <cell r="Z105">
            <v>1.2</v>
          </cell>
          <cell r="AA105">
            <v>1.2</v>
          </cell>
          <cell r="AB105">
            <v>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  <cell r="Y106">
            <v>1</v>
          </cell>
          <cell r="Z106">
            <v>1</v>
          </cell>
          <cell r="AA106">
            <v>1</v>
          </cell>
          <cell r="AB106">
            <v>0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  <cell r="Y107">
            <v>1</v>
          </cell>
          <cell r="Z107">
            <v>1</v>
          </cell>
          <cell r="AA107">
            <v>1</v>
          </cell>
          <cell r="AB107">
            <v>0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  <cell r="Y108">
            <v>1</v>
          </cell>
          <cell r="Z108">
            <v>1</v>
          </cell>
          <cell r="AA108">
            <v>1</v>
          </cell>
          <cell r="AB108">
            <v>0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  <cell r="Y109">
            <v>1.1000000000000001</v>
          </cell>
          <cell r="Z109">
            <v>1.2</v>
          </cell>
          <cell r="AA109">
            <v>1.2</v>
          </cell>
          <cell r="AB109">
            <v>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  <cell r="Y110">
            <v>1</v>
          </cell>
          <cell r="Z110">
            <v>1</v>
          </cell>
          <cell r="AA110">
            <v>1</v>
          </cell>
          <cell r="AB110">
            <v>0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  <cell r="Y111">
            <v>1</v>
          </cell>
          <cell r="Z111">
            <v>1</v>
          </cell>
          <cell r="AA111">
            <v>1</v>
          </cell>
          <cell r="AB111">
            <v>0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  <cell r="Y112">
            <v>1</v>
          </cell>
          <cell r="Z112">
            <v>1</v>
          </cell>
          <cell r="AA112">
            <v>1</v>
          </cell>
          <cell r="AB112">
            <v>0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  <cell r="Y113">
            <v>1.1000000000000001</v>
          </cell>
          <cell r="Z113">
            <v>1.2</v>
          </cell>
          <cell r="AA113">
            <v>1.2</v>
          </cell>
          <cell r="AB113">
            <v>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  <cell r="Y114">
            <v>1</v>
          </cell>
          <cell r="Z114">
            <v>1</v>
          </cell>
          <cell r="AA114">
            <v>1</v>
          </cell>
          <cell r="AB114">
            <v>0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  <cell r="Y115">
            <v>1</v>
          </cell>
          <cell r="Z115">
            <v>1</v>
          </cell>
          <cell r="AA115">
            <v>1</v>
          </cell>
          <cell r="AB115">
            <v>0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  <cell r="Y116">
            <v>1</v>
          </cell>
          <cell r="Z116">
            <v>1</v>
          </cell>
          <cell r="AA116">
            <v>1</v>
          </cell>
          <cell r="AB116">
            <v>0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  <cell r="Y117">
            <v>1.1000000000000001</v>
          </cell>
          <cell r="Z117">
            <v>1.2</v>
          </cell>
          <cell r="AA117">
            <v>1.2</v>
          </cell>
          <cell r="AB117">
            <v>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  <cell r="Y118">
            <v>1</v>
          </cell>
          <cell r="Z118">
            <v>1</v>
          </cell>
          <cell r="AA118">
            <v>1</v>
          </cell>
          <cell r="AB118">
            <v>0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  <cell r="Y119">
            <v>1</v>
          </cell>
          <cell r="Z119">
            <v>1</v>
          </cell>
          <cell r="AA119">
            <v>1</v>
          </cell>
          <cell r="AB119">
            <v>0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  <cell r="Y120">
            <v>1.1000000000000001</v>
          </cell>
          <cell r="Z120">
            <v>1.2</v>
          </cell>
          <cell r="AA120">
            <v>1.2</v>
          </cell>
          <cell r="AB120">
            <v>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  <cell r="Y121">
            <v>1.1000000000000001</v>
          </cell>
          <cell r="Z121">
            <v>1.2</v>
          </cell>
          <cell r="AA121">
            <v>1.2</v>
          </cell>
          <cell r="AB121">
            <v>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  <cell r="Y122">
            <v>1.1000000000000001</v>
          </cell>
          <cell r="Z122">
            <v>1.2</v>
          </cell>
          <cell r="AA122">
            <v>1.2</v>
          </cell>
          <cell r="AB122">
            <v>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  <cell r="Y123">
            <v>1.1000000000000001</v>
          </cell>
          <cell r="Z123">
            <v>1.2</v>
          </cell>
          <cell r="AA123">
            <v>1.2</v>
          </cell>
          <cell r="AB123">
            <v>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  <cell r="Y124">
            <v>1.1000000000000001</v>
          </cell>
          <cell r="Z124">
            <v>1.2</v>
          </cell>
          <cell r="AA124">
            <v>1.2</v>
          </cell>
          <cell r="AB124">
            <v>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  <cell r="Y125">
            <v>1.1000000000000001</v>
          </cell>
          <cell r="Z125">
            <v>1.2</v>
          </cell>
          <cell r="AA125">
            <v>1.2</v>
          </cell>
          <cell r="AB125">
            <v>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  <cell r="Y126">
            <v>1.1000000000000001</v>
          </cell>
          <cell r="Z126">
            <v>1.2</v>
          </cell>
          <cell r="AA126">
            <v>1.2</v>
          </cell>
          <cell r="AB126">
            <v>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  <cell r="Y127">
            <v>1.1000000000000001</v>
          </cell>
          <cell r="Z127">
            <v>1.2</v>
          </cell>
          <cell r="AA127">
            <v>1.2</v>
          </cell>
          <cell r="AB127">
            <v>126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  <cell r="Y128">
            <v>1.3</v>
          </cell>
          <cell r="Z128">
            <v>1.3</v>
          </cell>
          <cell r="AA128">
            <v>1.1000000000000001</v>
          </cell>
          <cell r="AB128">
            <v>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  <cell r="Y129">
            <v>1.1000000000000001</v>
          </cell>
          <cell r="Z129">
            <v>1.2</v>
          </cell>
          <cell r="AA129">
            <v>1.2</v>
          </cell>
          <cell r="AB129">
            <v>128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  <cell r="Y130">
            <v>1.3</v>
          </cell>
          <cell r="Z130">
            <v>1.3</v>
          </cell>
          <cell r="AA130">
            <v>1.1000000000000001</v>
          </cell>
          <cell r="AB130">
            <v>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  <cell r="Y131">
            <v>1.1000000000000001</v>
          </cell>
          <cell r="Z131">
            <v>1.2</v>
          </cell>
          <cell r="AA131">
            <v>1.2</v>
          </cell>
          <cell r="AB131">
            <v>130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  <cell r="Y132">
            <v>1.3</v>
          </cell>
          <cell r="Z132">
            <v>1.3</v>
          </cell>
          <cell r="AA132">
            <v>1.1000000000000001</v>
          </cell>
          <cell r="AB132">
            <v>130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  <cell r="Y133">
            <v>1.1000000000000001</v>
          </cell>
          <cell r="Z133">
            <v>1.2</v>
          </cell>
          <cell r="AA133">
            <v>1.2</v>
          </cell>
          <cell r="AB133">
            <v>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  <cell r="Y134">
            <v>1.3</v>
          </cell>
          <cell r="Z134">
            <v>1.3</v>
          </cell>
          <cell r="AA134">
            <v>1.1000000000000001</v>
          </cell>
          <cell r="AB134">
            <v>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  <cell r="Y135">
            <v>1.1000000000000001</v>
          </cell>
          <cell r="Z135">
            <v>1.2</v>
          </cell>
          <cell r="AA135">
            <v>1.2</v>
          </cell>
          <cell r="AB135">
            <v>134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  <cell r="Y136">
            <v>1.3</v>
          </cell>
          <cell r="Z136">
            <v>1.3</v>
          </cell>
          <cell r="AA136">
            <v>1.1000000000000001</v>
          </cell>
          <cell r="AB136">
            <v>134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  <cell r="Y137">
            <v>1.1000000000000001</v>
          </cell>
          <cell r="Z137">
            <v>1.2</v>
          </cell>
          <cell r="AA137">
            <v>1.2</v>
          </cell>
          <cell r="AB137">
            <v>136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  <cell r="Y138">
            <v>1.3</v>
          </cell>
          <cell r="Z138">
            <v>1.3</v>
          </cell>
          <cell r="AA138">
            <v>1.1000000000000001</v>
          </cell>
          <cell r="AB138">
            <v>136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  <cell r="Y139">
            <v>1.1000000000000001</v>
          </cell>
          <cell r="Z139">
            <v>1.2</v>
          </cell>
          <cell r="AA139">
            <v>1.2</v>
          </cell>
          <cell r="AB139">
            <v>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  <cell r="Y140">
            <v>1.3</v>
          </cell>
          <cell r="Z140">
            <v>1.3</v>
          </cell>
          <cell r="AA140">
            <v>1.1000000000000001</v>
          </cell>
          <cell r="AB140">
            <v>139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  <cell r="Y141">
            <v>1.1000000000000001</v>
          </cell>
          <cell r="Z141">
            <v>1.2</v>
          </cell>
          <cell r="AA141">
            <v>1.2</v>
          </cell>
          <cell r="AB141">
            <v>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  <cell r="Y142">
            <v>1.3</v>
          </cell>
          <cell r="Z142">
            <v>1.3</v>
          </cell>
          <cell r="AA142">
            <v>1.1000000000000001</v>
          </cell>
          <cell r="AB142">
            <v>141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  <cell r="Y143">
            <v>1.1000000000000001</v>
          </cell>
          <cell r="Z143">
            <v>1.2</v>
          </cell>
          <cell r="AA143">
            <v>1.2</v>
          </cell>
          <cell r="AB143">
            <v>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  <cell r="Y144">
            <v>1.3</v>
          </cell>
          <cell r="Z144">
            <v>1.3</v>
          </cell>
          <cell r="AA144">
            <v>1.1000000000000001</v>
          </cell>
          <cell r="AB144">
            <v>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  <cell r="Y145">
            <v>1.1000000000000001</v>
          </cell>
          <cell r="Z145">
            <v>1.2</v>
          </cell>
          <cell r="AA145">
            <v>1.2</v>
          </cell>
          <cell r="AB145">
            <v>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  <cell r="Y146">
            <v>1.3</v>
          </cell>
          <cell r="Z146">
            <v>1.3</v>
          </cell>
          <cell r="AA146">
            <v>1.1000000000000001</v>
          </cell>
          <cell r="AB146">
            <v>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  <cell r="Y147">
            <v>1.1000000000000001</v>
          </cell>
          <cell r="Z147">
            <v>1.2</v>
          </cell>
          <cell r="AA147">
            <v>1.2</v>
          </cell>
          <cell r="AB147">
            <v>146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  <cell r="Y148">
            <v>1.3</v>
          </cell>
          <cell r="Z148">
            <v>1.3</v>
          </cell>
          <cell r="AA148">
            <v>1.1000000000000001</v>
          </cell>
          <cell r="AB148">
            <v>146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  <cell r="Y149">
            <v>1.1000000000000001</v>
          </cell>
          <cell r="Z149">
            <v>1.2</v>
          </cell>
          <cell r="AA149">
            <v>1.2</v>
          </cell>
          <cell r="AB149">
            <v>148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  <cell r="Y150">
            <v>1.3</v>
          </cell>
          <cell r="Z150">
            <v>1.3</v>
          </cell>
          <cell r="AA150">
            <v>1.1000000000000001</v>
          </cell>
          <cell r="AB150">
            <v>149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  <cell r="Y151">
            <v>1.1000000000000001</v>
          </cell>
          <cell r="Z151">
            <v>1.2</v>
          </cell>
          <cell r="AA151">
            <v>1.2</v>
          </cell>
          <cell r="AB151">
            <v>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  <cell r="Y152">
            <v>1.3</v>
          </cell>
          <cell r="Z152">
            <v>1.3</v>
          </cell>
          <cell r="AA152">
            <v>1.1000000000000001</v>
          </cell>
          <cell r="AB152">
            <v>151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  <cell r="Y153">
            <v>1.1000000000000001</v>
          </cell>
          <cell r="Z153">
            <v>1.2</v>
          </cell>
          <cell r="AA153">
            <v>1.2</v>
          </cell>
          <cell r="AB153">
            <v>152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  <cell r="Y154">
            <v>1.3</v>
          </cell>
          <cell r="Z154">
            <v>1.3</v>
          </cell>
          <cell r="AA154">
            <v>1.1000000000000001</v>
          </cell>
          <cell r="AB154">
            <v>153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  <cell r="Y155">
            <v>1.1000000000000001</v>
          </cell>
          <cell r="Z155">
            <v>1.2</v>
          </cell>
          <cell r="AA155">
            <v>1.2</v>
          </cell>
          <cell r="AB155">
            <v>154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  <cell r="Y156">
            <v>1.3</v>
          </cell>
          <cell r="Z156">
            <v>1.3</v>
          </cell>
          <cell r="AA156">
            <v>1.1000000000000001</v>
          </cell>
          <cell r="AB156">
            <v>154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  <cell r="Y157">
            <v>1.1000000000000001</v>
          </cell>
          <cell r="Z157">
            <v>1.2</v>
          </cell>
          <cell r="AA157">
            <v>1.2</v>
          </cell>
          <cell r="AB157">
            <v>156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  <cell r="Y158">
            <v>1.3</v>
          </cell>
          <cell r="Z158">
            <v>1.3</v>
          </cell>
          <cell r="AA158">
            <v>1.1000000000000001</v>
          </cell>
          <cell r="AB158">
            <v>157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  <cell r="Y159">
            <v>1.1000000000000001</v>
          </cell>
          <cell r="Z159">
            <v>1.2</v>
          </cell>
          <cell r="AA159">
            <v>1.2</v>
          </cell>
          <cell r="AB159">
            <v>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  <cell r="Y160">
            <v>1.3</v>
          </cell>
          <cell r="Z160">
            <v>1.3</v>
          </cell>
          <cell r="AA160">
            <v>1.1000000000000001</v>
          </cell>
          <cell r="AB160">
            <v>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  <cell r="Y161">
            <v>1.1000000000000001</v>
          </cell>
          <cell r="Z161">
            <v>1.2</v>
          </cell>
          <cell r="AA161">
            <v>1.2</v>
          </cell>
          <cell r="AB161">
            <v>160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  <cell r="Y162">
            <v>1.3</v>
          </cell>
          <cell r="Z162">
            <v>1.3</v>
          </cell>
          <cell r="AA162">
            <v>1.1000000000000001</v>
          </cell>
          <cell r="AB162">
            <v>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  <cell r="Y163">
            <v>1.1000000000000001</v>
          </cell>
          <cell r="Z163">
            <v>1.2</v>
          </cell>
          <cell r="AA163">
            <v>1.2</v>
          </cell>
          <cell r="AB163">
            <v>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  <cell r="Y164">
            <v>1.3</v>
          </cell>
          <cell r="Z164">
            <v>1.3</v>
          </cell>
          <cell r="AA164">
            <v>1.1000000000000001</v>
          </cell>
          <cell r="AB164">
            <v>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  <cell r="Y165">
            <v>1.1000000000000001</v>
          </cell>
          <cell r="Z165">
            <v>1.2</v>
          </cell>
          <cell r="AA165">
            <v>1.2</v>
          </cell>
          <cell r="AB165">
            <v>164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  <cell r="Y166">
            <v>1.3</v>
          </cell>
          <cell r="Z166">
            <v>1.3</v>
          </cell>
          <cell r="AA166">
            <v>1.1000000000000001</v>
          </cell>
          <cell r="AB166">
            <v>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  <cell r="Y167">
            <v>1.1000000000000001</v>
          </cell>
          <cell r="Z167">
            <v>1.2</v>
          </cell>
          <cell r="AA167">
            <v>1.2</v>
          </cell>
          <cell r="AB167">
            <v>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  <cell r="Y168">
            <v>1.3</v>
          </cell>
          <cell r="Z168">
            <v>1.3</v>
          </cell>
          <cell r="AA168">
            <v>1.1000000000000001</v>
          </cell>
          <cell r="AB168">
            <v>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  <cell r="Y169">
            <v>1.7</v>
          </cell>
          <cell r="Z169">
            <v>1.4</v>
          </cell>
          <cell r="AA169">
            <v>1</v>
          </cell>
          <cell r="AB169">
            <v>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  <cell r="Y170">
            <v>1.1000000000000001</v>
          </cell>
          <cell r="Z170">
            <v>1.2</v>
          </cell>
          <cell r="AA170">
            <v>1.2</v>
          </cell>
          <cell r="AB170">
            <v>169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  <cell r="Y171">
            <v>1.3</v>
          </cell>
          <cell r="Z171">
            <v>1.3</v>
          </cell>
          <cell r="AA171">
            <v>1.1000000000000001</v>
          </cell>
          <cell r="AB171">
            <v>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  <cell r="Y172">
            <v>1.7</v>
          </cell>
          <cell r="Z172">
            <v>1.4</v>
          </cell>
          <cell r="AA172">
            <v>1</v>
          </cell>
          <cell r="AB172">
            <v>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  <cell r="Y173">
            <v>1.1000000000000001</v>
          </cell>
          <cell r="Z173">
            <v>1.2</v>
          </cell>
          <cell r="AA173">
            <v>1.2</v>
          </cell>
          <cell r="AB173">
            <v>172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  <cell r="Y174">
            <v>1.3</v>
          </cell>
          <cell r="Z174">
            <v>1.3</v>
          </cell>
          <cell r="AA174">
            <v>1.1000000000000001</v>
          </cell>
          <cell r="AB174">
            <v>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  <cell r="Y175">
            <v>1.7</v>
          </cell>
          <cell r="Z175">
            <v>1.4</v>
          </cell>
          <cell r="AA175">
            <v>1</v>
          </cell>
          <cell r="AB175">
            <v>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  <cell r="Y176">
            <v>1.1000000000000001</v>
          </cell>
          <cell r="Z176">
            <v>1.2</v>
          </cell>
          <cell r="AA176">
            <v>1.2</v>
          </cell>
          <cell r="AB176">
            <v>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  <cell r="Y177">
            <v>1.3</v>
          </cell>
          <cell r="Z177">
            <v>1.3</v>
          </cell>
          <cell r="AA177">
            <v>1.1000000000000001</v>
          </cell>
          <cell r="AB177">
            <v>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  <cell r="Y178">
            <v>1.7</v>
          </cell>
          <cell r="Z178">
            <v>1.4</v>
          </cell>
          <cell r="AA178">
            <v>1</v>
          </cell>
          <cell r="AB178">
            <v>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  <cell r="Y179">
            <v>1.1000000000000001</v>
          </cell>
          <cell r="Z179">
            <v>1.2</v>
          </cell>
          <cell r="AA179">
            <v>1.2</v>
          </cell>
          <cell r="AB179">
            <v>178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  <cell r="Y180">
            <v>1.3</v>
          </cell>
          <cell r="Z180">
            <v>1.3</v>
          </cell>
          <cell r="AA180">
            <v>1.1000000000000001</v>
          </cell>
          <cell r="AB180">
            <v>178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  <cell r="Y181">
            <v>1.7</v>
          </cell>
          <cell r="Z181">
            <v>1.4</v>
          </cell>
          <cell r="AA181">
            <v>1</v>
          </cell>
          <cell r="AB181">
            <v>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  <cell r="Y182">
            <v>1.1000000000000001</v>
          </cell>
          <cell r="Z182">
            <v>1.2</v>
          </cell>
          <cell r="AA182">
            <v>1.2</v>
          </cell>
          <cell r="AB182">
            <v>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  <cell r="Y183">
            <v>1.3</v>
          </cell>
          <cell r="Z183">
            <v>1.3</v>
          </cell>
          <cell r="AA183">
            <v>1.1000000000000001</v>
          </cell>
          <cell r="AB183">
            <v>182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  <cell r="Y184">
            <v>1.7</v>
          </cell>
          <cell r="Z184">
            <v>1.4</v>
          </cell>
          <cell r="AA184">
            <v>1</v>
          </cell>
          <cell r="AB184">
            <v>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  <cell r="Y185">
            <v>1.1000000000000001</v>
          </cell>
          <cell r="Z185">
            <v>1.2</v>
          </cell>
          <cell r="AA185">
            <v>1.2</v>
          </cell>
          <cell r="AB185">
            <v>184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  <cell r="Y186">
            <v>1.3</v>
          </cell>
          <cell r="Z186">
            <v>1.3</v>
          </cell>
          <cell r="AA186">
            <v>1.1000000000000001</v>
          </cell>
          <cell r="AB186">
            <v>185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  <cell r="Y187">
            <v>1.7</v>
          </cell>
          <cell r="Z187">
            <v>1.4</v>
          </cell>
          <cell r="AA187">
            <v>1</v>
          </cell>
          <cell r="AB187">
            <v>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  <cell r="Y188">
            <v>1.1000000000000001</v>
          </cell>
          <cell r="Z188">
            <v>1.2</v>
          </cell>
          <cell r="AA188">
            <v>1.2</v>
          </cell>
          <cell r="AB188">
            <v>187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  <cell r="Y189">
            <v>1.3</v>
          </cell>
          <cell r="Z189">
            <v>1.3</v>
          </cell>
          <cell r="AA189">
            <v>1.1000000000000001</v>
          </cell>
          <cell r="AB189">
            <v>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  <cell r="Y190">
            <v>1.7</v>
          </cell>
          <cell r="Z190">
            <v>1.4</v>
          </cell>
          <cell r="AA190">
            <v>1</v>
          </cell>
          <cell r="AB190">
            <v>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  <cell r="Y191">
            <v>1.1000000000000001</v>
          </cell>
          <cell r="Z191">
            <v>1.2</v>
          </cell>
          <cell r="AA191">
            <v>1.2</v>
          </cell>
          <cell r="AB191">
            <v>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  <cell r="Y192">
            <v>1.3</v>
          </cell>
          <cell r="Z192">
            <v>1.3</v>
          </cell>
          <cell r="AA192">
            <v>1.1000000000000001</v>
          </cell>
          <cell r="AB192">
            <v>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  <cell r="Y193">
            <v>1.7</v>
          </cell>
          <cell r="Z193">
            <v>1.4</v>
          </cell>
          <cell r="AA193">
            <v>1</v>
          </cell>
          <cell r="AB193">
            <v>192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  <cell r="Y194">
            <v>1.1000000000000001</v>
          </cell>
          <cell r="Z194">
            <v>1.2</v>
          </cell>
          <cell r="AA194">
            <v>1.2</v>
          </cell>
          <cell r="AB194">
            <v>193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  <cell r="Y195">
            <v>1.3</v>
          </cell>
          <cell r="Z195">
            <v>1.3</v>
          </cell>
          <cell r="AA195">
            <v>1.1000000000000001</v>
          </cell>
          <cell r="AB195">
            <v>194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  <cell r="Y196">
            <v>1.7</v>
          </cell>
          <cell r="Z196">
            <v>1.4</v>
          </cell>
          <cell r="AA196">
            <v>1</v>
          </cell>
          <cell r="AB196">
            <v>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  <cell r="Y197">
            <v>1.1000000000000001</v>
          </cell>
          <cell r="Z197">
            <v>1.2</v>
          </cell>
          <cell r="AA197">
            <v>1.2</v>
          </cell>
          <cell r="AB197">
            <v>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  <cell r="Y198">
            <v>1.3</v>
          </cell>
          <cell r="Z198">
            <v>1.3</v>
          </cell>
          <cell r="AA198">
            <v>1.1000000000000001</v>
          </cell>
          <cell r="AB198">
            <v>198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  <cell r="Y199">
            <v>1.7</v>
          </cell>
          <cell r="Z199">
            <v>1.4</v>
          </cell>
          <cell r="AA199">
            <v>1</v>
          </cell>
          <cell r="AB199">
            <v>198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  <cell r="Y200">
            <v>1.1000000000000001</v>
          </cell>
          <cell r="Z200">
            <v>1.2</v>
          </cell>
          <cell r="AA200">
            <v>1.2</v>
          </cell>
          <cell r="AB200">
            <v>199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  <cell r="Y201">
            <v>1.3</v>
          </cell>
          <cell r="Z201">
            <v>1.3</v>
          </cell>
          <cell r="AA201">
            <v>1.1000000000000001</v>
          </cell>
          <cell r="AB201">
            <v>200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  <cell r="Y202">
            <v>1.7</v>
          </cell>
          <cell r="Z202">
            <v>1.4</v>
          </cell>
          <cell r="AA202">
            <v>1</v>
          </cell>
          <cell r="AB202">
            <v>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  <cell r="Y203">
            <v>1.1000000000000001</v>
          </cell>
          <cell r="Z203">
            <v>1.2</v>
          </cell>
          <cell r="AA203">
            <v>1.2</v>
          </cell>
          <cell r="AB203">
            <v>202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  <cell r="Y204">
            <v>1.3</v>
          </cell>
          <cell r="Z204">
            <v>1.3</v>
          </cell>
          <cell r="AA204">
            <v>1.1000000000000001</v>
          </cell>
          <cell r="AB204">
            <v>203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  <cell r="Y205">
            <v>1.7</v>
          </cell>
          <cell r="Z205">
            <v>1.4</v>
          </cell>
          <cell r="AA205">
            <v>1</v>
          </cell>
          <cell r="AB205">
            <v>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  <cell r="Y206">
            <v>1.1000000000000001</v>
          </cell>
          <cell r="Z206">
            <v>1.2</v>
          </cell>
          <cell r="AA206">
            <v>1.2</v>
          </cell>
          <cell r="AB206">
            <v>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  <cell r="Y207">
            <v>1.3</v>
          </cell>
          <cell r="Z207">
            <v>1.3</v>
          </cell>
          <cell r="AA207">
            <v>1.1000000000000001</v>
          </cell>
          <cell r="AB207">
            <v>206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  <cell r="Y208">
            <v>1.7</v>
          </cell>
          <cell r="Z208">
            <v>1.4</v>
          </cell>
          <cell r="AA208">
            <v>1</v>
          </cell>
          <cell r="AB208">
            <v>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  <cell r="Y209">
            <v>1.1000000000000001</v>
          </cell>
          <cell r="Z209">
            <v>1.2</v>
          </cell>
          <cell r="AA209">
            <v>1.2</v>
          </cell>
          <cell r="AB209">
            <v>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  <cell r="Y210">
            <v>1.3</v>
          </cell>
          <cell r="Z210">
            <v>1.3</v>
          </cell>
          <cell r="AA210">
            <v>1.1000000000000001</v>
          </cell>
          <cell r="AB210">
            <v>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  <cell r="Y211">
            <v>1.7</v>
          </cell>
          <cell r="Z211">
            <v>1.4</v>
          </cell>
          <cell r="AA211">
            <v>1</v>
          </cell>
          <cell r="AB211">
            <v>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  <cell r="Y212">
            <v>1.1000000000000001</v>
          </cell>
          <cell r="Z212">
            <v>1.2</v>
          </cell>
          <cell r="AA212">
            <v>1.2</v>
          </cell>
          <cell r="AB212">
            <v>211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  <cell r="Y213">
            <v>1.3</v>
          </cell>
          <cell r="Z213">
            <v>1.3</v>
          </cell>
          <cell r="AA213">
            <v>1.1000000000000001</v>
          </cell>
          <cell r="AB213">
            <v>212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  <cell r="Y214">
            <v>1.7</v>
          </cell>
          <cell r="Z214">
            <v>1.4</v>
          </cell>
          <cell r="AA214">
            <v>1</v>
          </cell>
          <cell r="AB214">
            <v>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  <cell r="Y215">
            <v>1.1000000000000001</v>
          </cell>
          <cell r="Z215">
            <v>1.2</v>
          </cell>
          <cell r="AA215">
            <v>1.2</v>
          </cell>
          <cell r="AB215">
            <v>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  <cell r="Y216">
            <v>1.3</v>
          </cell>
          <cell r="Z216">
            <v>1.3</v>
          </cell>
          <cell r="AA216">
            <v>1.1000000000000001</v>
          </cell>
          <cell r="AB216">
            <v>215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  <cell r="Y217">
            <v>1.7</v>
          </cell>
          <cell r="Z217">
            <v>1.4</v>
          </cell>
          <cell r="AA217">
            <v>1</v>
          </cell>
          <cell r="AB217">
            <v>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  <cell r="Y218">
            <v>1.1000000000000001</v>
          </cell>
          <cell r="Z218">
            <v>1.2</v>
          </cell>
          <cell r="AA218">
            <v>1.2</v>
          </cell>
          <cell r="AB218">
            <v>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  <cell r="Y219">
            <v>1.3</v>
          </cell>
          <cell r="Z219">
            <v>1.3</v>
          </cell>
          <cell r="AA219">
            <v>1.1000000000000001</v>
          </cell>
          <cell r="AB219">
            <v>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  <cell r="Y220">
            <v>1.7</v>
          </cell>
          <cell r="Z220">
            <v>1.4</v>
          </cell>
          <cell r="AA220">
            <v>1</v>
          </cell>
          <cell r="AB220">
            <v>219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  <cell r="Y221">
            <v>1.1000000000000001</v>
          </cell>
          <cell r="Z221">
            <v>1.2</v>
          </cell>
          <cell r="AA221">
            <v>1.2</v>
          </cell>
          <cell r="AB221">
            <v>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  <cell r="Y222">
            <v>1.3</v>
          </cell>
          <cell r="Z222">
            <v>1.3</v>
          </cell>
          <cell r="AA222">
            <v>1.1000000000000001</v>
          </cell>
          <cell r="AB222">
            <v>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  <cell r="Y223">
            <v>1.7</v>
          </cell>
          <cell r="Z223">
            <v>1.4</v>
          </cell>
          <cell r="AA223">
            <v>1</v>
          </cell>
          <cell r="AB223">
            <v>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  <cell r="Y224">
            <v>1.1000000000000001</v>
          </cell>
          <cell r="Z224">
            <v>1.2</v>
          </cell>
          <cell r="AA224">
            <v>1.2</v>
          </cell>
          <cell r="AB224">
            <v>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  <cell r="Y225">
            <v>1.3</v>
          </cell>
          <cell r="Z225">
            <v>1.3</v>
          </cell>
          <cell r="AA225">
            <v>1.1000000000000001</v>
          </cell>
          <cell r="AB225">
            <v>224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  <cell r="Y226">
            <v>1.7</v>
          </cell>
          <cell r="Z226">
            <v>1.4</v>
          </cell>
          <cell r="AA226">
            <v>1</v>
          </cell>
          <cell r="AB226">
            <v>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  <cell r="Y227">
            <v>1.1000000000000001</v>
          </cell>
          <cell r="Z227">
            <v>1.2</v>
          </cell>
          <cell r="AA227">
            <v>1.2</v>
          </cell>
          <cell r="AB227">
            <v>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  <cell r="Y228">
            <v>1.3</v>
          </cell>
          <cell r="Z228">
            <v>1.3</v>
          </cell>
          <cell r="AA228">
            <v>1.1000000000000001</v>
          </cell>
          <cell r="AB228">
            <v>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  <cell r="Y229">
            <v>1.7</v>
          </cell>
          <cell r="Z229">
            <v>1.4</v>
          </cell>
          <cell r="AA229">
            <v>1</v>
          </cell>
          <cell r="AB229">
            <v>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  <cell r="Y230">
            <v>1.1000000000000001</v>
          </cell>
          <cell r="Z230">
            <v>1.2</v>
          </cell>
          <cell r="AA230">
            <v>1.2</v>
          </cell>
          <cell r="AB230">
            <v>229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  <cell r="Y231">
            <v>1.3</v>
          </cell>
          <cell r="Z231">
            <v>1.3</v>
          </cell>
          <cell r="AA231">
            <v>1.1000000000000001</v>
          </cell>
          <cell r="AB231">
            <v>230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  <cell r="Y232">
            <v>1.7</v>
          </cell>
          <cell r="Z232">
            <v>1.4</v>
          </cell>
          <cell r="AA232">
            <v>1</v>
          </cell>
          <cell r="AB232">
            <v>231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  <cell r="Y233">
            <v>1.1000000000000001</v>
          </cell>
          <cell r="Z233">
            <v>1.2</v>
          </cell>
          <cell r="AA233">
            <v>1.2</v>
          </cell>
          <cell r="AB233">
            <v>232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  <cell r="Y234">
            <v>1.3</v>
          </cell>
          <cell r="Z234">
            <v>1.3</v>
          </cell>
          <cell r="AA234">
            <v>1.1000000000000001</v>
          </cell>
          <cell r="AB234">
            <v>233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  <cell r="Y235">
            <v>1.7</v>
          </cell>
          <cell r="Z235">
            <v>1.4</v>
          </cell>
          <cell r="AA235">
            <v>1</v>
          </cell>
          <cell r="AB235">
            <v>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  <cell r="Y236">
            <v>1.1000000000000001</v>
          </cell>
          <cell r="Z236">
            <v>1.2</v>
          </cell>
          <cell r="AA236">
            <v>1.2</v>
          </cell>
          <cell r="AB236">
            <v>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  <cell r="Y237">
            <v>1.3</v>
          </cell>
          <cell r="Z237">
            <v>1.3</v>
          </cell>
          <cell r="AA237">
            <v>1.1000000000000001</v>
          </cell>
          <cell r="AB237">
            <v>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  <cell r="Y238">
            <v>1.7</v>
          </cell>
          <cell r="Z238">
            <v>1.4</v>
          </cell>
          <cell r="AA238">
            <v>1</v>
          </cell>
          <cell r="AB238">
            <v>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  <cell r="Y239">
            <v>1.1000000000000001</v>
          </cell>
          <cell r="Z239">
            <v>1.2</v>
          </cell>
          <cell r="AA239">
            <v>1.2</v>
          </cell>
          <cell r="AB239">
            <v>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  <cell r="Y240">
            <v>1.3</v>
          </cell>
          <cell r="Z240">
            <v>1.3</v>
          </cell>
          <cell r="AA240">
            <v>1.1000000000000001</v>
          </cell>
          <cell r="AB240">
            <v>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  <cell r="Y241">
            <v>1.7</v>
          </cell>
          <cell r="Z241">
            <v>1.4</v>
          </cell>
          <cell r="AA241">
            <v>1</v>
          </cell>
          <cell r="AB241">
            <v>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  <cell r="Y242">
            <v>1.1000000000000001</v>
          </cell>
          <cell r="Z242">
            <v>1.2</v>
          </cell>
          <cell r="AA242">
            <v>1.2</v>
          </cell>
          <cell r="AB242">
            <v>241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  <cell r="Y243">
            <v>1.3</v>
          </cell>
          <cell r="Z243">
            <v>1.3</v>
          </cell>
          <cell r="AA243">
            <v>1.1000000000000001</v>
          </cell>
          <cell r="AB243">
            <v>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  <cell r="Y244">
            <v>1.7</v>
          </cell>
          <cell r="Z244">
            <v>1.4</v>
          </cell>
          <cell r="AA244">
            <v>1</v>
          </cell>
          <cell r="AB244">
            <v>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  <cell r="Y245">
            <v>1.1000000000000001</v>
          </cell>
          <cell r="Z245">
            <v>1.2</v>
          </cell>
          <cell r="AA245">
            <v>1.2</v>
          </cell>
          <cell r="AB245">
            <v>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  <cell r="Y246">
            <v>1.3</v>
          </cell>
          <cell r="Z246">
            <v>1.3</v>
          </cell>
          <cell r="AA246">
            <v>1.1000000000000001</v>
          </cell>
          <cell r="AB246">
            <v>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  <cell r="Y247">
            <v>1.7</v>
          </cell>
          <cell r="Z247">
            <v>1.4</v>
          </cell>
          <cell r="AA247">
            <v>1</v>
          </cell>
          <cell r="AB247">
            <v>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  <cell r="Y248">
            <v>1.1000000000000001</v>
          </cell>
          <cell r="Z248">
            <v>1.2</v>
          </cell>
          <cell r="AA248">
            <v>1.2</v>
          </cell>
          <cell r="AB248">
            <v>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  <cell r="Y249">
            <v>1.3</v>
          </cell>
          <cell r="Z249">
            <v>1.3</v>
          </cell>
          <cell r="AA249">
            <v>1.1000000000000001</v>
          </cell>
          <cell r="AB249">
            <v>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  <cell r="Y250">
            <v>1.7</v>
          </cell>
          <cell r="Z250">
            <v>1.4</v>
          </cell>
          <cell r="AA250">
            <v>1</v>
          </cell>
          <cell r="AB250">
            <v>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  <cell r="Y251">
            <v>1.1000000000000001</v>
          </cell>
          <cell r="Z251">
            <v>1.2</v>
          </cell>
          <cell r="AA251">
            <v>1.2</v>
          </cell>
          <cell r="AB251">
            <v>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  <cell r="Y252">
            <v>1.3</v>
          </cell>
          <cell r="Z252">
            <v>1.3</v>
          </cell>
          <cell r="AA252">
            <v>1.1000000000000001</v>
          </cell>
          <cell r="AB252">
            <v>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  <cell r="Y253">
            <v>1.7</v>
          </cell>
          <cell r="Z253">
            <v>1.4</v>
          </cell>
          <cell r="AA253">
            <v>1</v>
          </cell>
          <cell r="AB253">
            <v>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  <cell r="Y254">
            <v>1.1000000000000001</v>
          </cell>
          <cell r="Z254">
            <v>1.2</v>
          </cell>
          <cell r="AA254">
            <v>1.2</v>
          </cell>
          <cell r="AB254">
            <v>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  <cell r="Y255">
            <v>1.3</v>
          </cell>
          <cell r="Z255">
            <v>1.3</v>
          </cell>
          <cell r="AA255">
            <v>1.1000000000000001</v>
          </cell>
          <cell r="AB255">
            <v>254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  <cell r="Y256">
            <v>1.7</v>
          </cell>
          <cell r="Z256">
            <v>1.4</v>
          </cell>
          <cell r="AA256">
            <v>1</v>
          </cell>
          <cell r="AB256">
            <v>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  <cell r="Y257">
            <v>1.1000000000000001</v>
          </cell>
          <cell r="Z257">
            <v>1.2</v>
          </cell>
          <cell r="AA257">
            <v>1.2</v>
          </cell>
          <cell r="AB257">
            <v>256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  <cell r="Y258">
            <v>1.3</v>
          </cell>
          <cell r="Z258">
            <v>1.3</v>
          </cell>
          <cell r="AA258">
            <v>1.1000000000000001</v>
          </cell>
          <cell r="AB258">
            <v>257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  <cell r="Y259">
            <v>1.7</v>
          </cell>
          <cell r="Z259">
            <v>1.4</v>
          </cell>
          <cell r="AA259">
            <v>1</v>
          </cell>
          <cell r="AB259">
            <v>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  <cell r="Y260">
            <v>1.1000000000000001</v>
          </cell>
          <cell r="Z260">
            <v>1.2</v>
          </cell>
          <cell r="AA260">
            <v>1.2</v>
          </cell>
          <cell r="AB260">
            <v>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  <cell r="Y261">
            <v>1.3</v>
          </cell>
          <cell r="Z261">
            <v>1.3</v>
          </cell>
          <cell r="AA261">
            <v>1.1000000000000001</v>
          </cell>
          <cell r="AB261">
            <v>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  <cell r="Y262">
            <v>1.7</v>
          </cell>
          <cell r="Z262">
            <v>1.4</v>
          </cell>
          <cell r="AA262">
            <v>1</v>
          </cell>
          <cell r="AB262">
            <v>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  <cell r="Y263">
            <v>1.1000000000000001</v>
          </cell>
          <cell r="Z263">
            <v>1.2</v>
          </cell>
          <cell r="AA263">
            <v>1.2</v>
          </cell>
          <cell r="AB263">
            <v>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  <cell r="Y264">
            <v>1.3</v>
          </cell>
          <cell r="Z264">
            <v>1.3</v>
          </cell>
          <cell r="AA264">
            <v>1.1000000000000001</v>
          </cell>
          <cell r="AB264">
            <v>263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  <cell r="Y265">
            <v>1.1000000000000001</v>
          </cell>
          <cell r="Z265">
            <v>1.2</v>
          </cell>
          <cell r="AA265">
            <v>1.2</v>
          </cell>
          <cell r="AB265">
            <v>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  <cell r="Y266">
            <v>1.3</v>
          </cell>
          <cell r="Z266">
            <v>1.3</v>
          </cell>
          <cell r="AA266">
            <v>1.1000000000000001</v>
          </cell>
          <cell r="AB266">
            <v>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  <cell r="Y267">
            <v>1.1000000000000001</v>
          </cell>
          <cell r="Z267">
            <v>1.2</v>
          </cell>
          <cell r="AA267">
            <v>1.2</v>
          </cell>
          <cell r="AB267">
            <v>266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  <cell r="Y268">
            <v>1.3</v>
          </cell>
          <cell r="Z268">
            <v>1.3</v>
          </cell>
          <cell r="AA268">
            <v>1.1000000000000001</v>
          </cell>
          <cell r="AB268">
            <v>266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  <cell r="Y269">
            <v>1.1000000000000001</v>
          </cell>
          <cell r="Z269">
            <v>1.2</v>
          </cell>
          <cell r="AA269">
            <v>1.2</v>
          </cell>
          <cell r="AB269">
            <v>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  <cell r="Y270">
            <v>1.3</v>
          </cell>
          <cell r="Z270">
            <v>1.3</v>
          </cell>
          <cell r="AA270">
            <v>1.1000000000000001</v>
          </cell>
          <cell r="AB270">
            <v>268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  <cell r="Y271">
            <v>1.3</v>
          </cell>
          <cell r="Z271">
            <v>1.3</v>
          </cell>
          <cell r="AA271">
            <v>1.1000000000000001</v>
          </cell>
          <cell r="AB271">
            <v>270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  <cell r="Y272">
            <v>1.7</v>
          </cell>
          <cell r="Z272">
            <v>1.4</v>
          </cell>
          <cell r="AA272">
            <v>1</v>
          </cell>
          <cell r="AB272">
            <v>271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  <cell r="Y273">
            <v>1.3</v>
          </cell>
          <cell r="Z273">
            <v>1.3</v>
          </cell>
          <cell r="AA273">
            <v>1.1000000000000001</v>
          </cell>
          <cell r="AB273">
            <v>272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  <cell r="Y274">
            <v>1.7</v>
          </cell>
          <cell r="Z274">
            <v>1.4</v>
          </cell>
          <cell r="AA274">
            <v>1</v>
          </cell>
          <cell r="AB274">
            <v>272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  <cell r="Y275">
            <v>1.3</v>
          </cell>
          <cell r="Z275">
            <v>1.3</v>
          </cell>
          <cell r="AA275">
            <v>1.1000000000000001</v>
          </cell>
          <cell r="AB275">
            <v>274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  <cell r="Y276">
            <v>1.7</v>
          </cell>
          <cell r="Z276">
            <v>1.4</v>
          </cell>
          <cell r="AA276">
            <v>1</v>
          </cell>
          <cell r="AB276">
            <v>275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  <cell r="Y277">
            <v>1.3</v>
          </cell>
          <cell r="Z277">
            <v>1.3</v>
          </cell>
          <cell r="AA277">
            <v>1.1000000000000001</v>
          </cell>
          <cell r="AB277">
            <v>276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  <cell r="Y278">
            <v>1.7</v>
          </cell>
          <cell r="Z278">
            <v>1.4</v>
          </cell>
          <cell r="AA278">
            <v>1</v>
          </cell>
          <cell r="AB278">
            <v>277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  <cell r="Y279">
            <v>1.3</v>
          </cell>
          <cell r="Z279">
            <v>1.3</v>
          </cell>
          <cell r="AA279">
            <v>1.1000000000000001</v>
          </cell>
          <cell r="AB279">
            <v>278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  <cell r="Y280">
            <v>1.7</v>
          </cell>
          <cell r="Z280">
            <v>1.4</v>
          </cell>
          <cell r="AA280">
            <v>1</v>
          </cell>
          <cell r="AB280">
            <v>278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  <cell r="Y281">
            <v>1.1000000000000001</v>
          </cell>
          <cell r="Z281">
            <v>1.2</v>
          </cell>
          <cell r="AA281">
            <v>1.2</v>
          </cell>
          <cell r="AB281">
            <v>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  <cell r="Y282">
            <v>1.3</v>
          </cell>
          <cell r="Z282">
            <v>1.3</v>
          </cell>
          <cell r="AA282">
            <v>1.1000000000000001</v>
          </cell>
          <cell r="AB282">
            <v>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  <cell r="Y283">
            <v>1.1000000000000001</v>
          </cell>
          <cell r="Z283">
            <v>1.2</v>
          </cell>
          <cell r="AA283">
            <v>1.2</v>
          </cell>
          <cell r="AB283">
            <v>28201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  <cell r="Y284">
            <v>1.3</v>
          </cell>
          <cell r="Z284">
            <v>1.3</v>
          </cell>
          <cell r="AA284">
            <v>1.1000000000000001</v>
          </cell>
          <cell r="AB284">
            <v>28202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  <cell r="Y285">
            <v>1.1000000000000001</v>
          </cell>
          <cell r="Z285">
            <v>1.2</v>
          </cell>
          <cell r="AA285">
            <v>1.2</v>
          </cell>
          <cell r="AB285">
            <v>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  <cell r="Y286">
            <v>1.3</v>
          </cell>
          <cell r="Z286">
            <v>1.3</v>
          </cell>
          <cell r="AA286">
            <v>1.1000000000000001</v>
          </cell>
          <cell r="AB286">
            <v>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  <cell r="Y287">
            <v>1.1000000000000001</v>
          </cell>
          <cell r="Z287">
            <v>1.2</v>
          </cell>
          <cell r="AA287">
            <v>1.2</v>
          </cell>
          <cell r="AB287">
            <v>286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  <cell r="Y288">
            <v>1.3</v>
          </cell>
          <cell r="Z288">
            <v>1.3</v>
          </cell>
          <cell r="AA288">
            <v>1.1000000000000001</v>
          </cell>
          <cell r="AB288">
            <v>286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  <cell r="Y289">
            <v>1.3</v>
          </cell>
          <cell r="Z289">
            <v>1.3</v>
          </cell>
          <cell r="AA289">
            <v>1.1000000000000001</v>
          </cell>
          <cell r="AB289">
            <v>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  <cell r="Y290">
            <v>1.7</v>
          </cell>
          <cell r="Z290">
            <v>1.4</v>
          </cell>
          <cell r="AA290">
            <v>1</v>
          </cell>
          <cell r="AB290">
            <v>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  <cell r="Y291">
            <v>1.3</v>
          </cell>
          <cell r="Z291">
            <v>1.3</v>
          </cell>
          <cell r="AA291">
            <v>1.1000000000000001</v>
          </cell>
          <cell r="AB291">
            <v>29001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  <cell r="Y292">
            <v>1.7</v>
          </cell>
          <cell r="Z292">
            <v>1.4</v>
          </cell>
          <cell r="AA292">
            <v>1</v>
          </cell>
          <cell r="AB292">
            <v>29002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  <cell r="Y293">
            <v>1.3</v>
          </cell>
          <cell r="Z293">
            <v>1.3</v>
          </cell>
          <cell r="AA293">
            <v>1.1000000000000001</v>
          </cell>
          <cell r="AB293">
            <v>292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  <cell r="Y294">
            <v>1.7</v>
          </cell>
          <cell r="Z294">
            <v>1.4</v>
          </cell>
          <cell r="AA294">
            <v>1</v>
          </cell>
          <cell r="AB294">
            <v>293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  <cell r="Y295">
            <v>1.3</v>
          </cell>
          <cell r="Z295">
            <v>1.3</v>
          </cell>
          <cell r="AA295">
            <v>1.1000000000000001</v>
          </cell>
          <cell r="AB295">
            <v>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  <cell r="Y296">
            <v>1.7</v>
          </cell>
          <cell r="Z296">
            <v>1.4</v>
          </cell>
          <cell r="AA296">
            <v>1</v>
          </cell>
          <cell r="AB296">
            <v>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  <cell r="Y297">
            <v>1.3</v>
          </cell>
          <cell r="Z297">
            <v>1.3</v>
          </cell>
          <cell r="AA297">
            <v>1.1000000000000001</v>
          </cell>
          <cell r="AB297">
            <v>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  <cell r="Y298">
            <v>1.7</v>
          </cell>
          <cell r="Z298">
            <v>1.4</v>
          </cell>
          <cell r="AA298">
            <v>1</v>
          </cell>
          <cell r="AB298">
            <v>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  <cell r="Y299">
            <v>1.1000000000000001</v>
          </cell>
          <cell r="Z299">
            <v>1.2</v>
          </cell>
          <cell r="AA299">
            <v>1.2</v>
          </cell>
          <cell r="AB299">
            <v>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  <cell r="Y300">
            <v>1.3</v>
          </cell>
          <cell r="Z300">
            <v>1.3</v>
          </cell>
          <cell r="AA300">
            <v>1.1000000000000001</v>
          </cell>
          <cell r="AB300">
            <v>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  <cell r="Y301">
            <v>1.1000000000000001</v>
          </cell>
          <cell r="Z301">
            <v>1.2</v>
          </cell>
          <cell r="AA301">
            <v>1.2</v>
          </cell>
          <cell r="AB301">
            <v>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  <cell r="Y302">
            <v>1.3</v>
          </cell>
          <cell r="Z302">
            <v>1.3</v>
          </cell>
          <cell r="AA302">
            <v>1.1000000000000001</v>
          </cell>
          <cell r="AB302">
            <v>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  <cell r="Y303">
            <v>1.1000000000000001</v>
          </cell>
          <cell r="Z303">
            <v>1.2</v>
          </cell>
          <cell r="AA303">
            <v>1.2</v>
          </cell>
          <cell r="AB303">
            <v>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  <cell r="Y304">
            <v>1.3</v>
          </cell>
          <cell r="Z304">
            <v>1.3</v>
          </cell>
          <cell r="AA304">
            <v>1.1000000000000001</v>
          </cell>
          <cell r="AB304">
            <v>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  <cell r="Y305">
            <v>1.1000000000000001</v>
          </cell>
          <cell r="Z305">
            <v>1.2</v>
          </cell>
          <cell r="AA305">
            <v>1.2</v>
          </cell>
          <cell r="AB305">
            <v>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  <cell r="Y306">
            <v>1.3</v>
          </cell>
          <cell r="Z306">
            <v>1.3</v>
          </cell>
          <cell r="AA306">
            <v>1.1000000000000001</v>
          </cell>
          <cell r="AB306">
            <v>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  <cell r="Y307">
            <v>1.3</v>
          </cell>
          <cell r="Z307">
            <v>1.3</v>
          </cell>
          <cell r="AA307">
            <v>1.1000000000000001</v>
          </cell>
          <cell r="AB307">
            <v>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  <cell r="Y308">
            <v>1.7</v>
          </cell>
          <cell r="Z308">
            <v>1.4</v>
          </cell>
          <cell r="AA308">
            <v>1</v>
          </cell>
          <cell r="AB308">
            <v>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  <cell r="Y309">
            <v>1.3</v>
          </cell>
          <cell r="Z309">
            <v>1.3</v>
          </cell>
          <cell r="AA309">
            <v>1.1000000000000001</v>
          </cell>
          <cell r="AB309">
            <v>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  <cell r="Y310">
            <v>1.7</v>
          </cell>
          <cell r="Z310">
            <v>1.4</v>
          </cell>
          <cell r="AA310">
            <v>1</v>
          </cell>
          <cell r="AB310">
            <v>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  <cell r="Y311">
            <v>1.3</v>
          </cell>
          <cell r="Z311">
            <v>1.3</v>
          </cell>
          <cell r="AA311">
            <v>1.1000000000000001</v>
          </cell>
          <cell r="AB311">
            <v>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  <cell r="Y312">
            <v>1.7</v>
          </cell>
          <cell r="Z312">
            <v>1.4</v>
          </cell>
          <cell r="AA312">
            <v>1</v>
          </cell>
          <cell r="AB312">
            <v>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  <cell r="Y313">
            <v>1.3</v>
          </cell>
          <cell r="Z313">
            <v>1.3</v>
          </cell>
          <cell r="AA313">
            <v>1.1000000000000001</v>
          </cell>
          <cell r="AB313">
            <v>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  <cell r="Y314">
            <v>1.7</v>
          </cell>
          <cell r="Z314">
            <v>1.4</v>
          </cell>
          <cell r="AA314">
            <v>1</v>
          </cell>
          <cell r="AB314">
            <v>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  <cell r="Y315">
            <v>1.3</v>
          </cell>
          <cell r="Z315">
            <v>1.3</v>
          </cell>
          <cell r="AA315">
            <v>1.1000000000000001</v>
          </cell>
          <cell r="AB315">
            <v>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  <cell r="Y316">
            <v>1.7</v>
          </cell>
          <cell r="Z316">
            <v>1.4</v>
          </cell>
          <cell r="AA316">
            <v>1</v>
          </cell>
          <cell r="AB316">
            <v>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  <cell r="Y317">
            <v>1.3</v>
          </cell>
          <cell r="Z317">
            <v>1.3</v>
          </cell>
          <cell r="AA317">
            <v>1.1000000000000001</v>
          </cell>
          <cell r="AB317">
            <v>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  <cell r="Y318">
            <v>1.7</v>
          </cell>
          <cell r="Z318">
            <v>1.4</v>
          </cell>
          <cell r="AA318">
            <v>1</v>
          </cell>
          <cell r="AB318">
            <v>317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  <cell r="Y319">
            <v>1.3</v>
          </cell>
          <cell r="Z319">
            <v>1.3</v>
          </cell>
          <cell r="AA319">
            <v>1.1000000000000001</v>
          </cell>
          <cell r="AB319">
            <v>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  <cell r="Y320">
            <v>1.7</v>
          </cell>
          <cell r="Z320">
            <v>1.4</v>
          </cell>
          <cell r="AA320">
            <v>1</v>
          </cell>
          <cell r="AB320">
            <v>319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  <cell r="Y321">
            <v>1.3</v>
          </cell>
          <cell r="Z321">
            <v>1.3</v>
          </cell>
          <cell r="AA321">
            <v>1.1000000000000001</v>
          </cell>
          <cell r="AB321">
            <v>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  <cell r="Y322">
            <v>1.7</v>
          </cell>
          <cell r="Z322">
            <v>1.4</v>
          </cell>
          <cell r="AA322">
            <v>1</v>
          </cell>
          <cell r="AB322">
            <v>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  <cell r="Y323">
            <v>1.3</v>
          </cell>
          <cell r="Z323">
            <v>1.3</v>
          </cell>
          <cell r="AA323">
            <v>1.1000000000000001</v>
          </cell>
          <cell r="AB323">
            <v>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  <cell r="Y324">
            <v>1.7</v>
          </cell>
          <cell r="Z324">
            <v>1.4</v>
          </cell>
          <cell r="AA324">
            <v>1</v>
          </cell>
          <cell r="AB324">
            <v>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  <cell r="Y325">
            <v>1.3</v>
          </cell>
          <cell r="Z325">
            <v>1.3</v>
          </cell>
          <cell r="AA325">
            <v>1.1000000000000001</v>
          </cell>
          <cell r="AB325">
            <v>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  <cell r="Y326">
            <v>1.7</v>
          </cell>
          <cell r="Z326">
            <v>1.4</v>
          </cell>
          <cell r="AA326">
            <v>1</v>
          </cell>
          <cell r="AB326">
            <v>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  <cell r="Y327">
            <v>1.3</v>
          </cell>
          <cell r="Z327">
            <v>1.3</v>
          </cell>
          <cell r="AA327">
            <v>1.1000000000000001</v>
          </cell>
          <cell r="AB327">
            <v>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  <cell r="Y328">
            <v>1.7</v>
          </cell>
          <cell r="Z328">
            <v>1.4</v>
          </cell>
          <cell r="AA328">
            <v>1</v>
          </cell>
          <cell r="AB328">
            <v>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  <cell r="Y329">
            <v>1.7</v>
          </cell>
          <cell r="Z329">
            <v>1.4</v>
          </cell>
          <cell r="AA329">
            <v>1</v>
          </cell>
          <cell r="AB329">
            <v>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  <cell r="Y330">
            <v>1.7</v>
          </cell>
          <cell r="Z330">
            <v>1.4</v>
          </cell>
          <cell r="AA330">
            <v>1</v>
          </cell>
          <cell r="AB330">
            <v>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  <cell r="Y331">
            <v>1.7</v>
          </cell>
          <cell r="Z331">
            <v>1.4</v>
          </cell>
          <cell r="AA331">
            <v>1</v>
          </cell>
          <cell r="AB331">
            <v>0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  <cell r="Y332">
            <v>1.7</v>
          </cell>
          <cell r="Z332">
            <v>1.4</v>
          </cell>
          <cell r="AA332">
            <v>1</v>
          </cell>
          <cell r="AB332">
            <v>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  <cell r="Y333">
            <v>1</v>
          </cell>
          <cell r="Z333">
            <v>1</v>
          </cell>
          <cell r="AA333">
            <v>1</v>
          </cell>
          <cell r="AB333">
            <v>0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  <cell r="Y334">
            <v>1</v>
          </cell>
          <cell r="Z334">
            <v>1</v>
          </cell>
          <cell r="AA334">
            <v>1</v>
          </cell>
          <cell r="AB334">
            <v>0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  <cell r="Y335">
            <v>1.1000000000000001</v>
          </cell>
          <cell r="Z335">
            <v>1.2</v>
          </cell>
          <cell r="AA335">
            <v>1.2</v>
          </cell>
          <cell r="AB335">
            <v>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  <cell r="Y336">
            <v>1.1000000000000001</v>
          </cell>
          <cell r="Z336">
            <v>1.2</v>
          </cell>
          <cell r="AA336">
            <v>1.2</v>
          </cell>
          <cell r="AB336">
            <v>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  <cell r="Y337">
            <v>1</v>
          </cell>
          <cell r="Z337">
            <v>1</v>
          </cell>
          <cell r="AA337">
            <v>1</v>
          </cell>
          <cell r="AB337">
            <v>0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  <cell r="Y338">
            <v>1</v>
          </cell>
          <cell r="Z338">
            <v>1</v>
          </cell>
          <cell r="AA338">
            <v>1</v>
          </cell>
          <cell r="AB338">
            <v>0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  <cell r="Y339">
            <v>1.1000000000000001</v>
          </cell>
          <cell r="Z339">
            <v>1.2</v>
          </cell>
          <cell r="AA339">
            <v>1.2</v>
          </cell>
          <cell r="AB339">
            <v>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  <cell r="Y340">
            <v>1.1000000000000001</v>
          </cell>
          <cell r="Z340">
            <v>1.2</v>
          </cell>
          <cell r="AA340">
            <v>1.2</v>
          </cell>
          <cell r="AB340">
            <v>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  <cell r="Y341">
            <v>1</v>
          </cell>
          <cell r="Z341">
            <v>1</v>
          </cell>
          <cell r="AA341">
            <v>1</v>
          </cell>
          <cell r="AB341">
            <v>0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  <cell r="Y342">
            <v>1</v>
          </cell>
          <cell r="Z342">
            <v>1</v>
          </cell>
          <cell r="AA342">
            <v>1</v>
          </cell>
          <cell r="AB342">
            <v>0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  <cell r="Y343">
            <v>1.1000000000000001</v>
          </cell>
          <cell r="Z343">
            <v>1.2</v>
          </cell>
          <cell r="AA343">
            <v>1.2</v>
          </cell>
          <cell r="AB343">
            <v>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  <cell r="Y344">
            <v>1.1000000000000001</v>
          </cell>
          <cell r="Z344">
            <v>1.2</v>
          </cell>
          <cell r="AA344">
            <v>1.2</v>
          </cell>
          <cell r="AB344">
            <v>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  <cell r="Y345">
            <v>1</v>
          </cell>
          <cell r="Z345">
            <v>1</v>
          </cell>
          <cell r="AA345">
            <v>1</v>
          </cell>
          <cell r="AB345">
            <v>0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  <cell r="Y346">
            <v>1</v>
          </cell>
          <cell r="Z346">
            <v>1</v>
          </cell>
          <cell r="AA346">
            <v>1</v>
          </cell>
          <cell r="AB346">
            <v>0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  <cell r="Y347">
            <v>1.1000000000000001</v>
          </cell>
          <cell r="Z347">
            <v>1.2</v>
          </cell>
          <cell r="AA347">
            <v>1.2</v>
          </cell>
          <cell r="AB347">
            <v>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  <cell r="Y348">
            <v>1.1000000000000001</v>
          </cell>
          <cell r="Z348">
            <v>1.2</v>
          </cell>
          <cell r="AA348">
            <v>1.2</v>
          </cell>
          <cell r="AB348">
            <v>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  <cell r="Y349">
            <v>1</v>
          </cell>
          <cell r="Z349">
            <v>1</v>
          </cell>
          <cell r="AA349">
            <v>1</v>
          </cell>
          <cell r="AB349">
            <v>0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  <cell r="Y350">
            <v>1</v>
          </cell>
          <cell r="Z350">
            <v>1</v>
          </cell>
          <cell r="AA350">
            <v>1</v>
          </cell>
          <cell r="AB350">
            <v>0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  <cell r="Y351">
            <v>1</v>
          </cell>
          <cell r="Z351">
            <v>1</v>
          </cell>
          <cell r="AA351">
            <v>1</v>
          </cell>
          <cell r="AB351">
            <v>0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  <cell r="Y352">
            <v>1</v>
          </cell>
          <cell r="Z352">
            <v>1</v>
          </cell>
          <cell r="AA352">
            <v>1</v>
          </cell>
          <cell r="AB352">
            <v>0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  <cell r="Y353">
            <v>1</v>
          </cell>
          <cell r="Z353">
            <v>1</v>
          </cell>
          <cell r="AA353">
            <v>1</v>
          </cell>
          <cell r="AB353">
            <v>0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  <cell r="Y354">
            <v>1</v>
          </cell>
          <cell r="Z354">
            <v>1</v>
          </cell>
          <cell r="AA354">
            <v>1</v>
          </cell>
          <cell r="AB354">
            <v>0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  <cell r="Y355">
            <v>1</v>
          </cell>
          <cell r="Z355">
            <v>1</v>
          </cell>
          <cell r="AA355">
            <v>1</v>
          </cell>
          <cell r="AB355">
            <v>0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  <cell r="Y356">
            <v>1</v>
          </cell>
          <cell r="Z356">
            <v>1</v>
          </cell>
          <cell r="AA356">
            <v>1</v>
          </cell>
          <cell r="AB356">
            <v>0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  <cell r="Y357">
            <v>1</v>
          </cell>
          <cell r="Z357">
            <v>1</v>
          </cell>
          <cell r="AA357">
            <v>1</v>
          </cell>
          <cell r="AB357">
            <v>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  <cell r="Y358">
            <v>1</v>
          </cell>
          <cell r="Z358">
            <v>1</v>
          </cell>
          <cell r="AA358">
            <v>1</v>
          </cell>
          <cell r="AB358">
            <v>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  <cell r="Y359">
            <v>1</v>
          </cell>
          <cell r="Z359">
            <v>1</v>
          </cell>
          <cell r="AA359">
            <v>1</v>
          </cell>
          <cell r="AB359">
            <v>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  <cell r="Y360">
            <v>1</v>
          </cell>
          <cell r="Z360">
            <v>1</v>
          </cell>
          <cell r="AA360">
            <v>1</v>
          </cell>
          <cell r="AB360">
            <v>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  <cell r="Y361">
            <v>1</v>
          </cell>
          <cell r="Z361">
            <v>1</v>
          </cell>
          <cell r="AA361">
            <v>1</v>
          </cell>
          <cell r="AB361">
            <v>0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  <cell r="Y362">
            <v>1</v>
          </cell>
          <cell r="Z362">
            <v>1</v>
          </cell>
          <cell r="AA362">
            <v>1</v>
          </cell>
          <cell r="AB362">
            <v>0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  <cell r="Y363">
            <v>1</v>
          </cell>
          <cell r="Z363">
            <v>1</v>
          </cell>
          <cell r="AA363">
            <v>1</v>
          </cell>
          <cell r="AB363">
            <v>0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  <cell r="Y364">
            <v>1</v>
          </cell>
          <cell r="Z364">
            <v>1</v>
          </cell>
          <cell r="AA364">
            <v>1</v>
          </cell>
          <cell r="AB364">
            <v>0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  <cell r="Y365">
            <v>1</v>
          </cell>
          <cell r="Z365">
            <v>1</v>
          </cell>
          <cell r="AA365">
            <v>1</v>
          </cell>
          <cell r="AB365">
            <v>0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  <cell r="Y366">
            <v>1</v>
          </cell>
          <cell r="Z366">
            <v>1</v>
          </cell>
          <cell r="AA366">
            <v>1</v>
          </cell>
          <cell r="AB366">
            <v>0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  <cell r="Y367">
            <v>1</v>
          </cell>
          <cell r="Z367">
            <v>1</v>
          </cell>
          <cell r="AA367">
            <v>1</v>
          </cell>
          <cell r="AB367">
            <v>0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  <cell r="Y368">
            <v>1</v>
          </cell>
          <cell r="Z368">
            <v>1</v>
          </cell>
          <cell r="AA368">
            <v>1</v>
          </cell>
          <cell r="AB368">
            <v>0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  <cell r="Y369">
            <v>1.7</v>
          </cell>
          <cell r="Z369">
            <v>1.4</v>
          </cell>
          <cell r="AA369">
            <v>1</v>
          </cell>
          <cell r="AB369">
            <v>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  <cell r="Y370">
            <v>1.7</v>
          </cell>
          <cell r="Z370">
            <v>1.4</v>
          </cell>
          <cell r="AA370">
            <v>1</v>
          </cell>
          <cell r="AB370">
            <v>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  <cell r="Y371">
            <v>1</v>
          </cell>
          <cell r="Z371">
            <v>1</v>
          </cell>
          <cell r="AA371">
            <v>1</v>
          </cell>
          <cell r="AB371">
            <v>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  <cell r="Y372">
            <v>1.1000000000000001</v>
          </cell>
          <cell r="Z372">
            <v>1.2</v>
          </cell>
          <cell r="AA372">
            <v>1.2</v>
          </cell>
          <cell r="AB372">
            <v>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  <cell r="Y373">
            <v>1</v>
          </cell>
          <cell r="Z373">
            <v>1</v>
          </cell>
          <cell r="AA373">
            <v>1</v>
          </cell>
          <cell r="AB373">
            <v>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  <cell r="Y374">
            <v>1.1000000000000001</v>
          </cell>
          <cell r="Z374">
            <v>1.2</v>
          </cell>
          <cell r="AA374">
            <v>1.2</v>
          </cell>
          <cell r="AB374">
            <v>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  <cell r="Y375">
            <v>1</v>
          </cell>
          <cell r="Z375">
            <v>1</v>
          </cell>
          <cell r="AA375">
            <v>1</v>
          </cell>
          <cell r="AB375">
            <v>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  <cell r="Y376">
            <v>1.1000000000000001</v>
          </cell>
          <cell r="Z376">
            <v>1.2</v>
          </cell>
          <cell r="AA376">
            <v>1.2</v>
          </cell>
          <cell r="AB376">
            <v>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  <cell r="Y377">
            <v>1.2</v>
          </cell>
          <cell r="Z377">
            <v>1.25</v>
          </cell>
          <cell r="AA377">
            <v>1.1499999999999999</v>
          </cell>
          <cell r="AB377">
            <v>0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  <cell r="Y378">
            <v>1.3</v>
          </cell>
          <cell r="Z378">
            <v>1.3</v>
          </cell>
          <cell r="AA378">
            <v>1.1000000000000001</v>
          </cell>
          <cell r="AB378">
            <v>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  <cell r="Y379">
            <v>1.3</v>
          </cell>
          <cell r="Z379">
            <v>1.3</v>
          </cell>
          <cell r="AA379">
            <v>1.1000000000000001</v>
          </cell>
          <cell r="AB379">
            <v>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  <cell r="Y380">
            <v>1.7</v>
          </cell>
          <cell r="Z380">
            <v>1.4</v>
          </cell>
          <cell r="AA380">
            <v>1</v>
          </cell>
          <cell r="AB380">
            <v>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  <cell r="Y381">
            <v>1.2</v>
          </cell>
          <cell r="Z381">
            <v>1.25</v>
          </cell>
          <cell r="AA381">
            <v>1.1499999999999999</v>
          </cell>
          <cell r="AB381">
            <v>0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  <cell r="Y382">
            <v>1.3</v>
          </cell>
          <cell r="Z382">
            <v>1.3</v>
          </cell>
          <cell r="AA382">
            <v>1.1000000000000001</v>
          </cell>
          <cell r="AB382">
            <v>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  <cell r="Y383">
            <v>1.7</v>
          </cell>
          <cell r="Z383">
            <v>1.4</v>
          </cell>
          <cell r="AA383">
            <v>1</v>
          </cell>
          <cell r="AB383">
            <v>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  <cell r="Y384">
            <v>1.3</v>
          </cell>
          <cell r="Z384">
            <v>1.3</v>
          </cell>
          <cell r="AA384">
            <v>1.1000000000000001</v>
          </cell>
          <cell r="AB384">
            <v>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  <cell r="Y385">
            <v>1.7</v>
          </cell>
          <cell r="Z385">
            <v>1.4</v>
          </cell>
          <cell r="AA385">
            <v>1</v>
          </cell>
          <cell r="AB385">
            <v>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  <cell r="Y386">
            <v>1.3</v>
          </cell>
          <cell r="Z386">
            <v>1.3</v>
          </cell>
          <cell r="AA386">
            <v>1.1000000000000001</v>
          </cell>
          <cell r="AB386">
            <v>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  <cell r="Y387">
            <v>1.7</v>
          </cell>
          <cell r="Z387">
            <v>1.4</v>
          </cell>
          <cell r="AA387">
            <v>1</v>
          </cell>
          <cell r="AB387">
            <v>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  <cell r="Y388">
            <v>1.2</v>
          </cell>
          <cell r="Z388">
            <v>1.25</v>
          </cell>
          <cell r="AA388">
            <v>1.1499999999999999</v>
          </cell>
          <cell r="AB388">
            <v>0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  <cell r="Y389">
            <v>1.3</v>
          </cell>
          <cell r="Z389">
            <v>1.3</v>
          </cell>
          <cell r="AA389">
            <v>1.1000000000000001</v>
          </cell>
          <cell r="AB389">
            <v>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  <cell r="Y390">
            <v>1.7</v>
          </cell>
          <cell r="Z390">
            <v>1.4</v>
          </cell>
          <cell r="AA390">
            <v>1</v>
          </cell>
          <cell r="AB390">
            <v>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  <cell r="Y391">
            <v>1.3</v>
          </cell>
          <cell r="Z391">
            <v>1.3</v>
          </cell>
          <cell r="AA391">
            <v>1.1000000000000001</v>
          </cell>
          <cell r="AB391">
            <v>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  <cell r="Y392">
            <v>1.7</v>
          </cell>
          <cell r="Z392">
            <v>1.4</v>
          </cell>
          <cell r="AA392">
            <v>1</v>
          </cell>
          <cell r="AB392">
            <v>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  <cell r="Y393">
            <v>1.2</v>
          </cell>
          <cell r="Z393">
            <v>1.25</v>
          </cell>
          <cell r="AA393">
            <v>1.1499999999999999</v>
          </cell>
          <cell r="AB393">
            <v>0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  <cell r="Y394">
            <v>1.3</v>
          </cell>
          <cell r="Z394">
            <v>1.3</v>
          </cell>
          <cell r="AA394">
            <v>1.1000000000000001</v>
          </cell>
          <cell r="AB394">
            <v>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  <cell r="Y395">
            <v>1.7</v>
          </cell>
          <cell r="Z395">
            <v>1.4</v>
          </cell>
          <cell r="AA395">
            <v>1</v>
          </cell>
          <cell r="AB395">
            <v>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  <cell r="Y396">
            <v>1.2</v>
          </cell>
          <cell r="Z396">
            <v>1.25</v>
          </cell>
          <cell r="AA396">
            <v>1.1499999999999999</v>
          </cell>
          <cell r="AB396">
            <v>0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  <cell r="Y397">
            <v>1.3</v>
          </cell>
          <cell r="Z397">
            <v>1.3</v>
          </cell>
          <cell r="AA397">
            <v>1.1000000000000001</v>
          </cell>
          <cell r="AB397">
            <v>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  <cell r="Y398">
            <v>1.7</v>
          </cell>
          <cell r="Z398">
            <v>1.4</v>
          </cell>
          <cell r="AA398">
            <v>1</v>
          </cell>
          <cell r="AB398">
            <v>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  <cell r="Y399">
            <v>1.3</v>
          </cell>
          <cell r="Z399">
            <v>1.3</v>
          </cell>
          <cell r="AA399">
            <v>1.1000000000000001</v>
          </cell>
          <cell r="AB399">
            <v>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  <cell r="Y400">
            <v>1.7</v>
          </cell>
          <cell r="Z400">
            <v>1.4</v>
          </cell>
          <cell r="AA400">
            <v>1</v>
          </cell>
          <cell r="AB400">
            <v>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  <cell r="Y401">
            <v>1.2</v>
          </cell>
          <cell r="Z401">
            <v>1.25</v>
          </cell>
          <cell r="AA401">
            <v>1.1499999999999999</v>
          </cell>
          <cell r="AB401">
            <v>0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  <cell r="Y402">
            <v>1.3</v>
          </cell>
          <cell r="Z402">
            <v>1.3</v>
          </cell>
          <cell r="AA402">
            <v>1.1000000000000001</v>
          </cell>
          <cell r="AB402">
            <v>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  <cell r="Y403">
            <v>1.7</v>
          </cell>
          <cell r="Z403">
            <v>1.4</v>
          </cell>
          <cell r="AA403">
            <v>1</v>
          </cell>
          <cell r="AB403">
            <v>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  <cell r="Y404">
            <v>1.3</v>
          </cell>
          <cell r="Z404">
            <v>1.3</v>
          </cell>
          <cell r="AA404">
            <v>1.1000000000000001</v>
          </cell>
          <cell r="AB404">
            <v>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  <cell r="Y405">
            <v>1.7</v>
          </cell>
          <cell r="Z405">
            <v>1.4</v>
          </cell>
          <cell r="AA405">
            <v>1</v>
          </cell>
          <cell r="AB405">
            <v>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  <cell r="Y406">
            <v>1.2</v>
          </cell>
          <cell r="Z406">
            <v>1.25</v>
          </cell>
          <cell r="AA406">
            <v>1.1499999999999999</v>
          </cell>
          <cell r="AB406">
            <v>0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  <cell r="Y407">
            <v>1.3</v>
          </cell>
          <cell r="Z407">
            <v>1.3</v>
          </cell>
          <cell r="AA407">
            <v>1.1000000000000001</v>
          </cell>
          <cell r="AB407">
            <v>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  <cell r="Y408">
            <v>1.7</v>
          </cell>
          <cell r="Z408">
            <v>1.4</v>
          </cell>
          <cell r="AA408">
            <v>1</v>
          </cell>
          <cell r="AB408">
            <v>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  <cell r="Y409">
            <v>1.3</v>
          </cell>
          <cell r="Z409">
            <v>1.3</v>
          </cell>
          <cell r="AA409">
            <v>1.1000000000000001</v>
          </cell>
          <cell r="AB409">
            <v>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  <cell r="Y410">
            <v>1.7</v>
          </cell>
          <cell r="Z410">
            <v>1.4</v>
          </cell>
          <cell r="AA410">
            <v>1</v>
          </cell>
          <cell r="AB410">
            <v>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  <cell r="Y411">
            <v>1.3</v>
          </cell>
          <cell r="Z411">
            <v>1.3</v>
          </cell>
          <cell r="AA411">
            <v>1.1000000000000001</v>
          </cell>
          <cell r="AB411">
            <v>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  <cell r="Y412">
            <v>1.7</v>
          </cell>
          <cell r="Z412">
            <v>1.4</v>
          </cell>
          <cell r="AA412">
            <v>1</v>
          </cell>
          <cell r="AB412">
            <v>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  <cell r="Y413">
            <v>1</v>
          </cell>
          <cell r="Z413">
            <v>1</v>
          </cell>
          <cell r="AA413">
            <v>1</v>
          </cell>
          <cell r="AB413">
            <v>0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  <cell r="Y414">
            <v>1.1000000000000001</v>
          </cell>
          <cell r="Z414">
            <v>1.2</v>
          </cell>
          <cell r="AA414">
            <v>1.2</v>
          </cell>
          <cell r="AB414">
            <v>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  <cell r="Y415">
            <v>1.1000000000000001</v>
          </cell>
          <cell r="Z415">
            <v>1.2</v>
          </cell>
          <cell r="AA415">
            <v>1.2</v>
          </cell>
          <cell r="AB415">
            <v>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  <cell r="Y416">
            <v>1.1000000000000001</v>
          </cell>
          <cell r="Z416">
            <v>1.2</v>
          </cell>
          <cell r="AA416">
            <v>1.2</v>
          </cell>
          <cell r="AB416">
            <v>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  <cell r="Y417">
            <v>1.1000000000000001</v>
          </cell>
          <cell r="Z417">
            <v>1.2</v>
          </cell>
          <cell r="AA417">
            <v>1.2</v>
          </cell>
          <cell r="AB417">
            <v>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  <cell r="Y418">
            <v>1.1000000000000001</v>
          </cell>
          <cell r="Z418">
            <v>1.2</v>
          </cell>
          <cell r="AA418">
            <v>1.2</v>
          </cell>
          <cell r="AB418">
            <v>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  <cell r="Y419">
            <v>1.3</v>
          </cell>
          <cell r="Z419">
            <v>1.3</v>
          </cell>
          <cell r="AA419">
            <v>1.1000000000000001</v>
          </cell>
          <cell r="AB419">
            <v>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  <cell r="Y420">
            <v>1.7</v>
          </cell>
          <cell r="Z420">
            <v>1.4</v>
          </cell>
          <cell r="AA420">
            <v>1</v>
          </cell>
          <cell r="AB420">
            <v>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  <cell r="Y421">
            <v>1.3</v>
          </cell>
          <cell r="Z421">
            <v>1.3</v>
          </cell>
          <cell r="AA421">
            <v>1.1000000000000001</v>
          </cell>
          <cell r="AB421">
            <v>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  <cell r="Y422">
            <v>1.7</v>
          </cell>
          <cell r="Z422">
            <v>1.4</v>
          </cell>
          <cell r="AA422">
            <v>1</v>
          </cell>
          <cell r="AB422">
            <v>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  <cell r="Y423">
            <v>1.7</v>
          </cell>
          <cell r="Z423">
            <v>1.4</v>
          </cell>
          <cell r="AA423">
            <v>1</v>
          </cell>
          <cell r="AB423">
            <v>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  <cell r="Y424">
            <v>1.7</v>
          </cell>
          <cell r="Z424">
            <v>1.4</v>
          </cell>
          <cell r="AA424">
            <v>1</v>
          </cell>
          <cell r="AB424">
            <v>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  <cell r="Y425">
            <v>1.3</v>
          </cell>
          <cell r="Z425">
            <v>1.3</v>
          </cell>
          <cell r="AA425">
            <v>1.1000000000000001</v>
          </cell>
          <cell r="AB425">
            <v>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  <cell r="Y426">
            <v>1.7</v>
          </cell>
          <cell r="Z426">
            <v>1.4</v>
          </cell>
          <cell r="AA426">
            <v>1</v>
          </cell>
          <cell r="AB426">
            <v>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  <cell r="Y427">
            <v>1.3</v>
          </cell>
          <cell r="Z427">
            <v>1.3</v>
          </cell>
          <cell r="AA427">
            <v>1.1000000000000001</v>
          </cell>
          <cell r="AB427">
            <v>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  <cell r="Y428">
            <v>1.7</v>
          </cell>
          <cell r="Z428">
            <v>1.4</v>
          </cell>
          <cell r="AA428">
            <v>1</v>
          </cell>
          <cell r="AB428">
            <v>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  <cell r="Y429">
            <v>1.7</v>
          </cell>
          <cell r="Z429">
            <v>1.4</v>
          </cell>
          <cell r="AA429">
            <v>1</v>
          </cell>
          <cell r="AB429">
            <v>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  <cell r="Y430">
            <v>1.7</v>
          </cell>
          <cell r="Z430">
            <v>1.4</v>
          </cell>
          <cell r="AA430">
            <v>1</v>
          </cell>
          <cell r="AB430">
            <v>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  <cell r="Y431">
            <v>1.7</v>
          </cell>
          <cell r="Z431">
            <v>1.4</v>
          </cell>
          <cell r="AA431">
            <v>1</v>
          </cell>
          <cell r="AB431">
            <v>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  <cell r="Y432">
            <v>1.7</v>
          </cell>
          <cell r="Z432">
            <v>1.4</v>
          </cell>
          <cell r="AA432">
            <v>1</v>
          </cell>
          <cell r="AB432">
            <v>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  <cell r="Y433">
            <v>1.3</v>
          </cell>
          <cell r="Z433">
            <v>1.3</v>
          </cell>
          <cell r="AA433">
            <v>1.1000000000000001</v>
          </cell>
          <cell r="AB433">
            <v>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  <cell r="Y434">
            <v>1.7</v>
          </cell>
          <cell r="Z434">
            <v>1.4</v>
          </cell>
          <cell r="AA434">
            <v>1</v>
          </cell>
          <cell r="AB434">
            <v>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  <cell r="Y435">
            <v>1.3</v>
          </cell>
          <cell r="Z435">
            <v>1.3</v>
          </cell>
          <cell r="AA435">
            <v>1.1000000000000001</v>
          </cell>
          <cell r="AB435">
            <v>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  <cell r="Y436">
            <v>1.7</v>
          </cell>
          <cell r="Z436">
            <v>1.4</v>
          </cell>
          <cell r="AA436">
            <v>1</v>
          </cell>
          <cell r="AB436">
            <v>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  <cell r="Y437">
            <v>1.2</v>
          </cell>
          <cell r="Z437">
            <v>1.25</v>
          </cell>
          <cell r="AA437">
            <v>1.1499999999999999</v>
          </cell>
          <cell r="AB437">
            <v>0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  <cell r="Y438">
            <v>1.3</v>
          </cell>
          <cell r="Z438">
            <v>1.3</v>
          </cell>
          <cell r="AA438">
            <v>1.1000000000000001</v>
          </cell>
          <cell r="AB438">
            <v>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  <cell r="Y439">
            <v>1.7</v>
          </cell>
          <cell r="Z439">
            <v>1.4</v>
          </cell>
          <cell r="AA439">
            <v>1</v>
          </cell>
          <cell r="AB439">
            <v>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  <cell r="Y440">
            <v>1.2</v>
          </cell>
          <cell r="Z440">
            <v>1.25</v>
          </cell>
          <cell r="AA440">
            <v>1.1499999999999999</v>
          </cell>
          <cell r="AB440">
            <v>0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  <cell r="Y441">
            <v>1.3</v>
          </cell>
          <cell r="Z441">
            <v>1.3</v>
          </cell>
          <cell r="AA441">
            <v>1.1000000000000001</v>
          </cell>
          <cell r="AB441">
            <v>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  <cell r="Y442">
            <v>1.7</v>
          </cell>
          <cell r="Z442">
            <v>1.4</v>
          </cell>
          <cell r="AA442">
            <v>1</v>
          </cell>
          <cell r="AB442">
            <v>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  <cell r="Y443">
            <v>1.3</v>
          </cell>
          <cell r="Z443">
            <v>1.3</v>
          </cell>
          <cell r="AA443">
            <v>1.1000000000000001</v>
          </cell>
          <cell r="AB443">
            <v>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  <cell r="Y444">
            <v>1.7</v>
          </cell>
          <cell r="Z444">
            <v>1.4</v>
          </cell>
          <cell r="AA444">
            <v>1</v>
          </cell>
          <cell r="AB444">
            <v>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  <cell r="Y445">
            <v>1.1000000000000001</v>
          </cell>
          <cell r="Z445">
            <v>1.2</v>
          </cell>
          <cell r="AA445">
            <v>1.2</v>
          </cell>
          <cell r="AB445">
            <v>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  <cell r="Y446">
            <v>1.1000000000000001</v>
          </cell>
          <cell r="Z446">
            <v>1.2</v>
          </cell>
          <cell r="AA446">
            <v>1.2</v>
          </cell>
          <cell r="AB446">
            <v>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  <cell r="Y447">
            <v>1.1000000000000001</v>
          </cell>
          <cell r="Z447">
            <v>1.2</v>
          </cell>
          <cell r="AA447">
            <v>1.2</v>
          </cell>
          <cell r="AB447">
            <v>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  <cell r="Y448">
            <v>1.1000000000000001</v>
          </cell>
          <cell r="Z448">
            <v>1.2</v>
          </cell>
          <cell r="AA448">
            <v>1.2</v>
          </cell>
          <cell r="AB448">
            <v>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  <cell r="Y449">
            <v>1.3</v>
          </cell>
          <cell r="Z449">
            <v>1.3</v>
          </cell>
          <cell r="AA449">
            <v>1.1000000000000001</v>
          </cell>
          <cell r="AB449">
            <v>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  <cell r="Y450">
            <v>1.7</v>
          </cell>
          <cell r="Z450">
            <v>1.4</v>
          </cell>
          <cell r="AA450">
            <v>1</v>
          </cell>
          <cell r="AB450">
            <v>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  <cell r="Y451">
            <v>1.3</v>
          </cell>
          <cell r="Z451">
            <v>1.3</v>
          </cell>
          <cell r="AA451">
            <v>1.1000000000000001</v>
          </cell>
          <cell r="AB451">
            <v>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  <cell r="Y452">
            <v>1.7</v>
          </cell>
          <cell r="Z452">
            <v>1.4</v>
          </cell>
          <cell r="AA452">
            <v>1</v>
          </cell>
          <cell r="AB452">
            <v>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  <cell r="Y453">
            <v>1.3</v>
          </cell>
          <cell r="Z453">
            <v>1.3</v>
          </cell>
          <cell r="AA453">
            <v>1.1000000000000001</v>
          </cell>
          <cell r="AB453">
            <v>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  <cell r="Y454">
            <v>1.7</v>
          </cell>
          <cell r="Z454">
            <v>1.4</v>
          </cell>
          <cell r="AA454">
            <v>1</v>
          </cell>
          <cell r="AB454">
            <v>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  <cell r="Y455">
            <v>1.3</v>
          </cell>
          <cell r="Z455">
            <v>1.3</v>
          </cell>
          <cell r="AA455">
            <v>1.1000000000000001</v>
          </cell>
          <cell r="AB455">
            <v>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  <cell r="Y456">
            <v>1.7</v>
          </cell>
          <cell r="Z456">
            <v>1.4</v>
          </cell>
          <cell r="AA456">
            <v>1</v>
          </cell>
          <cell r="AB456">
            <v>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  <cell r="Y457">
            <v>1.3</v>
          </cell>
          <cell r="Z457">
            <v>1.3</v>
          </cell>
          <cell r="AA457">
            <v>1.1000000000000001</v>
          </cell>
          <cell r="AB457">
            <v>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  <cell r="Y458">
            <v>1.7</v>
          </cell>
          <cell r="Z458">
            <v>1.4</v>
          </cell>
          <cell r="AA458">
            <v>1</v>
          </cell>
          <cell r="AB458">
            <v>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  <cell r="Y459">
            <v>1.3</v>
          </cell>
          <cell r="Z459">
            <v>1.3</v>
          </cell>
          <cell r="AA459">
            <v>1.1000000000000001</v>
          </cell>
          <cell r="AB459">
            <v>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  <cell r="Y460">
            <v>1.7</v>
          </cell>
          <cell r="Z460">
            <v>1.4</v>
          </cell>
          <cell r="AA460">
            <v>1</v>
          </cell>
          <cell r="AB460">
            <v>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  <cell r="Y461">
            <v>1.3</v>
          </cell>
          <cell r="Z461">
            <v>1.3</v>
          </cell>
          <cell r="AA461">
            <v>1.1000000000000001</v>
          </cell>
          <cell r="AB461">
            <v>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  <cell r="Y462">
            <v>1.7</v>
          </cell>
          <cell r="Z462">
            <v>1.4</v>
          </cell>
          <cell r="AA462">
            <v>1</v>
          </cell>
          <cell r="AB462">
            <v>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  <cell r="Y463">
            <v>1.2</v>
          </cell>
          <cell r="Z463">
            <v>1.25</v>
          </cell>
          <cell r="AA463">
            <v>1.1499999999999999</v>
          </cell>
          <cell r="AB463">
            <v>0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  <cell r="Y464">
            <v>1.3</v>
          </cell>
          <cell r="Z464">
            <v>1.3</v>
          </cell>
          <cell r="AA464">
            <v>1.1000000000000001</v>
          </cell>
          <cell r="AB464">
            <v>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  <cell r="Y465">
            <v>1.7</v>
          </cell>
          <cell r="Z465">
            <v>1.4</v>
          </cell>
          <cell r="AA465">
            <v>1</v>
          </cell>
          <cell r="AB465">
            <v>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  <cell r="Y466">
            <v>1.3</v>
          </cell>
          <cell r="Z466">
            <v>1.3</v>
          </cell>
          <cell r="AA466">
            <v>1.1000000000000001</v>
          </cell>
          <cell r="AB466">
            <v>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  <cell r="Y467">
            <v>1.7</v>
          </cell>
          <cell r="Z467">
            <v>1.4</v>
          </cell>
          <cell r="AA467">
            <v>1</v>
          </cell>
          <cell r="AB467">
            <v>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  <cell r="Y468">
            <v>1.3</v>
          </cell>
          <cell r="Z468">
            <v>1.3</v>
          </cell>
          <cell r="AA468">
            <v>1.1000000000000001</v>
          </cell>
          <cell r="AB468">
            <v>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  <cell r="Y469">
            <v>1.7</v>
          </cell>
          <cell r="Z469">
            <v>1.4</v>
          </cell>
          <cell r="AA469">
            <v>1</v>
          </cell>
          <cell r="AB469">
            <v>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  <cell r="Y470">
            <v>1.2</v>
          </cell>
          <cell r="Z470">
            <v>1.25</v>
          </cell>
          <cell r="AA470">
            <v>1.1499999999999999</v>
          </cell>
          <cell r="AB470">
            <v>0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  <cell r="Y471">
            <v>1.3</v>
          </cell>
          <cell r="Z471">
            <v>1.3</v>
          </cell>
          <cell r="AA471">
            <v>1.1000000000000001</v>
          </cell>
          <cell r="AB471">
            <v>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  <cell r="Y472">
            <v>1.7</v>
          </cell>
          <cell r="Z472">
            <v>1.4</v>
          </cell>
          <cell r="AA472">
            <v>1</v>
          </cell>
          <cell r="AB472">
            <v>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  <cell r="Y473">
            <v>1.3</v>
          </cell>
          <cell r="Z473">
            <v>1.3</v>
          </cell>
          <cell r="AA473">
            <v>1.1000000000000001</v>
          </cell>
          <cell r="AB473">
            <v>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  <cell r="Y474">
            <v>1.7</v>
          </cell>
          <cell r="Z474">
            <v>1.4</v>
          </cell>
          <cell r="AA474">
            <v>1</v>
          </cell>
          <cell r="AB474">
            <v>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  <cell r="Y475">
            <v>1.3</v>
          </cell>
          <cell r="Z475">
            <v>1.3</v>
          </cell>
          <cell r="AA475">
            <v>1.1000000000000001</v>
          </cell>
          <cell r="AB475">
            <v>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  <cell r="Y476">
            <v>1.7</v>
          </cell>
          <cell r="Z476">
            <v>1.4</v>
          </cell>
          <cell r="AA476">
            <v>1</v>
          </cell>
          <cell r="AB476">
            <v>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  <cell r="Y477">
            <v>1.2</v>
          </cell>
          <cell r="Z477">
            <v>1.25</v>
          </cell>
          <cell r="AA477">
            <v>1.1499999999999999</v>
          </cell>
          <cell r="AB477">
            <v>0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  <cell r="Y478">
            <v>1.3</v>
          </cell>
          <cell r="Z478">
            <v>1.3</v>
          </cell>
          <cell r="AA478">
            <v>1.1000000000000001</v>
          </cell>
          <cell r="AB478">
            <v>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  <cell r="Y479">
            <v>1.7</v>
          </cell>
          <cell r="Z479">
            <v>1.4</v>
          </cell>
          <cell r="AA479">
            <v>1</v>
          </cell>
          <cell r="AB479">
            <v>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  <cell r="Y480">
            <v>1.3</v>
          </cell>
          <cell r="Z480">
            <v>1.3</v>
          </cell>
          <cell r="AA480">
            <v>1.1000000000000001</v>
          </cell>
          <cell r="AB480">
            <v>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  <cell r="Y481">
            <v>1.7</v>
          </cell>
          <cell r="Z481">
            <v>1.4</v>
          </cell>
          <cell r="AA481">
            <v>1</v>
          </cell>
          <cell r="AB481">
            <v>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  <cell r="Y482">
            <v>1.2</v>
          </cell>
          <cell r="Z482">
            <v>1.25</v>
          </cell>
          <cell r="AA482">
            <v>1.1499999999999999</v>
          </cell>
          <cell r="AB482">
            <v>0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  <cell r="Y483">
            <v>1.3</v>
          </cell>
          <cell r="Z483">
            <v>1.3</v>
          </cell>
          <cell r="AA483">
            <v>1.1000000000000001</v>
          </cell>
          <cell r="AB483">
            <v>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  <cell r="Y484">
            <v>1.7</v>
          </cell>
          <cell r="Z484">
            <v>1.4</v>
          </cell>
          <cell r="AA484">
            <v>1</v>
          </cell>
          <cell r="AB484">
            <v>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  <cell r="Y485">
            <v>1.3</v>
          </cell>
          <cell r="Z485">
            <v>1.3</v>
          </cell>
          <cell r="AA485">
            <v>1.1000000000000001</v>
          </cell>
          <cell r="AB485">
            <v>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  <cell r="Y486">
            <v>1.7</v>
          </cell>
          <cell r="Z486">
            <v>1.4</v>
          </cell>
          <cell r="AA486">
            <v>1</v>
          </cell>
          <cell r="AB486">
            <v>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  <cell r="Y487">
            <v>1.7</v>
          </cell>
          <cell r="Z487">
            <v>1.4</v>
          </cell>
          <cell r="AA487">
            <v>1</v>
          </cell>
          <cell r="AB487">
            <v>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  <cell r="Y488">
            <v>1.7</v>
          </cell>
          <cell r="Z488">
            <v>1.4</v>
          </cell>
          <cell r="AA488">
            <v>1</v>
          </cell>
          <cell r="AB488">
            <v>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  <cell r="Y489">
            <v>1.7</v>
          </cell>
          <cell r="Z489">
            <v>1.4</v>
          </cell>
          <cell r="AA489">
            <v>1</v>
          </cell>
          <cell r="AB489">
            <v>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  <cell r="Y490">
            <v>1.7</v>
          </cell>
          <cell r="Z490">
            <v>1.4</v>
          </cell>
          <cell r="AA490">
            <v>1</v>
          </cell>
          <cell r="AB490">
            <v>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  <cell r="Y491">
            <v>1.3</v>
          </cell>
          <cell r="Z491">
            <v>1.3</v>
          </cell>
          <cell r="AA491">
            <v>1.1000000000000001</v>
          </cell>
          <cell r="AB491">
            <v>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  <cell r="Y492">
            <v>1.7</v>
          </cell>
          <cell r="Z492">
            <v>1.4</v>
          </cell>
          <cell r="AA492">
            <v>1</v>
          </cell>
          <cell r="AB492">
            <v>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  <cell r="Y493">
            <v>1.3</v>
          </cell>
          <cell r="Z493">
            <v>1.3</v>
          </cell>
          <cell r="AA493">
            <v>1.1000000000000001</v>
          </cell>
          <cell r="AB493">
            <v>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  <cell r="Y494">
            <v>1.7</v>
          </cell>
          <cell r="Z494">
            <v>1.4</v>
          </cell>
          <cell r="AA494">
            <v>1</v>
          </cell>
          <cell r="AB494">
            <v>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  <cell r="Y495">
            <v>1.3</v>
          </cell>
          <cell r="Z495">
            <v>1.3</v>
          </cell>
          <cell r="AA495">
            <v>1.1000000000000001</v>
          </cell>
          <cell r="AB495">
            <v>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  <cell r="Y496">
            <v>1.7</v>
          </cell>
          <cell r="Z496">
            <v>1.4</v>
          </cell>
          <cell r="AA496">
            <v>1</v>
          </cell>
          <cell r="AB496">
            <v>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  <cell r="Y497">
            <v>1.2</v>
          </cell>
          <cell r="Z497">
            <v>1.25</v>
          </cell>
          <cell r="AA497">
            <v>1.1499999999999999</v>
          </cell>
          <cell r="AB497">
            <v>0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  <cell r="Y498">
            <v>1.3</v>
          </cell>
          <cell r="Z498">
            <v>1.3</v>
          </cell>
          <cell r="AA498">
            <v>1.1000000000000001</v>
          </cell>
          <cell r="AB498">
            <v>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  <cell r="Y499">
            <v>1.7</v>
          </cell>
          <cell r="Z499">
            <v>1.4</v>
          </cell>
          <cell r="AA499">
            <v>1</v>
          </cell>
          <cell r="AB499">
            <v>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  <cell r="Y500">
            <v>1.3</v>
          </cell>
          <cell r="Z500">
            <v>1.3</v>
          </cell>
          <cell r="AA500">
            <v>1.1000000000000001</v>
          </cell>
          <cell r="AB500">
            <v>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  <cell r="Y501">
            <v>1.7</v>
          </cell>
          <cell r="Z501">
            <v>1.4</v>
          </cell>
          <cell r="AA501">
            <v>1</v>
          </cell>
          <cell r="AB501">
            <v>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  <cell r="Y502">
            <v>1.7</v>
          </cell>
          <cell r="Z502">
            <v>1.4</v>
          </cell>
          <cell r="AA502">
            <v>1</v>
          </cell>
          <cell r="AB502">
            <v>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  <cell r="Y503">
            <v>1.3</v>
          </cell>
          <cell r="Z503">
            <v>1.3</v>
          </cell>
          <cell r="AA503">
            <v>1.1000000000000001</v>
          </cell>
          <cell r="AB503">
            <v>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  <cell r="Y504">
            <v>1.7</v>
          </cell>
          <cell r="Z504">
            <v>1.4</v>
          </cell>
          <cell r="AA504">
            <v>1</v>
          </cell>
          <cell r="AB504">
            <v>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  <cell r="Y505">
            <v>1.3</v>
          </cell>
          <cell r="Z505">
            <v>1.3</v>
          </cell>
          <cell r="AA505">
            <v>1.1000000000000001</v>
          </cell>
          <cell r="AB505">
            <v>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  <cell r="Y506">
            <v>1.7</v>
          </cell>
          <cell r="Z506">
            <v>1.4</v>
          </cell>
          <cell r="AA506">
            <v>1</v>
          </cell>
          <cell r="AB506">
            <v>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  <cell r="Y507">
            <v>1.3</v>
          </cell>
          <cell r="Z507">
            <v>1.3</v>
          </cell>
          <cell r="AA507">
            <v>1.1000000000000001</v>
          </cell>
          <cell r="AB507">
            <v>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  <cell r="Y508">
            <v>1.7</v>
          </cell>
          <cell r="Z508">
            <v>1.4</v>
          </cell>
          <cell r="AA508">
            <v>1</v>
          </cell>
          <cell r="AB508">
            <v>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  <cell r="Y509">
            <v>1.3</v>
          </cell>
          <cell r="Z509">
            <v>1.3</v>
          </cell>
          <cell r="AA509">
            <v>1.1000000000000001</v>
          </cell>
          <cell r="AB509">
            <v>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  <cell r="Y510">
            <v>1.7</v>
          </cell>
          <cell r="Z510">
            <v>1.4</v>
          </cell>
          <cell r="AA510">
            <v>1</v>
          </cell>
          <cell r="AB510">
            <v>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  <cell r="Y511">
            <v>1.3</v>
          </cell>
          <cell r="Z511">
            <v>1.3</v>
          </cell>
          <cell r="AA511">
            <v>1.1000000000000001</v>
          </cell>
          <cell r="AB511">
            <v>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  <cell r="Y512">
            <v>1.7</v>
          </cell>
          <cell r="Z512">
            <v>1.4</v>
          </cell>
          <cell r="AA512">
            <v>1</v>
          </cell>
          <cell r="AB512">
            <v>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  <cell r="Y513">
            <v>1.3</v>
          </cell>
          <cell r="Z513">
            <v>1.3</v>
          </cell>
          <cell r="AA513">
            <v>1.1000000000000001</v>
          </cell>
          <cell r="AB513">
            <v>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  <cell r="Y514">
            <v>1.7</v>
          </cell>
          <cell r="Z514">
            <v>1.4</v>
          </cell>
          <cell r="AA514">
            <v>1</v>
          </cell>
          <cell r="AB514">
            <v>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  <cell r="Y515">
            <v>1.3</v>
          </cell>
          <cell r="Z515">
            <v>1.3</v>
          </cell>
          <cell r="AA515">
            <v>1.1000000000000001</v>
          </cell>
          <cell r="AB515">
            <v>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  <cell r="Y516">
            <v>1.7</v>
          </cell>
          <cell r="Z516">
            <v>1.4</v>
          </cell>
          <cell r="AA516">
            <v>1</v>
          </cell>
          <cell r="AB516">
            <v>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  <cell r="Y517">
            <v>1.3</v>
          </cell>
          <cell r="Z517">
            <v>1.3</v>
          </cell>
          <cell r="AA517">
            <v>1.1000000000000001</v>
          </cell>
          <cell r="AB517">
            <v>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  <cell r="Y518">
            <v>1.7</v>
          </cell>
          <cell r="Z518">
            <v>1.4</v>
          </cell>
          <cell r="AA518">
            <v>1</v>
          </cell>
          <cell r="AB518">
            <v>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  <cell r="Y519">
            <v>1.3</v>
          </cell>
          <cell r="Z519">
            <v>1.3</v>
          </cell>
          <cell r="AA519">
            <v>1.1000000000000001</v>
          </cell>
          <cell r="AB519">
            <v>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  <cell r="Y520">
            <v>1.7</v>
          </cell>
          <cell r="Z520">
            <v>1.4</v>
          </cell>
          <cell r="AA520">
            <v>1</v>
          </cell>
          <cell r="AB520">
            <v>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  <cell r="Y521">
            <v>1.7</v>
          </cell>
          <cell r="Z521">
            <v>1.4</v>
          </cell>
          <cell r="AA521">
            <v>1</v>
          </cell>
          <cell r="AB521">
            <v>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  <cell r="Y522">
            <v>1.7</v>
          </cell>
          <cell r="Z522">
            <v>1.4</v>
          </cell>
          <cell r="AA522">
            <v>1</v>
          </cell>
          <cell r="AB522">
            <v>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  <cell r="Y523">
            <v>1.7</v>
          </cell>
          <cell r="Z523">
            <v>1.4</v>
          </cell>
          <cell r="AA523">
            <v>1</v>
          </cell>
          <cell r="AB523">
            <v>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  <cell r="Y524">
            <v>1.7</v>
          </cell>
          <cell r="Z524">
            <v>1.4</v>
          </cell>
          <cell r="AA524">
            <v>1</v>
          </cell>
          <cell r="AB524">
            <v>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  <cell r="Y525">
            <v>1.7</v>
          </cell>
          <cell r="Z525">
            <v>1.4</v>
          </cell>
          <cell r="AA525">
            <v>1</v>
          </cell>
          <cell r="AB525">
            <v>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  <cell r="Y526">
            <v>1.3</v>
          </cell>
          <cell r="Z526">
            <v>1.3</v>
          </cell>
          <cell r="AA526">
            <v>1.1000000000000001</v>
          </cell>
          <cell r="AB526">
            <v>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  <cell r="Y527">
            <v>1.7</v>
          </cell>
          <cell r="Z527">
            <v>1.4</v>
          </cell>
          <cell r="AA527">
            <v>1</v>
          </cell>
          <cell r="AB527">
            <v>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  <cell r="Y528">
            <v>1.3</v>
          </cell>
          <cell r="Z528">
            <v>1.3</v>
          </cell>
          <cell r="AA528">
            <v>1.1000000000000001</v>
          </cell>
          <cell r="AB528">
            <v>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  <cell r="Y529">
            <v>1.7</v>
          </cell>
          <cell r="Z529">
            <v>1.4</v>
          </cell>
          <cell r="AA529">
            <v>1</v>
          </cell>
          <cell r="AB529">
            <v>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  <cell r="Y530">
            <v>1</v>
          </cell>
          <cell r="Z530">
            <v>1</v>
          </cell>
          <cell r="AA530">
            <v>1</v>
          </cell>
          <cell r="AB530">
            <v>0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  <cell r="Y531">
            <v>1</v>
          </cell>
          <cell r="Z531">
            <v>1</v>
          </cell>
          <cell r="AA531">
            <v>1</v>
          </cell>
          <cell r="AB531">
            <v>0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  <cell r="Y532">
            <v>1</v>
          </cell>
          <cell r="Z532">
            <v>1</v>
          </cell>
          <cell r="AA532">
            <v>1</v>
          </cell>
          <cell r="AB532">
            <v>0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  <cell r="Y533">
            <v>1</v>
          </cell>
          <cell r="Z533">
            <v>1</v>
          </cell>
          <cell r="AA533">
            <v>1</v>
          </cell>
          <cell r="AB533">
            <v>0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  <cell r="Y534">
            <v>1</v>
          </cell>
          <cell r="Z534">
            <v>1</v>
          </cell>
          <cell r="AA534">
            <v>1</v>
          </cell>
          <cell r="AB534">
            <v>0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  <cell r="Y535">
            <v>1</v>
          </cell>
          <cell r="Z535">
            <v>1</v>
          </cell>
          <cell r="AA535">
            <v>1</v>
          </cell>
          <cell r="AB535">
            <v>0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  <cell r="Y536">
            <v>1</v>
          </cell>
          <cell r="Z536">
            <v>1</v>
          </cell>
          <cell r="AA536">
            <v>1</v>
          </cell>
          <cell r="AB536">
            <v>0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  <cell r="Y537">
            <v>1</v>
          </cell>
          <cell r="Z537">
            <v>1</v>
          </cell>
          <cell r="AA537">
            <v>1</v>
          </cell>
          <cell r="AB537">
            <v>0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  <cell r="Y538">
            <v>1.2</v>
          </cell>
          <cell r="Z538">
            <v>1.25</v>
          </cell>
          <cell r="AA538">
            <v>1.1499999999999999</v>
          </cell>
          <cell r="AB538">
            <v>0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  <cell r="Y539">
            <v>1.2</v>
          </cell>
          <cell r="Z539">
            <v>1.25</v>
          </cell>
          <cell r="AA539">
            <v>1.1499999999999999</v>
          </cell>
          <cell r="AB539">
            <v>0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  <cell r="Y540">
            <v>1.3</v>
          </cell>
          <cell r="Z540">
            <v>1.3</v>
          </cell>
          <cell r="AA540">
            <v>1.1000000000000001</v>
          </cell>
          <cell r="AB540">
            <v>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  <cell r="Y541">
            <v>1.7</v>
          </cell>
          <cell r="Z541">
            <v>1.4</v>
          </cell>
          <cell r="AA541">
            <v>1</v>
          </cell>
          <cell r="AB541">
            <v>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  <cell r="Y542">
            <v>1.3</v>
          </cell>
          <cell r="Z542">
            <v>1.3</v>
          </cell>
          <cell r="AA542">
            <v>1.1000000000000001</v>
          </cell>
          <cell r="AB542">
            <v>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  <cell r="Y543">
            <v>1.7</v>
          </cell>
          <cell r="Z543">
            <v>1.4</v>
          </cell>
          <cell r="AA543">
            <v>1</v>
          </cell>
          <cell r="AB543">
            <v>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  <cell r="Y544">
            <v>1.3</v>
          </cell>
          <cell r="Z544">
            <v>1.3</v>
          </cell>
          <cell r="AA544">
            <v>1.1000000000000001</v>
          </cell>
          <cell r="AB544">
            <v>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  <cell r="Y545">
            <v>1.7</v>
          </cell>
          <cell r="Z545">
            <v>1.4</v>
          </cell>
          <cell r="AA545">
            <v>1</v>
          </cell>
          <cell r="AB545">
            <v>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  <cell r="Y546">
            <v>1.3</v>
          </cell>
          <cell r="Z546">
            <v>1.3</v>
          </cell>
          <cell r="AA546">
            <v>1.1000000000000001</v>
          </cell>
          <cell r="AB546">
            <v>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  <cell r="Y547">
            <v>1.7</v>
          </cell>
          <cell r="Z547">
            <v>1.4</v>
          </cell>
          <cell r="AA547">
            <v>1</v>
          </cell>
          <cell r="AB547">
            <v>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  <cell r="Y548">
            <v>1.2</v>
          </cell>
          <cell r="Z548">
            <v>1.25</v>
          </cell>
          <cell r="AA548">
            <v>1.1499999999999999</v>
          </cell>
          <cell r="AB548">
            <v>0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  <cell r="Y549">
            <v>1.3</v>
          </cell>
          <cell r="Z549">
            <v>1.3</v>
          </cell>
          <cell r="AA549">
            <v>1.1000000000000001</v>
          </cell>
          <cell r="AB549">
            <v>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  <cell r="Y550">
            <v>1.2</v>
          </cell>
          <cell r="Z550">
            <v>1.25</v>
          </cell>
          <cell r="AA550">
            <v>1.1499999999999999</v>
          </cell>
          <cell r="AB550">
            <v>0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  <cell r="Y551">
            <v>1.3</v>
          </cell>
          <cell r="Z551">
            <v>1.3</v>
          </cell>
          <cell r="AA551">
            <v>1.1000000000000001</v>
          </cell>
          <cell r="AB551">
            <v>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  <cell r="Y552">
            <v>1.2</v>
          </cell>
          <cell r="Z552">
            <v>1.25</v>
          </cell>
          <cell r="AA552">
            <v>1.1499999999999999</v>
          </cell>
          <cell r="AB552">
            <v>0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  <cell r="Y553">
            <v>1.3</v>
          </cell>
          <cell r="Z553">
            <v>1.3</v>
          </cell>
          <cell r="AA553">
            <v>1.1000000000000001</v>
          </cell>
          <cell r="AB553">
            <v>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  <cell r="Y554">
            <v>1.3</v>
          </cell>
          <cell r="Z554">
            <v>1.3</v>
          </cell>
          <cell r="AA554">
            <v>1.1000000000000001</v>
          </cell>
          <cell r="AB554">
            <v>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  <cell r="Y555">
            <v>1.7</v>
          </cell>
          <cell r="Z555">
            <v>1.4</v>
          </cell>
          <cell r="AA555">
            <v>1</v>
          </cell>
          <cell r="AB555">
            <v>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  <cell r="Y556">
            <v>1.3</v>
          </cell>
          <cell r="Z556">
            <v>1.3</v>
          </cell>
          <cell r="AA556">
            <v>1.1000000000000001</v>
          </cell>
          <cell r="AB556">
            <v>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  <cell r="Y557">
            <v>1.7</v>
          </cell>
          <cell r="Z557">
            <v>1.4</v>
          </cell>
          <cell r="AA557">
            <v>1</v>
          </cell>
          <cell r="AB557">
            <v>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  <cell r="Y558">
            <v>1.2</v>
          </cell>
          <cell r="Z558">
            <v>1.25</v>
          </cell>
          <cell r="AA558">
            <v>1.1499999999999999</v>
          </cell>
          <cell r="AB558">
            <v>0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  <cell r="Y559">
            <v>1.3</v>
          </cell>
          <cell r="Z559">
            <v>1.3</v>
          </cell>
          <cell r="AA559">
            <v>1.1000000000000001</v>
          </cell>
          <cell r="AB559">
            <v>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  <cell r="Y560">
            <v>1.7</v>
          </cell>
          <cell r="Z560">
            <v>1.4</v>
          </cell>
          <cell r="AA560">
            <v>1</v>
          </cell>
          <cell r="AB560">
            <v>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  <cell r="Y561">
            <v>1.1000000000000001</v>
          </cell>
          <cell r="Z561">
            <v>1.2</v>
          </cell>
          <cell r="AA561">
            <v>1.2</v>
          </cell>
          <cell r="AB561">
            <v>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  <cell r="Y562">
            <v>1.1000000000000001</v>
          </cell>
          <cell r="Z562">
            <v>1.2</v>
          </cell>
          <cell r="AA562">
            <v>1.2</v>
          </cell>
          <cell r="AB562">
            <v>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  <cell r="Y563">
            <v>1.1000000000000001</v>
          </cell>
          <cell r="Z563">
            <v>1.2</v>
          </cell>
          <cell r="AA563">
            <v>1.2</v>
          </cell>
          <cell r="AB563">
            <v>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  <cell r="Y564">
            <v>1.1000000000000001</v>
          </cell>
          <cell r="Z564">
            <v>1.2</v>
          </cell>
          <cell r="AA564">
            <v>1.2</v>
          </cell>
          <cell r="AB564">
            <v>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  <cell r="Y565">
            <v>1.7</v>
          </cell>
          <cell r="Z565">
            <v>1.4</v>
          </cell>
          <cell r="AA565">
            <v>1</v>
          </cell>
          <cell r="AB565">
            <v>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  <cell r="Y566">
            <v>1.7</v>
          </cell>
          <cell r="Z566">
            <v>1.4</v>
          </cell>
          <cell r="AA566">
            <v>1</v>
          </cell>
          <cell r="AB566">
            <v>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  <cell r="Y567">
            <v>1.7</v>
          </cell>
          <cell r="Z567">
            <v>1.4</v>
          </cell>
          <cell r="AA567">
            <v>1</v>
          </cell>
          <cell r="AB567">
            <v>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  <cell r="Y568">
            <v>1.7</v>
          </cell>
          <cell r="Z568">
            <v>1.4</v>
          </cell>
          <cell r="AA568">
            <v>1</v>
          </cell>
          <cell r="AB568">
            <v>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  <cell r="Y569">
            <v>1.7</v>
          </cell>
          <cell r="Z569">
            <v>1.4</v>
          </cell>
          <cell r="AA569">
            <v>1</v>
          </cell>
          <cell r="AB569">
            <v>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  <cell r="Y570">
            <v>1.7</v>
          </cell>
          <cell r="Z570">
            <v>1.4</v>
          </cell>
          <cell r="AA570">
            <v>1</v>
          </cell>
          <cell r="AB570">
            <v>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  <cell r="Y571">
            <v>1.7</v>
          </cell>
          <cell r="Z571">
            <v>1.4</v>
          </cell>
          <cell r="AA571">
            <v>1</v>
          </cell>
          <cell r="AB571">
            <v>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  <cell r="Y572">
            <v>1.2</v>
          </cell>
          <cell r="Z572">
            <v>1.25</v>
          </cell>
          <cell r="AA572">
            <v>1.1499999999999999</v>
          </cell>
          <cell r="AB572">
            <v>0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  <cell r="Y573">
            <v>1.2</v>
          </cell>
          <cell r="Z573">
            <v>1.25</v>
          </cell>
          <cell r="AA573">
            <v>1.1499999999999999</v>
          </cell>
          <cell r="AB573">
            <v>0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  <cell r="Y574">
            <v>1.3</v>
          </cell>
          <cell r="Z574">
            <v>1.3</v>
          </cell>
          <cell r="AA574">
            <v>1.1000000000000001</v>
          </cell>
          <cell r="AB574">
            <v>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  <cell r="Y575">
            <v>1.7</v>
          </cell>
          <cell r="Z575">
            <v>1.4</v>
          </cell>
          <cell r="AA575">
            <v>1</v>
          </cell>
          <cell r="AB575">
            <v>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  <cell r="Y576">
            <v>1.3</v>
          </cell>
          <cell r="Z576">
            <v>1.3</v>
          </cell>
          <cell r="AA576">
            <v>1.1000000000000001</v>
          </cell>
          <cell r="AB576">
            <v>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  <cell r="Y577">
            <v>1.7</v>
          </cell>
          <cell r="Z577">
            <v>1.4</v>
          </cell>
          <cell r="AA577">
            <v>1</v>
          </cell>
          <cell r="AB577">
            <v>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  <cell r="Y578">
            <v>1.3</v>
          </cell>
          <cell r="Z578">
            <v>1.3</v>
          </cell>
          <cell r="AA578">
            <v>1.1000000000000001</v>
          </cell>
          <cell r="AB578">
            <v>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  <cell r="Y579">
            <v>1.7</v>
          </cell>
          <cell r="Z579">
            <v>1.4</v>
          </cell>
          <cell r="AA579">
            <v>1</v>
          </cell>
          <cell r="AB579">
            <v>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  <cell r="Y580">
            <v>1.3</v>
          </cell>
          <cell r="Z580">
            <v>1.3</v>
          </cell>
          <cell r="AA580">
            <v>1.1000000000000001</v>
          </cell>
          <cell r="AB580">
            <v>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  <cell r="Y581">
            <v>1.7</v>
          </cell>
          <cell r="Z581">
            <v>1.4</v>
          </cell>
          <cell r="AA581">
            <v>1</v>
          </cell>
          <cell r="AB581">
            <v>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  <cell r="Y582">
            <v>1.3</v>
          </cell>
          <cell r="Z582">
            <v>1.3</v>
          </cell>
          <cell r="AA582">
            <v>1.1000000000000001</v>
          </cell>
          <cell r="AB582">
            <v>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  <cell r="Y583">
            <v>1.7</v>
          </cell>
          <cell r="Z583">
            <v>1.4</v>
          </cell>
          <cell r="AA583">
            <v>1</v>
          </cell>
          <cell r="AB583">
            <v>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  <cell r="Y584">
            <v>1.3</v>
          </cell>
          <cell r="Z584">
            <v>1.3</v>
          </cell>
          <cell r="AA584">
            <v>1.1000000000000001</v>
          </cell>
          <cell r="AB584">
            <v>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  <cell r="Y585">
            <v>1.7</v>
          </cell>
          <cell r="Z585">
            <v>1.4</v>
          </cell>
          <cell r="AA585">
            <v>1</v>
          </cell>
          <cell r="AB585">
            <v>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  <cell r="Y586">
            <v>1.2</v>
          </cell>
          <cell r="Z586">
            <v>1.25</v>
          </cell>
          <cell r="AA586">
            <v>1.1499999999999999</v>
          </cell>
          <cell r="AB586">
            <v>0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  <cell r="Y587">
            <v>1.3</v>
          </cell>
          <cell r="Z587">
            <v>1.3</v>
          </cell>
          <cell r="AA587">
            <v>1.1000000000000001</v>
          </cell>
          <cell r="AB587">
            <v>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  <cell r="Y588">
            <v>1.7</v>
          </cell>
          <cell r="Z588">
            <v>1.4</v>
          </cell>
          <cell r="AA588">
            <v>1</v>
          </cell>
          <cell r="AB588">
            <v>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  <cell r="Y589">
            <v>1.2</v>
          </cell>
          <cell r="Z589">
            <v>1.25</v>
          </cell>
          <cell r="AA589">
            <v>1.1499999999999999</v>
          </cell>
          <cell r="AB589">
            <v>0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  <cell r="Y590">
            <v>1.3</v>
          </cell>
          <cell r="Z590">
            <v>1.3</v>
          </cell>
          <cell r="AA590">
            <v>1.1000000000000001</v>
          </cell>
          <cell r="AB590">
            <v>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  <cell r="Y591">
            <v>1.7</v>
          </cell>
          <cell r="Z591">
            <v>1.4</v>
          </cell>
          <cell r="AA591">
            <v>1</v>
          </cell>
          <cell r="AB591">
            <v>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  <cell r="Y592">
            <v>1.2</v>
          </cell>
          <cell r="Z592">
            <v>1.25</v>
          </cell>
          <cell r="AA592">
            <v>1.1499999999999999</v>
          </cell>
          <cell r="AB592">
            <v>0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  <cell r="Y593">
            <v>1.3</v>
          </cell>
          <cell r="Z593">
            <v>1.3</v>
          </cell>
          <cell r="AA593">
            <v>1.1000000000000001</v>
          </cell>
          <cell r="AB593">
            <v>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  <cell r="Y594">
            <v>1.7</v>
          </cell>
          <cell r="Z594">
            <v>1.4</v>
          </cell>
          <cell r="AA594">
            <v>1</v>
          </cell>
          <cell r="AB594">
            <v>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  <cell r="Y595">
            <v>1.3</v>
          </cell>
          <cell r="Z595">
            <v>1.3</v>
          </cell>
          <cell r="AA595">
            <v>1.1000000000000001</v>
          </cell>
          <cell r="AB595">
            <v>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  <cell r="Y596">
            <v>1.7</v>
          </cell>
          <cell r="Z596">
            <v>1.4</v>
          </cell>
          <cell r="AA596">
            <v>1</v>
          </cell>
          <cell r="AB596">
            <v>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  <cell r="Y597">
            <v>1.2</v>
          </cell>
          <cell r="Z597">
            <v>1.25</v>
          </cell>
          <cell r="AA597">
            <v>1.1499999999999999</v>
          </cell>
          <cell r="AB597">
            <v>0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  <cell r="Y598">
            <v>1.3</v>
          </cell>
          <cell r="Z598">
            <v>1.3</v>
          </cell>
          <cell r="AA598">
            <v>1.1000000000000001</v>
          </cell>
          <cell r="AB598">
            <v>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  <cell r="Y599">
            <v>1.7</v>
          </cell>
          <cell r="Z599">
            <v>1.4</v>
          </cell>
          <cell r="AA599">
            <v>1</v>
          </cell>
          <cell r="AB599">
            <v>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  <cell r="Y600">
            <v>1.2</v>
          </cell>
          <cell r="Z600">
            <v>1.25</v>
          </cell>
          <cell r="AA600">
            <v>1.1499999999999999</v>
          </cell>
          <cell r="AB600">
            <v>0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  <cell r="Y601">
            <v>1.3</v>
          </cell>
          <cell r="Z601">
            <v>1.3</v>
          </cell>
          <cell r="AA601">
            <v>1.1000000000000001</v>
          </cell>
          <cell r="AB601">
            <v>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  <cell r="Y602">
            <v>1.7</v>
          </cell>
          <cell r="Z602">
            <v>1.4</v>
          </cell>
          <cell r="AA602">
            <v>1</v>
          </cell>
          <cell r="AB602">
            <v>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  <cell r="Y603">
            <v>1.3</v>
          </cell>
          <cell r="Z603">
            <v>1.3</v>
          </cell>
          <cell r="AA603">
            <v>1.1000000000000001</v>
          </cell>
          <cell r="AB603">
            <v>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  <cell r="Y604">
            <v>1.7</v>
          </cell>
          <cell r="Z604">
            <v>1.4</v>
          </cell>
          <cell r="AA604">
            <v>1</v>
          </cell>
          <cell r="AB604">
            <v>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  <cell r="Y605">
            <v>1.2</v>
          </cell>
          <cell r="Z605">
            <v>1.25</v>
          </cell>
          <cell r="AA605">
            <v>1.1499999999999999</v>
          </cell>
          <cell r="AB605">
            <v>0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  <cell r="Y606">
            <v>1.3</v>
          </cell>
          <cell r="Z606">
            <v>1.3</v>
          </cell>
          <cell r="AA606">
            <v>1.1000000000000001</v>
          </cell>
          <cell r="AB606">
            <v>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  <cell r="Y607">
            <v>1.7</v>
          </cell>
          <cell r="Z607">
            <v>1.4</v>
          </cell>
          <cell r="AA607">
            <v>1</v>
          </cell>
          <cell r="AB607">
            <v>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  <cell r="Y608">
            <v>1.1000000000000001</v>
          </cell>
          <cell r="Z608">
            <v>1.2</v>
          </cell>
          <cell r="AA608">
            <v>1.2</v>
          </cell>
          <cell r="AB608">
            <v>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  <cell r="Y609">
            <v>1.1000000000000001</v>
          </cell>
          <cell r="Z609">
            <v>1.2</v>
          </cell>
          <cell r="AA609">
            <v>1.2</v>
          </cell>
          <cell r="AB609">
            <v>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  <cell r="Y610">
            <v>1.1000000000000001</v>
          </cell>
          <cell r="Z610">
            <v>1.2</v>
          </cell>
          <cell r="AA610">
            <v>1.2</v>
          </cell>
          <cell r="AB610">
            <v>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  <cell r="Y611">
            <v>1.1000000000000001</v>
          </cell>
          <cell r="Z611">
            <v>1.2</v>
          </cell>
          <cell r="AA611">
            <v>1.2</v>
          </cell>
          <cell r="AB611">
            <v>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  <cell r="Y612">
            <v>1.1000000000000001</v>
          </cell>
          <cell r="Z612">
            <v>1.2</v>
          </cell>
          <cell r="AA612">
            <v>1.2</v>
          </cell>
          <cell r="AB612">
            <v>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  <cell r="Y613">
            <v>1.1000000000000001</v>
          </cell>
          <cell r="Z613">
            <v>1.2</v>
          </cell>
          <cell r="AA613">
            <v>1.2</v>
          </cell>
          <cell r="AB613">
            <v>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  <cell r="Y614">
            <v>1.1000000000000001</v>
          </cell>
          <cell r="Z614">
            <v>1.2</v>
          </cell>
          <cell r="AA614">
            <v>1.2</v>
          </cell>
          <cell r="AB614">
            <v>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  <cell r="Y615">
            <v>1.1000000000000001</v>
          </cell>
          <cell r="Z615">
            <v>1.2</v>
          </cell>
          <cell r="AA615">
            <v>1.2</v>
          </cell>
          <cell r="AB615">
            <v>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  <cell r="Y616">
            <v>1.7</v>
          </cell>
          <cell r="Z616">
            <v>1.4</v>
          </cell>
          <cell r="AA616">
            <v>1</v>
          </cell>
          <cell r="AB616">
            <v>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  <cell r="Y617">
            <v>1.7</v>
          </cell>
          <cell r="Z617">
            <v>1.4</v>
          </cell>
          <cell r="AA617">
            <v>1</v>
          </cell>
          <cell r="AB617">
            <v>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  <cell r="Y618">
            <v>1.7</v>
          </cell>
          <cell r="Z618">
            <v>1.4</v>
          </cell>
          <cell r="AA618">
            <v>1</v>
          </cell>
          <cell r="AB618">
            <v>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  <cell r="Y619">
            <v>1.7</v>
          </cell>
          <cell r="Z619">
            <v>1.4</v>
          </cell>
          <cell r="AA619">
            <v>1</v>
          </cell>
          <cell r="AB619">
            <v>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  <cell r="Y620">
            <v>1.3</v>
          </cell>
          <cell r="Z620">
            <v>1.3</v>
          </cell>
          <cell r="AA620">
            <v>1.1000000000000001</v>
          </cell>
          <cell r="AB620">
            <v>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  <cell r="Y621">
            <v>1.7</v>
          </cell>
          <cell r="Z621">
            <v>1.4</v>
          </cell>
          <cell r="AA621">
            <v>1</v>
          </cell>
          <cell r="AB621">
            <v>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  <cell r="Y622">
            <v>1.7</v>
          </cell>
          <cell r="Z622">
            <v>1.4</v>
          </cell>
          <cell r="AA622">
            <v>1</v>
          </cell>
          <cell r="AB622">
            <v>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  <cell r="Y623">
            <v>1.3</v>
          </cell>
          <cell r="Z623">
            <v>1.3</v>
          </cell>
          <cell r="AA623">
            <v>1.1000000000000001</v>
          </cell>
          <cell r="AB623">
            <v>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  <cell r="Y624">
            <v>1.7</v>
          </cell>
          <cell r="Z624">
            <v>1.4</v>
          </cell>
          <cell r="AA624">
            <v>1</v>
          </cell>
          <cell r="AB624">
            <v>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  <cell r="Y625">
            <v>1.7</v>
          </cell>
          <cell r="Z625">
            <v>1.4</v>
          </cell>
          <cell r="AA625">
            <v>1</v>
          </cell>
          <cell r="AB625">
            <v>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  <cell r="Y626">
            <v>1.3</v>
          </cell>
          <cell r="Z626">
            <v>1.3</v>
          </cell>
          <cell r="AA626">
            <v>1.1000000000000001</v>
          </cell>
          <cell r="AB626">
            <v>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  <cell r="Y627">
            <v>1.7</v>
          </cell>
          <cell r="Z627">
            <v>1.4</v>
          </cell>
          <cell r="AA627">
            <v>1</v>
          </cell>
          <cell r="AB627">
            <v>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  <cell r="Y628">
            <v>1.7</v>
          </cell>
          <cell r="Z628">
            <v>1.4</v>
          </cell>
          <cell r="AA628">
            <v>1</v>
          </cell>
          <cell r="AB628">
            <v>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  <cell r="Y629">
            <v>1.7</v>
          </cell>
          <cell r="Z629">
            <v>1.4</v>
          </cell>
          <cell r="AA629">
            <v>1</v>
          </cell>
          <cell r="AB629">
            <v>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  <cell r="Y630">
            <v>1.7</v>
          </cell>
          <cell r="Z630">
            <v>1.4</v>
          </cell>
          <cell r="AA630">
            <v>1</v>
          </cell>
          <cell r="AB630">
            <v>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  <cell r="Y631">
            <v>1.7</v>
          </cell>
          <cell r="Z631">
            <v>1.4</v>
          </cell>
          <cell r="AA631">
            <v>1</v>
          </cell>
          <cell r="AB631">
            <v>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  <cell r="Y632">
            <v>1.7</v>
          </cell>
          <cell r="Z632">
            <v>1.4</v>
          </cell>
          <cell r="AA632">
            <v>1</v>
          </cell>
          <cell r="AB632">
            <v>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  <cell r="Y633">
            <v>1.7</v>
          </cell>
          <cell r="Z633">
            <v>1.4</v>
          </cell>
          <cell r="AA633">
            <v>1</v>
          </cell>
          <cell r="AB633">
            <v>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  <cell r="Y634">
            <v>1.7</v>
          </cell>
          <cell r="Z634">
            <v>1.4</v>
          </cell>
          <cell r="AA634">
            <v>1</v>
          </cell>
          <cell r="AB634">
            <v>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  <cell r="Y635">
            <v>1.3</v>
          </cell>
          <cell r="Z635">
            <v>1.3</v>
          </cell>
          <cell r="AA635">
            <v>1.1000000000000001</v>
          </cell>
          <cell r="AB635">
            <v>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  <cell r="Y636">
            <v>1.7</v>
          </cell>
          <cell r="Z636">
            <v>1.4</v>
          </cell>
          <cell r="AA636">
            <v>1</v>
          </cell>
          <cell r="AB636">
            <v>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  <cell r="Y637">
            <v>1.2</v>
          </cell>
          <cell r="Z637">
            <v>1.25</v>
          </cell>
          <cell r="AA637">
            <v>1.1499999999999999</v>
          </cell>
          <cell r="AB637">
            <v>0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  <cell r="Y638">
            <v>1.3</v>
          </cell>
          <cell r="Z638">
            <v>1.3</v>
          </cell>
          <cell r="AA638">
            <v>1.1000000000000001</v>
          </cell>
          <cell r="AB638">
            <v>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  <cell r="Y639">
            <v>1.7</v>
          </cell>
          <cell r="Z639">
            <v>1.4</v>
          </cell>
          <cell r="AA639">
            <v>1</v>
          </cell>
          <cell r="AB639">
            <v>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  <cell r="Y640">
            <v>1.3</v>
          </cell>
          <cell r="Z640">
            <v>1.3</v>
          </cell>
          <cell r="AA640">
            <v>1.1000000000000001</v>
          </cell>
          <cell r="AB640">
            <v>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  <cell r="Y641">
            <v>1.3</v>
          </cell>
          <cell r="Z641">
            <v>1.3</v>
          </cell>
          <cell r="AA641">
            <v>1.1000000000000001</v>
          </cell>
          <cell r="AB641">
            <v>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  <cell r="Y642">
            <v>1.3</v>
          </cell>
          <cell r="Z642">
            <v>1.3</v>
          </cell>
          <cell r="AA642">
            <v>1.1000000000000001</v>
          </cell>
          <cell r="AB642">
            <v>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  <cell r="Y643">
            <v>1.3</v>
          </cell>
          <cell r="Z643">
            <v>1.3</v>
          </cell>
          <cell r="AA643">
            <v>1.1000000000000001</v>
          </cell>
          <cell r="AB643">
            <v>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  <cell r="Y644">
            <v>1.7</v>
          </cell>
          <cell r="Z644">
            <v>1.4</v>
          </cell>
          <cell r="AA644">
            <v>1</v>
          </cell>
          <cell r="AB644">
            <v>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  <cell r="Y645">
            <v>1.3</v>
          </cell>
          <cell r="Z645">
            <v>1.3</v>
          </cell>
          <cell r="AA645">
            <v>1.1000000000000001</v>
          </cell>
          <cell r="AB645">
            <v>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  <cell r="Y646">
            <v>1.7</v>
          </cell>
          <cell r="Z646">
            <v>1.4</v>
          </cell>
          <cell r="AA646">
            <v>1</v>
          </cell>
          <cell r="AB646">
            <v>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  <cell r="Y647">
            <v>1.3</v>
          </cell>
          <cell r="Z647">
            <v>1.3</v>
          </cell>
          <cell r="AA647">
            <v>1.1000000000000001</v>
          </cell>
          <cell r="AB647">
            <v>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  <cell r="Y648">
            <v>1.7</v>
          </cell>
          <cell r="Z648">
            <v>1.4</v>
          </cell>
          <cell r="AA648">
            <v>1</v>
          </cell>
          <cell r="AB648">
            <v>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  <cell r="Y649">
            <v>1.3</v>
          </cell>
          <cell r="Z649">
            <v>1.3</v>
          </cell>
          <cell r="AA649">
            <v>1.1000000000000001</v>
          </cell>
          <cell r="AB649">
            <v>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  <cell r="Y650">
            <v>1.7</v>
          </cell>
          <cell r="Z650">
            <v>1.4</v>
          </cell>
          <cell r="AA650">
            <v>1</v>
          </cell>
          <cell r="AB650">
            <v>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  <cell r="Y651">
            <v>1.3</v>
          </cell>
          <cell r="Z651">
            <v>1.3</v>
          </cell>
          <cell r="AA651">
            <v>1.1000000000000001</v>
          </cell>
          <cell r="AB651">
            <v>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  <cell r="Y652">
            <v>1.7</v>
          </cell>
          <cell r="Z652">
            <v>1.4</v>
          </cell>
          <cell r="AA652">
            <v>1</v>
          </cell>
          <cell r="AB652">
            <v>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  <cell r="Y653">
            <v>1.3</v>
          </cell>
          <cell r="Z653">
            <v>1.3</v>
          </cell>
          <cell r="AA653">
            <v>1.1000000000000001</v>
          </cell>
          <cell r="AB653">
            <v>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  <cell r="Y654">
            <v>1.7</v>
          </cell>
          <cell r="Z654">
            <v>1.4</v>
          </cell>
          <cell r="AA654">
            <v>1</v>
          </cell>
          <cell r="AB654">
            <v>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  <cell r="Y655">
            <v>1.3</v>
          </cell>
          <cell r="Z655">
            <v>1.3</v>
          </cell>
          <cell r="AA655">
            <v>1.1000000000000001</v>
          </cell>
          <cell r="AB655">
            <v>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  <cell r="Y656">
            <v>1.7</v>
          </cell>
          <cell r="Z656">
            <v>1.4</v>
          </cell>
          <cell r="AA656">
            <v>1</v>
          </cell>
          <cell r="AB656">
            <v>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  <cell r="Y657">
            <v>1.3</v>
          </cell>
          <cell r="Z657">
            <v>1.3</v>
          </cell>
          <cell r="AA657">
            <v>1.1000000000000001</v>
          </cell>
          <cell r="AB657">
            <v>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  <cell r="Y658">
            <v>1.7</v>
          </cell>
          <cell r="Z658">
            <v>1.4</v>
          </cell>
          <cell r="AA658">
            <v>1</v>
          </cell>
          <cell r="AB658">
            <v>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  <cell r="Y659">
            <v>1.3</v>
          </cell>
          <cell r="Z659">
            <v>1.3</v>
          </cell>
          <cell r="AA659">
            <v>1.1000000000000001</v>
          </cell>
          <cell r="AB659">
            <v>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  <cell r="Y660">
            <v>1.7</v>
          </cell>
          <cell r="Z660">
            <v>1.4</v>
          </cell>
          <cell r="AA660">
            <v>1</v>
          </cell>
          <cell r="AB660">
            <v>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  <cell r="Y661">
            <v>1.3</v>
          </cell>
          <cell r="Z661">
            <v>1.3</v>
          </cell>
          <cell r="AA661">
            <v>1.1000000000000001</v>
          </cell>
          <cell r="AB661">
            <v>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  <cell r="Y662">
            <v>1.7</v>
          </cell>
          <cell r="Z662">
            <v>1.4</v>
          </cell>
          <cell r="AA662">
            <v>1</v>
          </cell>
          <cell r="AB662">
            <v>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  <cell r="Y663">
            <v>1.2</v>
          </cell>
          <cell r="Z663">
            <v>1.25</v>
          </cell>
          <cell r="AA663">
            <v>1.1499999999999999</v>
          </cell>
          <cell r="AB663">
            <v>0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  <cell r="Y664">
            <v>1.3</v>
          </cell>
          <cell r="Z664">
            <v>1.3</v>
          </cell>
          <cell r="AA664">
            <v>1.1000000000000001</v>
          </cell>
          <cell r="AB664">
            <v>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  <cell r="Y665">
            <v>1.7</v>
          </cell>
          <cell r="Z665">
            <v>1.4</v>
          </cell>
          <cell r="AA665">
            <v>1</v>
          </cell>
          <cell r="AB665">
            <v>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  <cell r="Y666">
            <v>1.2</v>
          </cell>
          <cell r="Z666">
            <v>1.25</v>
          </cell>
          <cell r="AA666">
            <v>1.1499999999999999</v>
          </cell>
          <cell r="AB666">
            <v>0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  <cell r="Y667">
            <v>1.3</v>
          </cell>
          <cell r="Z667">
            <v>1.3</v>
          </cell>
          <cell r="AA667">
            <v>1.1000000000000001</v>
          </cell>
          <cell r="AB667">
            <v>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  <cell r="Y668">
            <v>1.7</v>
          </cell>
          <cell r="Z668">
            <v>1.4</v>
          </cell>
          <cell r="AA668">
            <v>1</v>
          </cell>
          <cell r="AB668">
            <v>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  <cell r="Y669">
            <v>1.2</v>
          </cell>
          <cell r="Z669">
            <v>1.25</v>
          </cell>
          <cell r="AA669">
            <v>1.1499999999999999</v>
          </cell>
          <cell r="AB669">
            <v>0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  <cell r="Y670">
            <v>1.3</v>
          </cell>
          <cell r="Z670">
            <v>1.3</v>
          </cell>
          <cell r="AA670">
            <v>1.1000000000000001</v>
          </cell>
          <cell r="AB670">
            <v>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  <cell r="Y671">
            <v>1.7</v>
          </cell>
          <cell r="Z671">
            <v>1.4</v>
          </cell>
          <cell r="AA671">
            <v>1</v>
          </cell>
          <cell r="AB671">
            <v>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  <cell r="Y672">
            <v>1.2</v>
          </cell>
          <cell r="Z672">
            <v>1.25</v>
          </cell>
          <cell r="AA672">
            <v>1.1499999999999999</v>
          </cell>
          <cell r="AB672">
            <v>0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  <cell r="Y673">
            <v>1.3</v>
          </cell>
          <cell r="Z673">
            <v>1.3</v>
          </cell>
          <cell r="AA673">
            <v>1.1000000000000001</v>
          </cell>
          <cell r="AB673">
            <v>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  <cell r="Y674">
            <v>1.7</v>
          </cell>
          <cell r="Z674">
            <v>1.4</v>
          </cell>
          <cell r="AA674">
            <v>1</v>
          </cell>
          <cell r="AB674">
            <v>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  <cell r="Y675">
            <v>1.3</v>
          </cell>
          <cell r="Z675">
            <v>1.3</v>
          </cell>
          <cell r="AA675">
            <v>1.1000000000000001</v>
          </cell>
          <cell r="AB675">
            <v>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  <cell r="Y676">
            <v>1.7</v>
          </cell>
          <cell r="Z676">
            <v>1.4</v>
          </cell>
          <cell r="AA676">
            <v>1</v>
          </cell>
          <cell r="AB676">
            <v>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  <cell r="Y677">
            <v>1.3</v>
          </cell>
          <cell r="Z677">
            <v>1.3</v>
          </cell>
          <cell r="AA677">
            <v>1.1000000000000001</v>
          </cell>
          <cell r="AB677">
            <v>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  <cell r="Y678">
            <v>1.7</v>
          </cell>
          <cell r="Z678">
            <v>1.4</v>
          </cell>
          <cell r="AA678">
            <v>1</v>
          </cell>
          <cell r="AB678">
            <v>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  <cell r="Y679">
            <v>1.3</v>
          </cell>
          <cell r="Z679">
            <v>1.3</v>
          </cell>
          <cell r="AA679">
            <v>1.1000000000000001</v>
          </cell>
          <cell r="AB679">
            <v>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  <cell r="Y680">
            <v>1.7</v>
          </cell>
          <cell r="Z680">
            <v>1.4</v>
          </cell>
          <cell r="AA680">
            <v>1</v>
          </cell>
          <cell r="AB680">
            <v>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  <cell r="Y681">
            <v>1.3</v>
          </cell>
          <cell r="Z681">
            <v>1.3</v>
          </cell>
          <cell r="AA681">
            <v>1.1000000000000001</v>
          </cell>
          <cell r="AB681">
            <v>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  <cell r="Y682">
            <v>1.3</v>
          </cell>
          <cell r="Z682">
            <v>1.3</v>
          </cell>
          <cell r="AA682">
            <v>1.1000000000000001</v>
          </cell>
          <cell r="AB682">
            <v>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  <cell r="Y683">
            <v>1.3</v>
          </cell>
          <cell r="Z683">
            <v>1.3</v>
          </cell>
          <cell r="AA683">
            <v>1.1000000000000001</v>
          </cell>
          <cell r="AB683">
            <v>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  <cell r="Y684">
            <v>1.3</v>
          </cell>
          <cell r="Z684">
            <v>1.3</v>
          </cell>
          <cell r="AA684">
            <v>1.1000000000000001</v>
          </cell>
          <cell r="AB684">
            <v>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  <cell r="Y685">
            <v>1.3</v>
          </cell>
          <cell r="Z685">
            <v>1.3</v>
          </cell>
          <cell r="AA685">
            <v>1.1000000000000001</v>
          </cell>
          <cell r="AB685">
            <v>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  <cell r="Y686">
            <v>1.3</v>
          </cell>
          <cell r="Z686">
            <v>1.3</v>
          </cell>
          <cell r="AA686">
            <v>1.1000000000000001</v>
          </cell>
          <cell r="AB686">
            <v>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  <cell r="Y687">
            <v>1.3</v>
          </cell>
          <cell r="Z687">
            <v>1.3</v>
          </cell>
          <cell r="AA687">
            <v>1.1000000000000001</v>
          </cell>
          <cell r="AB687">
            <v>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  <cell r="Y688">
            <v>1.3</v>
          </cell>
          <cell r="Z688">
            <v>1.3</v>
          </cell>
          <cell r="AA688">
            <v>1.1000000000000001</v>
          </cell>
          <cell r="AB688">
            <v>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  <cell r="Y689">
            <v>1.3</v>
          </cell>
          <cell r="Z689">
            <v>1.3</v>
          </cell>
          <cell r="AA689">
            <v>1.1000000000000001</v>
          </cell>
          <cell r="AB689">
            <v>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  <cell r="Y690">
            <v>1.7</v>
          </cell>
          <cell r="Z690">
            <v>1.4</v>
          </cell>
          <cell r="AA690">
            <v>1</v>
          </cell>
          <cell r="AB690">
            <v>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  <cell r="Y691">
            <v>1.7</v>
          </cell>
          <cell r="Z691">
            <v>1.4</v>
          </cell>
          <cell r="AA691">
            <v>1</v>
          </cell>
          <cell r="AB691">
            <v>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  <cell r="Y692">
            <v>1.3</v>
          </cell>
          <cell r="Z692">
            <v>1.3</v>
          </cell>
          <cell r="AA692">
            <v>1.1000000000000001</v>
          </cell>
          <cell r="AB692">
            <v>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  <cell r="Y693">
            <v>1.7</v>
          </cell>
          <cell r="Z693">
            <v>1.4</v>
          </cell>
          <cell r="AA693">
            <v>1</v>
          </cell>
          <cell r="AB693">
            <v>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  <cell r="Y694">
            <v>1.3</v>
          </cell>
          <cell r="Z694">
            <v>1.3</v>
          </cell>
          <cell r="AA694">
            <v>1.1000000000000001</v>
          </cell>
          <cell r="AB694">
            <v>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  <cell r="Y695">
            <v>1.7</v>
          </cell>
          <cell r="Z695">
            <v>1.4</v>
          </cell>
          <cell r="AA695">
            <v>1</v>
          </cell>
          <cell r="AB695">
            <v>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  <cell r="Y696">
            <v>1.2</v>
          </cell>
          <cell r="Z696">
            <v>1.25</v>
          </cell>
          <cell r="AA696">
            <v>1.1499999999999999</v>
          </cell>
          <cell r="AB696">
            <v>0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  <cell r="Y697">
            <v>1.3</v>
          </cell>
          <cell r="Z697">
            <v>1.3</v>
          </cell>
          <cell r="AA697">
            <v>1.1000000000000001</v>
          </cell>
          <cell r="AB697">
            <v>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  <cell r="Y698">
            <v>1.7</v>
          </cell>
          <cell r="Z698">
            <v>1.4</v>
          </cell>
          <cell r="AA698">
            <v>1</v>
          </cell>
          <cell r="AB698">
            <v>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  <cell r="Y699">
            <v>1.7</v>
          </cell>
          <cell r="Z699">
            <v>1.4</v>
          </cell>
          <cell r="AA699">
            <v>1</v>
          </cell>
          <cell r="AB699">
            <v>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  <cell r="Y700">
            <v>1.7</v>
          </cell>
          <cell r="Z700">
            <v>1.4</v>
          </cell>
          <cell r="AA700">
            <v>1</v>
          </cell>
          <cell r="AB700">
            <v>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  <cell r="Y701">
            <v>1.7</v>
          </cell>
          <cell r="Z701">
            <v>1.4</v>
          </cell>
          <cell r="AA701">
            <v>1</v>
          </cell>
          <cell r="AB701">
            <v>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  <cell r="Y702">
            <v>1.7</v>
          </cell>
          <cell r="Z702">
            <v>1.4</v>
          </cell>
          <cell r="AA702">
            <v>1</v>
          </cell>
          <cell r="AB702">
            <v>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  <cell r="Y703">
            <v>1.3</v>
          </cell>
          <cell r="Z703">
            <v>1.3</v>
          </cell>
          <cell r="AA703">
            <v>1.1000000000000001</v>
          </cell>
          <cell r="AB703">
            <v>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  <cell r="Y704">
            <v>1.7</v>
          </cell>
          <cell r="Z704">
            <v>1.4</v>
          </cell>
          <cell r="AA704">
            <v>1</v>
          </cell>
          <cell r="AB704">
            <v>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  <cell r="Y705">
            <v>1.2</v>
          </cell>
          <cell r="Z705">
            <v>1.25</v>
          </cell>
          <cell r="AA705">
            <v>1.1499999999999999</v>
          </cell>
          <cell r="AB705">
            <v>0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  <cell r="Y706">
            <v>1.3</v>
          </cell>
          <cell r="Z706">
            <v>1.3</v>
          </cell>
          <cell r="AA706">
            <v>1.1000000000000001</v>
          </cell>
          <cell r="AB706">
            <v>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  <cell r="Y707">
            <v>1.3</v>
          </cell>
          <cell r="Z707">
            <v>1.3</v>
          </cell>
          <cell r="AA707">
            <v>1.1000000000000001</v>
          </cell>
          <cell r="AB707">
            <v>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  <cell r="Y708">
            <v>1.7</v>
          </cell>
          <cell r="Z708">
            <v>1.4</v>
          </cell>
          <cell r="AA708">
            <v>1</v>
          </cell>
          <cell r="AB708">
            <v>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  <cell r="Y709">
            <v>1.2</v>
          </cell>
          <cell r="Z709">
            <v>1.25</v>
          </cell>
          <cell r="AA709">
            <v>1.1499999999999999</v>
          </cell>
          <cell r="AB709">
            <v>0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  <cell r="Y710">
            <v>1.3</v>
          </cell>
          <cell r="Z710">
            <v>1.3</v>
          </cell>
          <cell r="AA710">
            <v>1.1000000000000001</v>
          </cell>
          <cell r="AB710">
            <v>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  <cell r="Y711">
            <v>1.2</v>
          </cell>
          <cell r="Z711">
            <v>1.25</v>
          </cell>
          <cell r="AA711">
            <v>1.1499999999999999</v>
          </cell>
          <cell r="AB711">
            <v>0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  <cell r="Y712">
            <v>1.3</v>
          </cell>
          <cell r="Z712">
            <v>1.3</v>
          </cell>
          <cell r="AA712">
            <v>1.1000000000000001</v>
          </cell>
          <cell r="AB712">
            <v>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  <cell r="Y713">
            <v>1.7</v>
          </cell>
          <cell r="Z713">
            <v>1.4</v>
          </cell>
          <cell r="AA713">
            <v>1</v>
          </cell>
          <cell r="AB713">
            <v>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  <cell r="Y714">
            <v>1.7</v>
          </cell>
          <cell r="Z714">
            <v>1.4</v>
          </cell>
          <cell r="AA714">
            <v>1</v>
          </cell>
          <cell r="AB714">
            <v>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  <cell r="Y715">
            <v>1.2</v>
          </cell>
          <cell r="Z715">
            <v>1.25</v>
          </cell>
          <cell r="AA715">
            <v>1.1499999999999999</v>
          </cell>
          <cell r="AB715">
            <v>0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  <cell r="Y716">
            <v>1.3</v>
          </cell>
          <cell r="Z716">
            <v>1.3</v>
          </cell>
          <cell r="AA716">
            <v>1.1000000000000001</v>
          </cell>
          <cell r="AB716">
            <v>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  <cell r="Y717">
            <v>1.7</v>
          </cell>
          <cell r="Z717">
            <v>1.4</v>
          </cell>
          <cell r="AA717">
            <v>1</v>
          </cell>
          <cell r="AB717">
            <v>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  <cell r="Y718">
            <v>1.7</v>
          </cell>
          <cell r="Z718">
            <v>1.4</v>
          </cell>
          <cell r="AA718">
            <v>1</v>
          </cell>
          <cell r="AB718">
            <v>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  <cell r="Y719">
            <v>1.3</v>
          </cell>
          <cell r="Z719">
            <v>1.3</v>
          </cell>
          <cell r="AA719">
            <v>1.1000000000000001</v>
          </cell>
          <cell r="AB719">
            <v>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  <cell r="Y720">
            <v>1.7</v>
          </cell>
          <cell r="Z720">
            <v>1.4</v>
          </cell>
          <cell r="AA720">
            <v>1</v>
          </cell>
          <cell r="AB720">
            <v>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  <cell r="Y721">
            <v>1.3</v>
          </cell>
          <cell r="Z721">
            <v>1.3</v>
          </cell>
          <cell r="AA721">
            <v>1.1000000000000001</v>
          </cell>
          <cell r="AB721">
            <v>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  <cell r="Y722">
            <v>1.7</v>
          </cell>
          <cell r="Z722">
            <v>1.4</v>
          </cell>
          <cell r="AA722">
            <v>1</v>
          </cell>
          <cell r="AB722">
            <v>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  <cell r="Y723">
            <v>1.3</v>
          </cell>
          <cell r="Z723">
            <v>1.3</v>
          </cell>
          <cell r="AA723">
            <v>1.1000000000000001</v>
          </cell>
          <cell r="AB723">
            <v>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  <cell r="Y724">
            <v>1.7</v>
          </cell>
          <cell r="Z724">
            <v>1.4</v>
          </cell>
          <cell r="AA724">
            <v>1</v>
          </cell>
          <cell r="AB724">
            <v>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  <cell r="Y725">
            <v>1.7</v>
          </cell>
          <cell r="Z725">
            <v>1.4</v>
          </cell>
          <cell r="AA725">
            <v>1</v>
          </cell>
          <cell r="AB725">
            <v>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  <cell r="Y726">
            <v>1.7</v>
          </cell>
          <cell r="Z726">
            <v>1.4</v>
          </cell>
          <cell r="AA726">
            <v>1</v>
          </cell>
          <cell r="AB726">
            <v>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  <cell r="Y727">
            <v>1.7</v>
          </cell>
          <cell r="Z727">
            <v>1.4</v>
          </cell>
          <cell r="AA727">
            <v>1</v>
          </cell>
          <cell r="AB727">
            <v>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  <cell r="Y728">
            <v>1.7</v>
          </cell>
          <cell r="Z728">
            <v>1.4</v>
          </cell>
          <cell r="AA728">
            <v>1</v>
          </cell>
          <cell r="AB728">
            <v>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  <cell r="Y729">
            <v>1.3</v>
          </cell>
          <cell r="Z729">
            <v>1.3</v>
          </cell>
          <cell r="AA729">
            <v>1.1000000000000001</v>
          </cell>
          <cell r="AB729">
            <v>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  <cell r="Y730">
            <v>1.7</v>
          </cell>
          <cell r="Z730">
            <v>1.4</v>
          </cell>
          <cell r="AA730">
            <v>1</v>
          </cell>
          <cell r="AB730">
            <v>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  <cell r="Y731">
            <v>1.3</v>
          </cell>
          <cell r="Z731">
            <v>1.3</v>
          </cell>
          <cell r="AA731">
            <v>1.1000000000000001</v>
          </cell>
          <cell r="AB731">
            <v>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  <cell r="Y732">
            <v>1.7</v>
          </cell>
          <cell r="Z732">
            <v>1.4</v>
          </cell>
          <cell r="AA732">
            <v>1</v>
          </cell>
          <cell r="AB732">
            <v>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  <cell r="Y733">
            <v>1.7</v>
          </cell>
          <cell r="Z733">
            <v>1.4</v>
          </cell>
          <cell r="AA733">
            <v>1</v>
          </cell>
          <cell r="AB733">
            <v>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  <cell r="Y734">
            <v>1.7</v>
          </cell>
          <cell r="Z734">
            <v>1.4</v>
          </cell>
          <cell r="AA734">
            <v>1</v>
          </cell>
          <cell r="AB734">
            <v>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  <cell r="Y735">
            <v>1.7</v>
          </cell>
          <cell r="Z735">
            <v>1.4</v>
          </cell>
          <cell r="AA735">
            <v>1</v>
          </cell>
          <cell r="AB735">
            <v>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  <cell r="Y736">
            <v>1.7</v>
          </cell>
          <cell r="Z736">
            <v>1.4</v>
          </cell>
          <cell r="AA736">
            <v>1</v>
          </cell>
          <cell r="AB736">
            <v>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  <cell r="Y737">
            <v>1.3</v>
          </cell>
          <cell r="Z737">
            <v>1.3</v>
          </cell>
          <cell r="AA737">
            <v>1.1000000000000001</v>
          </cell>
          <cell r="AB737">
            <v>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  <cell r="Y738">
            <v>1.7</v>
          </cell>
          <cell r="Z738">
            <v>1.4</v>
          </cell>
          <cell r="AA738">
            <v>1</v>
          </cell>
          <cell r="AB738">
            <v>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  <cell r="Y739">
            <v>1.3</v>
          </cell>
          <cell r="Z739">
            <v>1.3</v>
          </cell>
          <cell r="AA739">
            <v>1.1000000000000001</v>
          </cell>
          <cell r="AB739">
            <v>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  <cell r="Y740">
            <v>1.7</v>
          </cell>
          <cell r="Z740">
            <v>1.4</v>
          </cell>
          <cell r="AA740">
            <v>1</v>
          </cell>
          <cell r="AB740">
            <v>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  <cell r="Y741">
            <v>1.7</v>
          </cell>
          <cell r="Z741">
            <v>1.4</v>
          </cell>
          <cell r="AA741">
            <v>1</v>
          </cell>
          <cell r="AB741">
            <v>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  <cell r="Y742">
            <v>1.7</v>
          </cell>
          <cell r="Z742">
            <v>1.4</v>
          </cell>
          <cell r="AA742">
            <v>1</v>
          </cell>
          <cell r="AB742">
            <v>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  <cell r="Y743">
            <v>1.7</v>
          </cell>
          <cell r="Z743">
            <v>1.4</v>
          </cell>
          <cell r="AA743">
            <v>1</v>
          </cell>
          <cell r="AB743">
            <v>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  <cell r="Y744">
            <v>1.7</v>
          </cell>
          <cell r="Z744">
            <v>1.4</v>
          </cell>
          <cell r="AA744">
            <v>1</v>
          </cell>
          <cell r="AB744">
            <v>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  <cell r="Y745">
            <v>1.7</v>
          </cell>
          <cell r="Z745">
            <v>1.4</v>
          </cell>
          <cell r="AA745">
            <v>1</v>
          </cell>
          <cell r="AB745">
            <v>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  <cell r="Y746">
            <v>1.7</v>
          </cell>
          <cell r="Z746">
            <v>1.4</v>
          </cell>
          <cell r="AA746">
            <v>1</v>
          </cell>
          <cell r="AB746">
            <v>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  <cell r="Y747">
            <v>1.3</v>
          </cell>
          <cell r="Z747">
            <v>1.3</v>
          </cell>
          <cell r="AA747">
            <v>1.1000000000000001</v>
          </cell>
          <cell r="AB747">
            <v>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  <cell r="Y748">
            <v>1.7</v>
          </cell>
          <cell r="Z748">
            <v>1.4</v>
          </cell>
          <cell r="AA748">
            <v>1</v>
          </cell>
          <cell r="AB748">
            <v>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  <cell r="Y749">
            <v>1.3</v>
          </cell>
          <cell r="Z749">
            <v>1.3</v>
          </cell>
          <cell r="AA749">
            <v>1.1000000000000001</v>
          </cell>
          <cell r="AB749">
            <v>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  <cell r="Y750">
            <v>1.7</v>
          </cell>
          <cell r="Z750">
            <v>1.4</v>
          </cell>
          <cell r="AA750">
            <v>1</v>
          </cell>
          <cell r="AB750">
            <v>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  <cell r="Y751">
            <v>1.7</v>
          </cell>
          <cell r="Z751">
            <v>1.4</v>
          </cell>
          <cell r="AA751">
            <v>1</v>
          </cell>
          <cell r="AB751">
            <v>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  <cell r="Y752">
            <v>1.7</v>
          </cell>
          <cell r="Z752">
            <v>1.4</v>
          </cell>
          <cell r="AA752">
            <v>1</v>
          </cell>
          <cell r="AB752">
            <v>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  <cell r="Y753">
            <v>1.7</v>
          </cell>
          <cell r="Z753">
            <v>1.4</v>
          </cell>
          <cell r="AA753">
            <v>1</v>
          </cell>
          <cell r="AB753">
            <v>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  <cell r="Y754">
            <v>1.7</v>
          </cell>
          <cell r="Z754">
            <v>1.4</v>
          </cell>
          <cell r="AA754">
            <v>1</v>
          </cell>
          <cell r="AB754">
            <v>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  <cell r="Y755">
            <v>1.7</v>
          </cell>
          <cell r="Z755">
            <v>1.4</v>
          </cell>
          <cell r="AA755">
            <v>1</v>
          </cell>
          <cell r="AB755">
            <v>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  <cell r="Y756">
            <v>1.7</v>
          </cell>
          <cell r="Z756">
            <v>1.4</v>
          </cell>
          <cell r="AA756">
            <v>1</v>
          </cell>
          <cell r="AB756">
            <v>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  <cell r="Y757">
            <v>1.7</v>
          </cell>
          <cell r="Z757">
            <v>1.4</v>
          </cell>
          <cell r="AA757">
            <v>1</v>
          </cell>
          <cell r="AB757">
            <v>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  <cell r="Y758">
            <v>1.7</v>
          </cell>
          <cell r="Z758">
            <v>1.4</v>
          </cell>
          <cell r="AA758">
            <v>1</v>
          </cell>
          <cell r="AB758">
            <v>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  <cell r="Y759">
            <v>1.7</v>
          </cell>
          <cell r="Z759">
            <v>1.4</v>
          </cell>
          <cell r="AA759">
            <v>1</v>
          </cell>
          <cell r="AB759">
            <v>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  <cell r="Y760">
            <v>1.7</v>
          </cell>
          <cell r="Z760">
            <v>1.4</v>
          </cell>
          <cell r="AA760">
            <v>1</v>
          </cell>
          <cell r="AB760">
            <v>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  <cell r="Y761">
            <v>1.7</v>
          </cell>
          <cell r="Z761">
            <v>1.4</v>
          </cell>
          <cell r="AA761">
            <v>1</v>
          </cell>
          <cell r="AB761">
            <v>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  <cell r="Y762">
            <v>1.7</v>
          </cell>
          <cell r="Z762">
            <v>1.4</v>
          </cell>
          <cell r="AA762">
            <v>1</v>
          </cell>
          <cell r="AB762">
            <v>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  <cell r="Y763">
            <v>1.7</v>
          </cell>
          <cell r="Z763">
            <v>1.4</v>
          </cell>
          <cell r="AA763">
            <v>1</v>
          </cell>
          <cell r="AB763">
            <v>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  <cell r="Y764">
            <v>1.7</v>
          </cell>
          <cell r="Z764">
            <v>1.4</v>
          </cell>
          <cell r="AA764">
            <v>1</v>
          </cell>
          <cell r="AB764">
            <v>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  <cell r="Y765">
            <v>1.3</v>
          </cell>
          <cell r="Z765">
            <v>1.3</v>
          </cell>
          <cell r="AA765">
            <v>1.1000000000000001</v>
          </cell>
          <cell r="AB765">
            <v>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  <cell r="Y766">
            <v>1.7</v>
          </cell>
          <cell r="Z766">
            <v>1.4</v>
          </cell>
          <cell r="AA766">
            <v>1</v>
          </cell>
          <cell r="AB766">
            <v>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  <cell r="Y767">
            <v>1.3</v>
          </cell>
          <cell r="Z767">
            <v>1.3</v>
          </cell>
          <cell r="AA767">
            <v>1.1000000000000001</v>
          </cell>
          <cell r="AB767">
            <v>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  <cell r="Y768">
            <v>1.7</v>
          </cell>
          <cell r="Z768">
            <v>1.4</v>
          </cell>
          <cell r="AA768">
            <v>1</v>
          </cell>
          <cell r="AB768">
            <v>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  <cell r="Y769">
            <v>1.3</v>
          </cell>
          <cell r="Z769">
            <v>1.3</v>
          </cell>
          <cell r="AA769">
            <v>1.1000000000000001</v>
          </cell>
          <cell r="AB769">
            <v>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  <cell r="Y770">
            <v>1.7</v>
          </cell>
          <cell r="Z770">
            <v>1.4</v>
          </cell>
          <cell r="AA770">
            <v>1</v>
          </cell>
          <cell r="AB770">
            <v>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  <cell r="Y771">
            <v>1.3</v>
          </cell>
          <cell r="Z771">
            <v>1.3</v>
          </cell>
          <cell r="AA771">
            <v>1.1000000000000001</v>
          </cell>
          <cell r="AB771">
            <v>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  <cell r="Y772">
            <v>1.7</v>
          </cell>
          <cell r="Z772">
            <v>1.4</v>
          </cell>
          <cell r="AA772">
            <v>1</v>
          </cell>
          <cell r="AB772">
            <v>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  <cell r="Y773">
            <v>1.3</v>
          </cell>
          <cell r="Z773">
            <v>1.3</v>
          </cell>
          <cell r="AA773">
            <v>1.1000000000000001</v>
          </cell>
          <cell r="AB773">
            <v>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  <cell r="Y774">
            <v>1.7</v>
          </cell>
          <cell r="Z774">
            <v>1.4</v>
          </cell>
          <cell r="AA774">
            <v>1</v>
          </cell>
          <cell r="AB774">
            <v>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  <cell r="Y775">
            <v>1.2</v>
          </cell>
          <cell r="Z775">
            <v>1.25</v>
          </cell>
          <cell r="AA775">
            <v>1.1499999999999999</v>
          </cell>
          <cell r="AB775">
            <v>0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  <cell r="Y776">
            <v>1.3</v>
          </cell>
          <cell r="Z776">
            <v>1.3</v>
          </cell>
          <cell r="AA776">
            <v>1.1000000000000001</v>
          </cell>
          <cell r="AB776">
            <v>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  <cell r="Y777">
            <v>1.7</v>
          </cell>
          <cell r="Z777">
            <v>1.4</v>
          </cell>
          <cell r="AA777">
            <v>1</v>
          </cell>
          <cell r="AB777">
            <v>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  <cell r="Y778">
            <v>1.2</v>
          </cell>
          <cell r="Z778">
            <v>1.25</v>
          </cell>
          <cell r="AA778">
            <v>1.1499999999999999</v>
          </cell>
          <cell r="AB778">
            <v>0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  <cell r="Y779">
            <v>1.3</v>
          </cell>
          <cell r="Z779">
            <v>1.3</v>
          </cell>
          <cell r="AA779">
            <v>1.1000000000000001</v>
          </cell>
          <cell r="AB779">
            <v>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  <cell r="Y780">
            <v>1.7</v>
          </cell>
          <cell r="Z780">
            <v>1.4</v>
          </cell>
          <cell r="AA780">
            <v>1</v>
          </cell>
          <cell r="AB780">
            <v>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  <cell r="Y781">
            <v>1.7</v>
          </cell>
          <cell r="Z781">
            <v>1.4</v>
          </cell>
          <cell r="AA781">
            <v>1</v>
          </cell>
          <cell r="AB781">
            <v>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  <cell r="Y782">
            <v>1.7</v>
          </cell>
          <cell r="Z782">
            <v>1.4</v>
          </cell>
          <cell r="AA782">
            <v>1</v>
          </cell>
          <cell r="AB782">
            <v>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  <cell r="Y783">
            <v>1.7</v>
          </cell>
          <cell r="Z783">
            <v>1.4</v>
          </cell>
          <cell r="AA783">
            <v>1</v>
          </cell>
          <cell r="AB783">
            <v>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  <cell r="Y784">
            <v>1.7</v>
          </cell>
          <cell r="Z784">
            <v>1.4</v>
          </cell>
          <cell r="AA784">
            <v>1</v>
          </cell>
          <cell r="AB784">
            <v>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  <cell r="Y785">
            <v>1.7</v>
          </cell>
          <cell r="Z785">
            <v>1.4</v>
          </cell>
          <cell r="AA785">
            <v>1</v>
          </cell>
          <cell r="AB785">
            <v>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  <cell r="Y786">
            <v>1.7</v>
          </cell>
          <cell r="Z786">
            <v>1.4</v>
          </cell>
          <cell r="AA786">
            <v>1</v>
          </cell>
          <cell r="AB786">
            <v>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  <cell r="Y787">
            <v>1.7</v>
          </cell>
          <cell r="Z787">
            <v>1.4</v>
          </cell>
          <cell r="AA787">
            <v>1</v>
          </cell>
          <cell r="AB787">
            <v>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  <cell r="Y788">
            <v>1.7</v>
          </cell>
          <cell r="Z788">
            <v>1.4</v>
          </cell>
          <cell r="AA788">
            <v>1</v>
          </cell>
          <cell r="AB788">
            <v>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  <cell r="Y789">
            <v>1.7</v>
          </cell>
          <cell r="Z789">
            <v>1.4</v>
          </cell>
          <cell r="AA789">
            <v>1</v>
          </cell>
          <cell r="AB789">
            <v>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  <cell r="Y790">
            <v>1.7</v>
          </cell>
          <cell r="Z790">
            <v>1.4</v>
          </cell>
          <cell r="AA790">
            <v>1</v>
          </cell>
          <cell r="AB790">
            <v>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  <cell r="Y791">
            <v>1.7</v>
          </cell>
          <cell r="Z791">
            <v>1.4</v>
          </cell>
          <cell r="AA791">
            <v>1</v>
          </cell>
          <cell r="AB791">
            <v>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  <cell r="Y792">
            <v>1.7</v>
          </cell>
          <cell r="Z792">
            <v>1.4</v>
          </cell>
          <cell r="AA792">
            <v>1</v>
          </cell>
          <cell r="AB792">
            <v>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  <cell r="Y793">
            <v>1.7</v>
          </cell>
          <cell r="Z793">
            <v>1.4</v>
          </cell>
          <cell r="AA793">
            <v>1</v>
          </cell>
          <cell r="AB793">
            <v>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  <cell r="Y794">
            <v>1.7</v>
          </cell>
          <cell r="Z794">
            <v>1.4</v>
          </cell>
          <cell r="AA794">
            <v>1</v>
          </cell>
          <cell r="AB794">
            <v>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  <cell r="Y795">
            <v>1.2</v>
          </cell>
          <cell r="Z795">
            <v>1.25</v>
          </cell>
          <cell r="AA795">
            <v>1.1499999999999999</v>
          </cell>
          <cell r="AB795">
            <v>0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  <cell r="Y796">
            <v>1.2</v>
          </cell>
          <cell r="Z796">
            <v>1.25</v>
          </cell>
          <cell r="AA796">
            <v>1.1499999999999999</v>
          </cell>
          <cell r="AB796">
            <v>0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  <cell r="Y797">
            <v>1.7</v>
          </cell>
          <cell r="Z797">
            <v>1.4</v>
          </cell>
          <cell r="AA797">
            <v>1</v>
          </cell>
          <cell r="AB797">
            <v>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  <cell r="Y798">
            <v>1.7</v>
          </cell>
          <cell r="Z798">
            <v>1.4</v>
          </cell>
          <cell r="AA798">
            <v>1</v>
          </cell>
          <cell r="AB798">
            <v>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  <cell r="Y799">
            <v>1.7</v>
          </cell>
          <cell r="Z799">
            <v>1.4</v>
          </cell>
          <cell r="AA799">
            <v>1</v>
          </cell>
          <cell r="AB799">
            <v>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  <cell r="Y800">
            <v>1.7</v>
          </cell>
          <cell r="Z800">
            <v>1.4</v>
          </cell>
          <cell r="AA800">
            <v>1</v>
          </cell>
          <cell r="AB800">
            <v>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  <cell r="Y801">
            <v>1.7</v>
          </cell>
          <cell r="Z801">
            <v>1.4</v>
          </cell>
          <cell r="AA801">
            <v>1</v>
          </cell>
          <cell r="AB801">
            <v>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  <cell r="Y802">
            <v>1.7</v>
          </cell>
          <cell r="Z802">
            <v>1.4</v>
          </cell>
          <cell r="AA802">
            <v>1</v>
          </cell>
          <cell r="AB802">
            <v>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  <cell r="Y803">
            <v>1.7</v>
          </cell>
          <cell r="Z803">
            <v>1.4</v>
          </cell>
          <cell r="AA803">
            <v>1</v>
          </cell>
          <cell r="AB803">
            <v>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  <cell r="Y804">
            <v>1.7</v>
          </cell>
          <cell r="Z804">
            <v>1.4</v>
          </cell>
          <cell r="AA804">
            <v>1</v>
          </cell>
          <cell r="AB804">
            <v>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  <cell r="Y805">
            <v>1.7</v>
          </cell>
          <cell r="Z805">
            <v>1.4</v>
          </cell>
          <cell r="AA805">
            <v>1</v>
          </cell>
          <cell r="AB805">
            <v>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  <cell r="Y806">
            <v>1.7</v>
          </cell>
          <cell r="Z806">
            <v>1.4</v>
          </cell>
          <cell r="AA806">
            <v>1</v>
          </cell>
          <cell r="AB806">
            <v>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  <cell r="Y807">
            <v>1.7</v>
          </cell>
          <cell r="Z807">
            <v>1.4</v>
          </cell>
          <cell r="AA807">
            <v>1</v>
          </cell>
          <cell r="AB807">
            <v>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  <cell r="Y808">
            <v>1.7</v>
          </cell>
          <cell r="Z808">
            <v>1.4</v>
          </cell>
          <cell r="AA808">
            <v>1</v>
          </cell>
          <cell r="AB808">
            <v>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  <cell r="Y809">
            <v>1.7</v>
          </cell>
          <cell r="Z809">
            <v>1.4</v>
          </cell>
          <cell r="AA809">
            <v>1</v>
          </cell>
          <cell r="AB809">
            <v>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  <cell r="Y810">
            <v>1.7</v>
          </cell>
          <cell r="Z810">
            <v>1.4</v>
          </cell>
          <cell r="AA810">
            <v>1</v>
          </cell>
          <cell r="AB810">
            <v>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  <cell r="Y811">
            <v>1.7</v>
          </cell>
          <cell r="Z811">
            <v>1.4</v>
          </cell>
          <cell r="AA811">
            <v>1</v>
          </cell>
          <cell r="AB811">
            <v>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  <cell r="Y812">
            <v>1.7</v>
          </cell>
          <cell r="Z812">
            <v>1.4</v>
          </cell>
          <cell r="AA812">
            <v>1</v>
          </cell>
          <cell r="AB812">
            <v>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  <cell r="Y813">
            <v>1.7</v>
          </cell>
          <cell r="Z813">
            <v>1.4</v>
          </cell>
          <cell r="AA813">
            <v>1</v>
          </cell>
          <cell r="AB813">
            <v>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  <cell r="Y814">
            <v>1.7</v>
          </cell>
          <cell r="Z814">
            <v>1.4</v>
          </cell>
          <cell r="AA814">
            <v>1</v>
          </cell>
          <cell r="AB814">
            <v>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  <cell r="Y815">
            <v>1.7</v>
          </cell>
          <cell r="Z815">
            <v>1.4</v>
          </cell>
          <cell r="AA815">
            <v>1</v>
          </cell>
          <cell r="AB815">
            <v>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  <cell r="Y816">
            <v>1.7</v>
          </cell>
          <cell r="Z816">
            <v>1.4</v>
          </cell>
          <cell r="AA816">
            <v>1</v>
          </cell>
          <cell r="AB816">
            <v>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  <cell r="Y817">
            <v>1.7</v>
          </cell>
          <cell r="Z817">
            <v>1.4</v>
          </cell>
          <cell r="AA817">
            <v>1</v>
          </cell>
          <cell r="AB817">
            <v>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  <cell r="Y818">
            <v>1.7</v>
          </cell>
          <cell r="Z818">
            <v>1.4</v>
          </cell>
          <cell r="AA818">
            <v>1</v>
          </cell>
          <cell r="AB818">
            <v>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  <cell r="Y819">
            <v>1.7</v>
          </cell>
          <cell r="Z819">
            <v>1.4</v>
          </cell>
          <cell r="AA819">
            <v>1</v>
          </cell>
          <cell r="AB819">
            <v>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  <cell r="Y820">
            <v>1.7</v>
          </cell>
          <cell r="Z820">
            <v>1.4</v>
          </cell>
          <cell r="AA820">
            <v>1</v>
          </cell>
          <cell r="AB820">
            <v>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  <cell r="Y821">
            <v>1.7</v>
          </cell>
          <cell r="Z821">
            <v>1.4</v>
          </cell>
          <cell r="AA821">
            <v>1</v>
          </cell>
          <cell r="AB821">
            <v>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  <cell r="Y822">
            <v>1.7</v>
          </cell>
          <cell r="Z822">
            <v>1.4</v>
          </cell>
          <cell r="AA822">
            <v>1</v>
          </cell>
          <cell r="AB822">
            <v>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  <cell r="Y823">
            <v>1.7</v>
          </cell>
          <cell r="Z823">
            <v>1.4</v>
          </cell>
          <cell r="AA823">
            <v>1</v>
          </cell>
          <cell r="AB823">
            <v>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  <cell r="Y824">
            <v>1.7</v>
          </cell>
          <cell r="Z824">
            <v>1.4</v>
          </cell>
          <cell r="AA824">
            <v>1</v>
          </cell>
          <cell r="AB824">
            <v>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  <cell r="Y825">
            <v>1.7</v>
          </cell>
          <cell r="Z825">
            <v>1.4</v>
          </cell>
          <cell r="AA825">
            <v>1</v>
          </cell>
          <cell r="AB825">
            <v>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  <cell r="Y826">
            <v>1.7</v>
          </cell>
          <cell r="Z826">
            <v>1.4</v>
          </cell>
          <cell r="AA826">
            <v>1</v>
          </cell>
          <cell r="AB826">
            <v>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  <cell r="Y827">
            <v>1.7</v>
          </cell>
          <cell r="Z827">
            <v>1.4</v>
          </cell>
          <cell r="AA827">
            <v>1</v>
          </cell>
          <cell r="AB827">
            <v>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  <cell r="Y828">
            <v>1.7</v>
          </cell>
          <cell r="Z828">
            <v>1.4</v>
          </cell>
          <cell r="AA828">
            <v>1</v>
          </cell>
          <cell r="AB828">
            <v>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  <cell r="Y829">
            <v>1.7</v>
          </cell>
          <cell r="Z829">
            <v>1.4</v>
          </cell>
          <cell r="AA829">
            <v>1</v>
          </cell>
          <cell r="AB829">
            <v>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  <cell r="Y830">
            <v>1.7</v>
          </cell>
          <cell r="Z830">
            <v>1.4</v>
          </cell>
          <cell r="AA830">
            <v>1</v>
          </cell>
          <cell r="AB830">
            <v>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  <cell r="Y831">
            <v>1.7</v>
          </cell>
          <cell r="Z831">
            <v>1.4</v>
          </cell>
          <cell r="AA831">
            <v>1</v>
          </cell>
          <cell r="AB831">
            <v>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  <cell r="Y832">
            <v>1.7</v>
          </cell>
          <cell r="Z832">
            <v>1.4</v>
          </cell>
          <cell r="AA832">
            <v>1</v>
          </cell>
          <cell r="AB832">
            <v>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  <cell r="Y833">
            <v>1.7</v>
          </cell>
          <cell r="Z833">
            <v>1.4</v>
          </cell>
          <cell r="AA833">
            <v>1</v>
          </cell>
          <cell r="AB833">
            <v>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  <cell r="Y834">
            <v>1.7</v>
          </cell>
          <cell r="Z834">
            <v>1.4</v>
          </cell>
          <cell r="AA834">
            <v>1</v>
          </cell>
          <cell r="AB834">
            <v>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  <cell r="Y835">
            <v>1.7</v>
          </cell>
          <cell r="Z835">
            <v>1.4</v>
          </cell>
          <cell r="AA835">
            <v>1</v>
          </cell>
          <cell r="AB835">
            <v>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  <cell r="Y836">
            <v>1.7</v>
          </cell>
          <cell r="Z836">
            <v>1.4</v>
          </cell>
          <cell r="AA836">
            <v>1</v>
          </cell>
          <cell r="AB836">
            <v>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  <cell r="Y837">
            <v>1.7</v>
          </cell>
          <cell r="Z837">
            <v>1.4</v>
          </cell>
          <cell r="AA837">
            <v>1</v>
          </cell>
          <cell r="AB837">
            <v>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  <cell r="Y838">
            <v>1.7</v>
          </cell>
          <cell r="Z838">
            <v>1.4</v>
          </cell>
          <cell r="AA838">
            <v>1</v>
          </cell>
          <cell r="AB838">
            <v>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  <cell r="Y839">
            <v>1.7</v>
          </cell>
          <cell r="Z839">
            <v>1.4</v>
          </cell>
          <cell r="AA839">
            <v>1</v>
          </cell>
          <cell r="AB839">
            <v>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  <cell r="Y840">
            <v>1.7</v>
          </cell>
          <cell r="Z840">
            <v>1.4</v>
          </cell>
          <cell r="AA840">
            <v>1</v>
          </cell>
          <cell r="AB840">
            <v>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  <cell r="Y841">
            <v>1.3</v>
          </cell>
          <cell r="Z841">
            <v>1.3</v>
          </cell>
          <cell r="AA841">
            <v>1.1000000000000001</v>
          </cell>
          <cell r="AB841">
            <v>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  <cell r="Y842">
            <v>1.7</v>
          </cell>
          <cell r="Z842">
            <v>1.4</v>
          </cell>
          <cell r="AA842">
            <v>1</v>
          </cell>
          <cell r="AB842">
            <v>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  <cell r="Y843">
            <v>1.3</v>
          </cell>
          <cell r="Z843">
            <v>1.3</v>
          </cell>
          <cell r="AA843">
            <v>1.1000000000000001</v>
          </cell>
          <cell r="AB843">
            <v>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  <cell r="Y844">
            <v>1.7</v>
          </cell>
          <cell r="Z844">
            <v>1.4</v>
          </cell>
          <cell r="AA844">
            <v>1</v>
          </cell>
          <cell r="AB844">
            <v>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  <cell r="Y845">
            <v>1.7</v>
          </cell>
          <cell r="Z845">
            <v>1.4</v>
          </cell>
          <cell r="AA845">
            <v>1</v>
          </cell>
          <cell r="AB845">
            <v>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  <cell r="Y846">
            <v>1.7</v>
          </cell>
          <cell r="Z846">
            <v>1.4</v>
          </cell>
          <cell r="AA846">
            <v>1</v>
          </cell>
          <cell r="AB846">
            <v>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  <cell r="Y847">
            <v>1.7</v>
          </cell>
          <cell r="Z847">
            <v>1.4</v>
          </cell>
          <cell r="AA847">
            <v>1</v>
          </cell>
          <cell r="AB847">
            <v>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  <cell r="Y848">
            <v>1.7</v>
          </cell>
          <cell r="Z848">
            <v>1.4</v>
          </cell>
          <cell r="AA848">
            <v>1</v>
          </cell>
          <cell r="AB848">
            <v>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  <cell r="Y849">
            <v>1.7</v>
          </cell>
          <cell r="Z849">
            <v>1.4</v>
          </cell>
          <cell r="AA849">
            <v>1</v>
          </cell>
          <cell r="AB849">
            <v>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  <cell r="Y850">
            <v>1.7</v>
          </cell>
          <cell r="Z850">
            <v>1.4</v>
          </cell>
          <cell r="AA850">
            <v>1</v>
          </cell>
          <cell r="AB850">
            <v>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  <cell r="Y851">
            <v>1.7</v>
          </cell>
          <cell r="Z851">
            <v>1.4</v>
          </cell>
          <cell r="AA851">
            <v>1</v>
          </cell>
          <cell r="AB851">
            <v>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  <cell r="Y852">
            <v>1.7</v>
          </cell>
          <cell r="Z852">
            <v>1.4</v>
          </cell>
          <cell r="AA852">
            <v>1</v>
          </cell>
          <cell r="AB852">
            <v>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  <cell r="Y853">
            <v>1.3</v>
          </cell>
          <cell r="Z853">
            <v>1.3</v>
          </cell>
          <cell r="AA853">
            <v>1.1000000000000001</v>
          </cell>
          <cell r="AB853">
            <v>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  <cell r="Y854">
            <v>1.7</v>
          </cell>
          <cell r="Z854">
            <v>1.4</v>
          </cell>
          <cell r="AA854">
            <v>1</v>
          </cell>
          <cell r="AB854">
            <v>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  <cell r="Y855">
            <v>1.3</v>
          </cell>
          <cell r="Z855">
            <v>1.3</v>
          </cell>
          <cell r="AA855">
            <v>1.1000000000000001</v>
          </cell>
          <cell r="AB855">
            <v>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  <cell r="Y856">
            <v>1.7</v>
          </cell>
          <cell r="Z856">
            <v>1.4</v>
          </cell>
          <cell r="AA856">
            <v>1</v>
          </cell>
          <cell r="AB856">
            <v>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  <cell r="Y857">
            <v>1.3</v>
          </cell>
          <cell r="Z857">
            <v>1.3</v>
          </cell>
          <cell r="AA857">
            <v>1.1000000000000001</v>
          </cell>
          <cell r="AB857">
            <v>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  <cell r="Y858">
            <v>1.7</v>
          </cell>
          <cell r="Z858">
            <v>1.4</v>
          </cell>
          <cell r="AA858">
            <v>1</v>
          </cell>
          <cell r="AB858">
            <v>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  <cell r="Y859">
            <v>1.3</v>
          </cell>
          <cell r="Z859">
            <v>1.3</v>
          </cell>
          <cell r="AA859">
            <v>1.1000000000000001</v>
          </cell>
          <cell r="AB859">
            <v>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  <cell r="Y860">
            <v>1.7</v>
          </cell>
          <cell r="Z860">
            <v>1.4</v>
          </cell>
          <cell r="AA860">
            <v>1</v>
          </cell>
          <cell r="AB860">
            <v>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  <cell r="Y861">
            <v>1.7</v>
          </cell>
          <cell r="Z861">
            <v>1.4</v>
          </cell>
          <cell r="AA861">
            <v>1</v>
          </cell>
          <cell r="AB861">
            <v>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  <cell r="Y862">
            <v>1.7</v>
          </cell>
          <cell r="Z862">
            <v>1.4</v>
          </cell>
          <cell r="AA862">
            <v>1</v>
          </cell>
          <cell r="AB862">
            <v>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  <cell r="Y863">
            <v>1.3</v>
          </cell>
          <cell r="Z863">
            <v>1.3</v>
          </cell>
          <cell r="AA863">
            <v>1.1000000000000001</v>
          </cell>
          <cell r="AB863">
            <v>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  <cell r="Y864">
            <v>1.7</v>
          </cell>
          <cell r="Z864">
            <v>1.4</v>
          </cell>
          <cell r="AA864">
            <v>1</v>
          </cell>
          <cell r="AB864">
            <v>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  <cell r="Y865">
            <v>1.3</v>
          </cell>
          <cell r="Z865">
            <v>1.3</v>
          </cell>
          <cell r="AA865">
            <v>1.1000000000000001</v>
          </cell>
          <cell r="AB865">
            <v>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  <cell r="Y866">
            <v>1.7</v>
          </cell>
          <cell r="Z866">
            <v>1.4</v>
          </cell>
          <cell r="AA866">
            <v>1</v>
          </cell>
          <cell r="AB866">
            <v>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  <cell r="Y867">
            <v>1.7</v>
          </cell>
          <cell r="Z867">
            <v>1.4</v>
          </cell>
          <cell r="AA867">
            <v>1</v>
          </cell>
          <cell r="AB867">
            <v>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  <cell r="Y868">
            <v>1.7</v>
          </cell>
          <cell r="Z868">
            <v>1.4</v>
          </cell>
          <cell r="AA868">
            <v>1</v>
          </cell>
          <cell r="AB868">
            <v>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  <cell r="Y869">
            <v>1.7</v>
          </cell>
          <cell r="Z869">
            <v>1.4</v>
          </cell>
          <cell r="AA869">
            <v>1</v>
          </cell>
          <cell r="AB869">
            <v>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  <cell r="Y870">
            <v>1.7</v>
          </cell>
          <cell r="Z870">
            <v>1.4</v>
          </cell>
          <cell r="AA870">
            <v>1</v>
          </cell>
          <cell r="AB870">
            <v>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  <cell r="Y871">
            <v>1.7</v>
          </cell>
          <cell r="Z871">
            <v>1.4</v>
          </cell>
          <cell r="AA871">
            <v>1</v>
          </cell>
          <cell r="AB871">
            <v>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  <cell r="Y872">
            <v>1.7</v>
          </cell>
          <cell r="Z872">
            <v>1.4</v>
          </cell>
          <cell r="AA872">
            <v>1</v>
          </cell>
          <cell r="AB872">
            <v>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  <cell r="Y873">
            <v>1.7</v>
          </cell>
          <cell r="Z873">
            <v>1.4</v>
          </cell>
          <cell r="AA873">
            <v>1</v>
          </cell>
          <cell r="AB873">
            <v>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  <cell r="Y874">
            <v>1.7</v>
          </cell>
          <cell r="Z874">
            <v>1.4</v>
          </cell>
          <cell r="AA874">
            <v>1</v>
          </cell>
          <cell r="AB874">
            <v>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  <cell r="Y875">
            <v>1.7</v>
          </cell>
          <cell r="Z875">
            <v>1.4</v>
          </cell>
          <cell r="AA875">
            <v>1</v>
          </cell>
          <cell r="AB875">
            <v>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  <cell r="Y876">
            <v>1.7</v>
          </cell>
          <cell r="Z876">
            <v>1.4</v>
          </cell>
          <cell r="AA876">
            <v>1</v>
          </cell>
          <cell r="AB876">
            <v>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  <cell r="Y877">
            <v>1.3</v>
          </cell>
          <cell r="Z877">
            <v>1.3</v>
          </cell>
          <cell r="AA877">
            <v>1.1000000000000001</v>
          </cell>
          <cell r="AB877">
            <v>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  <cell r="Y878">
            <v>1.7</v>
          </cell>
          <cell r="Z878">
            <v>1.4</v>
          </cell>
          <cell r="AA878">
            <v>1</v>
          </cell>
          <cell r="AB878">
            <v>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  <cell r="Y879">
            <v>1.3</v>
          </cell>
          <cell r="Z879">
            <v>1.3</v>
          </cell>
          <cell r="AA879">
            <v>1.1000000000000001</v>
          </cell>
          <cell r="AB879">
            <v>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  <cell r="Y880">
            <v>1.7</v>
          </cell>
          <cell r="Z880">
            <v>1.4</v>
          </cell>
          <cell r="AA880">
            <v>1</v>
          </cell>
          <cell r="AB880">
            <v>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  <cell r="Y881">
            <v>1.7</v>
          </cell>
          <cell r="Z881">
            <v>1.4</v>
          </cell>
          <cell r="AA881">
            <v>1</v>
          </cell>
          <cell r="AB881">
            <v>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  <cell r="Y882">
            <v>1.7</v>
          </cell>
          <cell r="Z882">
            <v>1.4</v>
          </cell>
          <cell r="AA882">
            <v>1</v>
          </cell>
          <cell r="AB882">
            <v>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  <cell r="Y883">
            <v>1.7</v>
          </cell>
          <cell r="Z883">
            <v>1.4</v>
          </cell>
          <cell r="AA883">
            <v>1</v>
          </cell>
          <cell r="AB883">
            <v>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  <cell r="Y884">
            <v>1.7</v>
          </cell>
          <cell r="Z884">
            <v>1.4</v>
          </cell>
          <cell r="AA884">
            <v>1</v>
          </cell>
          <cell r="AB884">
            <v>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  <cell r="Y885">
            <v>1.7</v>
          </cell>
          <cell r="Z885">
            <v>1.4</v>
          </cell>
          <cell r="AA885">
            <v>1</v>
          </cell>
          <cell r="AB885">
            <v>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  <cell r="Y886">
            <v>1.7</v>
          </cell>
          <cell r="Z886">
            <v>1.4</v>
          </cell>
          <cell r="AA886">
            <v>1</v>
          </cell>
          <cell r="AB886">
            <v>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  <cell r="Y887">
            <v>1.7</v>
          </cell>
          <cell r="Z887">
            <v>1.4</v>
          </cell>
          <cell r="AA887">
            <v>1</v>
          </cell>
          <cell r="AB887">
            <v>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  <cell r="Y888">
            <v>1.7</v>
          </cell>
          <cell r="Z888">
            <v>1.4</v>
          </cell>
          <cell r="AA888">
            <v>1</v>
          </cell>
          <cell r="AB888">
            <v>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  <cell r="Y889">
            <v>1.7</v>
          </cell>
          <cell r="Z889">
            <v>1.4</v>
          </cell>
          <cell r="AA889">
            <v>1</v>
          </cell>
          <cell r="AB889">
            <v>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  <cell r="Y890">
            <v>1.7</v>
          </cell>
          <cell r="Z890">
            <v>1.4</v>
          </cell>
          <cell r="AA890">
            <v>1</v>
          </cell>
          <cell r="AB890">
            <v>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  <cell r="Y891">
            <v>1.7</v>
          </cell>
          <cell r="Z891">
            <v>1.4</v>
          </cell>
          <cell r="AA891">
            <v>1</v>
          </cell>
          <cell r="AB891">
            <v>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  <cell r="Y892">
            <v>1.7</v>
          </cell>
          <cell r="Z892">
            <v>1.4</v>
          </cell>
          <cell r="AA892">
            <v>1</v>
          </cell>
          <cell r="AB892">
            <v>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  <cell r="Y893">
            <v>1.7</v>
          </cell>
          <cell r="Z893">
            <v>1.4</v>
          </cell>
          <cell r="AA893">
            <v>1</v>
          </cell>
          <cell r="AB893">
            <v>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  <cell r="Y894">
            <v>1.7</v>
          </cell>
          <cell r="Z894">
            <v>1.4</v>
          </cell>
          <cell r="AA894">
            <v>1</v>
          </cell>
          <cell r="AB894">
            <v>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  <cell r="Y895">
            <v>1.7</v>
          </cell>
          <cell r="Z895">
            <v>1.4</v>
          </cell>
          <cell r="AA895">
            <v>1</v>
          </cell>
          <cell r="AB895">
            <v>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  <cell r="Y896">
            <v>1.7</v>
          </cell>
          <cell r="Z896">
            <v>1.4</v>
          </cell>
          <cell r="AA896">
            <v>1</v>
          </cell>
          <cell r="AB896">
            <v>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  <cell r="Y897">
            <v>1.7</v>
          </cell>
          <cell r="Z897">
            <v>1.4</v>
          </cell>
          <cell r="AA897">
            <v>1</v>
          </cell>
          <cell r="AB897">
            <v>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  <cell r="Y898">
            <v>1.7</v>
          </cell>
          <cell r="Z898">
            <v>1.4</v>
          </cell>
          <cell r="AA898">
            <v>1</v>
          </cell>
          <cell r="AB898">
            <v>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  <cell r="Y899">
            <v>1.7</v>
          </cell>
          <cell r="Z899">
            <v>1.4</v>
          </cell>
          <cell r="AA899">
            <v>1</v>
          </cell>
          <cell r="AB899">
            <v>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  <cell r="Y900">
            <v>1.7</v>
          </cell>
          <cell r="Z900">
            <v>1.4</v>
          </cell>
          <cell r="AA900">
            <v>1</v>
          </cell>
          <cell r="AB900">
            <v>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  <cell r="Y901">
            <v>1.7</v>
          </cell>
          <cell r="Z901">
            <v>1.4</v>
          </cell>
          <cell r="AA901">
            <v>1</v>
          </cell>
          <cell r="AB901">
            <v>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  <cell r="Y902">
            <v>1.3</v>
          </cell>
          <cell r="Z902">
            <v>1.3</v>
          </cell>
          <cell r="AA902">
            <v>1.1000000000000001</v>
          </cell>
          <cell r="AB902">
            <v>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  <cell r="Y903">
            <v>1.7</v>
          </cell>
          <cell r="Z903">
            <v>1.4</v>
          </cell>
          <cell r="AA903">
            <v>1</v>
          </cell>
          <cell r="AB903">
            <v>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  <cell r="Y904">
            <v>1.3</v>
          </cell>
          <cell r="Z904">
            <v>1.3</v>
          </cell>
          <cell r="AA904">
            <v>1.1000000000000001</v>
          </cell>
          <cell r="AB904">
            <v>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  <cell r="Y905">
            <v>1.7</v>
          </cell>
          <cell r="Z905">
            <v>1.4</v>
          </cell>
          <cell r="AA905">
            <v>1</v>
          </cell>
          <cell r="AB905">
            <v>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  <cell r="Y906">
            <v>1.3</v>
          </cell>
          <cell r="Z906">
            <v>1.3</v>
          </cell>
          <cell r="AA906">
            <v>1.1000000000000001</v>
          </cell>
          <cell r="AB906">
            <v>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  <cell r="Y907">
            <v>1.7</v>
          </cell>
          <cell r="Z907">
            <v>1.4</v>
          </cell>
          <cell r="AA907">
            <v>1</v>
          </cell>
          <cell r="AB907">
            <v>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  <cell r="Y908">
            <v>1.7</v>
          </cell>
          <cell r="Z908">
            <v>1.4</v>
          </cell>
          <cell r="AA908">
            <v>1</v>
          </cell>
          <cell r="AB908">
            <v>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  <cell r="Y909">
            <v>1.3</v>
          </cell>
          <cell r="Z909">
            <v>1.3</v>
          </cell>
          <cell r="AA909">
            <v>1.1000000000000001</v>
          </cell>
          <cell r="AB909">
            <v>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  <cell r="Y910">
            <v>1.7</v>
          </cell>
          <cell r="Z910">
            <v>1.4</v>
          </cell>
          <cell r="AA910">
            <v>1</v>
          </cell>
          <cell r="AB910">
            <v>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  <cell r="Y911">
            <v>1.7</v>
          </cell>
          <cell r="Z911">
            <v>1.4</v>
          </cell>
          <cell r="AA911">
            <v>1</v>
          </cell>
          <cell r="AB911">
            <v>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  <cell r="Y912">
            <v>1.3</v>
          </cell>
          <cell r="Z912">
            <v>1.3</v>
          </cell>
          <cell r="AA912">
            <v>1.1000000000000001</v>
          </cell>
          <cell r="AB912">
            <v>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  <cell r="Y913">
            <v>1.7</v>
          </cell>
          <cell r="Z913">
            <v>1.4</v>
          </cell>
          <cell r="AA913">
            <v>1</v>
          </cell>
          <cell r="AB913">
            <v>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  <cell r="Y914">
            <v>1.3</v>
          </cell>
          <cell r="Z914">
            <v>1.3</v>
          </cell>
          <cell r="AA914">
            <v>1.1000000000000001</v>
          </cell>
          <cell r="AB914">
            <v>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  <cell r="Y915">
            <v>1.7</v>
          </cell>
          <cell r="Z915">
            <v>1.4</v>
          </cell>
          <cell r="AA915">
            <v>1</v>
          </cell>
          <cell r="AB915">
            <v>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  <cell r="Y916">
            <v>1.3</v>
          </cell>
          <cell r="Z916">
            <v>1.3</v>
          </cell>
          <cell r="AA916">
            <v>1.1000000000000001</v>
          </cell>
          <cell r="AB916">
            <v>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  <cell r="Y917">
            <v>1.7</v>
          </cell>
          <cell r="Z917">
            <v>1.4</v>
          </cell>
          <cell r="AA917">
            <v>1</v>
          </cell>
          <cell r="AB917">
            <v>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  <cell r="Y918">
            <v>1.2</v>
          </cell>
          <cell r="Z918">
            <v>1.25</v>
          </cell>
          <cell r="AA918">
            <v>1.1499999999999999</v>
          </cell>
          <cell r="AB918">
            <v>0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  <cell r="Y919">
            <v>1.3</v>
          </cell>
          <cell r="Z919">
            <v>1.3</v>
          </cell>
          <cell r="AA919">
            <v>1.1000000000000001</v>
          </cell>
          <cell r="AB919">
            <v>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  <cell r="Y920">
            <v>1.7</v>
          </cell>
          <cell r="Z920">
            <v>1.4</v>
          </cell>
          <cell r="AA920">
            <v>1</v>
          </cell>
          <cell r="AB920">
            <v>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  <cell r="Y921">
            <v>1.7</v>
          </cell>
          <cell r="Z921">
            <v>1.4</v>
          </cell>
          <cell r="AA921">
            <v>1</v>
          </cell>
          <cell r="AB921">
            <v>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  <cell r="Y922">
            <v>1.2</v>
          </cell>
          <cell r="Z922">
            <v>1.25</v>
          </cell>
          <cell r="AA922">
            <v>1.1499999999999999</v>
          </cell>
          <cell r="AB922">
            <v>0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  <cell r="Y923">
            <v>1.3</v>
          </cell>
          <cell r="Z923">
            <v>1.3</v>
          </cell>
          <cell r="AA923">
            <v>1.1000000000000001</v>
          </cell>
          <cell r="AB923">
            <v>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  <cell r="Y924">
            <v>1.2</v>
          </cell>
          <cell r="Z924">
            <v>1.25</v>
          </cell>
          <cell r="AA924">
            <v>1.1499999999999999</v>
          </cell>
          <cell r="AB924">
            <v>0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  <cell r="Y925">
            <v>1.3</v>
          </cell>
          <cell r="Z925">
            <v>1.3</v>
          </cell>
          <cell r="AA925">
            <v>1.1000000000000001</v>
          </cell>
          <cell r="AB925">
            <v>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  <cell r="Y926">
            <v>1.3</v>
          </cell>
          <cell r="Z926">
            <v>1.3</v>
          </cell>
          <cell r="AA926">
            <v>1.1000000000000001</v>
          </cell>
          <cell r="AB926">
            <v>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  <cell r="Y927">
            <v>1.7</v>
          </cell>
          <cell r="Z927">
            <v>1.4</v>
          </cell>
          <cell r="AA927">
            <v>1</v>
          </cell>
          <cell r="AB927">
            <v>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  <cell r="Y928">
            <v>1.2</v>
          </cell>
          <cell r="Z928">
            <v>1.25</v>
          </cell>
          <cell r="AA928">
            <v>1.1499999999999999</v>
          </cell>
          <cell r="AB928">
            <v>0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  <cell r="Y929">
            <v>1.3</v>
          </cell>
          <cell r="Z929">
            <v>1.3</v>
          </cell>
          <cell r="AA929">
            <v>1.1000000000000001</v>
          </cell>
          <cell r="AB929">
            <v>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  <cell r="Y930">
            <v>1.7</v>
          </cell>
          <cell r="Z930">
            <v>1.4</v>
          </cell>
          <cell r="AA930">
            <v>1</v>
          </cell>
          <cell r="AB930">
            <v>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  <cell r="Y931">
            <v>1.7</v>
          </cell>
          <cell r="Z931">
            <v>1.4</v>
          </cell>
          <cell r="AA931">
            <v>1</v>
          </cell>
          <cell r="AB931">
            <v>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  <cell r="Y932">
            <v>1.3</v>
          </cell>
          <cell r="Z932">
            <v>1.3</v>
          </cell>
          <cell r="AA932">
            <v>1.1000000000000001</v>
          </cell>
          <cell r="AB932">
            <v>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  <cell r="Y933">
            <v>1.7</v>
          </cell>
          <cell r="Z933">
            <v>1.4</v>
          </cell>
          <cell r="AA933">
            <v>1</v>
          </cell>
          <cell r="AB933">
            <v>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  <cell r="Y934">
            <v>1.3</v>
          </cell>
          <cell r="Z934">
            <v>1.3</v>
          </cell>
          <cell r="AA934">
            <v>1.1000000000000001</v>
          </cell>
          <cell r="AB934">
            <v>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  <cell r="Y935">
            <v>1.7</v>
          </cell>
          <cell r="Z935">
            <v>1.4</v>
          </cell>
          <cell r="AA935">
            <v>1</v>
          </cell>
          <cell r="AB935">
            <v>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  <cell r="Y936">
            <v>1.7</v>
          </cell>
          <cell r="Z936">
            <v>1.4</v>
          </cell>
          <cell r="AA936">
            <v>1</v>
          </cell>
          <cell r="AB936">
            <v>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  <cell r="Y937">
            <v>1.7</v>
          </cell>
          <cell r="Z937">
            <v>1.4</v>
          </cell>
          <cell r="AA937">
            <v>1</v>
          </cell>
          <cell r="AB937">
            <v>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  <cell r="Y938">
            <v>1.7</v>
          </cell>
          <cell r="Z938">
            <v>1.4</v>
          </cell>
          <cell r="AA938">
            <v>1</v>
          </cell>
          <cell r="AB938">
            <v>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  <cell r="Y939">
            <v>1.7</v>
          </cell>
          <cell r="Z939">
            <v>1.4</v>
          </cell>
          <cell r="AA939">
            <v>1</v>
          </cell>
          <cell r="AB939">
            <v>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  <cell r="Y940">
            <v>1.3</v>
          </cell>
          <cell r="Z940">
            <v>1.3</v>
          </cell>
          <cell r="AA940">
            <v>1.1000000000000001</v>
          </cell>
          <cell r="AB940">
            <v>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  <cell r="Y941">
            <v>1.7</v>
          </cell>
          <cell r="Z941">
            <v>1.4</v>
          </cell>
          <cell r="AA941">
            <v>1</v>
          </cell>
          <cell r="AB941">
            <v>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  <cell r="Y942">
            <v>1.7</v>
          </cell>
          <cell r="Z942">
            <v>1.4</v>
          </cell>
          <cell r="AA942">
            <v>1</v>
          </cell>
          <cell r="AB942">
            <v>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  <cell r="Y943">
            <v>1.7</v>
          </cell>
          <cell r="Z943">
            <v>1.4</v>
          </cell>
          <cell r="AA943">
            <v>1</v>
          </cell>
          <cell r="AB943">
            <v>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  <cell r="Y944">
            <v>1.7</v>
          </cell>
          <cell r="Z944">
            <v>1.4</v>
          </cell>
          <cell r="AA944">
            <v>1</v>
          </cell>
          <cell r="AB944">
            <v>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  <cell r="Y945">
            <v>1.7</v>
          </cell>
          <cell r="Z945">
            <v>1.4</v>
          </cell>
          <cell r="AA945">
            <v>1</v>
          </cell>
          <cell r="AB945">
            <v>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  <cell r="Y946">
            <v>1.7</v>
          </cell>
          <cell r="Z946">
            <v>1.4</v>
          </cell>
          <cell r="AA946">
            <v>1</v>
          </cell>
          <cell r="AB946">
            <v>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  <cell r="Y947">
            <v>1.7</v>
          </cell>
          <cell r="Z947">
            <v>1.4</v>
          </cell>
          <cell r="AA947">
            <v>1</v>
          </cell>
          <cell r="AB947">
            <v>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  <cell r="Y948">
            <v>1.7</v>
          </cell>
          <cell r="Z948">
            <v>1.4</v>
          </cell>
          <cell r="AA948">
            <v>1</v>
          </cell>
          <cell r="AB948">
            <v>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  <cell r="Y949">
            <v>1.7</v>
          </cell>
          <cell r="Z949">
            <v>1.4</v>
          </cell>
          <cell r="AA949">
            <v>1</v>
          </cell>
          <cell r="AB949">
            <v>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  <cell r="Y950">
            <v>1.7</v>
          </cell>
          <cell r="Z950">
            <v>1.4</v>
          </cell>
          <cell r="AA950">
            <v>1</v>
          </cell>
          <cell r="AB950">
            <v>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  <cell r="Y951">
            <v>1.7</v>
          </cell>
          <cell r="Z951">
            <v>1.4</v>
          </cell>
          <cell r="AA951">
            <v>1</v>
          </cell>
          <cell r="AB951">
            <v>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  <cell r="Y952">
            <v>1.7</v>
          </cell>
          <cell r="Z952">
            <v>1.4</v>
          </cell>
          <cell r="AA952">
            <v>1</v>
          </cell>
          <cell r="AB952">
            <v>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  <cell r="Y953">
            <v>1.7</v>
          </cell>
          <cell r="Z953">
            <v>1.4</v>
          </cell>
          <cell r="AA953">
            <v>1</v>
          </cell>
          <cell r="AB953">
            <v>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  <cell r="Y954">
            <v>1.7</v>
          </cell>
          <cell r="Z954">
            <v>1.4</v>
          </cell>
          <cell r="AA954">
            <v>1</v>
          </cell>
          <cell r="AB954">
            <v>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  <cell r="Y955">
            <v>1.7</v>
          </cell>
          <cell r="Z955">
            <v>1.4</v>
          </cell>
          <cell r="AA955">
            <v>1</v>
          </cell>
          <cell r="AB955">
            <v>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  <cell r="Y956">
            <v>1.7</v>
          </cell>
          <cell r="Z956">
            <v>1.4</v>
          </cell>
          <cell r="AA956">
            <v>1</v>
          </cell>
          <cell r="AB956">
            <v>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  <cell r="Y957">
            <v>1.7</v>
          </cell>
          <cell r="Z957">
            <v>1.4</v>
          </cell>
          <cell r="AA957">
            <v>1</v>
          </cell>
          <cell r="AB957">
            <v>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  <cell r="Y958">
            <v>1.7</v>
          </cell>
          <cell r="Z958">
            <v>1.4</v>
          </cell>
          <cell r="AA958">
            <v>1</v>
          </cell>
          <cell r="AB958">
            <v>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  <cell r="Y959">
            <v>1.7</v>
          </cell>
          <cell r="Z959">
            <v>1.4</v>
          </cell>
          <cell r="AA959">
            <v>1</v>
          </cell>
          <cell r="AB959">
            <v>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  <cell r="Y960">
            <v>1.7</v>
          </cell>
          <cell r="Z960">
            <v>1.4</v>
          </cell>
          <cell r="AA960">
            <v>1</v>
          </cell>
          <cell r="AB960">
            <v>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  <cell r="Y961">
            <v>1.7</v>
          </cell>
          <cell r="Z961">
            <v>1.4</v>
          </cell>
          <cell r="AA961">
            <v>1</v>
          </cell>
          <cell r="AB961">
            <v>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  <cell r="Y962">
            <v>1.7</v>
          </cell>
          <cell r="Z962">
            <v>1.4</v>
          </cell>
          <cell r="AA962">
            <v>1</v>
          </cell>
          <cell r="AB962">
            <v>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  <cell r="Y963">
            <v>1.7</v>
          </cell>
          <cell r="Z963">
            <v>1.4</v>
          </cell>
          <cell r="AA963">
            <v>1</v>
          </cell>
          <cell r="AB963">
            <v>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  <cell r="Y964">
            <v>1.7</v>
          </cell>
          <cell r="Z964">
            <v>1.4</v>
          </cell>
          <cell r="AA964">
            <v>1</v>
          </cell>
          <cell r="AB964">
            <v>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  <cell r="Y965">
            <v>1.7</v>
          </cell>
          <cell r="Z965">
            <v>1.4</v>
          </cell>
          <cell r="AA965">
            <v>1</v>
          </cell>
          <cell r="AB965">
            <v>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  <cell r="Y966">
            <v>1.7</v>
          </cell>
          <cell r="Z966">
            <v>1.4</v>
          </cell>
          <cell r="AA966">
            <v>1</v>
          </cell>
          <cell r="AB966">
            <v>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  <cell r="Y967">
            <v>1.7</v>
          </cell>
          <cell r="Z967">
            <v>1.4</v>
          </cell>
          <cell r="AA967">
            <v>1</v>
          </cell>
          <cell r="AB967">
            <v>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  <cell r="Y968">
            <v>1.7</v>
          </cell>
          <cell r="Z968">
            <v>1.4</v>
          </cell>
          <cell r="AA968">
            <v>1</v>
          </cell>
          <cell r="AB968">
            <v>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  <cell r="Y969">
            <v>1.7</v>
          </cell>
          <cell r="Z969">
            <v>1.4</v>
          </cell>
          <cell r="AA969">
            <v>1</v>
          </cell>
          <cell r="AB969">
            <v>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  <cell r="Y970">
            <v>1.7</v>
          </cell>
          <cell r="Z970">
            <v>1.4</v>
          </cell>
          <cell r="AA970">
            <v>1</v>
          </cell>
          <cell r="AB970">
            <v>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  <cell r="Y971">
            <v>1.7</v>
          </cell>
          <cell r="Z971">
            <v>1.4</v>
          </cell>
          <cell r="AA971">
            <v>1</v>
          </cell>
          <cell r="AB971">
            <v>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  <cell r="Y972">
            <v>1.7</v>
          </cell>
          <cell r="Z972">
            <v>1.4</v>
          </cell>
          <cell r="AA972">
            <v>1</v>
          </cell>
          <cell r="AB972">
            <v>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  <cell r="Y973">
            <v>1.7</v>
          </cell>
          <cell r="Z973">
            <v>1.4</v>
          </cell>
          <cell r="AA973">
            <v>1</v>
          </cell>
          <cell r="AB973">
            <v>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  <cell r="Y974">
            <v>1.7</v>
          </cell>
          <cell r="Z974">
            <v>1.4</v>
          </cell>
          <cell r="AA974">
            <v>1</v>
          </cell>
          <cell r="AB974">
            <v>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  <cell r="Y975">
            <v>1.7</v>
          </cell>
          <cell r="Z975">
            <v>1.4</v>
          </cell>
          <cell r="AA975">
            <v>1</v>
          </cell>
          <cell r="AB975">
            <v>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  <cell r="Y976">
            <v>1.7</v>
          </cell>
          <cell r="Z976">
            <v>1.4</v>
          </cell>
          <cell r="AA976">
            <v>1</v>
          </cell>
          <cell r="AB976">
            <v>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  <cell r="Y977">
            <v>1.2</v>
          </cell>
          <cell r="Z977">
            <v>1.25</v>
          </cell>
          <cell r="AA977">
            <v>1.1499999999999999</v>
          </cell>
          <cell r="AB977">
            <v>0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  <cell r="Y978">
            <v>1.3</v>
          </cell>
          <cell r="Z978">
            <v>1.3</v>
          </cell>
          <cell r="AA978">
            <v>1.1000000000000001</v>
          </cell>
          <cell r="AB978">
            <v>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  <cell r="Y979">
            <v>1.7</v>
          </cell>
          <cell r="Z979">
            <v>1.4</v>
          </cell>
          <cell r="AA979">
            <v>1</v>
          </cell>
          <cell r="AB979">
            <v>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  <cell r="Y980">
            <v>1.7</v>
          </cell>
          <cell r="Z980">
            <v>1.4</v>
          </cell>
          <cell r="AA980">
            <v>1</v>
          </cell>
          <cell r="AB980">
            <v>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  <cell r="Y981">
            <v>1.7</v>
          </cell>
          <cell r="Z981">
            <v>1.4</v>
          </cell>
          <cell r="AA981">
            <v>1</v>
          </cell>
          <cell r="AB981">
            <v>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  <cell r="Y982">
            <v>1.3</v>
          </cell>
          <cell r="Z982">
            <v>1.3</v>
          </cell>
          <cell r="AA982">
            <v>1.1000000000000001</v>
          </cell>
          <cell r="AB982">
            <v>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  <cell r="Y983">
            <v>1.7</v>
          </cell>
          <cell r="Z983">
            <v>1.4</v>
          </cell>
          <cell r="AA983">
            <v>1</v>
          </cell>
          <cell r="AB983">
            <v>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  <cell r="Y984">
            <v>1.3</v>
          </cell>
          <cell r="Z984">
            <v>1.3</v>
          </cell>
          <cell r="AA984">
            <v>1.1000000000000001</v>
          </cell>
          <cell r="AB984">
            <v>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  <cell r="Y985">
            <v>1.7</v>
          </cell>
          <cell r="Z985">
            <v>1.4</v>
          </cell>
          <cell r="AA985">
            <v>1</v>
          </cell>
          <cell r="AB985">
            <v>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  <cell r="Y986">
            <v>1.7</v>
          </cell>
          <cell r="Z986">
            <v>1.4</v>
          </cell>
          <cell r="AA986">
            <v>1</v>
          </cell>
          <cell r="AB986">
            <v>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  <cell r="Y987">
            <v>1.7</v>
          </cell>
          <cell r="Z987">
            <v>1.4</v>
          </cell>
          <cell r="AA987">
            <v>1</v>
          </cell>
          <cell r="AB987">
            <v>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  <cell r="Y988">
            <v>1.7</v>
          </cell>
          <cell r="Z988">
            <v>1.4</v>
          </cell>
          <cell r="AA988">
            <v>1</v>
          </cell>
          <cell r="AB988">
            <v>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  <cell r="Y989">
            <v>1.7</v>
          </cell>
          <cell r="Z989">
            <v>1.4</v>
          </cell>
          <cell r="AA989">
            <v>1</v>
          </cell>
          <cell r="AB989">
            <v>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  <cell r="Y990">
            <v>1.7</v>
          </cell>
          <cell r="Z990">
            <v>1.4</v>
          </cell>
          <cell r="AA990">
            <v>1</v>
          </cell>
          <cell r="AB990">
            <v>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  <cell r="Y991">
            <v>1.3</v>
          </cell>
          <cell r="Z991">
            <v>1.3</v>
          </cell>
          <cell r="AA991">
            <v>1.1000000000000001</v>
          </cell>
          <cell r="AB991">
            <v>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  <cell r="Y992">
            <v>1.7</v>
          </cell>
          <cell r="Z992">
            <v>1.4</v>
          </cell>
          <cell r="AA992">
            <v>1</v>
          </cell>
          <cell r="AB992">
            <v>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  <cell r="Y993">
            <v>1.3</v>
          </cell>
          <cell r="Z993">
            <v>1.3</v>
          </cell>
          <cell r="AA993">
            <v>1.1000000000000001</v>
          </cell>
          <cell r="AB993">
            <v>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  <cell r="Y994">
            <v>1.7</v>
          </cell>
          <cell r="Z994">
            <v>1.4</v>
          </cell>
          <cell r="AA994">
            <v>1</v>
          </cell>
          <cell r="AB994">
            <v>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  <cell r="Y995">
            <v>1.3</v>
          </cell>
          <cell r="Z995">
            <v>1.3</v>
          </cell>
          <cell r="AA995">
            <v>1.1000000000000001</v>
          </cell>
          <cell r="AB995">
            <v>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  <cell r="Y996">
            <v>1.7</v>
          </cell>
          <cell r="Z996">
            <v>1.4</v>
          </cell>
          <cell r="AA996">
            <v>1</v>
          </cell>
          <cell r="AB996">
            <v>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  <cell r="Y997">
            <v>1.7</v>
          </cell>
          <cell r="Z997">
            <v>1.4</v>
          </cell>
          <cell r="AA997">
            <v>1</v>
          </cell>
          <cell r="AB997">
            <v>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  <cell r="Y998">
            <v>1.7</v>
          </cell>
          <cell r="Z998">
            <v>1.4</v>
          </cell>
          <cell r="AA998">
            <v>1</v>
          </cell>
          <cell r="AB998">
            <v>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  <cell r="Y999">
            <v>1.3</v>
          </cell>
          <cell r="Z999">
            <v>1.3</v>
          </cell>
          <cell r="AA999">
            <v>1.1000000000000001</v>
          </cell>
          <cell r="AB999">
            <v>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  <cell r="Y1000">
            <v>1.7</v>
          </cell>
          <cell r="Z1000">
            <v>1.4</v>
          </cell>
          <cell r="AA1000">
            <v>1</v>
          </cell>
          <cell r="AB1000">
            <v>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  <cell r="Y1001">
            <v>1.3</v>
          </cell>
          <cell r="Z1001">
            <v>1.3</v>
          </cell>
          <cell r="AA1001">
            <v>1.1000000000000001</v>
          </cell>
          <cell r="AB1001">
            <v>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  <cell r="Y1002">
            <v>1.7</v>
          </cell>
          <cell r="Z1002">
            <v>1.4</v>
          </cell>
          <cell r="AA1002">
            <v>1</v>
          </cell>
          <cell r="AB1002">
            <v>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  <cell r="Y1003">
            <v>1.3</v>
          </cell>
          <cell r="Z1003">
            <v>1.3</v>
          </cell>
          <cell r="AA1003">
            <v>1.1000000000000001</v>
          </cell>
          <cell r="AB1003">
            <v>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  <cell r="Y1004">
            <v>1.7</v>
          </cell>
          <cell r="Z1004">
            <v>1.4</v>
          </cell>
          <cell r="AA1004">
            <v>1</v>
          </cell>
          <cell r="AB1004">
            <v>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  <cell r="Y1005">
            <v>1.3</v>
          </cell>
          <cell r="Z1005">
            <v>1.3</v>
          </cell>
          <cell r="AA1005">
            <v>1.1000000000000001</v>
          </cell>
          <cell r="AB1005">
            <v>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  <cell r="Y1006">
            <v>1.7</v>
          </cell>
          <cell r="Z1006">
            <v>1.4</v>
          </cell>
          <cell r="AA1006">
            <v>1</v>
          </cell>
          <cell r="AB1006">
            <v>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  <cell r="Y1007">
            <v>1.3</v>
          </cell>
          <cell r="Z1007">
            <v>1.3</v>
          </cell>
          <cell r="AA1007">
            <v>1.1000000000000001</v>
          </cell>
          <cell r="AB1007">
            <v>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  <cell r="Y1008">
            <v>1.7</v>
          </cell>
          <cell r="Z1008">
            <v>1.4</v>
          </cell>
          <cell r="AA1008">
            <v>1</v>
          </cell>
          <cell r="AB1008">
            <v>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  <cell r="Y1009">
            <v>1.7</v>
          </cell>
          <cell r="Z1009">
            <v>1.4</v>
          </cell>
          <cell r="AA1009">
            <v>1</v>
          </cell>
          <cell r="AB1009">
            <v>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  <cell r="Y1010">
            <v>1.7</v>
          </cell>
          <cell r="Z1010">
            <v>1.4</v>
          </cell>
          <cell r="AA1010">
            <v>1</v>
          </cell>
          <cell r="AB1010">
            <v>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  <cell r="Y1011">
            <v>1.7</v>
          </cell>
          <cell r="Z1011">
            <v>1.4</v>
          </cell>
          <cell r="AA1011">
            <v>1</v>
          </cell>
          <cell r="AB1011">
            <v>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  <cell r="Y1012">
            <v>1.7</v>
          </cell>
          <cell r="Z1012">
            <v>1.4</v>
          </cell>
          <cell r="AA1012">
            <v>1</v>
          </cell>
          <cell r="AB1012">
            <v>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  <cell r="Y1013">
            <v>1.7</v>
          </cell>
          <cell r="Z1013">
            <v>1.4</v>
          </cell>
          <cell r="AA1013">
            <v>1</v>
          </cell>
          <cell r="AB1013">
            <v>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  <cell r="Y1014">
            <v>1.7</v>
          </cell>
          <cell r="Z1014">
            <v>1.4</v>
          </cell>
          <cell r="AA1014">
            <v>1</v>
          </cell>
          <cell r="AB1014">
            <v>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  <cell r="Y1015">
            <v>1.7</v>
          </cell>
          <cell r="Z1015">
            <v>1.4</v>
          </cell>
          <cell r="AA1015">
            <v>1</v>
          </cell>
          <cell r="AB1015">
            <v>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  <cell r="Y1016">
            <v>1.7</v>
          </cell>
          <cell r="Z1016">
            <v>1.4</v>
          </cell>
          <cell r="AA1016">
            <v>1</v>
          </cell>
          <cell r="AB1016">
            <v>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  <cell r="Y1017">
            <v>1.3</v>
          </cell>
          <cell r="Z1017">
            <v>1.3</v>
          </cell>
          <cell r="AA1017">
            <v>1.1000000000000001</v>
          </cell>
          <cell r="AB1017">
            <v>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  <cell r="Y1018">
            <v>1.7</v>
          </cell>
          <cell r="Z1018">
            <v>1.4</v>
          </cell>
          <cell r="AA1018">
            <v>1</v>
          </cell>
          <cell r="AB1018">
            <v>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  <cell r="Y1019">
            <v>1.7</v>
          </cell>
          <cell r="Z1019">
            <v>1.4</v>
          </cell>
          <cell r="AA1019">
            <v>1</v>
          </cell>
          <cell r="AB1019">
            <v>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  <cell r="Y1020">
            <v>1.7</v>
          </cell>
          <cell r="Z1020">
            <v>1.4</v>
          </cell>
          <cell r="AA1020">
            <v>1</v>
          </cell>
          <cell r="AB1020">
            <v>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  <cell r="Y1021">
            <v>1.3</v>
          </cell>
          <cell r="Z1021">
            <v>1.3</v>
          </cell>
          <cell r="AA1021">
            <v>1.1000000000000001</v>
          </cell>
          <cell r="AB1021">
            <v>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  <cell r="Y1022">
            <v>1.7</v>
          </cell>
          <cell r="Z1022">
            <v>1.4</v>
          </cell>
          <cell r="AA1022">
            <v>1</v>
          </cell>
          <cell r="AB1022">
            <v>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  <cell r="Y1023">
            <v>1.3</v>
          </cell>
          <cell r="Z1023">
            <v>1.3</v>
          </cell>
          <cell r="AA1023">
            <v>1.1000000000000001</v>
          </cell>
          <cell r="AB1023">
            <v>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  <cell r="Y1024">
            <v>1.7</v>
          </cell>
          <cell r="Z1024">
            <v>1.4</v>
          </cell>
          <cell r="AA1024">
            <v>1</v>
          </cell>
          <cell r="AB1024">
            <v>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  <cell r="Y1025">
            <v>1.7</v>
          </cell>
          <cell r="Z1025">
            <v>1.4</v>
          </cell>
          <cell r="AA1025">
            <v>1</v>
          </cell>
          <cell r="AB1025">
            <v>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  <cell r="Y1026">
            <v>1.7</v>
          </cell>
          <cell r="Z1026">
            <v>1.4</v>
          </cell>
          <cell r="AA1026">
            <v>1</v>
          </cell>
          <cell r="AB1026">
            <v>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  <cell r="Y1027">
            <v>1.3</v>
          </cell>
          <cell r="Z1027">
            <v>1.3</v>
          </cell>
          <cell r="AA1027">
            <v>1.1000000000000001</v>
          </cell>
          <cell r="AB1027">
            <v>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  <cell r="Y1028">
            <v>1.7</v>
          </cell>
          <cell r="Z1028">
            <v>1.4</v>
          </cell>
          <cell r="AA1028">
            <v>1</v>
          </cell>
          <cell r="AB1028">
            <v>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  <cell r="Y1029">
            <v>1.7</v>
          </cell>
          <cell r="Z1029">
            <v>1.4</v>
          </cell>
          <cell r="AA1029">
            <v>1</v>
          </cell>
          <cell r="AB1029">
            <v>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  <cell r="Y1030">
            <v>1.7</v>
          </cell>
          <cell r="Z1030">
            <v>1.4</v>
          </cell>
          <cell r="AA1030">
            <v>1</v>
          </cell>
          <cell r="AB1030">
            <v>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  <cell r="Y1031">
            <v>1.7</v>
          </cell>
          <cell r="Z1031">
            <v>1.4</v>
          </cell>
          <cell r="AA1031">
            <v>1</v>
          </cell>
          <cell r="AB1031">
            <v>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  <cell r="Y1032">
            <v>1.7</v>
          </cell>
          <cell r="Z1032">
            <v>1.4</v>
          </cell>
          <cell r="AA1032">
            <v>1</v>
          </cell>
          <cell r="AB1032">
            <v>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  <cell r="Y1033">
            <v>1.7</v>
          </cell>
          <cell r="Z1033">
            <v>1.4</v>
          </cell>
          <cell r="AA1033">
            <v>1</v>
          </cell>
          <cell r="AB1033">
            <v>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  <cell r="Y1034">
            <v>1.7</v>
          </cell>
          <cell r="Z1034">
            <v>1.4</v>
          </cell>
          <cell r="AA1034">
            <v>1</v>
          </cell>
          <cell r="AB1034">
            <v>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  <cell r="Y1035">
            <v>1.7</v>
          </cell>
          <cell r="Z1035">
            <v>1.4</v>
          </cell>
          <cell r="AA1035">
            <v>1</v>
          </cell>
          <cell r="AB1035">
            <v>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  <cell r="Y1036">
            <v>1.7</v>
          </cell>
          <cell r="Z1036">
            <v>1.4</v>
          </cell>
          <cell r="AA1036">
            <v>1</v>
          </cell>
          <cell r="AB1036">
            <v>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  <cell r="Y1037">
            <v>1.7</v>
          </cell>
          <cell r="Z1037">
            <v>1.4</v>
          </cell>
          <cell r="AA1037">
            <v>1</v>
          </cell>
          <cell r="AB1037">
            <v>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  <cell r="Y1038">
            <v>1.7</v>
          </cell>
          <cell r="Z1038">
            <v>1.4</v>
          </cell>
          <cell r="AA1038">
            <v>1</v>
          </cell>
          <cell r="AB1038">
            <v>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  <cell r="Y1039">
            <v>1.7</v>
          </cell>
          <cell r="Z1039">
            <v>1.4</v>
          </cell>
          <cell r="AA1039">
            <v>1</v>
          </cell>
          <cell r="AB1039">
            <v>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  <cell r="Y1040">
            <v>1.7</v>
          </cell>
          <cell r="Z1040">
            <v>1.4</v>
          </cell>
          <cell r="AA1040">
            <v>1</v>
          </cell>
          <cell r="AB1040">
            <v>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  <cell r="Y1041">
            <v>1.7</v>
          </cell>
          <cell r="Z1041">
            <v>1.4</v>
          </cell>
          <cell r="AA1041">
            <v>1</v>
          </cell>
          <cell r="AB1041">
            <v>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  <cell r="Y1042">
            <v>1.7</v>
          </cell>
          <cell r="Z1042">
            <v>1.4</v>
          </cell>
          <cell r="AA1042">
            <v>1</v>
          </cell>
          <cell r="AB1042">
            <v>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  <cell r="Y1043">
            <v>1.7</v>
          </cell>
          <cell r="Z1043">
            <v>1.4</v>
          </cell>
          <cell r="AA1043">
            <v>1</v>
          </cell>
          <cell r="AB1043">
            <v>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  <cell r="Y1044">
            <v>1.7</v>
          </cell>
          <cell r="Z1044">
            <v>1.4</v>
          </cell>
          <cell r="AA1044">
            <v>1</v>
          </cell>
          <cell r="AB1044">
            <v>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  <cell r="Y1045">
            <v>1.7</v>
          </cell>
          <cell r="Z1045">
            <v>1.4</v>
          </cell>
          <cell r="AA1045">
            <v>1</v>
          </cell>
          <cell r="AB1045">
            <v>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  <cell r="Y1046">
            <v>1.7</v>
          </cell>
          <cell r="Z1046">
            <v>1.4</v>
          </cell>
          <cell r="AA1046">
            <v>1</v>
          </cell>
          <cell r="AB1046">
            <v>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  <cell r="Y1047">
            <v>1.7</v>
          </cell>
          <cell r="Z1047">
            <v>1.4</v>
          </cell>
          <cell r="AA1047">
            <v>1</v>
          </cell>
          <cell r="AB1047">
            <v>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  <cell r="Y1048">
            <v>1.7</v>
          </cell>
          <cell r="Z1048">
            <v>1.4</v>
          </cell>
          <cell r="AA1048">
            <v>1</v>
          </cell>
          <cell r="AB1048">
            <v>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  <cell r="Y1049">
            <v>1.7</v>
          </cell>
          <cell r="Z1049">
            <v>1.4</v>
          </cell>
          <cell r="AA1049">
            <v>1</v>
          </cell>
          <cell r="AB1049">
            <v>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  <cell r="Y1050">
            <v>1.7</v>
          </cell>
          <cell r="Z1050">
            <v>1.4</v>
          </cell>
          <cell r="AA1050">
            <v>1</v>
          </cell>
          <cell r="AB1050">
            <v>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  <cell r="Y1051">
            <v>1.7</v>
          </cell>
          <cell r="Z1051">
            <v>1.4</v>
          </cell>
          <cell r="AA1051">
            <v>1</v>
          </cell>
          <cell r="AB1051">
            <v>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  <cell r="Y1052">
            <v>1.7</v>
          </cell>
          <cell r="Z1052">
            <v>1.4</v>
          </cell>
          <cell r="AA1052">
            <v>1</v>
          </cell>
          <cell r="AB1052">
            <v>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  <cell r="Y1053">
            <v>1.7</v>
          </cell>
          <cell r="Z1053">
            <v>1.4</v>
          </cell>
          <cell r="AA1053">
            <v>1</v>
          </cell>
          <cell r="AB1053">
            <v>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  <cell r="Y1054">
            <v>1.7</v>
          </cell>
          <cell r="Z1054">
            <v>1.4</v>
          </cell>
          <cell r="AA1054">
            <v>1</v>
          </cell>
          <cell r="AB1054">
            <v>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  <cell r="Y1055">
            <v>1.7</v>
          </cell>
          <cell r="Z1055">
            <v>1.4</v>
          </cell>
          <cell r="AA1055">
            <v>1</v>
          </cell>
          <cell r="AB1055">
            <v>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  <cell r="Y1056">
            <v>1.7</v>
          </cell>
          <cell r="Z1056">
            <v>1.4</v>
          </cell>
          <cell r="AA1056">
            <v>1</v>
          </cell>
          <cell r="AB1056">
            <v>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  <cell r="Y1057">
            <v>1.7</v>
          </cell>
          <cell r="Z1057">
            <v>1.4</v>
          </cell>
          <cell r="AA1057">
            <v>1</v>
          </cell>
          <cell r="AB1057">
            <v>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  <cell r="Y1058">
            <v>1.7</v>
          </cell>
          <cell r="Z1058">
            <v>1.4</v>
          </cell>
          <cell r="AA1058">
            <v>1</v>
          </cell>
          <cell r="AB1058">
            <v>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  <cell r="Y1059">
            <v>1.7</v>
          </cell>
          <cell r="Z1059">
            <v>1.4</v>
          </cell>
          <cell r="AA1059">
            <v>1</v>
          </cell>
          <cell r="AB1059">
            <v>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  <cell r="Y1060">
            <v>1.3</v>
          </cell>
          <cell r="Z1060">
            <v>1.3</v>
          </cell>
          <cell r="AA1060">
            <v>1.1000000000000001</v>
          </cell>
          <cell r="AB1060">
            <v>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  <cell r="Y1061">
            <v>1.7</v>
          </cell>
          <cell r="Z1061">
            <v>1.4</v>
          </cell>
          <cell r="AA1061">
            <v>1</v>
          </cell>
          <cell r="AB1061">
            <v>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  <cell r="Y1062">
            <v>1.3</v>
          </cell>
          <cell r="Z1062">
            <v>1.3</v>
          </cell>
          <cell r="AA1062">
            <v>1.1000000000000001</v>
          </cell>
          <cell r="AB1062">
            <v>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  <cell r="Y1063">
            <v>1.7</v>
          </cell>
          <cell r="Z1063">
            <v>1.4</v>
          </cell>
          <cell r="AA1063">
            <v>1</v>
          </cell>
          <cell r="AB1063">
            <v>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  <cell r="Y1064">
            <v>1.7</v>
          </cell>
          <cell r="Z1064">
            <v>1.4</v>
          </cell>
          <cell r="AA1064">
            <v>1</v>
          </cell>
          <cell r="AB1064">
            <v>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  <cell r="Y1065">
            <v>1.7</v>
          </cell>
          <cell r="Z1065">
            <v>1.4</v>
          </cell>
          <cell r="AA1065">
            <v>1</v>
          </cell>
          <cell r="AB1065">
            <v>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  <cell r="Y1066">
            <v>1.7</v>
          </cell>
          <cell r="Z1066">
            <v>1.4</v>
          </cell>
          <cell r="AA1066">
            <v>1</v>
          </cell>
          <cell r="AB1066">
            <v>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  <cell r="Y1067">
            <v>1.7</v>
          </cell>
          <cell r="Z1067">
            <v>1.4</v>
          </cell>
          <cell r="AA1067">
            <v>1</v>
          </cell>
          <cell r="AB1067">
            <v>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  <cell r="Y1068">
            <v>1.3</v>
          </cell>
          <cell r="Z1068">
            <v>1.3</v>
          </cell>
          <cell r="AA1068">
            <v>1.1000000000000001</v>
          </cell>
          <cell r="AB1068">
            <v>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  <cell r="Y1069">
            <v>1.7</v>
          </cell>
          <cell r="Z1069">
            <v>1.4</v>
          </cell>
          <cell r="AA1069">
            <v>1</v>
          </cell>
          <cell r="AB1069">
            <v>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  <cell r="Y1070">
            <v>1.7</v>
          </cell>
          <cell r="Z1070">
            <v>1.4</v>
          </cell>
          <cell r="AA1070">
            <v>1</v>
          </cell>
          <cell r="AB1070">
            <v>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  <cell r="Y1071">
            <v>1.7</v>
          </cell>
          <cell r="Z1071">
            <v>1.4</v>
          </cell>
          <cell r="AA1071">
            <v>1</v>
          </cell>
          <cell r="AB1071">
            <v>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  <cell r="Y1072">
            <v>1.7</v>
          </cell>
          <cell r="Z1072">
            <v>1.4</v>
          </cell>
          <cell r="AA1072">
            <v>1</v>
          </cell>
          <cell r="AB1072">
            <v>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  <cell r="Y1073">
            <v>1.7</v>
          </cell>
          <cell r="Z1073">
            <v>1.4</v>
          </cell>
          <cell r="AA1073">
            <v>1</v>
          </cell>
          <cell r="AB1073">
            <v>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  <cell r="Y1074">
            <v>1.7</v>
          </cell>
          <cell r="Z1074">
            <v>1.4</v>
          </cell>
          <cell r="AA1074">
            <v>1</v>
          </cell>
          <cell r="AB1074">
            <v>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  <cell r="Y1075">
            <v>1.7</v>
          </cell>
          <cell r="Z1075">
            <v>1.4</v>
          </cell>
          <cell r="AA1075">
            <v>1</v>
          </cell>
          <cell r="AB1075">
            <v>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  <cell r="Y1076">
            <v>1.7</v>
          </cell>
          <cell r="Z1076">
            <v>1.4</v>
          </cell>
          <cell r="AA1076">
            <v>1</v>
          </cell>
          <cell r="AB1076">
            <v>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  <cell r="Y1077">
            <v>1.7</v>
          </cell>
          <cell r="Z1077">
            <v>1.4</v>
          </cell>
          <cell r="AA1077">
            <v>1</v>
          </cell>
          <cell r="AB1077">
            <v>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  <cell r="Y1078">
            <v>1.7</v>
          </cell>
          <cell r="Z1078">
            <v>1.4</v>
          </cell>
          <cell r="AA1078">
            <v>1</v>
          </cell>
          <cell r="AB1078">
            <v>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  <cell r="Y1079">
            <v>1.7</v>
          </cell>
          <cell r="Z1079">
            <v>1.4</v>
          </cell>
          <cell r="AA1079">
            <v>1</v>
          </cell>
          <cell r="AB1079">
            <v>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  <cell r="Y1080">
            <v>1.1000000000000001</v>
          </cell>
          <cell r="Z1080">
            <v>1.2</v>
          </cell>
          <cell r="AA1080">
            <v>1.2</v>
          </cell>
          <cell r="AB1080">
            <v>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  <cell r="Y1081">
            <v>1.1000000000000001</v>
          </cell>
          <cell r="Z1081">
            <v>1.2</v>
          </cell>
          <cell r="AA1081">
            <v>1.2</v>
          </cell>
          <cell r="AB1081">
            <v>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  <cell r="Y1082">
            <v>1.1000000000000001</v>
          </cell>
          <cell r="Z1082">
            <v>1.2</v>
          </cell>
          <cell r="AA1082">
            <v>1.2</v>
          </cell>
          <cell r="AB1082">
            <v>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  <cell r="Y1083">
            <v>1.1000000000000001</v>
          </cell>
          <cell r="Z1083">
            <v>1.2</v>
          </cell>
          <cell r="AA1083">
            <v>1.2</v>
          </cell>
          <cell r="AB1083">
            <v>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  <cell r="Y1084">
            <v>1.7</v>
          </cell>
          <cell r="Z1084">
            <v>1.4</v>
          </cell>
          <cell r="AA1084">
            <v>1</v>
          </cell>
          <cell r="AB1084">
            <v>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  <cell r="Y1085">
            <v>1.7</v>
          </cell>
          <cell r="Z1085">
            <v>1.4</v>
          </cell>
          <cell r="AA1085">
            <v>1</v>
          </cell>
          <cell r="AB1085">
            <v>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  <cell r="Y1086">
            <v>1.7</v>
          </cell>
          <cell r="Z1086">
            <v>1.4</v>
          </cell>
          <cell r="AA1086">
            <v>1</v>
          </cell>
          <cell r="AB1086">
            <v>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  <cell r="Y1087">
            <v>1.7</v>
          </cell>
          <cell r="Z1087">
            <v>1.4</v>
          </cell>
          <cell r="AA1087">
            <v>1</v>
          </cell>
          <cell r="AB1087">
            <v>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  <cell r="Y1088">
            <v>1.7</v>
          </cell>
          <cell r="Z1088">
            <v>1.4</v>
          </cell>
          <cell r="AA1088">
            <v>1</v>
          </cell>
          <cell r="AB1088">
            <v>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  <cell r="Y1089">
            <v>1.7</v>
          </cell>
          <cell r="Z1089">
            <v>1.4</v>
          </cell>
          <cell r="AA1089">
            <v>1</v>
          </cell>
          <cell r="AB1089">
            <v>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  <cell r="Y1090">
            <v>1.7</v>
          </cell>
          <cell r="Z1090">
            <v>1.4</v>
          </cell>
          <cell r="AA1090">
            <v>1</v>
          </cell>
          <cell r="AB1090">
            <v>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  <cell r="Y1091">
            <v>1.7</v>
          </cell>
          <cell r="Z1091">
            <v>1.4</v>
          </cell>
          <cell r="AA1091">
            <v>1</v>
          </cell>
          <cell r="AB1091">
            <v>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  <cell r="Y1092">
            <v>1.7</v>
          </cell>
          <cell r="Z1092">
            <v>1.4</v>
          </cell>
          <cell r="AA1092">
            <v>1</v>
          </cell>
          <cell r="AB1092">
            <v>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  <cell r="Y1093">
            <v>1.7</v>
          </cell>
          <cell r="Z1093">
            <v>1.4</v>
          </cell>
          <cell r="AA1093">
            <v>1</v>
          </cell>
          <cell r="AB1093">
            <v>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  <cell r="Y1094">
            <v>1.7</v>
          </cell>
          <cell r="Z1094">
            <v>1.4</v>
          </cell>
          <cell r="AA1094">
            <v>1</v>
          </cell>
          <cell r="AB1094">
            <v>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  <cell r="Y1095">
            <v>1.3</v>
          </cell>
          <cell r="Z1095">
            <v>1.3</v>
          </cell>
          <cell r="AA1095">
            <v>1.1000000000000001</v>
          </cell>
          <cell r="AB1095">
            <v>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  <cell r="Y1096">
            <v>1.7</v>
          </cell>
          <cell r="Z1096">
            <v>1.4</v>
          </cell>
          <cell r="AA1096">
            <v>1</v>
          </cell>
          <cell r="AB1096">
            <v>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  <cell r="Y1097">
            <v>1.3</v>
          </cell>
          <cell r="Z1097">
            <v>1.3</v>
          </cell>
          <cell r="AA1097">
            <v>1.1000000000000001</v>
          </cell>
          <cell r="AB1097">
            <v>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  <cell r="Y1098">
            <v>1.7</v>
          </cell>
          <cell r="Z1098">
            <v>1.4</v>
          </cell>
          <cell r="AA1098">
            <v>1</v>
          </cell>
          <cell r="AB1098">
            <v>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  <cell r="Y1099">
            <v>1.7</v>
          </cell>
          <cell r="Z1099">
            <v>1.4</v>
          </cell>
          <cell r="AA1099">
            <v>1</v>
          </cell>
          <cell r="AB1099">
            <v>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  <cell r="Y1100">
            <v>1.7</v>
          </cell>
          <cell r="Z1100">
            <v>1.4</v>
          </cell>
          <cell r="AA1100">
            <v>1</v>
          </cell>
          <cell r="AB1100">
            <v>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  <cell r="Y1101">
            <v>1.7</v>
          </cell>
          <cell r="Z1101">
            <v>1.4</v>
          </cell>
          <cell r="AA1101">
            <v>1</v>
          </cell>
          <cell r="AB1101">
            <v>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  <cell r="Y1102">
            <v>1.7</v>
          </cell>
          <cell r="Z1102">
            <v>1.4</v>
          </cell>
          <cell r="AA1102">
            <v>1</v>
          </cell>
          <cell r="AB1102">
            <v>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  <cell r="Y1103">
            <v>1.7</v>
          </cell>
          <cell r="Z1103">
            <v>1.4</v>
          </cell>
          <cell r="AA1103">
            <v>1</v>
          </cell>
          <cell r="AB1103">
            <v>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  <cell r="Y1104">
            <v>1.7</v>
          </cell>
          <cell r="Z1104">
            <v>1.4</v>
          </cell>
          <cell r="AA1104">
            <v>1</v>
          </cell>
          <cell r="AB1104">
            <v>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  <cell r="Y1105">
            <v>1.3</v>
          </cell>
          <cell r="Z1105">
            <v>1.3</v>
          </cell>
          <cell r="AA1105">
            <v>1.1000000000000001</v>
          </cell>
          <cell r="AB1105">
            <v>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  <cell r="Y1106">
            <v>1.7</v>
          </cell>
          <cell r="Z1106">
            <v>1.4</v>
          </cell>
          <cell r="AA1106">
            <v>1</v>
          </cell>
          <cell r="AB1106">
            <v>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  <cell r="Y1107">
            <v>1.7</v>
          </cell>
          <cell r="Z1107">
            <v>1.4</v>
          </cell>
          <cell r="AA1107">
            <v>1</v>
          </cell>
          <cell r="AB1107">
            <v>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  <cell r="Y1108">
            <v>1.7</v>
          </cell>
          <cell r="Z1108">
            <v>1.4</v>
          </cell>
          <cell r="AA1108">
            <v>1</v>
          </cell>
          <cell r="AB1108">
            <v>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  <cell r="Y1109">
            <v>1.7</v>
          </cell>
          <cell r="Z1109">
            <v>1.4</v>
          </cell>
          <cell r="AA1109">
            <v>1</v>
          </cell>
          <cell r="AB1109">
            <v>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  <cell r="Y1110">
            <v>1.7</v>
          </cell>
          <cell r="Z1110">
            <v>1.4</v>
          </cell>
          <cell r="AA1110">
            <v>1</v>
          </cell>
          <cell r="AB1110">
            <v>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  <cell r="Y1111">
            <v>1.7</v>
          </cell>
          <cell r="Z1111">
            <v>1.4</v>
          </cell>
          <cell r="AA1111">
            <v>1</v>
          </cell>
          <cell r="AB1111">
            <v>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  <cell r="Y1112">
            <v>1.7</v>
          </cell>
          <cell r="Z1112">
            <v>1.4</v>
          </cell>
          <cell r="AA1112">
            <v>1</v>
          </cell>
          <cell r="AB1112">
            <v>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  <cell r="Y1113">
            <v>1.7</v>
          </cell>
          <cell r="Z1113">
            <v>1.4</v>
          </cell>
          <cell r="AA1113">
            <v>1</v>
          </cell>
          <cell r="AB1113">
            <v>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  <cell r="Y1114">
            <v>1.7</v>
          </cell>
          <cell r="Z1114">
            <v>1.4</v>
          </cell>
          <cell r="AA1114">
            <v>1</v>
          </cell>
          <cell r="AB1114">
            <v>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  <cell r="Y1115">
            <v>1.7</v>
          </cell>
          <cell r="Z1115">
            <v>1.4</v>
          </cell>
          <cell r="AA1115">
            <v>1</v>
          </cell>
          <cell r="AB1115">
            <v>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  <cell r="Y1116">
            <v>1.7</v>
          </cell>
          <cell r="Z1116">
            <v>1.4</v>
          </cell>
          <cell r="AA1116">
            <v>1</v>
          </cell>
          <cell r="AB1116">
            <v>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  <cell r="Y1117">
            <v>1.7</v>
          </cell>
          <cell r="Z1117">
            <v>1.4</v>
          </cell>
          <cell r="AA1117">
            <v>1</v>
          </cell>
          <cell r="AB1117">
            <v>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  <cell r="Y1118">
            <v>1.7</v>
          </cell>
          <cell r="Z1118">
            <v>1.4</v>
          </cell>
          <cell r="AA1118">
            <v>1</v>
          </cell>
          <cell r="AB1118">
            <v>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  <cell r="Y1119">
            <v>1.7</v>
          </cell>
          <cell r="Z1119">
            <v>1.4</v>
          </cell>
          <cell r="AA1119">
            <v>1</v>
          </cell>
          <cell r="AB1119">
            <v>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  <cell r="Y1120">
            <v>1.7</v>
          </cell>
          <cell r="Z1120">
            <v>1.4</v>
          </cell>
          <cell r="AA1120">
            <v>1</v>
          </cell>
          <cell r="AB1120">
            <v>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  <cell r="Y1121">
            <v>1.7</v>
          </cell>
          <cell r="Z1121">
            <v>1.4</v>
          </cell>
          <cell r="AA1121">
            <v>1</v>
          </cell>
          <cell r="AB1121">
            <v>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  <cell r="Y1122">
            <v>1.7</v>
          </cell>
          <cell r="Z1122">
            <v>1.4</v>
          </cell>
          <cell r="AA1122">
            <v>1</v>
          </cell>
          <cell r="AB1122">
            <v>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  <cell r="Y1123">
            <v>1.7</v>
          </cell>
          <cell r="Z1123">
            <v>1.4</v>
          </cell>
          <cell r="AA1123">
            <v>1</v>
          </cell>
          <cell r="AB1123">
            <v>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  <cell r="Y1124">
            <v>1.7</v>
          </cell>
          <cell r="Z1124">
            <v>1.4</v>
          </cell>
          <cell r="AA1124">
            <v>1</v>
          </cell>
          <cell r="AB1124">
            <v>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  <cell r="Y1125">
            <v>1.7</v>
          </cell>
          <cell r="Z1125">
            <v>1.4</v>
          </cell>
          <cell r="AA1125">
            <v>1</v>
          </cell>
          <cell r="AB1125">
            <v>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  <cell r="Y1126">
            <v>1.7</v>
          </cell>
          <cell r="Z1126">
            <v>1.4</v>
          </cell>
          <cell r="AA1126">
            <v>1</v>
          </cell>
          <cell r="AB1126">
            <v>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  <cell r="Y1127">
            <v>1.7</v>
          </cell>
          <cell r="Z1127">
            <v>1.4</v>
          </cell>
          <cell r="AA1127">
            <v>1</v>
          </cell>
          <cell r="AB1127">
            <v>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  <cell r="Y1128">
            <v>1.7</v>
          </cell>
          <cell r="Z1128">
            <v>1.4</v>
          </cell>
          <cell r="AA1128">
            <v>1</v>
          </cell>
          <cell r="AB1128">
            <v>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  <cell r="Y1129">
            <v>1.7</v>
          </cell>
          <cell r="Z1129">
            <v>1.4</v>
          </cell>
          <cell r="AA1129">
            <v>1</v>
          </cell>
          <cell r="AB1129">
            <v>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  <cell r="Y1130">
            <v>1.7</v>
          </cell>
          <cell r="Z1130">
            <v>1.4</v>
          </cell>
          <cell r="AA1130">
            <v>1</v>
          </cell>
          <cell r="AB1130">
            <v>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  <cell r="Y1131">
            <v>1.7</v>
          </cell>
          <cell r="Z1131">
            <v>1.4</v>
          </cell>
          <cell r="AA1131">
            <v>1</v>
          </cell>
          <cell r="AB1131">
            <v>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  <cell r="Y1132">
            <v>1.7</v>
          </cell>
          <cell r="Z1132">
            <v>1.4</v>
          </cell>
          <cell r="AA1132">
            <v>1</v>
          </cell>
          <cell r="AB1132">
            <v>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  <cell r="Y1133">
            <v>1.7</v>
          </cell>
          <cell r="Z1133">
            <v>1.4</v>
          </cell>
          <cell r="AA1133">
            <v>1</v>
          </cell>
          <cell r="AB1133">
            <v>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  <cell r="Y1134">
            <v>1.7</v>
          </cell>
          <cell r="Z1134">
            <v>1.4</v>
          </cell>
          <cell r="AA1134">
            <v>1</v>
          </cell>
          <cell r="AB1134">
            <v>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  <cell r="Y1135">
            <v>1.7</v>
          </cell>
          <cell r="Z1135">
            <v>1.4</v>
          </cell>
          <cell r="AA1135">
            <v>1</v>
          </cell>
          <cell r="AB1135">
            <v>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  <cell r="Y1136">
            <v>1.7</v>
          </cell>
          <cell r="Z1136">
            <v>1.4</v>
          </cell>
          <cell r="AA1136">
            <v>1</v>
          </cell>
          <cell r="AB1136">
            <v>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  <cell r="Y1137">
            <v>1.7</v>
          </cell>
          <cell r="Z1137">
            <v>1.4</v>
          </cell>
          <cell r="AA1137">
            <v>1</v>
          </cell>
          <cell r="AB1137">
            <v>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  <cell r="Y1138">
            <v>1.7</v>
          </cell>
          <cell r="Z1138">
            <v>1.4</v>
          </cell>
          <cell r="AA1138">
            <v>1</v>
          </cell>
          <cell r="AB1138">
            <v>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  <cell r="Y1139">
            <v>1.7</v>
          </cell>
          <cell r="Z1139">
            <v>1.4</v>
          </cell>
          <cell r="AA1139">
            <v>1</v>
          </cell>
          <cell r="AB1139">
            <v>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  <cell r="Y1140">
            <v>1.7</v>
          </cell>
          <cell r="Z1140">
            <v>1.4</v>
          </cell>
          <cell r="AA1140">
            <v>1</v>
          </cell>
          <cell r="AB1140">
            <v>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  <cell r="Y1141">
            <v>1.7</v>
          </cell>
          <cell r="Z1141">
            <v>1.4</v>
          </cell>
          <cell r="AA1141">
            <v>1</v>
          </cell>
          <cell r="AB1141">
            <v>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  <cell r="Y1142">
            <v>1.7</v>
          </cell>
          <cell r="Z1142">
            <v>1.4</v>
          </cell>
          <cell r="AA1142">
            <v>1</v>
          </cell>
          <cell r="AB1142">
            <v>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  <cell r="Y1143">
            <v>1.7</v>
          </cell>
          <cell r="Z1143">
            <v>1.4</v>
          </cell>
          <cell r="AA1143">
            <v>1</v>
          </cell>
          <cell r="AB1143">
            <v>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  <cell r="Y1144">
            <v>1.3</v>
          </cell>
          <cell r="Z1144">
            <v>1.3</v>
          </cell>
          <cell r="AA1144">
            <v>1.1000000000000001</v>
          </cell>
          <cell r="AB1144">
            <v>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  <cell r="Y1145">
            <v>1.7</v>
          </cell>
          <cell r="Z1145">
            <v>1.4</v>
          </cell>
          <cell r="AA1145">
            <v>1</v>
          </cell>
          <cell r="AB1145">
            <v>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  <cell r="Y1146">
            <v>1.3</v>
          </cell>
          <cell r="Z1146">
            <v>1.3</v>
          </cell>
          <cell r="AA1146">
            <v>1.1000000000000001</v>
          </cell>
          <cell r="AB1146">
            <v>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  <cell r="Y1147">
            <v>1.7</v>
          </cell>
          <cell r="Z1147">
            <v>1.4</v>
          </cell>
          <cell r="AA1147">
            <v>1</v>
          </cell>
          <cell r="AB1147">
            <v>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  <cell r="Y1148">
            <v>1.7</v>
          </cell>
          <cell r="Z1148">
            <v>1.4</v>
          </cell>
          <cell r="AA1148">
            <v>1</v>
          </cell>
          <cell r="AB1148">
            <v>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  <cell r="Y1149">
            <v>1.7</v>
          </cell>
          <cell r="Z1149">
            <v>1.4</v>
          </cell>
          <cell r="AA1149">
            <v>1</v>
          </cell>
          <cell r="AB1149">
            <v>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  <cell r="Y1150">
            <v>1.7</v>
          </cell>
          <cell r="Z1150">
            <v>1.4</v>
          </cell>
          <cell r="AA1150">
            <v>1</v>
          </cell>
          <cell r="AB1150">
            <v>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  <cell r="Y1151">
            <v>1.7</v>
          </cell>
          <cell r="Z1151">
            <v>1.4</v>
          </cell>
          <cell r="AA1151">
            <v>1</v>
          </cell>
          <cell r="AB1151">
            <v>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  <cell r="Y1152">
            <v>1.3</v>
          </cell>
          <cell r="Z1152">
            <v>1.3</v>
          </cell>
          <cell r="AA1152">
            <v>1.1000000000000001</v>
          </cell>
          <cell r="AB1152">
            <v>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  <cell r="Y1153">
            <v>1.7</v>
          </cell>
          <cell r="Z1153">
            <v>1.4</v>
          </cell>
          <cell r="AA1153">
            <v>1</v>
          </cell>
          <cell r="AB1153">
            <v>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  <cell r="Y1154">
            <v>1.7</v>
          </cell>
          <cell r="Z1154">
            <v>1.4</v>
          </cell>
          <cell r="AA1154">
            <v>1</v>
          </cell>
          <cell r="AB1154">
            <v>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  <cell r="Y1155">
            <v>1.7</v>
          </cell>
          <cell r="Z1155">
            <v>1.4</v>
          </cell>
          <cell r="AA1155">
            <v>1</v>
          </cell>
          <cell r="AB1155">
            <v>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  <cell r="Y1156">
            <v>1.7</v>
          </cell>
          <cell r="Z1156">
            <v>1.4</v>
          </cell>
          <cell r="AA1156">
            <v>1</v>
          </cell>
          <cell r="AB1156">
            <v>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  <cell r="Y1157">
            <v>1.7</v>
          </cell>
          <cell r="Z1157">
            <v>1.4</v>
          </cell>
          <cell r="AA1157">
            <v>1</v>
          </cell>
          <cell r="AB1157">
            <v>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  <cell r="Y1158">
            <v>1.7</v>
          </cell>
          <cell r="Z1158">
            <v>1.4</v>
          </cell>
          <cell r="AA1158">
            <v>1</v>
          </cell>
          <cell r="AB1158">
            <v>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  <cell r="Y1159">
            <v>1.7</v>
          </cell>
          <cell r="Z1159">
            <v>1.4</v>
          </cell>
          <cell r="AA1159">
            <v>1</v>
          </cell>
          <cell r="AB1159">
            <v>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  <cell r="Y1160">
            <v>1.7</v>
          </cell>
          <cell r="Z1160">
            <v>1.4</v>
          </cell>
          <cell r="AA1160">
            <v>1</v>
          </cell>
          <cell r="AB1160">
            <v>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  <cell r="Y1161">
            <v>1.7</v>
          </cell>
          <cell r="Z1161">
            <v>1.4</v>
          </cell>
          <cell r="AA1161">
            <v>1</v>
          </cell>
          <cell r="AB1161">
            <v>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  <cell r="Y1162">
            <v>1.7</v>
          </cell>
          <cell r="Z1162">
            <v>1.4</v>
          </cell>
          <cell r="AA1162">
            <v>1</v>
          </cell>
          <cell r="AB1162">
            <v>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  <cell r="Y1163">
            <v>1.7</v>
          </cell>
          <cell r="Z1163">
            <v>1.4</v>
          </cell>
          <cell r="AA1163">
            <v>1</v>
          </cell>
          <cell r="AB1163">
            <v>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  <cell r="Y1164">
            <v>1.7</v>
          </cell>
          <cell r="Z1164">
            <v>1.4</v>
          </cell>
          <cell r="AA1164">
            <v>1</v>
          </cell>
          <cell r="AB1164">
            <v>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  <cell r="Y1165">
            <v>1.7</v>
          </cell>
          <cell r="Z1165">
            <v>1.4</v>
          </cell>
          <cell r="AA1165">
            <v>1</v>
          </cell>
          <cell r="AB1165">
            <v>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  <cell r="Y1166">
            <v>1.7</v>
          </cell>
          <cell r="Z1166">
            <v>1.4</v>
          </cell>
          <cell r="AA1166">
            <v>1</v>
          </cell>
          <cell r="AB1166">
            <v>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  <cell r="Y1167">
            <v>1.7</v>
          </cell>
          <cell r="Z1167">
            <v>1.4</v>
          </cell>
          <cell r="AA1167">
            <v>1</v>
          </cell>
          <cell r="AB1167">
            <v>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  <cell r="Y1168">
            <v>1.7</v>
          </cell>
          <cell r="Z1168">
            <v>1.4</v>
          </cell>
          <cell r="AA1168">
            <v>1</v>
          </cell>
          <cell r="AB1168">
            <v>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  <cell r="Y1169">
            <v>1.7</v>
          </cell>
          <cell r="Z1169">
            <v>1.4</v>
          </cell>
          <cell r="AA1169">
            <v>1</v>
          </cell>
          <cell r="AB1169">
            <v>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  <cell r="Y1170">
            <v>1.7</v>
          </cell>
          <cell r="Z1170">
            <v>1.4</v>
          </cell>
          <cell r="AA1170">
            <v>1</v>
          </cell>
          <cell r="AB1170">
            <v>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  <cell r="Y1171">
            <v>1.7</v>
          </cell>
          <cell r="Z1171">
            <v>1.4</v>
          </cell>
          <cell r="AA1171">
            <v>1</v>
          </cell>
          <cell r="AB1171">
            <v>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  <cell r="Y1172">
            <v>1.7</v>
          </cell>
          <cell r="Z1172">
            <v>1.4</v>
          </cell>
          <cell r="AA1172">
            <v>1</v>
          </cell>
          <cell r="AB1172">
            <v>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  <cell r="Y1173">
            <v>1.7</v>
          </cell>
          <cell r="Z1173">
            <v>1.4</v>
          </cell>
          <cell r="AA1173">
            <v>1</v>
          </cell>
          <cell r="AB1173">
            <v>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  <cell r="Y1174">
            <v>1.7</v>
          </cell>
          <cell r="Z1174">
            <v>1.4</v>
          </cell>
          <cell r="AA1174">
            <v>1</v>
          </cell>
          <cell r="AB1174">
            <v>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  <cell r="Y1175">
            <v>1.7</v>
          </cell>
          <cell r="Z1175">
            <v>1.4</v>
          </cell>
          <cell r="AA1175">
            <v>1</v>
          </cell>
          <cell r="AB1175">
            <v>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  <cell r="Y1176">
            <v>1.7</v>
          </cell>
          <cell r="Z1176">
            <v>1.4</v>
          </cell>
          <cell r="AA1176">
            <v>1</v>
          </cell>
          <cell r="AB1176">
            <v>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  <cell r="Y1177">
            <v>1.7</v>
          </cell>
          <cell r="Z1177">
            <v>1.4</v>
          </cell>
          <cell r="AA1177">
            <v>1</v>
          </cell>
          <cell r="AB1177">
            <v>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  <cell r="Y1178">
            <v>1.7</v>
          </cell>
          <cell r="Z1178">
            <v>1.4</v>
          </cell>
          <cell r="AA1178">
            <v>1</v>
          </cell>
          <cell r="AB1178">
            <v>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  <cell r="Y1179">
            <v>1.7</v>
          </cell>
          <cell r="Z1179">
            <v>1.4</v>
          </cell>
          <cell r="AA1179">
            <v>1</v>
          </cell>
          <cell r="AB1179">
            <v>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  <cell r="Y1180">
            <v>1.7</v>
          </cell>
          <cell r="Z1180">
            <v>1.4</v>
          </cell>
          <cell r="AA1180">
            <v>1</v>
          </cell>
          <cell r="AB1180">
            <v>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  <cell r="Y1181">
            <v>1.7</v>
          </cell>
          <cell r="Z1181">
            <v>1.4</v>
          </cell>
          <cell r="AA1181">
            <v>1</v>
          </cell>
          <cell r="AB1181">
            <v>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  <cell r="Y1182">
            <v>1.7</v>
          </cell>
          <cell r="Z1182">
            <v>1.4</v>
          </cell>
          <cell r="AA1182">
            <v>1</v>
          </cell>
          <cell r="AB1182">
            <v>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  <cell r="Y1183">
            <v>1.7</v>
          </cell>
          <cell r="Z1183">
            <v>1.4</v>
          </cell>
          <cell r="AA1183">
            <v>1</v>
          </cell>
          <cell r="AB1183">
            <v>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  <cell r="Y1184">
            <v>1.7</v>
          </cell>
          <cell r="Z1184">
            <v>1.4</v>
          </cell>
          <cell r="AA1184">
            <v>1</v>
          </cell>
          <cell r="AB1184">
            <v>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  <cell r="Y1185">
            <v>1.7</v>
          </cell>
          <cell r="Z1185">
            <v>1.4</v>
          </cell>
          <cell r="AA1185">
            <v>1</v>
          </cell>
          <cell r="AB1185">
            <v>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  <cell r="Y1186">
            <v>1.7</v>
          </cell>
          <cell r="Z1186">
            <v>1.4</v>
          </cell>
          <cell r="AA1186">
            <v>1</v>
          </cell>
          <cell r="AB1186">
            <v>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  <cell r="Y1187">
            <v>1.7</v>
          </cell>
          <cell r="Z1187">
            <v>1.4</v>
          </cell>
          <cell r="AA1187">
            <v>1</v>
          </cell>
          <cell r="AB1187">
            <v>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  <cell r="Y1188">
            <v>1</v>
          </cell>
          <cell r="Z1188">
            <v>1</v>
          </cell>
          <cell r="AA1188">
            <v>1</v>
          </cell>
          <cell r="AB1188">
            <v>0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  <cell r="Y1189">
            <v>1</v>
          </cell>
          <cell r="Z1189">
            <v>1</v>
          </cell>
          <cell r="AA1189">
            <v>1</v>
          </cell>
          <cell r="AB1189">
            <v>0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  <cell r="Y1190">
            <v>1</v>
          </cell>
          <cell r="Z1190">
            <v>1</v>
          </cell>
          <cell r="AA1190">
            <v>1</v>
          </cell>
          <cell r="AB1190">
            <v>0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  <cell r="Y1191">
            <v>1</v>
          </cell>
          <cell r="Z1191">
            <v>1</v>
          </cell>
          <cell r="AA1191">
            <v>1</v>
          </cell>
          <cell r="AB1191">
            <v>0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  <cell r="Y1192">
            <v>1.7</v>
          </cell>
          <cell r="Z1192">
            <v>1.4</v>
          </cell>
          <cell r="AA1192">
            <v>1</v>
          </cell>
          <cell r="AB1192">
            <v>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  <cell r="Y1193">
            <v>1.7</v>
          </cell>
          <cell r="Z1193">
            <v>1.4</v>
          </cell>
          <cell r="AA1193">
            <v>1</v>
          </cell>
          <cell r="AB1193">
            <v>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  <cell r="Y1194">
            <v>1.7</v>
          </cell>
          <cell r="Z1194">
            <v>1.4</v>
          </cell>
          <cell r="AA1194">
            <v>1</v>
          </cell>
          <cell r="AB1194">
            <v>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  <cell r="Y1195">
            <v>1.7</v>
          </cell>
          <cell r="Z1195">
            <v>1.4</v>
          </cell>
          <cell r="AA1195">
            <v>1</v>
          </cell>
          <cell r="AB1195">
            <v>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  <cell r="Y1196">
            <v>1.7</v>
          </cell>
          <cell r="Z1196">
            <v>1.4</v>
          </cell>
          <cell r="AA1196">
            <v>1</v>
          </cell>
          <cell r="AB1196">
            <v>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  <cell r="Y1197">
            <v>1.7</v>
          </cell>
          <cell r="Z1197">
            <v>1.4</v>
          </cell>
          <cell r="AA1197">
            <v>1</v>
          </cell>
          <cell r="AB1197">
            <v>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  <cell r="Y1198">
            <v>1.7</v>
          </cell>
          <cell r="Z1198">
            <v>1.4</v>
          </cell>
          <cell r="AA1198">
            <v>1</v>
          </cell>
          <cell r="AB1198">
            <v>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  <cell r="Y1199">
            <v>1.7</v>
          </cell>
          <cell r="Z1199">
            <v>1.4</v>
          </cell>
          <cell r="AA1199">
            <v>1</v>
          </cell>
          <cell r="AB1199">
            <v>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  <cell r="Y1200">
            <v>1.7</v>
          </cell>
          <cell r="Z1200">
            <v>1.4</v>
          </cell>
          <cell r="AA1200">
            <v>1</v>
          </cell>
          <cell r="AB1200">
            <v>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  <cell r="Y1201">
            <v>1.3</v>
          </cell>
          <cell r="Z1201">
            <v>1.3</v>
          </cell>
          <cell r="AA1201">
            <v>1.1000000000000001</v>
          </cell>
          <cell r="AB1201">
            <v>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  <cell r="Y1202">
            <v>1.7</v>
          </cell>
          <cell r="Z1202">
            <v>1.4</v>
          </cell>
          <cell r="AA1202">
            <v>1</v>
          </cell>
          <cell r="AB1202">
            <v>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  <cell r="Y1203">
            <v>1.7</v>
          </cell>
          <cell r="Z1203">
            <v>1.4</v>
          </cell>
          <cell r="AA1203">
            <v>1</v>
          </cell>
          <cell r="AB1203">
            <v>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  <cell r="Y1204">
            <v>1.7</v>
          </cell>
          <cell r="Z1204">
            <v>1.4</v>
          </cell>
          <cell r="AA1204">
            <v>1</v>
          </cell>
          <cell r="AB1204">
            <v>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  <cell r="Y1205">
            <v>1.7</v>
          </cell>
          <cell r="Z1205">
            <v>1.4</v>
          </cell>
          <cell r="AA1205">
            <v>1</v>
          </cell>
          <cell r="AB1205">
            <v>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  <cell r="Y1206">
            <v>1.7</v>
          </cell>
          <cell r="Z1206">
            <v>1.4</v>
          </cell>
          <cell r="AA1206">
            <v>1</v>
          </cell>
          <cell r="AB1206">
            <v>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  <cell r="Y1207">
            <v>1.7</v>
          </cell>
          <cell r="Z1207">
            <v>1.4</v>
          </cell>
          <cell r="AA1207">
            <v>1</v>
          </cell>
          <cell r="AB1207">
            <v>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  <cell r="Y1208">
            <v>1.7</v>
          </cell>
          <cell r="Z1208">
            <v>1.4</v>
          </cell>
          <cell r="AA1208">
            <v>1</v>
          </cell>
          <cell r="AB1208">
            <v>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  <cell r="Y1209">
            <v>1.7</v>
          </cell>
          <cell r="Z1209">
            <v>1.4</v>
          </cell>
          <cell r="AA1209">
            <v>1</v>
          </cell>
          <cell r="AB1209">
            <v>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  <cell r="Y1210">
            <v>1.7</v>
          </cell>
          <cell r="Z1210">
            <v>1.4</v>
          </cell>
          <cell r="AA1210">
            <v>1</v>
          </cell>
          <cell r="AB1210">
            <v>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  <cell r="Y1211">
            <v>1.3</v>
          </cell>
          <cell r="Z1211">
            <v>1.3</v>
          </cell>
          <cell r="AA1211">
            <v>1.1000000000000001</v>
          </cell>
          <cell r="AB1211">
            <v>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  <cell r="Y1212">
            <v>1.7</v>
          </cell>
          <cell r="Z1212">
            <v>1.4</v>
          </cell>
          <cell r="AA1212">
            <v>1</v>
          </cell>
          <cell r="AB1212">
            <v>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  <cell r="Y1213">
            <v>1.7</v>
          </cell>
          <cell r="Z1213">
            <v>1.4</v>
          </cell>
          <cell r="AA1213">
            <v>1</v>
          </cell>
          <cell r="AB1213">
            <v>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  <cell r="Y1214">
            <v>1.7</v>
          </cell>
          <cell r="Z1214">
            <v>1.4</v>
          </cell>
          <cell r="AA1214">
            <v>1</v>
          </cell>
          <cell r="AB1214">
            <v>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  <cell r="Y1215">
            <v>1.7</v>
          </cell>
          <cell r="Z1215">
            <v>1.4</v>
          </cell>
          <cell r="AA1215">
            <v>1</v>
          </cell>
          <cell r="AB1215">
            <v>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  <cell r="Y1216">
            <v>1.7</v>
          </cell>
          <cell r="Z1216">
            <v>1.4</v>
          </cell>
          <cell r="AA1216">
            <v>1</v>
          </cell>
          <cell r="AB1216">
            <v>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  <cell r="Y1217">
            <v>1.3</v>
          </cell>
          <cell r="Z1217">
            <v>1.3</v>
          </cell>
          <cell r="AA1217">
            <v>1.1000000000000001</v>
          </cell>
          <cell r="AB1217">
            <v>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  <cell r="Y1218">
            <v>1.7</v>
          </cell>
          <cell r="Z1218">
            <v>1.4</v>
          </cell>
          <cell r="AA1218">
            <v>1</v>
          </cell>
          <cell r="AB1218">
            <v>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  <cell r="Y1219">
            <v>1.7</v>
          </cell>
          <cell r="Z1219">
            <v>1.4</v>
          </cell>
          <cell r="AA1219">
            <v>1</v>
          </cell>
          <cell r="AB1219">
            <v>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  <cell r="Y1220">
            <v>1.7</v>
          </cell>
          <cell r="Z1220">
            <v>1.4</v>
          </cell>
          <cell r="AA1220">
            <v>1</v>
          </cell>
          <cell r="AB1220">
            <v>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  <cell r="Y1221">
            <v>1.7</v>
          </cell>
          <cell r="Z1221">
            <v>1.4</v>
          </cell>
          <cell r="AA1221">
            <v>1</v>
          </cell>
          <cell r="AB1221">
            <v>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  <cell r="Y1222">
            <v>1.7</v>
          </cell>
          <cell r="Z1222">
            <v>1.4</v>
          </cell>
          <cell r="AA1222">
            <v>1</v>
          </cell>
          <cell r="AB1222">
            <v>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  <cell r="Y1223">
            <v>1.7</v>
          </cell>
          <cell r="Z1223">
            <v>1.4</v>
          </cell>
          <cell r="AA1223">
            <v>1</v>
          </cell>
          <cell r="AB1223">
            <v>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  <cell r="Y1224">
            <v>1.7</v>
          </cell>
          <cell r="Z1224">
            <v>1.4</v>
          </cell>
          <cell r="AA1224">
            <v>1</v>
          </cell>
          <cell r="AB1224">
            <v>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  <cell r="Y1225">
            <v>1.3</v>
          </cell>
          <cell r="Z1225">
            <v>1.3</v>
          </cell>
          <cell r="AA1225">
            <v>1.1000000000000001</v>
          </cell>
          <cell r="AB1225">
            <v>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  <cell r="Y1226">
            <v>1.7</v>
          </cell>
          <cell r="Z1226">
            <v>1.4</v>
          </cell>
          <cell r="AA1226">
            <v>1</v>
          </cell>
          <cell r="AB1226">
            <v>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  <cell r="Y1227">
            <v>1.7</v>
          </cell>
          <cell r="Z1227">
            <v>1.4</v>
          </cell>
          <cell r="AA1227">
            <v>1</v>
          </cell>
          <cell r="AB1227">
            <v>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  <cell r="Y1228">
            <v>1.7</v>
          </cell>
          <cell r="Z1228">
            <v>1.4</v>
          </cell>
          <cell r="AA1228">
            <v>1</v>
          </cell>
          <cell r="AB1228">
            <v>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  <cell r="Y1229">
            <v>1.7</v>
          </cell>
          <cell r="Z1229">
            <v>1.4</v>
          </cell>
          <cell r="AA1229">
            <v>1</v>
          </cell>
          <cell r="AB1229">
            <v>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  <cell r="Y1230">
            <v>1.7</v>
          </cell>
          <cell r="Z1230">
            <v>1.4</v>
          </cell>
          <cell r="AA1230">
            <v>1</v>
          </cell>
          <cell r="AB1230">
            <v>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  <cell r="Y1231">
            <v>1.7</v>
          </cell>
          <cell r="Z1231">
            <v>1.4</v>
          </cell>
          <cell r="AA1231">
            <v>1</v>
          </cell>
          <cell r="AB1231">
            <v>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  <cell r="Y1232">
            <v>1.7</v>
          </cell>
          <cell r="Z1232">
            <v>1.4</v>
          </cell>
          <cell r="AA1232">
            <v>1</v>
          </cell>
          <cell r="AB1232">
            <v>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  <cell r="Y1233">
            <v>1.7</v>
          </cell>
          <cell r="Z1233">
            <v>1.4</v>
          </cell>
          <cell r="AA1233">
            <v>1</v>
          </cell>
          <cell r="AB1233">
            <v>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  <cell r="Y1234">
            <v>1.7</v>
          </cell>
          <cell r="Z1234">
            <v>1.4</v>
          </cell>
          <cell r="AA1234">
            <v>1</v>
          </cell>
          <cell r="AB1234">
            <v>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  <cell r="Y1235">
            <v>1.7</v>
          </cell>
          <cell r="Z1235">
            <v>1.4</v>
          </cell>
          <cell r="AA1235">
            <v>1</v>
          </cell>
          <cell r="AB1235">
            <v>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  <cell r="Y1236">
            <v>1.7</v>
          </cell>
          <cell r="Z1236">
            <v>1.4</v>
          </cell>
          <cell r="AA1236">
            <v>1</v>
          </cell>
          <cell r="AB1236">
            <v>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  <cell r="Y1237">
            <v>1.3</v>
          </cell>
          <cell r="Z1237">
            <v>1.3</v>
          </cell>
          <cell r="AA1237">
            <v>1.1000000000000001</v>
          </cell>
          <cell r="AB1237">
            <v>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  <cell r="Y1238">
            <v>1.7</v>
          </cell>
          <cell r="Z1238">
            <v>1.4</v>
          </cell>
          <cell r="AA1238">
            <v>1</v>
          </cell>
          <cell r="AB1238">
            <v>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  <cell r="Y1239">
            <v>1.7</v>
          </cell>
          <cell r="Z1239">
            <v>1.4</v>
          </cell>
          <cell r="AA1239">
            <v>1</v>
          </cell>
          <cell r="AB1239">
            <v>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  <cell r="Y1240">
            <v>1.7</v>
          </cell>
          <cell r="Z1240">
            <v>1.4</v>
          </cell>
          <cell r="AA1240">
            <v>1</v>
          </cell>
          <cell r="AB1240">
            <v>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  <cell r="Y1241">
            <v>1.7</v>
          </cell>
          <cell r="Z1241">
            <v>1.4</v>
          </cell>
          <cell r="AA1241">
            <v>1</v>
          </cell>
          <cell r="AB1241">
            <v>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  <cell r="Y1242">
            <v>1.7</v>
          </cell>
          <cell r="Z1242">
            <v>1.4</v>
          </cell>
          <cell r="AA1242">
            <v>1</v>
          </cell>
          <cell r="AB1242">
            <v>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  <cell r="Y1243">
            <v>1.7</v>
          </cell>
          <cell r="Z1243">
            <v>1.4</v>
          </cell>
          <cell r="AA1243">
            <v>1</v>
          </cell>
          <cell r="AB1243">
            <v>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  <cell r="Y1244">
            <v>1.7</v>
          </cell>
          <cell r="Z1244">
            <v>1.4</v>
          </cell>
          <cell r="AA1244">
            <v>1</v>
          </cell>
          <cell r="AB1244">
            <v>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  <cell r="Y1245">
            <v>1.7</v>
          </cell>
          <cell r="Z1245">
            <v>1.4</v>
          </cell>
          <cell r="AA1245">
            <v>1</v>
          </cell>
          <cell r="AB1245">
            <v>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  <cell r="Y1246">
            <v>1.7</v>
          </cell>
          <cell r="Z1246">
            <v>1.4</v>
          </cell>
          <cell r="AA1246">
            <v>1</v>
          </cell>
          <cell r="AB1246">
            <v>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  <cell r="Y1247">
            <v>1.7</v>
          </cell>
          <cell r="Z1247">
            <v>1.4</v>
          </cell>
          <cell r="AA1247">
            <v>1</v>
          </cell>
          <cell r="AB1247">
            <v>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  <cell r="Y1248">
            <v>1.7</v>
          </cell>
          <cell r="Z1248">
            <v>1.4</v>
          </cell>
          <cell r="AA1248">
            <v>1</v>
          </cell>
          <cell r="AB1248">
            <v>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  <cell r="Y1249">
            <v>1.3</v>
          </cell>
          <cell r="Z1249">
            <v>1.3</v>
          </cell>
          <cell r="AA1249">
            <v>1.1000000000000001</v>
          </cell>
          <cell r="AB1249">
            <v>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  <cell r="Y1250">
            <v>1.7</v>
          </cell>
          <cell r="Z1250">
            <v>1.4</v>
          </cell>
          <cell r="AA1250">
            <v>1</v>
          </cell>
          <cell r="AB1250">
            <v>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  <cell r="Y1251">
            <v>1.7</v>
          </cell>
          <cell r="Z1251">
            <v>1.4</v>
          </cell>
          <cell r="AA1251">
            <v>1</v>
          </cell>
          <cell r="AB1251">
            <v>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  <cell r="Y1252">
            <v>1.7</v>
          </cell>
          <cell r="Z1252">
            <v>1.4</v>
          </cell>
          <cell r="AA1252">
            <v>1</v>
          </cell>
          <cell r="AB1252">
            <v>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  <cell r="Y1253">
            <v>1.3</v>
          </cell>
          <cell r="Z1253">
            <v>1.3</v>
          </cell>
          <cell r="AA1253">
            <v>1.1000000000000001</v>
          </cell>
          <cell r="AB1253">
            <v>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  <cell r="Y1254">
            <v>1.7</v>
          </cell>
          <cell r="Z1254">
            <v>1.4</v>
          </cell>
          <cell r="AA1254">
            <v>1</v>
          </cell>
          <cell r="AB1254">
            <v>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  <cell r="Y1255">
            <v>1.7</v>
          </cell>
          <cell r="Z1255">
            <v>1.4</v>
          </cell>
          <cell r="AA1255">
            <v>1</v>
          </cell>
          <cell r="AB1255">
            <v>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  <cell r="Y1256">
            <v>1.7</v>
          </cell>
          <cell r="Z1256">
            <v>1.4</v>
          </cell>
          <cell r="AA1256">
            <v>1</v>
          </cell>
          <cell r="AB1256">
            <v>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  <cell r="Y1257">
            <v>1.7</v>
          </cell>
          <cell r="Z1257">
            <v>1.4</v>
          </cell>
          <cell r="AA1257">
            <v>1</v>
          </cell>
          <cell r="AB1257">
            <v>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  <cell r="Y1258">
            <v>1.7</v>
          </cell>
          <cell r="Z1258">
            <v>1.4</v>
          </cell>
          <cell r="AA1258">
            <v>1</v>
          </cell>
          <cell r="AB1258">
            <v>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  <cell r="Y1259">
            <v>1.7</v>
          </cell>
          <cell r="Z1259">
            <v>1.4</v>
          </cell>
          <cell r="AA1259">
            <v>1</v>
          </cell>
          <cell r="AB1259">
            <v>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  <cell r="Y1260">
            <v>1.7</v>
          </cell>
          <cell r="Z1260">
            <v>1.4</v>
          </cell>
          <cell r="AA1260">
            <v>1</v>
          </cell>
          <cell r="AB1260">
            <v>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  <cell r="Y1261">
            <v>1.7</v>
          </cell>
          <cell r="Z1261">
            <v>1.4</v>
          </cell>
          <cell r="AA1261">
            <v>1</v>
          </cell>
          <cell r="AB1261">
            <v>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  <cell r="Y1262">
            <v>1.7</v>
          </cell>
          <cell r="Z1262">
            <v>1.4</v>
          </cell>
          <cell r="AA1262">
            <v>1</v>
          </cell>
          <cell r="AB1262">
            <v>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  <cell r="Y1263">
            <v>1.7</v>
          </cell>
          <cell r="Z1263">
            <v>1.4</v>
          </cell>
          <cell r="AA1263">
            <v>1</v>
          </cell>
          <cell r="AB1263">
            <v>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  <cell r="Y1264">
            <v>1.7</v>
          </cell>
          <cell r="Z1264">
            <v>1.4</v>
          </cell>
          <cell r="AA1264">
            <v>1</v>
          </cell>
          <cell r="AB1264">
            <v>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  <cell r="Y1265">
            <v>1.7</v>
          </cell>
          <cell r="Z1265">
            <v>1.4</v>
          </cell>
          <cell r="AA1265">
            <v>1</v>
          </cell>
          <cell r="AB1265">
            <v>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  <cell r="Y1266">
            <v>1.7</v>
          </cell>
          <cell r="Z1266">
            <v>1.4</v>
          </cell>
          <cell r="AA1266">
            <v>1</v>
          </cell>
          <cell r="AB1266">
            <v>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  <cell r="Y1267">
            <v>1.3</v>
          </cell>
          <cell r="Z1267">
            <v>1.3</v>
          </cell>
          <cell r="AA1267">
            <v>1.1000000000000001</v>
          </cell>
          <cell r="AB1267">
            <v>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  <cell r="Y1268">
            <v>1.7</v>
          </cell>
          <cell r="Z1268">
            <v>1.4</v>
          </cell>
          <cell r="AA1268">
            <v>1</v>
          </cell>
          <cell r="AB1268">
            <v>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  <cell r="Y1269">
            <v>1.7</v>
          </cell>
          <cell r="Z1269">
            <v>1.4</v>
          </cell>
          <cell r="AA1269">
            <v>1</v>
          </cell>
          <cell r="AB1269">
            <v>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  <cell r="Y1270">
            <v>1.7</v>
          </cell>
          <cell r="Z1270">
            <v>1.4</v>
          </cell>
          <cell r="AA1270">
            <v>1</v>
          </cell>
          <cell r="AB1270">
            <v>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  <cell r="Y1271">
            <v>1.7</v>
          </cell>
          <cell r="Z1271">
            <v>1.4</v>
          </cell>
          <cell r="AA1271">
            <v>1</v>
          </cell>
          <cell r="AB1271">
            <v>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  <cell r="Y1272">
            <v>1.7</v>
          </cell>
          <cell r="Z1272">
            <v>1.4</v>
          </cell>
          <cell r="AA1272">
            <v>1</v>
          </cell>
          <cell r="AB1272">
            <v>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  <cell r="Y1273">
            <v>1.7</v>
          </cell>
          <cell r="Z1273">
            <v>1.4</v>
          </cell>
          <cell r="AA1273">
            <v>1</v>
          </cell>
          <cell r="AB1273">
            <v>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  <cell r="Y1274">
            <v>1.7</v>
          </cell>
          <cell r="Z1274">
            <v>1.4</v>
          </cell>
          <cell r="AA1274">
            <v>1</v>
          </cell>
          <cell r="AB1274">
            <v>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  <cell r="Y1275">
            <v>1.7</v>
          </cell>
          <cell r="Z1275">
            <v>1.4</v>
          </cell>
          <cell r="AA1275">
            <v>1</v>
          </cell>
          <cell r="AB1275">
            <v>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  <cell r="Y1276">
            <v>1.7</v>
          </cell>
          <cell r="Z1276">
            <v>1.4</v>
          </cell>
          <cell r="AA1276">
            <v>1</v>
          </cell>
          <cell r="AB1276">
            <v>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  <cell r="Y1277">
            <v>1.7</v>
          </cell>
          <cell r="Z1277">
            <v>1.4</v>
          </cell>
          <cell r="AA1277">
            <v>1</v>
          </cell>
          <cell r="AB1277">
            <v>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  <cell r="Y1278">
            <v>1.7</v>
          </cell>
          <cell r="Z1278">
            <v>1.4</v>
          </cell>
          <cell r="AA1278">
            <v>1</v>
          </cell>
          <cell r="AB1278">
            <v>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  <cell r="Y1279">
            <v>1.7</v>
          </cell>
          <cell r="Z1279">
            <v>1.4</v>
          </cell>
          <cell r="AA1279">
            <v>1</v>
          </cell>
          <cell r="AB1279">
            <v>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  <cell r="Y1280">
            <v>1.7</v>
          </cell>
          <cell r="Z1280">
            <v>1.4</v>
          </cell>
          <cell r="AA1280">
            <v>1</v>
          </cell>
          <cell r="AB1280">
            <v>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  <cell r="Y1281">
            <v>1.7</v>
          </cell>
          <cell r="Z1281">
            <v>1.4</v>
          </cell>
          <cell r="AA1281">
            <v>1</v>
          </cell>
          <cell r="AB1281">
            <v>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  <cell r="Y1282">
            <v>1.7</v>
          </cell>
          <cell r="Z1282">
            <v>1.4</v>
          </cell>
          <cell r="AA1282">
            <v>1</v>
          </cell>
          <cell r="AB1282">
            <v>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  <cell r="Y1283">
            <v>1.7</v>
          </cell>
          <cell r="Z1283">
            <v>1.4</v>
          </cell>
          <cell r="AA1283">
            <v>1</v>
          </cell>
          <cell r="AB1283">
            <v>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  <cell r="Y1284">
            <v>1.7</v>
          </cell>
          <cell r="Z1284">
            <v>1.4</v>
          </cell>
          <cell r="AA1284">
            <v>1</v>
          </cell>
          <cell r="AB1284">
            <v>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  <cell r="Y1285">
            <v>1.7</v>
          </cell>
          <cell r="Z1285">
            <v>1.4</v>
          </cell>
          <cell r="AA1285">
            <v>1</v>
          </cell>
          <cell r="AB1285">
            <v>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  <cell r="Y1286">
            <v>1.7</v>
          </cell>
          <cell r="Z1286">
            <v>1.4</v>
          </cell>
          <cell r="AA1286">
            <v>1</v>
          </cell>
          <cell r="AB1286">
            <v>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  <cell r="Y1287">
            <v>1.7</v>
          </cell>
          <cell r="Z1287">
            <v>1.4</v>
          </cell>
          <cell r="AA1287">
            <v>1</v>
          </cell>
          <cell r="AB1287">
            <v>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  <cell r="Y1288">
            <v>1.7</v>
          </cell>
          <cell r="Z1288">
            <v>1.4</v>
          </cell>
          <cell r="AA1288">
            <v>1</v>
          </cell>
          <cell r="AB1288">
            <v>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  <cell r="Y1289">
            <v>1.7</v>
          </cell>
          <cell r="Z1289">
            <v>1.4</v>
          </cell>
          <cell r="AA1289">
            <v>1</v>
          </cell>
          <cell r="AB1289">
            <v>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  <cell r="Y1290">
            <v>1.7</v>
          </cell>
          <cell r="Z1290">
            <v>1.4</v>
          </cell>
          <cell r="AA1290">
            <v>1</v>
          </cell>
          <cell r="AB1290">
            <v>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  <cell r="Y1291">
            <v>1.7</v>
          </cell>
          <cell r="Z1291">
            <v>1.4</v>
          </cell>
          <cell r="AA1291">
            <v>1</v>
          </cell>
          <cell r="AB1291">
            <v>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  <cell r="Y1292">
            <v>1.7</v>
          </cell>
          <cell r="Z1292">
            <v>1.4</v>
          </cell>
          <cell r="AA1292">
            <v>1</v>
          </cell>
          <cell r="AB1292">
            <v>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  <cell r="Y1293">
            <v>1.7</v>
          </cell>
          <cell r="Z1293">
            <v>1.4</v>
          </cell>
          <cell r="AA1293">
            <v>1</v>
          </cell>
          <cell r="AB1293">
            <v>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  <cell r="Y1294">
            <v>1.7</v>
          </cell>
          <cell r="Z1294">
            <v>1.4</v>
          </cell>
          <cell r="AA1294">
            <v>1</v>
          </cell>
          <cell r="AB1294">
            <v>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  <cell r="Y1295">
            <v>1.7</v>
          </cell>
          <cell r="Z1295">
            <v>1.4</v>
          </cell>
          <cell r="AA1295">
            <v>1</v>
          </cell>
          <cell r="AB1295">
            <v>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  <cell r="Y1296">
            <v>1.7</v>
          </cell>
          <cell r="Z1296">
            <v>1.4</v>
          </cell>
          <cell r="AA1296">
            <v>1</v>
          </cell>
          <cell r="AB1296">
            <v>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  <cell r="Y1297">
            <v>1.7</v>
          </cell>
          <cell r="Z1297">
            <v>1.4</v>
          </cell>
          <cell r="AA1297">
            <v>1</v>
          </cell>
          <cell r="AB1297">
            <v>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  <cell r="Y1298">
            <v>1.7</v>
          </cell>
          <cell r="Z1298">
            <v>1.4</v>
          </cell>
          <cell r="AA1298">
            <v>1</v>
          </cell>
          <cell r="AB1298">
            <v>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  <cell r="Y1299">
            <v>1.7</v>
          </cell>
          <cell r="Z1299">
            <v>1.4</v>
          </cell>
          <cell r="AA1299">
            <v>1</v>
          </cell>
          <cell r="AB1299">
            <v>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  <cell r="Y1300">
            <v>1.7</v>
          </cell>
          <cell r="Z1300">
            <v>1.4</v>
          </cell>
          <cell r="AA1300">
            <v>1</v>
          </cell>
          <cell r="AB1300">
            <v>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  <cell r="Y1301">
            <v>1.7</v>
          </cell>
          <cell r="Z1301">
            <v>1.4</v>
          </cell>
          <cell r="AA1301">
            <v>1</v>
          </cell>
          <cell r="AB1301">
            <v>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  <cell r="Y1302">
            <v>1.7</v>
          </cell>
          <cell r="Z1302">
            <v>1.4</v>
          </cell>
          <cell r="AA1302">
            <v>1</v>
          </cell>
          <cell r="AB1302">
            <v>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  <cell r="Y1303">
            <v>1.7</v>
          </cell>
          <cell r="Z1303">
            <v>1.4</v>
          </cell>
          <cell r="AA1303">
            <v>1</v>
          </cell>
          <cell r="AB1303">
            <v>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  <cell r="Y1304">
            <v>1.7</v>
          </cell>
          <cell r="Z1304">
            <v>1.4</v>
          </cell>
          <cell r="AA1304">
            <v>1</v>
          </cell>
          <cell r="AB1304">
            <v>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  <cell r="Y1305">
            <v>1.7</v>
          </cell>
          <cell r="Z1305">
            <v>1.4</v>
          </cell>
          <cell r="AA1305">
            <v>1</v>
          </cell>
          <cell r="AB1305">
            <v>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  <cell r="Y1306">
            <v>1.7</v>
          </cell>
          <cell r="Z1306">
            <v>1.4</v>
          </cell>
          <cell r="AA1306">
            <v>1</v>
          </cell>
          <cell r="AB1306">
            <v>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  <cell r="Y1307">
            <v>1.3</v>
          </cell>
          <cell r="Z1307">
            <v>1.3</v>
          </cell>
          <cell r="AA1307">
            <v>1.1000000000000001</v>
          </cell>
          <cell r="AB1307">
            <v>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  <cell r="Y1308">
            <v>1.7</v>
          </cell>
          <cell r="Z1308">
            <v>1.4</v>
          </cell>
          <cell r="AA1308">
            <v>1</v>
          </cell>
          <cell r="AB1308">
            <v>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  <cell r="Y1309">
            <v>1.7</v>
          </cell>
          <cell r="Z1309">
            <v>1.4</v>
          </cell>
          <cell r="AA1309">
            <v>1</v>
          </cell>
          <cell r="AB1309">
            <v>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  <cell r="Y1310">
            <v>1.7</v>
          </cell>
          <cell r="Z1310">
            <v>1.4</v>
          </cell>
          <cell r="AA1310">
            <v>1</v>
          </cell>
          <cell r="AB1310">
            <v>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  <cell r="Y1311">
            <v>1.7</v>
          </cell>
          <cell r="Z1311">
            <v>1.4</v>
          </cell>
          <cell r="AA1311">
            <v>1</v>
          </cell>
          <cell r="AB1311">
            <v>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  <cell r="Y1312">
            <v>1.7</v>
          </cell>
          <cell r="Z1312">
            <v>1.4</v>
          </cell>
          <cell r="AA1312">
            <v>1</v>
          </cell>
          <cell r="AB1312">
            <v>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  <cell r="Y1313">
            <v>1.7</v>
          </cell>
          <cell r="Z1313">
            <v>1.4</v>
          </cell>
          <cell r="AA1313">
            <v>1</v>
          </cell>
          <cell r="AB1313">
            <v>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  <cell r="Y1314">
            <v>1.7</v>
          </cell>
          <cell r="Z1314">
            <v>1.4</v>
          </cell>
          <cell r="AA1314">
            <v>1</v>
          </cell>
          <cell r="AB1314">
            <v>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  <cell r="Y1315">
            <v>1.7</v>
          </cell>
          <cell r="Z1315">
            <v>1.4</v>
          </cell>
          <cell r="AA1315">
            <v>1</v>
          </cell>
          <cell r="AB1315">
            <v>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  <cell r="Y1316">
            <v>1.7</v>
          </cell>
          <cell r="Z1316">
            <v>1.4</v>
          </cell>
          <cell r="AA1316">
            <v>1</v>
          </cell>
          <cell r="AB1316">
            <v>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  <cell r="Y1317">
            <v>1.3</v>
          </cell>
          <cell r="Z1317">
            <v>1.3</v>
          </cell>
          <cell r="AA1317">
            <v>1.1000000000000001</v>
          </cell>
          <cell r="AB1317">
            <v>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  <cell r="Y1318">
            <v>1.7</v>
          </cell>
          <cell r="Z1318">
            <v>1.4</v>
          </cell>
          <cell r="AA1318">
            <v>1</v>
          </cell>
          <cell r="AB1318">
            <v>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  <cell r="Y1319">
            <v>1.7</v>
          </cell>
          <cell r="Z1319">
            <v>1.4</v>
          </cell>
          <cell r="AA1319">
            <v>1</v>
          </cell>
          <cell r="AB1319">
            <v>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  <cell r="Y1320">
            <v>1.7</v>
          </cell>
          <cell r="Z1320">
            <v>1.4</v>
          </cell>
          <cell r="AA1320">
            <v>1</v>
          </cell>
          <cell r="AB1320">
            <v>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  <cell r="Y1321">
            <v>1.7</v>
          </cell>
          <cell r="Z1321">
            <v>1.4</v>
          </cell>
          <cell r="AA1321">
            <v>1</v>
          </cell>
          <cell r="AB1321">
            <v>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  <cell r="Y1322">
            <v>1.7</v>
          </cell>
          <cell r="Z1322">
            <v>1.4</v>
          </cell>
          <cell r="AA1322">
            <v>1</v>
          </cell>
          <cell r="AB1322">
            <v>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  <cell r="Y1323">
            <v>1.7</v>
          </cell>
          <cell r="Z1323">
            <v>1.4</v>
          </cell>
          <cell r="AA1323">
            <v>1</v>
          </cell>
          <cell r="AB1323">
            <v>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  <cell r="Y1324">
            <v>1.7</v>
          </cell>
          <cell r="Z1324">
            <v>1.4</v>
          </cell>
          <cell r="AA1324">
            <v>1</v>
          </cell>
          <cell r="AB1324">
            <v>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  <cell r="Y1325">
            <v>1.7</v>
          </cell>
          <cell r="Z1325">
            <v>1.4</v>
          </cell>
          <cell r="AA1325">
            <v>1</v>
          </cell>
          <cell r="AB1325">
            <v>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  <cell r="Y1326">
            <v>1.7</v>
          </cell>
          <cell r="Z1326">
            <v>1.4</v>
          </cell>
          <cell r="AA1326">
            <v>1</v>
          </cell>
          <cell r="AB1326">
            <v>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  <cell r="Y1327">
            <v>1.7</v>
          </cell>
          <cell r="Z1327">
            <v>1.4</v>
          </cell>
          <cell r="AA1327">
            <v>1</v>
          </cell>
          <cell r="AB1327">
            <v>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  <cell r="Y1328">
            <v>1.7</v>
          </cell>
          <cell r="Z1328">
            <v>1.4</v>
          </cell>
          <cell r="AA1328">
            <v>1</v>
          </cell>
          <cell r="AB1328">
            <v>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  <cell r="Y1329">
            <v>1.7</v>
          </cell>
          <cell r="Z1329">
            <v>1.4</v>
          </cell>
          <cell r="AA1329">
            <v>1</v>
          </cell>
          <cell r="AB1329">
            <v>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  <cell r="Y1330">
            <v>1.7</v>
          </cell>
          <cell r="Z1330">
            <v>1.4</v>
          </cell>
          <cell r="AA1330">
            <v>1</v>
          </cell>
          <cell r="AB1330">
            <v>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  <cell r="Y1331">
            <v>1.7</v>
          </cell>
          <cell r="Z1331">
            <v>1.4</v>
          </cell>
          <cell r="AA1331">
            <v>1</v>
          </cell>
          <cell r="AB1331">
            <v>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  <cell r="Y1332">
            <v>1.7</v>
          </cell>
          <cell r="Z1332">
            <v>1.4</v>
          </cell>
          <cell r="AA1332">
            <v>1</v>
          </cell>
          <cell r="AB1332">
            <v>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  <cell r="Y1333">
            <v>1.7</v>
          </cell>
          <cell r="Z1333">
            <v>1.4</v>
          </cell>
          <cell r="AA1333">
            <v>1</v>
          </cell>
          <cell r="AB1333">
            <v>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  <cell r="Y1334">
            <v>1.7</v>
          </cell>
          <cell r="Z1334">
            <v>1.4</v>
          </cell>
          <cell r="AA1334">
            <v>1</v>
          </cell>
          <cell r="AB1334">
            <v>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  <cell r="Y1335">
            <v>1.7</v>
          </cell>
          <cell r="Z1335">
            <v>1.4</v>
          </cell>
          <cell r="AA1335">
            <v>1</v>
          </cell>
          <cell r="AB1335">
            <v>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  <cell r="Y1336">
            <v>1.7</v>
          </cell>
          <cell r="Z1336">
            <v>1.4</v>
          </cell>
          <cell r="AA1336">
            <v>1</v>
          </cell>
          <cell r="AB1336">
            <v>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  <cell r="Y1337">
            <v>1.7</v>
          </cell>
          <cell r="Z1337">
            <v>1.4</v>
          </cell>
          <cell r="AA1337">
            <v>1</v>
          </cell>
          <cell r="AB1337">
            <v>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  <cell r="Y1338">
            <v>1.7</v>
          </cell>
          <cell r="Z1338">
            <v>1.4</v>
          </cell>
          <cell r="AA1338">
            <v>1</v>
          </cell>
          <cell r="AB1338">
            <v>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  <cell r="Y1339">
            <v>1.7</v>
          </cell>
          <cell r="Z1339">
            <v>1.4</v>
          </cell>
          <cell r="AA1339">
            <v>1</v>
          </cell>
          <cell r="AB1339">
            <v>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  <cell r="Y1340">
            <v>1</v>
          </cell>
          <cell r="Z1340">
            <v>1</v>
          </cell>
          <cell r="AA1340">
            <v>1</v>
          </cell>
          <cell r="AB1340">
            <v>0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  <cell r="Y1341">
            <v>1</v>
          </cell>
          <cell r="Z1341">
            <v>1</v>
          </cell>
          <cell r="AA1341">
            <v>1</v>
          </cell>
          <cell r="AB1341">
            <v>0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  <cell r="Y1342">
            <v>1</v>
          </cell>
          <cell r="Z1342">
            <v>1</v>
          </cell>
          <cell r="AA1342">
            <v>1</v>
          </cell>
          <cell r="AB1342">
            <v>0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  <cell r="Y1343">
            <v>1.2</v>
          </cell>
          <cell r="Z1343">
            <v>1.25</v>
          </cell>
          <cell r="AA1343">
            <v>1.1499999999999999</v>
          </cell>
          <cell r="AB1343">
            <v>0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  <cell r="Y1344">
            <v>1.3</v>
          </cell>
          <cell r="Z1344">
            <v>1.3</v>
          </cell>
          <cell r="AA1344">
            <v>1.1000000000000001</v>
          </cell>
          <cell r="AB1344">
            <v>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  <cell r="Y1345">
            <v>1.7</v>
          </cell>
          <cell r="Z1345">
            <v>1.4</v>
          </cell>
          <cell r="AA1345">
            <v>1</v>
          </cell>
          <cell r="AB1345">
            <v>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  <cell r="Y1346">
            <v>1.3</v>
          </cell>
          <cell r="Z1346">
            <v>1.3</v>
          </cell>
          <cell r="AA1346">
            <v>1.1000000000000001</v>
          </cell>
          <cell r="AB1346">
            <v>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  <cell r="Y1347">
            <v>1.7</v>
          </cell>
          <cell r="Z1347">
            <v>1.4</v>
          </cell>
          <cell r="AA1347">
            <v>1</v>
          </cell>
          <cell r="AB1347">
            <v>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  <cell r="Y1348">
            <v>1.7</v>
          </cell>
          <cell r="Z1348">
            <v>1.4</v>
          </cell>
          <cell r="AA1348">
            <v>1</v>
          </cell>
          <cell r="AB1348">
            <v>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  <cell r="Y1349">
            <v>1.7</v>
          </cell>
          <cell r="Z1349">
            <v>1.4</v>
          </cell>
          <cell r="AA1349">
            <v>1</v>
          </cell>
          <cell r="AB1349">
            <v>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  <cell r="Y1350">
            <v>1.7</v>
          </cell>
          <cell r="Z1350">
            <v>1.4</v>
          </cell>
          <cell r="AA1350">
            <v>1</v>
          </cell>
          <cell r="AB1350">
            <v>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  <cell r="Y1351">
            <v>1.7</v>
          </cell>
          <cell r="Z1351">
            <v>1.4</v>
          </cell>
          <cell r="AA1351">
            <v>1</v>
          </cell>
          <cell r="AB1351">
            <v>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  <cell r="Y1352">
            <v>1.7</v>
          </cell>
          <cell r="Z1352">
            <v>1.4</v>
          </cell>
          <cell r="AA1352">
            <v>1</v>
          </cell>
          <cell r="AB1352">
            <v>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  <cell r="Y1353">
            <v>1.7</v>
          </cell>
          <cell r="Z1353">
            <v>1.4</v>
          </cell>
          <cell r="AA1353">
            <v>1</v>
          </cell>
          <cell r="AB1353">
            <v>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  <cell r="Y1354">
            <v>1.7</v>
          </cell>
          <cell r="Z1354">
            <v>1.4</v>
          </cell>
          <cell r="AA1354">
            <v>1</v>
          </cell>
          <cell r="AB1354">
            <v>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  <cell r="Y1355">
            <v>1.7</v>
          </cell>
          <cell r="Z1355">
            <v>1.4</v>
          </cell>
          <cell r="AA1355">
            <v>1</v>
          </cell>
          <cell r="AB1355">
            <v>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  <cell r="Y1356">
            <v>1.7</v>
          </cell>
          <cell r="Z1356">
            <v>1.4</v>
          </cell>
          <cell r="AA1356">
            <v>1</v>
          </cell>
          <cell r="AB1356">
            <v>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  <cell r="Y1357">
            <v>1.7</v>
          </cell>
          <cell r="Z1357">
            <v>1.4</v>
          </cell>
          <cell r="AA1357">
            <v>1</v>
          </cell>
          <cell r="AB1357">
            <v>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  <cell r="Y1358">
            <v>1.7</v>
          </cell>
          <cell r="Z1358">
            <v>1.4</v>
          </cell>
          <cell r="AA1358">
            <v>1</v>
          </cell>
          <cell r="AB1358">
            <v>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  <cell r="Y1359">
            <v>1.7</v>
          </cell>
          <cell r="Z1359">
            <v>1.4</v>
          </cell>
          <cell r="AA1359">
            <v>1</v>
          </cell>
          <cell r="AB1359">
            <v>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  <cell r="Y1360">
            <v>1.7</v>
          </cell>
          <cell r="Z1360">
            <v>1.4</v>
          </cell>
          <cell r="AA1360">
            <v>1</v>
          </cell>
          <cell r="AB1360">
            <v>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  <cell r="Y1361">
            <v>1</v>
          </cell>
          <cell r="Z1361">
            <v>1</v>
          </cell>
          <cell r="AA1361">
            <v>1</v>
          </cell>
          <cell r="AB1361">
            <v>0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  <cell r="Y1362">
            <v>1</v>
          </cell>
          <cell r="Z1362">
            <v>1</v>
          </cell>
          <cell r="AA1362">
            <v>1</v>
          </cell>
          <cell r="AB1362">
            <v>0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  <cell r="Y1363">
            <v>1.2</v>
          </cell>
          <cell r="Z1363">
            <v>1.25</v>
          </cell>
          <cell r="AA1363">
            <v>1.1499999999999999</v>
          </cell>
          <cell r="AB1363">
            <v>0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  <cell r="Y1364">
            <v>1</v>
          </cell>
          <cell r="Z1364">
            <v>1</v>
          </cell>
          <cell r="AA1364">
            <v>1</v>
          </cell>
          <cell r="AB1364">
            <v>0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  <cell r="Y1365">
            <v>1.3</v>
          </cell>
          <cell r="Z1365">
            <v>1.3</v>
          </cell>
          <cell r="AA1365">
            <v>1.1000000000000001</v>
          </cell>
          <cell r="AB1365">
            <v>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  <cell r="Y1366">
            <v>1.7</v>
          </cell>
          <cell r="Z1366">
            <v>1.4</v>
          </cell>
          <cell r="AA1366">
            <v>1</v>
          </cell>
          <cell r="AB1366">
            <v>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  <cell r="Y1367">
            <v>1.3</v>
          </cell>
          <cell r="Z1367">
            <v>1.3</v>
          </cell>
          <cell r="AA1367">
            <v>1.1000000000000001</v>
          </cell>
          <cell r="AB1367">
            <v>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  <cell r="Y1368">
            <v>1.3</v>
          </cell>
          <cell r="Z1368">
            <v>1.3</v>
          </cell>
          <cell r="AA1368">
            <v>1.1000000000000001</v>
          </cell>
          <cell r="AB1368">
            <v>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  <cell r="Y1369">
            <v>1.7</v>
          </cell>
          <cell r="Z1369">
            <v>1.4</v>
          </cell>
          <cell r="AA1369">
            <v>1</v>
          </cell>
          <cell r="AB1369">
            <v>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  <cell r="Y1370">
            <v>1.7</v>
          </cell>
          <cell r="Z1370">
            <v>1.4</v>
          </cell>
          <cell r="AA1370">
            <v>1</v>
          </cell>
          <cell r="AB1370">
            <v>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  <cell r="Y1371">
            <v>1</v>
          </cell>
          <cell r="Z1371">
            <v>1</v>
          </cell>
          <cell r="AA1371">
            <v>1</v>
          </cell>
          <cell r="AB1371">
            <v>0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  <cell r="Y1372">
            <v>1</v>
          </cell>
          <cell r="Z1372">
            <v>1</v>
          </cell>
          <cell r="AA1372">
            <v>1</v>
          </cell>
          <cell r="AB1372">
            <v>0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  <cell r="Y1373">
            <v>1</v>
          </cell>
          <cell r="Z1373">
            <v>1</v>
          </cell>
          <cell r="AA1373">
            <v>1</v>
          </cell>
          <cell r="AB1373">
            <v>0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  <cell r="Y1374">
            <v>1.3</v>
          </cell>
          <cell r="Z1374">
            <v>1.3</v>
          </cell>
          <cell r="AA1374">
            <v>1.1000000000000001</v>
          </cell>
          <cell r="AB1374">
            <v>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  <cell r="Y1375">
            <v>1.3</v>
          </cell>
          <cell r="Z1375">
            <v>1.3</v>
          </cell>
          <cell r="AA1375">
            <v>1.1000000000000001</v>
          </cell>
          <cell r="AB1375">
            <v>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  <cell r="Y1376">
            <v>1.7</v>
          </cell>
          <cell r="Z1376">
            <v>1.4</v>
          </cell>
          <cell r="AA1376">
            <v>1</v>
          </cell>
          <cell r="AB1376">
            <v>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  <cell r="Y1377">
            <v>1.7</v>
          </cell>
          <cell r="Z1377">
            <v>1.4</v>
          </cell>
          <cell r="AA1377">
            <v>1</v>
          </cell>
          <cell r="AB1377">
            <v>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  <cell r="Y1378">
            <v>1.3</v>
          </cell>
          <cell r="Z1378">
            <v>1.3</v>
          </cell>
          <cell r="AA1378">
            <v>1.1000000000000001</v>
          </cell>
          <cell r="AB1378">
            <v>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  <cell r="Y1379">
            <v>1.7</v>
          </cell>
          <cell r="Z1379">
            <v>1.4</v>
          </cell>
          <cell r="AA1379">
            <v>1</v>
          </cell>
          <cell r="AB1379">
            <v>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  <cell r="Y1380">
            <v>1.3</v>
          </cell>
          <cell r="Z1380">
            <v>1.3</v>
          </cell>
          <cell r="AA1380">
            <v>1.1000000000000001</v>
          </cell>
          <cell r="AB1380">
            <v>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  <cell r="Y1381">
            <v>1.1000000000000001</v>
          </cell>
          <cell r="Z1381">
            <v>1.2</v>
          </cell>
          <cell r="AA1381">
            <v>1.2</v>
          </cell>
          <cell r="AB1381">
            <v>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  <cell r="Y1382">
            <v>1.1000000000000001</v>
          </cell>
          <cell r="Z1382">
            <v>1.2</v>
          </cell>
          <cell r="AA1382">
            <v>1.2</v>
          </cell>
          <cell r="AB1382">
            <v>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  <cell r="Y1383">
            <v>1.1000000000000001</v>
          </cell>
          <cell r="Z1383">
            <v>1.2</v>
          </cell>
          <cell r="AA1383">
            <v>1.2</v>
          </cell>
          <cell r="AB1383">
            <v>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  <cell r="Y1384">
            <v>1.1000000000000001</v>
          </cell>
          <cell r="Z1384">
            <v>1.2</v>
          </cell>
          <cell r="AA1384">
            <v>1.2</v>
          </cell>
          <cell r="AB1384">
            <v>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  <cell r="Y1385">
            <v>1.1000000000000001</v>
          </cell>
          <cell r="Z1385">
            <v>1.2</v>
          </cell>
          <cell r="AA1385">
            <v>1.2</v>
          </cell>
          <cell r="AB1385">
            <v>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  <cell r="Y1386">
            <v>1.1000000000000001</v>
          </cell>
          <cell r="Z1386">
            <v>1.2</v>
          </cell>
          <cell r="AA1386">
            <v>1.2</v>
          </cell>
          <cell r="AB1386">
            <v>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  <cell r="Y1387">
            <v>1.1000000000000001</v>
          </cell>
          <cell r="Z1387">
            <v>1.2</v>
          </cell>
          <cell r="AA1387">
            <v>1.2</v>
          </cell>
          <cell r="AB1387">
            <v>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  <cell r="Y1388">
            <v>1.1000000000000001</v>
          </cell>
          <cell r="Z1388">
            <v>1.2</v>
          </cell>
          <cell r="AA1388">
            <v>1.2</v>
          </cell>
          <cell r="AB1388">
            <v>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  <cell r="Y1389">
            <v>1.7</v>
          </cell>
          <cell r="Z1389">
            <v>1.4</v>
          </cell>
          <cell r="AA1389">
            <v>1</v>
          </cell>
          <cell r="AB1389">
            <v>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  <cell r="Y1390">
            <v>1.7</v>
          </cell>
          <cell r="Z1390">
            <v>1.4</v>
          </cell>
          <cell r="AA1390">
            <v>1</v>
          </cell>
          <cell r="AB1390">
            <v>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  <cell r="Y1391">
            <v>1.7</v>
          </cell>
          <cell r="Z1391">
            <v>1.4</v>
          </cell>
          <cell r="AA1391">
            <v>1</v>
          </cell>
          <cell r="AB1391">
            <v>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  <cell r="Y1392">
            <v>1.7</v>
          </cell>
          <cell r="Z1392">
            <v>1.4</v>
          </cell>
          <cell r="AA1392">
            <v>1</v>
          </cell>
          <cell r="AB1392">
            <v>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  <cell r="Y1393">
            <v>1.3</v>
          </cell>
          <cell r="Z1393">
            <v>1.3</v>
          </cell>
          <cell r="AA1393">
            <v>1.1000000000000001</v>
          </cell>
          <cell r="AB1393">
            <v>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  <cell r="Y1394">
            <v>1.7</v>
          </cell>
          <cell r="Z1394">
            <v>1.4</v>
          </cell>
          <cell r="AA1394">
            <v>1</v>
          </cell>
          <cell r="AB1394">
            <v>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  <cell r="Y1395">
            <v>1.3</v>
          </cell>
          <cell r="Z1395">
            <v>1.3</v>
          </cell>
          <cell r="AA1395">
            <v>1.1000000000000001</v>
          </cell>
          <cell r="AB1395">
            <v>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  <cell r="Y1396">
            <v>1.7</v>
          </cell>
          <cell r="Z1396">
            <v>1.4</v>
          </cell>
          <cell r="AA1396">
            <v>1</v>
          </cell>
          <cell r="AB1396">
            <v>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  <cell r="Y1397">
            <v>1.3</v>
          </cell>
          <cell r="Z1397">
            <v>1.3</v>
          </cell>
          <cell r="AA1397">
            <v>1.1000000000000001</v>
          </cell>
          <cell r="AB1397">
            <v>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  <cell r="Y1398">
            <v>1.7</v>
          </cell>
          <cell r="Z1398">
            <v>1.4</v>
          </cell>
          <cell r="AA1398">
            <v>1</v>
          </cell>
          <cell r="AB1398">
            <v>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  <cell r="Y1399">
            <v>1.3</v>
          </cell>
          <cell r="Z1399">
            <v>1.3</v>
          </cell>
          <cell r="AA1399">
            <v>1.1000000000000001</v>
          </cell>
          <cell r="AB1399">
            <v>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  <cell r="Y1400">
            <v>1.7</v>
          </cell>
          <cell r="Z1400">
            <v>1.4</v>
          </cell>
          <cell r="AA1400">
            <v>1</v>
          </cell>
          <cell r="AB1400">
            <v>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  <cell r="Y1401">
            <v>1.3</v>
          </cell>
          <cell r="Z1401">
            <v>1.3</v>
          </cell>
          <cell r="AA1401">
            <v>1.1000000000000001</v>
          </cell>
          <cell r="AB1401">
            <v>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  <cell r="Y1402">
            <v>1.7</v>
          </cell>
          <cell r="Z1402">
            <v>1.4</v>
          </cell>
          <cell r="AA1402">
            <v>1</v>
          </cell>
          <cell r="AB1402">
            <v>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  <cell r="Y1403">
            <v>1.2</v>
          </cell>
          <cell r="Z1403">
            <v>1.25</v>
          </cell>
          <cell r="AA1403">
            <v>1.1499999999999999</v>
          </cell>
          <cell r="AB1403">
            <v>0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  <cell r="Y1404">
            <v>1.3</v>
          </cell>
          <cell r="Z1404">
            <v>1.3</v>
          </cell>
          <cell r="AA1404">
            <v>1.1000000000000001</v>
          </cell>
          <cell r="AB1404">
            <v>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  <cell r="Y1405">
            <v>1.2</v>
          </cell>
          <cell r="Z1405">
            <v>1.25</v>
          </cell>
          <cell r="AA1405">
            <v>1.1499999999999999</v>
          </cell>
          <cell r="AB1405">
            <v>0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  <cell r="Y1406">
            <v>1.3</v>
          </cell>
          <cell r="Z1406">
            <v>1.3</v>
          </cell>
          <cell r="AA1406">
            <v>1.1000000000000001</v>
          </cell>
          <cell r="AB1406">
            <v>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  <cell r="Y1407">
            <v>1.2</v>
          </cell>
          <cell r="Z1407">
            <v>1.25</v>
          </cell>
          <cell r="AA1407">
            <v>1.1499999999999999</v>
          </cell>
          <cell r="AB1407">
            <v>0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  <cell r="Y1408">
            <v>1.3</v>
          </cell>
          <cell r="Z1408">
            <v>1.3</v>
          </cell>
          <cell r="AA1408">
            <v>1.1000000000000001</v>
          </cell>
          <cell r="AB1408">
            <v>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  <cell r="Y1409">
            <v>1.3</v>
          </cell>
          <cell r="Z1409">
            <v>1.3</v>
          </cell>
          <cell r="AA1409">
            <v>1.1000000000000001</v>
          </cell>
          <cell r="AB1409">
            <v>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  <cell r="Y1410">
            <v>1.7</v>
          </cell>
          <cell r="Z1410">
            <v>1.4</v>
          </cell>
          <cell r="AA1410">
            <v>1</v>
          </cell>
          <cell r="AB1410">
            <v>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  <cell r="Y1411">
            <v>1.7</v>
          </cell>
          <cell r="Z1411">
            <v>1.4</v>
          </cell>
          <cell r="AA1411">
            <v>1</v>
          </cell>
          <cell r="AB1411">
            <v>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  <cell r="Y1412">
            <v>1.7</v>
          </cell>
          <cell r="Z1412">
            <v>1.4</v>
          </cell>
          <cell r="AA1412">
            <v>1</v>
          </cell>
          <cell r="AB1412">
            <v>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  <cell r="Y1413">
            <v>1.7</v>
          </cell>
          <cell r="Z1413">
            <v>1.4</v>
          </cell>
          <cell r="AA1413">
            <v>1</v>
          </cell>
          <cell r="AB1413">
            <v>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  <cell r="Y1414">
            <v>1.7</v>
          </cell>
          <cell r="Z1414">
            <v>1.4</v>
          </cell>
          <cell r="AA1414">
            <v>1</v>
          </cell>
          <cell r="AB1414">
            <v>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  <cell r="Y1415">
            <v>1.7</v>
          </cell>
          <cell r="Z1415">
            <v>1.4</v>
          </cell>
          <cell r="AA1415">
            <v>1</v>
          </cell>
          <cell r="AB1415">
            <v>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  <cell r="Y1416">
            <v>1.7</v>
          </cell>
          <cell r="Z1416">
            <v>1.4</v>
          </cell>
          <cell r="AA1416">
            <v>1</v>
          </cell>
          <cell r="AB1416">
            <v>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  <cell r="Y1417">
            <v>1.7</v>
          </cell>
          <cell r="Z1417">
            <v>1.4</v>
          </cell>
          <cell r="AA1417">
            <v>1</v>
          </cell>
          <cell r="AB1417">
            <v>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  <cell r="Y1418">
            <v>1.7</v>
          </cell>
          <cell r="Z1418">
            <v>1.4</v>
          </cell>
          <cell r="AA1418">
            <v>1</v>
          </cell>
          <cell r="AB1418">
            <v>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  <cell r="Y1419">
            <v>1.7</v>
          </cell>
          <cell r="Z1419">
            <v>1.4</v>
          </cell>
          <cell r="AA1419">
            <v>1</v>
          </cell>
          <cell r="AB1419">
            <v>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  <cell r="Y1420">
            <v>1.7</v>
          </cell>
          <cell r="Z1420">
            <v>1.4</v>
          </cell>
          <cell r="AA1420">
            <v>1</v>
          </cell>
          <cell r="AB1420">
            <v>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  <cell r="Y1421">
            <v>1.7</v>
          </cell>
          <cell r="Z1421">
            <v>1.4</v>
          </cell>
          <cell r="AA1421">
            <v>1</v>
          </cell>
          <cell r="AB1421">
            <v>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  <cell r="Y1422">
            <v>1.7</v>
          </cell>
          <cell r="Z1422">
            <v>1.4</v>
          </cell>
          <cell r="AA1422">
            <v>1</v>
          </cell>
          <cell r="AB1422">
            <v>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  <cell r="Y1423">
            <v>1.7</v>
          </cell>
          <cell r="Z1423">
            <v>1.4</v>
          </cell>
          <cell r="AA1423">
            <v>1</v>
          </cell>
          <cell r="AB1423">
            <v>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  <cell r="Y1424">
            <v>1.7</v>
          </cell>
          <cell r="Z1424">
            <v>1.4</v>
          </cell>
          <cell r="AA1424">
            <v>1</v>
          </cell>
          <cell r="AB1424">
            <v>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  <cell r="Y1425">
            <v>1.3</v>
          </cell>
          <cell r="Z1425">
            <v>1.3</v>
          </cell>
          <cell r="AA1425">
            <v>1.1000000000000001</v>
          </cell>
          <cell r="AB1425">
            <v>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  <cell r="Y1426">
            <v>1.7</v>
          </cell>
          <cell r="Z1426">
            <v>1.4</v>
          </cell>
          <cell r="AA1426">
            <v>1</v>
          </cell>
          <cell r="AB1426">
            <v>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  <cell r="Y1427">
            <v>1.3</v>
          </cell>
          <cell r="Z1427">
            <v>1.3</v>
          </cell>
          <cell r="AA1427">
            <v>1.1000000000000001</v>
          </cell>
          <cell r="AB1427">
            <v>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  <cell r="Y1428">
            <v>1.7</v>
          </cell>
          <cell r="Z1428">
            <v>1.4</v>
          </cell>
          <cell r="AA1428">
            <v>1</v>
          </cell>
          <cell r="AB1428">
            <v>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  <cell r="Y1429">
            <v>1.3</v>
          </cell>
          <cell r="Z1429">
            <v>1.3</v>
          </cell>
          <cell r="AA1429">
            <v>1.1000000000000001</v>
          </cell>
          <cell r="AB1429">
            <v>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  <cell r="Y1430">
            <v>1.7</v>
          </cell>
          <cell r="Z1430">
            <v>1.4</v>
          </cell>
          <cell r="AA1430">
            <v>1</v>
          </cell>
          <cell r="AB1430">
            <v>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  <cell r="Y1431">
            <v>1.7</v>
          </cell>
          <cell r="Z1431">
            <v>1.4</v>
          </cell>
          <cell r="AA1431">
            <v>1</v>
          </cell>
          <cell r="AB1431">
            <v>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  <cell r="Y1432">
            <v>1.3</v>
          </cell>
          <cell r="Z1432">
            <v>1.3</v>
          </cell>
          <cell r="AA1432">
            <v>1.1000000000000001</v>
          </cell>
          <cell r="AB1432">
            <v>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  <cell r="Y1433">
            <v>1.7</v>
          </cell>
          <cell r="Z1433">
            <v>1.4</v>
          </cell>
          <cell r="AA1433">
            <v>1</v>
          </cell>
          <cell r="AB1433">
            <v>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  <cell r="Y1434">
            <v>1.7</v>
          </cell>
          <cell r="Z1434">
            <v>1.4</v>
          </cell>
          <cell r="AA1434">
            <v>1</v>
          </cell>
          <cell r="AB1434">
            <v>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  <cell r="Y1435">
            <v>1.3</v>
          </cell>
          <cell r="Z1435">
            <v>1.3</v>
          </cell>
          <cell r="AA1435">
            <v>1.1000000000000001</v>
          </cell>
          <cell r="AB1435">
            <v>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  <cell r="Y1436">
            <v>1.7</v>
          </cell>
          <cell r="Z1436">
            <v>1.4</v>
          </cell>
          <cell r="AA1436">
            <v>1</v>
          </cell>
          <cell r="AB1436">
            <v>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  <cell r="Y1437">
            <v>1.3</v>
          </cell>
          <cell r="Z1437">
            <v>1.3</v>
          </cell>
          <cell r="AA1437">
            <v>1.1000000000000001</v>
          </cell>
          <cell r="AB1437">
            <v>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  <cell r="Y1438">
            <v>1.7</v>
          </cell>
          <cell r="Z1438">
            <v>1.4</v>
          </cell>
          <cell r="AA1438">
            <v>1</v>
          </cell>
          <cell r="AB1438">
            <v>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  <cell r="Y1439">
            <v>1.3</v>
          </cell>
          <cell r="Z1439">
            <v>1.3</v>
          </cell>
          <cell r="AA1439">
            <v>1.1000000000000001</v>
          </cell>
          <cell r="AB1439">
            <v>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  <cell r="Y1440">
            <v>1.7</v>
          </cell>
          <cell r="Z1440">
            <v>1.4</v>
          </cell>
          <cell r="AA1440">
            <v>1</v>
          </cell>
          <cell r="AB1440">
            <v>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  <cell r="Y1441">
            <v>1.2</v>
          </cell>
          <cell r="Z1441">
            <v>1.25</v>
          </cell>
          <cell r="AA1441">
            <v>1.1499999999999999</v>
          </cell>
          <cell r="AB1441">
            <v>0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  <cell r="Y1442">
            <v>1.3</v>
          </cell>
          <cell r="Z1442">
            <v>1.3</v>
          </cell>
          <cell r="AA1442">
            <v>1.1000000000000001</v>
          </cell>
          <cell r="AB1442">
            <v>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  <cell r="Y1443">
            <v>1.7</v>
          </cell>
          <cell r="Z1443">
            <v>1.4</v>
          </cell>
          <cell r="AA1443">
            <v>1</v>
          </cell>
          <cell r="AB1443">
            <v>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  <cell r="Y1444">
            <v>1.7</v>
          </cell>
          <cell r="Z1444">
            <v>1.4</v>
          </cell>
          <cell r="AA1444">
            <v>1</v>
          </cell>
          <cell r="AB1444">
            <v>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  <cell r="Y1445">
            <v>1.2</v>
          </cell>
          <cell r="Z1445">
            <v>1.25</v>
          </cell>
          <cell r="AA1445">
            <v>1.1499999999999999</v>
          </cell>
          <cell r="AB1445">
            <v>0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  <cell r="Y1446">
            <v>1.3</v>
          </cell>
          <cell r="Z1446">
            <v>1.3</v>
          </cell>
          <cell r="AA1446">
            <v>1.1000000000000001</v>
          </cell>
          <cell r="AB1446">
            <v>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  <cell r="Y1447">
            <v>1.2</v>
          </cell>
          <cell r="Z1447">
            <v>1.25</v>
          </cell>
          <cell r="AA1447">
            <v>1.1499999999999999</v>
          </cell>
          <cell r="AB1447">
            <v>0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  <cell r="Y1448">
            <v>1.3</v>
          </cell>
          <cell r="Z1448">
            <v>1.3</v>
          </cell>
          <cell r="AA1448">
            <v>1.1000000000000001</v>
          </cell>
          <cell r="AB1448">
            <v>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  <cell r="Y1449">
            <v>1.3</v>
          </cell>
          <cell r="Z1449">
            <v>1.3</v>
          </cell>
          <cell r="AA1449">
            <v>1.1000000000000001</v>
          </cell>
          <cell r="AB1449">
            <v>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  <cell r="Y1450">
            <v>1.7</v>
          </cell>
          <cell r="Z1450">
            <v>1.4</v>
          </cell>
          <cell r="AA1450">
            <v>1</v>
          </cell>
          <cell r="AB1450">
            <v>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  <cell r="Y1451">
            <v>1.2</v>
          </cell>
          <cell r="Z1451">
            <v>1.25</v>
          </cell>
          <cell r="AA1451">
            <v>1.1499999999999999</v>
          </cell>
          <cell r="AB1451">
            <v>0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  <cell r="Y1452">
            <v>1.3</v>
          </cell>
          <cell r="Z1452">
            <v>1.3</v>
          </cell>
          <cell r="AA1452">
            <v>1.1000000000000001</v>
          </cell>
          <cell r="AB1452">
            <v>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  <cell r="Y1453">
            <v>1.7</v>
          </cell>
          <cell r="Z1453">
            <v>1.4</v>
          </cell>
          <cell r="AA1453">
            <v>1</v>
          </cell>
          <cell r="AB1453">
            <v>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  <cell r="Y1454">
            <v>1.7</v>
          </cell>
          <cell r="Z1454">
            <v>1.4</v>
          </cell>
          <cell r="AA1454">
            <v>1</v>
          </cell>
          <cell r="AB1454">
            <v>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  <cell r="Y1455">
            <v>1.7</v>
          </cell>
          <cell r="Z1455">
            <v>1.4</v>
          </cell>
          <cell r="AA1455">
            <v>1</v>
          </cell>
          <cell r="AB1455">
            <v>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  <cell r="Y1456">
            <v>1.7</v>
          </cell>
          <cell r="Z1456">
            <v>1.4</v>
          </cell>
          <cell r="AA1456">
            <v>1</v>
          </cell>
          <cell r="AB1456">
            <v>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  <cell r="Y1457">
            <v>1.7</v>
          </cell>
          <cell r="Z1457">
            <v>1.4</v>
          </cell>
          <cell r="AA1457">
            <v>1</v>
          </cell>
          <cell r="AB1457">
            <v>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  <cell r="Y1458">
            <v>1.7</v>
          </cell>
          <cell r="Z1458">
            <v>1.4</v>
          </cell>
          <cell r="AA1458">
            <v>1</v>
          </cell>
          <cell r="AB1458">
            <v>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  <cell r="Y1459">
            <v>1.7</v>
          </cell>
          <cell r="Z1459">
            <v>1.4</v>
          </cell>
          <cell r="AA1459">
            <v>1</v>
          </cell>
          <cell r="AB1459">
            <v>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  <cell r="Y1460">
            <v>1.7</v>
          </cell>
          <cell r="Z1460">
            <v>1.4</v>
          </cell>
          <cell r="AA1460">
            <v>1</v>
          </cell>
          <cell r="AB1460">
            <v>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  <cell r="Y1461">
            <v>1.7</v>
          </cell>
          <cell r="Z1461">
            <v>1.4</v>
          </cell>
          <cell r="AA1461">
            <v>1</v>
          </cell>
          <cell r="AB1461">
            <v>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  <cell r="Y1462">
            <v>1.7</v>
          </cell>
          <cell r="Z1462">
            <v>1.4</v>
          </cell>
          <cell r="AA1462">
            <v>1</v>
          </cell>
          <cell r="AB1462">
            <v>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  <cell r="Y1463">
            <v>1.7</v>
          </cell>
          <cell r="Z1463">
            <v>1.4</v>
          </cell>
          <cell r="AA1463">
            <v>1</v>
          </cell>
          <cell r="AB1463">
            <v>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  <cell r="Y1464">
            <v>1.7</v>
          </cell>
          <cell r="Z1464">
            <v>1.4</v>
          </cell>
          <cell r="AA1464">
            <v>1</v>
          </cell>
          <cell r="AB1464">
            <v>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  <cell r="Y1465">
            <v>1.7</v>
          </cell>
          <cell r="Z1465">
            <v>1.4</v>
          </cell>
          <cell r="AA1465">
            <v>1</v>
          </cell>
          <cell r="AB1465">
            <v>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  <cell r="Y1466">
            <v>1.7</v>
          </cell>
          <cell r="Z1466">
            <v>1.4</v>
          </cell>
          <cell r="AA1466">
            <v>1</v>
          </cell>
          <cell r="AB1466">
            <v>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  <cell r="Y1467">
            <v>1.1000000000000001</v>
          </cell>
          <cell r="Z1467">
            <v>1.2</v>
          </cell>
          <cell r="AA1467">
            <v>1.2</v>
          </cell>
          <cell r="AB1467">
            <v>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  <cell r="Y1468">
            <v>1.1000000000000001</v>
          </cell>
          <cell r="Z1468">
            <v>1.2</v>
          </cell>
          <cell r="AA1468">
            <v>1.2</v>
          </cell>
          <cell r="AB1468">
            <v>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  <cell r="Y1469">
            <v>1.1000000000000001</v>
          </cell>
          <cell r="Z1469">
            <v>1.2</v>
          </cell>
          <cell r="AA1469">
            <v>1.2</v>
          </cell>
          <cell r="AB1469">
            <v>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  <cell r="Y1470">
            <v>1.1000000000000001</v>
          </cell>
          <cell r="Z1470">
            <v>1.2</v>
          </cell>
          <cell r="AA1470">
            <v>1.2</v>
          </cell>
          <cell r="AB1470">
            <v>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  <cell r="Y1471">
            <v>1.7</v>
          </cell>
          <cell r="Z1471">
            <v>1.4</v>
          </cell>
          <cell r="AA1471">
            <v>1</v>
          </cell>
          <cell r="AB1471">
            <v>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  <cell r="Y1472">
            <v>1.7</v>
          </cell>
          <cell r="Z1472">
            <v>1.4</v>
          </cell>
          <cell r="AA1472">
            <v>1</v>
          </cell>
          <cell r="AB1472">
            <v>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  <cell r="Y1473">
            <v>1.7</v>
          </cell>
          <cell r="Z1473">
            <v>1.4</v>
          </cell>
          <cell r="AA1473">
            <v>1</v>
          </cell>
          <cell r="AB1473">
            <v>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  <cell r="Y1474">
            <v>1.7</v>
          </cell>
          <cell r="Z1474">
            <v>1.4</v>
          </cell>
          <cell r="AA1474">
            <v>1</v>
          </cell>
          <cell r="AB1474">
            <v>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  <cell r="Y1475">
            <v>1.7</v>
          </cell>
          <cell r="Z1475">
            <v>1.4</v>
          </cell>
          <cell r="AA1475">
            <v>1</v>
          </cell>
          <cell r="AB1475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</row>
        <row r="2">
          <cell r="A2" t="str">
            <v>29801_55006</v>
          </cell>
          <cell r="B2">
            <v>29801</v>
          </cell>
          <cell r="C2">
            <v>55006</v>
          </cell>
          <cell r="D2" t="str">
            <v>ja</v>
          </cell>
        </row>
        <row r="3">
          <cell r="A3" t="str">
            <v>29801_220031</v>
          </cell>
          <cell r="B3">
            <v>29801</v>
          </cell>
          <cell r="C3">
            <v>220031</v>
          </cell>
          <cell r="D3" t="str">
            <v>ja</v>
          </cell>
        </row>
        <row r="4">
          <cell r="A4" t="str">
            <v>29801_230031</v>
          </cell>
          <cell r="B4">
            <v>29801</v>
          </cell>
          <cell r="C4">
            <v>230031</v>
          </cell>
          <cell r="D4" t="str">
            <v>ja</v>
          </cell>
        </row>
        <row r="5">
          <cell r="A5" t="str">
            <v>29801_410030</v>
          </cell>
          <cell r="B5">
            <v>29801</v>
          </cell>
          <cell r="C5">
            <v>410030</v>
          </cell>
          <cell r="D5" t="str">
            <v>ja</v>
          </cell>
        </row>
        <row r="6">
          <cell r="A6" t="str">
            <v>29802_55006</v>
          </cell>
          <cell r="B6">
            <v>29802</v>
          </cell>
          <cell r="C6">
            <v>55006</v>
          </cell>
          <cell r="D6" t="str">
            <v>ja</v>
          </cell>
        </row>
        <row r="7">
          <cell r="A7" t="str">
            <v>29802_220031</v>
          </cell>
          <cell r="B7">
            <v>29802</v>
          </cell>
          <cell r="C7">
            <v>220031</v>
          </cell>
          <cell r="D7" t="str">
            <v>ja</v>
          </cell>
        </row>
        <row r="8">
          <cell r="A8" t="str">
            <v>29802_230031</v>
          </cell>
          <cell r="B8">
            <v>29802</v>
          </cell>
          <cell r="C8">
            <v>230031</v>
          </cell>
          <cell r="D8" t="str">
            <v>ja</v>
          </cell>
        </row>
        <row r="9">
          <cell r="A9" t="str">
            <v>29803_410030</v>
          </cell>
          <cell r="B9">
            <v>29803</v>
          </cell>
          <cell r="C9">
            <v>410030</v>
          </cell>
          <cell r="D9" t="str">
            <v>ja</v>
          </cell>
        </row>
        <row r="10">
          <cell r="A10" t="str">
            <v>29803_55006</v>
          </cell>
          <cell r="B10">
            <v>29803</v>
          </cell>
          <cell r="C10">
            <v>55006</v>
          </cell>
          <cell r="D10" t="str">
            <v>ja</v>
          </cell>
        </row>
        <row r="11">
          <cell r="A11" t="str">
            <v>29803_220031</v>
          </cell>
          <cell r="B11">
            <v>29803</v>
          </cell>
          <cell r="C11">
            <v>220031</v>
          </cell>
          <cell r="D11" t="str">
            <v>ja</v>
          </cell>
        </row>
        <row r="12">
          <cell r="A12" t="str">
            <v>29803_230031</v>
          </cell>
          <cell r="B12">
            <v>29803</v>
          </cell>
          <cell r="C12">
            <v>230031</v>
          </cell>
          <cell r="D12" t="str">
            <v>ja</v>
          </cell>
        </row>
        <row r="13">
          <cell r="A13" t="str">
            <v>29901_55006</v>
          </cell>
          <cell r="B13">
            <v>29901</v>
          </cell>
          <cell r="C13">
            <v>55006</v>
          </cell>
          <cell r="D13" t="str">
            <v>ja</v>
          </cell>
        </row>
        <row r="14">
          <cell r="A14" t="str">
            <v>29901_220031</v>
          </cell>
          <cell r="B14">
            <v>29901</v>
          </cell>
          <cell r="C14">
            <v>220031</v>
          </cell>
          <cell r="D14" t="str">
            <v>ja</v>
          </cell>
        </row>
        <row r="15">
          <cell r="A15" t="str">
            <v>29901_230031</v>
          </cell>
          <cell r="B15">
            <v>29901</v>
          </cell>
          <cell r="C15">
            <v>230031</v>
          </cell>
          <cell r="D15" t="str">
            <v>ja</v>
          </cell>
        </row>
        <row r="16">
          <cell r="A16" t="str">
            <v>29902_410029</v>
          </cell>
          <cell r="B16">
            <v>29902</v>
          </cell>
          <cell r="C16">
            <v>410029</v>
          </cell>
          <cell r="D16" t="str">
            <v>ja</v>
          </cell>
        </row>
        <row r="17">
          <cell r="A17" t="str">
            <v>29902_55006</v>
          </cell>
          <cell r="B17">
            <v>29902</v>
          </cell>
          <cell r="C17">
            <v>55006</v>
          </cell>
          <cell r="D17" t="str">
            <v>ja</v>
          </cell>
        </row>
        <row r="18">
          <cell r="A18" t="str">
            <v>29902_230031</v>
          </cell>
          <cell r="B18">
            <v>29902</v>
          </cell>
          <cell r="C18">
            <v>230031</v>
          </cell>
          <cell r="D18" t="str">
            <v>ja</v>
          </cell>
        </row>
        <row r="19">
          <cell r="A19" t="str">
            <v>29902_23032</v>
          </cell>
          <cell r="B19">
            <v>29902</v>
          </cell>
          <cell r="C19">
            <v>23032</v>
          </cell>
          <cell r="D19" t="str">
            <v>ja</v>
          </cell>
        </row>
        <row r="20">
          <cell r="A20" t="str">
            <v>19301_220006</v>
          </cell>
          <cell r="B20">
            <v>19301</v>
          </cell>
          <cell r="C20">
            <v>220006</v>
          </cell>
          <cell r="D20" t="str">
            <v>乱射</v>
          </cell>
        </row>
        <row r="21">
          <cell r="A21" t="str">
            <v>19301_320016</v>
          </cell>
          <cell r="B21">
            <v>19301</v>
          </cell>
          <cell r="C21">
            <v>320016</v>
          </cell>
          <cell r="D21" t="str">
            <v>ja</v>
          </cell>
        </row>
        <row r="22">
          <cell r="A22" t="str">
            <v>5102_200001</v>
          </cell>
          <cell r="B22">
            <v>5102</v>
          </cell>
          <cell r="C22">
            <v>200001</v>
          </cell>
          <cell r="D22" t="str">
            <v>一点集中</v>
          </cell>
        </row>
        <row r="23">
          <cell r="A23" t="str">
            <v>5102_350009</v>
          </cell>
          <cell r="B23">
            <v>5102</v>
          </cell>
          <cell r="C23">
            <v>350009</v>
          </cell>
          <cell r="D23" t="str">
            <v>ja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E26" sqref="E26"/>
    </sheetView>
  </sheetViews>
  <sheetFormatPr baseColWidth="12" defaultColWidth="13" defaultRowHeight="21" customHeight="1" outlineLevelCol="1" x14ac:dyDescent="0.15"/>
  <cols>
    <col min="1" max="1" width="8.83203125" style="26" bestFit="1" customWidth="1"/>
    <col min="2" max="2" width="5" style="26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6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9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 t="shared" ref="A2:A10" ca="1" si="0">G2&amp;"-"&amp;I2</f>
        <v>20010_1-1</v>
      </c>
      <c r="B2" s="20" t="str">
        <f ca="1">IF(COUNTIF(enemy_habitats_drop_3_2!$H:$H,A2),"OK","NG")</f>
        <v>OK</v>
      </c>
      <c r="C2" s="7">
        <v>20010</v>
      </c>
      <c r="D2" s="11" t="str">
        <f ca="1">VLOOKUP($C2,OFFSET([1]quests!$A$1,0,0,COUNTA([1]quests!$A:$A),MATCH(D$1,[1]quests!$1:$1,0)-MATCH($C$1,[1]quests!$1:$1,0)+1),MATCH(D$1,[1]quests!$1:$1,0)-MATCH($C$1,[1]quests!$1:$1,0)+1,FALSE)</f>
        <v>悪夢の一目惚れ</v>
      </c>
      <c r="E2" s="25" t="str">
        <f ca="1">VLOOKUP($C2,OFFSET([1]quests!$A$1,0,0,COUNTA([1]quests!$A:$A),MATCH(E$1,[1]quests!$1:$1,0)-MATCH($C$1,[1]quests!$1:$1,0)+1),MATCH(E$1,[1]quests!$1:$1,0)-MATCH($C$1,[1]quests!$1:$1,0)+1,FALSE)</f>
        <v>ドロップイベント3</v>
      </c>
      <c r="F2" s="27">
        <v>1</v>
      </c>
      <c r="G2" s="29" t="str">
        <f t="shared" ref="G2:G10" ca="1" si="1">C2&amp;"_"&amp;F2</f>
        <v>20010_1</v>
      </c>
      <c r="H2" s="19" t="str">
        <f ca="1">VLOOKUP($G2,OFFSET([1]stages!$A$1,0,0,COUNTA([1]stages!$A:$A),MATCH(H$1,[1]stages!$2:$2,0)-MATCH($G$1,[1]stages!$2:$2,0)+1),MATCH(H$1,[1]stages!$2:$2,0)-MATCH($G$1,[1]stages!$2:$2,0)+1,FALSE)</f>
        <v>【初級】悪夢の一目惚れ</v>
      </c>
      <c r="I2" s="27">
        <v>1</v>
      </c>
      <c r="J2" s="12">
        <v>30</v>
      </c>
      <c r="K2" s="12">
        <v>30</v>
      </c>
    </row>
    <row r="3" spans="1:11" ht="21" customHeight="1" x14ac:dyDescent="0.15">
      <c r="A3" s="20" t="str">
        <f t="shared" ca="1" si="0"/>
        <v>20010_1-2</v>
      </c>
      <c r="B3" s="20" t="str">
        <f ca="1">IF(COUNTIF(enemy_habitats_drop_3_2!$H:$H,A3),"OK","NG")</f>
        <v>OK</v>
      </c>
      <c r="C3" s="7">
        <v>20010</v>
      </c>
      <c r="D3" s="11" t="str">
        <f ca="1">VLOOKUP($C3,OFFSET([1]quests!$A$1,0,0,COUNTA([1]quests!$A:$A),MATCH(D$1,[1]quests!$1:$1,0)-MATCH($C$1,[1]quests!$1:$1,0)+1),MATCH(D$1,[1]quests!$1:$1,0)-MATCH($C$1,[1]quests!$1:$1,0)+1,FALSE)</f>
        <v>悪夢の一目惚れ</v>
      </c>
      <c r="E3" s="25" t="str">
        <f ca="1">VLOOKUP($C3,OFFSET([1]quests!$A$1,0,0,COUNTA([1]quests!$A:$A),MATCH(E$1,[1]quests!$1:$1,0)-MATCH($C$1,[1]quests!$1:$1,0)+1),MATCH(E$1,[1]quests!$1:$1,0)-MATCH($C$1,[1]quests!$1:$1,0)+1,FALSE)</f>
        <v>ドロップイベント3</v>
      </c>
      <c r="F3" s="27">
        <v>1</v>
      </c>
      <c r="G3" s="29" t="str">
        <f t="shared" ca="1" si="1"/>
        <v>20010_1</v>
      </c>
      <c r="H3" s="19" t="str">
        <f ca="1">VLOOKUP($G3,OFFSET([1]stages!$A$1,0,0,COUNTA([1]stages!$A:$A),MATCH(H$1,[1]stages!$2:$2,0)-MATCH($G$1,[1]stages!$2:$2,0)+1),MATCH(H$1,[1]stages!$2:$2,0)-MATCH($G$1,[1]stages!$2:$2,0)+1,FALSE)</f>
        <v>【初級】悪夢の一目惚れ</v>
      </c>
      <c r="I3" s="27">
        <v>2</v>
      </c>
      <c r="J3" s="12">
        <v>45</v>
      </c>
      <c r="K3" s="12">
        <v>45</v>
      </c>
    </row>
    <row r="4" spans="1:11" ht="21" customHeight="1" x14ac:dyDescent="0.15">
      <c r="A4" s="20" t="str">
        <f t="shared" ca="1" si="0"/>
        <v>20010_1-3</v>
      </c>
      <c r="B4" s="20" t="str">
        <f ca="1">IF(COUNTIF(enemy_habitats_drop_3_2!$H:$H,A4),"OK","NG")</f>
        <v>OK</v>
      </c>
      <c r="C4" s="7">
        <v>20010</v>
      </c>
      <c r="D4" s="11" t="str">
        <f ca="1">VLOOKUP($C4,OFFSET([1]quests!$A$1,0,0,COUNTA([1]quests!$A:$A),MATCH(D$1,[1]quests!$1:$1,0)-MATCH($C$1,[1]quests!$1:$1,0)+1),MATCH(D$1,[1]quests!$1:$1,0)-MATCH($C$1,[1]quests!$1:$1,0)+1,FALSE)</f>
        <v>悪夢の一目惚れ</v>
      </c>
      <c r="E4" s="25" t="str">
        <f ca="1">VLOOKUP($C4,OFFSET([1]quests!$A$1,0,0,COUNTA([1]quests!$A:$A),MATCH(E$1,[1]quests!$1:$1,0)-MATCH($C$1,[1]quests!$1:$1,0)+1),MATCH(E$1,[1]quests!$1:$1,0)-MATCH($C$1,[1]quests!$1:$1,0)+1,FALSE)</f>
        <v>ドロップイベント3</v>
      </c>
      <c r="F4" s="27">
        <v>1</v>
      </c>
      <c r="G4" s="29" t="str">
        <f t="shared" ca="1" si="1"/>
        <v>20010_1</v>
      </c>
      <c r="H4" s="19" t="str">
        <f ca="1">VLOOKUP($G4,OFFSET([1]stages!$A$1,0,0,COUNTA([1]stages!$A:$A),MATCH(H$1,[1]stages!$2:$2,0)-MATCH($G$1,[1]stages!$2:$2,0)+1),MATCH(H$1,[1]stages!$2:$2,0)-MATCH($G$1,[1]stages!$2:$2,0)+1,FALSE)</f>
        <v>【初級】悪夢の一目惚れ</v>
      </c>
      <c r="I4" s="27">
        <v>3</v>
      </c>
      <c r="J4" s="12">
        <v>20</v>
      </c>
      <c r="K4" s="12">
        <v>20</v>
      </c>
    </row>
    <row r="5" spans="1:11" ht="21" customHeight="1" x14ac:dyDescent="0.15">
      <c r="A5" s="20" t="str">
        <f t="shared" ca="1" si="0"/>
        <v>20010_2-1</v>
      </c>
      <c r="B5" s="20" t="str">
        <f ca="1">IF(COUNTIF(enemy_habitats_drop_3_2!$H:$H,A5),"OK","NG")</f>
        <v>OK</v>
      </c>
      <c r="C5" s="7">
        <v>20010</v>
      </c>
      <c r="D5" s="11" t="str">
        <f ca="1">VLOOKUP($C5,OFFSET([1]quests!$A$1,0,0,COUNTA([1]quests!$A:$A),MATCH(D$1,[1]quests!$1:$1,0)-MATCH($C$1,[1]quests!$1:$1,0)+1),MATCH(D$1,[1]quests!$1:$1,0)-MATCH($C$1,[1]quests!$1:$1,0)+1,FALSE)</f>
        <v>悪夢の一目惚れ</v>
      </c>
      <c r="E5" s="25" t="str">
        <f ca="1">VLOOKUP($C5,OFFSET([1]quests!$A$1,0,0,COUNTA([1]quests!$A:$A),MATCH(E$1,[1]quests!$1:$1,0)-MATCH($C$1,[1]quests!$1:$1,0)+1),MATCH(E$1,[1]quests!$1:$1,0)-MATCH($C$1,[1]quests!$1:$1,0)+1,FALSE)</f>
        <v>ドロップイベント3</v>
      </c>
      <c r="F5" s="27">
        <v>2</v>
      </c>
      <c r="G5" s="29" t="str">
        <f t="shared" ca="1" si="1"/>
        <v>20010_2</v>
      </c>
      <c r="H5" s="19" t="str">
        <f ca="1">VLOOKUP($G5,OFFSET([1]stages!$A$1,0,0,COUNTA([1]stages!$A:$A),MATCH(H$1,[1]stages!$2:$2,0)-MATCH($G$1,[1]stages!$2:$2,0)+1),MATCH(H$1,[1]stages!$2:$2,0)-MATCH($G$1,[1]stages!$2:$2,0)+1,FALSE)</f>
        <v>【中級】悪夢の一目惚れ</v>
      </c>
      <c r="I5" s="27">
        <v>1</v>
      </c>
      <c r="J5" s="12">
        <v>35</v>
      </c>
      <c r="K5" s="12">
        <v>35</v>
      </c>
    </row>
    <row r="6" spans="1:11" ht="21" customHeight="1" x14ac:dyDescent="0.15">
      <c r="A6" s="20" t="str">
        <f t="shared" ca="1" si="0"/>
        <v>20010_2-2</v>
      </c>
      <c r="B6" s="20" t="str">
        <f ca="1">IF(COUNTIF(enemy_habitats_drop_3_2!$H:$H,A6),"OK","NG")</f>
        <v>OK</v>
      </c>
      <c r="C6" s="7">
        <v>20010</v>
      </c>
      <c r="D6" s="11" t="str">
        <f ca="1">VLOOKUP($C6,OFFSET([1]quests!$A$1,0,0,COUNTA([1]quests!$A:$A),MATCH(D$1,[1]quests!$1:$1,0)-MATCH($C$1,[1]quests!$1:$1,0)+1),MATCH(D$1,[1]quests!$1:$1,0)-MATCH($C$1,[1]quests!$1:$1,0)+1,FALSE)</f>
        <v>悪夢の一目惚れ</v>
      </c>
      <c r="E6" s="25" t="str">
        <f ca="1">VLOOKUP($C6,OFFSET([1]quests!$A$1,0,0,COUNTA([1]quests!$A:$A),MATCH(E$1,[1]quests!$1:$1,0)-MATCH($C$1,[1]quests!$1:$1,0)+1),MATCH(E$1,[1]quests!$1:$1,0)-MATCH($C$1,[1]quests!$1:$1,0)+1,FALSE)</f>
        <v>ドロップイベント3</v>
      </c>
      <c r="F6" s="27">
        <v>2</v>
      </c>
      <c r="G6" s="29" t="str">
        <f t="shared" ca="1" si="1"/>
        <v>20010_2</v>
      </c>
      <c r="H6" s="19" t="str">
        <f ca="1">VLOOKUP($G6,OFFSET([1]stages!$A$1,0,0,COUNTA([1]stages!$A:$A),MATCH(H$1,[1]stages!$2:$2,0)-MATCH($G$1,[1]stages!$2:$2,0)+1),MATCH(H$1,[1]stages!$2:$2,0)-MATCH($G$1,[1]stages!$2:$2,0)+1,FALSE)</f>
        <v>【中級】悪夢の一目惚れ</v>
      </c>
      <c r="I6" s="27">
        <v>2</v>
      </c>
      <c r="J6" s="12">
        <v>45</v>
      </c>
      <c r="K6" s="12">
        <v>45</v>
      </c>
    </row>
    <row r="7" spans="1:11" ht="21" customHeight="1" x14ac:dyDescent="0.15">
      <c r="A7" s="20" t="str">
        <f t="shared" ca="1" si="0"/>
        <v>20010_2-3</v>
      </c>
      <c r="B7" s="20" t="str">
        <f ca="1">IF(COUNTIF(enemy_habitats_drop_3_2!$H:$H,A7),"OK","NG")</f>
        <v>OK</v>
      </c>
      <c r="C7" s="7">
        <v>20010</v>
      </c>
      <c r="D7" s="11" t="str">
        <f ca="1">VLOOKUP($C7,OFFSET([1]quests!$A$1,0,0,COUNTA([1]quests!$A:$A),MATCH(D$1,[1]quests!$1:$1,0)-MATCH($C$1,[1]quests!$1:$1,0)+1),MATCH(D$1,[1]quests!$1:$1,0)-MATCH($C$1,[1]quests!$1:$1,0)+1,FALSE)</f>
        <v>悪夢の一目惚れ</v>
      </c>
      <c r="E7" s="25" t="str">
        <f ca="1">VLOOKUP($C7,OFFSET([1]quests!$A$1,0,0,COUNTA([1]quests!$A:$A),MATCH(E$1,[1]quests!$1:$1,0)-MATCH($C$1,[1]quests!$1:$1,0)+1),MATCH(E$1,[1]quests!$1:$1,0)-MATCH($C$1,[1]quests!$1:$1,0)+1,FALSE)</f>
        <v>ドロップイベント3</v>
      </c>
      <c r="F7" s="27">
        <v>2</v>
      </c>
      <c r="G7" s="29" t="str">
        <f t="shared" ca="1" si="1"/>
        <v>20010_2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【中級】悪夢の一目惚れ</v>
      </c>
      <c r="I7" s="27">
        <v>3</v>
      </c>
      <c r="J7" s="12">
        <v>50</v>
      </c>
      <c r="K7" s="12">
        <v>50</v>
      </c>
    </row>
    <row r="8" spans="1:11" ht="21" customHeight="1" x14ac:dyDescent="0.15">
      <c r="A8" s="20" t="str">
        <f t="shared" ca="1" si="0"/>
        <v>20010_3-1</v>
      </c>
      <c r="B8" s="20" t="str">
        <f ca="1">IF(COUNTIF(enemy_habitats_drop_3_2!$H:$H,A8),"OK","NG")</f>
        <v>OK</v>
      </c>
      <c r="C8" s="7">
        <v>20010</v>
      </c>
      <c r="D8" s="11" t="str">
        <f ca="1">VLOOKUP($C8,OFFSET([1]quests!$A$1,0,0,COUNTA([1]quests!$A:$A),MATCH(D$1,[1]quests!$1:$1,0)-MATCH($C$1,[1]quests!$1:$1,0)+1),MATCH(D$1,[1]quests!$1:$1,0)-MATCH($C$1,[1]quests!$1:$1,0)+1,FALSE)</f>
        <v>悪夢の一目惚れ</v>
      </c>
      <c r="E8" s="25" t="str">
        <f ca="1">VLOOKUP($C8,OFFSET([1]quests!$A$1,0,0,COUNTA([1]quests!$A:$A),MATCH(E$1,[1]quests!$1:$1,0)-MATCH($C$1,[1]quests!$1:$1,0)+1),MATCH(E$1,[1]quests!$1:$1,0)-MATCH($C$1,[1]quests!$1:$1,0)+1,FALSE)</f>
        <v>ドロップイベント3</v>
      </c>
      <c r="F8" s="27">
        <v>3</v>
      </c>
      <c r="G8" s="29" t="str">
        <f t="shared" ca="1" si="1"/>
        <v>20010_3</v>
      </c>
      <c r="H8" s="19" t="str">
        <f ca="1">VLOOKUP($G8,OFFSET([1]stages!$A$1,0,0,COUNTA([1]stages!$A:$A),MATCH(H$1,[1]stages!$2:$2,0)-MATCH($G$1,[1]stages!$2:$2,0)+1),MATCH(H$1,[1]stages!$2:$2,0)-MATCH($G$1,[1]stages!$2:$2,0)+1,FALSE)</f>
        <v>【上級】悪夢の一目惚れ</v>
      </c>
      <c r="I8" s="27">
        <v>1</v>
      </c>
      <c r="J8" s="12">
        <v>55</v>
      </c>
      <c r="K8" s="12">
        <v>55</v>
      </c>
    </row>
    <row r="9" spans="1:11" ht="21" customHeight="1" x14ac:dyDescent="0.15">
      <c r="A9" s="20" t="str">
        <f t="shared" ca="1" si="0"/>
        <v>20010_3-2</v>
      </c>
      <c r="B9" s="20" t="str">
        <f ca="1">IF(COUNTIF(enemy_habitats_drop_3_2!$H:$H,A9),"OK","NG")</f>
        <v>OK</v>
      </c>
      <c r="C9" s="7">
        <v>20010</v>
      </c>
      <c r="D9" s="11" t="str">
        <f ca="1">VLOOKUP($C9,OFFSET([1]quests!$A$1,0,0,COUNTA([1]quests!$A:$A),MATCH(D$1,[1]quests!$1:$1,0)-MATCH($C$1,[1]quests!$1:$1,0)+1),MATCH(D$1,[1]quests!$1:$1,0)-MATCH($C$1,[1]quests!$1:$1,0)+1,FALSE)</f>
        <v>悪夢の一目惚れ</v>
      </c>
      <c r="E9" s="25" t="str">
        <f ca="1">VLOOKUP($C9,OFFSET([1]quests!$A$1,0,0,COUNTA([1]quests!$A:$A),MATCH(E$1,[1]quests!$1:$1,0)-MATCH($C$1,[1]quests!$1:$1,0)+1),MATCH(E$1,[1]quests!$1:$1,0)-MATCH($C$1,[1]quests!$1:$1,0)+1,FALSE)</f>
        <v>ドロップイベント3</v>
      </c>
      <c r="F9" s="27">
        <v>3</v>
      </c>
      <c r="G9" s="29" t="str">
        <f t="shared" ca="1" si="1"/>
        <v>20010_3</v>
      </c>
      <c r="H9" s="19" t="str">
        <f ca="1">VLOOKUP($G9,OFFSET([1]stages!$A$1,0,0,COUNTA([1]stages!$A:$A),MATCH(H$1,[1]stages!$2:$2,0)-MATCH($G$1,[1]stages!$2:$2,0)+1),MATCH(H$1,[1]stages!$2:$2,0)-MATCH($G$1,[1]stages!$2:$2,0)+1,FALSE)</f>
        <v>【上級】悪夢の一目惚れ</v>
      </c>
      <c r="I9" s="27">
        <v>2</v>
      </c>
      <c r="J9" s="12">
        <v>20</v>
      </c>
      <c r="K9" s="12">
        <v>20</v>
      </c>
    </row>
    <row r="10" spans="1:11" ht="21" customHeight="1" x14ac:dyDescent="0.15">
      <c r="A10" s="20" t="str">
        <f t="shared" ca="1" si="0"/>
        <v>20010_3-3</v>
      </c>
      <c r="B10" s="20" t="str">
        <f ca="1">IF(COUNTIF(enemy_habitats_drop_3_2!$H:$H,A10),"OK","NG")</f>
        <v>OK</v>
      </c>
      <c r="C10" s="7">
        <v>20010</v>
      </c>
      <c r="D10" s="11" t="str">
        <f ca="1">VLOOKUP($C10,OFFSET([1]quests!$A$1,0,0,COUNTA([1]quests!$A:$A),MATCH(D$1,[1]quests!$1:$1,0)-MATCH($C$1,[1]quests!$1:$1,0)+1),MATCH(D$1,[1]quests!$1:$1,0)-MATCH($C$1,[1]quests!$1:$1,0)+1,FALSE)</f>
        <v>悪夢の一目惚れ</v>
      </c>
      <c r="E10" s="25" t="str">
        <f ca="1">VLOOKUP($C10,OFFSET([1]quests!$A$1,0,0,COUNTA([1]quests!$A:$A),MATCH(E$1,[1]quests!$1:$1,0)-MATCH($C$1,[1]quests!$1:$1,0)+1),MATCH(E$1,[1]quests!$1:$1,0)-MATCH($C$1,[1]quests!$1:$1,0)+1,FALSE)</f>
        <v>ドロップイベント3</v>
      </c>
      <c r="F10" s="27">
        <v>3</v>
      </c>
      <c r="G10" s="29" t="str">
        <f t="shared" ca="1" si="1"/>
        <v>20010_3</v>
      </c>
      <c r="H10" s="19" t="str">
        <f ca="1">VLOOKUP($G10,OFFSET([1]stages!$A$1,0,0,COUNTA([1]stages!$A:$A),MATCH(H$1,[1]stages!$2:$2,0)-MATCH($G$1,[1]stages!$2:$2,0)+1),MATCH(H$1,[1]stages!$2:$2,0)-MATCH($G$1,[1]stages!$2:$2,0)+1,FALSE)</f>
        <v>【上級】悪夢の一目惚れ</v>
      </c>
      <c r="I10" s="27">
        <v>3</v>
      </c>
      <c r="J10" s="12">
        <v>60</v>
      </c>
      <c r="K10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L39"/>
  <sheetViews>
    <sheetView showGridLines="0" zoomScale="75" zoomScaleNormal="75" zoomScalePageLayoutView="75" workbookViewId="0">
      <pane xSplit="16" ySplit="1" topLeftCell="AF8" activePane="bottomRight" state="frozen"/>
      <selection pane="topRight" activeCell="N1" sqref="N1"/>
      <selection pane="bottomLeft" activeCell="A2" sqref="A2"/>
      <selection pane="bottomRight" activeCell="AG25" sqref="AG25"/>
    </sheetView>
  </sheetViews>
  <sheetFormatPr baseColWidth="12" defaultColWidth="13" defaultRowHeight="21" customHeight="1" outlineLevelCol="1" x14ac:dyDescent="0.15"/>
  <cols>
    <col min="1" max="1" width="12.5" style="26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3.5" style="9" bestFit="1" customWidth="1"/>
    <col min="12" max="12" width="8.83203125" style="3" customWidth="1" outlineLevel="1"/>
    <col min="13" max="13" width="8.6640625" style="3" customWidth="1" outlineLevel="1"/>
    <col min="14" max="14" width="12" style="3" customWidth="1" outlineLevel="1"/>
    <col min="15" max="15" width="21" style="3" customWidth="1" outlineLevel="1"/>
    <col min="16" max="16" width="8" style="3" customWidth="1" outlineLevel="1"/>
    <col min="17" max="17" width="8.33203125" style="3" bestFit="1" customWidth="1"/>
    <col min="18" max="18" width="14.83203125" style="3" bestFit="1" customWidth="1"/>
    <col min="19" max="19" width="17.5" style="3" bestFit="1" customWidth="1"/>
    <col min="20" max="20" width="18.33203125" style="3" bestFit="1" customWidth="1"/>
    <col min="21" max="21" width="12.1640625" style="3" bestFit="1" customWidth="1" outlineLevel="1"/>
    <col min="22" max="22" width="10" style="3" bestFit="1" customWidth="1"/>
    <col min="23" max="23" width="11.33203125" style="3" bestFit="1" customWidth="1"/>
    <col min="24" max="24" width="11.6640625" style="3" bestFit="1" customWidth="1"/>
    <col min="25" max="25" width="10.6640625" style="3" bestFit="1" customWidth="1"/>
    <col min="26" max="26" width="9.33203125" style="3" bestFit="1" customWidth="1"/>
    <col min="27" max="27" width="13" style="3" bestFit="1" customWidth="1"/>
    <col min="28" max="28" width="8.83203125" style="13" bestFit="1" customWidth="1" outlineLevel="1"/>
    <col min="29" max="29" width="8" style="14" bestFit="1" customWidth="1" outlineLevel="1"/>
    <col min="30" max="30" width="12" style="14" bestFit="1" customWidth="1" outlineLevel="1"/>
    <col min="31" max="31" width="15" style="10" bestFit="1" customWidth="1" collapsed="1"/>
    <col min="32" max="33" width="14.83203125" style="3" bestFit="1" customWidth="1"/>
    <col min="34" max="34" width="6.6640625" style="3" bestFit="1" customWidth="1"/>
    <col min="35" max="35" width="9.33203125" style="3" bestFit="1" customWidth="1"/>
    <col min="36" max="36" width="10.33203125" style="3" bestFit="1" customWidth="1"/>
    <col min="37" max="37" width="7.6640625" style="3" bestFit="1" customWidth="1"/>
    <col min="38" max="38" width="4" style="3" bestFit="1" customWidth="1"/>
    <col min="39" max="16384" width="13" style="3"/>
  </cols>
  <sheetData>
    <row r="1" spans="1:38" s="41" customFormat="1" ht="21" customHeight="1" x14ac:dyDescent="0.15">
      <c r="A1" s="33" t="s">
        <v>29</v>
      </c>
      <c r="B1" s="34" t="s">
        <v>0</v>
      </c>
      <c r="C1" s="34" t="s">
        <v>1</v>
      </c>
      <c r="D1" s="35" t="s">
        <v>28</v>
      </c>
      <c r="E1" s="36" t="s">
        <v>20</v>
      </c>
      <c r="F1" s="36" t="s">
        <v>20</v>
      </c>
      <c r="G1" s="34" t="s">
        <v>19</v>
      </c>
      <c r="H1" s="35" t="s">
        <v>37</v>
      </c>
      <c r="I1" s="35" t="s">
        <v>14</v>
      </c>
      <c r="J1" s="35" t="s">
        <v>15</v>
      </c>
      <c r="K1" s="34" t="s">
        <v>2</v>
      </c>
      <c r="L1" s="37" t="s">
        <v>21</v>
      </c>
      <c r="M1" s="35" t="s">
        <v>24</v>
      </c>
      <c r="N1" s="35" t="s">
        <v>23</v>
      </c>
      <c r="O1" s="38" t="s">
        <v>26</v>
      </c>
      <c r="P1" s="36" t="s">
        <v>25</v>
      </c>
      <c r="Q1" s="34" t="s">
        <v>3</v>
      </c>
      <c r="R1" s="32" t="s">
        <v>50</v>
      </c>
      <c r="S1" s="32" t="s">
        <v>52</v>
      </c>
      <c r="T1" s="32" t="s">
        <v>54</v>
      </c>
      <c r="U1" s="34" t="s">
        <v>4</v>
      </c>
      <c r="V1" s="35" t="s">
        <v>33</v>
      </c>
      <c r="W1" s="34" t="s">
        <v>5</v>
      </c>
      <c r="X1" s="34" t="s">
        <v>6</v>
      </c>
      <c r="Y1" s="34" t="s">
        <v>7</v>
      </c>
      <c r="Z1" s="34" t="s">
        <v>8</v>
      </c>
      <c r="AA1" s="39" t="s">
        <v>9</v>
      </c>
      <c r="AB1" s="40" t="s">
        <v>16</v>
      </c>
      <c r="AC1" s="40" t="s">
        <v>17</v>
      </c>
      <c r="AD1" s="40" t="s">
        <v>27</v>
      </c>
      <c r="AE1" s="39" t="s">
        <v>10</v>
      </c>
      <c r="AF1" s="34" t="s">
        <v>11</v>
      </c>
      <c r="AG1" s="34" t="s">
        <v>12</v>
      </c>
      <c r="AH1" s="34" t="s">
        <v>40</v>
      </c>
      <c r="AI1" s="34" t="s">
        <v>42</v>
      </c>
      <c r="AJ1" s="34" t="s">
        <v>44</v>
      </c>
      <c r="AK1" s="34" t="s">
        <v>46</v>
      </c>
      <c r="AL1" s="34" t="s">
        <v>48</v>
      </c>
    </row>
    <row r="2" spans="1:38" ht="21" customHeight="1" x14ac:dyDescent="0.15">
      <c r="A2" s="20" t="str">
        <f t="shared" ref="A2:A38" ca="1" si="0">B2&amp;"_"&amp;C2&amp;"-"&amp;G2&amp;"/"&amp;K2&amp;"&lt;lv"&amp;Q2&amp;"&gt;s"&amp;Z2</f>
        <v>20010_1-1/7&lt;lv18&gt;s2</v>
      </c>
      <c r="B2" s="28">
        <v>20010</v>
      </c>
      <c r="C2" s="27">
        <v>1</v>
      </c>
      <c r="D2" s="2" t="str">
        <f>B2&amp;"_"&amp;C2</f>
        <v>20010_1</v>
      </c>
      <c r="E2" s="4" t="str">
        <f ca="1">VLOOKUP($B2,OFFSET([1]quests!$A$1,0,0,COUNTA([1]quests!$A:$A),MATCH(E$1,[1]quests!$1:$1,0)-MATCH($B$1,[1]quests!$1:$1,0)+1),MATCH(E$1,[1]quests!$1:$1,0)-MATCH($B$1,[1]quests!$1:$1,0)+1,FALSE)</f>
        <v>悪夢の一目惚れ</v>
      </c>
      <c r="F2" s="4" t="str">
        <f ca="1">VLOOKUP($D2,OFFSET([1]stages!$A$1,0,0,COUNTA([1]stages!$A:$A),MATCH(F$1,[1]stages!$2:$2,0)-MATCH($D$1,[1]stages!$2:$2,0)+1),MATCH(F$1,[1]stages!$2:$2,0)-MATCH($D$1,[1]stages!$2:$2,0)+1,FALSE)</f>
        <v>【初級】悪夢の一目惚れ</v>
      </c>
      <c r="G2" s="27">
        <v>1</v>
      </c>
      <c r="H2" s="19" t="str">
        <f ca="1">B2&amp;"_"&amp;C2&amp;"-"&amp;G2</f>
        <v>20010_1-1</v>
      </c>
      <c r="I2" s="4">
        <f ca="1">VLOOKUP($H2,OFFSET(floors_drop_3_2!$A$1,0,0,COUNTA(floors_drop_3_2!$A:$A),MATCH(I$1,floors_drop_3_2!$1:$1,0)-MATCH($H$1,floors_drop_3_2!$1:$1,0)+1),MATCH(I$1,floors_drop_3_2!$1:$1,0)-MATCH($H$1,floors_drop_3_2!$1:$1,0)+1,FALSE)</f>
        <v>30</v>
      </c>
      <c r="J2" s="4">
        <f ca="1">VLOOKUP($H2,OFFSET(floors_drop_3_2!$A$1,0,0,COUNTA(floors_drop_3_2!$A:$A),MATCH(J$1,floors_drop_3_2!$1:$1,0)-MATCH($H$1,floors_drop_3_2!$1:$1,0)+1),MATCH(J$1,floors_drop_3_2!$1:$1,0)-MATCH($H$1,floors_drop_3_2!$1:$1,0)+1,FALSE)</f>
        <v>30</v>
      </c>
      <c r="K2" s="42">
        <v>7</v>
      </c>
      <c r="L2" s="23" t="str">
        <f ca="1">VLOOKUP(K2,[2]enemies!$A:$B,2,FALSE)</f>
        <v>エレキポット</v>
      </c>
      <c r="M2" s="25" t="str">
        <f ca="1">VLOOKUP(K2,[2]enemies!$A:$D,4,FALSE)</f>
        <v>yellow</v>
      </c>
      <c r="N2" s="25" t="str">
        <f ca="1">VLOOKUP(K2,[3]characters!$A:$J,10,FALSE)</f>
        <v>Drop1T</v>
      </c>
      <c r="O2" s="24" t="str">
        <f ca="1">VLOOKUP(K2,[3]characters!$A:$M,13,FALSE)</f>
        <v>unknown</v>
      </c>
      <c r="P2" s="4">
        <f ca="1">VLOOKUP(K2,[2]enemies!$A:$X,24,FALSE)</f>
        <v>15</v>
      </c>
      <c r="Q2" s="5">
        <v>18</v>
      </c>
      <c r="R2" s="31">
        <v>1.2</v>
      </c>
      <c r="S2" s="31">
        <v>1.2</v>
      </c>
      <c r="T2" s="5">
        <v>0</v>
      </c>
      <c r="U2" s="4">
        <f ca="1">VLOOKUP(K2,[2]enemies!$A:$AB,28,FALSE)</f>
        <v>0</v>
      </c>
      <c r="V2" s="79" t="str">
        <f ca="1">IFERROR(VLOOKUP(U2,[4]enemy_skill_sets!$B:$E,4,FALSE),VLOOKUP(U2,[5]enemy_skill_sets!A:D,4,FALSE))</f>
        <v>なし</v>
      </c>
      <c r="W2" s="6">
        <v>0</v>
      </c>
      <c r="X2" s="6">
        <v>100</v>
      </c>
      <c r="Y2" s="6">
        <v>0</v>
      </c>
      <c r="Z2" s="4">
        <f ca="1">VLOOKUP(K2,[2]enemies!$A:$V,22,FALSE)</f>
        <v>2</v>
      </c>
      <c r="AA2" s="42">
        <v>7</v>
      </c>
      <c r="AB2" s="4" t="str">
        <f ca="1">VLOOKUP(K2,[2]enemies!$A:$B,2,FALSE)</f>
        <v>エレキポット</v>
      </c>
      <c r="AC2" s="4">
        <f ca="1">VLOOKUP(K2,[2]enemies!$A:$E,3,FALSE)</f>
        <v>1</v>
      </c>
      <c r="AD2" s="4" t="str">
        <f ca="1">VLOOKUP(K2,[3]characters!$A:$J,10,FALSE)</f>
        <v>Drop1T</v>
      </c>
      <c r="AE2" s="7">
        <v>1</v>
      </c>
      <c r="AF2" s="30">
        <f ca="1">AC2</f>
        <v>1</v>
      </c>
      <c r="AG2" s="8">
        <v>26</v>
      </c>
      <c r="AH2" s="7">
        <v>0</v>
      </c>
      <c r="AI2" s="7">
        <v>0</v>
      </c>
      <c r="AJ2" s="7">
        <v>0</v>
      </c>
      <c r="AK2" s="7">
        <v>0</v>
      </c>
      <c r="AL2" s="7">
        <v>1</v>
      </c>
    </row>
    <row r="3" spans="1:38" ht="21" customHeight="1" x14ac:dyDescent="0.15">
      <c r="A3" s="20" t="str">
        <f t="shared" ca="1" si="0"/>
        <v>20010_1-1/13&lt;lv18&gt;s2</v>
      </c>
      <c r="B3" s="28">
        <v>20010</v>
      </c>
      <c r="C3" s="27">
        <v>1</v>
      </c>
      <c r="D3" s="2" t="str">
        <f ca="1">B3&amp;"_"&amp;C3</f>
        <v>20010_1</v>
      </c>
      <c r="E3" s="4" t="str">
        <f ca="1">VLOOKUP($B3,OFFSET([1]quests!$A$1,0,0,COUNTA([1]quests!$A:$A),MATCH(E$1,[1]quests!$1:$1,0)-MATCH($B$1,[1]quests!$1:$1,0)+1),MATCH(E$1,[1]quests!$1:$1,0)-MATCH($B$1,[1]quests!$1:$1,0)+1,FALSE)</f>
        <v>悪夢の一目惚れ</v>
      </c>
      <c r="F3" s="4" t="str">
        <f ca="1">VLOOKUP($D3,OFFSET([1]stages!$A$1,0,0,COUNTA([1]stages!$A:$A),MATCH(F$1,[1]stages!$2:$2,0)-MATCH($D$1,[1]stages!$2:$2,0)+1),MATCH(F$1,[1]stages!$2:$2,0)-MATCH($D$1,[1]stages!$2:$2,0)+1,FALSE)</f>
        <v>【初級】悪夢の一目惚れ</v>
      </c>
      <c r="G3" s="27">
        <v>1</v>
      </c>
      <c r="H3" s="19" t="str">
        <f ca="1">B3&amp;"_"&amp;C3&amp;"-"&amp;G3</f>
        <v>20010_1-1</v>
      </c>
      <c r="I3" s="4">
        <f ca="1">VLOOKUP($H3,OFFSET(floors_drop_3_2!$A$1,0,0,COUNTA(floors_drop_3_2!$A:$A),MATCH(I$1,floors_drop_3_2!$1:$1,0)-MATCH($H$1,floors_drop_3_2!$1:$1,0)+1),MATCH(I$1,floors_drop_3_2!$1:$1,0)-MATCH($H$1,floors_drop_3_2!$1:$1,0)+1,FALSE)</f>
        <v>30</v>
      </c>
      <c r="J3" s="4">
        <f ca="1">VLOOKUP($H3,OFFSET(floors_drop_3_2!$A$1,0,0,COUNTA(floors_drop_3_2!$A:$A),MATCH(J$1,floors_drop_3_2!$1:$1,0)-MATCH($H$1,floors_drop_3_2!$1:$1,0)+1),MATCH(J$1,floors_drop_3_2!$1:$1,0)-MATCH($H$1,floors_drop_3_2!$1:$1,0)+1,FALSE)</f>
        <v>30</v>
      </c>
      <c r="K3" s="43">
        <v>13</v>
      </c>
      <c r="L3" s="23" t="str">
        <f ca="1">VLOOKUP(K3,[2]enemies!$A:$B,2,FALSE)</f>
        <v>ミミ</v>
      </c>
      <c r="M3" s="25" t="str">
        <f ca="1">VLOOKUP(K3,[2]enemies!$A:$D,4,FALSE)</f>
        <v>yellow</v>
      </c>
      <c r="N3" s="25" t="str">
        <f ca="1">VLOOKUP(K3,[3]characters!$A:$J,10,FALSE)</f>
        <v>Drop1W</v>
      </c>
      <c r="O3" s="24" t="str">
        <f ca="1">VLOOKUP(K3,[3]characters!$A:$M,13,FALSE)</f>
        <v>animal</v>
      </c>
      <c r="P3" s="4">
        <f ca="1">VLOOKUP(K3,[2]enemies!$A:$X,24,FALSE)</f>
        <v>15</v>
      </c>
      <c r="Q3" s="5">
        <v>18</v>
      </c>
      <c r="R3" s="31">
        <v>1.2</v>
      </c>
      <c r="S3" s="31">
        <v>1.2</v>
      </c>
      <c r="T3" s="5">
        <v>0</v>
      </c>
      <c r="U3" s="4">
        <f ca="1">VLOOKUP(K3,[2]enemies!$A:$AB,28,FALSE)</f>
        <v>0</v>
      </c>
      <c r="V3" s="79" t="str">
        <f ca="1">IFERROR(VLOOKUP(U3,[4]enemy_skill_sets!$B:$E,4,FALSE),VLOOKUP(U3,[5]enemy_skill_sets!A:D,4,FALSE))</f>
        <v>なし</v>
      </c>
      <c r="W3" s="6">
        <v>0</v>
      </c>
      <c r="X3" s="6">
        <v>100</v>
      </c>
      <c r="Y3" s="6">
        <v>0</v>
      </c>
      <c r="Z3" s="4">
        <f ca="1">VLOOKUP(K3,[2]enemies!$A:$V,22,FALSE)</f>
        <v>2</v>
      </c>
      <c r="AA3" s="43">
        <v>13</v>
      </c>
      <c r="AB3" s="4" t="str">
        <f ca="1">VLOOKUP(K3,[2]enemies!$A:$B,2,FALSE)</f>
        <v>ミミ</v>
      </c>
      <c r="AC3" s="4">
        <f ca="1">VLOOKUP(K3,[2]enemies!$A:$E,3,FALSE)</f>
        <v>1</v>
      </c>
      <c r="AD3" s="4" t="str">
        <f ca="1">VLOOKUP(K3,[3]characters!$A:$J,10,FALSE)</f>
        <v>Drop1W</v>
      </c>
      <c r="AE3" s="7">
        <v>1</v>
      </c>
      <c r="AF3" s="30">
        <f ca="1">AC3</f>
        <v>1</v>
      </c>
      <c r="AG3" s="8">
        <v>26</v>
      </c>
      <c r="AH3" s="7">
        <v>0</v>
      </c>
      <c r="AI3" s="7">
        <v>0</v>
      </c>
      <c r="AJ3" s="7">
        <v>0</v>
      </c>
      <c r="AK3" s="7">
        <v>0</v>
      </c>
      <c r="AL3" s="7">
        <v>1</v>
      </c>
    </row>
    <row r="4" spans="1:38" ht="21" customHeight="1" x14ac:dyDescent="0.15">
      <c r="A4" s="20" t="str">
        <f t="shared" ca="1" si="0"/>
        <v>20010_1-1/19&lt;lv18&gt;s3</v>
      </c>
      <c r="B4" s="28">
        <v>20010</v>
      </c>
      <c r="C4" s="27">
        <v>1</v>
      </c>
      <c r="D4" s="2" t="str">
        <f t="shared" ref="D4:D38" ca="1" si="1">B4&amp;"_"&amp;C4</f>
        <v>20010_1</v>
      </c>
      <c r="E4" s="4" t="str">
        <f ca="1">VLOOKUP($B4,OFFSET([1]quests!$A$1,0,0,COUNTA([1]quests!$A:$A),MATCH(E$1,[1]quests!$1:$1,0)-MATCH($B$1,[1]quests!$1:$1,0)+1),MATCH(E$1,[1]quests!$1:$1,0)-MATCH($B$1,[1]quests!$1:$1,0)+1,FALSE)</f>
        <v>悪夢の一目惚れ</v>
      </c>
      <c r="F4" s="4" t="str">
        <f ca="1">VLOOKUP($D4,OFFSET([1]stages!$A$1,0,0,COUNTA([1]stages!$A:$A),MATCH(F$1,[1]stages!$2:$2,0)-MATCH($D$1,[1]stages!$2:$2,0)+1),MATCH(F$1,[1]stages!$2:$2,0)-MATCH($D$1,[1]stages!$2:$2,0)+1,FALSE)</f>
        <v>【初級】悪夢の一目惚れ</v>
      </c>
      <c r="G4" s="27">
        <v>1</v>
      </c>
      <c r="H4" s="19" t="str">
        <f t="shared" ref="H4:H38" ca="1" si="2">B4&amp;"_"&amp;C4&amp;"-"&amp;G4</f>
        <v>20010_1-1</v>
      </c>
      <c r="I4" s="4">
        <f ca="1">VLOOKUP($H4,OFFSET(floors_drop_3_2!$A$1,0,0,COUNTA(floors_drop_3_2!$A:$A),MATCH(I$1,floors_drop_3_2!$1:$1,0)-MATCH($H$1,floors_drop_3_2!$1:$1,0)+1),MATCH(I$1,floors_drop_3_2!$1:$1,0)-MATCH($H$1,floors_drop_3_2!$1:$1,0)+1,FALSE)</f>
        <v>30</v>
      </c>
      <c r="J4" s="4">
        <f ca="1">VLOOKUP($H4,OFFSET(floors_drop_3_2!$A$1,0,0,COUNTA(floors_drop_3_2!$A:$A),MATCH(J$1,floors_drop_3_2!$1:$1,0)-MATCH($H$1,floors_drop_3_2!$1:$1,0)+1),MATCH(J$1,floors_drop_3_2!$1:$1,0)-MATCH($H$1,floors_drop_3_2!$1:$1,0)+1,FALSE)</f>
        <v>30</v>
      </c>
      <c r="K4" s="43">
        <v>19</v>
      </c>
      <c r="L4" s="23" t="str">
        <f ca="1">VLOOKUP(K4,[2]enemies!$A:$B,2,FALSE)</f>
        <v>ティンク</v>
      </c>
      <c r="M4" s="25" t="str">
        <f ca="1">VLOOKUP(K4,[2]enemies!$A:$D,4,FALSE)</f>
        <v>yellow</v>
      </c>
      <c r="N4" s="25" t="str">
        <f ca="1">VLOOKUP(K4,[3]characters!$A:$J,10,FALSE)</f>
        <v>Drop1W</v>
      </c>
      <c r="O4" s="24" t="str">
        <f ca="1">VLOOKUP(K4,[3]characters!$A:$M,13,FALSE)</f>
        <v>human</v>
      </c>
      <c r="P4" s="4">
        <f ca="1">VLOOKUP(K4,[2]enemies!$A:$X,24,FALSE)</f>
        <v>15</v>
      </c>
      <c r="Q4" s="5">
        <v>18</v>
      </c>
      <c r="R4" s="31">
        <v>1.2</v>
      </c>
      <c r="S4" s="31">
        <v>1.2</v>
      </c>
      <c r="T4" s="5">
        <v>0</v>
      </c>
      <c r="U4" s="4">
        <f ca="1">VLOOKUP(K4,[2]enemies!$A:$AB,28,FALSE)</f>
        <v>0</v>
      </c>
      <c r="V4" s="79" t="str">
        <f ca="1">IFERROR(VLOOKUP(U4,[4]enemy_skill_sets!$B:$E,4,FALSE),VLOOKUP(U4,[5]enemy_skill_sets!A:D,4,FALSE))</f>
        <v>なし</v>
      </c>
      <c r="W4" s="6">
        <v>0</v>
      </c>
      <c r="X4" s="6">
        <v>100</v>
      </c>
      <c r="Y4" s="6">
        <v>0</v>
      </c>
      <c r="Z4" s="4">
        <f ca="1">VLOOKUP(K4,[2]enemies!$A:$V,22,FALSE)</f>
        <v>3</v>
      </c>
      <c r="AA4" s="43">
        <v>19</v>
      </c>
      <c r="AB4" s="4" t="str">
        <f ca="1">VLOOKUP(K4,[2]enemies!$A:$B,2,FALSE)</f>
        <v>ティンク</v>
      </c>
      <c r="AC4" s="4">
        <f ca="1">VLOOKUP(K4,[2]enemies!$A:$E,3,FALSE)</f>
        <v>1</v>
      </c>
      <c r="AD4" s="4" t="str">
        <f ca="1">VLOOKUP(K4,[3]characters!$A:$J,10,FALSE)</f>
        <v>Drop1W</v>
      </c>
      <c r="AE4" s="7">
        <v>1</v>
      </c>
      <c r="AF4" s="30">
        <f t="shared" ref="AF4:AF38" ca="1" si="3">AC4</f>
        <v>1</v>
      </c>
      <c r="AG4" s="8">
        <v>26</v>
      </c>
      <c r="AH4" s="7">
        <v>0</v>
      </c>
      <c r="AI4" s="7">
        <v>0</v>
      </c>
      <c r="AJ4" s="7">
        <v>0</v>
      </c>
      <c r="AK4" s="7">
        <v>0</v>
      </c>
      <c r="AL4" s="7">
        <v>1</v>
      </c>
    </row>
    <row r="5" spans="1:38" ht="21" customHeight="1" x14ac:dyDescent="0.15">
      <c r="A5" s="20" t="str">
        <f t="shared" ca="1" si="0"/>
        <v>20010_1-1/31&lt;lv18&gt;s2</v>
      </c>
      <c r="B5" s="28">
        <v>20010</v>
      </c>
      <c r="C5" s="27">
        <v>1</v>
      </c>
      <c r="D5" s="2" t="str">
        <f t="shared" ca="1" si="1"/>
        <v>20010_1</v>
      </c>
      <c r="E5" s="4" t="str">
        <f ca="1">VLOOKUP($B5,OFFSET([1]quests!$A$1,0,0,COUNTA([1]quests!$A:$A),MATCH(E$1,[1]quests!$1:$1,0)-MATCH($B$1,[1]quests!$1:$1,0)+1),MATCH(E$1,[1]quests!$1:$1,0)-MATCH($B$1,[1]quests!$1:$1,0)+1,FALSE)</f>
        <v>悪夢の一目惚れ</v>
      </c>
      <c r="F5" s="4" t="str">
        <f ca="1">VLOOKUP($D5,OFFSET([1]stages!$A$1,0,0,COUNTA([1]stages!$A:$A),MATCH(F$1,[1]stages!$2:$2,0)-MATCH($D$1,[1]stages!$2:$2,0)+1),MATCH(F$1,[1]stages!$2:$2,0)-MATCH($D$1,[1]stages!$2:$2,0)+1,FALSE)</f>
        <v>【初級】悪夢の一目惚れ</v>
      </c>
      <c r="G5" s="27">
        <v>1</v>
      </c>
      <c r="H5" s="19" t="str">
        <f t="shared" ca="1" si="2"/>
        <v>20010_1-1</v>
      </c>
      <c r="I5" s="4">
        <f ca="1">VLOOKUP($H5,OFFSET(floors_drop_3_2!$A$1,0,0,COUNTA(floors_drop_3_2!$A:$A),MATCH(I$1,floors_drop_3_2!$1:$1,0)-MATCH($H$1,floors_drop_3_2!$1:$1,0)+1),MATCH(I$1,floors_drop_3_2!$1:$1,0)-MATCH($H$1,floors_drop_3_2!$1:$1,0)+1,FALSE)</f>
        <v>30</v>
      </c>
      <c r="J5" s="4">
        <f ca="1">VLOOKUP($H5,OFFSET(floors_drop_3_2!$A$1,0,0,COUNTA(floors_drop_3_2!$A:$A),MATCH(J$1,floors_drop_3_2!$1:$1,0)-MATCH($H$1,floors_drop_3_2!$1:$1,0)+1),MATCH(J$1,floors_drop_3_2!$1:$1,0)-MATCH($H$1,floors_drop_3_2!$1:$1,0)+1,FALSE)</f>
        <v>30</v>
      </c>
      <c r="K5" s="43">
        <v>31</v>
      </c>
      <c r="L5" s="23" t="str">
        <f ca="1">VLOOKUP(K5,[2]enemies!$A:$B,2,FALSE)</f>
        <v>マービー</v>
      </c>
      <c r="M5" s="25" t="str">
        <f ca="1">VLOOKUP(K5,[2]enemies!$A:$D,4,FALSE)</f>
        <v>yellow</v>
      </c>
      <c r="N5" s="25" t="str">
        <f ca="1">VLOOKUP(K5,[3]characters!$A:$J,10,FALSE)</f>
        <v>Drop1N</v>
      </c>
      <c r="O5" s="24" t="str">
        <f ca="1">VLOOKUP(K5,[3]characters!$A:$M,13,FALSE)</f>
        <v>machine</v>
      </c>
      <c r="P5" s="4">
        <f ca="1">VLOOKUP(K5,[2]enemies!$A:$X,24,FALSE)</f>
        <v>15</v>
      </c>
      <c r="Q5" s="5">
        <v>18</v>
      </c>
      <c r="R5" s="31">
        <v>1.2</v>
      </c>
      <c r="S5" s="31">
        <v>1.2</v>
      </c>
      <c r="T5" s="5">
        <v>0</v>
      </c>
      <c r="U5" s="4">
        <f ca="1">VLOOKUP(K5,[2]enemies!$A:$AB,28,FALSE)</f>
        <v>0</v>
      </c>
      <c r="V5" s="79" t="str">
        <f ca="1">IFERROR(VLOOKUP(U5,[4]enemy_skill_sets!$B:$E,4,FALSE),VLOOKUP(U5,[5]enemy_skill_sets!A:D,4,FALSE))</f>
        <v>なし</v>
      </c>
      <c r="W5" s="6">
        <v>0</v>
      </c>
      <c r="X5" s="6">
        <v>100</v>
      </c>
      <c r="Y5" s="6">
        <v>0</v>
      </c>
      <c r="Z5" s="4">
        <f ca="1">VLOOKUP(K5,[2]enemies!$A:$V,22,FALSE)</f>
        <v>2</v>
      </c>
      <c r="AA5" s="43">
        <v>31</v>
      </c>
      <c r="AB5" s="4" t="str">
        <f ca="1">VLOOKUP(K5,[2]enemies!$A:$B,2,FALSE)</f>
        <v>マービー</v>
      </c>
      <c r="AC5" s="4">
        <f ca="1">VLOOKUP(K5,[2]enemies!$A:$E,3,FALSE)</f>
        <v>1</v>
      </c>
      <c r="AD5" s="4" t="str">
        <f ca="1">VLOOKUP(K5,[3]characters!$A:$J,10,FALSE)</f>
        <v>Drop1N</v>
      </c>
      <c r="AE5" s="7">
        <v>1</v>
      </c>
      <c r="AF5" s="30">
        <f t="shared" ca="1" si="3"/>
        <v>1</v>
      </c>
      <c r="AG5" s="8">
        <v>26</v>
      </c>
      <c r="AH5" s="7">
        <v>0</v>
      </c>
      <c r="AI5" s="7">
        <v>0</v>
      </c>
      <c r="AJ5" s="7">
        <v>0</v>
      </c>
      <c r="AK5" s="7">
        <v>0</v>
      </c>
      <c r="AL5" s="7">
        <v>1</v>
      </c>
    </row>
    <row r="6" spans="1:38" ht="21" customHeight="1" x14ac:dyDescent="0.15">
      <c r="A6" s="20" t="str">
        <f t="shared" ca="1" si="0"/>
        <v>20010_1-2/8&lt;lv18&gt;s2</v>
      </c>
      <c r="B6" s="28">
        <v>20010</v>
      </c>
      <c r="C6" s="27">
        <v>1</v>
      </c>
      <c r="D6" s="2" t="str">
        <f t="shared" ca="1" si="1"/>
        <v>20010_1</v>
      </c>
      <c r="E6" s="4" t="str">
        <f ca="1">VLOOKUP($B6,OFFSET([1]quests!$A$1,0,0,COUNTA([1]quests!$A:$A),MATCH(E$1,[1]quests!$1:$1,0)-MATCH($B$1,[1]quests!$1:$1,0)+1),MATCH(E$1,[1]quests!$1:$1,0)-MATCH($B$1,[1]quests!$1:$1,0)+1,FALSE)</f>
        <v>悪夢の一目惚れ</v>
      </c>
      <c r="F6" s="4" t="str">
        <f ca="1">VLOOKUP($D6,OFFSET([1]stages!$A$1,0,0,COUNTA([1]stages!$A:$A),MATCH(F$1,[1]stages!$2:$2,0)-MATCH($D$1,[1]stages!$2:$2,0)+1),MATCH(F$1,[1]stages!$2:$2,0)-MATCH($D$1,[1]stages!$2:$2,0)+1,FALSE)</f>
        <v>【初級】悪夢の一目惚れ</v>
      </c>
      <c r="G6" s="76">
        <v>2</v>
      </c>
      <c r="H6" s="19" t="str">
        <f t="shared" ca="1" si="2"/>
        <v>20010_1-2</v>
      </c>
      <c r="I6" s="4">
        <f ca="1">VLOOKUP($H6,OFFSET(floors_drop_3_2!$A$1,0,0,COUNTA(floors_drop_3_2!$A:$A),MATCH(I$1,floors_drop_3_2!$1:$1,0)-MATCH($H$1,floors_drop_3_2!$1:$1,0)+1),MATCH(I$1,floors_drop_3_2!$1:$1,0)-MATCH($H$1,floors_drop_3_2!$1:$1,0)+1,FALSE)</f>
        <v>45</v>
      </c>
      <c r="J6" s="4">
        <f ca="1">VLOOKUP($H6,OFFSET(floors_drop_3_2!$A$1,0,0,COUNTA(floors_drop_3_2!$A:$A),MATCH(J$1,floors_drop_3_2!$1:$1,0)-MATCH($H$1,floors_drop_3_2!$1:$1,0)+1),MATCH(J$1,floors_drop_3_2!$1:$1,0)-MATCH($H$1,floors_drop_3_2!$1:$1,0)+1,FALSE)</f>
        <v>45</v>
      </c>
      <c r="K6" s="42">
        <v>8</v>
      </c>
      <c r="L6" s="23" t="str">
        <f ca="1">VLOOKUP(K6,[2]enemies!$A:$B,2,FALSE)</f>
        <v>ハイボルテージ エレキポット</v>
      </c>
      <c r="M6" s="25" t="str">
        <f ca="1">VLOOKUP(K6,[2]enemies!$A:$D,4,FALSE)</f>
        <v>yellow</v>
      </c>
      <c r="N6" s="25" t="str">
        <f ca="1">VLOOKUP(K6,[3]characters!$A:$J,10,FALSE)</f>
        <v>Drop1T</v>
      </c>
      <c r="O6" s="24" t="str">
        <f ca="1">VLOOKUP(K6,[3]characters!$A:$M,13,FALSE)</f>
        <v>unknown</v>
      </c>
      <c r="P6" s="4">
        <f ca="1">VLOOKUP(K6,[2]enemies!$A:$X,24,FALSE)</f>
        <v>15</v>
      </c>
      <c r="Q6" s="5">
        <v>18</v>
      </c>
      <c r="R6" s="31">
        <v>1.4</v>
      </c>
      <c r="S6" s="31">
        <v>1.4</v>
      </c>
      <c r="T6" s="5">
        <v>0</v>
      </c>
      <c r="U6" s="4">
        <f ca="1">VLOOKUP(K6,[2]enemies!$A:$AB,28,FALSE)</f>
        <v>0</v>
      </c>
      <c r="V6" s="79" t="str">
        <f ca="1">IFERROR(VLOOKUP(U6,[4]enemy_skill_sets!$B:$E,4,FALSE),VLOOKUP(U6,[5]enemy_skill_sets!A:D,4,FALSE))</f>
        <v>なし</v>
      </c>
      <c r="W6" s="6">
        <v>0</v>
      </c>
      <c r="X6" s="6">
        <v>100</v>
      </c>
      <c r="Y6" s="6">
        <v>0</v>
      </c>
      <c r="Z6" s="4">
        <f ca="1">VLOOKUP(K6,[2]enemies!$A:$V,22,FALSE)</f>
        <v>2</v>
      </c>
      <c r="AA6" s="42">
        <v>8</v>
      </c>
      <c r="AB6" s="4" t="str">
        <f ca="1">VLOOKUP(K6,[2]enemies!$A:$B,2,FALSE)</f>
        <v>ハイボルテージ エレキポット</v>
      </c>
      <c r="AC6" s="4">
        <f ca="1">VLOOKUP(K6,[2]enemies!$A:$E,3,FALSE)</f>
        <v>2</v>
      </c>
      <c r="AD6" s="4" t="str">
        <f ca="1">VLOOKUP(K6,[3]characters!$A:$J,10,FALSE)</f>
        <v>Drop1T</v>
      </c>
      <c r="AE6" s="7">
        <v>1</v>
      </c>
      <c r="AF6" s="30">
        <f t="shared" ca="1" si="3"/>
        <v>2</v>
      </c>
      <c r="AG6" s="8">
        <v>26</v>
      </c>
      <c r="AH6" s="7">
        <v>0</v>
      </c>
      <c r="AI6" s="7">
        <v>0</v>
      </c>
      <c r="AJ6" s="7">
        <v>0</v>
      </c>
      <c r="AK6" s="7">
        <v>0</v>
      </c>
      <c r="AL6" s="7">
        <v>1</v>
      </c>
    </row>
    <row r="7" spans="1:38" ht="21" customHeight="1" x14ac:dyDescent="0.15">
      <c r="A7" s="20" t="str">
        <f t="shared" ca="1" si="0"/>
        <v>20010_1-2/14&lt;lv18&gt;s2</v>
      </c>
      <c r="B7" s="28">
        <v>20010</v>
      </c>
      <c r="C7" s="27">
        <v>1</v>
      </c>
      <c r="D7" s="2" t="str">
        <f t="shared" ca="1" si="1"/>
        <v>20010_1</v>
      </c>
      <c r="E7" s="4" t="str">
        <f ca="1">VLOOKUP($B7,OFFSET([1]quests!$A$1,0,0,COUNTA([1]quests!$A:$A),MATCH(E$1,[1]quests!$1:$1,0)-MATCH($B$1,[1]quests!$1:$1,0)+1),MATCH(E$1,[1]quests!$1:$1,0)-MATCH($B$1,[1]quests!$1:$1,0)+1,FALSE)</f>
        <v>悪夢の一目惚れ</v>
      </c>
      <c r="F7" s="4" t="str">
        <f ca="1">VLOOKUP($D7,OFFSET([1]stages!$A$1,0,0,COUNTA([1]stages!$A:$A),MATCH(F$1,[1]stages!$2:$2,0)-MATCH($D$1,[1]stages!$2:$2,0)+1),MATCH(F$1,[1]stages!$2:$2,0)-MATCH($D$1,[1]stages!$2:$2,0)+1,FALSE)</f>
        <v>【初級】悪夢の一目惚れ</v>
      </c>
      <c r="G7" s="76">
        <v>2</v>
      </c>
      <c r="H7" s="19" t="str">
        <f t="shared" ca="1" si="2"/>
        <v>20010_1-2</v>
      </c>
      <c r="I7" s="4">
        <f ca="1">VLOOKUP($H7,OFFSET(floors_drop_3_2!$A$1,0,0,COUNTA(floors_drop_3_2!$A:$A),MATCH(I$1,floors_drop_3_2!$1:$1,0)-MATCH($H$1,floors_drop_3_2!$1:$1,0)+1),MATCH(I$1,floors_drop_3_2!$1:$1,0)-MATCH($H$1,floors_drop_3_2!$1:$1,0)+1,FALSE)</f>
        <v>45</v>
      </c>
      <c r="J7" s="4">
        <f ca="1">VLOOKUP($H7,OFFSET(floors_drop_3_2!$A$1,0,0,COUNTA(floors_drop_3_2!$A:$A),MATCH(J$1,floors_drop_3_2!$1:$1,0)-MATCH($H$1,floors_drop_3_2!$1:$1,0)+1),MATCH(J$1,floors_drop_3_2!$1:$1,0)-MATCH($H$1,floors_drop_3_2!$1:$1,0)+1,FALSE)</f>
        <v>45</v>
      </c>
      <c r="K7" s="43">
        <v>14</v>
      </c>
      <c r="L7" s="23" t="str">
        <f ca="1">VLOOKUP(K7,[2]enemies!$A:$B,2,FALSE)</f>
        <v>ミミ・ザ・ガンマンキャット</v>
      </c>
      <c r="M7" s="25" t="str">
        <f ca="1">VLOOKUP(K7,[2]enemies!$A:$D,4,FALSE)</f>
        <v>yellow</v>
      </c>
      <c r="N7" s="25" t="str">
        <f ca="1">VLOOKUP(K7,[3]characters!$A:$J,10,FALSE)</f>
        <v>Drop1W</v>
      </c>
      <c r="O7" s="24" t="str">
        <f ca="1">VLOOKUP(K7,[3]characters!$A:$M,13,FALSE)</f>
        <v>animal</v>
      </c>
      <c r="P7" s="4">
        <f ca="1">VLOOKUP(K7,[2]enemies!$A:$X,24,FALSE)</f>
        <v>15</v>
      </c>
      <c r="Q7" s="5">
        <v>18</v>
      </c>
      <c r="R7" s="31">
        <v>1.4</v>
      </c>
      <c r="S7" s="31">
        <v>1.4</v>
      </c>
      <c r="T7" s="5">
        <v>0</v>
      </c>
      <c r="U7" s="4">
        <f ca="1">VLOOKUP(K7,[2]enemies!$A:$AB,28,FALSE)</f>
        <v>0</v>
      </c>
      <c r="V7" s="79" t="str">
        <f ca="1">IFERROR(VLOOKUP(U7,[4]enemy_skill_sets!$B:$E,4,FALSE),VLOOKUP(U7,[5]enemy_skill_sets!A:D,4,FALSE))</f>
        <v>なし</v>
      </c>
      <c r="W7" s="6">
        <v>0</v>
      </c>
      <c r="X7" s="6">
        <v>100</v>
      </c>
      <c r="Y7" s="6">
        <v>0</v>
      </c>
      <c r="Z7" s="4">
        <f ca="1">VLOOKUP(K7,[2]enemies!$A:$V,22,FALSE)</f>
        <v>2</v>
      </c>
      <c r="AA7" s="43">
        <v>14</v>
      </c>
      <c r="AB7" s="4" t="str">
        <f ca="1">VLOOKUP(K7,[2]enemies!$A:$B,2,FALSE)</f>
        <v>ミミ・ザ・ガンマンキャット</v>
      </c>
      <c r="AC7" s="4">
        <f ca="1">VLOOKUP(K7,[2]enemies!$A:$E,3,FALSE)</f>
        <v>2</v>
      </c>
      <c r="AD7" s="4" t="str">
        <f ca="1">VLOOKUP(K7,[3]characters!$A:$J,10,FALSE)</f>
        <v>Drop1W</v>
      </c>
      <c r="AE7" s="7">
        <v>1</v>
      </c>
      <c r="AF7" s="30">
        <f t="shared" ca="1" si="3"/>
        <v>2</v>
      </c>
      <c r="AG7" s="8">
        <v>26</v>
      </c>
      <c r="AH7" s="7">
        <v>0</v>
      </c>
      <c r="AI7" s="7">
        <v>0</v>
      </c>
      <c r="AJ7" s="7">
        <v>0</v>
      </c>
      <c r="AK7" s="7">
        <v>0</v>
      </c>
      <c r="AL7" s="7">
        <v>1</v>
      </c>
    </row>
    <row r="8" spans="1:38" ht="21" customHeight="1" x14ac:dyDescent="0.15">
      <c r="A8" s="20" t="str">
        <f t="shared" ca="1" si="0"/>
        <v>20010_1-2/20&lt;lv18&gt;s3</v>
      </c>
      <c r="B8" s="28">
        <v>20010</v>
      </c>
      <c r="C8" s="27">
        <v>1</v>
      </c>
      <c r="D8" s="2" t="str">
        <f t="shared" ca="1" si="1"/>
        <v>20010_1</v>
      </c>
      <c r="E8" s="4" t="str">
        <f ca="1">VLOOKUP($B8,OFFSET([1]quests!$A$1,0,0,COUNTA([1]quests!$A:$A),MATCH(E$1,[1]quests!$1:$1,0)-MATCH($B$1,[1]quests!$1:$1,0)+1),MATCH(E$1,[1]quests!$1:$1,0)-MATCH($B$1,[1]quests!$1:$1,0)+1,FALSE)</f>
        <v>悪夢の一目惚れ</v>
      </c>
      <c r="F8" s="4" t="str">
        <f ca="1">VLOOKUP($D8,OFFSET([1]stages!$A$1,0,0,COUNTA([1]stages!$A:$A),MATCH(F$1,[1]stages!$2:$2,0)-MATCH($D$1,[1]stages!$2:$2,0)+1),MATCH(F$1,[1]stages!$2:$2,0)-MATCH($D$1,[1]stages!$2:$2,0)+1,FALSE)</f>
        <v>【初級】悪夢の一目惚れ</v>
      </c>
      <c r="G8" s="76">
        <v>2</v>
      </c>
      <c r="H8" s="19" t="str">
        <f t="shared" ca="1" si="2"/>
        <v>20010_1-2</v>
      </c>
      <c r="I8" s="4">
        <f ca="1">VLOOKUP($H8,OFFSET(floors_drop_3_2!$A$1,0,0,COUNTA(floors_drop_3_2!$A:$A),MATCH(I$1,floors_drop_3_2!$1:$1,0)-MATCH($H$1,floors_drop_3_2!$1:$1,0)+1),MATCH(I$1,floors_drop_3_2!$1:$1,0)-MATCH($H$1,floors_drop_3_2!$1:$1,0)+1,FALSE)</f>
        <v>45</v>
      </c>
      <c r="J8" s="4">
        <f ca="1">VLOOKUP($H8,OFFSET(floors_drop_3_2!$A$1,0,0,COUNTA(floors_drop_3_2!$A:$A),MATCH(J$1,floors_drop_3_2!$1:$1,0)-MATCH($H$1,floors_drop_3_2!$1:$1,0)+1),MATCH(J$1,floors_drop_3_2!$1:$1,0)-MATCH($H$1,floors_drop_3_2!$1:$1,0)+1,FALSE)</f>
        <v>45</v>
      </c>
      <c r="K8" s="43">
        <v>20</v>
      </c>
      <c r="L8" s="23" t="str">
        <f ca="1">VLOOKUP(K8,[2]enemies!$A:$B,2,FALSE)</f>
        <v>電子妖精 ティンク</v>
      </c>
      <c r="M8" s="25" t="str">
        <f ca="1">VLOOKUP(K8,[2]enemies!$A:$D,4,FALSE)</f>
        <v>yellow</v>
      </c>
      <c r="N8" s="25" t="str">
        <f ca="1">VLOOKUP(K8,[3]characters!$A:$J,10,FALSE)</f>
        <v>Drop1W</v>
      </c>
      <c r="O8" s="24" t="str">
        <f ca="1">VLOOKUP(K8,[3]characters!$A:$M,13,FALSE)</f>
        <v>human</v>
      </c>
      <c r="P8" s="4">
        <f ca="1">VLOOKUP(K8,[2]enemies!$A:$X,24,FALSE)</f>
        <v>15</v>
      </c>
      <c r="Q8" s="5">
        <v>18</v>
      </c>
      <c r="R8" s="31">
        <v>1.4</v>
      </c>
      <c r="S8" s="31">
        <v>1.4</v>
      </c>
      <c r="T8" s="5">
        <v>0</v>
      </c>
      <c r="U8" s="4">
        <f ca="1">VLOOKUP(K8,[2]enemies!$A:$AB,28,FALSE)</f>
        <v>0</v>
      </c>
      <c r="V8" s="79" t="str">
        <f ca="1">IFERROR(VLOOKUP(U8,[4]enemy_skill_sets!$B:$E,4,FALSE),VLOOKUP(U8,[5]enemy_skill_sets!A:D,4,FALSE))</f>
        <v>なし</v>
      </c>
      <c r="W8" s="6">
        <v>0</v>
      </c>
      <c r="X8" s="6">
        <v>100</v>
      </c>
      <c r="Y8" s="6">
        <v>0</v>
      </c>
      <c r="Z8" s="4">
        <f ca="1">VLOOKUP(K8,[2]enemies!$A:$V,22,FALSE)</f>
        <v>3</v>
      </c>
      <c r="AA8" s="43">
        <v>20</v>
      </c>
      <c r="AB8" s="4" t="str">
        <f ca="1">VLOOKUP(K8,[2]enemies!$A:$B,2,FALSE)</f>
        <v>電子妖精 ティンク</v>
      </c>
      <c r="AC8" s="4">
        <f ca="1">VLOOKUP(K8,[2]enemies!$A:$E,3,FALSE)</f>
        <v>2</v>
      </c>
      <c r="AD8" s="4" t="str">
        <f ca="1">VLOOKUP(K8,[3]characters!$A:$J,10,FALSE)</f>
        <v>Drop1W</v>
      </c>
      <c r="AE8" s="7">
        <v>1</v>
      </c>
      <c r="AF8" s="30">
        <f t="shared" ca="1" si="3"/>
        <v>2</v>
      </c>
      <c r="AG8" s="8">
        <v>26</v>
      </c>
      <c r="AH8" s="7">
        <v>0</v>
      </c>
      <c r="AI8" s="7">
        <v>0</v>
      </c>
      <c r="AJ8" s="7">
        <v>0</v>
      </c>
      <c r="AK8" s="7">
        <v>0</v>
      </c>
      <c r="AL8" s="7">
        <v>1</v>
      </c>
    </row>
    <row r="9" spans="1:38" ht="21" customHeight="1" x14ac:dyDescent="0.15">
      <c r="A9" s="20" t="str">
        <f t="shared" ca="1" si="0"/>
        <v>20010_1-2/32&lt;lv18&gt;s5</v>
      </c>
      <c r="B9" s="28">
        <v>20010</v>
      </c>
      <c r="C9" s="27">
        <v>1</v>
      </c>
      <c r="D9" s="2" t="str">
        <f t="shared" ca="1" si="1"/>
        <v>20010_1</v>
      </c>
      <c r="E9" s="4" t="str">
        <f ca="1">VLOOKUP($B9,OFFSET([1]quests!$A$1,0,0,COUNTA([1]quests!$A:$A),MATCH(E$1,[1]quests!$1:$1,0)-MATCH($B$1,[1]quests!$1:$1,0)+1),MATCH(E$1,[1]quests!$1:$1,0)-MATCH($B$1,[1]quests!$1:$1,0)+1,FALSE)</f>
        <v>悪夢の一目惚れ</v>
      </c>
      <c r="F9" s="4" t="str">
        <f ca="1">VLOOKUP($D9,OFFSET([1]stages!$A$1,0,0,COUNTA([1]stages!$A:$A),MATCH(F$1,[1]stages!$2:$2,0)-MATCH($D$1,[1]stages!$2:$2,0)+1),MATCH(F$1,[1]stages!$2:$2,0)-MATCH($D$1,[1]stages!$2:$2,0)+1,FALSE)</f>
        <v>【初級】悪夢の一目惚れ</v>
      </c>
      <c r="G9" s="76">
        <v>2</v>
      </c>
      <c r="H9" s="19" t="str">
        <f t="shared" ca="1" si="2"/>
        <v>20010_1-2</v>
      </c>
      <c r="I9" s="4">
        <f ca="1">VLOOKUP($H9,OFFSET(floors_drop_3_2!$A$1,0,0,COUNTA(floors_drop_3_2!$A:$A),MATCH(I$1,floors_drop_3_2!$1:$1,0)-MATCH($H$1,floors_drop_3_2!$1:$1,0)+1),MATCH(I$1,floors_drop_3_2!$1:$1,0)-MATCH($H$1,floors_drop_3_2!$1:$1,0)+1,FALSE)</f>
        <v>45</v>
      </c>
      <c r="J9" s="4">
        <f ca="1">VLOOKUP($H9,OFFSET(floors_drop_3_2!$A$1,0,0,COUNTA(floors_drop_3_2!$A:$A),MATCH(J$1,floors_drop_3_2!$1:$1,0)-MATCH($H$1,floors_drop_3_2!$1:$1,0)+1),MATCH(J$1,floors_drop_3_2!$1:$1,0)-MATCH($H$1,floors_drop_3_2!$1:$1,0)+1,FALSE)</f>
        <v>45</v>
      </c>
      <c r="K9" s="43">
        <v>32</v>
      </c>
      <c r="L9" s="23" t="str">
        <f ca="1">VLOOKUP(K9,[2]enemies!$A:$B,2,FALSE)</f>
        <v>沈黙のジャミング マービー</v>
      </c>
      <c r="M9" s="25" t="str">
        <f ca="1">VLOOKUP(K9,[2]enemies!$A:$D,4,FALSE)</f>
        <v>yellow</v>
      </c>
      <c r="N9" s="25" t="str">
        <f ca="1">VLOOKUP(K9,[3]characters!$A:$J,10,FALSE)</f>
        <v>Drop1N</v>
      </c>
      <c r="O9" s="24" t="str">
        <f ca="1">VLOOKUP(K9,[3]characters!$A:$M,13,FALSE)</f>
        <v>machine</v>
      </c>
      <c r="P9" s="4">
        <f ca="1">VLOOKUP(K9,[2]enemies!$A:$X,24,FALSE)</f>
        <v>15</v>
      </c>
      <c r="Q9" s="5">
        <v>18</v>
      </c>
      <c r="R9" s="31">
        <v>1.4</v>
      </c>
      <c r="S9" s="31">
        <v>1.4</v>
      </c>
      <c r="T9" s="5">
        <v>0</v>
      </c>
      <c r="U9" s="4">
        <f ca="1">VLOOKUP(K9,[2]enemies!$A:$AB,28,FALSE)</f>
        <v>0</v>
      </c>
      <c r="V9" s="79" t="str">
        <f ca="1">IFERROR(VLOOKUP(U9,[4]enemy_skill_sets!$B:$E,4,FALSE),VLOOKUP(U9,[5]enemy_skill_sets!A:D,4,FALSE))</f>
        <v>なし</v>
      </c>
      <c r="W9" s="6">
        <v>0</v>
      </c>
      <c r="X9" s="6">
        <v>100</v>
      </c>
      <c r="Y9" s="6">
        <v>0</v>
      </c>
      <c r="Z9" s="4">
        <f ca="1">VLOOKUP(K9,[2]enemies!$A:$V,22,FALSE)</f>
        <v>5</v>
      </c>
      <c r="AA9" s="43">
        <v>32</v>
      </c>
      <c r="AB9" s="4" t="str">
        <f ca="1">VLOOKUP(K9,[2]enemies!$A:$B,2,FALSE)</f>
        <v>沈黙のジャミング マービー</v>
      </c>
      <c r="AC9" s="4">
        <f ca="1">VLOOKUP(K9,[2]enemies!$A:$E,3,FALSE)</f>
        <v>2</v>
      </c>
      <c r="AD9" s="4" t="str">
        <f ca="1">VLOOKUP(K9,[3]characters!$A:$J,10,FALSE)</f>
        <v>Drop1N</v>
      </c>
      <c r="AE9" s="7">
        <v>1</v>
      </c>
      <c r="AF9" s="30">
        <f t="shared" ca="1" si="3"/>
        <v>2</v>
      </c>
      <c r="AG9" s="8">
        <v>26</v>
      </c>
      <c r="AH9" s="7">
        <v>0</v>
      </c>
      <c r="AI9" s="7">
        <v>0</v>
      </c>
      <c r="AJ9" s="7">
        <v>0</v>
      </c>
      <c r="AK9" s="7">
        <v>0</v>
      </c>
      <c r="AL9" s="7">
        <v>1</v>
      </c>
    </row>
    <row r="10" spans="1:38" ht="21" customHeight="1" thickBot="1" x14ac:dyDescent="0.2">
      <c r="A10" s="47" t="str">
        <f t="shared" si="0"/>
        <v>20010_1-3/304&lt;lv30&gt;s2</v>
      </c>
      <c r="B10" s="48">
        <v>20010</v>
      </c>
      <c r="C10" s="49">
        <v>1</v>
      </c>
      <c r="D10" s="50" t="str">
        <f t="shared" ca="1" si="1"/>
        <v>20010_1</v>
      </c>
      <c r="E10" s="51" t="str">
        <f ca="1">VLOOKUP($B10,OFFSET([1]quests!$A$1,0,0,COUNTA([1]quests!$A:$A),MATCH(E$1,[1]quests!$1:$1,0)-MATCH($B$1,[1]quests!$1:$1,0)+1),MATCH(E$1,[1]quests!$1:$1,0)-MATCH($B$1,[1]quests!$1:$1,0)+1,FALSE)</f>
        <v>悪夢の一目惚れ</v>
      </c>
      <c r="F10" s="51" t="str">
        <f ca="1">VLOOKUP($D10,OFFSET([1]stages!$A$1,0,0,COUNTA([1]stages!$A:$A),MATCH(F$1,[1]stages!$2:$2,0)-MATCH($D$1,[1]stages!$2:$2,0)+1),MATCH(F$1,[1]stages!$2:$2,0)-MATCH($D$1,[1]stages!$2:$2,0)+1,FALSE)</f>
        <v>【初級】悪夢の一目惚れ</v>
      </c>
      <c r="G10" s="49">
        <v>3</v>
      </c>
      <c r="H10" s="50" t="str">
        <f t="shared" ca="1" si="2"/>
        <v>20010_1-3</v>
      </c>
      <c r="I10" s="51">
        <f ca="1">VLOOKUP($H10,OFFSET(floors_drop_3_2!$A$1,0,0,COUNTA(floors_drop_3_2!$A:$A),MATCH(I$1,floors_drop_3_2!$1:$1,0)-MATCH($H$1,floors_drop_3_2!$1:$1,0)+1),MATCH(I$1,floors_drop_3_2!$1:$1,0)-MATCH($H$1,floors_drop_3_2!$1:$1,0)+1,FALSE)</f>
        <v>20</v>
      </c>
      <c r="J10" s="51">
        <f ca="1">VLOOKUP($H10,OFFSET(floors_drop_3_2!$A$1,0,0,COUNTA(floors_drop_3_2!$A:$A),MATCH(J$1,floors_drop_3_2!$1:$1,0)-MATCH($H$1,floors_drop_3_2!$1:$1,0)+1),MATCH(J$1,floors_drop_3_2!$1:$1,0)-MATCH($H$1,floors_drop_3_2!$1:$1,0)+1,FALSE)</f>
        <v>20</v>
      </c>
      <c r="K10" s="44">
        <v>304</v>
      </c>
      <c r="L10" s="23" t="str">
        <f ca="1">VLOOKUP(K10,[2]enemies!$A:$B,2,FALSE)</f>
        <v>電殺のチエミ</v>
      </c>
      <c r="M10" s="25" t="str">
        <f ca="1">VLOOKUP(K10,[2]enemies!$A:$D,4,FALSE)</f>
        <v>yellow</v>
      </c>
      <c r="N10" s="25" t="str">
        <f ca="1">VLOOKUP(K10,[3]characters!$A:$J,10,FALSE)</f>
        <v>Drop2W</v>
      </c>
      <c r="O10" s="24" t="str">
        <f ca="1">VLOOKUP(K10,[3]characters!$A:$M,13,FALSE)</f>
        <v>human</v>
      </c>
      <c r="P10" s="4">
        <f ca="1">VLOOKUP(K10,[2]enemies!$A:$X,24,FALSE)</f>
        <v>20</v>
      </c>
      <c r="Q10" s="52">
        <v>30</v>
      </c>
      <c r="R10" s="53">
        <v>2.2000000000000002</v>
      </c>
      <c r="S10" s="53">
        <v>0.9</v>
      </c>
      <c r="T10" s="52">
        <v>0</v>
      </c>
      <c r="U10" s="78">
        <v>30401</v>
      </c>
      <c r="V10" s="51" t="str">
        <f ca="1">VLOOKUP($U10,OFFSET([4]enemy_skill_sets!$B$1,0,0,COUNTA([4]enemy_skill_sets!$B:$B),MATCH(L$1,[4]enemy_skill_sets!$1:$1,0)-MATCH($U$1,[4]enemy_skill_sets!$1:$1,0)+2),MATCH(L$1,[4]enemy_skill_sets!$1:$1,0)-MATCH($U$1,[4]enemy_skill_sets!$1:$1,0)+2,FALSE)</f>
        <v>2ターン攻撃頻度が1ターンにUP＋5ターン黄パネル無効</v>
      </c>
      <c r="W10" s="54">
        <v>1</v>
      </c>
      <c r="X10" s="54">
        <v>100</v>
      </c>
      <c r="Y10" s="54">
        <v>1</v>
      </c>
      <c r="Z10" s="78">
        <v>2</v>
      </c>
      <c r="AA10" s="44">
        <v>304</v>
      </c>
      <c r="AB10" s="4" t="str">
        <f ca="1">VLOOKUP(K10,[2]enemies!$A:$B,2,FALSE)</f>
        <v>電殺のチエミ</v>
      </c>
      <c r="AC10" s="4">
        <f ca="1">VLOOKUP(K10,[2]enemies!$A:$E,3,FALSE)</f>
        <v>3</v>
      </c>
      <c r="AD10" s="4" t="str">
        <f ca="1">VLOOKUP(K10,[3]characters!$A:$J,10,FALSE)</f>
        <v>Drop2W</v>
      </c>
      <c r="AE10" s="55">
        <v>1</v>
      </c>
      <c r="AF10" s="56">
        <f t="shared" ca="1" si="3"/>
        <v>3</v>
      </c>
      <c r="AG10" s="81">
        <v>20</v>
      </c>
      <c r="AH10" s="55">
        <v>0</v>
      </c>
      <c r="AI10" s="55">
        <v>0</v>
      </c>
      <c r="AJ10" s="55">
        <v>0</v>
      </c>
      <c r="AK10" s="55">
        <v>0</v>
      </c>
      <c r="AL10" s="55">
        <v>1</v>
      </c>
    </row>
    <row r="11" spans="1:38" ht="21" customHeight="1" thickBot="1" x14ac:dyDescent="0.2">
      <c r="A11" s="58" t="str">
        <f t="shared" ca="1" si="0"/>
        <v>20010_2-1/7&lt;lv24&gt;s2</v>
      </c>
      <c r="B11" s="59">
        <v>20010</v>
      </c>
      <c r="C11" s="70">
        <v>2</v>
      </c>
      <c r="D11" s="61" t="str">
        <f t="shared" ca="1" si="1"/>
        <v>20010_2</v>
      </c>
      <c r="E11" s="62" t="str">
        <f ca="1">VLOOKUP($B11,OFFSET([1]quests!$A$1,0,0,COUNTA([1]quests!$A:$A),MATCH(E$1,[1]quests!$1:$1,0)-MATCH($B$1,[1]quests!$1:$1,0)+1),MATCH(E$1,[1]quests!$1:$1,0)-MATCH($B$1,[1]quests!$1:$1,0)+1,FALSE)</f>
        <v>悪夢の一目惚れ</v>
      </c>
      <c r="F11" s="62" t="str">
        <f ca="1">VLOOKUP($D11,OFFSET([1]stages!$A$1,0,0,COUNTA([1]stages!$A:$A),MATCH(F$1,[1]stages!$2:$2,0)-MATCH($D$1,[1]stages!$2:$2,0)+1),MATCH(F$1,[1]stages!$2:$2,0)-MATCH($D$1,[1]stages!$2:$2,0)+1,FALSE)</f>
        <v>【中級】悪夢の一目惚れ</v>
      </c>
      <c r="G11" s="60">
        <v>1</v>
      </c>
      <c r="H11" s="61" t="str">
        <f t="shared" ca="1" si="2"/>
        <v>20010_2-1</v>
      </c>
      <c r="I11" s="62">
        <f ca="1">VLOOKUP($H11,OFFSET(floors_drop_3_2!$A$1,0,0,COUNTA(floors_drop_3_2!$A:$A),MATCH(I$1,floors_drop_3_2!$1:$1,0)-MATCH($H$1,floors_drop_3_2!$1:$1,0)+1),MATCH(I$1,floors_drop_3_2!$1:$1,0)-MATCH($H$1,floors_drop_3_2!$1:$1,0)+1,FALSE)</f>
        <v>35</v>
      </c>
      <c r="J11" s="62">
        <f ca="1">VLOOKUP($H11,OFFSET(floors_drop_3_2!$A$1,0,0,COUNTA(floors_drop_3_2!$A:$A),MATCH(J$1,floors_drop_3_2!$1:$1,0)-MATCH($H$1,floors_drop_3_2!$1:$1,0)+1),MATCH(J$1,floors_drop_3_2!$1:$1,0)-MATCH($H$1,floors_drop_3_2!$1:$1,0)+1,FALSE)</f>
        <v>35</v>
      </c>
      <c r="K11" s="63">
        <v>7</v>
      </c>
      <c r="L11" s="23" t="str">
        <f ca="1">VLOOKUP(K11,[2]enemies!$A:$B,2,FALSE)</f>
        <v>エレキポット</v>
      </c>
      <c r="M11" s="25" t="str">
        <f ca="1">VLOOKUP(K11,[2]enemies!$A:$D,4,FALSE)</f>
        <v>yellow</v>
      </c>
      <c r="N11" s="25" t="str">
        <f ca="1">VLOOKUP(K11,[3]characters!$A:$J,10,FALSE)</f>
        <v>Drop1T</v>
      </c>
      <c r="O11" s="24" t="str">
        <f ca="1">VLOOKUP(K11,[3]characters!$A:$M,13,FALSE)</f>
        <v>unknown</v>
      </c>
      <c r="P11" s="4">
        <f ca="1">VLOOKUP(K11,[2]enemies!$A:$X,24,FALSE)</f>
        <v>15</v>
      </c>
      <c r="Q11" s="64">
        <v>24</v>
      </c>
      <c r="R11" s="65">
        <v>1.3</v>
      </c>
      <c r="S11" s="65">
        <v>1.3</v>
      </c>
      <c r="T11" s="64">
        <v>0</v>
      </c>
      <c r="U11" s="4">
        <f ca="1">VLOOKUP(K11,[2]enemies!$A:$AB,28,FALSE)</f>
        <v>0</v>
      </c>
      <c r="V11" s="79" t="str">
        <f ca="1">IFERROR(VLOOKUP(U11,[4]enemy_skill_sets!$B:$E,4,FALSE),VLOOKUP(U11,[5]enemy_skill_sets!A:D,4,FALSE))</f>
        <v>なし</v>
      </c>
      <c r="W11" s="66">
        <v>0</v>
      </c>
      <c r="X11" s="66">
        <v>100</v>
      </c>
      <c r="Y11" s="66">
        <v>0</v>
      </c>
      <c r="Z11" s="62">
        <f ca="1">VLOOKUP(K11,[2]enemies!$A:$V,22,FALSE)</f>
        <v>2</v>
      </c>
      <c r="AA11" s="63">
        <v>7</v>
      </c>
      <c r="AB11" s="4" t="str">
        <f ca="1">VLOOKUP(K11,[2]enemies!$A:$B,2,FALSE)</f>
        <v>エレキポット</v>
      </c>
      <c r="AC11" s="4">
        <f ca="1">VLOOKUP(K11,[2]enemies!$A:$E,3,FALSE)</f>
        <v>1</v>
      </c>
      <c r="AD11" s="4" t="str">
        <f ca="1">VLOOKUP(K11,[3]characters!$A:$J,10,FALSE)</f>
        <v>Drop1T</v>
      </c>
      <c r="AE11" s="67">
        <v>3</v>
      </c>
      <c r="AF11" s="68">
        <f t="shared" ca="1" si="3"/>
        <v>1</v>
      </c>
      <c r="AG11" s="69">
        <v>0</v>
      </c>
      <c r="AH11" s="67">
        <v>0</v>
      </c>
      <c r="AI11" s="67">
        <v>0</v>
      </c>
      <c r="AJ11" s="67">
        <v>0</v>
      </c>
      <c r="AK11" s="67">
        <v>0</v>
      </c>
      <c r="AL11" s="67">
        <v>1</v>
      </c>
    </row>
    <row r="12" spans="1:38" ht="21" customHeight="1" thickBot="1" x14ac:dyDescent="0.2">
      <c r="A12" s="20" t="str">
        <f t="shared" ca="1" si="0"/>
        <v>20010_2-1/13&lt;lv24&gt;s2</v>
      </c>
      <c r="B12" s="28">
        <v>20010</v>
      </c>
      <c r="C12" s="71">
        <v>2</v>
      </c>
      <c r="D12" s="2" t="str">
        <f t="shared" ca="1" si="1"/>
        <v>20010_2</v>
      </c>
      <c r="E12" s="4" t="str">
        <f ca="1">VLOOKUP($B12,OFFSET([1]quests!$A$1,0,0,COUNTA([1]quests!$A:$A),MATCH(E$1,[1]quests!$1:$1,0)-MATCH($B$1,[1]quests!$1:$1,0)+1),MATCH(E$1,[1]quests!$1:$1,0)-MATCH($B$1,[1]quests!$1:$1,0)+1,FALSE)</f>
        <v>悪夢の一目惚れ</v>
      </c>
      <c r="F12" s="4" t="str">
        <f ca="1">VLOOKUP($D12,OFFSET([1]stages!$A$1,0,0,COUNTA([1]stages!$A:$A),MATCH(F$1,[1]stages!$2:$2,0)-MATCH($D$1,[1]stages!$2:$2,0)+1),MATCH(F$1,[1]stages!$2:$2,0)-MATCH($D$1,[1]stages!$2:$2,0)+1,FALSE)</f>
        <v>【中級】悪夢の一目惚れ</v>
      </c>
      <c r="G12" s="27">
        <v>1</v>
      </c>
      <c r="H12" s="19" t="str">
        <f t="shared" ca="1" si="2"/>
        <v>20010_2-1</v>
      </c>
      <c r="I12" s="4">
        <f ca="1">VLOOKUP($H12,OFFSET(floors_drop_3_2!$A$1,0,0,COUNTA(floors_drop_3_2!$A:$A),MATCH(I$1,floors_drop_3_2!$1:$1,0)-MATCH($H$1,floors_drop_3_2!$1:$1,0)+1),MATCH(I$1,floors_drop_3_2!$1:$1,0)-MATCH($H$1,floors_drop_3_2!$1:$1,0)+1,FALSE)</f>
        <v>35</v>
      </c>
      <c r="J12" s="4">
        <f ca="1">VLOOKUP($H12,OFFSET(floors_drop_3_2!$A$1,0,0,COUNTA(floors_drop_3_2!$A:$A),MATCH(J$1,floors_drop_3_2!$1:$1,0)-MATCH($H$1,floors_drop_3_2!$1:$1,0)+1),MATCH(J$1,floors_drop_3_2!$1:$1,0)-MATCH($H$1,floors_drop_3_2!$1:$1,0)+1,FALSE)</f>
        <v>35</v>
      </c>
      <c r="K12" s="43">
        <v>13</v>
      </c>
      <c r="L12" s="23" t="str">
        <f ca="1">VLOOKUP(K12,[2]enemies!$A:$B,2,FALSE)</f>
        <v>ミミ</v>
      </c>
      <c r="M12" s="25" t="str">
        <f ca="1">VLOOKUP(K12,[2]enemies!$A:$D,4,FALSE)</f>
        <v>yellow</v>
      </c>
      <c r="N12" s="25" t="str">
        <f ca="1">VLOOKUP(K12,[3]characters!$A:$J,10,FALSE)</f>
        <v>Drop1W</v>
      </c>
      <c r="O12" s="24" t="str">
        <f ca="1">VLOOKUP(K12,[3]characters!$A:$M,13,FALSE)</f>
        <v>animal</v>
      </c>
      <c r="P12" s="4">
        <f ca="1">VLOOKUP(K12,[2]enemies!$A:$X,24,FALSE)</f>
        <v>15</v>
      </c>
      <c r="Q12" s="5">
        <v>24</v>
      </c>
      <c r="R12" s="31">
        <v>1.3</v>
      </c>
      <c r="S12" s="31">
        <v>1.3</v>
      </c>
      <c r="T12" s="5">
        <v>0</v>
      </c>
      <c r="U12" s="4">
        <f ca="1">VLOOKUP(K12,[2]enemies!$A:$AB,28,FALSE)</f>
        <v>0</v>
      </c>
      <c r="V12" s="79" t="str">
        <f ca="1">IFERROR(VLOOKUP(U12,[4]enemy_skill_sets!$B:$E,4,FALSE),VLOOKUP(U12,[5]enemy_skill_sets!A:D,4,FALSE))</f>
        <v>なし</v>
      </c>
      <c r="W12" s="6">
        <v>0</v>
      </c>
      <c r="X12" s="6">
        <v>100</v>
      </c>
      <c r="Y12" s="6">
        <v>0</v>
      </c>
      <c r="Z12" s="62">
        <f ca="1">VLOOKUP(K12,[2]enemies!$A:$V,22,FALSE)</f>
        <v>2</v>
      </c>
      <c r="AA12" s="43">
        <v>13</v>
      </c>
      <c r="AB12" s="4" t="str">
        <f ca="1">VLOOKUP(K12,[2]enemies!$A:$B,2,FALSE)</f>
        <v>ミミ</v>
      </c>
      <c r="AC12" s="4">
        <f ca="1">VLOOKUP(K12,[2]enemies!$A:$E,3,FALSE)</f>
        <v>1</v>
      </c>
      <c r="AD12" s="4" t="str">
        <f ca="1">VLOOKUP(K12,[3]characters!$A:$J,10,FALSE)</f>
        <v>Drop1W</v>
      </c>
      <c r="AE12" s="7">
        <v>3</v>
      </c>
      <c r="AF12" s="30">
        <f t="shared" ca="1" si="3"/>
        <v>1</v>
      </c>
      <c r="AG12" s="8">
        <v>0</v>
      </c>
      <c r="AH12" s="7">
        <v>0</v>
      </c>
      <c r="AI12" s="7">
        <v>0</v>
      </c>
      <c r="AJ12" s="7">
        <v>0</v>
      </c>
      <c r="AK12" s="7">
        <v>0</v>
      </c>
      <c r="AL12" s="7">
        <v>1</v>
      </c>
    </row>
    <row r="13" spans="1:38" ht="21" customHeight="1" thickBot="1" x14ac:dyDescent="0.2">
      <c r="A13" s="20" t="str">
        <f t="shared" ca="1" si="0"/>
        <v>20010_2-1/19&lt;lv24&gt;s3</v>
      </c>
      <c r="B13" s="28">
        <v>20010</v>
      </c>
      <c r="C13" s="71">
        <v>2</v>
      </c>
      <c r="D13" s="2" t="str">
        <f t="shared" ca="1" si="1"/>
        <v>20010_2</v>
      </c>
      <c r="E13" s="4" t="str">
        <f ca="1">VLOOKUP($B13,OFFSET([1]quests!$A$1,0,0,COUNTA([1]quests!$A:$A),MATCH(E$1,[1]quests!$1:$1,0)-MATCH($B$1,[1]quests!$1:$1,0)+1),MATCH(E$1,[1]quests!$1:$1,0)-MATCH($B$1,[1]quests!$1:$1,0)+1,FALSE)</f>
        <v>悪夢の一目惚れ</v>
      </c>
      <c r="F13" s="4" t="str">
        <f ca="1">VLOOKUP($D13,OFFSET([1]stages!$A$1,0,0,COUNTA([1]stages!$A:$A),MATCH(F$1,[1]stages!$2:$2,0)-MATCH($D$1,[1]stages!$2:$2,0)+1),MATCH(F$1,[1]stages!$2:$2,0)-MATCH($D$1,[1]stages!$2:$2,0)+1,FALSE)</f>
        <v>【中級】悪夢の一目惚れ</v>
      </c>
      <c r="G13" s="27">
        <v>1</v>
      </c>
      <c r="H13" s="19" t="str">
        <f t="shared" ca="1" si="2"/>
        <v>20010_2-1</v>
      </c>
      <c r="I13" s="4">
        <f ca="1">VLOOKUP($H13,OFFSET(floors_drop_3_2!$A$1,0,0,COUNTA(floors_drop_3_2!$A:$A),MATCH(I$1,floors_drop_3_2!$1:$1,0)-MATCH($H$1,floors_drop_3_2!$1:$1,0)+1),MATCH(I$1,floors_drop_3_2!$1:$1,0)-MATCH($H$1,floors_drop_3_2!$1:$1,0)+1,FALSE)</f>
        <v>35</v>
      </c>
      <c r="J13" s="4">
        <f ca="1">VLOOKUP($H13,OFFSET(floors_drop_3_2!$A$1,0,0,COUNTA(floors_drop_3_2!$A:$A),MATCH(J$1,floors_drop_3_2!$1:$1,0)-MATCH($H$1,floors_drop_3_2!$1:$1,0)+1),MATCH(J$1,floors_drop_3_2!$1:$1,0)-MATCH($H$1,floors_drop_3_2!$1:$1,0)+1,FALSE)</f>
        <v>35</v>
      </c>
      <c r="K13" s="43">
        <v>19</v>
      </c>
      <c r="L13" s="23" t="str">
        <f ca="1">VLOOKUP(K13,[2]enemies!$A:$B,2,FALSE)</f>
        <v>ティンク</v>
      </c>
      <c r="M13" s="25" t="str">
        <f ca="1">VLOOKUP(K13,[2]enemies!$A:$D,4,FALSE)</f>
        <v>yellow</v>
      </c>
      <c r="N13" s="25" t="str">
        <f ca="1">VLOOKUP(K13,[3]characters!$A:$J,10,FALSE)</f>
        <v>Drop1W</v>
      </c>
      <c r="O13" s="24" t="str">
        <f ca="1">VLOOKUP(K13,[3]characters!$A:$M,13,FALSE)</f>
        <v>human</v>
      </c>
      <c r="P13" s="4">
        <f ca="1">VLOOKUP(K13,[2]enemies!$A:$X,24,FALSE)</f>
        <v>15</v>
      </c>
      <c r="Q13" s="5">
        <v>24</v>
      </c>
      <c r="R13" s="31">
        <v>1.3</v>
      </c>
      <c r="S13" s="31">
        <v>1.3</v>
      </c>
      <c r="T13" s="5">
        <v>0</v>
      </c>
      <c r="U13" s="4">
        <f ca="1">VLOOKUP(K13,[2]enemies!$A:$AB,28,FALSE)</f>
        <v>0</v>
      </c>
      <c r="V13" s="79" t="str">
        <f ca="1">IFERROR(VLOOKUP(U13,[4]enemy_skill_sets!$B:$E,4,FALSE),VLOOKUP(U13,[5]enemy_skill_sets!A:D,4,FALSE))</f>
        <v>なし</v>
      </c>
      <c r="W13" s="6">
        <v>0</v>
      </c>
      <c r="X13" s="6">
        <v>100</v>
      </c>
      <c r="Y13" s="6">
        <v>0</v>
      </c>
      <c r="Z13" s="62">
        <f ca="1">VLOOKUP(K13,[2]enemies!$A:$V,22,FALSE)</f>
        <v>3</v>
      </c>
      <c r="AA13" s="43">
        <v>19</v>
      </c>
      <c r="AB13" s="4" t="str">
        <f ca="1">VLOOKUP(K13,[2]enemies!$A:$B,2,FALSE)</f>
        <v>ティンク</v>
      </c>
      <c r="AC13" s="4">
        <f ca="1">VLOOKUP(K13,[2]enemies!$A:$E,3,FALSE)</f>
        <v>1</v>
      </c>
      <c r="AD13" s="4" t="str">
        <f ca="1">VLOOKUP(K13,[3]characters!$A:$J,10,FALSE)</f>
        <v>Drop1W</v>
      </c>
      <c r="AE13" s="7">
        <v>3</v>
      </c>
      <c r="AF13" s="30">
        <f t="shared" ca="1" si="3"/>
        <v>1</v>
      </c>
      <c r="AG13" s="8">
        <v>0</v>
      </c>
      <c r="AH13" s="7">
        <v>0</v>
      </c>
      <c r="AI13" s="7">
        <v>0</v>
      </c>
      <c r="AJ13" s="7">
        <v>0</v>
      </c>
      <c r="AK13" s="7">
        <v>0</v>
      </c>
      <c r="AL13" s="7">
        <v>1</v>
      </c>
    </row>
    <row r="14" spans="1:38" ht="21" customHeight="1" thickBot="1" x14ac:dyDescent="0.2">
      <c r="A14" s="20" t="str">
        <f t="shared" ca="1" si="0"/>
        <v>20010_2-1/31&lt;lv24&gt;s2</v>
      </c>
      <c r="B14" s="28">
        <v>20010</v>
      </c>
      <c r="C14" s="71">
        <v>2</v>
      </c>
      <c r="D14" s="2" t="str">
        <f t="shared" ca="1" si="1"/>
        <v>20010_2</v>
      </c>
      <c r="E14" s="4" t="str">
        <f ca="1">VLOOKUP($B14,OFFSET([1]quests!$A$1,0,0,COUNTA([1]quests!$A:$A),MATCH(E$1,[1]quests!$1:$1,0)-MATCH($B$1,[1]quests!$1:$1,0)+1),MATCH(E$1,[1]quests!$1:$1,0)-MATCH($B$1,[1]quests!$1:$1,0)+1,FALSE)</f>
        <v>悪夢の一目惚れ</v>
      </c>
      <c r="F14" s="4" t="str">
        <f ca="1">VLOOKUP($D14,OFFSET([1]stages!$A$1,0,0,COUNTA([1]stages!$A:$A),MATCH(F$1,[1]stages!$2:$2,0)-MATCH($D$1,[1]stages!$2:$2,0)+1),MATCH(F$1,[1]stages!$2:$2,0)-MATCH($D$1,[1]stages!$2:$2,0)+1,FALSE)</f>
        <v>【中級】悪夢の一目惚れ</v>
      </c>
      <c r="G14" s="27">
        <v>1</v>
      </c>
      <c r="H14" s="19" t="str">
        <f t="shared" ca="1" si="2"/>
        <v>20010_2-1</v>
      </c>
      <c r="I14" s="4">
        <f ca="1">VLOOKUP($H14,OFFSET(floors_drop_3_2!$A$1,0,0,COUNTA(floors_drop_3_2!$A:$A),MATCH(I$1,floors_drop_3_2!$1:$1,0)-MATCH($H$1,floors_drop_3_2!$1:$1,0)+1),MATCH(I$1,floors_drop_3_2!$1:$1,0)-MATCH($H$1,floors_drop_3_2!$1:$1,0)+1,FALSE)</f>
        <v>35</v>
      </c>
      <c r="J14" s="4">
        <f ca="1">VLOOKUP($H14,OFFSET(floors_drop_3_2!$A$1,0,0,COUNTA(floors_drop_3_2!$A:$A),MATCH(J$1,floors_drop_3_2!$1:$1,0)-MATCH($H$1,floors_drop_3_2!$1:$1,0)+1),MATCH(J$1,floors_drop_3_2!$1:$1,0)-MATCH($H$1,floors_drop_3_2!$1:$1,0)+1,FALSE)</f>
        <v>35</v>
      </c>
      <c r="K14" s="43">
        <v>31</v>
      </c>
      <c r="L14" s="23" t="str">
        <f ca="1">VLOOKUP(K14,[2]enemies!$A:$B,2,FALSE)</f>
        <v>マービー</v>
      </c>
      <c r="M14" s="25" t="str">
        <f ca="1">VLOOKUP(K14,[2]enemies!$A:$D,4,FALSE)</f>
        <v>yellow</v>
      </c>
      <c r="N14" s="25" t="str">
        <f ca="1">VLOOKUP(K14,[3]characters!$A:$J,10,FALSE)</f>
        <v>Drop1N</v>
      </c>
      <c r="O14" s="24" t="str">
        <f ca="1">VLOOKUP(K14,[3]characters!$A:$M,13,FALSE)</f>
        <v>machine</v>
      </c>
      <c r="P14" s="4">
        <f ca="1">VLOOKUP(K14,[2]enemies!$A:$X,24,FALSE)</f>
        <v>15</v>
      </c>
      <c r="Q14" s="5">
        <v>24</v>
      </c>
      <c r="R14" s="31">
        <v>1.3</v>
      </c>
      <c r="S14" s="31">
        <v>1.3</v>
      </c>
      <c r="T14" s="5">
        <v>0</v>
      </c>
      <c r="U14" s="4">
        <f ca="1">VLOOKUP(K14,[2]enemies!$A:$AB,28,FALSE)</f>
        <v>0</v>
      </c>
      <c r="V14" s="79" t="str">
        <f ca="1">IFERROR(VLOOKUP(U14,[4]enemy_skill_sets!$B:$E,4,FALSE),VLOOKUP(U14,[5]enemy_skill_sets!A:D,4,FALSE))</f>
        <v>なし</v>
      </c>
      <c r="W14" s="6">
        <v>0</v>
      </c>
      <c r="X14" s="6">
        <v>100</v>
      </c>
      <c r="Y14" s="6">
        <v>0</v>
      </c>
      <c r="Z14" s="62">
        <f ca="1">VLOOKUP(K14,[2]enemies!$A:$V,22,FALSE)</f>
        <v>2</v>
      </c>
      <c r="AA14" s="43">
        <v>31</v>
      </c>
      <c r="AB14" s="4" t="str">
        <f ca="1">VLOOKUP(K14,[2]enemies!$A:$B,2,FALSE)</f>
        <v>マービー</v>
      </c>
      <c r="AC14" s="4">
        <f ca="1">VLOOKUP(K14,[2]enemies!$A:$E,3,FALSE)</f>
        <v>1</v>
      </c>
      <c r="AD14" s="4" t="str">
        <f ca="1">VLOOKUP(K14,[3]characters!$A:$J,10,FALSE)</f>
        <v>Drop1N</v>
      </c>
      <c r="AE14" s="7">
        <v>3</v>
      </c>
      <c r="AF14" s="30">
        <f t="shared" ca="1" si="3"/>
        <v>1</v>
      </c>
      <c r="AG14" s="8">
        <v>0</v>
      </c>
      <c r="AH14" s="7">
        <v>0</v>
      </c>
      <c r="AI14" s="7">
        <v>0</v>
      </c>
      <c r="AJ14" s="7">
        <v>0</v>
      </c>
      <c r="AK14" s="7">
        <v>0</v>
      </c>
      <c r="AL14" s="7">
        <v>1</v>
      </c>
    </row>
    <row r="15" spans="1:38" ht="21" customHeight="1" thickBot="1" x14ac:dyDescent="0.2">
      <c r="A15" s="20" t="str">
        <f t="shared" ca="1" si="0"/>
        <v>20010_2-1/346&lt;lv7&gt;s3</v>
      </c>
      <c r="B15" s="28">
        <v>20010</v>
      </c>
      <c r="C15" s="71">
        <v>2</v>
      </c>
      <c r="D15" s="2" t="str">
        <f t="shared" ca="1" si="1"/>
        <v>20010_2</v>
      </c>
      <c r="E15" s="4" t="str">
        <f ca="1">VLOOKUP($B15,OFFSET([1]quests!$A$1,0,0,COUNTA([1]quests!$A:$A),MATCH(E$1,[1]quests!$1:$1,0)-MATCH($B$1,[1]quests!$1:$1,0)+1),MATCH(E$1,[1]quests!$1:$1,0)-MATCH($B$1,[1]quests!$1:$1,0)+1,FALSE)</f>
        <v>悪夢の一目惚れ</v>
      </c>
      <c r="F15" s="4" t="str">
        <f ca="1">VLOOKUP($D15,OFFSET([1]stages!$A$1,0,0,COUNTA([1]stages!$A:$A),MATCH(F$1,[1]stages!$2:$2,0)-MATCH($D$1,[1]stages!$2:$2,0)+1),MATCH(F$1,[1]stages!$2:$2,0)-MATCH($D$1,[1]stages!$2:$2,0)+1,FALSE)</f>
        <v>【中級】悪夢の一目惚れ</v>
      </c>
      <c r="G15" s="27">
        <v>1</v>
      </c>
      <c r="H15" s="19" t="str">
        <f t="shared" ca="1" si="2"/>
        <v>20010_2-1</v>
      </c>
      <c r="I15" s="4">
        <f ca="1">VLOOKUP($H15,OFFSET(floors_drop_3_2!$A$1,0,0,COUNTA(floors_drop_3_2!$A:$A),MATCH(I$1,floors_drop_3_2!$1:$1,0)-MATCH($H$1,floors_drop_3_2!$1:$1,0)+1),MATCH(I$1,floors_drop_3_2!$1:$1,0)-MATCH($H$1,floors_drop_3_2!$1:$1,0)+1,FALSE)</f>
        <v>35</v>
      </c>
      <c r="J15" s="4">
        <f ca="1">VLOOKUP($H15,OFFSET(floors_drop_3_2!$A$1,0,0,COUNTA(floors_drop_3_2!$A:$A),MATCH(J$1,floors_drop_3_2!$1:$1,0)-MATCH($H$1,floors_drop_3_2!$1:$1,0)+1),MATCH(J$1,floors_drop_3_2!$1:$1,0)-MATCH($H$1,floors_drop_3_2!$1:$1,0)+1,FALSE)</f>
        <v>35</v>
      </c>
      <c r="K15" s="42">
        <v>346</v>
      </c>
      <c r="L15" s="23" t="str">
        <f ca="1">VLOOKUP(K15,[2]enemies!$A:$B,2,FALSE)</f>
        <v>雷のメタルダック</v>
      </c>
      <c r="M15" s="25" t="str">
        <f ca="1">VLOOKUP(K15,[2]enemies!$A:$D,4,FALSE)</f>
        <v>yellow</v>
      </c>
      <c r="N15" s="25" t="str">
        <f ca="1">VLOOKUP(K15,[3]characters!$A:$J,10,FALSE)</f>
        <v>Material</v>
      </c>
      <c r="O15" s="24" t="str">
        <f ca="1">VLOOKUP(K15,[3]characters!$A:$M,13,FALSE)</f>
        <v>unknown</v>
      </c>
      <c r="P15" s="4">
        <f ca="1">VLOOKUP(K15,[2]enemies!$A:$X,24,FALSE)</f>
        <v>20</v>
      </c>
      <c r="Q15" s="5">
        <v>7</v>
      </c>
      <c r="R15" s="31">
        <v>0.3</v>
      </c>
      <c r="S15" s="31">
        <v>1</v>
      </c>
      <c r="T15" s="5">
        <v>0</v>
      </c>
      <c r="U15" s="4">
        <f ca="1">VLOOKUP(K15,[2]enemies!$A:$AB,28,FALSE)</f>
        <v>0</v>
      </c>
      <c r="V15" s="79" t="str">
        <f ca="1">IFERROR(VLOOKUP(U15,[4]enemy_skill_sets!$B:$E,4,FALSE),VLOOKUP(U15,[5]enemy_skill_sets!A:D,4,FALSE))</f>
        <v>なし</v>
      </c>
      <c r="W15" s="6">
        <v>1</v>
      </c>
      <c r="X15" s="6">
        <v>100</v>
      </c>
      <c r="Y15" s="6">
        <v>1</v>
      </c>
      <c r="Z15" s="62">
        <f ca="1">VLOOKUP(K15,[2]enemies!$A:$V,22,FALSE)</f>
        <v>3</v>
      </c>
      <c r="AA15" s="42">
        <v>346</v>
      </c>
      <c r="AB15" s="4" t="str">
        <f ca="1">VLOOKUP(K15,[2]enemies!$A:$B,2,FALSE)</f>
        <v>雷のメタルダック</v>
      </c>
      <c r="AC15" s="4">
        <f ca="1">VLOOKUP(K15,[2]enemies!$A:$E,3,FALSE)</f>
        <v>5</v>
      </c>
      <c r="AD15" s="4" t="str">
        <f ca="1">VLOOKUP(K15,[3]characters!$A:$J,10,FALSE)</f>
        <v>Material</v>
      </c>
      <c r="AE15" s="7">
        <v>1</v>
      </c>
      <c r="AF15" s="30">
        <f t="shared" ca="1" si="3"/>
        <v>5</v>
      </c>
      <c r="AG15" s="8">
        <v>25</v>
      </c>
      <c r="AH15" s="7">
        <v>0</v>
      </c>
      <c r="AI15" s="7">
        <v>0</v>
      </c>
      <c r="AJ15" s="7">
        <v>0</v>
      </c>
      <c r="AK15" s="7">
        <v>0</v>
      </c>
      <c r="AL15" s="7">
        <v>1</v>
      </c>
    </row>
    <row r="16" spans="1:38" ht="21" customHeight="1" thickBot="1" x14ac:dyDescent="0.2">
      <c r="A16" s="20" t="str">
        <f t="shared" ca="1" si="0"/>
        <v>20010_2-2/8&lt;lv24&gt;s2</v>
      </c>
      <c r="B16" s="28">
        <v>20010</v>
      </c>
      <c r="C16" s="71">
        <v>2</v>
      </c>
      <c r="D16" s="2" t="str">
        <f t="shared" ca="1" si="1"/>
        <v>20010_2</v>
      </c>
      <c r="E16" s="4" t="str">
        <f ca="1">VLOOKUP($B16,OFFSET([1]quests!$A$1,0,0,COUNTA([1]quests!$A:$A),MATCH(E$1,[1]quests!$1:$1,0)-MATCH($B$1,[1]quests!$1:$1,0)+1),MATCH(E$1,[1]quests!$1:$1,0)-MATCH($B$1,[1]quests!$1:$1,0)+1,FALSE)</f>
        <v>悪夢の一目惚れ</v>
      </c>
      <c r="F16" s="4" t="str">
        <f ca="1">VLOOKUP($D16,OFFSET([1]stages!$A$1,0,0,COUNTA([1]stages!$A:$A),MATCH(F$1,[1]stages!$2:$2,0)-MATCH($D$1,[1]stages!$2:$2,0)+1),MATCH(F$1,[1]stages!$2:$2,0)-MATCH($D$1,[1]stages!$2:$2,0)+1,FALSE)</f>
        <v>【中級】悪夢の一目惚れ</v>
      </c>
      <c r="G16" s="76">
        <v>2</v>
      </c>
      <c r="H16" s="19" t="str">
        <f t="shared" ca="1" si="2"/>
        <v>20010_2-2</v>
      </c>
      <c r="I16" s="4">
        <f ca="1">VLOOKUP($H16,OFFSET(floors_drop_3_2!$A$1,0,0,COUNTA(floors_drop_3_2!$A:$A),MATCH(I$1,floors_drop_3_2!$1:$1,0)-MATCH($H$1,floors_drop_3_2!$1:$1,0)+1),MATCH(I$1,floors_drop_3_2!$1:$1,0)-MATCH($H$1,floors_drop_3_2!$1:$1,0)+1,FALSE)</f>
        <v>45</v>
      </c>
      <c r="J16" s="4">
        <f ca="1">VLOOKUP($H16,OFFSET(floors_drop_3_2!$A$1,0,0,COUNTA(floors_drop_3_2!$A:$A),MATCH(J$1,floors_drop_3_2!$1:$1,0)-MATCH($H$1,floors_drop_3_2!$1:$1,0)+1),MATCH(J$1,floors_drop_3_2!$1:$1,0)-MATCH($H$1,floors_drop_3_2!$1:$1,0)+1,FALSE)</f>
        <v>45</v>
      </c>
      <c r="K16" s="43">
        <v>8</v>
      </c>
      <c r="L16" s="23" t="str">
        <f ca="1">VLOOKUP(K16,[2]enemies!$A:$B,2,FALSE)</f>
        <v>ハイボルテージ エレキポット</v>
      </c>
      <c r="M16" s="25" t="str">
        <f ca="1">VLOOKUP(K16,[2]enemies!$A:$D,4,FALSE)</f>
        <v>yellow</v>
      </c>
      <c r="N16" s="25" t="str">
        <f ca="1">VLOOKUP(K16,[3]characters!$A:$J,10,FALSE)</f>
        <v>Drop1T</v>
      </c>
      <c r="O16" s="24" t="str">
        <f ca="1">VLOOKUP(K16,[3]characters!$A:$M,13,FALSE)</f>
        <v>unknown</v>
      </c>
      <c r="P16" s="4">
        <f ca="1">VLOOKUP(K16,[2]enemies!$A:$X,24,FALSE)</f>
        <v>15</v>
      </c>
      <c r="Q16" s="5">
        <v>24</v>
      </c>
      <c r="R16" s="31">
        <v>1.5</v>
      </c>
      <c r="S16" s="31">
        <v>1.5</v>
      </c>
      <c r="T16" s="5">
        <v>0</v>
      </c>
      <c r="U16" s="4">
        <f ca="1">VLOOKUP(K16,[2]enemies!$A:$AB,28,FALSE)</f>
        <v>0</v>
      </c>
      <c r="V16" s="79" t="str">
        <f ca="1">IFERROR(VLOOKUP(U16,[4]enemy_skill_sets!$B:$E,4,FALSE),VLOOKUP(U16,[5]enemy_skill_sets!A:D,4,FALSE))</f>
        <v>なし</v>
      </c>
      <c r="W16" s="6">
        <v>0</v>
      </c>
      <c r="X16" s="6">
        <v>100</v>
      </c>
      <c r="Y16" s="6">
        <v>0</v>
      </c>
      <c r="Z16" s="62">
        <f ca="1">VLOOKUP(K16,[2]enemies!$A:$V,22,FALSE)</f>
        <v>2</v>
      </c>
      <c r="AA16" s="43">
        <v>8</v>
      </c>
      <c r="AB16" s="4" t="str">
        <f ca="1">VLOOKUP(K16,[2]enemies!$A:$B,2,FALSE)</f>
        <v>ハイボルテージ エレキポット</v>
      </c>
      <c r="AC16" s="4">
        <f ca="1">VLOOKUP(K16,[2]enemies!$A:$E,3,FALSE)</f>
        <v>2</v>
      </c>
      <c r="AD16" s="4" t="str">
        <f ca="1">VLOOKUP(K16,[3]characters!$A:$J,10,FALSE)</f>
        <v>Drop1T</v>
      </c>
      <c r="AE16" s="7">
        <v>3</v>
      </c>
      <c r="AF16" s="30">
        <f t="shared" ca="1" si="3"/>
        <v>2</v>
      </c>
      <c r="AG16" s="8">
        <v>26</v>
      </c>
      <c r="AH16" s="7">
        <v>0</v>
      </c>
      <c r="AI16" s="7">
        <v>0</v>
      </c>
      <c r="AJ16" s="7">
        <v>0</v>
      </c>
      <c r="AK16" s="7">
        <v>0</v>
      </c>
      <c r="AL16" s="7">
        <v>1</v>
      </c>
    </row>
    <row r="17" spans="1:38" ht="21" customHeight="1" thickBot="1" x14ac:dyDescent="0.2">
      <c r="A17" s="20" t="str">
        <f t="shared" ca="1" si="0"/>
        <v>20010_2-2/14&lt;lv24&gt;s2</v>
      </c>
      <c r="B17" s="28">
        <v>20010</v>
      </c>
      <c r="C17" s="71">
        <v>2</v>
      </c>
      <c r="D17" s="2" t="str">
        <f t="shared" ca="1" si="1"/>
        <v>20010_2</v>
      </c>
      <c r="E17" s="4" t="str">
        <f ca="1">VLOOKUP($B17,OFFSET([1]quests!$A$1,0,0,COUNTA([1]quests!$A:$A),MATCH(E$1,[1]quests!$1:$1,0)-MATCH($B$1,[1]quests!$1:$1,0)+1),MATCH(E$1,[1]quests!$1:$1,0)-MATCH($B$1,[1]quests!$1:$1,0)+1,FALSE)</f>
        <v>悪夢の一目惚れ</v>
      </c>
      <c r="F17" s="4" t="str">
        <f ca="1">VLOOKUP($D17,OFFSET([1]stages!$A$1,0,0,COUNTA([1]stages!$A:$A),MATCH(F$1,[1]stages!$2:$2,0)-MATCH($D$1,[1]stages!$2:$2,0)+1),MATCH(F$1,[1]stages!$2:$2,0)-MATCH($D$1,[1]stages!$2:$2,0)+1,FALSE)</f>
        <v>【中級】悪夢の一目惚れ</v>
      </c>
      <c r="G17" s="76">
        <v>2</v>
      </c>
      <c r="H17" s="19" t="str">
        <f t="shared" ca="1" si="2"/>
        <v>20010_2-2</v>
      </c>
      <c r="I17" s="4">
        <f ca="1">VLOOKUP($H17,OFFSET(floors_drop_3_2!$A$1,0,0,COUNTA(floors_drop_3_2!$A:$A),MATCH(I$1,floors_drop_3_2!$1:$1,0)-MATCH($H$1,floors_drop_3_2!$1:$1,0)+1),MATCH(I$1,floors_drop_3_2!$1:$1,0)-MATCH($H$1,floors_drop_3_2!$1:$1,0)+1,FALSE)</f>
        <v>45</v>
      </c>
      <c r="J17" s="4">
        <f ca="1">VLOOKUP($H17,OFFSET(floors_drop_3_2!$A$1,0,0,COUNTA(floors_drop_3_2!$A:$A),MATCH(J$1,floors_drop_3_2!$1:$1,0)-MATCH($H$1,floors_drop_3_2!$1:$1,0)+1),MATCH(J$1,floors_drop_3_2!$1:$1,0)-MATCH($H$1,floors_drop_3_2!$1:$1,0)+1,FALSE)</f>
        <v>45</v>
      </c>
      <c r="K17" s="43">
        <v>14</v>
      </c>
      <c r="L17" s="23" t="str">
        <f ca="1">VLOOKUP(K17,[2]enemies!$A:$B,2,FALSE)</f>
        <v>ミミ・ザ・ガンマンキャット</v>
      </c>
      <c r="M17" s="25" t="str">
        <f ca="1">VLOOKUP(K17,[2]enemies!$A:$D,4,FALSE)</f>
        <v>yellow</v>
      </c>
      <c r="N17" s="25" t="str">
        <f ca="1">VLOOKUP(K17,[3]characters!$A:$J,10,FALSE)</f>
        <v>Drop1W</v>
      </c>
      <c r="O17" s="24" t="str">
        <f ca="1">VLOOKUP(K17,[3]characters!$A:$M,13,FALSE)</f>
        <v>animal</v>
      </c>
      <c r="P17" s="4">
        <f ca="1">VLOOKUP(K17,[2]enemies!$A:$X,24,FALSE)</f>
        <v>15</v>
      </c>
      <c r="Q17" s="5">
        <v>24</v>
      </c>
      <c r="R17" s="31">
        <v>1.5</v>
      </c>
      <c r="S17" s="31">
        <v>1.5</v>
      </c>
      <c r="T17" s="5">
        <v>0</v>
      </c>
      <c r="U17" s="4">
        <f ca="1">VLOOKUP(K17,[2]enemies!$A:$AB,28,FALSE)</f>
        <v>0</v>
      </c>
      <c r="V17" s="79" t="str">
        <f ca="1">IFERROR(VLOOKUP(U17,[4]enemy_skill_sets!$B:$E,4,FALSE),VLOOKUP(U17,[5]enemy_skill_sets!A:D,4,FALSE))</f>
        <v>なし</v>
      </c>
      <c r="W17" s="6">
        <v>0</v>
      </c>
      <c r="X17" s="6">
        <v>100</v>
      </c>
      <c r="Y17" s="6">
        <v>0</v>
      </c>
      <c r="Z17" s="62">
        <f ca="1">VLOOKUP(K17,[2]enemies!$A:$V,22,FALSE)</f>
        <v>2</v>
      </c>
      <c r="AA17" s="43">
        <v>14</v>
      </c>
      <c r="AB17" s="4" t="str">
        <f ca="1">VLOOKUP(K17,[2]enemies!$A:$B,2,FALSE)</f>
        <v>ミミ・ザ・ガンマンキャット</v>
      </c>
      <c r="AC17" s="4">
        <f ca="1">VLOOKUP(K17,[2]enemies!$A:$E,3,FALSE)</f>
        <v>2</v>
      </c>
      <c r="AD17" s="4" t="str">
        <f ca="1">VLOOKUP(K17,[3]characters!$A:$J,10,FALSE)</f>
        <v>Drop1W</v>
      </c>
      <c r="AE17" s="7">
        <v>3</v>
      </c>
      <c r="AF17" s="30">
        <f t="shared" ca="1" si="3"/>
        <v>2</v>
      </c>
      <c r="AG17" s="8">
        <v>26</v>
      </c>
      <c r="AH17" s="7">
        <v>0</v>
      </c>
      <c r="AI17" s="7">
        <v>0</v>
      </c>
      <c r="AJ17" s="7">
        <v>0</v>
      </c>
      <c r="AK17" s="7">
        <v>0</v>
      </c>
      <c r="AL17" s="7">
        <v>1</v>
      </c>
    </row>
    <row r="18" spans="1:38" ht="21" customHeight="1" thickBot="1" x14ac:dyDescent="0.2">
      <c r="A18" s="20" t="str">
        <f t="shared" ca="1" si="0"/>
        <v>20010_2-2/20&lt;lv24&gt;s3</v>
      </c>
      <c r="B18" s="28">
        <v>20010</v>
      </c>
      <c r="C18" s="71">
        <v>2</v>
      </c>
      <c r="D18" s="2" t="str">
        <f t="shared" ca="1" si="1"/>
        <v>20010_2</v>
      </c>
      <c r="E18" s="4" t="str">
        <f ca="1">VLOOKUP($B18,OFFSET([1]quests!$A$1,0,0,COUNTA([1]quests!$A:$A),MATCH(E$1,[1]quests!$1:$1,0)-MATCH($B$1,[1]quests!$1:$1,0)+1),MATCH(E$1,[1]quests!$1:$1,0)-MATCH($B$1,[1]quests!$1:$1,0)+1,FALSE)</f>
        <v>悪夢の一目惚れ</v>
      </c>
      <c r="F18" s="4" t="str">
        <f ca="1">VLOOKUP($D18,OFFSET([1]stages!$A$1,0,0,COUNTA([1]stages!$A:$A),MATCH(F$1,[1]stages!$2:$2,0)-MATCH($D$1,[1]stages!$2:$2,0)+1),MATCH(F$1,[1]stages!$2:$2,0)-MATCH($D$1,[1]stages!$2:$2,0)+1,FALSE)</f>
        <v>【中級】悪夢の一目惚れ</v>
      </c>
      <c r="G18" s="76">
        <v>2</v>
      </c>
      <c r="H18" s="19" t="str">
        <f t="shared" ca="1" si="2"/>
        <v>20010_2-2</v>
      </c>
      <c r="I18" s="4">
        <f ca="1">VLOOKUP($H18,OFFSET(floors_drop_3_2!$A$1,0,0,COUNTA(floors_drop_3_2!$A:$A),MATCH(I$1,floors_drop_3_2!$1:$1,0)-MATCH($H$1,floors_drop_3_2!$1:$1,0)+1),MATCH(I$1,floors_drop_3_2!$1:$1,0)-MATCH($H$1,floors_drop_3_2!$1:$1,0)+1,FALSE)</f>
        <v>45</v>
      </c>
      <c r="J18" s="4">
        <f ca="1">VLOOKUP($H18,OFFSET(floors_drop_3_2!$A$1,0,0,COUNTA(floors_drop_3_2!$A:$A),MATCH(J$1,floors_drop_3_2!$1:$1,0)-MATCH($H$1,floors_drop_3_2!$1:$1,0)+1),MATCH(J$1,floors_drop_3_2!$1:$1,0)-MATCH($H$1,floors_drop_3_2!$1:$1,0)+1,FALSE)</f>
        <v>45</v>
      </c>
      <c r="K18" s="43">
        <v>20</v>
      </c>
      <c r="L18" s="23" t="str">
        <f ca="1">VLOOKUP(K18,[2]enemies!$A:$B,2,FALSE)</f>
        <v>電子妖精 ティンク</v>
      </c>
      <c r="M18" s="25" t="str">
        <f ca="1">VLOOKUP(K18,[2]enemies!$A:$D,4,FALSE)</f>
        <v>yellow</v>
      </c>
      <c r="N18" s="25" t="str">
        <f ca="1">VLOOKUP(K18,[3]characters!$A:$J,10,FALSE)</f>
        <v>Drop1W</v>
      </c>
      <c r="O18" s="24" t="str">
        <f ca="1">VLOOKUP(K18,[3]characters!$A:$M,13,FALSE)</f>
        <v>human</v>
      </c>
      <c r="P18" s="4">
        <f ca="1">VLOOKUP(K18,[2]enemies!$A:$X,24,FALSE)</f>
        <v>15</v>
      </c>
      <c r="Q18" s="5">
        <v>24</v>
      </c>
      <c r="R18" s="31">
        <v>1.5</v>
      </c>
      <c r="S18" s="31">
        <v>1.5</v>
      </c>
      <c r="T18" s="5">
        <v>0</v>
      </c>
      <c r="U18" s="4">
        <f ca="1">VLOOKUP(K18,[2]enemies!$A:$AB,28,FALSE)</f>
        <v>0</v>
      </c>
      <c r="V18" s="79" t="str">
        <f ca="1">IFERROR(VLOOKUP(U18,[4]enemy_skill_sets!$B:$E,4,FALSE),VLOOKUP(U18,[5]enemy_skill_sets!A:D,4,FALSE))</f>
        <v>なし</v>
      </c>
      <c r="W18" s="6">
        <v>0</v>
      </c>
      <c r="X18" s="6">
        <v>100</v>
      </c>
      <c r="Y18" s="6">
        <v>0</v>
      </c>
      <c r="Z18" s="62">
        <f ca="1">VLOOKUP(K18,[2]enemies!$A:$V,22,FALSE)</f>
        <v>3</v>
      </c>
      <c r="AA18" s="43">
        <v>20</v>
      </c>
      <c r="AB18" s="4" t="str">
        <f ca="1">VLOOKUP(K18,[2]enemies!$A:$B,2,FALSE)</f>
        <v>電子妖精 ティンク</v>
      </c>
      <c r="AC18" s="4">
        <f ca="1">VLOOKUP(K18,[2]enemies!$A:$E,3,FALSE)</f>
        <v>2</v>
      </c>
      <c r="AD18" s="4" t="str">
        <f ca="1">VLOOKUP(K18,[3]characters!$A:$J,10,FALSE)</f>
        <v>Drop1W</v>
      </c>
      <c r="AE18" s="7">
        <v>3</v>
      </c>
      <c r="AF18" s="30">
        <f t="shared" ca="1" si="3"/>
        <v>2</v>
      </c>
      <c r="AG18" s="8">
        <v>26</v>
      </c>
      <c r="AH18" s="7">
        <v>0</v>
      </c>
      <c r="AI18" s="7">
        <v>0</v>
      </c>
      <c r="AJ18" s="7">
        <v>0</v>
      </c>
      <c r="AK18" s="7">
        <v>0</v>
      </c>
      <c r="AL18" s="7">
        <v>1</v>
      </c>
    </row>
    <row r="19" spans="1:38" ht="21" customHeight="1" thickBot="1" x14ac:dyDescent="0.2">
      <c r="A19" s="20" t="str">
        <f t="shared" ca="1" si="0"/>
        <v>20010_2-2/32&lt;lv24&gt;s5</v>
      </c>
      <c r="B19" s="28">
        <v>20010</v>
      </c>
      <c r="C19" s="71">
        <v>2</v>
      </c>
      <c r="D19" s="2" t="str">
        <f t="shared" ca="1" si="1"/>
        <v>20010_2</v>
      </c>
      <c r="E19" s="4" t="str">
        <f ca="1">VLOOKUP($B19,OFFSET([1]quests!$A$1,0,0,COUNTA([1]quests!$A:$A),MATCH(E$1,[1]quests!$1:$1,0)-MATCH($B$1,[1]quests!$1:$1,0)+1),MATCH(E$1,[1]quests!$1:$1,0)-MATCH($B$1,[1]quests!$1:$1,0)+1,FALSE)</f>
        <v>悪夢の一目惚れ</v>
      </c>
      <c r="F19" s="4" t="str">
        <f ca="1">VLOOKUP($D19,OFFSET([1]stages!$A$1,0,0,COUNTA([1]stages!$A:$A),MATCH(F$1,[1]stages!$2:$2,0)-MATCH($D$1,[1]stages!$2:$2,0)+1),MATCH(F$1,[1]stages!$2:$2,0)-MATCH($D$1,[1]stages!$2:$2,0)+1,FALSE)</f>
        <v>【中級】悪夢の一目惚れ</v>
      </c>
      <c r="G19" s="76">
        <v>2</v>
      </c>
      <c r="H19" s="19" t="str">
        <f t="shared" ca="1" si="2"/>
        <v>20010_2-2</v>
      </c>
      <c r="I19" s="4">
        <f ca="1">VLOOKUP($H19,OFFSET(floors_drop_3_2!$A$1,0,0,COUNTA(floors_drop_3_2!$A:$A),MATCH(I$1,floors_drop_3_2!$1:$1,0)-MATCH($H$1,floors_drop_3_2!$1:$1,0)+1),MATCH(I$1,floors_drop_3_2!$1:$1,0)-MATCH($H$1,floors_drop_3_2!$1:$1,0)+1,FALSE)</f>
        <v>45</v>
      </c>
      <c r="J19" s="4">
        <f ca="1">VLOOKUP($H19,OFFSET(floors_drop_3_2!$A$1,0,0,COUNTA(floors_drop_3_2!$A:$A),MATCH(J$1,floors_drop_3_2!$1:$1,0)-MATCH($H$1,floors_drop_3_2!$1:$1,0)+1),MATCH(J$1,floors_drop_3_2!$1:$1,0)-MATCH($H$1,floors_drop_3_2!$1:$1,0)+1,FALSE)</f>
        <v>45</v>
      </c>
      <c r="K19" s="43">
        <v>32</v>
      </c>
      <c r="L19" s="23" t="str">
        <f ca="1">VLOOKUP(K19,[2]enemies!$A:$B,2,FALSE)</f>
        <v>沈黙のジャミング マービー</v>
      </c>
      <c r="M19" s="25" t="str">
        <f ca="1">VLOOKUP(K19,[2]enemies!$A:$D,4,FALSE)</f>
        <v>yellow</v>
      </c>
      <c r="N19" s="25" t="str">
        <f ca="1">VLOOKUP(K19,[3]characters!$A:$J,10,FALSE)</f>
        <v>Drop1N</v>
      </c>
      <c r="O19" s="24" t="str">
        <f ca="1">VLOOKUP(K19,[3]characters!$A:$M,13,FALSE)</f>
        <v>machine</v>
      </c>
      <c r="P19" s="4">
        <f ca="1">VLOOKUP(K19,[2]enemies!$A:$X,24,FALSE)</f>
        <v>15</v>
      </c>
      <c r="Q19" s="5">
        <v>24</v>
      </c>
      <c r="R19" s="31">
        <v>1.5</v>
      </c>
      <c r="S19" s="31">
        <v>1.5</v>
      </c>
      <c r="T19" s="5">
        <v>0</v>
      </c>
      <c r="U19" s="4">
        <f ca="1">VLOOKUP(K19,[2]enemies!$A:$AB,28,FALSE)</f>
        <v>0</v>
      </c>
      <c r="V19" s="79" t="str">
        <f ca="1">IFERROR(VLOOKUP(U19,[4]enemy_skill_sets!$B:$E,4,FALSE),VLOOKUP(U19,[5]enemy_skill_sets!A:D,4,FALSE))</f>
        <v>なし</v>
      </c>
      <c r="W19" s="6">
        <v>0</v>
      </c>
      <c r="X19" s="6">
        <v>100</v>
      </c>
      <c r="Y19" s="6">
        <v>0</v>
      </c>
      <c r="Z19" s="62">
        <f ca="1">VLOOKUP(K19,[2]enemies!$A:$V,22,FALSE)</f>
        <v>5</v>
      </c>
      <c r="AA19" s="43">
        <v>32</v>
      </c>
      <c r="AB19" s="4" t="str">
        <f ca="1">VLOOKUP(K19,[2]enemies!$A:$B,2,FALSE)</f>
        <v>沈黙のジャミング マービー</v>
      </c>
      <c r="AC19" s="4">
        <f ca="1">VLOOKUP(K19,[2]enemies!$A:$E,3,FALSE)</f>
        <v>2</v>
      </c>
      <c r="AD19" s="4" t="str">
        <f ca="1">VLOOKUP(K19,[3]characters!$A:$J,10,FALSE)</f>
        <v>Drop1N</v>
      </c>
      <c r="AE19" s="7">
        <v>3</v>
      </c>
      <c r="AF19" s="30">
        <f t="shared" ca="1" si="3"/>
        <v>2</v>
      </c>
      <c r="AG19" s="8">
        <v>26</v>
      </c>
      <c r="AH19" s="7">
        <v>0</v>
      </c>
      <c r="AI19" s="7">
        <v>0</v>
      </c>
      <c r="AJ19" s="7">
        <v>0</v>
      </c>
      <c r="AK19" s="7">
        <v>0</v>
      </c>
      <c r="AL19" s="7">
        <v>1</v>
      </c>
    </row>
    <row r="20" spans="1:38" ht="21" customHeight="1" thickBot="1" x14ac:dyDescent="0.2">
      <c r="A20" s="20" t="str">
        <f t="shared" ca="1" si="0"/>
        <v>20010_2-2/6&lt;lv24&gt;s3</v>
      </c>
      <c r="B20" s="28">
        <v>20010</v>
      </c>
      <c r="C20" s="71">
        <v>2</v>
      </c>
      <c r="D20" s="2" t="str">
        <f t="shared" ca="1" si="1"/>
        <v>20010_2</v>
      </c>
      <c r="E20" s="4" t="str">
        <f ca="1">VLOOKUP($B20,OFFSET([1]quests!$A$1,0,0,COUNTA([1]quests!$A:$A),MATCH(E$1,[1]quests!$1:$1,0)-MATCH($B$1,[1]quests!$1:$1,0)+1),MATCH(E$1,[1]quests!$1:$1,0)-MATCH($B$1,[1]quests!$1:$1,0)+1,FALSE)</f>
        <v>悪夢の一目惚れ</v>
      </c>
      <c r="F20" s="4" t="str">
        <f ca="1">VLOOKUP($D20,OFFSET([1]stages!$A$1,0,0,COUNTA([1]stages!$A:$A),MATCH(F$1,[1]stages!$2:$2,0)-MATCH($D$1,[1]stages!$2:$2,0)+1),MATCH(F$1,[1]stages!$2:$2,0)-MATCH($D$1,[1]stages!$2:$2,0)+1,FALSE)</f>
        <v>【中級】悪夢の一目惚れ</v>
      </c>
      <c r="G20" s="76">
        <v>2</v>
      </c>
      <c r="H20" s="19" t="str">
        <f t="shared" ca="1" si="2"/>
        <v>20010_2-2</v>
      </c>
      <c r="I20" s="4">
        <f ca="1">VLOOKUP($H20,OFFSET(floors_drop_3_2!$A$1,0,0,COUNTA(floors_drop_3_2!$A:$A),MATCH(I$1,floors_drop_3_2!$1:$1,0)-MATCH($H$1,floors_drop_3_2!$1:$1,0)+1),MATCH(I$1,floors_drop_3_2!$1:$1,0)-MATCH($H$1,floors_drop_3_2!$1:$1,0)+1,FALSE)</f>
        <v>45</v>
      </c>
      <c r="J20" s="4">
        <f ca="1">VLOOKUP($H20,OFFSET(floors_drop_3_2!$A$1,0,0,COUNTA(floors_drop_3_2!$A:$A),MATCH(J$1,floors_drop_3_2!$1:$1,0)-MATCH($H$1,floors_drop_3_2!$1:$1,0)+1),MATCH(J$1,floors_drop_3_2!$1:$1,0)-MATCH($H$1,floors_drop_3_2!$1:$1,0)+1,FALSE)</f>
        <v>45</v>
      </c>
      <c r="K20" s="43">
        <v>6</v>
      </c>
      <c r="L20" s="23" t="str">
        <f ca="1">VLOOKUP(K20,[2]enemies!$A:$B,2,FALSE)</f>
        <v>パトドッグリーダー ポチ</v>
      </c>
      <c r="M20" s="25" t="str">
        <f ca="1">VLOOKUP(K20,[2]enemies!$A:$D,4,FALSE)</f>
        <v>blue</v>
      </c>
      <c r="N20" s="25" t="str">
        <f ca="1">VLOOKUP(K20,[3]characters!$A:$J,10,FALSE)</f>
        <v>Drop1T</v>
      </c>
      <c r="O20" s="24" t="str">
        <f ca="1">VLOOKUP(K20,[3]characters!$A:$M,13,FALSE)</f>
        <v>unknown</v>
      </c>
      <c r="P20" s="4">
        <f ca="1">VLOOKUP(K20,[2]enemies!$A:$X,24,FALSE)</f>
        <v>15</v>
      </c>
      <c r="Q20" s="5">
        <v>24</v>
      </c>
      <c r="R20" s="31">
        <v>1.5</v>
      </c>
      <c r="S20" s="31">
        <v>1.5</v>
      </c>
      <c r="T20" s="5">
        <v>0</v>
      </c>
      <c r="U20" s="4">
        <f ca="1">VLOOKUP(K20,[2]enemies!$A:$AB,28,FALSE)</f>
        <v>0</v>
      </c>
      <c r="V20" s="79" t="str">
        <f ca="1">IFERROR(VLOOKUP(U20,[4]enemy_skill_sets!$B:$E,4,FALSE),VLOOKUP(U20,[5]enemy_skill_sets!A:D,4,FALSE))</f>
        <v>なし</v>
      </c>
      <c r="W20" s="6">
        <v>0</v>
      </c>
      <c r="X20" s="6">
        <v>100</v>
      </c>
      <c r="Y20" s="6">
        <v>0</v>
      </c>
      <c r="Z20" s="62">
        <f ca="1">VLOOKUP(K20,[2]enemies!$A:$V,22,FALSE)</f>
        <v>3</v>
      </c>
      <c r="AA20" s="43">
        <v>6</v>
      </c>
      <c r="AB20" s="4" t="str">
        <f ca="1">VLOOKUP(K20,[2]enemies!$A:$B,2,FALSE)</f>
        <v>パトドッグリーダー ポチ</v>
      </c>
      <c r="AC20" s="4">
        <f ca="1">VLOOKUP(K20,[2]enemies!$A:$E,3,FALSE)</f>
        <v>2</v>
      </c>
      <c r="AD20" s="4" t="str">
        <f ca="1">VLOOKUP(K20,[3]characters!$A:$J,10,FALSE)</f>
        <v>Drop1T</v>
      </c>
      <c r="AE20" s="7">
        <v>3</v>
      </c>
      <c r="AF20" s="30">
        <f t="shared" ca="1" si="3"/>
        <v>2</v>
      </c>
      <c r="AG20" s="8">
        <v>26</v>
      </c>
      <c r="AH20" s="7">
        <v>0</v>
      </c>
      <c r="AI20" s="7">
        <v>0</v>
      </c>
      <c r="AJ20" s="7">
        <v>0</v>
      </c>
      <c r="AK20" s="7">
        <v>0</v>
      </c>
      <c r="AL20" s="7">
        <v>1</v>
      </c>
    </row>
    <row r="21" spans="1:38" ht="21" customHeight="1" thickBot="1" x14ac:dyDescent="0.2">
      <c r="A21" s="20" t="str">
        <f t="shared" ca="1" si="0"/>
        <v>20010_2-2/18&lt;lv24&gt;s2</v>
      </c>
      <c r="B21" s="28">
        <v>20010</v>
      </c>
      <c r="C21" s="71">
        <v>2</v>
      </c>
      <c r="D21" s="2" t="str">
        <f t="shared" ca="1" si="1"/>
        <v>20010_2</v>
      </c>
      <c r="E21" s="4" t="str">
        <f ca="1">VLOOKUP($B21,OFFSET([1]quests!$A$1,0,0,COUNTA([1]quests!$A:$A),MATCH(E$1,[1]quests!$1:$1,0)-MATCH($B$1,[1]quests!$1:$1,0)+1),MATCH(E$1,[1]quests!$1:$1,0)-MATCH($B$1,[1]quests!$1:$1,0)+1,FALSE)</f>
        <v>悪夢の一目惚れ</v>
      </c>
      <c r="F21" s="4" t="str">
        <f ca="1">VLOOKUP($D21,OFFSET([1]stages!$A$1,0,0,COUNTA([1]stages!$A:$A),MATCH(F$1,[1]stages!$2:$2,0)-MATCH($D$1,[1]stages!$2:$2,0)+1),MATCH(F$1,[1]stages!$2:$2,0)-MATCH($D$1,[1]stages!$2:$2,0)+1,FALSE)</f>
        <v>【中級】悪夢の一目惚れ</v>
      </c>
      <c r="G21" s="76">
        <v>2</v>
      </c>
      <c r="H21" s="19" t="str">
        <f t="shared" ca="1" si="2"/>
        <v>20010_2-2</v>
      </c>
      <c r="I21" s="4">
        <f ca="1">VLOOKUP($H21,OFFSET(floors_drop_3_2!$A$1,0,0,COUNTA(floors_drop_3_2!$A:$A),MATCH(I$1,floors_drop_3_2!$1:$1,0)-MATCH($H$1,floors_drop_3_2!$1:$1,0)+1),MATCH(I$1,floors_drop_3_2!$1:$1,0)-MATCH($H$1,floors_drop_3_2!$1:$1,0)+1,FALSE)</f>
        <v>45</v>
      </c>
      <c r="J21" s="4">
        <f ca="1">VLOOKUP($H21,OFFSET(floors_drop_3_2!$A$1,0,0,COUNTA(floors_drop_3_2!$A:$A),MATCH(J$1,floors_drop_3_2!$1:$1,0)-MATCH($H$1,floors_drop_3_2!$1:$1,0)+1),MATCH(J$1,floors_drop_3_2!$1:$1,0)-MATCH($H$1,floors_drop_3_2!$1:$1,0)+1,FALSE)</f>
        <v>45</v>
      </c>
      <c r="K21" s="43">
        <v>18</v>
      </c>
      <c r="L21" s="23" t="str">
        <f ca="1">VLOOKUP(K21,[2]enemies!$A:$B,2,FALSE)</f>
        <v>戦闘案内人 リム</v>
      </c>
      <c r="M21" s="25" t="str">
        <f ca="1">VLOOKUP(K21,[2]enemies!$A:$D,4,FALSE)</f>
        <v>blue</v>
      </c>
      <c r="N21" s="25" t="str">
        <f ca="1">VLOOKUP(K21,[3]characters!$A:$J,10,FALSE)</f>
        <v>Drop1W</v>
      </c>
      <c r="O21" s="24" t="str">
        <f ca="1">VLOOKUP(K21,[3]characters!$A:$M,13,FALSE)</f>
        <v>human</v>
      </c>
      <c r="P21" s="4">
        <f ca="1">VLOOKUP(K21,[2]enemies!$A:$X,24,FALSE)</f>
        <v>15</v>
      </c>
      <c r="Q21" s="5">
        <v>24</v>
      </c>
      <c r="R21" s="31">
        <v>1.5</v>
      </c>
      <c r="S21" s="31">
        <v>1.5</v>
      </c>
      <c r="T21" s="5">
        <v>0</v>
      </c>
      <c r="U21" s="4">
        <f ca="1">VLOOKUP(K21,[2]enemies!$A:$AB,28,FALSE)</f>
        <v>0</v>
      </c>
      <c r="V21" s="79" t="str">
        <f ca="1">IFERROR(VLOOKUP(U21,[4]enemy_skill_sets!$B:$E,4,FALSE),VLOOKUP(U21,[5]enemy_skill_sets!A:D,4,FALSE))</f>
        <v>なし</v>
      </c>
      <c r="W21" s="6">
        <v>0</v>
      </c>
      <c r="X21" s="6">
        <v>100</v>
      </c>
      <c r="Y21" s="6">
        <v>0</v>
      </c>
      <c r="Z21" s="62">
        <f ca="1">VLOOKUP(K21,[2]enemies!$A:$V,22,FALSE)</f>
        <v>2</v>
      </c>
      <c r="AA21" s="43">
        <v>18</v>
      </c>
      <c r="AB21" s="4" t="str">
        <f ca="1">VLOOKUP(K21,[2]enemies!$A:$B,2,FALSE)</f>
        <v>戦闘案内人 リム</v>
      </c>
      <c r="AC21" s="4">
        <f ca="1">VLOOKUP(K21,[2]enemies!$A:$E,3,FALSE)</f>
        <v>2</v>
      </c>
      <c r="AD21" s="4" t="str">
        <f ca="1">VLOOKUP(K21,[3]characters!$A:$J,10,FALSE)</f>
        <v>Drop1W</v>
      </c>
      <c r="AE21" s="7">
        <v>3</v>
      </c>
      <c r="AF21" s="30">
        <f t="shared" ca="1" si="3"/>
        <v>2</v>
      </c>
      <c r="AG21" s="8">
        <v>26</v>
      </c>
      <c r="AH21" s="7">
        <v>0</v>
      </c>
      <c r="AI21" s="7">
        <v>0</v>
      </c>
      <c r="AJ21" s="7">
        <v>0</v>
      </c>
      <c r="AK21" s="7">
        <v>0</v>
      </c>
      <c r="AL21" s="7">
        <v>1</v>
      </c>
    </row>
    <row r="22" spans="1:38" ht="21" customHeight="1" thickBot="1" x14ac:dyDescent="0.2">
      <c r="A22" s="20" t="str">
        <f t="shared" ca="1" si="0"/>
        <v>20010_2-2/26&lt;lv24&gt;s3</v>
      </c>
      <c r="B22" s="28">
        <v>20010</v>
      </c>
      <c r="C22" s="71">
        <v>2</v>
      </c>
      <c r="D22" s="2" t="str">
        <f t="shared" ca="1" si="1"/>
        <v>20010_2</v>
      </c>
      <c r="E22" s="4" t="str">
        <f ca="1">VLOOKUP($B22,OFFSET([1]quests!$A$1,0,0,COUNTA([1]quests!$A:$A),MATCH(E$1,[1]quests!$1:$1,0)-MATCH($B$1,[1]quests!$1:$1,0)+1),MATCH(E$1,[1]quests!$1:$1,0)-MATCH($B$1,[1]quests!$1:$1,0)+1,FALSE)</f>
        <v>悪夢の一目惚れ</v>
      </c>
      <c r="F22" s="4" t="str">
        <f ca="1">VLOOKUP($D22,OFFSET([1]stages!$A$1,0,0,COUNTA([1]stages!$A:$A),MATCH(F$1,[1]stages!$2:$2,0)-MATCH($D$1,[1]stages!$2:$2,0)+1),MATCH(F$1,[1]stages!$2:$2,0)-MATCH($D$1,[1]stages!$2:$2,0)+1,FALSE)</f>
        <v>【中級】悪夢の一目惚れ</v>
      </c>
      <c r="G22" s="76">
        <v>2</v>
      </c>
      <c r="H22" s="19" t="str">
        <f t="shared" ca="1" si="2"/>
        <v>20010_2-2</v>
      </c>
      <c r="I22" s="4">
        <f ca="1">VLOOKUP($H22,OFFSET(floors_drop_3_2!$A$1,0,0,COUNTA(floors_drop_3_2!$A:$A),MATCH(I$1,floors_drop_3_2!$1:$1,0)-MATCH($H$1,floors_drop_3_2!$1:$1,0)+1),MATCH(I$1,floors_drop_3_2!$1:$1,0)-MATCH($H$1,floors_drop_3_2!$1:$1,0)+1,FALSE)</f>
        <v>45</v>
      </c>
      <c r="J22" s="4">
        <f ca="1">VLOOKUP($H22,OFFSET(floors_drop_3_2!$A$1,0,0,COUNTA(floors_drop_3_2!$A:$A),MATCH(J$1,floors_drop_3_2!$1:$1,0)-MATCH($H$1,floors_drop_3_2!$1:$1,0)+1),MATCH(J$1,floors_drop_3_2!$1:$1,0)-MATCH($H$1,floors_drop_3_2!$1:$1,0)+1,FALSE)</f>
        <v>45</v>
      </c>
      <c r="K22" s="43">
        <v>26</v>
      </c>
      <c r="L22" s="23" t="str">
        <f ca="1">VLOOKUP(K22,[2]enemies!$A:$B,2,FALSE)</f>
        <v>勇犬 ハチ</v>
      </c>
      <c r="M22" s="25" t="str">
        <f ca="1">VLOOKUP(K22,[2]enemies!$A:$D,4,FALSE)</f>
        <v>blue</v>
      </c>
      <c r="N22" s="25" t="str">
        <f ca="1">VLOOKUP(K22,[3]characters!$A:$J,10,FALSE)</f>
        <v>Drop1N</v>
      </c>
      <c r="O22" s="24" t="str">
        <f ca="1">VLOOKUP(K22,[3]characters!$A:$M,13,FALSE)</f>
        <v>animal</v>
      </c>
      <c r="P22" s="4">
        <f ca="1">VLOOKUP(K22,[2]enemies!$A:$X,24,FALSE)</f>
        <v>15</v>
      </c>
      <c r="Q22" s="5">
        <v>24</v>
      </c>
      <c r="R22" s="31">
        <v>1.5</v>
      </c>
      <c r="S22" s="31">
        <v>1.5</v>
      </c>
      <c r="T22" s="5">
        <v>0</v>
      </c>
      <c r="U22" s="4">
        <f ca="1">VLOOKUP(K22,[2]enemies!$A:$AB,28,FALSE)</f>
        <v>0</v>
      </c>
      <c r="V22" s="79" t="str">
        <f ca="1">IFERROR(VLOOKUP(U22,[4]enemy_skill_sets!$B:$E,4,FALSE),VLOOKUP(U22,[5]enemy_skill_sets!A:D,4,FALSE))</f>
        <v>なし</v>
      </c>
      <c r="W22" s="6">
        <v>0</v>
      </c>
      <c r="X22" s="6">
        <v>100</v>
      </c>
      <c r="Y22" s="6">
        <v>0</v>
      </c>
      <c r="Z22" s="62">
        <f ca="1">VLOOKUP(K22,[2]enemies!$A:$V,22,FALSE)</f>
        <v>3</v>
      </c>
      <c r="AA22" s="43">
        <v>26</v>
      </c>
      <c r="AB22" s="4" t="str">
        <f ca="1">VLOOKUP(K22,[2]enemies!$A:$B,2,FALSE)</f>
        <v>勇犬 ハチ</v>
      </c>
      <c r="AC22" s="4">
        <f ca="1">VLOOKUP(K22,[2]enemies!$A:$E,3,FALSE)</f>
        <v>2</v>
      </c>
      <c r="AD22" s="4" t="str">
        <f ca="1">VLOOKUP(K22,[3]characters!$A:$J,10,FALSE)</f>
        <v>Drop1N</v>
      </c>
      <c r="AE22" s="7">
        <v>3</v>
      </c>
      <c r="AF22" s="30">
        <f t="shared" ca="1" si="3"/>
        <v>2</v>
      </c>
      <c r="AG22" s="8">
        <v>26</v>
      </c>
      <c r="AH22" s="7">
        <v>0</v>
      </c>
      <c r="AI22" s="7">
        <v>0</v>
      </c>
      <c r="AJ22" s="7">
        <v>0</v>
      </c>
      <c r="AK22" s="7">
        <v>0</v>
      </c>
      <c r="AL22" s="7">
        <v>1</v>
      </c>
    </row>
    <row r="23" spans="1:38" ht="21" customHeight="1" x14ac:dyDescent="0.15">
      <c r="A23" s="20" t="str">
        <f t="shared" ca="1" si="0"/>
        <v>20010_2-2/30&lt;lv24&gt;s2</v>
      </c>
      <c r="B23" s="28">
        <v>20010</v>
      </c>
      <c r="C23" s="71">
        <v>2</v>
      </c>
      <c r="D23" s="2" t="str">
        <f t="shared" ca="1" si="1"/>
        <v>20010_2</v>
      </c>
      <c r="E23" s="4" t="str">
        <f ca="1">VLOOKUP($B23,OFFSET([1]quests!$A$1,0,0,COUNTA([1]quests!$A:$A),MATCH(E$1,[1]quests!$1:$1,0)-MATCH($B$1,[1]quests!$1:$1,0)+1),MATCH(E$1,[1]quests!$1:$1,0)-MATCH($B$1,[1]quests!$1:$1,0)+1,FALSE)</f>
        <v>悪夢の一目惚れ</v>
      </c>
      <c r="F23" s="4" t="str">
        <f ca="1">VLOOKUP($D23,OFFSET([1]stages!$A$1,0,0,COUNTA([1]stages!$A:$A),MATCH(F$1,[1]stages!$2:$2,0)-MATCH($D$1,[1]stages!$2:$2,0)+1),MATCH(F$1,[1]stages!$2:$2,0)-MATCH($D$1,[1]stages!$2:$2,0)+1,FALSE)</f>
        <v>【中級】悪夢の一目惚れ</v>
      </c>
      <c r="G23" s="76">
        <v>2</v>
      </c>
      <c r="H23" s="19" t="str">
        <f t="shared" ca="1" si="2"/>
        <v>20010_2-2</v>
      </c>
      <c r="I23" s="4">
        <f ca="1">VLOOKUP($H23,OFFSET(floors_drop_3_2!$A$1,0,0,COUNTA(floors_drop_3_2!$A:$A),MATCH(I$1,floors_drop_3_2!$1:$1,0)-MATCH($H$1,floors_drop_3_2!$1:$1,0)+1),MATCH(I$1,floors_drop_3_2!$1:$1,0)-MATCH($H$1,floors_drop_3_2!$1:$1,0)+1,FALSE)</f>
        <v>45</v>
      </c>
      <c r="J23" s="4">
        <f ca="1">VLOOKUP($H23,OFFSET(floors_drop_3_2!$A$1,0,0,COUNTA(floors_drop_3_2!$A:$A),MATCH(J$1,floors_drop_3_2!$1:$1,0)-MATCH($H$1,floors_drop_3_2!$1:$1,0)+1),MATCH(J$1,floors_drop_3_2!$1:$1,0)-MATCH($H$1,floors_drop_3_2!$1:$1,0)+1,FALSE)</f>
        <v>45</v>
      </c>
      <c r="K23" s="43">
        <v>30</v>
      </c>
      <c r="L23" s="23" t="str">
        <f ca="1">VLOOKUP(K23,[2]enemies!$A:$B,2,FALSE)</f>
        <v>護衛機人 スケアクロウ</v>
      </c>
      <c r="M23" s="25" t="str">
        <f ca="1">VLOOKUP(K23,[2]enemies!$A:$D,4,FALSE)</f>
        <v>blue</v>
      </c>
      <c r="N23" s="25" t="str">
        <f ca="1">VLOOKUP(K23,[3]characters!$A:$J,10,FALSE)</f>
        <v>Drop1N</v>
      </c>
      <c r="O23" s="24" t="str">
        <f ca="1">VLOOKUP(K23,[3]characters!$A:$M,13,FALSE)</f>
        <v>machine</v>
      </c>
      <c r="P23" s="4">
        <f ca="1">VLOOKUP(K23,[2]enemies!$A:$X,24,FALSE)</f>
        <v>15</v>
      </c>
      <c r="Q23" s="5">
        <v>24</v>
      </c>
      <c r="R23" s="31">
        <v>1.5</v>
      </c>
      <c r="S23" s="31">
        <v>1.5</v>
      </c>
      <c r="T23" s="5">
        <v>0</v>
      </c>
      <c r="U23" s="4">
        <f ca="1">VLOOKUP(K23,[2]enemies!$A:$AB,28,FALSE)</f>
        <v>30</v>
      </c>
      <c r="V23" s="79" t="str">
        <f ca="1">IFERROR(VLOOKUP(U23,[4]enemy_skill_sets!$B:$E,4,FALSE),VLOOKUP(U23,[5]enemy_skill_sets!A:D,4,FALSE))</f>
        <v>回復</v>
      </c>
      <c r="W23" s="6">
        <v>0</v>
      </c>
      <c r="X23" s="6">
        <v>100</v>
      </c>
      <c r="Y23" s="6">
        <v>0</v>
      </c>
      <c r="Z23" s="62">
        <f ca="1">VLOOKUP(K23,[2]enemies!$A:$V,22,FALSE)</f>
        <v>2</v>
      </c>
      <c r="AA23" s="43">
        <v>30</v>
      </c>
      <c r="AB23" s="4" t="str">
        <f ca="1">VLOOKUP(K23,[2]enemies!$A:$B,2,FALSE)</f>
        <v>護衛機人 スケアクロウ</v>
      </c>
      <c r="AC23" s="4">
        <f ca="1">VLOOKUP(K23,[2]enemies!$A:$E,3,FALSE)</f>
        <v>2</v>
      </c>
      <c r="AD23" s="4" t="str">
        <f ca="1">VLOOKUP(K23,[3]characters!$A:$J,10,FALSE)</f>
        <v>Drop1N</v>
      </c>
      <c r="AE23" s="7">
        <v>3</v>
      </c>
      <c r="AF23" s="30">
        <f t="shared" ca="1" si="3"/>
        <v>2</v>
      </c>
      <c r="AG23" s="8">
        <v>26</v>
      </c>
      <c r="AH23" s="7">
        <v>0</v>
      </c>
      <c r="AI23" s="7">
        <v>0</v>
      </c>
      <c r="AJ23" s="7">
        <v>0</v>
      </c>
      <c r="AK23" s="7">
        <v>0</v>
      </c>
      <c r="AL23" s="7">
        <v>1</v>
      </c>
    </row>
    <row r="24" spans="1:38" ht="21" customHeight="1" thickBot="1" x14ac:dyDescent="0.2">
      <c r="A24" s="20" t="str">
        <f t="shared" si="0"/>
        <v>20010_2-3/304&lt;lv40&gt;s2</v>
      </c>
      <c r="B24" s="28">
        <v>20010</v>
      </c>
      <c r="C24" s="71">
        <v>2</v>
      </c>
      <c r="D24" s="2" t="str">
        <f t="shared" ca="1" si="1"/>
        <v>20010_2</v>
      </c>
      <c r="E24" s="4" t="str">
        <f ca="1">VLOOKUP($B24,OFFSET([1]quests!$A$1,0,0,COUNTA([1]quests!$A:$A),MATCH(E$1,[1]quests!$1:$1,0)-MATCH($B$1,[1]quests!$1:$1,0)+1),MATCH(E$1,[1]quests!$1:$1,0)-MATCH($B$1,[1]quests!$1:$1,0)+1,FALSE)</f>
        <v>悪夢の一目惚れ</v>
      </c>
      <c r="F24" s="4" t="str">
        <f ca="1">VLOOKUP($D24,OFFSET([1]stages!$A$1,0,0,COUNTA([1]stages!$A:$A),MATCH(F$1,[1]stages!$2:$2,0)-MATCH($D$1,[1]stages!$2:$2,0)+1),MATCH(F$1,[1]stages!$2:$2,0)-MATCH($D$1,[1]stages!$2:$2,0)+1,FALSE)</f>
        <v>【中級】悪夢の一目惚れ</v>
      </c>
      <c r="G24" s="27">
        <v>3</v>
      </c>
      <c r="H24" s="19" t="str">
        <f t="shared" ca="1" si="2"/>
        <v>20010_2-3</v>
      </c>
      <c r="I24" s="4">
        <f ca="1">VLOOKUP($H24,OFFSET(floors_drop_3_2!$A$1,0,0,COUNTA(floors_drop_3_2!$A:$A),MATCH(I$1,floors_drop_3_2!$1:$1,0)-MATCH($H$1,floors_drop_3_2!$1:$1,0)+1),MATCH(I$1,floors_drop_3_2!$1:$1,0)-MATCH($H$1,floors_drop_3_2!$1:$1,0)+1,FALSE)</f>
        <v>50</v>
      </c>
      <c r="J24" s="4">
        <f ca="1">VLOOKUP($H24,OFFSET(floors_drop_3_2!$A$1,0,0,COUNTA(floors_drop_3_2!$A:$A),MATCH(J$1,floors_drop_3_2!$1:$1,0)-MATCH($H$1,floors_drop_3_2!$1:$1,0)+1),MATCH(J$1,floors_drop_3_2!$1:$1,0)-MATCH($H$1,floors_drop_3_2!$1:$1,0)+1,FALSE)</f>
        <v>50</v>
      </c>
      <c r="K24" s="45">
        <v>304</v>
      </c>
      <c r="L24" s="23" t="str">
        <f ca="1">VLOOKUP(K24,[2]enemies!$A:$B,2,FALSE)</f>
        <v>電殺のチエミ</v>
      </c>
      <c r="M24" s="25" t="str">
        <f ca="1">VLOOKUP(K24,[2]enemies!$A:$D,4,FALSE)</f>
        <v>yellow</v>
      </c>
      <c r="N24" s="25" t="str">
        <f ca="1">VLOOKUP(K24,[3]characters!$A:$J,10,FALSE)</f>
        <v>Drop2W</v>
      </c>
      <c r="O24" s="24" t="str">
        <f ca="1">VLOOKUP(K24,[3]characters!$A:$M,13,FALSE)</f>
        <v>human</v>
      </c>
      <c r="P24" s="4">
        <f ca="1">VLOOKUP(K24,[2]enemies!$A:$X,24,FALSE)</f>
        <v>20</v>
      </c>
      <c r="Q24" s="5">
        <v>40</v>
      </c>
      <c r="R24" s="31">
        <v>3</v>
      </c>
      <c r="S24" s="31">
        <v>0.9</v>
      </c>
      <c r="T24" s="5">
        <v>0</v>
      </c>
      <c r="U24" s="77">
        <v>30402</v>
      </c>
      <c r="V24" s="4" t="str">
        <f ca="1">VLOOKUP($U24,OFFSET([4]enemy_skill_sets!$B$1,0,0,COUNTA([4]enemy_skill_sets!$B:$B),MATCH(L$1,[4]enemy_skill_sets!$1:$1,0)-MATCH($U$1,[4]enemy_skill_sets!$1:$1,0)+2),MATCH(L$1,[4]enemy_skill_sets!$1:$1,0)-MATCH($U$1,[4]enemy_skill_sets!$1:$1,0)+2,FALSE)</f>
        <v>2ターン攻撃頻度が1ターンにUP＋5ターン黄パネル無効</v>
      </c>
      <c r="W24" s="6">
        <v>1</v>
      </c>
      <c r="X24" s="6">
        <v>100</v>
      </c>
      <c r="Y24" s="6">
        <v>1</v>
      </c>
      <c r="Z24" s="77">
        <v>2</v>
      </c>
      <c r="AA24" s="45">
        <v>304</v>
      </c>
      <c r="AB24" s="4" t="str">
        <f ca="1">VLOOKUP(K24,[2]enemies!$A:$B,2,FALSE)</f>
        <v>電殺のチエミ</v>
      </c>
      <c r="AC24" s="4">
        <f ca="1">VLOOKUP(K24,[2]enemies!$A:$E,3,FALSE)</f>
        <v>3</v>
      </c>
      <c r="AD24" s="4" t="str">
        <f ca="1">VLOOKUP(K24,[3]characters!$A:$J,10,FALSE)</f>
        <v>Drop2W</v>
      </c>
      <c r="AE24" s="7">
        <v>1</v>
      </c>
      <c r="AF24" s="30">
        <f t="shared" ca="1" si="3"/>
        <v>3</v>
      </c>
      <c r="AG24" s="80">
        <v>50</v>
      </c>
      <c r="AH24" s="7">
        <v>0</v>
      </c>
      <c r="AI24" s="7">
        <v>0</v>
      </c>
      <c r="AJ24" s="7">
        <v>0</v>
      </c>
      <c r="AK24" s="7">
        <v>0</v>
      </c>
      <c r="AL24" s="7">
        <v>1</v>
      </c>
    </row>
    <row r="25" spans="1:38" ht="21" customHeight="1" thickBot="1" x14ac:dyDescent="0.2">
      <c r="A25" s="47" t="str">
        <f t="shared" ca="1" si="0"/>
        <v>20010_2-3/35&lt;lv25&gt;s4</v>
      </c>
      <c r="B25" s="48">
        <v>20010</v>
      </c>
      <c r="C25" s="72">
        <v>2</v>
      </c>
      <c r="D25" s="50" t="str">
        <f t="shared" ca="1" si="1"/>
        <v>20010_2</v>
      </c>
      <c r="E25" s="51" t="str">
        <f ca="1">VLOOKUP($B25,OFFSET([1]quests!$A$1,0,0,COUNTA([1]quests!$A:$A),MATCH(E$1,[1]quests!$1:$1,0)-MATCH($B$1,[1]quests!$1:$1,0)+1),MATCH(E$1,[1]quests!$1:$1,0)-MATCH($B$1,[1]quests!$1:$1,0)+1,FALSE)</f>
        <v>悪夢の一目惚れ</v>
      </c>
      <c r="F25" s="51" t="str">
        <f ca="1">VLOOKUP($D25,OFFSET([1]stages!$A$1,0,0,COUNTA([1]stages!$A:$A),MATCH(F$1,[1]stages!$2:$2,0)-MATCH($D$1,[1]stages!$2:$2,0)+1),MATCH(F$1,[1]stages!$2:$2,0)-MATCH($D$1,[1]stages!$2:$2,0)+1,FALSE)</f>
        <v>【中級】悪夢の一目惚れ</v>
      </c>
      <c r="G25" s="49">
        <v>3</v>
      </c>
      <c r="H25" s="50" t="str">
        <f t="shared" ca="1" si="2"/>
        <v>20010_2-3</v>
      </c>
      <c r="I25" s="51">
        <f ca="1">VLOOKUP($H25,OFFSET(floors_drop_3_2!$A$1,0,0,COUNTA(floors_drop_3_2!$A:$A),MATCH(I$1,floors_drop_3_2!$1:$1,0)-MATCH($H$1,floors_drop_3_2!$1:$1,0)+1),MATCH(I$1,floors_drop_3_2!$1:$1,0)-MATCH($H$1,floors_drop_3_2!$1:$1,0)+1,FALSE)</f>
        <v>50</v>
      </c>
      <c r="J25" s="51">
        <f ca="1">VLOOKUP($H25,OFFSET(floors_drop_3_2!$A$1,0,0,COUNTA(floors_drop_3_2!$A:$A),MATCH(J$1,floors_drop_3_2!$1:$1,0)-MATCH($H$1,floors_drop_3_2!$1:$1,0)+1),MATCH(J$1,floors_drop_3_2!$1:$1,0)-MATCH($H$1,floors_drop_3_2!$1:$1,0)+1,FALSE)</f>
        <v>50</v>
      </c>
      <c r="K25" s="44">
        <v>35</v>
      </c>
      <c r="L25" s="23" t="str">
        <f ca="1">VLOOKUP(K25,[2]enemies!$A:$B,2,FALSE)</f>
        <v>F2</v>
      </c>
      <c r="M25" s="25" t="str">
        <f ca="1">VLOOKUP(K25,[2]enemies!$A:$D,4,FALSE)</f>
        <v>green</v>
      </c>
      <c r="N25" s="25" t="str">
        <f ca="1">VLOOKUP(K25,[3]characters!$A:$J,10,FALSE)</f>
        <v>Drop1S</v>
      </c>
      <c r="O25" s="24" t="str">
        <f ca="1">VLOOKUP(K25,[3]characters!$A:$M,13,FALSE)</f>
        <v>machine</v>
      </c>
      <c r="P25" s="4">
        <f ca="1">VLOOKUP(K25,[2]enemies!$A:$X,24,FALSE)</f>
        <v>15</v>
      </c>
      <c r="Q25" s="52">
        <v>25</v>
      </c>
      <c r="R25" s="53">
        <v>2</v>
      </c>
      <c r="S25" s="53">
        <v>0.3</v>
      </c>
      <c r="T25" s="52">
        <v>0</v>
      </c>
      <c r="U25" s="78">
        <v>3501</v>
      </c>
      <c r="V25" s="51" t="str">
        <f ca="1">VLOOKUP($U25,OFFSET([4]enemy_skill_sets!$B$1,0,0,COUNTA([4]enemy_skill_sets!$B:$B),MATCH(L$1,[4]enemy_skill_sets!$1:$1,0)-MATCH($U$1,[4]enemy_skill_sets!$1:$1,0)+2),MATCH(L$1,[4]enemy_skill_sets!$1:$1,0)-MATCH($U$1,[4]enemy_skill_sets!$1:$1,0)+2,FALSE)</f>
        <v>F2の全身が赤く明滅している！</v>
      </c>
      <c r="W25" s="54">
        <v>2</v>
      </c>
      <c r="X25" s="54">
        <v>100</v>
      </c>
      <c r="Y25" s="54">
        <v>0</v>
      </c>
      <c r="Z25" s="62">
        <f ca="1">VLOOKUP(K25,[2]enemies!$A:$V,22,FALSE)</f>
        <v>4</v>
      </c>
      <c r="AA25" s="44">
        <v>35</v>
      </c>
      <c r="AB25" s="4" t="str">
        <f ca="1">VLOOKUP(K25,[2]enemies!$A:$B,2,FALSE)</f>
        <v>F2</v>
      </c>
      <c r="AC25" s="4">
        <f ca="1">VLOOKUP(K25,[2]enemies!$A:$E,3,FALSE)</f>
        <v>2</v>
      </c>
      <c r="AD25" s="4" t="str">
        <f ca="1">VLOOKUP(K25,[3]characters!$A:$J,10,FALSE)</f>
        <v>Drop1S</v>
      </c>
      <c r="AE25" s="55">
        <v>1</v>
      </c>
      <c r="AF25" s="56">
        <f t="shared" ca="1" si="3"/>
        <v>2</v>
      </c>
      <c r="AG25" s="57">
        <v>0</v>
      </c>
      <c r="AH25" s="55">
        <v>0</v>
      </c>
      <c r="AI25" s="55">
        <v>0</v>
      </c>
      <c r="AJ25" s="55">
        <v>0</v>
      </c>
      <c r="AK25" s="55">
        <v>0</v>
      </c>
      <c r="AL25" s="55">
        <v>1</v>
      </c>
    </row>
    <row r="26" spans="1:38" ht="21" customHeight="1" thickBot="1" x14ac:dyDescent="0.2">
      <c r="A26" s="20" t="str">
        <f t="shared" ca="1" si="0"/>
        <v>20010_3-1/26&lt;lv30&gt;s3</v>
      </c>
      <c r="B26" s="28">
        <v>20010</v>
      </c>
      <c r="C26" s="27">
        <v>3</v>
      </c>
      <c r="D26" s="2" t="str">
        <f t="shared" ca="1" si="1"/>
        <v>20010_3</v>
      </c>
      <c r="E26" s="4" t="str">
        <f ca="1">VLOOKUP($B26,OFFSET([1]quests!$A$1,0,0,COUNTA([1]quests!$A:$A),MATCH(E$1,[1]quests!$1:$1,0)-MATCH($B$1,[1]quests!$1:$1,0)+1),MATCH(E$1,[1]quests!$1:$1,0)-MATCH($B$1,[1]quests!$1:$1,0)+1,FALSE)</f>
        <v>悪夢の一目惚れ</v>
      </c>
      <c r="F26" s="4" t="str">
        <f ca="1">VLOOKUP($D26,OFFSET([1]stages!$A$1,0,0,COUNTA([1]stages!$A:$A),MATCH(F$1,[1]stages!$2:$2,0)-MATCH($D$1,[1]stages!$2:$2,0)+1),MATCH(F$1,[1]stages!$2:$2,0)-MATCH($D$1,[1]stages!$2:$2,0)+1,FALSE)</f>
        <v>【上級】悪夢の一目惚れ</v>
      </c>
      <c r="G26" s="27">
        <v>1</v>
      </c>
      <c r="H26" s="19" t="str">
        <f t="shared" ca="1" si="2"/>
        <v>20010_3-1</v>
      </c>
      <c r="I26" s="4">
        <f ca="1">VLOOKUP($H26,OFFSET(floors_drop_3_2!$A$1,0,0,COUNTA(floors_drop_3_2!$A:$A),MATCH(I$1,floors_drop_3_2!$1:$1,0)-MATCH($H$1,floors_drop_3_2!$1:$1,0)+1),MATCH(I$1,floors_drop_3_2!$1:$1,0)-MATCH($H$1,floors_drop_3_2!$1:$1,0)+1,FALSE)</f>
        <v>55</v>
      </c>
      <c r="J26" s="4">
        <f ca="1">VLOOKUP($H26,OFFSET(floors_drop_3_2!$A$1,0,0,COUNTA(floors_drop_3_2!$A:$A),MATCH(J$1,floors_drop_3_2!$1:$1,0)-MATCH($H$1,floors_drop_3_2!$1:$1,0)+1),MATCH(J$1,floors_drop_3_2!$1:$1,0)-MATCH($H$1,floors_drop_3_2!$1:$1,0)+1,FALSE)</f>
        <v>55</v>
      </c>
      <c r="K26" s="43">
        <v>26</v>
      </c>
      <c r="L26" s="23" t="str">
        <f ca="1">VLOOKUP(K26,[2]enemies!$A:$B,2,FALSE)</f>
        <v>勇犬 ハチ</v>
      </c>
      <c r="M26" s="25" t="str">
        <f ca="1">VLOOKUP(K26,[2]enemies!$A:$D,4,FALSE)</f>
        <v>blue</v>
      </c>
      <c r="N26" s="25" t="str">
        <f ca="1">VLOOKUP(K26,[3]characters!$A:$J,10,FALSE)</f>
        <v>Drop1N</v>
      </c>
      <c r="O26" s="24" t="str">
        <f ca="1">VLOOKUP(K26,[3]characters!$A:$M,13,FALSE)</f>
        <v>animal</v>
      </c>
      <c r="P26" s="4">
        <f ca="1">VLOOKUP(K26,[2]enemies!$A:$X,24,FALSE)</f>
        <v>15</v>
      </c>
      <c r="Q26" s="5">
        <v>30</v>
      </c>
      <c r="R26" s="31">
        <v>1.6</v>
      </c>
      <c r="S26" s="31">
        <v>1.6</v>
      </c>
      <c r="T26" s="5">
        <v>0</v>
      </c>
      <c r="U26" s="4">
        <f ca="1">VLOOKUP(K26,[2]enemies!$A:$AB,28,FALSE)</f>
        <v>0</v>
      </c>
      <c r="V26" s="79" t="str">
        <f ca="1">IFERROR(VLOOKUP(U26,[4]enemy_skill_sets!$B:$E,4,FALSE),VLOOKUP(U26,[5]enemy_skill_sets!A:D,4,FALSE))</f>
        <v>なし</v>
      </c>
      <c r="W26" s="6">
        <v>0</v>
      </c>
      <c r="X26" s="6">
        <v>100</v>
      </c>
      <c r="Y26" s="6">
        <v>0</v>
      </c>
      <c r="Z26" s="62">
        <f ca="1">VLOOKUP(K26,[2]enemies!$A:$V,22,FALSE)</f>
        <v>3</v>
      </c>
      <c r="AA26" s="43">
        <v>26</v>
      </c>
      <c r="AB26" s="4" t="str">
        <f ca="1">VLOOKUP(K26,[2]enemies!$A:$B,2,FALSE)</f>
        <v>勇犬 ハチ</v>
      </c>
      <c r="AC26" s="4">
        <f ca="1">VLOOKUP(K26,[2]enemies!$A:$E,3,FALSE)</f>
        <v>2</v>
      </c>
      <c r="AD26" s="4" t="str">
        <f ca="1">VLOOKUP(K26,[3]characters!$A:$J,10,FALSE)</f>
        <v>Drop1N</v>
      </c>
      <c r="AE26" s="7">
        <v>3</v>
      </c>
      <c r="AF26" s="30">
        <f t="shared" ca="1" si="3"/>
        <v>2</v>
      </c>
      <c r="AG26" s="75">
        <v>0</v>
      </c>
      <c r="AH26" s="7">
        <v>0</v>
      </c>
      <c r="AI26" s="7">
        <v>0</v>
      </c>
      <c r="AJ26" s="7">
        <v>0</v>
      </c>
      <c r="AK26" s="7">
        <v>0</v>
      </c>
      <c r="AL26" s="7">
        <v>1</v>
      </c>
    </row>
    <row r="27" spans="1:38" ht="21" customHeight="1" thickBot="1" x14ac:dyDescent="0.2">
      <c r="A27" s="20" t="str">
        <f t="shared" ca="1" si="0"/>
        <v>20010_3-1/30&lt;lv30&gt;s2</v>
      </c>
      <c r="B27" s="28">
        <v>20010</v>
      </c>
      <c r="C27" s="27">
        <v>3</v>
      </c>
      <c r="D27" s="2" t="str">
        <f t="shared" ca="1" si="1"/>
        <v>20010_3</v>
      </c>
      <c r="E27" s="4" t="str">
        <f ca="1">VLOOKUP($B27,OFFSET([1]quests!$A$1,0,0,COUNTA([1]quests!$A:$A),MATCH(E$1,[1]quests!$1:$1,0)-MATCH($B$1,[1]quests!$1:$1,0)+1),MATCH(E$1,[1]quests!$1:$1,0)-MATCH($B$1,[1]quests!$1:$1,0)+1,FALSE)</f>
        <v>悪夢の一目惚れ</v>
      </c>
      <c r="F27" s="4" t="str">
        <f ca="1">VLOOKUP($D27,OFFSET([1]stages!$A$1,0,0,COUNTA([1]stages!$A:$A),MATCH(F$1,[1]stages!$2:$2,0)-MATCH($D$1,[1]stages!$2:$2,0)+1),MATCH(F$1,[1]stages!$2:$2,0)-MATCH($D$1,[1]stages!$2:$2,0)+1,FALSE)</f>
        <v>【上級】悪夢の一目惚れ</v>
      </c>
      <c r="G27" s="27">
        <v>1</v>
      </c>
      <c r="H27" s="19" t="str">
        <f t="shared" ca="1" si="2"/>
        <v>20010_3-1</v>
      </c>
      <c r="I27" s="4">
        <f ca="1">VLOOKUP($H27,OFFSET(floors_drop_3_2!$A$1,0,0,COUNTA(floors_drop_3_2!$A:$A),MATCH(I$1,floors_drop_3_2!$1:$1,0)-MATCH($H$1,floors_drop_3_2!$1:$1,0)+1),MATCH(I$1,floors_drop_3_2!$1:$1,0)-MATCH($H$1,floors_drop_3_2!$1:$1,0)+1,FALSE)</f>
        <v>55</v>
      </c>
      <c r="J27" s="4">
        <f ca="1">VLOOKUP($H27,OFFSET(floors_drop_3_2!$A$1,0,0,COUNTA(floors_drop_3_2!$A:$A),MATCH(J$1,floors_drop_3_2!$1:$1,0)-MATCH($H$1,floors_drop_3_2!$1:$1,0)+1),MATCH(J$1,floors_drop_3_2!$1:$1,0)-MATCH($H$1,floors_drop_3_2!$1:$1,0)+1,FALSE)</f>
        <v>55</v>
      </c>
      <c r="K27" s="43">
        <v>30</v>
      </c>
      <c r="L27" s="23" t="str">
        <f ca="1">VLOOKUP(K27,[2]enemies!$A:$B,2,FALSE)</f>
        <v>護衛機人 スケアクロウ</v>
      </c>
      <c r="M27" s="25" t="str">
        <f ca="1">VLOOKUP(K27,[2]enemies!$A:$D,4,FALSE)</f>
        <v>blue</v>
      </c>
      <c r="N27" s="25" t="str">
        <f ca="1">VLOOKUP(K27,[3]characters!$A:$J,10,FALSE)</f>
        <v>Drop1N</v>
      </c>
      <c r="O27" s="24" t="str">
        <f ca="1">VLOOKUP(K27,[3]characters!$A:$M,13,FALSE)</f>
        <v>machine</v>
      </c>
      <c r="P27" s="4">
        <f ca="1">VLOOKUP(K27,[2]enemies!$A:$X,24,FALSE)</f>
        <v>15</v>
      </c>
      <c r="Q27" s="5">
        <v>30</v>
      </c>
      <c r="R27" s="31">
        <v>1.6</v>
      </c>
      <c r="S27" s="31">
        <v>1.6</v>
      </c>
      <c r="T27" s="5">
        <v>0</v>
      </c>
      <c r="U27" s="4">
        <f ca="1">VLOOKUP(K27,[2]enemies!$A:$AB,28,FALSE)</f>
        <v>30</v>
      </c>
      <c r="V27" s="79" t="str">
        <f ca="1">IFERROR(VLOOKUP(U27,[4]enemy_skill_sets!$B:$E,4,FALSE),VLOOKUP(U27,[5]enemy_skill_sets!A:D,4,FALSE))</f>
        <v>回復</v>
      </c>
      <c r="W27" s="6">
        <v>0</v>
      </c>
      <c r="X27" s="6">
        <v>100</v>
      </c>
      <c r="Y27" s="6">
        <v>0</v>
      </c>
      <c r="Z27" s="62">
        <f ca="1">VLOOKUP(K27,[2]enemies!$A:$V,22,FALSE)</f>
        <v>2</v>
      </c>
      <c r="AA27" s="43">
        <v>30</v>
      </c>
      <c r="AB27" s="4" t="str">
        <f ca="1">VLOOKUP(K27,[2]enemies!$A:$B,2,FALSE)</f>
        <v>護衛機人 スケアクロウ</v>
      </c>
      <c r="AC27" s="4">
        <f ca="1">VLOOKUP(K27,[2]enemies!$A:$E,3,FALSE)</f>
        <v>2</v>
      </c>
      <c r="AD27" s="4" t="str">
        <f ca="1">VLOOKUP(K27,[3]characters!$A:$J,10,FALSE)</f>
        <v>Drop1N</v>
      </c>
      <c r="AE27" s="7">
        <v>3</v>
      </c>
      <c r="AF27" s="30">
        <f t="shared" ca="1" si="3"/>
        <v>2</v>
      </c>
      <c r="AG27" s="75">
        <v>0</v>
      </c>
      <c r="AH27" s="7">
        <v>0</v>
      </c>
      <c r="AI27" s="7">
        <v>0</v>
      </c>
      <c r="AJ27" s="7">
        <v>0</v>
      </c>
      <c r="AK27" s="7">
        <v>0</v>
      </c>
      <c r="AL27" s="7">
        <v>1</v>
      </c>
    </row>
    <row r="28" spans="1:38" ht="21" customHeight="1" thickBot="1" x14ac:dyDescent="0.2">
      <c r="A28" s="20" t="str">
        <f t="shared" ca="1" si="0"/>
        <v>20010_3-1/16&lt;lv30&gt;s3</v>
      </c>
      <c r="B28" s="28">
        <v>20010</v>
      </c>
      <c r="C28" s="27">
        <v>3</v>
      </c>
      <c r="D28" s="2" t="str">
        <f t="shared" ca="1" si="1"/>
        <v>20010_3</v>
      </c>
      <c r="E28" s="4" t="str">
        <f ca="1">VLOOKUP($B28,OFFSET([1]quests!$A$1,0,0,COUNTA([1]quests!$A:$A),MATCH(E$1,[1]quests!$1:$1,0)-MATCH($B$1,[1]quests!$1:$1,0)+1),MATCH(E$1,[1]quests!$1:$1,0)-MATCH($B$1,[1]quests!$1:$1,0)+1,FALSE)</f>
        <v>悪夢の一目惚れ</v>
      </c>
      <c r="F28" s="4" t="str">
        <f ca="1">VLOOKUP($D28,OFFSET([1]stages!$A$1,0,0,COUNTA([1]stages!$A:$A),MATCH(F$1,[1]stages!$2:$2,0)-MATCH($D$1,[1]stages!$2:$2,0)+1),MATCH(F$1,[1]stages!$2:$2,0)-MATCH($D$1,[1]stages!$2:$2,0)+1,FALSE)</f>
        <v>【上級】悪夢の一目惚れ</v>
      </c>
      <c r="G28" s="27">
        <v>1</v>
      </c>
      <c r="H28" s="19" t="str">
        <f t="shared" ca="1" si="2"/>
        <v>20010_3-1</v>
      </c>
      <c r="I28" s="4">
        <f ca="1">VLOOKUP($H28,OFFSET(floors_drop_3_2!$A$1,0,0,COUNTA(floors_drop_3_2!$A:$A),MATCH(I$1,floors_drop_3_2!$1:$1,0)-MATCH($H$1,floors_drop_3_2!$1:$1,0)+1),MATCH(I$1,floors_drop_3_2!$1:$1,0)-MATCH($H$1,floors_drop_3_2!$1:$1,0)+1,FALSE)</f>
        <v>55</v>
      </c>
      <c r="J28" s="4">
        <f ca="1">VLOOKUP($H28,OFFSET(floors_drop_3_2!$A$1,0,0,COUNTA(floors_drop_3_2!$A:$A),MATCH(J$1,floors_drop_3_2!$1:$1,0)-MATCH($H$1,floors_drop_3_2!$1:$1,0)+1),MATCH(J$1,floors_drop_3_2!$1:$1,0)-MATCH($H$1,floors_drop_3_2!$1:$1,0)+1,FALSE)</f>
        <v>55</v>
      </c>
      <c r="K28" s="43">
        <v>16</v>
      </c>
      <c r="L28" s="23" t="str">
        <f ca="1">VLOOKUP(K28,[2]enemies!$A:$B,2,FALSE)</f>
        <v>炎戦少女 アカネ</v>
      </c>
      <c r="M28" s="25" t="str">
        <f ca="1">VLOOKUP(K28,[2]enemies!$A:$D,4,FALSE)</f>
        <v>red</v>
      </c>
      <c r="N28" s="25" t="str">
        <f ca="1">VLOOKUP(K28,[3]characters!$A:$J,10,FALSE)</f>
        <v>Drop1W</v>
      </c>
      <c r="O28" s="24" t="str">
        <f ca="1">VLOOKUP(K28,[3]characters!$A:$M,13,FALSE)</f>
        <v>human</v>
      </c>
      <c r="P28" s="4">
        <f ca="1">VLOOKUP(K28,[2]enemies!$A:$X,24,FALSE)</f>
        <v>15</v>
      </c>
      <c r="Q28" s="5">
        <v>30</v>
      </c>
      <c r="R28" s="31">
        <v>1.6</v>
      </c>
      <c r="S28" s="31">
        <v>1.6</v>
      </c>
      <c r="T28" s="5">
        <v>0</v>
      </c>
      <c r="U28" s="4">
        <f ca="1">VLOOKUP(K28,[2]enemies!$A:$AB,28,FALSE)</f>
        <v>0</v>
      </c>
      <c r="V28" s="79" t="str">
        <f ca="1">IFERROR(VLOOKUP(U28,[4]enemy_skill_sets!$B:$E,4,FALSE),VLOOKUP(U28,[5]enemy_skill_sets!A:D,4,FALSE))</f>
        <v>なし</v>
      </c>
      <c r="W28" s="6">
        <v>0</v>
      </c>
      <c r="X28" s="6">
        <v>100</v>
      </c>
      <c r="Y28" s="6">
        <v>0</v>
      </c>
      <c r="Z28" s="62">
        <f ca="1">VLOOKUP(K28,[2]enemies!$A:$V,22,FALSE)</f>
        <v>3</v>
      </c>
      <c r="AA28" s="43">
        <v>16</v>
      </c>
      <c r="AB28" s="4" t="str">
        <f ca="1">VLOOKUP(K28,[2]enemies!$A:$B,2,FALSE)</f>
        <v>炎戦少女 アカネ</v>
      </c>
      <c r="AC28" s="4">
        <f ca="1">VLOOKUP(K28,[2]enemies!$A:$E,3,FALSE)</f>
        <v>2</v>
      </c>
      <c r="AD28" s="4" t="str">
        <f ca="1">VLOOKUP(K28,[3]characters!$A:$J,10,FALSE)</f>
        <v>Drop1W</v>
      </c>
      <c r="AE28" s="7">
        <v>3</v>
      </c>
      <c r="AF28" s="30">
        <f t="shared" ca="1" si="3"/>
        <v>2</v>
      </c>
      <c r="AG28" s="75">
        <v>0</v>
      </c>
      <c r="AH28" s="7">
        <v>0</v>
      </c>
      <c r="AI28" s="7">
        <v>0</v>
      </c>
      <c r="AJ28" s="7">
        <v>0</v>
      </c>
      <c r="AK28" s="7">
        <v>0</v>
      </c>
      <c r="AL28" s="7">
        <v>1</v>
      </c>
    </row>
    <row r="29" spans="1:38" ht="21" customHeight="1" thickBot="1" x14ac:dyDescent="0.2">
      <c r="A29" s="20" t="str">
        <f t="shared" ca="1" si="0"/>
        <v>20010_3-1/22&lt;lv30&gt;s2</v>
      </c>
      <c r="B29" s="28">
        <v>20010</v>
      </c>
      <c r="C29" s="27">
        <v>3</v>
      </c>
      <c r="D29" s="2" t="str">
        <f t="shared" ca="1" si="1"/>
        <v>20010_3</v>
      </c>
      <c r="E29" s="4" t="str">
        <f ca="1">VLOOKUP($B29,OFFSET([1]quests!$A$1,0,0,COUNTA([1]quests!$A:$A),MATCH(E$1,[1]quests!$1:$1,0)-MATCH($B$1,[1]quests!$1:$1,0)+1),MATCH(E$1,[1]quests!$1:$1,0)-MATCH($B$1,[1]quests!$1:$1,0)+1,FALSE)</f>
        <v>悪夢の一目惚れ</v>
      </c>
      <c r="F29" s="4" t="str">
        <f ca="1">VLOOKUP($D29,OFFSET([1]stages!$A$1,0,0,COUNTA([1]stages!$A:$A),MATCH(F$1,[1]stages!$2:$2,0)-MATCH($D$1,[1]stages!$2:$2,0)+1),MATCH(F$1,[1]stages!$2:$2,0)-MATCH($D$1,[1]stages!$2:$2,0)+1,FALSE)</f>
        <v>【上級】悪夢の一目惚れ</v>
      </c>
      <c r="G29" s="27">
        <v>1</v>
      </c>
      <c r="H29" s="19" t="str">
        <f t="shared" ca="1" si="2"/>
        <v>20010_3-1</v>
      </c>
      <c r="I29" s="4">
        <f ca="1">VLOOKUP($H29,OFFSET(floors_drop_3_2!$A$1,0,0,COUNTA(floors_drop_3_2!$A:$A),MATCH(I$1,floors_drop_3_2!$1:$1,0)-MATCH($H$1,floors_drop_3_2!$1:$1,0)+1),MATCH(I$1,floors_drop_3_2!$1:$1,0)-MATCH($H$1,floors_drop_3_2!$1:$1,0)+1,FALSE)</f>
        <v>55</v>
      </c>
      <c r="J29" s="4">
        <f ca="1">VLOOKUP($H29,OFFSET(floors_drop_3_2!$A$1,0,0,COUNTA(floors_drop_3_2!$A:$A),MATCH(J$1,floors_drop_3_2!$1:$1,0)-MATCH($H$1,floors_drop_3_2!$1:$1,0)+1),MATCH(J$1,floors_drop_3_2!$1:$1,0)-MATCH($H$1,floors_drop_3_2!$1:$1,0)+1,FALSE)</f>
        <v>55</v>
      </c>
      <c r="K29" s="43">
        <v>22</v>
      </c>
      <c r="L29" s="23" t="str">
        <f ca="1">VLOOKUP(K29,[2]enemies!$A:$B,2,FALSE)</f>
        <v>突然変異ヴェロキー</v>
      </c>
      <c r="M29" s="25" t="str">
        <f ca="1">VLOOKUP(K29,[2]enemies!$A:$D,4,FALSE)</f>
        <v>red</v>
      </c>
      <c r="N29" s="25" t="str">
        <f ca="1">VLOOKUP(K29,[3]characters!$A:$J,10,FALSE)</f>
        <v>Drop1N</v>
      </c>
      <c r="O29" s="24" t="str">
        <f ca="1">VLOOKUP(K29,[3]characters!$A:$M,13,FALSE)</f>
        <v>dragon</v>
      </c>
      <c r="P29" s="4">
        <f ca="1">VLOOKUP(K29,[2]enemies!$A:$X,24,FALSE)</f>
        <v>15</v>
      </c>
      <c r="Q29" s="5">
        <v>30</v>
      </c>
      <c r="R29" s="31">
        <v>1.6</v>
      </c>
      <c r="S29" s="31">
        <v>1.6</v>
      </c>
      <c r="T29" s="5">
        <v>0</v>
      </c>
      <c r="U29" s="4">
        <f ca="1">VLOOKUP(K29,[2]enemies!$A:$AB,28,FALSE)</f>
        <v>0</v>
      </c>
      <c r="V29" s="79" t="str">
        <f ca="1">IFERROR(VLOOKUP(U29,[4]enemy_skill_sets!$B:$E,4,FALSE),VLOOKUP(U29,[5]enemy_skill_sets!A:D,4,FALSE))</f>
        <v>なし</v>
      </c>
      <c r="W29" s="6">
        <v>0</v>
      </c>
      <c r="X29" s="6">
        <v>100</v>
      </c>
      <c r="Y29" s="6">
        <v>0</v>
      </c>
      <c r="Z29" s="62">
        <f ca="1">VLOOKUP(K29,[2]enemies!$A:$V,22,FALSE)</f>
        <v>2</v>
      </c>
      <c r="AA29" s="43">
        <v>22</v>
      </c>
      <c r="AB29" s="4" t="str">
        <f ca="1">VLOOKUP(K29,[2]enemies!$A:$B,2,FALSE)</f>
        <v>突然変異ヴェロキー</v>
      </c>
      <c r="AC29" s="4">
        <f ca="1">VLOOKUP(K29,[2]enemies!$A:$E,3,FALSE)</f>
        <v>2</v>
      </c>
      <c r="AD29" s="4" t="str">
        <f ca="1">VLOOKUP(K29,[3]characters!$A:$J,10,FALSE)</f>
        <v>Drop1N</v>
      </c>
      <c r="AE29" s="7">
        <v>3</v>
      </c>
      <c r="AF29" s="30">
        <f t="shared" ca="1" si="3"/>
        <v>2</v>
      </c>
      <c r="AG29" s="75">
        <v>0</v>
      </c>
      <c r="AH29" s="7">
        <v>0</v>
      </c>
      <c r="AI29" s="7">
        <v>0</v>
      </c>
      <c r="AJ29" s="7">
        <v>0</v>
      </c>
      <c r="AK29" s="7">
        <v>0</v>
      </c>
      <c r="AL29" s="7">
        <v>1</v>
      </c>
    </row>
    <row r="30" spans="1:38" ht="21" customHeight="1" thickBot="1" x14ac:dyDescent="0.2">
      <c r="A30" s="20" t="str">
        <f t="shared" ca="1" si="0"/>
        <v>20010_3-1/24&lt;lv30&gt;s4</v>
      </c>
      <c r="B30" s="28">
        <v>20010</v>
      </c>
      <c r="C30" s="27">
        <v>3</v>
      </c>
      <c r="D30" s="2" t="str">
        <f t="shared" ca="1" si="1"/>
        <v>20010_3</v>
      </c>
      <c r="E30" s="4" t="str">
        <f ca="1">VLOOKUP($B30,OFFSET([1]quests!$A$1,0,0,COUNTA([1]quests!$A:$A),MATCH(E$1,[1]quests!$1:$1,0)-MATCH($B$1,[1]quests!$1:$1,0)+1),MATCH(E$1,[1]quests!$1:$1,0)-MATCH($B$1,[1]quests!$1:$1,0)+1,FALSE)</f>
        <v>悪夢の一目惚れ</v>
      </c>
      <c r="F30" s="4" t="str">
        <f ca="1">VLOOKUP($D30,OFFSET([1]stages!$A$1,0,0,COUNTA([1]stages!$A:$A),MATCH(F$1,[1]stages!$2:$2,0)-MATCH($D$1,[1]stages!$2:$2,0)+1),MATCH(F$1,[1]stages!$2:$2,0)-MATCH($D$1,[1]stages!$2:$2,0)+1,FALSE)</f>
        <v>【上級】悪夢の一目惚れ</v>
      </c>
      <c r="G30" s="27">
        <v>1</v>
      </c>
      <c r="H30" s="19" t="str">
        <f t="shared" ca="1" si="2"/>
        <v>20010_3-1</v>
      </c>
      <c r="I30" s="4">
        <f ca="1">VLOOKUP($H30,OFFSET(floors_drop_3_2!$A$1,0,0,COUNTA(floors_drop_3_2!$A:$A),MATCH(I$1,floors_drop_3_2!$1:$1,0)-MATCH($H$1,floors_drop_3_2!$1:$1,0)+1),MATCH(I$1,floors_drop_3_2!$1:$1,0)-MATCH($H$1,floors_drop_3_2!$1:$1,0)+1,FALSE)</f>
        <v>55</v>
      </c>
      <c r="J30" s="4">
        <f ca="1">VLOOKUP($H30,OFFSET(floors_drop_3_2!$A$1,0,0,COUNTA(floors_drop_3_2!$A:$A),MATCH(J$1,floors_drop_3_2!$1:$1,0)-MATCH($H$1,floors_drop_3_2!$1:$1,0)+1),MATCH(J$1,floors_drop_3_2!$1:$1,0)-MATCH($H$1,floors_drop_3_2!$1:$1,0)+1,FALSE)</f>
        <v>55</v>
      </c>
      <c r="K30" s="43">
        <v>24</v>
      </c>
      <c r="L30" s="23" t="str">
        <f ca="1">VLOOKUP(K30,[2]enemies!$A:$B,2,FALSE)</f>
        <v>天翔のミール</v>
      </c>
      <c r="M30" s="25" t="str">
        <f ca="1">VLOOKUP(K30,[2]enemies!$A:$D,4,FALSE)</f>
        <v>green</v>
      </c>
      <c r="N30" s="25" t="str">
        <f ca="1">VLOOKUP(K30,[3]characters!$A:$J,10,FALSE)</f>
        <v>Drop1N</v>
      </c>
      <c r="O30" s="24" t="str">
        <f ca="1">VLOOKUP(K30,[3]characters!$A:$M,13,FALSE)</f>
        <v>animal</v>
      </c>
      <c r="P30" s="4">
        <f ca="1">VLOOKUP(K30,[2]enemies!$A:$X,24,FALSE)</f>
        <v>15</v>
      </c>
      <c r="Q30" s="5">
        <v>30</v>
      </c>
      <c r="R30" s="31">
        <v>1.6</v>
      </c>
      <c r="S30" s="31">
        <v>1.6</v>
      </c>
      <c r="T30" s="5">
        <v>0</v>
      </c>
      <c r="U30" s="4">
        <f ca="1">VLOOKUP(K30,[2]enemies!$A:$AB,28,FALSE)</f>
        <v>0</v>
      </c>
      <c r="V30" s="79" t="str">
        <f ca="1">IFERROR(VLOOKUP(U30,[4]enemy_skill_sets!$B:$E,4,FALSE),VLOOKUP(U30,[5]enemy_skill_sets!A:D,4,FALSE))</f>
        <v>なし</v>
      </c>
      <c r="W30" s="6">
        <v>0</v>
      </c>
      <c r="X30" s="6">
        <v>100</v>
      </c>
      <c r="Y30" s="6">
        <v>0</v>
      </c>
      <c r="Z30" s="62">
        <f ca="1">VLOOKUP(K30,[2]enemies!$A:$V,22,FALSE)</f>
        <v>4</v>
      </c>
      <c r="AA30" s="43">
        <v>24</v>
      </c>
      <c r="AB30" s="4" t="str">
        <f ca="1">VLOOKUP(K30,[2]enemies!$A:$B,2,FALSE)</f>
        <v>天翔のミール</v>
      </c>
      <c r="AC30" s="4">
        <f ca="1">VLOOKUP(K30,[2]enemies!$A:$E,3,FALSE)</f>
        <v>2</v>
      </c>
      <c r="AD30" s="4" t="str">
        <f ca="1">VLOOKUP(K30,[3]characters!$A:$J,10,FALSE)</f>
        <v>Drop1N</v>
      </c>
      <c r="AE30" s="7">
        <v>3</v>
      </c>
      <c r="AF30" s="30">
        <f t="shared" ca="1" si="3"/>
        <v>2</v>
      </c>
      <c r="AG30" s="75">
        <v>0</v>
      </c>
      <c r="AH30" s="7">
        <v>0</v>
      </c>
      <c r="AI30" s="7">
        <v>0</v>
      </c>
      <c r="AJ30" s="7">
        <v>0</v>
      </c>
      <c r="AK30" s="7">
        <v>0</v>
      </c>
      <c r="AL30" s="7">
        <v>1</v>
      </c>
    </row>
    <row r="31" spans="1:38" ht="21" customHeight="1" thickBot="1" x14ac:dyDescent="0.2">
      <c r="A31" s="20" t="str">
        <f t="shared" ca="1" si="0"/>
        <v>20010_3-1/28&lt;lv30&gt;s1</v>
      </c>
      <c r="B31" s="28">
        <v>20010</v>
      </c>
      <c r="C31" s="27">
        <v>3</v>
      </c>
      <c r="D31" s="2" t="str">
        <f t="shared" ca="1" si="1"/>
        <v>20010_3</v>
      </c>
      <c r="E31" s="4" t="str">
        <f ca="1">VLOOKUP($B31,OFFSET([1]quests!$A$1,0,0,COUNTA([1]quests!$A:$A),MATCH(E$1,[1]quests!$1:$1,0)-MATCH($B$1,[1]quests!$1:$1,0)+1),MATCH(E$1,[1]quests!$1:$1,0)-MATCH($B$1,[1]quests!$1:$1,0)+1,FALSE)</f>
        <v>悪夢の一目惚れ</v>
      </c>
      <c r="F31" s="4" t="str">
        <f ca="1">VLOOKUP($D31,OFFSET([1]stages!$A$1,0,0,COUNTA([1]stages!$A:$A),MATCH(F$1,[1]stages!$2:$2,0)-MATCH($D$1,[1]stages!$2:$2,0)+1),MATCH(F$1,[1]stages!$2:$2,0)-MATCH($D$1,[1]stages!$2:$2,0)+1,FALSE)</f>
        <v>【上級】悪夢の一目惚れ</v>
      </c>
      <c r="G31" s="27">
        <v>1</v>
      </c>
      <c r="H31" s="19" t="str">
        <f t="shared" ca="1" si="2"/>
        <v>20010_3-1</v>
      </c>
      <c r="I31" s="4">
        <f ca="1">VLOOKUP($H31,OFFSET(floors_drop_3_2!$A$1,0,0,COUNTA(floors_drop_3_2!$A:$A),MATCH(I$1,floors_drop_3_2!$1:$1,0)-MATCH($H$1,floors_drop_3_2!$1:$1,0)+1),MATCH(I$1,floors_drop_3_2!$1:$1,0)-MATCH($H$1,floors_drop_3_2!$1:$1,0)+1,FALSE)</f>
        <v>55</v>
      </c>
      <c r="J31" s="4">
        <f ca="1">VLOOKUP($H31,OFFSET(floors_drop_3_2!$A$1,0,0,COUNTA(floors_drop_3_2!$A:$A),MATCH(J$1,floors_drop_3_2!$1:$1,0)-MATCH($H$1,floors_drop_3_2!$1:$1,0)+1),MATCH(J$1,floors_drop_3_2!$1:$1,0)-MATCH($H$1,floors_drop_3_2!$1:$1,0)+1,FALSE)</f>
        <v>55</v>
      </c>
      <c r="K31" s="43">
        <v>28</v>
      </c>
      <c r="L31" s="23" t="str">
        <f ca="1">VLOOKUP(K31,[2]enemies!$A:$B,2,FALSE)</f>
        <v>現場急行 パトラインカスタム</v>
      </c>
      <c r="M31" s="25" t="str">
        <f ca="1">VLOOKUP(K31,[2]enemies!$A:$D,4,FALSE)</f>
        <v>green</v>
      </c>
      <c r="N31" s="25" t="str">
        <f ca="1">VLOOKUP(K31,[3]characters!$A:$J,10,FALSE)</f>
        <v>Drop1N</v>
      </c>
      <c r="O31" s="24" t="str">
        <f ca="1">VLOOKUP(K31,[3]characters!$A:$M,13,FALSE)</f>
        <v>machine</v>
      </c>
      <c r="P31" s="4">
        <f ca="1">VLOOKUP(K31,[2]enemies!$A:$X,24,FALSE)</f>
        <v>15</v>
      </c>
      <c r="Q31" s="5">
        <v>30</v>
      </c>
      <c r="R31" s="31">
        <v>1.6</v>
      </c>
      <c r="S31" s="31">
        <v>1.6</v>
      </c>
      <c r="T31" s="5">
        <v>0</v>
      </c>
      <c r="U31" s="4">
        <f ca="1">VLOOKUP(K31,[2]enemies!$A:$AB,28,FALSE)</f>
        <v>28</v>
      </c>
      <c r="V31" s="79" t="str">
        <f ca="1">IFERROR(VLOOKUP(U31,[4]enemy_skill_sets!$B:$E,4,FALSE),VLOOKUP(U31,[5]enemy_skill_sets!A:D,4,FALSE))</f>
        <v>回復</v>
      </c>
      <c r="W31" s="6">
        <v>0</v>
      </c>
      <c r="X31" s="6">
        <v>100</v>
      </c>
      <c r="Y31" s="6">
        <v>0</v>
      </c>
      <c r="Z31" s="62">
        <f ca="1">VLOOKUP(K31,[2]enemies!$A:$V,22,FALSE)</f>
        <v>1</v>
      </c>
      <c r="AA31" s="43">
        <v>28</v>
      </c>
      <c r="AB31" s="4" t="str">
        <f ca="1">VLOOKUP(K31,[2]enemies!$A:$B,2,FALSE)</f>
        <v>現場急行 パトラインカスタム</v>
      </c>
      <c r="AC31" s="4">
        <f ca="1">VLOOKUP(K31,[2]enemies!$A:$E,3,FALSE)</f>
        <v>2</v>
      </c>
      <c r="AD31" s="4" t="str">
        <f ca="1">VLOOKUP(K31,[3]characters!$A:$J,10,FALSE)</f>
        <v>Drop1N</v>
      </c>
      <c r="AE31" s="7">
        <v>3</v>
      </c>
      <c r="AF31" s="30">
        <f t="shared" ca="1" si="3"/>
        <v>2</v>
      </c>
      <c r="AG31" s="75">
        <v>0</v>
      </c>
      <c r="AH31" s="7">
        <v>0</v>
      </c>
      <c r="AI31" s="7">
        <v>0</v>
      </c>
      <c r="AJ31" s="7">
        <v>0</v>
      </c>
      <c r="AK31" s="7">
        <v>0</v>
      </c>
      <c r="AL31" s="7">
        <v>1</v>
      </c>
    </row>
    <row r="32" spans="1:38" ht="21" customHeight="1" thickBot="1" x14ac:dyDescent="0.2">
      <c r="A32" s="20" t="str">
        <f t="shared" ca="1" si="0"/>
        <v>20010_3-1/20&lt;lv30&gt;s3</v>
      </c>
      <c r="B32" s="28">
        <v>20010</v>
      </c>
      <c r="C32" s="27">
        <v>3</v>
      </c>
      <c r="D32" s="2" t="str">
        <f t="shared" ca="1" si="1"/>
        <v>20010_3</v>
      </c>
      <c r="E32" s="4" t="str">
        <f ca="1">VLOOKUP($B32,OFFSET([1]quests!$A$1,0,0,COUNTA([1]quests!$A:$A),MATCH(E$1,[1]quests!$1:$1,0)-MATCH($B$1,[1]quests!$1:$1,0)+1),MATCH(E$1,[1]quests!$1:$1,0)-MATCH($B$1,[1]quests!$1:$1,0)+1,FALSE)</f>
        <v>悪夢の一目惚れ</v>
      </c>
      <c r="F32" s="4" t="str">
        <f ca="1">VLOOKUP($D32,OFFSET([1]stages!$A$1,0,0,COUNTA([1]stages!$A:$A),MATCH(F$1,[1]stages!$2:$2,0)-MATCH($D$1,[1]stages!$2:$2,0)+1),MATCH(F$1,[1]stages!$2:$2,0)-MATCH($D$1,[1]stages!$2:$2,0)+1,FALSE)</f>
        <v>【上級】悪夢の一目惚れ</v>
      </c>
      <c r="G32" s="27">
        <v>1</v>
      </c>
      <c r="H32" s="19" t="str">
        <f t="shared" ca="1" si="2"/>
        <v>20010_3-1</v>
      </c>
      <c r="I32" s="4">
        <f ca="1">VLOOKUP($H32,OFFSET(floors_drop_3_2!$A$1,0,0,COUNTA(floors_drop_3_2!$A:$A),MATCH(I$1,floors_drop_3_2!$1:$1,0)-MATCH($H$1,floors_drop_3_2!$1:$1,0)+1),MATCH(I$1,floors_drop_3_2!$1:$1,0)-MATCH($H$1,floors_drop_3_2!$1:$1,0)+1,FALSE)</f>
        <v>55</v>
      </c>
      <c r="J32" s="4">
        <f ca="1">VLOOKUP($H32,OFFSET(floors_drop_3_2!$A$1,0,0,COUNTA(floors_drop_3_2!$A:$A),MATCH(J$1,floors_drop_3_2!$1:$1,0)-MATCH($H$1,floors_drop_3_2!$1:$1,0)+1),MATCH(J$1,floors_drop_3_2!$1:$1,0)-MATCH($H$1,floors_drop_3_2!$1:$1,0)+1,FALSE)</f>
        <v>55</v>
      </c>
      <c r="K32" s="43">
        <v>20</v>
      </c>
      <c r="L32" s="23" t="str">
        <f ca="1">VLOOKUP(K32,[2]enemies!$A:$B,2,FALSE)</f>
        <v>電子妖精 ティンク</v>
      </c>
      <c r="M32" s="25" t="str">
        <f ca="1">VLOOKUP(K32,[2]enemies!$A:$D,4,FALSE)</f>
        <v>yellow</v>
      </c>
      <c r="N32" s="25" t="str">
        <f ca="1">VLOOKUP(K32,[3]characters!$A:$J,10,FALSE)</f>
        <v>Drop1W</v>
      </c>
      <c r="O32" s="24" t="str">
        <f ca="1">VLOOKUP(K32,[3]characters!$A:$M,13,FALSE)</f>
        <v>human</v>
      </c>
      <c r="P32" s="4">
        <f ca="1">VLOOKUP(K32,[2]enemies!$A:$X,24,FALSE)</f>
        <v>15</v>
      </c>
      <c r="Q32" s="5">
        <v>30</v>
      </c>
      <c r="R32" s="31">
        <v>1.6</v>
      </c>
      <c r="S32" s="31">
        <v>1.6</v>
      </c>
      <c r="T32" s="5">
        <v>0</v>
      </c>
      <c r="U32" s="4">
        <f ca="1">VLOOKUP(K32,[2]enemies!$A:$AB,28,FALSE)</f>
        <v>0</v>
      </c>
      <c r="V32" s="79" t="str">
        <f ca="1">IFERROR(VLOOKUP(U32,[4]enemy_skill_sets!$B:$E,4,FALSE),VLOOKUP(U32,[5]enemy_skill_sets!A:D,4,FALSE))</f>
        <v>なし</v>
      </c>
      <c r="W32" s="6">
        <v>0</v>
      </c>
      <c r="X32" s="6">
        <v>100</v>
      </c>
      <c r="Y32" s="6">
        <v>0</v>
      </c>
      <c r="Z32" s="62">
        <f ca="1">VLOOKUP(K32,[2]enemies!$A:$V,22,FALSE)</f>
        <v>3</v>
      </c>
      <c r="AA32" s="43">
        <v>20</v>
      </c>
      <c r="AB32" s="4" t="str">
        <f ca="1">VLOOKUP(K32,[2]enemies!$A:$B,2,FALSE)</f>
        <v>電子妖精 ティンク</v>
      </c>
      <c r="AC32" s="4">
        <f ca="1">VLOOKUP(K32,[2]enemies!$A:$E,3,FALSE)</f>
        <v>2</v>
      </c>
      <c r="AD32" s="4" t="str">
        <f ca="1">VLOOKUP(K32,[3]characters!$A:$J,10,FALSE)</f>
        <v>Drop1W</v>
      </c>
      <c r="AE32" s="7">
        <v>3</v>
      </c>
      <c r="AF32" s="30">
        <f t="shared" ca="1" si="3"/>
        <v>2</v>
      </c>
      <c r="AG32" s="75">
        <v>0</v>
      </c>
      <c r="AH32" s="7">
        <v>0</v>
      </c>
      <c r="AI32" s="7">
        <v>0</v>
      </c>
      <c r="AJ32" s="7">
        <v>0</v>
      </c>
      <c r="AK32" s="7">
        <v>0</v>
      </c>
      <c r="AL32" s="7">
        <v>1</v>
      </c>
    </row>
    <row r="33" spans="1:38" ht="21" customHeight="1" thickBot="1" x14ac:dyDescent="0.2">
      <c r="A33" s="20" t="str">
        <f t="shared" ca="1" si="0"/>
        <v>20010_3-1/32&lt;lv30&gt;s5</v>
      </c>
      <c r="B33" s="28">
        <v>20010</v>
      </c>
      <c r="C33" s="27">
        <v>3</v>
      </c>
      <c r="D33" s="2" t="str">
        <f t="shared" ca="1" si="1"/>
        <v>20010_3</v>
      </c>
      <c r="E33" s="4" t="str">
        <f ca="1">VLOOKUP($B33,OFFSET([1]quests!$A$1,0,0,COUNTA([1]quests!$A:$A),MATCH(E$1,[1]quests!$1:$1,0)-MATCH($B$1,[1]quests!$1:$1,0)+1),MATCH(E$1,[1]quests!$1:$1,0)-MATCH($B$1,[1]quests!$1:$1,0)+1,FALSE)</f>
        <v>悪夢の一目惚れ</v>
      </c>
      <c r="F33" s="4" t="str">
        <f ca="1">VLOOKUP($D33,OFFSET([1]stages!$A$1,0,0,COUNTA([1]stages!$A:$A),MATCH(F$1,[1]stages!$2:$2,0)-MATCH($D$1,[1]stages!$2:$2,0)+1),MATCH(F$1,[1]stages!$2:$2,0)-MATCH($D$1,[1]stages!$2:$2,0)+1,FALSE)</f>
        <v>【上級】悪夢の一目惚れ</v>
      </c>
      <c r="G33" s="27">
        <v>1</v>
      </c>
      <c r="H33" s="19" t="str">
        <f t="shared" ca="1" si="2"/>
        <v>20010_3-1</v>
      </c>
      <c r="I33" s="4">
        <f ca="1">VLOOKUP($H33,OFFSET(floors_drop_3_2!$A$1,0,0,COUNTA(floors_drop_3_2!$A:$A),MATCH(I$1,floors_drop_3_2!$1:$1,0)-MATCH($H$1,floors_drop_3_2!$1:$1,0)+1),MATCH(I$1,floors_drop_3_2!$1:$1,0)-MATCH($H$1,floors_drop_3_2!$1:$1,0)+1,FALSE)</f>
        <v>55</v>
      </c>
      <c r="J33" s="4">
        <f ca="1">VLOOKUP($H33,OFFSET(floors_drop_3_2!$A$1,0,0,COUNTA(floors_drop_3_2!$A:$A),MATCH(J$1,floors_drop_3_2!$1:$1,0)-MATCH($H$1,floors_drop_3_2!$1:$1,0)+1),MATCH(J$1,floors_drop_3_2!$1:$1,0)-MATCH($H$1,floors_drop_3_2!$1:$1,0)+1,FALSE)</f>
        <v>55</v>
      </c>
      <c r="K33" s="43">
        <v>32</v>
      </c>
      <c r="L33" s="23" t="str">
        <f ca="1">VLOOKUP(K33,[2]enemies!$A:$B,2,FALSE)</f>
        <v>沈黙のジャミング マービー</v>
      </c>
      <c r="M33" s="25" t="str">
        <f ca="1">VLOOKUP(K33,[2]enemies!$A:$D,4,FALSE)</f>
        <v>yellow</v>
      </c>
      <c r="N33" s="25" t="str">
        <f ca="1">VLOOKUP(K33,[3]characters!$A:$J,10,FALSE)</f>
        <v>Drop1N</v>
      </c>
      <c r="O33" s="24" t="str">
        <f ca="1">VLOOKUP(K33,[3]characters!$A:$M,13,FALSE)</f>
        <v>machine</v>
      </c>
      <c r="P33" s="4">
        <f ca="1">VLOOKUP(K33,[2]enemies!$A:$X,24,FALSE)</f>
        <v>15</v>
      </c>
      <c r="Q33" s="5">
        <v>30</v>
      </c>
      <c r="R33" s="31">
        <v>1.6</v>
      </c>
      <c r="S33" s="31">
        <v>1.6</v>
      </c>
      <c r="T33" s="5">
        <v>0</v>
      </c>
      <c r="U33" s="4">
        <f ca="1">VLOOKUP(K33,[2]enemies!$A:$AB,28,FALSE)</f>
        <v>0</v>
      </c>
      <c r="V33" s="79" t="str">
        <f ca="1">IFERROR(VLOOKUP(U33,[4]enemy_skill_sets!$B:$E,4,FALSE),VLOOKUP(U33,[5]enemy_skill_sets!A:D,4,FALSE))</f>
        <v>なし</v>
      </c>
      <c r="W33" s="6">
        <v>0</v>
      </c>
      <c r="X33" s="6">
        <v>100</v>
      </c>
      <c r="Y33" s="6">
        <v>0</v>
      </c>
      <c r="Z33" s="62">
        <f ca="1">VLOOKUP(K33,[2]enemies!$A:$V,22,FALSE)</f>
        <v>5</v>
      </c>
      <c r="AA33" s="43">
        <v>32</v>
      </c>
      <c r="AB33" s="4" t="str">
        <f ca="1">VLOOKUP(K33,[2]enemies!$A:$B,2,FALSE)</f>
        <v>沈黙のジャミング マービー</v>
      </c>
      <c r="AC33" s="4">
        <f ca="1">VLOOKUP(K33,[2]enemies!$A:$E,3,FALSE)</f>
        <v>2</v>
      </c>
      <c r="AD33" s="4" t="str">
        <f ca="1">VLOOKUP(K33,[3]characters!$A:$J,10,FALSE)</f>
        <v>Drop1N</v>
      </c>
      <c r="AE33" s="7">
        <v>3</v>
      </c>
      <c r="AF33" s="30">
        <f t="shared" ca="1" si="3"/>
        <v>2</v>
      </c>
      <c r="AG33" s="75">
        <v>0</v>
      </c>
      <c r="AH33" s="7">
        <v>0</v>
      </c>
      <c r="AI33" s="7">
        <v>0</v>
      </c>
      <c r="AJ33" s="7">
        <v>0</v>
      </c>
      <c r="AK33" s="7">
        <v>0</v>
      </c>
      <c r="AL33" s="7">
        <v>1</v>
      </c>
    </row>
    <row r="34" spans="1:38" ht="21" customHeight="1" thickBot="1" x14ac:dyDescent="0.2">
      <c r="A34" s="20" t="str">
        <f t="shared" ca="1" si="0"/>
        <v>20010_3-1/346&lt;lv10&gt;s3</v>
      </c>
      <c r="B34" s="28">
        <v>20010</v>
      </c>
      <c r="C34" s="27">
        <v>3</v>
      </c>
      <c r="D34" s="2" t="str">
        <f t="shared" ca="1" si="1"/>
        <v>20010_3</v>
      </c>
      <c r="E34" s="4" t="str">
        <f ca="1">VLOOKUP($B34,OFFSET([1]quests!$A$1,0,0,COUNTA([1]quests!$A:$A),MATCH(E$1,[1]quests!$1:$1,0)-MATCH($B$1,[1]quests!$1:$1,0)+1),MATCH(E$1,[1]quests!$1:$1,0)-MATCH($B$1,[1]quests!$1:$1,0)+1,FALSE)</f>
        <v>悪夢の一目惚れ</v>
      </c>
      <c r="F34" s="4" t="str">
        <f ca="1">VLOOKUP($D34,OFFSET([1]stages!$A$1,0,0,COUNTA([1]stages!$A:$A),MATCH(F$1,[1]stages!$2:$2,0)-MATCH($D$1,[1]stages!$2:$2,0)+1),MATCH(F$1,[1]stages!$2:$2,0)-MATCH($D$1,[1]stages!$2:$2,0)+1,FALSE)</f>
        <v>【上級】悪夢の一目惚れ</v>
      </c>
      <c r="G34" s="27">
        <v>1</v>
      </c>
      <c r="H34" s="19" t="str">
        <f t="shared" ca="1" si="2"/>
        <v>20010_3-1</v>
      </c>
      <c r="I34" s="4">
        <f ca="1">VLOOKUP($H34,OFFSET(floors_drop_3_2!$A$1,0,0,COUNTA(floors_drop_3_2!$A:$A),MATCH(I$1,floors_drop_3_2!$1:$1,0)-MATCH($H$1,floors_drop_3_2!$1:$1,0)+1),MATCH(I$1,floors_drop_3_2!$1:$1,0)-MATCH($H$1,floors_drop_3_2!$1:$1,0)+1,FALSE)</f>
        <v>55</v>
      </c>
      <c r="J34" s="4">
        <f ca="1">VLOOKUP($H34,OFFSET(floors_drop_3_2!$A$1,0,0,COUNTA(floors_drop_3_2!$A:$A),MATCH(J$1,floors_drop_3_2!$1:$1,0)-MATCH($H$1,floors_drop_3_2!$1:$1,0)+1),MATCH(J$1,floors_drop_3_2!$1:$1,0)-MATCH($H$1,floors_drop_3_2!$1:$1,0)+1,FALSE)</f>
        <v>55</v>
      </c>
      <c r="K34" s="42">
        <v>346</v>
      </c>
      <c r="L34" s="23" t="str">
        <f ca="1">VLOOKUP(K34,[2]enemies!$A:$B,2,FALSE)</f>
        <v>雷のメタルダック</v>
      </c>
      <c r="M34" s="25" t="str">
        <f ca="1">VLOOKUP(K34,[2]enemies!$A:$D,4,FALSE)</f>
        <v>yellow</v>
      </c>
      <c r="N34" s="25" t="str">
        <f ca="1">VLOOKUP(K34,[3]characters!$A:$J,10,FALSE)</f>
        <v>Material</v>
      </c>
      <c r="O34" s="24" t="str">
        <f ca="1">VLOOKUP(K34,[3]characters!$A:$M,13,FALSE)</f>
        <v>unknown</v>
      </c>
      <c r="P34" s="4">
        <f ca="1">VLOOKUP(K34,[2]enemies!$A:$X,24,FALSE)</f>
        <v>20</v>
      </c>
      <c r="Q34" s="5">
        <v>10</v>
      </c>
      <c r="R34" s="31">
        <v>0.3</v>
      </c>
      <c r="S34" s="31">
        <v>1</v>
      </c>
      <c r="T34" s="5">
        <v>0</v>
      </c>
      <c r="U34" s="4">
        <f ca="1">VLOOKUP(K34,[2]enemies!$A:$AB,28,FALSE)</f>
        <v>0</v>
      </c>
      <c r="V34" s="79" t="str">
        <f ca="1">IFERROR(VLOOKUP(U34,[4]enemy_skill_sets!$B:$E,4,FALSE),VLOOKUP(U34,[5]enemy_skill_sets!A:D,4,FALSE))</f>
        <v>なし</v>
      </c>
      <c r="W34" s="6">
        <v>1</v>
      </c>
      <c r="X34" s="6">
        <v>100</v>
      </c>
      <c r="Y34" s="6">
        <v>1</v>
      </c>
      <c r="Z34" s="62">
        <f ca="1">VLOOKUP(K34,[2]enemies!$A:$V,22,FALSE)</f>
        <v>3</v>
      </c>
      <c r="AA34" s="42">
        <v>346</v>
      </c>
      <c r="AB34" s="4" t="str">
        <f ca="1">VLOOKUP(K34,[2]enemies!$A:$B,2,FALSE)</f>
        <v>雷のメタルダック</v>
      </c>
      <c r="AC34" s="4">
        <f ca="1">VLOOKUP(K34,[2]enemies!$A:$E,3,FALSE)</f>
        <v>5</v>
      </c>
      <c r="AD34" s="4" t="str">
        <f ca="1">VLOOKUP(K34,[3]characters!$A:$J,10,FALSE)</f>
        <v>Material</v>
      </c>
      <c r="AE34" s="7">
        <v>1</v>
      </c>
      <c r="AF34" s="30">
        <f t="shared" ca="1" si="3"/>
        <v>5</v>
      </c>
      <c r="AG34" s="8">
        <v>40</v>
      </c>
      <c r="AH34" s="7">
        <v>0</v>
      </c>
      <c r="AI34" s="7">
        <v>0</v>
      </c>
      <c r="AJ34" s="7">
        <v>0</v>
      </c>
      <c r="AK34" s="7">
        <v>0</v>
      </c>
      <c r="AL34" s="7">
        <v>1</v>
      </c>
    </row>
    <row r="35" spans="1:38" ht="21" customHeight="1" thickBot="1" x14ac:dyDescent="0.2">
      <c r="A35" s="20" t="str">
        <f t="shared" ca="1" si="0"/>
        <v>20010_3-1/121&lt;lv10&gt;s1</v>
      </c>
      <c r="B35" s="28">
        <v>20010</v>
      </c>
      <c r="C35" s="27">
        <v>3</v>
      </c>
      <c r="D35" s="2" t="str">
        <f t="shared" ca="1" si="1"/>
        <v>20010_3</v>
      </c>
      <c r="E35" s="4" t="str">
        <f ca="1">VLOOKUP($B35,OFFSET([1]quests!$A$1,0,0,COUNTA([1]quests!$A:$A),MATCH(E$1,[1]quests!$1:$1,0)-MATCH($B$1,[1]quests!$1:$1,0)+1),MATCH(E$1,[1]quests!$1:$1,0)-MATCH($B$1,[1]quests!$1:$1,0)+1,FALSE)</f>
        <v>悪夢の一目惚れ</v>
      </c>
      <c r="F35" s="4" t="str">
        <f ca="1">VLOOKUP($D35,OFFSET([1]stages!$A$1,0,0,COUNTA([1]stages!$A:$A),MATCH(F$1,[1]stages!$2:$2,0)-MATCH($D$1,[1]stages!$2:$2,0)+1),MATCH(F$1,[1]stages!$2:$2,0)-MATCH($D$1,[1]stages!$2:$2,0)+1,FALSE)</f>
        <v>【上級】悪夢の一目惚れ</v>
      </c>
      <c r="G35" s="27">
        <v>1</v>
      </c>
      <c r="H35" s="19" t="str">
        <f t="shared" ca="1" si="2"/>
        <v>20010_3-1</v>
      </c>
      <c r="I35" s="4">
        <f ca="1">VLOOKUP($H35,OFFSET(floors_drop_3_2!$A$1,0,0,COUNTA(floors_drop_3_2!$A:$A),MATCH(I$1,floors_drop_3_2!$1:$1,0)-MATCH($H$1,floors_drop_3_2!$1:$1,0)+1),MATCH(I$1,floors_drop_3_2!$1:$1,0)-MATCH($H$1,floors_drop_3_2!$1:$1,0)+1,FALSE)</f>
        <v>55</v>
      </c>
      <c r="J35" s="4">
        <f ca="1">VLOOKUP($H35,OFFSET(floors_drop_3_2!$A$1,0,0,COUNTA(floors_drop_3_2!$A:$A),MATCH(J$1,floors_drop_3_2!$1:$1,0)-MATCH($H$1,floors_drop_3_2!$1:$1,0)+1),MATCH(J$1,floors_drop_3_2!$1:$1,0)-MATCH($H$1,floors_drop_3_2!$1:$1,0)+1,FALSE)</f>
        <v>55</v>
      </c>
      <c r="K35" s="42">
        <v>121</v>
      </c>
      <c r="L35" s="23" t="str">
        <f ca="1">VLOOKUP(K35,[2]enemies!$A:$B,2,FALSE)</f>
        <v>攻めの果実</v>
      </c>
      <c r="M35" s="25" t="str">
        <f ca="1">VLOOKUP(K35,[2]enemies!$A:$D,4,FALSE)</f>
        <v>red</v>
      </c>
      <c r="N35" s="25" t="str">
        <f ca="1">VLOOKUP(K35,[3]characters!$A:$J,10,FALSE)</f>
        <v>Material</v>
      </c>
      <c r="O35" s="24" t="str">
        <f ca="1">VLOOKUP(K35,[3]characters!$A:$M,13,FALSE)</f>
        <v>unknown</v>
      </c>
      <c r="P35" s="4">
        <f ca="1">VLOOKUP(K35,[2]enemies!$A:$X,24,FALSE)</f>
        <v>20</v>
      </c>
      <c r="Q35" s="5">
        <v>10</v>
      </c>
      <c r="R35" s="31">
        <v>0.3</v>
      </c>
      <c r="S35" s="31">
        <v>1</v>
      </c>
      <c r="T35" s="5">
        <v>0</v>
      </c>
      <c r="U35" s="4">
        <f ca="1">VLOOKUP(K35,[2]enemies!$A:$AB,28,FALSE)</f>
        <v>0</v>
      </c>
      <c r="V35" s="79" t="str">
        <f ca="1">IFERROR(VLOOKUP(U35,[4]enemy_skill_sets!$B:$E,4,FALSE),VLOOKUP(U35,[5]enemy_skill_sets!A:D,4,FALSE))</f>
        <v>なし</v>
      </c>
      <c r="W35" s="6">
        <v>0</v>
      </c>
      <c r="X35" s="6">
        <v>100</v>
      </c>
      <c r="Y35" s="6">
        <v>0</v>
      </c>
      <c r="Z35" s="62">
        <f ca="1">VLOOKUP(K35,[2]enemies!$A:$V,22,FALSE)</f>
        <v>1</v>
      </c>
      <c r="AA35" s="42">
        <v>121</v>
      </c>
      <c r="AB35" s="4" t="str">
        <f ca="1">VLOOKUP(K35,[2]enemies!$A:$B,2,FALSE)</f>
        <v>攻めの果実</v>
      </c>
      <c r="AC35" s="4">
        <f ca="1">VLOOKUP(K35,[2]enemies!$A:$E,3,FALSE)</f>
        <v>3</v>
      </c>
      <c r="AD35" s="4" t="str">
        <f ca="1">VLOOKUP(K35,[3]characters!$A:$J,10,FALSE)</f>
        <v>Material</v>
      </c>
      <c r="AE35" s="7">
        <v>1</v>
      </c>
      <c r="AF35" s="30">
        <f t="shared" ca="1" si="3"/>
        <v>3</v>
      </c>
      <c r="AG35" s="8">
        <v>40</v>
      </c>
      <c r="AH35" s="7">
        <v>0</v>
      </c>
      <c r="AI35" s="7">
        <v>0</v>
      </c>
      <c r="AJ35" s="7">
        <v>0</v>
      </c>
      <c r="AK35" s="7">
        <v>0</v>
      </c>
      <c r="AL35" s="7">
        <v>1</v>
      </c>
    </row>
    <row r="36" spans="1:38" ht="21" customHeight="1" x14ac:dyDescent="0.15">
      <c r="A36" s="20" t="str">
        <f t="shared" ca="1" si="0"/>
        <v>20010_3-2/220&lt;lv35&gt;s2</v>
      </c>
      <c r="B36" s="28">
        <v>20010</v>
      </c>
      <c r="C36" s="27">
        <v>3</v>
      </c>
      <c r="D36" s="2" t="str">
        <f t="shared" ca="1" si="1"/>
        <v>20010_3</v>
      </c>
      <c r="E36" s="4" t="str">
        <f ca="1">VLOOKUP($B36,OFFSET([1]quests!$A$1,0,0,COUNTA([1]quests!$A:$A),MATCH(E$1,[1]quests!$1:$1,0)-MATCH($B$1,[1]quests!$1:$1,0)+1),MATCH(E$1,[1]quests!$1:$1,0)-MATCH($B$1,[1]quests!$1:$1,0)+1,FALSE)</f>
        <v>悪夢の一目惚れ</v>
      </c>
      <c r="F36" s="4" t="str">
        <f ca="1">VLOOKUP($D36,OFFSET([1]stages!$A$1,0,0,COUNTA([1]stages!$A:$A),MATCH(F$1,[1]stages!$2:$2,0)-MATCH($D$1,[1]stages!$2:$2,0)+1),MATCH(F$1,[1]stages!$2:$2,0)-MATCH($D$1,[1]stages!$2:$2,0)+1,FALSE)</f>
        <v>【上級】悪夢の一目惚れ</v>
      </c>
      <c r="G36" s="76">
        <v>2</v>
      </c>
      <c r="H36" s="19" t="str">
        <f t="shared" ca="1" si="2"/>
        <v>20010_3-2</v>
      </c>
      <c r="I36" s="4">
        <f ca="1">VLOOKUP($H36,OFFSET(floors_drop_3_2!$A$1,0,0,COUNTA(floors_drop_3_2!$A:$A),MATCH(I$1,floors_drop_3_2!$1:$1,0)-MATCH($H$1,floors_drop_3_2!$1:$1,0)+1),MATCH(I$1,floors_drop_3_2!$1:$1,0)-MATCH($H$1,floors_drop_3_2!$1:$1,0)+1,FALSE)</f>
        <v>20</v>
      </c>
      <c r="J36" s="4">
        <f ca="1">VLOOKUP($H36,OFFSET(floors_drop_3_2!$A$1,0,0,COUNTA(floors_drop_3_2!$A:$A),MATCH(J$1,floors_drop_3_2!$1:$1,0)-MATCH($H$1,floors_drop_3_2!$1:$1,0)+1),MATCH(J$1,floors_drop_3_2!$1:$1,0)-MATCH($H$1,floors_drop_3_2!$1:$1,0)+1,FALSE)</f>
        <v>20</v>
      </c>
      <c r="K36" s="43">
        <v>220</v>
      </c>
      <c r="L36" s="23" t="str">
        <f ca="1">VLOOKUP(K36,[2]enemies!$A:$B,2,FALSE)</f>
        <v>ルキフグス</v>
      </c>
      <c r="M36" s="25" t="str">
        <f ca="1">VLOOKUP(K36,[2]enemies!$A:$D,4,FALSE)</f>
        <v>blue</v>
      </c>
      <c r="N36" s="25" t="str">
        <f ca="1">VLOOKUP(K36,[3]characters!$A:$J,10,FALSE)</f>
        <v>PremiumN</v>
      </c>
      <c r="O36" s="24" t="str">
        <f ca="1">VLOOKUP(K36,[3]characters!$A:$M,13,FALSE)</f>
        <v>god</v>
      </c>
      <c r="P36" s="4">
        <f ca="1">VLOOKUP(K36,[2]enemies!$A:$X,24,FALSE)</f>
        <v>20</v>
      </c>
      <c r="Q36" s="5">
        <v>35</v>
      </c>
      <c r="R36" s="31">
        <v>2.2000000000000002</v>
      </c>
      <c r="S36" s="31">
        <v>1.2</v>
      </c>
      <c r="T36" s="5">
        <v>0</v>
      </c>
      <c r="U36" s="77">
        <v>22001</v>
      </c>
      <c r="V36" s="4" t="str">
        <f ca="1">VLOOKUP($U36,OFFSET([4]enemy_skill_sets!$B$1,0,0,COUNTA([4]enemy_skill_sets!$B:$B),MATCH(L$1,[4]enemy_skill_sets!$1:$1,0)-MATCH($U$1,[4]enemy_skill_sets!$1:$1,0)+2),MATCH(L$1,[4]enemy_skill_sets!$1:$1,0)-MATCH($U$1,[4]enemy_skill_sets!$1:$1,0)+2,FALSE)</f>
        <v>ユニット1体に4ターンスリープ</v>
      </c>
      <c r="W36" s="6">
        <v>1</v>
      </c>
      <c r="X36" s="6">
        <v>100</v>
      </c>
      <c r="Y36" s="6">
        <v>1</v>
      </c>
      <c r="Z36" s="62">
        <f ca="1">VLOOKUP(K36,[2]enemies!$A:$V,22,FALSE)</f>
        <v>2</v>
      </c>
      <c r="AA36" s="43">
        <v>220</v>
      </c>
      <c r="AB36" s="4" t="str">
        <f ca="1">VLOOKUP(K36,[2]enemies!$A:$B,2,FALSE)</f>
        <v>ルキフグス</v>
      </c>
      <c r="AC36" s="4">
        <f ca="1">VLOOKUP(K36,[2]enemies!$A:$E,3,FALSE)</f>
        <v>3</v>
      </c>
      <c r="AD36" s="4" t="str">
        <f ca="1">VLOOKUP(K36,[3]characters!$A:$J,10,FALSE)</f>
        <v>PremiumN</v>
      </c>
      <c r="AE36" s="7">
        <v>1</v>
      </c>
      <c r="AF36" s="30">
        <f t="shared" ca="1" si="3"/>
        <v>3</v>
      </c>
      <c r="AG36" s="8">
        <v>0</v>
      </c>
      <c r="AH36" s="7">
        <v>0</v>
      </c>
      <c r="AI36" s="7">
        <v>0</v>
      </c>
      <c r="AJ36" s="7">
        <v>0</v>
      </c>
      <c r="AK36" s="7">
        <v>0</v>
      </c>
      <c r="AL36" s="7">
        <v>1</v>
      </c>
    </row>
    <row r="37" spans="1:38" ht="21" customHeight="1" thickBot="1" x14ac:dyDescent="0.2">
      <c r="A37" s="20" t="str">
        <f t="shared" si="0"/>
        <v>20010_3-3/305&lt;lv50&gt;s2</v>
      </c>
      <c r="B37" s="28">
        <v>20010</v>
      </c>
      <c r="C37" s="27">
        <v>3</v>
      </c>
      <c r="D37" s="2" t="str">
        <f t="shared" ca="1" si="1"/>
        <v>20010_3</v>
      </c>
      <c r="E37" s="4" t="str">
        <f ca="1">VLOOKUP($B37,OFFSET([1]quests!$A$1,0,0,COUNTA([1]quests!$A:$A),MATCH(E$1,[1]quests!$1:$1,0)-MATCH($B$1,[1]quests!$1:$1,0)+1),MATCH(E$1,[1]quests!$1:$1,0)-MATCH($B$1,[1]quests!$1:$1,0)+1,FALSE)</f>
        <v>悪夢の一目惚れ</v>
      </c>
      <c r="F37" s="4" t="str">
        <f ca="1">VLOOKUP($D37,OFFSET([1]stages!$A$1,0,0,COUNTA([1]stages!$A:$A),MATCH(F$1,[1]stages!$2:$2,0)-MATCH($D$1,[1]stages!$2:$2,0)+1),MATCH(F$1,[1]stages!$2:$2,0)-MATCH($D$1,[1]stages!$2:$2,0)+1,FALSE)</f>
        <v>【上級】悪夢の一目惚れ</v>
      </c>
      <c r="G37" s="27">
        <v>3</v>
      </c>
      <c r="H37" s="19" t="str">
        <f t="shared" ca="1" si="2"/>
        <v>20010_3-3</v>
      </c>
      <c r="I37" s="4">
        <f ca="1">VLOOKUP($H37,OFFSET(floors_drop_3_2!$A$1,0,0,COUNTA(floors_drop_3_2!$A:$A),MATCH(I$1,floors_drop_3_2!$1:$1,0)-MATCH($H$1,floors_drop_3_2!$1:$1,0)+1),MATCH(I$1,floors_drop_3_2!$1:$1,0)-MATCH($H$1,floors_drop_3_2!$1:$1,0)+1,FALSE)</f>
        <v>60</v>
      </c>
      <c r="J37" s="4">
        <f ca="1">VLOOKUP($H37,OFFSET(floors_drop_3_2!$A$1,0,0,COUNTA(floors_drop_3_2!$A:$A),MATCH(J$1,floors_drop_3_2!$1:$1,0)-MATCH($H$1,floors_drop_3_2!$1:$1,0)+1),MATCH(J$1,floors_drop_3_2!$1:$1,0)-MATCH($H$1,floors_drop_3_2!$1:$1,0)+1,FALSE)</f>
        <v>60</v>
      </c>
      <c r="K37" s="43">
        <v>305</v>
      </c>
      <c r="L37" s="23" t="str">
        <f ca="1">VLOOKUP(K37,[2]enemies!$A:$B,2,FALSE)</f>
        <v>螺旋の雷電 チエミ</v>
      </c>
      <c r="M37" s="25" t="str">
        <f ca="1">VLOOKUP(K37,[2]enemies!$A:$D,4,FALSE)</f>
        <v>yellow</v>
      </c>
      <c r="N37" s="25" t="str">
        <f ca="1">VLOOKUP(K37,[3]characters!$A:$J,10,FALSE)</f>
        <v>Drop2W</v>
      </c>
      <c r="O37" s="24" t="str">
        <f ca="1">VLOOKUP(K37,[3]characters!$A:$M,13,FALSE)</f>
        <v>human</v>
      </c>
      <c r="P37" s="4">
        <f ca="1">VLOOKUP(K37,[2]enemies!$A:$X,24,FALSE)</f>
        <v>30</v>
      </c>
      <c r="Q37" s="5">
        <v>50</v>
      </c>
      <c r="R37" s="73">
        <v>3.5</v>
      </c>
      <c r="S37" s="73">
        <v>0.9</v>
      </c>
      <c r="T37" s="5">
        <v>0</v>
      </c>
      <c r="U37" s="77">
        <v>30501</v>
      </c>
      <c r="V37" s="4" t="str">
        <f ca="1">VLOOKUP($U37,OFFSET([4]enemy_skill_sets!$B$1,0,0,COUNTA([4]enemy_skill_sets!$B:$B),MATCH(L$1,[4]enemy_skill_sets!$1:$1,0)-MATCH($U$1,[4]enemy_skill_sets!$1:$1,0)+2),MATCH(L$1,[4]enemy_skill_sets!$1:$1,0)-MATCH($U$1,[4]enemy_skill_sets!$1:$1,0)+2,FALSE)</f>
        <v>2ターン攻撃頻度が1ターンにUP＋5ターン黄パネル無効</v>
      </c>
      <c r="W37" s="6">
        <v>1</v>
      </c>
      <c r="X37" s="6">
        <v>100</v>
      </c>
      <c r="Y37" s="6">
        <v>1</v>
      </c>
      <c r="Z37" s="77">
        <v>2</v>
      </c>
      <c r="AA37" s="43">
        <v>304</v>
      </c>
      <c r="AB37" s="4" t="str">
        <f ca="1">VLOOKUP(AA37,[2]enemies!$A:$B,2,FALSE)</f>
        <v>電殺のチエミ</v>
      </c>
      <c r="AC37" s="4">
        <f ca="1">VLOOKUP(AA37,[2]enemies!$A:$E,3,FALSE)</f>
        <v>3</v>
      </c>
      <c r="AD37" s="4" t="str">
        <f ca="1">VLOOKUP(AA37,[3]characters!$A:$J,10,FALSE)</f>
        <v>Drop2W</v>
      </c>
      <c r="AE37" s="7">
        <v>1</v>
      </c>
      <c r="AF37" s="30">
        <f ca="1">AC37</f>
        <v>3</v>
      </c>
      <c r="AG37" s="80">
        <v>100</v>
      </c>
      <c r="AH37" s="7">
        <v>0</v>
      </c>
      <c r="AI37" s="7">
        <v>0</v>
      </c>
      <c r="AJ37" s="7">
        <v>0</v>
      </c>
      <c r="AK37" s="7">
        <v>0</v>
      </c>
      <c r="AL37" s="7">
        <v>1</v>
      </c>
    </row>
    <row r="38" spans="1:38" ht="21" customHeight="1" x14ac:dyDescent="0.15">
      <c r="A38" s="20" t="str">
        <f t="shared" ca="1" si="0"/>
        <v>20010_3-3/35&lt;lv35&gt;s4</v>
      </c>
      <c r="B38" s="28">
        <v>20010</v>
      </c>
      <c r="C38" s="27">
        <v>3</v>
      </c>
      <c r="D38" s="2" t="str">
        <f t="shared" ca="1" si="1"/>
        <v>20010_3</v>
      </c>
      <c r="E38" s="4" t="str">
        <f ca="1">VLOOKUP($B38,OFFSET([1]quests!$A$1,0,0,COUNTA([1]quests!$A:$A),MATCH(E$1,[1]quests!$1:$1,0)-MATCH($B$1,[1]quests!$1:$1,0)+1),MATCH(E$1,[1]quests!$1:$1,0)-MATCH($B$1,[1]quests!$1:$1,0)+1,FALSE)</f>
        <v>悪夢の一目惚れ</v>
      </c>
      <c r="F38" s="4" t="str">
        <f ca="1">VLOOKUP($D38,OFFSET([1]stages!$A$1,0,0,COUNTA([1]stages!$A:$A),MATCH(F$1,[1]stages!$2:$2,0)-MATCH($D$1,[1]stages!$2:$2,0)+1),MATCH(F$1,[1]stages!$2:$2,0)-MATCH($D$1,[1]stages!$2:$2,0)+1,FALSE)</f>
        <v>【上級】悪夢の一目惚れ</v>
      </c>
      <c r="G38" s="27">
        <v>3</v>
      </c>
      <c r="H38" s="19" t="str">
        <f t="shared" ca="1" si="2"/>
        <v>20010_3-3</v>
      </c>
      <c r="I38" s="4">
        <f ca="1">VLOOKUP($H38,OFFSET(floors_drop_3_2!$A$1,0,0,COUNTA(floors_drop_3_2!$A:$A),MATCH(I$1,floors_drop_3_2!$1:$1,0)-MATCH($H$1,floors_drop_3_2!$1:$1,0)+1),MATCH(I$1,floors_drop_3_2!$1:$1,0)-MATCH($H$1,floors_drop_3_2!$1:$1,0)+1,FALSE)</f>
        <v>60</v>
      </c>
      <c r="J38" s="4">
        <f ca="1">VLOOKUP($H38,OFFSET(floors_drop_3_2!$A$1,0,0,COUNTA(floors_drop_3_2!$A:$A),MATCH(J$1,floors_drop_3_2!$1:$1,0)-MATCH($H$1,floors_drop_3_2!$1:$1,0)+1),MATCH(J$1,floors_drop_3_2!$1:$1,0)-MATCH($H$1,floors_drop_3_2!$1:$1,0)+1,FALSE)</f>
        <v>60</v>
      </c>
      <c r="K38" s="45">
        <v>35</v>
      </c>
      <c r="L38" s="23" t="str">
        <f ca="1">VLOOKUP(K38,[2]enemies!$A:$B,2,FALSE)</f>
        <v>F2</v>
      </c>
      <c r="M38" s="25" t="str">
        <f ca="1">VLOOKUP(K38,[2]enemies!$A:$D,4,FALSE)</f>
        <v>green</v>
      </c>
      <c r="N38" s="25" t="str">
        <f ca="1">VLOOKUP(K38,[3]characters!$A:$J,10,FALSE)</f>
        <v>Drop1S</v>
      </c>
      <c r="O38" s="24" t="str">
        <f ca="1">VLOOKUP(K38,[3]characters!$A:$M,13,FALSE)</f>
        <v>machine</v>
      </c>
      <c r="P38" s="4">
        <f ca="1">VLOOKUP(K38,[2]enemies!$A:$X,24,FALSE)</f>
        <v>15</v>
      </c>
      <c r="Q38" s="5">
        <v>35</v>
      </c>
      <c r="R38" s="31">
        <v>2.5</v>
      </c>
      <c r="S38" s="31">
        <v>0.3</v>
      </c>
      <c r="T38" s="5">
        <v>0</v>
      </c>
      <c r="U38" s="77">
        <v>3501</v>
      </c>
      <c r="V38" s="4" t="str">
        <f ca="1">VLOOKUP($U38,OFFSET([4]enemy_skill_sets!$B$1,0,0,COUNTA([4]enemy_skill_sets!$B:$B),MATCH(L$1,[4]enemy_skill_sets!$1:$1,0)-MATCH($U$1,[4]enemy_skill_sets!$1:$1,0)+2),MATCH(L$1,[4]enemy_skill_sets!$1:$1,0)-MATCH($U$1,[4]enemy_skill_sets!$1:$1,0)+2,FALSE)</f>
        <v>F2の全身が赤く明滅している！</v>
      </c>
      <c r="W38" s="6">
        <v>2</v>
      </c>
      <c r="X38" s="6">
        <v>100</v>
      </c>
      <c r="Y38" s="6">
        <v>0</v>
      </c>
      <c r="Z38" s="62">
        <f ca="1">VLOOKUP(K38,[2]enemies!$A:$V,22,FALSE)</f>
        <v>4</v>
      </c>
      <c r="AA38" s="45">
        <v>35</v>
      </c>
      <c r="AB38" s="4" t="str">
        <f ca="1">VLOOKUP(K38,[2]enemies!$A:$B,2,FALSE)</f>
        <v>F2</v>
      </c>
      <c r="AC38" s="4">
        <f ca="1">VLOOKUP(K38,[2]enemies!$A:$E,3,FALSE)</f>
        <v>2</v>
      </c>
      <c r="AD38" s="4" t="str">
        <f ca="1">VLOOKUP(K38,[3]characters!$A:$J,10,FALSE)</f>
        <v>Drop1S</v>
      </c>
      <c r="AE38" s="7">
        <v>1</v>
      </c>
      <c r="AF38" s="30">
        <f t="shared" ca="1" si="3"/>
        <v>2</v>
      </c>
      <c r="AG38" s="8">
        <v>0</v>
      </c>
      <c r="AH38" s="7">
        <v>0</v>
      </c>
      <c r="AI38" s="7">
        <v>0</v>
      </c>
      <c r="AJ38" s="7">
        <v>0</v>
      </c>
      <c r="AK38" s="7">
        <v>0</v>
      </c>
      <c r="AL38" s="7">
        <v>1</v>
      </c>
    </row>
    <row r="39" spans="1:38" ht="21" customHeight="1" x14ac:dyDescent="0.15">
      <c r="K39" s="46"/>
      <c r="R39" s="74"/>
      <c r="S39" s="74"/>
    </row>
  </sheetData>
  <sheetProtection selectLockedCells="1" selectUnlockedCells="1"/>
  <autoFilter ref="B1:AG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1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8" sqref="J8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floors_drop_3_2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1" si="0">INDIRECT(ADDRESS(ROW()+$A$1,COLUMN(),1,TRUE,$C$1))</f>
        <v>20010_1-1</v>
      </c>
      <c r="B3" s="18">
        <f t="shared" ref="B3:F11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20010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20010_1-2</v>
      </c>
      <c r="B4" s="18">
        <f t="shared" si="1"/>
        <v>20010</v>
      </c>
      <c r="C4" s="18">
        <f t="shared" si="1"/>
        <v>1</v>
      </c>
      <c r="D4" s="18">
        <f t="shared" si="1"/>
        <v>2</v>
      </c>
      <c r="E4" s="18">
        <f t="shared" si="1"/>
        <v>45</v>
      </c>
      <c r="F4" s="18">
        <f t="shared" si="1"/>
        <v>45</v>
      </c>
    </row>
    <row r="5" spans="1:6" x14ac:dyDescent="0.15">
      <c r="A5" s="22" t="str">
        <f t="shared" si="0"/>
        <v>20010_1-3</v>
      </c>
      <c r="B5" s="18">
        <f t="shared" si="1"/>
        <v>20010</v>
      </c>
      <c r="C5" s="18">
        <f t="shared" si="1"/>
        <v>1</v>
      </c>
      <c r="D5" s="18">
        <f t="shared" si="1"/>
        <v>3</v>
      </c>
      <c r="E5" s="18">
        <f t="shared" si="1"/>
        <v>20</v>
      </c>
      <c r="F5" s="18">
        <f t="shared" si="1"/>
        <v>20</v>
      </c>
    </row>
    <row r="6" spans="1:6" x14ac:dyDescent="0.15">
      <c r="A6" s="22" t="str">
        <f t="shared" si="0"/>
        <v>20010_2-1</v>
      </c>
      <c r="B6" s="18">
        <f t="shared" si="1"/>
        <v>20010</v>
      </c>
      <c r="C6" s="18">
        <f t="shared" si="1"/>
        <v>2</v>
      </c>
      <c r="D6" s="18">
        <f t="shared" si="1"/>
        <v>1</v>
      </c>
      <c r="E6" s="18">
        <f t="shared" si="1"/>
        <v>35</v>
      </c>
      <c r="F6" s="18">
        <f t="shared" si="1"/>
        <v>35</v>
      </c>
    </row>
    <row r="7" spans="1:6" x14ac:dyDescent="0.15">
      <c r="A7" s="22" t="str">
        <f t="shared" si="0"/>
        <v>20010_2-2</v>
      </c>
      <c r="B7" s="18">
        <f t="shared" si="1"/>
        <v>20010</v>
      </c>
      <c r="C7" s="18">
        <f t="shared" si="1"/>
        <v>2</v>
      </c>
      <c r="D7" s="18">
        <f t="shared" si="1"/>
        <v>2</v>
      </c>
      <c r="E7" s="18">
        <f t="shared" si="1"/>
        <v>45</v>
      </c>
      <c r="F7" s="18">
        <f t="shared" si="1"/>
        <v>45</v>
      </c>
    </row>
    <row r="8" spans="1:6" x14ac:dyDescent="0.15">
      <c r="A8" s="22" t="str">
        <f t="shared" si="0"/>
        <v>20010_2-3</v>
      </c>
      <c r="B8" s="18">
        <f t="shared" si="1"/>
        <v>20010</v>
      </c>
      <c r="C8" s="18">
        <f t="shared" si="1"/>
        <v>2</v>
      </c>
      <c r="D8" s="18">
        <f t="shared" si="1"/>
        <v>3</v>
      </c>
      <c r="E8" s="18">
        <f t="shared" si="1"/>
        <v>50</v>
      </c>
      <c r="F8" s="18">
        <f t="shared" si="1"/>
        <v>50</v>
      </c>
    </row>
    <row r="9" spans="1:6" x14ac:dyDescent="0.15">
      <c r="A9" s="22" t="str">
        <f t="shared" si="0"/>
        <v>20010_3-1</v>
      </c>
      <c r="B9" s="18">
        <f t="shared" si="1"/>
        <v>20010</v>
      </c>
      <c r="C9" s="18">
        <f t="shared" si="1"/>
        <v>3</v>
      </c>
      <c r="D9" s="18">
        <f t="shared" si="1"/>
        <v>1</v>
      </c>
      <c r="E9" s="18">
        <f t="shared" si="1"/>
        <v>55</v>
      </c>
      <c r="F9" s="18">
        <f t="shared" si="1"/>
        <v>55</v>
      </c>
    </row>
    <row r="10" spans="1:6" x14ac:dyDescent="0.15">
      <c r="A10" s="22" t="str">
        <f t="shared" si="0"/>
        <v>20010_3-2</v>
      </c>
      <c r="B10" s="18">
        <f t="shared" si="1"/>
        <v>20010</v>
      </c>
      <c r="C10" s="18">
        <f t="shared" si="1"/>
        <v>3</v>
      </c>
      <c r="D10" s="18">
        <f t="shared" si="1"/>
        <v>2</v>
      </c>
      <c r="E10" s="18">
        <f t="shared" si="1"/>
        <v>20</v>
      </c>
      <c r="F10" s="18">
        <f t="shared" si="1"/>
        <v>20</v>
      </c>
    </row>
    <row r="11" spans="1:6" x14ac:dyDescent="0.15">
      <c r="A11" s="22" t="str">
        <f t="shared" si="0"/>
        <v>20010_3-3</v>
      </c>
      <c r="B11" s="18">
        <f t="shared" si="1"/>
        <v>20010</v>
      </c>
      <c r="C11" s="18">
        <f t="shared" si="1"/>
        <v>3</v>
      </c>
      <c r="D11" s="18">
        <f t="shared" si="1"/>
        <v>3</v>
      </c>
      <c r="E11" s="18">
        <f t="shared" si="1"/>
        <v>60</v>
      </c>
      <c r="F11" s="18">
        <f t="shared" si="1"/>
        <v>60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39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R26" sqref="R26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enemy_habitats_drop_3_2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>INDIRECT(ADDRESS(ROW()+$A$1,COLUMN(),1,TRUE,$C$1))</f>
        <v>20010_1-1/7&lt;lv18&gt;s2</v>
      </c>
      <c r="B3" s="18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20010</v>
      </c>
      <c r="C3" s="18">
        <f t="shared" si="0"/>
        <v>1</v>
      </c>
      <c r="D3" s="18">
        <f t="shared" si="0"/>
        <v>1</v>
      </c>
      <c r="E3" s="18">
        <f t="shared" si="0"/>
        <v>7</v>
      </c>
      <c r="F3" s="18">
        <f t="shared" si="0"/>
        <v>18</v>
      </c>
      <c r="G3" s="18">
        <f t="shared" si="0"/>
        <v>1.2</v>
      </c>
      <c r="H3" s="18">
        <f t="shared" si="0"/>
        <v>1.2</v>
      </c>
      <c r="I3" s="18">
        <f t="shared" si="0"/>
        <v>0</v>
      </c>
      <c r="J3" s="18">
        <f t="shared" si="0"/>
        <v>0</v>
      </c>
      <c r="K3" s="18">
        <f t="shared" si="0"/>
        <v>0</v>
      </c>
      <c r="L3" s="18">
        <f t="shared" si="0"/>
        <v>100</v>
      </c>
      <c r="M3" s="18">
        <f t="shared" si="0"/>
        <v>0</v>
      </c>
      <c r="N3" s="18">
        <f t="shared" si="0"/>
        <v>2</v>
      </c>
      <c r="O3" s="18">
        <f t="shared" si="0"/>
        <v>7</v>
      </c>
      <c r="P3" s="18">
        <f t="shared" si="0"/>
        <v>1</v>
      </c>
      <c r="Q3" s="18">
        <f t="shared" si="0"/>
        <v>1</v>
      </c>
      <c r="R3" s="18">
        <f t="shared" si="0"/>
        <v>26</v>
      </c>
      <c r="S3" s="18">
        <f t="shared" si="0"/>
        <v>0</v>
      </c>
      <c r="T3" s="18">
        <f t="shared" si="0"/>
        <v>0</v>
      </c>
      <c r="U3" s="18">
        <f t="shared" si="0"/>
        <v>0</v>
      </c>
      <c r="V3" s="18">
        <f t="shared" si="0"/>
        <v>0</v>
      </c>
      <c r="W3" s="18">
        <f t="shared" si="0"/>
        <v>1</v>
      </c>
    </row>
    <row r="4" spans="1:23" x14ac:dyDescent="0.15">
      <c r="A4" s="22" t="str">
        <f t="shared" ref="A4:A39" si="1">INDIRECT(ADDRESS(ROW()+$A$1,COLUMN(),1,TRUE,$C$1))</f>
        <v>20010_1-1/13&lt;lv18&gt;s2</v>
      </c>
      <c r="B4" s="18">
        <f t="shared" si="0"/>
        <v>20010</v>
      </c>
      <c r="C4" s="18">
        <f t="shared" si="0"/>
        <v>1</v>
      </c>
      <c r="D4" s="18">
        <f t="shared" si="0"/>
        <v>1</v>
      </c>
      <c r="E4" s="18">
        <f t="shared" si="0"/>
        <v>13</v>
      </c>
      <c r="F4" s="18">
        <f t="shared" si="0"/>
        <v>18</v>
      </c>
      <c r="G4" s="18">
        <f t="shared" si="0"/>
        <v>1.2</v>
      </c>
      <c r="H4" s="18">
        <f t="shared" si="0"/>
        <v>1.2</v>
      </c>
      <c r="I4" s="18">
        <f t="shared" si="0"/>
        <v>0</v>
      </c>
      <c r="J4" s="18">
        <f t="shared" si="0"/>
        <v>0</v>
      </c>
      <c r="K4" s="18">
        <f t="shared" si="0"/>
        <v>0</v>
      </c>
      <c r="L4" s="18">
        <f t="shared" si="0"/>
        <v>100</v>
      </c>
      <c r="M4" s="18">
        <f t="shared" si="0"/>
        <v>0</v>
      </c>
      <c r="N4" s="18">
        <f t="shared" si="0"/>
        <v>2</v>
      </c>
      <c r="O4" s="18">
        <f t="shared" si="0"/>
        <v>13</v>
      </c>
      <c r="P4" s="18">
        <f t="shared" si="0"/>
        <v>1</v>
      </c>
      <c r="Q4" s="18">
        <f t="shared" si="0"/>
        <v>1</v>
      </c>
      <c r="R4" s="18">
        <f t="shared" si="0"/>
        <v>26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1</v>
      </c>
    </row>
    <row r="5" spans="1:23" x14ac:dyDescent="0.15">
      <c r="A5" s="22" t="str">
        <f t="shared" si="1"/>
        <v>20010_1-1/19&lt;lv18&gt;s3</v>
      </c>
      <c r="B5" s="18">
        <f t="shared" si="0"/>
        <v>20010</v>
      </c>
      <c r="C5" s="18">
        <f t="shared" si="0"/>
        <v>1</v>
      </c>
      <c r="D5" s="18">
        <f t="shared" si="0"/>
        <v>1</v>
      </c>
      <c r="E5" s="18">
        <f t="shared" si="0"/>
        <v>19</v>
      </c>
      <c r="F5" s="18">
        <f t="shared" si="0"/>
        <v>18</v>
      </c>
      <c r="G5" s="18">
        <f t="shared" si="0"/>
        <v>1.2</v>
      </c>
      <c r="H5" s="18">
        <f t="shared" si="0"/>
        <v>1.2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100</v>
      </c>
      <c r="M5" s="18">
        <f t="shared" si="0"/>
        <v>0</v>
      </c>
      <c r="N5" s="18">
        <f t="shared" si="0"/>
        <v>3</v>
      </c>
      <c r="O5" s="18">
        <f t="shared" si="0"/>
        <v>19</v>
      </c>
      <c r="P5" s="18">
        <f t="shared" si="0"/>
        <v>1</v>
      </c>
      <c r="Q5" s="18">
        <f t="shared" si="0"/>
        <v>1</v>
      </c>
      <c r="R5" s="18">
        <f t="shared" si="0"/>
        <v>26</v>
      </c>
      <c r="S5" s="18">
        <f t="shared" si="0"/>
        <v>0</v>
      </c>
      <c r="T5" s="18">
        <f t="shared" si="0"/>
        <v>0</v>
      </c>
      <c r="U5" s="18">
        <f t="shared" si="0"/>
        <v>0</v>
      </c>
      <c r="V5" s="18">
        <f t="shared" si="0"/>
        <v>0</v>
      </c>
      <c r="W5" s="18">
        <f t="shared" si="0"/>
        <v>1</v>
      </c>
    </row>
    <row r="6" spans="1:23" x14ac:dyDescent="0.15">
      <c r="A6" s="22" t="str">
        <f t="shared" si="1"/>
        <v>20010_1-1/31&lt;lv18&gt;s2</v>
      </c>
      <c r="B6" s="18">
        <f t="shared" si="0"/>
        <v>20010</v>
      </c>
      <c r="C6" s="18">
        <f t="shared" si="0"/>
        <v>1</v>
      </c>
      <c r="D6" s="18">
        <f t="shared" si="0"/>
        <v>1</v>
      </c>
      <c r="E6" s="18">
        <f t="shared" si="0"/>
        <v>31</v>
      </c>
      <c r="F6" s="18">
        <f t="shared" si="0"/>
        <v>18</v>
      </c>
      <c r="G6" s="18">
        <f t="shared" si="0"/>
        <v>1.2</v>
      </c>
      <c r="H6" s="18">
        <f t="shared" si="0"/>
        <v>1.2</v>
      </c>
      <c r="I6" s="18">
        <f t="shared" si="0"/>
        <v>0</v>
      </c>
      <c r="J6" s="18">
        <f t="shared" si="0"/>
        <v>0</v>
      </c>
      <c r="K6" s="18">
        <f t="shared" si="0"/>
        <v>0</v>
      </c>
      <c r="L6" s="18">
        <f t="shared" si="0"/>
        <v>100</v>
      </c>
      <c r="M6" s="18">
        <f t="shared" si="0"/>
        <v>0</v>
      </c>
      <c r="N6" s="18">
        <f t="shared" si="0"/>
        <v>2</v>
      </c>
      <c r="O6" s="18">
        <f t="shared" si="0"/>
        <v>31</v>
      </c>
      <c r="P6" s="18">
        <f t="shared" si="0"/>
        <v>1</v>
      </c>
      <c r="Q6" s="18">
        <f t="shared" si="0"/>
        <v>1</v>
      </c>
      <c r="R6" s="18">
        <f t="shared" si="0"/>
        <v>26</v>
      </c>
      <c r="S6" s="18">
        <f t="shared" si="0"/>
        <v>0</v>
      </c>
      <c r="T6" s="18">
        <f t="shared" si="0"/>
        <v>0</v>
      </c>
      <c r="U6" s="18">
        <f t="shared" si="0"/>
        <v>0</v>
      </c>
      <c r="V6" s="18">
        <f t="shared" si="0"/>
        <v>0</v>
      </c>
      <c r="W6" s="18">
        <f t="shared" si="0"/>
        <v>1</v>
      </c>
    </row>
    <row r="7" spans="1:23" x14ac:dyDescent="0.15">
      <c r="A7" s="22" t="str">
        <f t="shared" si="1"/>
        <v>20010_1-2/8&lt;lv18&gt;s2</v>
      </c>
      <c r="B7" s="18">
        <f t="shared" si="0"/>
        <v>20010</v>
      </c>
      <c r="C7" s="18">
        <f t="shared" si="0"/>
        <v>1</v>
      </c>
      <c r="D7" s="18">
        <f t="shared" si="0"/>
        <v>2</v>
      </c>
      <c r="E7" s="18">
        <f t="shared" si="0"/>
        <v>8</v>
      </c>
      <c r="F7" s="18">
        <f t="shared" si="0"/>
        <v>18</v>
      </c>
      <c r="G7" s="18">
        <f t="shared" si="0"/>
        <v>1.4</v>
      </c>
      <c r="H7" s="18">
        <f t="shared" si="0"/>
        <v>1.4</v>
      </c>
      <c r="I7" s="18">
        <f t="shared" si="0"/>
        <v>0</v>
      </c>
      <c r="J7" s="18">
        <f t="shared" si="0"/>
        <v>0</v>
      </c>
      <c r="K7" s="18">
        <f t="shared" si="0"/>
        <v>0</v>
      </c>
      <c r="L7" s="18">
        <f t="shared" si="0"/>
        <v>100</v>
      </c>
      <c r="M7" s="18">
        <f t="shared" si="0"/>
        <v>0</v>
      </c>
      <c r="N7" s="18">
        <f t="shared" si="0"/>
        <v>2</v>
      </c>
      <c r="O7" s="18">
        <f t="shared" si="0"/>
        <v>8</v>
      </c>
      <c r="P7" s="18">
        <f t="shared" si="0"/>
        <v>1</v>
      </c>
      <c r="Q7" s="18">
        <f t="shared" si="0"/>
        <v>2</v>
      </c>
      <c r="R7" s="18">
        <f t="shared" si="0"/>
        <v>26</v>
      </c>
      <c r="S7" s="18">
        <f t="shared" si="0"/>
        <v>0</v>
      </c>
      <c r="T7" s="18">
        <f t="shared" si="0"/>
        <v>0</v>
      </c>
      <c r="U7" s="18">
        <f t="shared" si="0"/>
        <v>0</v>
      </c>
      <c r="V7" s="18">
        <f t="shared" si="0"/>
        <v>0</v>
      </c>
      <c r="W7" s="18">
        <f t="shared" si="0"/>
        <v>1</v>
      </c>
    </row>
    <row r="8" spans="1:23" x14ac:dyDescent="0.15">
      <c r="A8" s="22" t="str">
        <f t="shared" si="1"/>
        <v>20010_1-2/14&lt;lv18&gt;s2</v>
      </c>
      <c r="B8" s="18">
        <f t="shared" si="0"/>
        <v>20010</v>
      </c>
      <c r="C8" s="18">
        <f t="shared" si="0"/>
        <v>1</v>
      </c>
      <c r="D8" s="18">
        <f t="shared" si="0"/>
        <v>2</v>
      </c>
      <c r="E8" s="18">
        <f t="shared" si="0"/>
        <v>14</v>
      </c>
      <c r="F8" s="18">
        <f t="shared" si="0"/>
        <v>18</v>
      </c>
      <c r="G8" s="18">
        <f t="shared" si="0"/>
        <v>1.4</v>
      </c>
      <c r="H8" s="18">
        <f t="shared" si="0"/>
        <v>1.4</v>
      </c>
      <c r="I8" s="18">
        <f t="shared" si="0"/>
        <v>0</v>
      </c>
      <c r="J8" s="18">
        <f t="shared" si="0"/>
        <v>0</v>
      </c>
      <c r="K8" s="18">
        <f t="shared" si="0"/>
        <v>0</v>
      </c>
      <c r="L8" s="18">
        <f t="shared" si="0"/>
        <v>100</v>
      </c>
      <c r="M8" s="18">
        <f t="shared" si="0"/>
        <v>0</v>
      </c>
      <c r="N8" s="18">
        <f t="shared" si="0"/>
        <v>2</v>
      </c>
      <c r="O8" s="18">
        <f t="shared" si="0"/>
        <v>14</v>
      </c>
      <c r="P8" s="18">
        <f t="shared" si="0"/>
        <v>1</v>
      </c>
      <c r="Q8" s="18">
        <f t="shared" si="0"/>
        <v>2</v>
      </c>
      <c r="R8" s="18">
        <f t="shared" si="0"/>
        <v>26</v>
      </c>
      <c r="S8" s="18">
        <f t="shared" si="0"/>
        <v>0</v>
      </c>
      <c r="T8" s="18">
        <f t="shared" si="0"/>
        <v>0</v>
      </c>
      <c r="U8" s="18">
        <f t="shared" si="0"/>
        <v>0</v>
      </c>
      <c r="V8" s="18">
        <f t="shared" si="0"/>
        <v>0</v>
      </c>
      <c r="W8" s="18">
        <f t="shared" si="0"/>
        <v>1</v>
      </c>
    </row>
    <row r="9" spans="1:23" x14ac:dyDescent="0.15">
      <c r="A9" s="22" t="str">
        <f t="shared" si="1"/>
        <v>20010_1-2/20&lt;lv18&gt;s3</v>
      </c>
      <c r="B9" s="18">
        <f t="shared" si="0"/>
        <v>20010</v>
      </c>
      <c r="C9" s="18">
        <f t="shared" si="0"/>
        <v>1</v>
      </c>
      <c r="D9" s="18">
        <f t="shared" si="0"/>
        <v>2</v>
      </c>
      <c r="E9" s="18">
        <f t="shared" si="0"/>
        <v>20</v>
      </c>
      <c r="F9" s="18">
        <f t="shared" si="0"/>
        <v>18</v>
      </c>
      <c r="G9" s="18">
        <f t="shared" si="0"/>
        <v>1.4</v>
      </c>
      <c r="H9" s="18">
        <f t="shared" si="0"/>
        <v>1.4</v>
      </c>
      <c r="I9" s="18">
        <f t="shared" si="0"/>
        <v>0</v>
      </c>
      <c r="J9" s="18">
        <f t="shared" si="0"/>
        <v>0</v>
      </c>
      <c r="K9" s="18">
        <f t="shared" si="0"/>
        <v>0</v>
      </c>
      <c r="L9" s="18">
        <f t="shared" si="0"/>
        <v>100</v>
      </c>
      <c r="M9" s="18">
        <f t="shared" si="0"/>
        <v>0</v>
      </c>
      <c r="N9" s="18">
        <f t="shared" si="0"/>
        <v>3</v>
      </c>
      <c r="O9" s="18">
        <f t="shared" si="0"/>
        <v>20</v>
      </c>
      <c r="P9" s="18">
        <f t="shared" si="0"/>
        <v>1</v>
      </c>
      <c r="Q9" s="18">
        <f t="shared" si="0"/>
        <v>2</v>
      </c>
      <c r="R9" s="18">
        <f t="shared" si="0"/>
        <v>26</v>
      </c>
      <c r="S9" s="18">
        <f t="shared" si="0"/>
        <v>0</v>
      </c>
      <c r="T9" s="18">
        <f t="shared" si="0"/>
        <v>0</v>
      </c>
      <c r="U9" s="18">
        <f t="shared" si="0"/>
        <v>0</v>
      </c>
      <c r="V9" s="18">
        <f t="shared" si="0"/>
        <v>0</v>
      </c>
      <c r="W9" s="18">
        <f t="shared" si="0"/>
        <v>1</v>
      </c>
    </row>
    <row r="10" spans="1:23" x14ac:dyDescent="0.15">
      <c r="A10" s="22" t="str">
        <f t="shared" si="1"/>
        <v>20010_1-2/32&lt;lv18&gt;s5</v>
      </c>
      <c r="B10" s="18">
        <f t="shared" si="0"/>
        <v>20010</v>
      </c>
      <c r="C10" s="18">
        <f t="shared" si="0"/>
        <v>1</v>
      </c>
      <c r="D10" s="18">
        <f t="shared" si="0"/>
        <v>2</v>
      </c>
      <c r="E10" s="18">
        <f t="shared" si="0"/>
        <v>32</v>
      </c>
      <c r="F10" s="18">
        <f t="shared" si="0"/>
        <v>18</v>
      </c>
      <c r="G10" s="18">
        <f t="shared" si="0"/>
        <v>1.4</v>
      </c>
      <c r="H10" s="18">
        <f t="shared" si="0"/>
        <v>1.4</v>
      </c>
      <c r="I10" s="18">
        <f t="shared" si="0"/>
        <v>0</v>
      </c>
      <c r="J10" s="18">
        <f t="shared" si="0"/>
        <v>0</v>
      </c>
      <c r="K10" s="18">
        <f t="shared" si="0"/>
        <v>0</v>
      </c>
      <c r="L10" s="18">
        <f t="shared" si="0"/>
        <v>100</v>
      </c>
      <c r="M10" s="18">
        <f t="shared" si="0"/>
        <v>0</v>
      </c>
      <c r="N10" s="18">
        <f t="shared" si="0"/>
        <v>5</v>
      </c>
      <c r="O10" s="18">
        <f t="shared" si="0"/>
        <v>32</v>
      </c>
      <c r="P10" s="18">
        <f t="shared" si="0"/>
        <v>1</v>
      </c>
      <c r="Q10" s="18">
        <f t="shared" si="0"/>
        <v>2</v>
      </c>
      <c r="R10" s="18">
        <f t="shared" si="0"/>
        <v>26</v>
      </c>
      <c r="S10" s="18">
        <f t="shared" si="0"/>
        <v>0</v>
      </c>
      <c r="T10" s="18">
        <f t="shared" si="0"/>
        <v>0</v>
      </c>
      <c r="U10" s="18">
        <f t="shared" si="0"/>
        <v>0</v>
      </c>
      <c r="V10" s="18">
        <f t="shared" si="0"/>
        <v>0</v>
      </c>
      <c r="W10" s="18">
        <f t="shared" si="0"/>
        <v>1</v>
      </c>
    </row>
    <row r="11" spans="1:23" x14ac:dyDescent="0.15">
      <c r="A11" s="22" t="str">
        <f t="shared" si="1"/>
        <v>20010_1-3/304&lt;lv30&gt;s2</v>
      </c>
      <c r="B11" s="18">
        <f t="shared" si="0"/>
        <v>20010</v>
      </c>
      <c r="C11" s="18">
        <f t="shared" si="0"/>
        <v>1</v>
      </c>
      <c r="D11" s="18">
        <f t="shared" si="0"/>
        <v>3</v>
      </c>
      <c r="E11" s="18">
        <f t="shared" si="0"/>
        <v>304</v>
      </c>
      <c r="F11" s="18">
        <f t="shared" si="0"/>
        <v>30</v>
      </c>
      <c r="G11" s="18">
        <f t="shared" si="0"/>
        <v>2.2000000000000002</v>
      </c>
      <c r="H11" s="18">
        <f t="shared" si="0"/>
        <v>0.9</v>
      </c>
      <c r="I11" s="18">
        <f t="shared" si="0"/>
        <v>0</v>
      </c>
      <c r="J11" s="18">
        <f t="shared" si="0"/>
        <v>30401</v>
      </c>
      <c r="K11" s="18">
        <f t="shared" si="0"/>
        <v>1</v>
      </c>
      <c r="L11" s="18">
        <f t="shared" si="0"/>
        <v>100</v>
      </c>
      <c r="M11" s="18">
        <f t="shared" si="0"/>
        <v>1</v>
      </c>
      <c r="N11" s="18">
        <f t="shared" si="0"/>
        <v>2</v>
      </c>
      <c r="O11" s="18">
        <f t="shared" si="0"/>
        <v>304</v>
      </c>
      <c r="P11" s="18">
        <f t="shared" si="0"/>
        <v>1</v>
      </c>
      <c r="Q11" s="18">
        <f t="shared" si="0"/>
        <v>3</v>
      </c>
      <c r="R11" s="18">
        <f ca="1">VLOOKUP($A11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11" s="18">
        <f t="shared" si="0"/>
        <v>0</v>
      </c>
      <c r="T11" s="18">
        <f t="shared" si="0"/>
        <v>0</v>
      </c>
      <c r="U11" s="18">
        <f t="shared" si="0"/>
        <v>0</v>
      </c>
      <c r="V11" s="18">
        <f t="shared" si="0"/>
        <v>0</v>
      </c>
      <c r="W11" s="18">
        <f t="shared" si="0"/>
        <v>1</v>
      </c>
    </row>
    <row r="12" spans="1:23" x14ac:dyDescent="0.15">
      <c r="A12" s="22" t="str">
        <f t="shared" si="1"/>
        <v>20010_2-1/7&lt;lv24&gt;s2</v>
      </c>
      <c r="B12" s="18">
        <f t="shared" si="0"/>
        <v>20010</v>
      </c>
      <c r="C12" s="18">
        <f t="shared" si="0"/>
        <v>2</v>
      </c>
      <c r="D12" s="18">
        <f t="shared" si="0"/>
        <v>1</v>
      </c>
      <c r="E12" s="18">
        <f t="shared" si="0"/>
        <v>7</v>
      </c>
      <c r="F12" s="18">
        <f t="shared" si="0"/>
        <v>24</v>
      </c>
      <c r="G12" s="18">
        <f t="shared" si="0"/>
        <v>1.3</v>
      </c>
      <c r="H12" s="18">
        <f t="shared" si="0"/>
        <v>1.3</v>
      </c>
      <c r="I12" s="18">
        <f t="shared" si="0"/>
        <v>0</v>
      </c>
      <c r="J12" s="18">
        <f t="shared" si="0"/>
        <v>0</v>
      </c>
      <c r="K12" s="18">
        <f t="shared" si="0"/>
        <v>0</v>
      </c>
      <c r="L12" s="18">
        <f t="shared" si="0"/>
        <v>100</v>
      </c>
      <c r="M12" s="18">
        <f t="shared" si="0"/>
        <v>0</v>
      </c>
      <c r="N12" s="18">
        <f t="shared" si="0"/>
        <v>2</v>
      </c>
      <c r="O12" s="18">
        <f t="shared" si="0"/>
        <v>7</v>
      </c>
      <c r="P12" s="18">
        <f t="shared" si="0"/>
        <v>3</v>
      </c>
      <c r="Q12" s="18">
        <f t="shared" si="0"/>
        <v>1</v>
      </c>
      <c r="R12" s="18">
        <f t="shared" si="0"/>
        <v>0</v>
      </c>
      <c r="S12" s="18">
        <f t="shared" si="0"/>
        <v>0</v>
      </c>
      <c r="T12" s="18">
        <f t="shared" si="0"/>
        <v>0</v>
      </c>
      <c r="U12" s="18">
        <f t="shared" si="0"/>
        <v>0</v>
      </c>
      <c r="V12" s="18">
        <f t="shared" si="0"/>
        <v>0</v>
      </c>
      <c r="W12" s="18">
        <f t="shared" si="0"/>
        <v>1</v>
      </c>
    </row>
    <row r="13" spans="1:23" x14ac:dyDescent="0.15">
      <c r="A13" s="22" t="str">
        <f t="shared" si="1"/>
        <v>20010_2-1/13&lt;lv24&gt;s2</v>
      </c>
      <c r="B13" s="18">
        <f t="shared" si="0"/>
        <v>20010</v>
      </c>
      <c r="C13" s="18">
        <f t="shared" si="0"/>
        <v>2</v>
      </c>
      <c r="D13" s="18">
        <f t="shared" si="0"/>
        <v>1</v>
      </c>
      <c r="E13" s="18">
        <f t="shared" si="0"/>
        <v>13</v>
      </c>
      <c r="F13" s="18">
        <f t="shared" si="0"/>
        <v>24</v>
      </c>
      <c r="G13" s="18">
        <f t="shared" si="0"/>
        <v>1.3</v>
      </c>
      <c r="H13" s="18">
        <f t="shared" si="0"/>
        <v>1.3</v>
      </c>
      <c r="I13" s="18">
        <f t="shared" si="0"/>
        <v>0</v>
      </c>
      <c r="J13" s="18">
        <f t="shared" si="0"/>
        <v>0</v>
      </c>
      <c r="K13" s="18">
        <f t="shared" si="0"/>
        <v>0</v>
      </c>
      <c r="L13" s="18">
        <f t="shared" si="0"/>
        <v>100</v>
      </c>
      <c r="M13" s="18">
        <f t="shared" si="0"/>
        <v>0</v>
      </c>
      <c r="N13" s="18">
        <f t="shared" si="0"/>
        <v>2</v>
      </c>
      <c r="O13" s="18">
        <f t="shared" si="0"/>
        <v>13</v>
      </c>
      <c r="P13" s="18">
        <f t="shared" si="0"/>
        <v>3</v>
      </c>
      <c r="Q13" s="18">
        <f t="shared" si="0"/>
        <v>1</v>
      </c>
      <c r="R13" s="18">
        <f t="shared" si="0"/>
        <v>0</v>
      </c>
      <c r="S13" s="18">
        <f t="shared" si="0"/>
        <v>0</v>
      </c>
      <c r="T13" s="18">
        <f t="shared" si="0"/>
        <v>0</v>
      </c>
      <c r="U13" s="18">
        <f t="shared" si="0"/>
        <v>0</v>
      </c>
      <c r="V13" s="18">
        <f t="shared" si="0"/>
        <v>0</v>
      </c>
      <c r="W13" s="18">
        <f t="shared" si="0"/>
        <v>1</v>
      </c>
    </row>
    <row r="14" spans="1:23" x14ac:dyDescent="0.15">
      <c r="A14" s="22" t="str">
        <f t="shared" si="1"/>
        <v>20010_2-1/19&lt;lv24&gt;s3</v>
      </c>
      <c r="B14" s="18">
        <f t="shared" si="0"/>
        <v>20010</v>
      </c>
      <c r="C14" s="18">
        <f t="shared" si="0"/>
        <v>2</v>
      </c>
      <c r="D14" s="18">
        <f t="shared" si="0"/>
        <v>1</v>
      </c>
      <c r="E14" s="18">
        <f t="shared" si="0"/>
        <v>19</v>
      </c>
      <c r="F14" s="18">
        <f t="shared" si="0"/>
        <v>24</v>
      </c>
      <c r="G14" s="18">
        <f t="shared" si="0"/>
        <v>1.3</v>
      </c>
      <c r="H14" s="18">
        <f t="shared" si="0"/>
        <v>1.3</v>
      </c>
      <c r="I14" s="18">
        <f t="shared" si="0"/>
        <v>0</v>
      </c>
      <c r="J14" s="18">
        <f t="shared" si="0"/>
        <v>0</v>
      </c>
      <c r="K14" s="18">
        <f t="shared" si="0"/>
        <v>0</v>
      </c>
      <c r="L14" s="18">
        <f t="shared" si="0"/>
        <v>100</v>
      </c>
      <c r="M14" s="18">
        <f t="shared" si="0"/>
        <v>0</v>
      </c>
      <c r="N14" s="18">
        <f t="shared" si="0"/>
        <v>3</v>
      </c>
      <c r="O14" s="18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19</v>
      </c>
      <c r="P14" s="18">
        <f t="shared" si="2"/>
        <v>3</v>
      </c>
      <c r="Q14" s="18">
        <f t="shared" si="2"/>
        <v>1</v>
      </c>
      <c r="R14" s="18">
        <f t="shared" si="2"/>
        <v>0</v>
      </c>
      <c r="S14" s="18">
        <f t="shared" si="2"/>
        <v>0</v>
      </c>
      <c r="T14" s="18">
        <f t="shared" si="2"/>
        <v>0</v>
      </c>
      <c r="U14" s="18">
        <f t="shared" si="2"/>
        <v>0</v>
      </c>
      <c r="V14" s="18">
        <f t="shared" si="2"/>
        <v>0</v>
      </c>
      <c r="W14" s="18">
        <f t="shared" si="2"/>
        <v>1</v>
      </c>
    </row>
    <row r="15" spans="1:23" x14ac:dyDescent="0.15">
      <c r="A15" s="22" t="str">
        <f t="shared" si="1"/>
        <v>20010_2-1/31&lt;lv24&gt;s2</v>
      </c>
      <c r="B15" s="18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20010</v>
      </c>
      <c r="C15" s="18">
        <f t="shared" si="3"/>
        <v>2</v>
      </c>
      <c r="D15" s="18">
        <f t="shared" si="3"/>
        <v>1</v>
      </c>
      <c r="E15" s="18">
        <f t="shared" si="3"/>
        <v>31</v>
      </c>
      <c r="F15" s="18">
        <f t="shared" si="3"/>
        <v>24</v>
      </c>
      <c r="G15" s="18">
        <f t="shared" si="3"/>
        <v>1.3</v>
      </c>
      <c r="H15" s="18">
        <f t="shared" si="3"/>
        <v>1.3</v>
      </c>
      <c r="I15" s="18">
        <f t="shared" si="3"/>
        <v>0</v>
      </c>
      <c r="J15" s="18">
        <f t="shared" si="3"/>
        <v>0</v>
      </c>
      <c r="K15" s="18">
        <f t="shared" si="3"/>
        <v>0</v>
      </c>
      <c r="L15" s="18">
        <f t="shared" si="3"/>
        <v>100</v>
      </c>
      <c r="M15" s="18">
        <f t="shared" si="3"/>
        <v>0</v>
      </c>
      <c r="N15" s="18">
        <f t="shared" si="3"/>
        <v>2</v>
      </c>
      <c r="O15" s="18">
        <f t="shared" si="3"/>
        <v>31</v>
      </c>
      <c r="P15" s="18">
        <f t="shared" si="3"/>
        <v>3</v>
      </c>
      <c r="Q15" s="18">
        <f t="shared" si="3"/>
        <v>1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1</v>
      </c>
    </row>
    <row r="16" spans="1:23" x14ac:dyDescent="0.15">
      <c r="A16" s="22" t="str">
        <f t="shared" si="1"/>
        <v>20010_2-1/346&lt;lv7&gt;s3</v>
      </c>
      <c r="B16" s="18">
        <f t="shared" si="3"/>
        <v>20010</v>
      </c>
      <c r="C16" s="18">
        <f t="shared" si="3"/>
        <v>2</v>
      </c>
      <c r="D16" s="18">
        <f t="shared" si="3"/>
        <v>1</v>
      </c>
      <c r="E16" s="18">
        <f t="shared" si="3"/>
        <v>346</v>
      </c>
      <c r="F16" s="18">
        <f t="shared" si="3"/>
        <v>7</v>
      </c>
      <c r="G16" s="18">
        <f t="shared" si="3"/>
        <v>0.3</v>
      </c>
      <c r="H16" s="18">
        <f t="shared" si="3"/>
        <v>1</v>
      </c>
      <c r="I16" s="18">
        <f t="shared" si="3"/>
        <v>0</v>
      </c>
      <c r="J16" s="18">
        <f t="shared" si="3"/>
        <v>0</v>
      </c>
      <c r="K16" s="18">
        <f t="shared" si="3"/>
        <v>1</v>
      </c>
      <c r="L16" s="18">
        <f t="shared" si="3"/>
        <v>100</v>
      </c>
      <c r="M16" s="18">
        <f t="shared" si="3"/>
        <v>1</v>
      </c>
      <c r="N16" s="18">
        <f t="shared" si="3"/>
        <v>3</v>
      </c>
      <c r="O16" s="18">
        <f t="shared" si="3"/>
        <v>346</v>
      </c>
      <c r="P16" s="18">
        <f t="shared" si="3"/>
        <v>1</v>
      </c>
      <c r="Q16" s="18">
        <f t="shared" si="3"/>
        <v>5</v>
      </c>
      <c r="R16" s="18">
        <f t="shared" si="2"/>
        <v>25</v>
      </c>
      <c r="S16" s="18">
        <f t="shared" si="2"/>
        <v>0</v>
      </c>
      <c r="T16" s="18">
        <f t="shared" si="2"/>
        <v>0</v>
      </c>
      <c r="U16" s="18">
        <f t="shared" si="2"/>
        <v>0</v>
      </c>
      <c r="V16" s="18">
        <f t="shared" si="2"/>
        <v>0</v>
      </c>
      <c r="W16" s="18">
        <f t="shared" si="2"/>
        <v>1</v>
      </c>
    </row>
    <row r="17" spans="1:23" x14ac:dyDescent="0.15">
      <c r="A17" s="22" t="str">
        <f t="shared" si="1"/>
        <v>20010_2-2/8&lt;lv24&gt;s2</v>
      </c>
      <c r="B17" s="18">
        <f t="shared" si="3"/>
        <v>20010</v>
      </c>
      <c r="C17" s="18">
        <f t="shared" si="3"/>
        <v>2</v>
      </c>
      <c r="D17" s="18">
        <f t="shared" si="3"/>
        <v>2</v>
      </c>
      <c r="E17" s="18">
        <f t="shared" si="3"/>
        <v>8</v>
      </c>
      <c r="F17" s="18">
        <f t="shared" si="3"/>
        <v>24</v>
      </c>
      <c r="G17" s="18">
        <f t="shared" si="3"/>
        <v>1.5</v>
      </c>
      <c r="H17" s="18">
        <f t="shared" si="3"/>
        <v>1.5</v>
      </c>
      <c r="I17" s="18">
        <f t="shared" si="3"/>
        <v>0</v>
      </c>
      <c r="J17" s="18">
        <f t="shared" si="3"/>
        <v>0</v>
      </c>
      <c r="K17" s="18">
        <f t="shared" si="3"/>
        <v>0</v>
      </c>
      <c r="L17" s="18">
        <f t="shared" si="3"/>
        <v>100</v>
      </c>
      <c r="M17" s="18">
        <f t="shared" si="3"/>
        <v>0</v>
      </c>
      <c r="N17" s="18">
        <f t="shared" si="3"/>
        <v>2</v>
      </c>
      <c r="O17" s="18">
        <f t="shared" si="3"/>
        <v>8</v>
      </c>
      <c r="P17" s="18">
        <f t="shared" si="3"/>
        <v>3</v>
      </c>
      <c r="Q17" s="18">
        <f t="shared" si="3"/>
        <v>2</v>
      </c>
      <c r="R17" s="18">
        <f t="shared" si="2"/>
        <v>26</v>
      </c>
      <c r="S17" s="18">
        <f t="shared" si="2"/>
        <v>0</v>
      </c>
      <c r="T17" s="18">
        <f t="shared" si="2"/>
        <v>0</v>
      </c>
      <c r="U17" s="18">
        <f t="shared" si="2"/>
        <v>0</v>
      </c>
      <c r="V17" s="18">
        <f t="shared" si="2"/>
        <v>0</v>
      </c>
      <c r="W17" s="18">
        <f t="shared" si="2"/>
        <v>1</v>
      </c>
    </row>
    <row r="18" spans="1:23" x14ac:dyDescent="0.15">
      <c r="A18" s="22" t="str">
        <f t="shared" si="1"/>
        <v>20010_2-2/14&lt;lv24&gt;s2</v>
      </c>
      <c r="B18" s="18">
        <f t="shared" si="3"/>
        <v>20010</v>
      </c>
      <c r="C18" s="18">
        <f t="shared" si="3"/>
        <v>2</v>
      </c>
      <c r="D18" s="18">
        <f t="shared" si="3"/>
        <v>2</v>
      </c>
      <c r="E18" s="18">
        <f t="shared" si="3"/>
        <v>14</v>
      </c>
      <c r="F18" s="18">
        <f t="shared" si="3"/>
        <v>24</v>
      </c>
      <c r="G18" s="18">
        <f t="shared" si="3"/>
        <v>1.5</v>
      </c>
      <c r="H18" s="18">
        <f t="shared" si="3"/>
        <v>1.5</v>
      </c>
      <c r="I18" s="18">
        <f t="shared" si="3"/>
        <v>0</v>
      </c>
      <c r="J18" s="18">
        <f t="shared" si="3"/>
        <v>0</v>
      </c>
      <c r="K18" s="18">
        <f t="shared" si="3"/>
        <v>0</v>
      </c>
      <c r="L18" s="18">
        <f t="shared" si="3"/>
        <v>100</v>
      </c>
      <c r="M18" s="18">
        <f t="shared" si="3"/>
        <v>0</v>
      </c>
      <c r="N18" s="18">
        <f t="shared" si="3"/>
        <v>2</v>
      </c>
      <c r="O18" s="18">
        <f t="shared" si="3"/>
        <v>14</v>
      </c>
      <c r="P18" s="18">
        <f t="shared" si="3"/>
        <v>3</v>
      </c>
      <c r="Q18" s="18">
        <f t="shared" si="3"/>
        <v>2</v>
      </c>
      <c r="R18" s="18">
        <f t="shared" si="2"/>
        <v>26</v>
      </c>
      <c r="S18" s="18">
        <f t="shared" si="2"/>
        <v>0</v>
      </c>
      <c r="T18" s="18">
        <f t="shared" si="2"/>
        <v>0</v>
      </c>
      <c r="U18" s="18">
        <f t="shared" si="2"/>
        <v>0</v>
      </c>
      <c r="V18" s="18">
        <f t="shared" si="2"/>
        <v>0</v>
      </c>
      <c r="W18" s="18">
        <f t="shared" si="2"/>
        <v>1</v>
      </c>
    </row>
    <row r="19" spans="1:23" x14ac:dyDescent="0.15">
      <c r="A19" s="22" t="str">
        <f t="shared" si="1"/>
        <v>20010_2-2/20&lt;lv24&gt;s3</v>
      </c>
      <c r="B19" s="18">
        <f t="shared" si="3"/>
        <v>20010</v>
      </c>
      <c r="C19" s="18">
        <f t="shared" si="3"/>
        <v>2</v>
      </c>
      <c r="D19" s="18">
        <f t="shared" si="3"/>
        <v>2</v>
      </c>
      <c r="E19" s="18">
        <f t="shared" si="3"/>
        <v>20</v>
      </c>
      <c r="F19" s="18">
        <f t="shared" si="3"/>
        <v>24</v>
      </c>
      <c r="G19" s="18">
        <f t="shared" si="3"/>
        <v>1.5</v>
      </c>
      <c r="H19" s="18">
        <f t="shared" si="3"/>
        <v>1.5</v>
      </c>
      <c r="I19" s="18">
        <f t="shared" si="3"/>
        <v>0</v>
      </c>
      <c r="J19" s="18">
        <f t="shared" si="3"/>
        <v>0</v>
      </c>
      <c r="K19" s="18">
        <f t="shared" si="3"/>
        <v>0</v>
      </c>
      <c r="L19" s="18">
        <f t="shared" si="3"/>
        <v>100</v>
      </c>
      <c r="M19" s="18">
        <f t="shared" si="3"/>
        <v>0</v>
      </c>
      <c r="N19" s="18">
        <f t="shared" si="3"/>
        <v>3</v>
      </c>
      <c r="O19" s="18">
        <f t="shared" si="3"/>
        <v>20</v>
      </c>
      <c r="P19" s="18">
        <f t="shared" si="3"/>
        <v>3</v>
      </c>
      <c r="Q19" s="18">
        <f t="shared" si="3"/>
        <v>2</v>
      </c>
      <c r="R19" s="18">
        <f t="shared" si="2"/>
        <v>26</v>
      </c>
      <c r="S19" s="18">
        <f t="shared" si="2"/>
        <v>0</v>
      </c>
      <c r="T19" s="18">
        <f t="shared" si="2"/>
        <v>0</v>
      </c>
      <c r="U19" s="18">
        <f t="shared" si="2"/>
        <v>0</v>
      </c>
      <c r="V19" s="18">
        <f t="shared" si="2"/>
        <v>0</v>
      </c>
      <c r="W19" s="18">
        <f t="shared" si="2"/>
        <v>1</v>
      </c>
    </row>
    <row r="20" spans="1:23" x14ac:dyDescent="0.15">
      <c r="A20" s="22" t="str">
        <f t="shared" si="1"/>
        <v>20010_2-2/32&lt;lv24&gt;s5</v>
      </c>
      <c r="B20" s="18">
        <f t="shared" si="3"/>
        <v>20010</v>
      </c>
      <c r="C20" s="18">
        <f t="shared" si="3"/>
        <v>2</v>
      </c>
      <c r="D20" s="18">
        <f t="shared" si="3"/>
        <v>2</v>
      </c>
      <c r="E20" s="18">
        <f t="shared" si="3"/>
        <v>32</v>
      </c>
      <c r="F20" s="18">
        <f t="shared" si="3"/>
        <v>24</v>
      </c>
      <c r="G20" s="18">
        <f t="shared" si="3"/>
        <v>1.5</v>
      </c>
      <c r="H20" s="18">
        <f t="shared" si="3"/>
        <v>1.5</v>
      </c>
      <c r="I20" s="18">
        <f t="shared" si="3"/>
        <v>0</v>
      </c>
      <c r="J20" s="18">
        <f t="shared" si="3"/>
        <v>0</v>
      </c>
      <c r="K20" s="18">
        <f t="shared" si="3"/>
        <v>0</v>
      </c>
      <c r="L20" s="18">
        <f t="shared" si="3"/>
        <v>100</v>
      </c>
      <c r="M20" s="18">
        <f t="shared" si="3"/>
        <v>0</v>
      </c>
      <c r="N20" s="18">
        <f t="shared" si="3"/>
        <v>5</v>
      </c>
      <c r="O20" s="18">
        <f t="shared" si="3"/>
        <v>32</v>
      </c>
      <c r="P20" s="18">
        <f t="shared" si="3"/>
        <v>3</v>
      </c>
      <c r="Q20" s="18">
        <f t="shared" si="3"/>
        <v>2</v>
      </c>
      <c r="R20" s="18">
        <f t="shared" si="2"/>
        <v>26</v>
      </c>
      <c r="S20" s="18">
        <f t="shared" si="2"/>
        <v>0</v>
      </c>
      <c r="T20" s="18">
        <f t="shared" si="2"/>
        <v>0</v>
      </c>
      <c r="U20" s="18">
        <f t="shared" si="2"/>
        <v>0</v>
      </c>
      <c r="V20" s="18">
        <f t="shared" si="2"/>
        <v>0</v>
      </c>
      <c r="W20" s="18">
        <f t="shared" si="2"/>
        <v>1</v>
      </c>
    </row>
    <row r="21" spans="1:23" x14ac:dyDescent="0.15">
      <c r="A21" s="22" t="str">
        <f t="shared" si="1"/>
        <v>20010_2-2/6&lt;lv24&gt;s3</v>
      </c>
      <c r="B21" s="18">
        <f t="shared" si="3"/>
        <v>20010</v>
      </c>
      <c r="C21" s="18">
        <f t="shared" si="3"/>
        <v>2</v>
      </c>
      <c r="D21" s="18">
        <f t="shared" si="3"/>
        <v>2</v>
      </c>
      <c r="E21" s="18">
        <f t="shared" si="3"/>
        <v>6</v>
      </c>
      <c r="F21" s="18">
        <f t="shared" si="3"/>
        <v>24</v>
      </c>
      <c r="G21" s="18">
        <f t="shared" si="3"/>
        <v>1.5</v>
      </c>
      <c r="H21" s="18">
        <f t="shared" si="3"/>
        <v>1.5</v>
      </c>
      <c r="I21" s="18">
        <f t="shared" si="3"/>
        <v>0</v>
      </c>
      <c r="J21" s="18">
        <f t="shared" si="3"/>
        <v>0</v>
      </c>
      <c r="K21" s="18">
        <f t="shared" si="3"/>
        <v>0</v>
      </c>
      <c r="L21" s="18">
        <f t="shared" si="3"/>
        <v>100</v>
      </c>
      <c r="M21" s="18">
        <f t="shared" si="3"/>
        <v>0</v>
      </c>
      <c r="N21" s="18">
        <f t="shared" si="3"/>
        <v>3</v>
      </c>
      <c r="O21" s="18">
        <f t="shared" si="3"/>
        <v>6</v>
      </c>
      <c r="P21" s="18">
        <f t="shared" si="3"/>
        <v>3</v>
      </c>
      <c r="Q21" s="18">
        <f t="shared" si="3"/>
        <v>2</v>
      </c>
      <c r="R21" s="18">
        <f t="shared" si="2"/>
        <v>26</v>
      </c>
      <c r="S21" s="18">
        <f t="shared" si="2"/>
        <v>0</v>
      </c>
      <c r="T21" s="18">
        <f t="shared" si="2"/>
        <v>0</v>
      </c>
      <c r="U21" s="18">
        <f t="shared" si="2"/>
        <v>0</v>
      </c>
      <c r="V21" s="18">
        <f t="shared" si="2"/>
        <v>0</v>
      </c>
      <c r="W21" s="18">
        <f t="shared" si="2"/>
        <v>1</v>
      </c>
    </row>
    <row r="22" spans="1:23" x14ac:dyDescent="0.15">
      <c r="A22" s="22" t="str">
        <f t="shared" si="1"/>
        <v>20010_2-2/18&lt;lv24&gt;s2</v>
      </c>
      <c r="B22" s="18">
        <f t="shared" si="3"/>
        <v>20010</v>
      </c>
      <c r="C22" s="18">
        <f t="shared" si="3"/>
        <v>2</v>
      </c>
      <c r="D22" s="18">
        <f t="shared" si="3"/>
        <v>2</v>
      </c>
      <c r="E22" s="18">
        <f t="shared" si="3"/>
        <v>18</v>
      </c>
      <c r="F22" s="18">
        <f t="shared" si="3"/>
        <v>24</v>
      </c>
      <c r="G22" s="18">
        <f t="shared" si="3"/>
        <v>1.5</v>
      </c>
      <c r="H22" s="18">
        <f t="shared" si="3"/>
        <v>1.5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100</v>
      </c>
      <c r="M22" s="18">
        <f t="shared" si="3"/>
        <v>0</v>
      </c>
      <c r="N22" s="18">
        <f t="shared" si="3"/>
        <v>2</v>
      </c>
      <c r="O22" s="18">
        <f t="shared" si="3"/>
        <v>18</v>
      </c>
      <c r="P22" s="18">
        <f t="shared" si="3"/>
        <v>3</v>
      </c>
      <c r="Q22" s="18">
        <f t="shared" si="3"/>
        <v>2</v>
      </c>
      <c r="R22" s="18">
        <f t="shared" si="2"/>
        <v>26</v>
      </c>
      <c r="S22" s="18">
        <f t="shared" si="2"/>
        <v>0</v>
      </c>
      <c r="T22" s="18">
        <f t="shared" si="2"/>
        <v>0</v>
      </c>
      <c r="U22" s="18">
        <f t="shared" si="2"/>
        <v>0</v>
      </c>
      <c r="V22" s="18">
        <f t="shared" si="2"/>
        <v>0</v>
      </c>
      <c r="W22" s="18">
        <f t="shared" si="2"/>
        <v>1</v>
      </c>
    </row>
    <row r="23" spans="1:23" x14ac:dyDescent="0.15">
      <c r="A23" s="22" t="str">
        <f t="shared" si="1"/>
        <v>20010_2-2/26&lt;lv24&gt;s3</v>
      </c>
      <c r="B23" s="18">
        <f t="shared" si="3"/>
        <v>20010</v>
      </c>
      <c r="C23" s="18">
        <f t="shared" si="3"/>
        <v>2</v>
      </c>
      <c r="D23" s="18">
        <f t="shared" si="3"/>
        <v>2</v>
      </c>
      <c r="E23" s="18">
        <f t="shared" si="3"/>
        <v>26</v>
      </c>
      <c r="F23" s="18">
        <f t="shared" si="3"/>
        <v>24</v>
      </c>
      <c r="G23" s="18">
        <f t="shared" si="3"/>
        <v>1.5</v>
      </c>
      <c r="H23" s="18">
        <f t="shared" si="3"/>
        <v>1.5</v>
      </c>
      <c r="I23" s="18">
        <f t="shared" si="3"/>
        <v>0</v>
      </c>
      <c r="J23" s="18">
        <f t="shared" si="3"/>
        <v>0</v>
      </c>
      <c r="K23" s="18">
        <f t="shared" si="3"/>
        <v>0</v>
      </c>
      <c r="L23" s="18">
        <f t="shared" si="3"/>
        <v>100</v>
      </c>
      <c r="M23" s="18">
        <f t="shared" si="3"/>
        <v>0</v>
      </c>
      <c r="N23" s="18">
        <f t="shared" si="3"/>
        <v>3</v>
      </c>
      <c r="O23" s="18">
        <f t="shared" si="3"/>
        <v>26</v>
      </c>
      <c r="P23" s="18">
        <f t="shared" si="3"/>
        <v>3</v>
      </c>
      <c r="Q23" s="18">
        <f t="shared" si="3"/>
        <v>2</v>
      </c>
      <c r="R23" s="18">
        <f t="shared" si="2"/>
        <v>26</v>
      </c>
      <c r="S23" s="18">
        <f t="shared" si="2"/>
        <v>0</v>
      </c>
      <c r="T23" s="18">
        <f t="shared" si="2"/>
        <v>0</v>
      </c>
      <c r="U23" s="18">
        <f t="shared" si="2"/>
        <v>0</v>
      </c>
      <c r="V23" s="18">
        <f t="shared" si="2"/>
        <v>0</v>
      </c>
      <c r="W23" s="18">
        <f t="shared" si="2"/>
        <v>1</v>
      </c>
    </row>
    <row r="24" spans="1:23" x14ac:dyDescent="0.15">
      <c r="A24" s="22" t="str">
        <f t="shared" si="1"/>
        <v>20010_2-2/30&lt;lv24&gt;s2</v>
      </c>
      <c r="B24" s="18">
        <f t="shared" si="3"/>
        <v>20010</v>
      </c>
      <c r="C24" s="18">
        <f t="shared" si="3"/>
        <v>2</v>
      </c>
      <c r="D24" s="18">
        <f t="shared" si="3"/>
        <v>2</v>
      </c>
      <c r="E24" s="18">
        <f t="shared" si="3"/>
        <v>30</v>
      </c>
      <c r="F24" s="18">
        <f t="shared" si="3"/>
        <v>24</v>
      </c>
      <c r="G24" s="18">
        <f t="shared" si="3"/>
        <v>1.5</v>
      </c>
      <c r="H24" s="18">
        <f t="shared" si="3"/>
        <v>1.5</v>
      </c>
      <c r="I24" s="18">
        <f t="shared" si="3"/>
        <v>0</v>
      </c>
      <c r="J24" s="18">
        <f t="shared" si="3"/>
        <v>30</v>
      </c>
      <c r="K24" s="18">
        <f t="shared" si="3"/>
        <v>0</v>
      </c>
      <c r="L24" s="18">
        <f t="shared" si="3"/>
        <v>100</v>
      </c>
      <c r="M24" s="18">
        <f t="shared" si="3"/>
        <v>0</v>
      </c>
      <c r="N24" s="18">
        <f t="shared" si="3"/>
        <v>2</v>
      </c>
      <c r="O24" s="18">
        <f t="shared" si="3"/>
        <v>30</v>
      </c>
      <c r="P24" s="18">
        <f t="shared" si="3"/>
        <v>3</v>
      </c>
      <c r="Q24" s="18">
        <f t="shared" si="3"/>
        <v>2</v>
      </c>
      <c r="R24" s="18">
        <f t="shared" si="2"/>
        <v>26</v>
      </c>
      <c r="S24" s="18">
        <f t="shared" si="2"/>
        <v>0</v>
      </c>
      <c r="T24" s="18">
        <f t="shared" si="2"/>
        <v>0</v>
      </c>
      <c r="U24" s="18">
        <f t="shared" si="2"/>
        <v>0</v>
      </c>
      <c r="V24" s="18">
        <f t="shared" si="2"/>
        <v>0</v>
      </c>
      <c r="W24" s="18">
        <f t="shared" si="2"/>
        <v>1</v>
      </c>
    </row>
    <row r="25" spans="1:23" x14ac:dyDescent="0.15">
      <c r="A25" s="22" t="str">
        <f t="shared" si="1"/>
        <v>20010_2-3/304&lt;lv40&gt;s2</v>
      </c>
      <c r="B25" s="18">
        <f t="shared" si="3"/>
        <v>20010</v>
      </c>
      <c r="C25" s="18">
        <f t="shared" si="3"/>
        <v>2</v>
      </c>
      <c r="D25" s="18">
        <f t="shared" si="3"/>
        <v>3</v>
      </c>
      <c r="E25" s="18">
        <f t="shared" si="3"/>
        <v>304</v>
      </c>
      <c r="F25" s="18">
        <f t="shared" si="3"/>
        <v>40</v>
      </c>
      <c r="G25" s="18">
        <f t="shared" si="3"/>
        <v>3</v>
      </c>
      <c r="H25" s="18">
        <f t="shared" si="3"/>
        <v>0.9</v>
      </c>
      <c r="I25" s="18">
        <f t="shared" si="3"/>
        <v>0</v>
      </c>
      <c r="J25" s="18">
        <f t="shared" si="3"/>
        <v>30402</v>
      </c>
      <c r="K25" s="18">
        <f t="shared" si="3"/>
        <v>1</v>
      </c>
      <c r="L25" s="18">
        <f t="shared" si="3"/>
        <v>100</v>
      </c>
      <c r="M25" s="18">
        <f t="shared" si="3"/>
        <v>1</v>
      </c>
      <c r="N25" s="18">
        <f t="shared" si="3"/>
        <v>2</v>
      </c>
      <c r="O25" s="18">
        <f t="shared" si="3"/>
        <v>304</v>
      </c>
      <c r="P25" s="18">
        <f t="shared" si="3"/>
        <v>1</v>
      </c>
      <c r="Q25" s="18">
        <f t="shared" si="3"/>
        <v>3</v>
      </c>
      <c r="R25" s="18">
        <f ca="1">VLOOKUP($A25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1</v>
      </c>
    </row>
    <row r="26" spans="1:23" x14ac:dyDescent="0.15">
      <c r="A26" s="22" t="str">
        <f t="shared" si="1"/>
        <v>20010_2-3/35&lt;lv25&gt;s4</v>
      </c>
      <c r="B26" s="18">
        <f t="shared" si="3"/>
        <v>20010</v>
      </c>
      <c r="C26" s="18">
        <f t="shared" si="3"/>
        <v>2</v>
      </c>
      <c r="D26" s="18">
        <f t="shared" si="3"/>
        <v>3</v>
      </c>
      <c r="E26" s="18">
        <f t="shared" si="3"/>
        <v>35</v>
      </c>
      <c r="F26" s="18">
        <f t="shared" si="3"/>
        <v>25</v>
      </c>
      <c r="G26" s="18">
        <f t="shared" si="3"/>
        <v>2</v>
      </c>
      <c r="H26" s="18">
        <f t="shared" si="3"/>
        <v>0.3</v>
      </c>
      <c r="I26" s="18">
        <f t="shared" si="3"/>
        <v>0</v>
      </c>
      <c r="J26" s="18">
        <f t="shared" si="3"/>
        <v>3501</v>
      </c>
      <c r="K26" s="18">
        <f t="shared" si="3"/>
        <v>2</v>
      </c>
      <c r="L26" s="18">
        <f t="shared" si="3"/>
        <v>100</v>
      </c>
      <c r="M26" s="18">
        <f t="shared" si="3"/>
        <v>0</v>
      </c>
      <c r="N26" s="18">
        <f t="shared" si="3"/>
        <v>4</v>
      </c>
      <c r="O26" s="18">
        <f t="shared" si="3"/>
        <v>35</v>
      </c>
      <c r="P26" s="18">
        <f t="shared" si="3"/>
        <v>1</v>
      </c>
      <c r="Q26" s="18">
        <f t="shared" si="3"/>
        <v>2</v>
      </c>
      <c r="R26" s="18">
        <f t="shared" si="2"/>
        <v>0</v>
      </c>
      <c r="S26" s="18">
        <f t="shared" si="2"/>
        <v>0</v>
      </c>
      <c r="T26" s="18">
        <f t="shared" si="2"/>
        <v>0</v>
      </c>
      <c r="U26" s="18">
        <f t="shared" si="2"/>
        <v>0</v>
      </c>
      <c r="V26" s="18">
        <f t="shared" si="2"/>
        <v>0</v>
      </c>
      <c r="W26" s="18">
        <f t="shared" si="2"/>
        <v>1</v>
      </c>
    </row>
    <row r="27" spans="1:23" x14ac:dyDescent="0.15">
      <c r="A27" s="22" t="str">
        <f t="shared" si="1"/>
        <v>20010_3-1/26&lt;lv30&gt;s3</v>
      </c>
      <c r="B27" s="18">
        <f t="shared" si="3"/>
        <v>20010</v>
      </c>
      <c r="C27" s="18">
        <f t="shared" si="3"/>
        <v>3</v>
      </c>
      <c r="D27" s="18">
        <f t="shared" si="3"/>
        <v>1</v>
      </c>
      <c r="E27" s="18">
        <f t="shared" si="3"/>
        <v>26</v>
      </c>
      <c r="F27" s="18">
        <f t="shared" si="3"/>
        <v>30</v>
      </c>
      <c r="G27" s="18">
        <f t="shared" si="3"/>
        <v>1.6</v>
      </c>
      <c r="H27" s="18">
        <f t="shared" si="3"/>
        <v>1.6</v>
      </c>
      <c r="I27" s="18">
        <f t="shared" si="3"/>
        <v>0</v>
      </c>
      <c r="J27" s="18">
        <f t="shared" si="3"/>
        <v>0</v>
      </c>
      <c r="K27" s="18">
        <f t="shared" si="3"/>
        <v>0</v>
      </c>
      <c r="L27" s="18">
        <f t="shared" si="3"/>
        <v>100</v>
      </c>
      <c r="M27" s="18">
        <f t="shared" si="3"/>
        <v>0</v>
      </c>
      <c r="N27" s="18">
        <f t="shared" si="3"/>
        <v>3</v>
      </c>
      <c r="O27" s="18">
        <f t="shared" si="3"/>
        <v>26</v>
      </c>
      <c r="P27" s="18">
        <f t="shared" si="3"/>
        <v>3</v>
      </c>
      <c r="Q27" s="18">
        <f t="shared" si="3"/>
        <v>2</v>
      </c>
      <c r="R27" s="18">
        <f t="shared" si="2"/>
        <v>0</v>
      </c>
      <c r="S27" s="18">
        <f t="shared" si="2"/>
        <v>0</v>
      </c>
      <c r="T27" s="18">
        <f t="shared" si="2"/>
        <v>0</v>
      </c>
      <c r="U27" s="18">
        <f t="shared" si="2"/>
        <v>0</v>
      </c>
      <c r="V27" s="18">
        <f t="shared" si="2"/>
        <v>0</v>
      </c>
      <c r="W27" s="18">
        <f t="shared" si="2"/>
        <v>1</v>
      </c>
    </row>
    <row r="28" spans="1:23" x14ac:dyDescent="0.15">
      <c r="A28" s="22" t="str">
        <f t="shared" si="1"/>
        <v>20010_3-1/30&lt;lv30&gt;s2</v>
      </c>
      <c r="B28" s="18">
        <f t="shared" si="3"/>
        <v>20010</v>
      </c>
      <c r="C28" s="18">
        <f t="shared" si="3"/>
        <v>3</v>
      </c>
      <c r="D28" s="18">
        <f t="shared" si="3"/>
        <v>1</v>
      </c>
      <c r="E28" s="18">
        <f t="shared" si="3"/>
        <v>30</v>
      </c>
      <c r="F28" s="18">
        <f t="shared" si="3"/>
        <v>30</v>
      </c>
      <c r="G28" s="18">
        <f t="shared" si="3"/>
        <v>1.6</v>
      </c>
      <c r="H28" s="18">
        <f t="shared" si="3"/>
        <v>1.6</v>
      </c>
      <c r="I28" s="18">
        <f t="shared" si="3"/>
        <v>0</v>
      </c>
      <c r="J28" s="18">
        <f t="shared" si="3"/>
        <v>30</v>
      </c>
      <c r="K28" s="18">
        <f t="shared" si="3"/>
        <v>0</v>
      </c>
      <c r="L28" s="18">
        <f t="shared" si="3"/>
        <v>100</v>
      </c>
      <c r="M28" s="18">
        <f t="shared" si="3"/>
        <v>0</v>
      </c>
      <c r="N28" s="18">
        <f t="shared" si="3"/>
        <v>2</v>
      </c>
      <c r="O28" s="18">
        <f t="shared" si="3"/>
        <v>30</v>
      </c>
      <c r="P28" s="18">
        <f t="shared" si="3"/>
        <v>3</v>
      </c>
      <c r="Q28" s="18">
        <f t="shared" si="3"/>
        <v>2</v>
      </c>
      <c r="R28" s="18">
        <f t="shared" si="2"/>
        <v>0</v>
      </c>
      <c r="S28" s="18">
        <f t="shared" si="2"/>
        <v>0</v>
      </c>
      <c r="T28" s="18">
        <f t="shared" si="2"/>
        <v>0</v>
      </c>
      <c r="U28" s="18">
        <f t="shared" si="2"/>
        <v>0</v>
      </c>
      <c r="V28" s="18">
        <f t="shared" si="2"/>
        <v>0</v>
      </c>
      <c r="W28" s="18">
        <f t="shared" si="2"/>
        <v>1</v>
      </c>
    </row>
    <row r="29" spans="1:23" x14ac:dyDescent="0.15">
      <c r="A29" s="22" t="str">
        <f t="shared" si="1"/>
        <v>20010_3-1/16&lt;lv30&gt;s3</v>
      </c>
      <c r="B29" s="18">
        <f t="shared" si="3"/>
        <v>20010</v>
      </c>
      <c r="C29" s="18">
        <f t="shared" si="3"/>
        <v>3</v>
      </c>
      <c r="D29" s="18">
        <f t="shared" si="3"/>
        <v>1</v>
      </c>
      <c r="E29" s="18">
        <f t="shared" si="3"/>
        <v>16</v>
      </c>
      <c r="F29" s="18">
        <f t="shared" si="3"/>
        <v>30</v>
      </c>
      <c r="G29" s="18">
        <f t="shared" si="3"/>
        <v>1.6</v>
      </c>
      <c r="H29" s="18">
        <f t="shared" si="3"/>
        <v>1.6</v>
      </c>
      <c r="I29" s="18">
        <f t="shared" si="3"/>
        <v>0</v>
      </c>
      <c r="J29" s="18">
        <f t="shared" si="3"/>
        <v>0</v>
      </c>
      <c r="K29" s="18">
        <f t="shared" si="3"/>
        <v>0</v>
      </c>
      <c r="L29" s="18">
        <f t="shared" si="3"/>
        <v>100</v>
      </c>
      <c r="M29" s="18">
        <f t="shared" si="3"/>
        <v>0</v>
      </c>
      <c r="N29" s="18">
        <f t="shared" si="3"/>
        <v>3</v>
      </c>
      <c r="O29" s="18">
        <f t="shared" si="3"/>
        <v>16</v>
      </c>
      <c r="P29" s="18">
        <f t="shared" si="3"/>
        <v>3</v>
      </c>
      <c r="Q29" s="18">
        <f t="shared" si="3"/>
        <v>2</v>
      </c>
      <c r="R29" s="18">
        <f t="shared" si="2"/>
        <v>0</v>
      </c>
      <c r="S29" s="18">
        <f t="shared" si="2"/>
        <v>0</v>
      </c>
      <c r="T29" s="18">
        <f t="shared" si="2"/>
        <v>0</v>
      </c>
      <c r="U29" s="18">
        <f t="shared" si="2"/>
        <v>0</v>
      </c>
      <c r="V29" s="18">
        <f t="shared" si="2"/>
        <v>0</v>
      </c>
      <c r="W29" s="18">
        <f t="shared" si="2"/>
        <v>1</v>
      </c>
    </row>
    <row r="30" spans="1:23" x14ac:dyDescent="0.15">
      <c r="A30" s="22" t="str">
        <f t="shared" si="1"/>
        <v>20010_3-1/22&lt;lv30&gt;s2</v>
      </c>
      <c r="B30" s="18">
        <f t="shared" si="3"/>
        <v>20010</v>
      </c>
      <c r="C30" s="18">
        <f t="shared" si="3"/>
        <v>3</v>
      </c>
      <c r="D30" s="18">
        <f t="shared" si="3"/>
        <v>1</v>
      </c>
      <c r="E30" s="18">
        <f t="shared" si="3"/>
        <v>22</v>
      </c>
      <c r="F30" s="18">
        <f t="shared" si="3"/>
        <v>30</v>
      </c>
      <c r="G30" s="18">
        <f t="shared" si="3"/>
        <v>1.6</v>
      </c>
      <c r="H30" s="18">
        <f t="shared" si="3"/>
        <v>1.6</v>
      </c>
      <c r="I30" s="18">
        <f t="shared" si="3"/>
        <v>0</v>
      </c>
      <c r="J30" s="18">
        <f t="shared" si="3"/>
        <v>0</v>
      </c>
      <c r="K30" s="18">
        <f t="shared" si="3"/>
        <v>0</v>
      </c>
      <c r="L30" s="18">
        <f t="shared" si="3"/>
        <v>100</v>
      </c>
      <c r="M30" s="18">
        <f t="shared" si="3"/>
        <v>0</v>
      </c>
      <c r="N30" s="18">
        <f t="shared" si="3"/>
        <v>2</v>
      </c>
      <c r="O30" s="18">
        <f t="shared" si="3"/>
        <v>22</v>
      </c>
      <c r="P30" s="18">
        <f t="shared" si="3"/>
        <v>3</v>
      </c>
      <c r="Q30" s="18">
        <f t="shared" ref="Q30:W39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" s="18">
        <f t="shared" si="4"/>
        <v>0</v>
      </c>
      <c r="S30" s="18">
        <f t="shared" si="4"/>
        <v>0</v>
      </c>
      <c r="T30" s="18">
        <f t="shared" si="4"/>
        <v>0</v>
      </c>
      <c r="U30" s="18">
        <f t="shared" si="4"/>
        <v>0</v>
      </c>
      <c r="V30" s="18">
        <f t="shared" si="4"/>
        <v>0</v>
      </c>
      <c r="W30" s="18">
        <f t="shared" si="4"/>
        <v>1</v>
      </c>
    </row>
    <row r="31" spans="1:23" x14ac:dyDescent="0.15">
      <c r="A31" s="22" t="str">
        <f t="shared" si="1"/>
        <v>20010_3-1/24&lt;lv30&gt;s4</v>
      </c>
      <c r="B31" s="18">
        <f t="shared" ref="B31:Q39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20010</v>
      </c>
      <c r="C31" s="18">
        <f t="shared" si="5"/>
        <v>3</v>
      </c>
      <c r="D31" s="18">
        <f t="shared" si="5"/>
        <v>1</v>
      </c>
      <c r="E31" s="18">
        <f t="shared" si="5"/>
        <v>24</v>
      </c>
      <c r="F31" s="18">
        <f t="shared" si="5"/>
        <v>30</v>
      </c>
      <c r="G31" s="18">
        <f t="shared" si="5"/>
        <v>1.6</v>
      </c>
      <c r="H31" s="18">
        <f t="shared" si="5"/>
        <v>1.6</v>
      </c>
      <c r="I31" s="18">
        <f t="shared" si="5"/>
        <v>0</v>
      </c>
      <c r="J31" s="18">
        <f t="shared" si="5"/>
        <v>0</v>
      </c>
      <c r="K31" s="18">
        <f t="shared" si="5"/>
        <v>0</v>
      </c>
      <c r="L31" s="18">
        <f t="shared" si="5"/>
        <v>100</v>
      </c>
      <c r="M31" s="18">
        <f t="shared" si="5"/>
        <v>0</v>
      </c>
      <c r="N31" s="18">
        <f t="shared" si="5"/>
        <v>4</v>
      </c>
      <c r="O31" s="18">
        <f t="shared" si="5"/>
        <v>24</v>
      </c>
      <c r="P31" s="18">
        <f t="shared" si="5"/>
        <v>3</v>
      </c>
      <c r="Q31" s="18">
        <f t="shared" si="5"/>
        <v>2</v>
      </c>
      <c r="R31" s="18">
        <f t="shared" si="4"/>
        <v>0</v>
      </c>
      <c r="S31" s="18">
        <f t="shared" si="4"/>
        <v>0</v>
      </c>
      <c r="T31" s="18">
        <f t="shared" si="4"/>
        <v>0</v>
      </c>
      <c r="U31" s="18">
        <f t="shared" si="4"/>
        <v>0</v>
      </c>
      <c r="V31" s="18">
        <f t="shared" si="4"/>
        <v>0</v>
      </c>
      <c r="W31" s="18">
        <f t="shared" si="4"/>
        <v>1</v>
      </c>
    </row>
    <row r="32" spans="1:23" x14ac:dyDescent="0.15">
      <c r="A32" s="22" t="str">
        <f t="shared" si="1"/>
        <v>20010_3-1/28&lt;lv30&gt;s1</v>
      </c>
      <c r="B32" s="18">
        <f t="shared" si="5"/>
        <v>20010</v>
      </c>
      <c r="C32" s="18">
        <f t="shared" si="5"/>
        <v>3</v>
      </c>
      <c r="D32" s="18">
        <f t="shared" si="5"/>
        <v>1</v>
      </c>
      <c r="E32" s="18">
        <f t="shared" si="5"/>
        <v>28</v>
      </c>
      <c r="F32" s="18">
        <f t="shared" si="5"/>
        <v>30</v>
      </c>
      <c r="G32" s="18">
        <f t="shared" si="5"/>
        <v>1.6</v>
      </c>
      <c r="H32" s="18">
        <f t="shared" si="5"/>
        <v>1.6</v>
      </c>
      <c r="I32" s="18">
        <f t="shared" si="5"/>
        <v>0</v>
      </c>
      <c r="J32" s="18">
        <f t="shared" si="5"/>
        <v>28</v>
      </c>
      <c r="K32" s="18">
        <f t="shared" si="5"/>
        <v>0</v>
      </c>
      <c r="L32" s="18">
        <f t="shared" si="5"/>
        <v>100</v>
      </c>
      <c r="M32" s="18">
        <f t="shared" si="5"/>
        <v>0</v>
      </c>
      <c r="N32" s="18">
        <f t="shared" si="5"/>
        <v>1</v>
      </c>
      <c r="O32" s="18">
        <f t="shared" si="5"/>
        <v>28</v>
      </c>
      <c r="P32" s="18">
        <f t="shared" si="5"/>
        <v>3</v>
      </c>
      <c r="Q32" s="18">
        <f t="shared" si="5"/>
        <v>2</v>
      </c>
      <c r="R32" s="18">
        <f t="shared" si="4"/>
        <v>0</v>
      </c>
      <c r="S32" s="18">
        <f t="shared" si="4"/>
        <v>0</v>
      </c>
      <c r="T32" s="18">
        <f t="shared" si="4"/>
        <v>0</v>
      </c>
      <c r="U32" s="18">
        <f t="shared" si="4"/>
        <v>0</v>
      </c>
      <c r="V32" s="18">
        <f t="shared" si="4"/>
        <v>0</v>
      </c>
      <c r="W32" s="18">
        <f t="shared" si="4"/>
        <v>1</v>
      </c>
    </row>
    <row r="33" spans="1:23" x14ac:dyDescent="0.15">
      <c r="A33" s="22" t="str">
        <f t="shared" si="1"/>
        <v>20010_3-1/20&lt;lv30&gt;s3</v>
      </c>
      <c r="B33" s="18">
        <f t="shared" si="5"/>
        <v>20010</v>
      </c>
      <c r="C33" s="18">
        <f t="shared" si="5"/>
        <v>3</v>
      </c>
      <c r="D33" s="18">
        <f t="shared" si="5"/>
        <v>1</v>
      </c>
      <c r="E33" s="18">
        <f t="shared" si="5"/>
        <v>20</v>
      </c>
      <c r="F33" s="18">
        <f t="shared" si="5"/>
        <v>30</v>
      </c>
      <c r="G33" s="18">
        <f t="shared" si="5"/>
        <v>1.6</v>
      </c>
      <c r="H33" s="18">
        <f t="shared" si="5"/>
        <v>1.6</v>
      </c>
      <c r="I33" s="18">
        <f t="shared" si="5"/>
        <v>0</v>
      </c>
      <c r="J33" s="18">
        <f t="shared" si="5"/>
        <v>0</v>
      </c>
      <c r="K33" s="18">
        <f t="shared" si="5"/>
        <v>0</v>
      </c>
      <c r="L33" s="18">
        <f t="shared" si="5"/>
        <v>100</v>
      </c>
      <c r="M33" s="18">
        <f t="shared" si="5"/>
        <v>0</v>
      </c>
      <c r="N33" s="18">
        <f t="shared" si="5"/>
        <v>3</v>
      </c>
      <c r="O33" s="18">
        <f t="shared" si="5"/>
        <v>20</v>
      </c>
      <c r="P33" s="18">
        <f t="shared" si="5"/>
        <v>3</v>
      </c>
      <c r="Q33" s="18">
        <f t="shared" si="5"/>
        <v>2</v>
      </c>
      <c r="R33" s="18">
        <f t="shared" si="4"/>
        <v>0</v>
      </c>
      <c r="S33" s="18">
        <f t="shared" si="4"/>
        <v>0</v>
      </c>
      <c r="T33" s="18">
        <f t="shared" si="4"/>
        <v>0</v>
      </c>
      <c r="U33" s="18">
        <f t="shared" si="4"/>
        <v>0</v>
      </c>
      <c r="V33" s="18">
        <f t="shared" si="4"/>
        <v>0</v>
      </c>
      <c r="W33" s="18">
        <f t="shared" si="4"/>
        <v>1</v>
      </c>
    </row>
    <row r="34" spans="1:23" x14ac:dyDescent="0.15">
      <c r="A34" s="22" t="str">
        <f t="shared" si="1"/>
        <v>20010_3-1/32&lt;lv30&gt;s5</v>
      </c>
      <c r="B34" s="18">
        <f t="shared" si="5"/>
        <v>20010</v>
      </c>
      <c r="C34" s="18">
        <f t="shared" si="5"/>
        <v>3</v>
      </c>
      <c r="D34" s="18">
        <f t="shared" si="5"/>
        <v>1</v>
      </c>
      <c r="E34" s="18">
        <f t="shared" si="5"/>
        <v>32</v>
      </c>
      <c r="F34" s="18">
        <f t="shared" si="5"/>
        <v>30</v>
      </c>
      <c r="G34" s="18">
        <f t="shared" si="5"/>
        <v>1.6</v>
      </c>
      <c r="H34" s="18">
        <f t="shared" si="5"/>
        <v>1.6</v>
      </c>
      <c r="I34" s="18">
        <f t="shared" si="5"/>
        <v>0</v>
      </c>
      <c r="J34" s="18">
        <f t="shared" si="5"/>
        <v>0</v>
      </c>
      <c r="K34" s="18">
        <f t="shared" si="5"/>
        <v>0</v>
      </c>
      <c r="L34" s="18">
        <f t="shared" si="5"/>
        <v>100</v>
      </c>
      <c r="M34" s="18">
        <f t="shared" si="5"/>
        <v>0</v>
      </c>
      <c r="N34" s="18">
        <f t="shared" si="5"/>
        <v>5</v>
      </c>
      <c r="O34" s="18">
        <f t="shared" si="5"/>
        <v>32</v>
      </c>
      <c r="P34" s="18">
        <f t="shared" si="5"/>
        <v>3</v>
      </c>
      <c r="Q34" s="18">
        <f t="shared" si="5"/>
        <v>2</v>
      </c>
      <c r="R34" s="18">
        <f t="shared" si="4"/>
        <v>0</v>
      </c>
      <c r="S34" s="18">
        <f t="shared" si="4"/>
        <v>0</v>
      </c>
      <c r="T34" s="18">
        <f t="shared" si="4"/>
        <v>0</v>
      </c>
      <c r="U34" s="18">
        <f t="shared" si="4"/>
        <v>0</v>
      </c>
      <c r="V34" s="18">
        <f t="shared" si="4"/>
        <v>0</v>
      </c>
      <c r="W34" s="18">
        <f t="shared" si="4"/>
        <v>1</v>
      </c>
    </row>
    <row r="35" spans="1:23" x14ac:dyDescent="0.15">
      <c r="A35" s="22" t="str">
        <f t="shared" si="1"/>
        <v>20010_3-1/346&lt;lv10&gt;s3</v>
      </c>
      <c r="B35" s="18">
        <f t="shared" si="5"/>
        <v>20010</v>
      </c>
      <c r="C35" s="18">
        <f t="shared" si="5"/>
        <v>3</v>
      </c>
      <c r="D35" s="18">
        <f t="shared" si="5"/>
        <v>1</v>
      </c>
      <c r="E35" s="18">
        <f t="shared" si="5"/>
        <v>346</v>
      </c>
      <c r="F35" s="18">
        <f t="shared" si="5"/>
        <v>10</v>
      </c>
      <c r="G35" s="18">
        <f t="shared" si="5"/>
        <v>0.3</v>
      </c>
      <c r="H35" s="18">
        <f t="shared" si="5"/>
        <v>1</v>
      </c>
      <c r="I35" s="18">
        <f t="shared" si="5"/>
        <v>0</v>
      </c>
      <c r="J35" s="18">
        <f t="shared" si="5"/>
        <v>0</v>
      </c>
      <c r="K35" s="18">
        <f t="shared" si="5"/>
        <v>1</v>
      </c>
      <c r="L35" s="18">
        <f t="shared" si="5"/>
        <v>100</v>
      </c>
      <c r="M35" s="18">
        <f t="shared" si="5"/>
        <v>1</v>
      </c>
      <c r="N35" s="18">
        <f t="shared" si="5"/>
        <v>3</v>
      </c>
      <c r="O35" s="18">
        <f t="shared" si="5"/>
        <v>346</v>
      </c>
      <c r="P35" s="18">
        <f t="shared" si="5"/>
        <v>1</v>
      </c>
      <c r="Q35" s="18">
        <f t="shared" si="5"/>
        <v>5</v>
      </c>
      <c r="R35" s="18">
        <f t="shared" si="4"/>
        <v>40</v>
      </c>
      <c r="S35" s="18">
        <f t="shared" si="4"/>
        <v>0</v>
      </c>
      <c r="T35" s="18">
        <f t="shared" si="4"/>
        <v>0</v>
      </c>
      <c r="U35" s="18">
        <f t="shared" si="4"/>
        <v>0</v>
      </c>
      <c r="V35" s="18">
        <f t="shared" si="4"/>
        <v>0</v>
      </c>
      <c r="W35" s="18">
        <f t="shared" si="4"/>
        <v>1</v>
      </c>
    </row>
    <row r="36" spans="1:23" x14ac:dyDescent="0.15">
      <c r="A36" s="22" t="str">
        <f t="shared" si="1"/>
        <v>20010_3-1/121&lt;lv10&gt;s1</v>
      </c>
      <c r="B36" s="18">
        <f t="shared" si="5"/>
        <v>20010</v>
      </c>
      <c r="C36" s="18">
        <f t="shared" si="5"/>
        <v>3</v>
      </c>
      <c r="D36" s="18">
        <f t="shared" si="5"/>
        <v>1</v>
      </c>
      <c r="E36" s="18">
        <f t="shared" si="5"/>
        <v>121</v>
      </c>
      <c r="F36" s="18">
        <f t="shared" si="5"/>
        <v>10</v>
      </c>
      <c r="G36" s="18">
        <f t="shared" si="5"/>
        <v>0.3</v>
      </c>
      <c r="H36" s="18">
        <f t="shared" si="5"/>
        <v>1</v>
      </c>
      <c r="I36" s="18">
        <f t="shared" si="5"/>
        <v>0</v>
      </c>
      <c r="J36" s="18">
        <f t="shared" si="5"/>
        <v>0</v>
      </c>
      <c r="K36" s="18">
        <f t="shared" si="5"/>
        <v>0</v>
      </c>
      <c r="L36" s="18">
        <f t="shared" si="5"/>
        <v>100</v>
      </c>
      <c r="M36" s="18">
        <f t="shared" si="5"/>
        <v>0</v>
      </c>
      <c r="N36" s="18">
        <f t="shared" si="5"/>
        <v>1</v>
      </c>
      <c r="O36" s="18">
        <f t="shared" si="5"/>
        <v>121</v>
      </c>
      <c r="P36" s="18">
        <f t="shared" si="5"/>
        <v>1</v>
      </c>
      <c r="Q36" s="18">
        <f t="shared" si="5"/>
        <v>3</v>
      </c>
      <c r="R36" s="18">
        <f t="shared" si="4"/>
        <v>40</v>
      </c>
      <c r="S36" s="18">
        <f t="shared" si="4"/>
        <v>0</v>
      </c>
      <c r="T36" s="18">
        <f t="shared" si="4"/>
        <v>0</v>
      </c>
      <c r="U36" s="18">
        <f t="shared" si="4"/>
        <v>0</v>
      </c>
      <c r="V36" s="18">
        <f t="shared" si="4"/>
        <v>0</v>
      </c>
      <c r="W36" s="18">
        <f t="shared" si="4"/>
        <v>1</v>
      </c>
    </row>
    <row r="37" spans="1:23" x14ac:dyDescent="0.15">
      <c r="A37" s="22" t="str">
        <f t="shared" si="1"/>
        <v>20010_3-2/220&lt;lv35&gt;s2</v>
      </c>
      <c r="B37" s="18">
        <f t="shared" si="5"/>
        <v>20010</v>
      </c>
      <c r="C37" s="18">
        <f t="shared" si="5"/>
        <v>3</v>
      </c>
      <c r="D37" s="18">
        <f t="shared" si="5"/>
        <v>2</v>
      </c>
      <c r="E37" s="18">
        <f t="shared" si="5"/>
        <v>220</v>
      </c>
      <c r="F37" s="18">
        <f t="shared" si="5"/>
        <v>35</v>
      </c>
      <c r="G37" s="18">
        <f t="shared" si="5"/>
        <v>2.2000000000000002</v>
      </c>
      <c r="H37" s="18">
        <f t="shared" si="5"/>
        <v>1.2</v>
      </c>
      <c r="I37" s="18">
        <f t="shared" si="5"/>
        <v>0</v>
      </c>
      <c r="J37" s="18">
        <f t="shared" si="5"/>
        <v>22001</v>
      </c>
      <c r="K37" s="18">
        <f t="shared" si="5"/>
        <v>1</v>
      </c>
      <c r="L37" s="18">
        <f t="shared" si="5"/>
        <v>100</v>
      </c>
      <c r="M37" s="18">
        <f t="shared" si="5"/>
        <v>1</v>
      </c>
      <c r="N37" s="18">
        <f t="shared" si="5"/>
        <v>2</v>
      </c>
      <c r="O37" s="18">
        <f t="shared" si="5"/>
        <v>220</v>
      </c>
      <c r="P37" s="18">
        <f t="shared" si="5"/>
        <v>1</v>
      </c>
      <c r="Q37" s="18">
        <f t="shared" si="5"/>
        <v>3</v>
      </c>
      <c r="R37" s="18">
        <f t="shared" si="4"/>
        <v>0</v>
      </c>
      <c r="S37" s="18">
        <f t="shared" si="4"/>
        <v>0</v>
      </c>
      <c r="T37" s="18">
        <f t="shared" si="4"/>
        <v>0</v>
      </c>
      <c r="U37" s="18">
        <f t="shared" si="4"/>
        <v>0</v>
      </c>
      <c r="V37" s="18">
        <f t="shared" si="4"/>
        <v>0</v>
      </c>
      <c r="W37" s="18">
        <f t="shared" si="4"/>
        <v>1</v>
      </c>
    </row>
    <row r="38" spans="1:23" x14ac:dyDescent="0.15">
      <c r="A38" s="22" t="str">
        <f t="shared" si="1"/>
        <v>20010_3-3/305&lt;lv50&gt;s2</v>
      </c>
      <c r="B38" s="18">
        <f t="shared" si="5"/>
        <v>20010</v>
      </c>
      <c r="C38" s="18">
        <f t="shared" si="5"/>
        <v>3</v>
      </c>
      <c r="D38" s="18">
        <f t="shared" si="5"/>
        <v>3</v>
      </c>
      <c r="E38" s="18">
        <f t="shared" si="5"/>
        <v>305</v>
      </c>
      <c r="F38" s="18">
        <f t="shared" si="5"/>
        <v>50</v>
      </c>
      <c r="G38" s="18">
        <f t="shared" si="5"/>
        <v>3.5</v>
      </c>
      <c r="H38" s="18">
        <f t="shared" si="5"/>
        <v>0.9</v>
      </c>
      <c r="I38" s="18">
        <f t="shared" si="5"/>
        <v>0</v>
      </c>
      <c r="J38" s="18">
        <f t="shared" si="5"/>
        <v>30501</v>
      </c>
      <c r="K38" s="18">
        <f t="shared" si="5"/>
        <v>1</v>
      </c>
      <c r="L38" s="18">
        <f t="shared" si="5"/>
        <v>100</v>
      </c>
      <c r="M38" s="18">
        <f t="shared" si="5"/>
        <v>1</v>
      </c>
      <c r="N38" s="18">
        <f t="shared" si="5"/>
        <v>2</v>
      </c>
      <c r="O38" s="18">
        <f t="shared" si="5"/>
        <v>304</v>
      </c>
      <c r="P38" s="18">
        <f t="shared" si="5"/>
        <v>1</v>
      </c>
      <c r="Q38" s="18">
        <f t="shared" si="5"/>
        <v>3</v>
      </c>
      <c r="R38" s="18">
        <f ca="1">VLOOKUP($A38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38" s="18">
        <f t="shared" si="4"/>
        <v>0</v>
      </c>
      <c r="T38" s="18">
        <f t="shared" si="4"/>
        <v>0</v>
      </c>
      <c r="U38" s="18">
        <f t="shared" si="4"/>
        <v>0</v>
      </c>
      <c r="V38" s="18">
        <f t="shared" si="4"/>
        <v>0</v>
      </c>
      <c r="W38" s="18">
        <f t="shared" si="4"/>
        <v>1</v>
      </c>
    </row>
    <row r="39" spans="1:23" x14ac:dyDescent="0.15">
      <c r="A39" s="22" t="str">
        <f t="shared" si="1"/>
        <v>20010_3-3/35&lt;lv35&gt;s4</v>
      </c>
      <c r="B39" s="18">
        <f t="shared" si="5"/>
        <v>20010</v>
      </c>
      <c r="C39" s="18">
        <f t="shared" si="5"/>
        <v>3</v>
      </c>
      <c r="D39" s="18">
        <f t="shared" si="5"/>
        <v>3</v>
      </c>
      <c r="E39" s="18">
        <f t="shared" si="5"/>
        <v>35</v>
      </c>
      <c r="F39" s="18">
        <f t="shared" si="5"/>
        <v>35</v>
      </c>
      <c r="G39" s="18">
        <f t="shared" si="5"/>
        <v>2.5</v>
      </c>
      <c r="H39" s="18">
        <f t="shared" si="5"/>
        <v>0.3</v>
      </c>
      <c r="I39" s="18">
        <f t="shared" si="5"/>
        <v>0</v>
      </c>
      <c r="J39" s="18">
        <f t="shared" si="5"/>
        <v>3501</v>
      </c>
      <c r="K39" s="18">
        <f t="shared" si="5"/>
        <v>2</v>
      </c>
      <c r="L39" s="18">
        <f t="shared" si="5"/>
        <v>100</v>
      </c>
      <c r="M39" s="18">
        <f t="shared" si="5"/>
        <v>0</v>
      </c>
      <c r="N39" s="18">
        <f t="shared" si="5"/>
        <v>4</v>
      </c>
      <c r="O39" s="18">
        <f t="shared" si="5"/>
        <v>35</v>
      </c>
      <c r="P39" s="18">
        <f t="shared" si="5"/>
        <v>1</v>
      </c>
      <c r="Q39" s="18">
        <f t="shared" si="5"/>
        <v>2</v>
      </c>
      <c r="R39" s="18">
        <f t="shared" si="4"/>
        <v>0</v>
      </c>
      <c r="S39" s="18">
        <f t="shared" si="4"/>
        <v>0</v>
      </c>
      <c r="T39" s="18">
        <f t="shared" si="4"/>
        <v>0</v>
      </c>
      <c r="U39" s="18">
        <f t="shared" si="4"/>
        <v>0</v>
      </c>
      <c r="V39" s="18">
        <f t="shared" si="4"/>
        <v>0</v>
      </c>
      <c r="W39" s="18">
        <f t="shared" si="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floors_drop_3_2</vt:lpstr>
      <vt:lpstr>enemy_habitats_drop_3_2</vt:lpstr>
      <vt:lpstr>floors_drop_3_2.tmp</vt:lpstr>
      <vt:lpstr>enemy_habitats_drop_3_2.tmp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2017-03-08T04:15:44Z</dcterms:modified>
</cp:coreProperties>
</file>