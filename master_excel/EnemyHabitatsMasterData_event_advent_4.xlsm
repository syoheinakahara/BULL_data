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codeName="ThisWorkbook" autoCompressPictures="0"/>
  <bookViews>
    <workbookView xWindow="30820" yWindow="260" windowWidth="35900" windowHeight="139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enemy_habitat_S!$B$1:$Y$3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1" l="1"/>
  <c r="O36" i="9"/>
  <c r="N36" i="9"/>
  <c r="M36" i="9"/>
  <c r="L36" i="9"/>
  <c r="K36" i="9"/>
  <c r="J36" i="9"/>
  <c r="I36" i="9"/>
  <c r="H36" i="9"/>
  <c r="G36" i="9"/>
  <c r="E36" i="9"/>
  <c r="D36" i="9"/>
  <c r="A36" i="9"/>
  <c r="L30" i="10"/>
  <c r="S30" i="10"/>
  <c r="V30" i="10"/>
  <c r="U30" i="10"/>
  <c r="W30" i="10"/>
  <c r="T30" i="10"/>
  <c r="X30" i="10"/>
  <c r="M30" i="10"/>
  <c r="P30" i="10"/>
  <c r="O30" i="10"/>
  <c r="Q30" i="10"/>
  <c r="N30" i="10"/>
  <c r="R30" i="10"/>
  <c r="F30" i="10"/>
  <c r="I30" i="10"/>
  <c r="H30" i="10"/>
  <c r="J30" i="10"/>
  <c r="G30" i="10"/>
  <c r="K30" i="10"/>
  <c r="F7" i="10"/>
  <c r="G7" i="10"/>
  <c r="H7" i="10"/>
  <c r="I7" i="10"/>
  <c r="J7" i="10"/>
  <c r="F8" i="10"/>
  <c r="G8" i="10"/>
  <c r="H8" i="10"/>
  <c r="I8" i="10"/>
  <c r="J8" i="10"/>
  <c r="F9" i="10"/>
  <c r="G9" i="10"/>
  <c r="H9" i="10"/>
  <c r="I9" i="10"/>
  <c r="J9" i="10"/>
  <c r="F10" i="10"/>
  <c r="G10" i="10"/>
  <c r="H10" i="10"/>
  <c r="I10" i="10"/>
  <c r="J10" i="10"/>
  <c r="F11" i="10"/>
  <c r="G11" i="10"/>
  <c r="H11" i="10"/>
  <c r="I11" i="10"/>
  <c r="J11" i="10"/>
  <c r="F12" i="10"/>
  <c r="G12" i="10"/>
  <c r="H12" i="10"/>
  <c r="I12" i="10"/>
  <c r="J12" i="10"/>
  <c r="F13" i="10"/>
  <c r="G13" i="10"/>
  <c r="H13" i="10"/>
  <c r="I13" i="10"/>
  <c r="J13" i="10"/>
  <c r="F14" i="10"/>
  <c r="G14" i="10"/>
  <c r="H14" i="10"/>
  <c r="I14" i="10"/>
  <c r="J14" i="10"/>
  <c r="F15" i="10"/>
  <c r="G15" i="10"/>
  <c r="H15" i="10"/>
  <c r="I15" i="10"/>
  <c r="J15" i="10"/>
  <c r="F16" i="10"/>
  <c r="G16" i="10"/>
  <c r="H16" i="10"/>
  <c r="I16" i="10"/>
  <c r="J16" i="10"/>
  <c r="F17" i="10"/>
  <c r="G17" i="10"/>
  <c r="H17" i="10"/>
  <c r="I17" i="10"/>
  <c r="J17" i="10"/>
  <c r="F18" i="10"/>
  <c r="G18" i="10"/>
  <c r="H18" i="10"/>
  <c r="I18" i="10"/>
  <c r="J18" i="10"/>
  <c r="F19" i="10"/>
  <c r="G19" i="10"/>
  <c r="H19" i="10"/>
  <c r="I19" i="10"/>
  <c r="J19" i="10"/>
  <c r="F20" i="10"/>
  <c r="G20" i="10"/>
  <c r="H20" i="10"/>
  <c r="I20" i="10"/>
  <c r="J20" i="10"/>
  <c r="F21" i="10"/>
  <c r="G21" i="10"/>
  <c r="H21" i="10"/>
  <c r="I21" i="10"/>
  <c r="J21" i="10"/>
  <c r="F22" i="10"/>
  <c r="G22" i="10"/>
  <c r="H22" i="10"/>
  <c r="I22" i="10"/>
  <c r="J22" i="10"/>
  <c r="F23" i="10"/>
  <c r="G23" i="10"/>
  <c r="H23" i="10"/>
  <c r="I23" i="10"/>
  <c r="J23" i="10"/>
  <c r="F24" i="10"/>
  <c r="G24" i="10"/>
  <c r="H24" i="10"/>
  <c r="I24" i="10"/>
  <c r="J24" i="10"/>
  <c r="F25" i="10"/>
  <c r="G25" i="10"/>
  <c r="H25" i="10"/>
  <c r="I25" i="10"/>
  <c r="J25" i="10"/>
  <c r="F26" i="10"/>
  <c r="G26" i="10"/>
  <c r="H26" i="10"/>
  <c r="I26" i="10"/>
  <c r="J26" i="10"/>
  <c r="F27" i="10"/>
  <c r="G27" i="10"/>
  <c r="H27" i="10"/>
  <c r="I27" i="10"/>
  <c r="J27" i="10"/>
  <c r="F28" i="10"/>
  <c r="G28" i="10"/>
  <c r="H28" i="10"/>
  <c r="I28" i="10"/>
  <c r="J28" i="10"/>
  <c r="F29" i="10"/>
  <c r="G29" i="10"/>
  <c r="H29" i="10"/>
  <c r="I29" i="10"/>
  <c r="J29" i="10"/>
  <c r="K7" i="10"/>
  <c r="L7" i="10"/>
  <c r="L21" i="10"/>
  <c r="M21" i="10"/>
  <c r="P21" i="10"/>
  <c r="O21" i="10"/>
  <c r="Q21" i="10"/>
  <c r="N21" i="10"/>
  <c r="R21" i="10"/>
  <c r="M7" i="10"/>
  <c r="N7" i="10"/>
  <c r="O7" i="10"/>
  <c r="P7" i="10"/>
  <c r="Q7" i="10"/>
  <c r="R7" i="10"/>
  <c r="S7" i="10"/>
  <c r="T7" i="10"/>
  <c r="U7" i="10"/>
  <c r="V7" i="10"/>
  <c r="W7" i="10"/>
  <c r="X7" i="10"/>
  <c r="K8" i="10"/>
  <c r="L8" i="10"/>
  <c r="L22" i="10"/>
  <c r="M22" i="10"/>
  <c r="P22" i="10"/>
  <c r="O22" i="10"/>
  <c r="Q22" i="10"/>
  <c r="N22" i="10"/>
  <c r="R22" i="10"/>
  <c r="M8" i="10"/>
  <c r="N8" i="10"/>
  <c r="O8" i="10"/>
  <c r="P8" i="10"/>
  <c r="Q8" i="10"/>
  <c r="R8" i="10"/>
  <c r="S8" i="10"/>
  <c r="T8" i="10"/>
  <c r="U8" i="10"/>
  <c r="V8" i="10"/>
  <c r="W8" i="10"/>
  <c r="X8" i="10"/>
  <c r="K9" i="10"/>
  <c r="L9" i="10"/>
  <c r="L23" i="10"/>
  <c r="M23" i="10"/>
  <c r="P23" i="10"/>
  <c r="O23" i="10"/>
  <c r="Q23" i="10"/>
  <c r="N23" i="10"/>
  <c r="R23" i="10"/>
  <c r="M9" i="10"/>
  <c r="N9" i="10"/>
  <c r="O9" i="10"/>
  <c r="P9" i="10"/>
  <c r="Q9" i="10"/>
  <c r="R9" i="10"/>
  <c r="S9" i="10"/>
  <c r="T9" i="10"/>
  <c r="U9" i="10"/>
  <c r="V9" i="10"/>
  <c r="W9" i="10"/>
  <c r="X9" i="10"/>
  <c r="K10" i="10"/>
  <c r="L10" i="10"/>
  <c r="L24" i="10"/>
  <c r="M24" i="10"/>
  <c r="P24" i="10"/>
  <c r="O24" i="10"/>
  <c r="Q24" i="10"/>
  <c r="N24" i="10"/>
  <c r="R24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K11" i="10"/>
  <c r="L11" i="10"/>
  <c r="L25" i="10"/>
  <c r="M25" i="10"/>
  <c r="P25" i="10"/>
  <c r="O25" i="10"/>
  <c r="Q25" i="10"/>
  <c r="N25" i="10"/>
  <c r="R25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K12" i="10"/>
  <c r="L12" i="10"/>
  <c r="L26" i="10"/>
  <c r="M26" i="10"/>
  <c r="P26" i="10"/>
  <c r="O26" i="10"/>
  <c r="Q26" i="10"/>
  <c r="N26" i="10"/>
  <c r="R26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K13" i="10"/>
  <c r="L13" i="10"/>
  <c r="L27" i="10"/>
  <c r="M27" i="10"/>
  <c r="P27" i="10"/>
  <c r="O27" i="10"/>
  <c r="Q27" i="10"/>
  <c r="N27" i="10"/>
  <c r="R27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K14" i="10"/>
  <c r="L14" i="10"/>
  <c r="L28" i="10"/>
  <c r="M28" i="10"/>
  <c r="P28" i="10"/>
  <c r="O28" i="10"/>
  <c r="Q28" i="10"/>
  <c r="N28" i="10"/>
  <c r="R28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K15" i="10"/>
  <c r="L15" i="10"/>
  <c r="L29" i="10"/>
  <c r="M29" i="10"/>
  <c r="P29" i="10"/>
  <c r="O29" i="10"/>
  <c r="Q29" i="10"/>
  <c r="N29" i="10"/>
  <c r="R29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K21" i="10"/>
  <c r="S21" i="10"/>
  <c r="T21" i="10"/>
  <c r="U21" i="10"/>
  <c r="V21" i="10"/>
  <c r="W21" i="10"/>
  <c r="X21" i="10"/>
  <c r="K22" i="10"/>
  <c r="S22" i="10"/>
  <c r="T22" i="10"/>
  <c r="U22" i="10"/>
  <c r="V22" i="10"/>
  <c r="W22" i="10"/>
  <c r="X22" i="10"/>
  <c r="K23" i="10"/>
  <c r="S23" i="10"/>
  <c r="T23" i="10"/>
  <c r="U23" i="10"/>
  <c r="V23" i="10"/>
  <c r="W23" i="10"/>
  <c r="X23" i="10"/>
  <c r="K24" i="10"/>
  <c r="S24" i="10"/>
  <c r="T24" i="10"/>
  <c r="U24" i="10"/>
  <c r="V24" i="10"/>
  <c r="W24" i="10"/>
  <c r="X24" i="10"/>
  <c r="K25" i="10"/>
  <c r="S25" i="10"/>
  <c r="T25" i="10"/>
  <c r="U25" i="10"/>
  <c r="V25" i="10"/>
  <c r="W25" i="10"/>
  <c r="X25" i="10"/>
  <c r="K26" i="10"/>
  <c r="S26" i="10"/>
  <c r="T26" i="10"/>
  <c r="U26" i="10"/>
  <c r="V26" i="10"/>
  <c r="W26" i="10"/>
  <c r="X26" i="10"/>
  <c r="K27" i="10"/>
  <c r="S27" i="10"/>
  <c r="T27" i="10"/>
  <c r="U27" i="10"/>
  <c r="V27" i="10"/>
  <c r="W27" i="10"/>
  <c r="X27" i="10"/>
  <c r="K28" i="10"/>
  <c r="S28" i="10"/>
  <c r="T28" i="10"/>
  <c r="U28" i="10"/>
  <c r="V28" i="10"/>
  <c r="W28" i="10"/>
  <c r="X28" i="10"/>
  <c r="K29" i="10"/>
  <c r="S29" i="10"/>
  <c r="T29" i="10"/>
  <c r="U29" i="10"/>
  <c r="V29" i="10"/>
  <c r="W29" i="10"/>
  <c r="X29" i="10"/>
  <c r="H3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5" i="10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L3" i="10"/>
  <c r="S3" i="10"/>
  <c r="V3" i="10"/>
  <c r="U3" i="10"/>
  <c r="W3" i="10"/>
  <c r="T3" i="10"/>
  <c r="X3" i="10"/>
  <c r="M3" i="10"/>
  <c r="P3" i="10"/>
  <c r="O3" i="10"/>
  <c r="Q3" i="10"/>
  <c r="N3" i="10"/>
  <c r="R3" i="10"/>
  <c r="F3" i="10"/>
  <c r="I3" i="10"/>
  <c r="J3" i="10"/>
  <c r="G3" i="10"/>
  <c r="K3" i="10"/>
  <c r="L2" i="10"/>
  <c r="S2" i="10"/>
  <c r="V2" i="10"/>
  <c r="U2" i="10"/>
  <c r="W2" i="10"/>
  <c r="T2" i="10"/>
  <c r="X2" i="10"/>
  <c r="M2" i="10"/>
  <c r="P2" i="10"/>
  <c r="O2" i="10"/>
  <c r="Q2" i="10"/>
  <c r="N2" i="10"/>
  <c r="R2" i="10"/>
  <c r="F2" i="10"/>
  <c r="I2" i="10"/>
  <c r="H2" i="10"/>
  <c r="J2" i="10"/>
  <c r="G2" i="10"/>
  <c r="K2" i="10"/>
  <c r="O28" i="9"/>
  <c r="N28" i="9"/>
  <c r="M28" i="9"/>
  <c r="L28" i="9"/>
  <c r="K28" i="9"/>
  <c r="J28" i="9"/>
  <c r="I28" i="9"/>
  <c r="H28" i="9"/>
  <c r="G28" i="9"/>
  <c r="E28" i="9"/>
  <c r="D28" i="9"/>
  <c r="A28" i="9"/>
  <c r="O35" i="9"/>
  <c r="N35" i="9"/>
  <c r="M35" i="9"/>
  <c r="L35" i="9"/>
  <c r="K35" i="9"/>
  <c r="J35" i="9"/>
  <c r="I35" i="9"/>
  <c r="H35" i="9"/>
  <c r="G35" i="9"/>
  <c r="E35" i="9"/>
  <c r="D35" i="9"/>
  <c r="A35" i="9"/>
  <c r="J30" i="11"/>
  <c r="J19" i="11"/>
  <c r="O34" i="9"/>
  <c r="N34" i="9"/>
  <c r="M34" i="9"/>
  <c r="L34" i="9"/>
  <c r="K34" i="9"/>
  <c r="J34" i="9"/>
  <c r="I34" i="9"/>
  <c r="H34" i="9"/>
  <c r="G34" i="9"/>
  <c r="E34" i="9"/>
  <c r="D34" i="9"/>
  <c r="A34" i="9"/>
  <c r="O27" i="9"/>
  <c r="N27" i="9"/>
  <c r="M27" i="9"/>
  <c r="L27" i="9"/>
  <c r="K27" i="9"/>
  <c r="J27" i="9"/>
  <c r="I27" i="9"/>
  <c r="H27" i="9"/>
  <c r="G27" i="9"/>
  <c r="E27" i="9"/>
  <c r="D27" i="9"/>
  <c r="A27" i="9"/>
  <c r="J18" i="11"/>
  <c r="O29" i="9"/>
  <c r="N29" i="9"/>
  <c r="M29" i="9"/>
  <c r="L29" i="9"/>
  <c r="K29" i="9"/>
  <c r="J29" i="9"/>
  <c r="I29" i="9"/>
  <c r="H29" i="9"/>
  <c r="G29" i="9"/>
  <c r="E29" i="9"/>
  <c r="D29" i="9"/>
  <c r="A29" i="9"/>
  <c r="J29" i="11"/>
  <c r="O21" i="9"/>
  <c r="N21" i="9"/>
  <c r="M21" i="9"/>
  <c r="L21" i="9"/>
  <c r="K21" i="9"/>
  <c r="J21" i="9"/>
  <c r="I21" i="9"/>
  <c r="H21" i="9"/>
  <c r="G21" i="9"/>
  <c r="E21" i="9"/>
  <c r="D21" i="9"/>
  <c r="A21" i="9"/>
  <c r="L4" i="9"/>
  <c r="Y2" i="7"/>
  <c r="E7" i="9"/>
  <c r="X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G6" i="2"/>
  <c r="A6" i="2"/>
  <c r="J2" i="7"/>
  <c r="I2" i="7"/>
  <c r="D2" i="7"/>
  <c r="F2" i="7"/>
  <c r="E2" i="7"/>
  <c r="A2" i="7"/>
  <c r="J27" i="11"/>
  <c r="O33" i="9"/>
  <c r="N33" i="9"/>
  <c r="M33" i="9"/>
  <c r="L33" i="9"/>
  <c r="K33" i="9"/>
  <c r="J33" i="9"/>
  <c r="I33" i="9"/>
  <c r="H33" i="9"/>
  <c r="G33" i="9"/>
  <c r="E33" i="9"/>
  <c r="D33" i="9"/>
  <c r="A33" i="9"/>
  <c r="J26" i="11"/>
  <c r="O32" i="9"/>
  <c r="N32" i="9"/>
  <c r="M32" i="9"/>
  <c r="L32" i="9"/>
  <c r="K32" i="9"/>
  <c r="J32" i="9"/>
  <c r="I32" i="9"/>
  <c r="H32" i="9"/>
  <c r="G32" i="9"/>
  <c r="E32" i="9"/>
  <c r="D32" i="9"/>
  <c r="A32" i="9"/>
  <c r="J25" i="11"/>
  <c r="O31" i="9"/>
  <c r="N31" i="9"/>
  <c r="M31" i="9"/>
  <c r="L31" i="9"/>
  <c r="K31" i="9"/>
  <c r="J31" i="9"/>
  <c r="I31" i="9"/>
  <c r="H31" i="9"/>
  <c r="G31" i="9"/>
  <c r="E31" i="9"/>
  <c r="D31" i="9"/>
  <c r="A31" i="9"/>
  <c r="J24" i="11"/>
  <c r="O30" i="9"/>
  <c r="N30" i="9"/>
  <c r="M30" i="9"/>
  <c r="L30" i="9"/>
  <c r="K30" i="9"/>
  <c r="J30" i="9"/>
  <c r="I30" i="9"/>
  <c r="H30" i="9"/>
  <c r="G30" i="9"/>
  <c r="E30" i="9"/>
  <c r="D30" i="9"/>
  <c r="A30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28" i="11"/>
  <c r="J2" i="11"/>
  <c r="A3" i="9"/>
  <c r="A4" i="9"/>
  <c r="A5" i="9"/>
  <c r="A6" i="9"/>
  <c r="A7" i="9"/>
  <c r="A8" i="9"/>
  <c r="A9" i="9"/>
  <c r="A10" i="9"/>
  <c r="A11" i="9"/>
  <c r="A12" i="9"/>
  <c r="A13" i="9"/>
  <c r="A15" i="9"/>
  <c r="A16" i="9"/>
  <c r="A17" i="9"/>
  <c r="A18" i="9"/>
  <c r="A19" i="9"/>
  <c r="A20" i="9"/>
  <c r="A22" i="9"/>
  <c r="A23" i="9"/>
  <c r="A24" i="9"/>
  <c r="A25" i="9"/>
  <c r="A26" i="9"/>
  <c r="D3" i="9"/>
  <c r="E3" i="9"/>
  <c r="D4" i="9"/>
  <c r="E4" i="9"/>
  <c r="D5" i="9"/>
  <c r="E5" i="9"/>
  <c r="D6" i="9"/>
  <c r="E6" i="9"/>
  <c r="D7" i="9"/>
  <c r="D8" i="9"/>
  <c r="E8" i="9"/>
  <c r="D9" i="9"/>
  <c r="E9" i="9"/>
  <c r="D10" i="9"/>
  <c r="E10" i="9"/>
  <c r="D11" i="9"/>
  <c r="E11" i="9"/>
  <c r="D12" i="9"/>
  <c r="E12" i="9"/>
  <c r="D13" i="9"/>
  <c r="E13" i="9"/>
  <c r="D15" i="9"/>
  <c r="E15" i="9"/>
  <c r="D16" i="9"/>
  <c r="E16" i="9"/>
  <c r="D17" i="9"/>
  <c r="E17" i="9"/>
  <c r="D18" i="9"/>
  <c r="E18" i="9"/>
  <c r="D19" i="9"/>
  <c r="E19" i="9"/>
  <c r="D20" i="9"/>
  <c r="E20" i="9"/>
  <c r="D22" i="9"/>
  <c r="E22" i="9"/>
  <c r="D23" i="9"/>
  <c r="E23" i="9"/>
  <c r="D24" i="9"/>
  <c r="E24" i="9"/>
  <c r="D25" i="9"/>
  <c r="E25" i="9"/>
  <c r="D26" i="9"/>
  <c r="E26" i="9"/>
  <c r="O26" i="9"/>
  <c r="N26" i="9"/>
  <c r="M26" i="9"/>
  <c r="L26" i="9"/>
  <c r="K26" i="9"/>
  <c r="J26" i="9"/>
  <c r="I26" i="9"/>
  <c r="H26" i="9"/>
  <c r="G26" i="9"/>
  <c r="O25" i="9"/>
  <c r="N25" i="9"/>
  <c r="M25" i="9"/>
  <c r="L25" i="9"/>
  <c r="K25" i="9"/>
  <c r="J25" i="9"/>
  <c r="I25" i="9"/>
  <c r="H25" i="9"/>
  <c r="G25" i="9"/>
  <c r="O24" i="9"/>
  <c r="N24" i="9"/>
  <c r="M24" i="9"/>
  <c r="L24" i="9"/>
  <c r="K24" i="9"/>
  <c r="J24" i="9"/>
  <c r="I24" i="9"/>
  <c r="H24" i="9"/>
  <c r="G24" i="9"/>
  <c r="J23" i="11"/>
  <c r="O23" i="9"/>
  <c r="N23" i="9"/>
  <c r="M23" i="9"/>
  <c r="L23" i="9"/>
  <c r="K23" i="9"/>
  <c r="J23" i="9"/>
  <c r="I23" i="9"/>
  <c r="H23" i="9"/>
  <c r="G23" i="9"/>
  <c r="J22" i="11"/>
  <c r="O22" i="9"/>
  <c r="N22" i="9"/>
  <c r="M22" i="9"/>
  <c r="L22" i="9"/>
  <c r="K22" i="9"/>
  <c r="J22" i="9"/>
  <c r="I22" i="9"/>
  <c r="H22" i="9"/>
  <c r="G22" i="9"/>
  <c r="J21" i="11"/>
  <c r="J20" i="11"/>
  <c r="O20" i="9"/>
  <c r="N20" i="9"/>
  <c r="M20" i="9"/>
  <c r="L20" i="9"/>
  <c r="K20" i="9"/>
  <c r="J20" i="9"/>
  <c r="I20" i="9"/>
  <c r="H20" i="9"/>
  <c r="G20" i="9"/>
  <c r="O19" i="9"/>
  <c r="N19" i="9"/>
  <c r="M19" i="9"/>
  <c r="L19" i="9"/>
  <c r="K19" i="9"/>
  <c r="J19" i="9"/>
  <c r="I19" i="9"/>
  <c r="H19" i="9"/>
  <c r="G19" i="9"/>
  <c r="O18" i="9"/>
  <c r="N18" i="9"/>
  <c r="M18" i="9"/>
  <c r="L18" i="9"/>
  <c r="K18" i="9"/>
  <c r="J18" i="9"/>
  <c r="I18" i="9"/>
  <c r="H18" i="9"/>
  <c r="G18" i="9"/>
  <c r="J17" i="11"/>
  <c r="O17" i="9"/>
  <c r="N17" i="9"/>
  <c r="M17" i="9"/>
  <c r="L17" i="9"/>
  <c r="K17" i="9"/>
  <c r="J17" i="9"/>
  <c r="I17" i="9"/>
  <c r="H17" i="9"/>
  <c r="G17" i="9"/>
  <c r="J16" i="11"/>
  <c r="O16" i="9"/>
  <c r="N16" i="9"/>
  <c r="M16" i="9"/>
  <c r="L16" i="9"/>
  <c r="K16" i="9"/>
  <c r="J16" i="9"/>
  <c r="I16" i="9"/>
  <c r="H16" i="9"/>
  <c r="G16" i="9"/>
  <c r="J15" i="11"/>
  <c r="O15" i="9"/>
  <c r="N15" i="9"/>
  <c r="M15" i="9"/>
  <c r="L15" i="9"/>
  <c r="K15" i="9"/>
  <c r="J15" i="9"/>
  <c r="I15" i="9"/>
  <c r="H15" i="9"/>
  <c r="G15" i="9"/>
  <c r="O13" i="9"/>
  <c r="N13" i="9"/>
  <c r="M13" i="9"/>
  <c r="L13" i="9"/>
  <c r="K13" i="9"/>
  <c r="J13" i="9"/>
  <c r="I13" i="9"/>
  <c r="H13" i="9"/>
  <c r="G13" i="9"/>
  <c r="J13" i="11"/>
  <c r="O12" i="9"/>
  <c r="N12" i="9"/>
  <c r="M12" i="9"/>
  <c r="L12" i="9"/>
  <c r="K12" i="9"/>
  <c r="J12" i="9"/>
  <c r="I12" i="9"/>
  <c r="H12" i="9"/>
  <c r="G12" i="9"/>
  <c r="J12" i="11"/>
  <c r="O11" i="9"/>
  <c r="N11" i="9"/>
  <c r="M11" i="9"/>
  <c r="L11" i="9"/>
  <c r="K11" i="9"/>
  <c r="J11" i="9"/>
  <c r="I11" i="9"/>
  <c r="H11" i="9"/>
  <c r="G11" i="9"/>
  <c r="J11" i="11"/>
  <c r="O10" i="9"/>
  <c r="N10" i="9"/>
  <c r="M10" i="9"/>
  <c r="L10" i="9"/>
  <c r="K10" i="9"/>
  <c r="J10" i="9"/>
  <c r="I10" i="9"/>
  <c r="H10" i="9"/>
  <c r="G10" i="9"/>
  <c r="J10" i="11"/>
  <c r="O9" i="9"/>
  <c r="N9" i="9"/>
  <c r="M9" i="9"/>
  <c r="L9" i="9"/>
  <c r="K9" i="9"/>
  <c r="J9" i="9"/>
  <c r="I9" i="9"/>
  <c r="H9" i="9"/>
  <c r="G9" i="9"/>
  <c r="J9" i="11"/>
  <c r="O8" i="9"/>
  <c r="N8" i="9"/>
  <c r="M8" i="9"/>
  <c r="L8" i="9"/>
  <c r="K8" i="9"/>
  <c r="J8" i="9"/>
  <c r="I8" i="9"/>
  <c r="H8" i="9"/>
  <c r="G8" i="9"/>
  <c r="J8" i="11"/>
  <c r="O7" i="9"/>
  <c r="N7" i="9"/>
  <c r="M7" i="9"/>
  <c r="L7" i="9"/>
  <c r="K7" i="9"/>
  <c r="J7" i="9"/>
  <c r="I7" i="9"/>
  <c r="H7" i="9"/>
  <c r="G7" i="9"/>
  <c r="J7" i="11"/>
  <c r="O6" i="9"/>
  <c r="N6" i="9"/>
  <c r="M6" i="9"/>
  <c r="L6" i="9"/>
  <c r="K6" i="9"/>
  <c r="J6" i="9"/>
  <c r="I6" i="9"/>
  <c r="H6" i="9"/>
  <c r="G6" i="9"/>
  <c r="J6" i="11"/>
  <c r="O5" i="9"/>
  <c r="N5" i="9"/>
  <c r="M5" i="9"/>
  <c r="L5" i="9"/>
  <c r="K5" i="9"/>
  <c r="J5" i="9"/>
  <c r="I5" i="9"/>
  <c r="H5" i="9"/>
  <c r="G5" i="9"/>
  <c r="J5" i="11"/>
  <c r="O4" i="9"/>
  <c r="N4" i="9"/>
  <c r="M4" i="9"/>
  <c r="K4" i="9"/>
  <c r="J4" i="9"/>
  <c r="I4" i="9"/>
  <c r="H4" i="9"/>
  <c r="G4" i="9"/>
  <c r="J4" i="11"/>
  <c r="O3" i="9"/>
  <c r="N3" i="9"/>
  <c r="M3" i="9"/>
  <c r="L3" i="9"/>
  <c r="K3" i="9"/>
  <c r="J3" i="9"/>
  <c r="I3" i="9"/>
  <c r="H3" i="9"/>
  <c r="G3" i="9"/>
  <c r="J3" i="11"/>
  <c r="X4" i="7"/>
  <c r="R4" i="7"/>
  <c r="Q4" i="7"/>
  <c r="P4" i="7"/>
  <c r="O4" i="7"/>
  <c r="N4" i="7"/>
  <c r="H4" i="7"/>
  <c r="J4" i="7"/>
  <c r="I4" i="7"/>
  <c r="D4" i="7"/>
  <c r="F4" i="7"/>
  <c r="E4" i="7"/>
  <c r="A4" i="7"/>
  <c r="AD8" i="1"/>
  <c r="AG8" i="1"/>
  <c r="AE8" i="1"/>
  <c r="AC8" i="1"/>
  <c r="W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W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W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W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Q4" i="1"/>
  <c r="P4" i="1"/>
  <c r="O4" i="1"/>
  <c r="N4" i="1"/>
  <c r="M4" i="1"/>
  <c r="H4" i="1"/>
  <c r="J4" i="1"/>
  <c r="I4" i="1"/>
  <c r="D4" i="1"/>
  <c r="F4" i="1"/>
  <c r="E4" i="1"/>
  <c r="A4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A2" i="9"/>
  <c r="D2" i="9"/>
  <c r="E2" i="9"/>
  <c r="G2" i="9"/>
  <c r="H2" i="9"/>
  <c r="I2" i="9"/>
  <c r="J2" i="9"/>
  <c r="K2" i="9"/>
  <c r="L2" i="9"/>
  <c r="M2" i="9"/>
  <c r="N2" i="9"/>
  <c r="O2" i="9"/>
  <c r="X3" i="7"/>
  <c r="AB3" i="1"/>
  <c r="AC3" i="1"/>
  <c r="AD3" i="1"/>
  <c r="AE3" i="1"/>
  <c r="AB2" i="1"/>
  <c r="AE2" i="1"/>
  <c r="AD2" i="1"/>
  <c r="AC2" i="1"/>
  <c r="N2" i="1"/>
  <c r="O2" i="1"/>
  <c r="M2" i="1"/>
  <c r="AG2" i="1"/>
  <c r="H3" i="7"/>
  <c r="J3" i="7"/>
  <c r="W2" i="1"/>
  <c r="N3" i="7"/>
  <c r="R3" i="7"/>
  <c r="Q3" i="7"/>
  <c r="P3" i="7"/>
  <c r="O3" i="7"/>
  <c r="W3" i="1"/>
  <c r="AA3" i="1"/>
  <c r="AA2" i="1"/>
  <c r="M3" i="1"/>
  <c r="N3" i="1"/>
  <c r="O3" i="1"/>
  <c r="P3" i="1"/>
  <c r="Q3" i="1"/>
  <c r="Q2" i="1"/>
  <c r="P2" i="1"/>
  <c r="E8" i="16"/>
  <c r="E7" i="16"/>
  <c r="E6" i="16"/>
  <c r="E5" i="16"/>
  <c r="E4" i="16"/>
  <c r="E3" i="16"/>
  <c r="E2" i="16"/>
  <c r="A3" i="1"/>
  <c r="A2" i="1"/>
  <c r="AG3" i="1"/>
  <c r="J3" i="1"/>
  <c r="I3" i="1"/>
  <c r="D3" i="1"/>
  <c r="F3" i="1"/>
  <c r="E3" i="1"/>
  <c r="A3" i="7"/>
  <c r="I3" i="7"/>
  <c r="D3" i="7"/>
  <c r="F3" i="7"/>
  <c r="E3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<sst xmlns="http://schemas.openxmlformats.org/spreadsheetml/2006/main" count="619" uniqueCount="243">
  <si>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</si>
  <si>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</si>
  <si>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</si>
  <si>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</si>
  <si>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</si>
  <si>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</si>
  <si>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</si>
  <si>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</si>
  <si>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</si>
  <si>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</si>
  <si>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</si>
  <si>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</si>
  <si>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</si>
  <si>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</si>
  <si>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</si>
  <si>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</si>
  <si>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</si>
  <si>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</si>
  <si>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</si>
  <si>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</si>
  <si>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</si>
  <si>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</si>
  <si>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</si>
  <si>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</si>
  <si>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</si>
  <si>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</si>
  <si>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</si>
  <si>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</si>
  <si>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</si>
  <si>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</si>
  <si>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</si>
  <si>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</si>
  <si>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</si>
  <si>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</si>
  <si>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</si>
  <si>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</si>
  <si>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</si>
  <si>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</si>
  <si>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</si>
  <si>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</si>
  <si>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</si>
  <si>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</si>
  <si>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</si>
  <si>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</si>
  <si>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</si>
  <si>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</si>
  <si>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</si>
  <si>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</si>
  <si>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</si>
  <si>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</si>
  <si>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</si>
  <si>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</si>
  <si>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</si>
  <si>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</si>
  <si>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</si>
  <si>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</si>
  <si>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</si>
  <si>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</si>
  <si>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</si>
  <si>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</si>
  <si>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</si>
  <si>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</si>
  <si>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</si>
  <si>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</si>
  <si>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</si>
  <si>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</si>
  <si>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</si>
  <si>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</si>
  <si>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</si>
  <si>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</si>
  <si>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</si>
  <si>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</si>
  <si>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</si>
  <si>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</si>
  <si>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</si>
  <si>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</si>
  <si>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</si>
  <si>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</si>
  <si>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LB藤井</t>
    <rPh sb="2" eb="4">
      <t>フジイ</t>
    </rPh>
    <phoneticPr fontId="3"/>
  </si>
  <si>
    <t>ドロップ3-1</t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</si>
  <si>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</si>
  <si>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</si>
  <si>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</si>
  <si>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</si>
  <si>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</si>
  <si>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</si>
  <si>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</si>
  <si>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</si>
  <si>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</si>
  <si>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</si>
  <si>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</si>
  <si>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</si>
  <si>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</si>
  <si>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</si>
  <si>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</si>
  <si>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</si>
  <si>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</si>
  <si>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</si>
  <si>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</si>
  <si>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</si>
  <si>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</si>
  <si>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</si>
  <si>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</si>
  <si>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</si>
  <si>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</si>
  <si>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</si>
  <si>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</si>
  <si>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</si>
  <si>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</si>
  <si>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</si>
  <si>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</si>
  <si>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</si>
  <si>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</si>
  <si>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</si>
  <si>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</si>
  <si>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</si>
  <si>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</si>
  <si>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</si>
  <si>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</si>
  <si>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</si>
  <si>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</si>
  <si>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</si>
  <si>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</si>
  <si>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</si>
  <si>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</si>
  <si>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</si>
  <si>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</si>
  <si>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</si>
  <si>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</si>
  <si>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</si>
  <si>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</si>
  <si>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</si>
  <si>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null</t>
    <phoneticPr fontId="3"/>
  </si>
  <si>
    <t>LB加藤</t>
    <rPh sb="2" eb="4">
      <t>カトウ</t>
    </rPh>
    <phoneticPr fontId="3"/>
  </si>
  <si>
    <t>降臨イベント4</t>
    <rPh sb="0" eb="2">
      <t>コウリン</t>
    </rPh>
    <phoneticPr fontId="3"/>
  </si>
  <si>
    <t>卑弥呼スキル2</t>
    <rPh sb="0" eb="3">
      <t>ヒミコ</t>
    </rPh>
    <phoneticPr fontId="3"/>
  </si>
  <si>
    <t>[effect:nothing]</t>
    <phoneticPr fontId="3"/>
  </si>
  <si>
    <t>全体攻撃</t>
    <rPh sb="0" eb="4">
      <t>ゼンタイコウゲキ</t>
    </rPh>
    <phoneticPr fontId="3"/>
  </si>
  <si>
    <t>[effect:freq_turn, target:myself, turn:3, val:1, animation:enemy_freq_turn]</t>
    <phoneticPr fontId="3"/>
  </si>
  <si>
    <t>[effect:spread, val:0.3, animation:enemy_spread]</t>
    <phoneticPr fontId="3"/>
  </si>
  <si>
    <t>[effect:critical, val:1.1.5, animation:enemy_critical]</t>
    <phoneticPr fontId="3"/>
  </si>
  <si>
    <t>[effect:change_block, new_block:jammer, target:block_all, count:5, val:0.1, animation:change_block]</t>
    <phoneticPr fontId="3"/>
  </si>
  <si>
    <t>[effect:critical, val:1.1.5, animation:enemy_critical]</t>
    <phoneticPr fontId="3"/>
  </si>
  <si>
    <t>ハートパネルを青パネルに変換</t>
    <rPh sb="7" eb="8">
      <t>アオ</t>
    </rPh>
    <rPh sb="12" eb="14">
      <t>ヘンカン</t>
    </rPh>
    <phoneticPr fontId="3"/>
  </si>
  <si>
    <t>[effect:enhance_enemy, target:enemy_all, turn:5, status:attack, val:1.1, animation:enemy_enhance_enemy]</t>
    <phoneticPr fontId="3"/>
  </si>
  <si>
    <t>[effect:enhance_enemy, target:enemy_all, turn:3, status:attack, val:1.25, animation:enemy_enhance_enemy]</t>
    <phoneticPr fontId="3"/>
  </si>
  <si>
    <t>null</t>
    <phoneticPr fontId="3"/>
  </si>
  <si>
    <t>null</t>
    <phoneticPr fontId="3"/>
  </si>
  <si>
    <t>null</t>
    <phoneticPr fontId="3"/>
  </si>
  <si>
    <t>[effect:change_block, new_block:block_blue, target:block_heart, count:10, val:0.1, animation:change_block]</t>
    <phoneticPr fontId="3"/>
  </si>
  <si>
    <t>[effect:enemy_counter, target:myself,invoke_condition:unit_all,counter_target:attacker,turn:3,val:1.25,animation:enemy_counter]</t>
    <phoneticPr fontId="3"/>
  </si>
  <si>
    <t>出力flg</t>
    <rPh sb="0" eb="2">
      <t>シュツリョク</t>
    </rPh>
    <phoneticPr fontId="3"/>
  </si>
  <si>
    <t>old</t>
    <phoneticPr fontId="3"/>
  </si>
  <si>
    <t>old</t>
    <phoneticPr fontId="3"/>
  </si>
  <si>
    <t>3ターン攻撃頻度が1ターンにUP</t>
    <phoneticPr fontId="3"/>
  </si>
  <si>
    <t>すべての状態異常に耐性を持つ</t>
    <rPh sb="4" eb="8">
      <t>ジョウタイイジョウ</t>
    </rPh>
    <rPh sb="9" eb="11">
      <t>タイセイ</t>
    </rPh>
    <rPh sb="12" eb="14">
      <t>モt</t>
    </rPh>
    <phoneticPr fontId="3"/>
  </si>
  <si>
    <t>アタックタイプのユニットに対して強攻撃</t>
    <rPh sb="13" eb="16">
      <t>タイ</t>
    </rPh>
    <rPh sb="16" eb="19">
      <t>キョ</t>
    </rPh>
    <phoneticPr fontId="3"/>
  </si>
  <si>
    <t>[effect:rush, count:2, val:0.6]</t>
    <phoneticPr fontId="3"/>
  </si>
  <si>
    <t>水の太刀</t>
    <rPh sb="0" eb="1">
      <t>ミズ</t>
    </rPh>
    <rPh sb="2" eb="4">
      <t>タt</t>
    </rPh>
    <phoneticPr fontId="3"/>
  </si>
  <si>
    <t>空の太刀</t>
    <rPh sb="0" eb="2">
      <t>ク</t>
    </rPh>
    <rPh sb="2" eb="4">
      <t>タt</t>
    </rPh>
    <phoneticPr fontId="3"/>
  </si>
  <si>
    <t>風の太刀</t>
    <rPh sb="0" eb="4">
      <t>カz</t>
    </rPh>
    <phoneticPr fontId="3"/>
  </si>
  <si>
    <t>青属性のユニットに対して強攻撃</t>
    <rPh sb="0" eb="1">
      <t>ア</t>
    </rPh>
    <rPh sb="1" eb="3">
      <t>ゾクセ</t>
    </rPh>
    <rPh sb="9" eb="12">
      <t>タイ</t>
    </rPh>
    <rPh sb="12" eb="15">
      <t>キョ</t>
    </rPh>
    <phoneticPr fontId="3"/>
  </si>
  <si>
    <t>巌之身</t>
    <rPh sb="0" eb="3">
      <t>イw</t>
    </rPh>
    <phoneticPr fontId="3"/>
  </si>
  <si>
    <t>解除するまで攻撃力と防御力をアップ</t>
    <rPh sb="0" eb="6">
      <t>カイジョs</t>
    </rPh>
    <rPh sb="6" eb="10">
      <t>コウゲk</t>
    </rPh>
    <rPh sb="10" eb="12">
      <t>ボウgy</t>
    </rPh>
    <rPh sb="12" eb="13">
      <t>リョク</t>
    </rPh>
    <phoneticPr fontId="3"/>
  </si>
  <si>
    <t>無念無想</t>
    <rPh sb="0" eb="4">
      <t>ムン</t>
    </rPh>
    <phoneticPr fontId="3"/>
  </si>
  <si>
    <t>二刀抜刀</t>
    <rPh sb="0" eb="4">
      <t>ニt</t>
    </rPh>
    <phoneticPr fontId="3"/>
  </si>
  <si>
    <t>二刀八相</t>
    <rPh sb="0" eb="3">
      <t>ニト</t>
    </rPh>
    <rPh sb="3" eb="4">
      <t>ソウ</t>
    </rPh>
    <phoneticPr fontId="3"/>
  </si>
  <si>
    <t>五輪の構え・斬</t>
    <rPh sb="6" eb="7">
      <t>zaンン</t>
    </rPh>
    <phoneticPr fontId="3"/>
  </si>
  <si>
    <t>五輪の構え・護</t>
    <rPh sb="6" eb="7">
      <t>マモ</t>
    </rPh>
    <phoneticPr fontId="3"/>
  </si>
  <si>
    <t>二連続攻撃</t>
    <rPh sb="0" eb="1">
      <t>ニ</t>
    </rPh>
    <rPh sb="1" eb="5">
      <t>レンゾクコウゲキ</t>
    </rPh>
    <phoneticPr fontId="3"/>
  </si>
  <si>
    <t>紅葉重ね</t>
    <rPh sb="0" eb="4">
      <t>モミジガサン</t>
    </rPh>
    <phoneticPr fontId="3"/>
  </si>
  <si>
    <t>生命変遷</t>
    <rPh sb="0" eb="4">
      <t>セイメ</t>
    </rPh>
    <phoneticPr fontId="3"/>
  </si>
  <si>
    <t>5ターンの間攻撃力をアップ</t>
    <rPh sb="5" eb="6">
      <t>アイd</t>
    </rPh>
    <rPh sb="6" eb="8">
      <t>コウゲキ</t>
    </rPh>
    <rPh sb="8" eb="10">
      <t>リョk</t>
    </rPh>
    <rPh sb="10" eb="13">
      <t>ショウアpp</t>
    </rPh>
    <phoneticPr fontId="3"/>
  </si>
  <si>
    <t>穢れの誘い</t>
    <rPh sb="0" eb="2">
      <t>ケ</t>
    </rPh>
    <rPh sb="3" eb="5">
      <t>イザナ</t>
    </rPh>
    <phoneticPr fontId="3"/>
  </si>
  <si>
    <t>大地を焼く母神</t>
    <rPh sb="0" eb="1">
      <t>ダ</t>
    </rPh>
    <rPh sb="1" eb="7">
      <t>チボs</t>
    </rPh>
    <phoneticPr fontId="3"/>
  </si>
  <si>
    <t>解除するまで防御力をアップ</t>
    <rPh sb="0" eb="6">
      <t>カイジョ</t>
    </rPh>
    <rPh sb="6" eb="10">
      <t>ボウギョリョク</t>
    </rPh>
    <phoneticPr fontId="3"/>
  </si>
  <si>
    <t>3ターンの間すべての攻撃に対してカウンター</t>
    <rPh sb="5" eb="16">
      <t>アイd</t>
    </rPh>
    <phoneticPr fontId="3"/>
  </si>
  <si>
    <t>HPが減るほど強力な攻撃を放つ</t>
    <rPh sb="3" eb="4">
      <t>ヘ</t>
    </rPh>
    <rPh sb="7" eb="12">
      <t>キョ</t>
    </rPh>
    <rPh sb="13" eb="15">
      <t>ハナt</t>
    </rPh>
    <phoneticPr fontId="3"/>
  </si>
  <si>
    <t>万物流転</t>
    <rPh sb="0" eb="2">
      <t>バンブツリュ</t>
    </rPh>
    <rPh sb="2" eb="4">
      <t>リュ</t>
    </rPh>
    <phoneticPr fontId="3"/>
  </si>
  <si>
    <t>ランダムでお邪魔パネルに変換</t>
    <rPh sb="6" eb="8">
      <t>ジャマ</t>
    </rPh>
    <rPh sb="12" eb="14">
      <t>ヘンカン</t>
    </rPh>
    <phoneticPr fontId="3"/>
  </si>
  <si>
    <t>枯れ落ちる緑</t>
    <rPh sb="0" eb="5">
      <t>カr</t>
    </rPh>
    <rPh sb="5" eb="6">
      <t>ミドr</t>
    </rPh>
    <phoneticPr fontId="3"/>
  </si>
  <si>
    <t>3ターンの間緑パネルが使えない！</t>
    <rPh sb="5" eb="6">
      <t>アイダ</t>
    </rPh>
    <rPh sb="6" eb="7">
      <t>ミドr</t>
    </rPh>
    <rPh sb="11" eb="15">
      <t>ツカ</t>
    </rPh>
    <phoneticPr fontId="3"/>
  </si>
  <si>
    <t>にゃんこ銃弾</t>
    <rPh sb="4" eb="6">
      <t>ネk</t>
    </rPh>
    <phoneticPr fontId="3"/>
  </si>
  <si>
    <t>熱々焼ゴテ</t>
    <rPh sb="0" eb="3">
      <t>アツアt</t>
    </rPh>
    <phoneticPr fontId="3"/>
  </si>
  <si>
    <t>攻勢の巫術</t>
    <phoneticPr fontId="3"/>
  </si>
  <si>
    <t>3ターンの間全体の攻撃力アップ</t>
    <rPh sb="5" eb="6">
      <t>ア</t>
    </rPh>
    <rPh sb="6" eb="9">
      <t>ゼン</t>
    </rPh>
    <rPh sb="9" eb="12">
      <t>コウゲk</t>
    </rPh>
    <phoneticPr fontId="3"/>
  </si>
  <si>
    <t>[effect:enhance_enemy, target:enemy_all, turn:-1, status:defense, val:5000, calc:add, animation:enemy_enhance_enemy]</t>
    <phoneticPr fontId="3"/>
  </si>
  <si>
    <t>[effect:damage_anti_color, target:unit_one, color:red, val1:3.0, val2:1.0]</t>
    <phoneticPr fontId="3"/>
  </si>
  <si>
    <t>[effect:damage_anti_color, target:unit_one, color:blue, val1:3.0, val2:1.0]</t>
    <phoneticPr fontId="3"/>
  </si>
  <si>
    <t>[effect:damage_anti_color, target:unit_one, color:yellow, val1:3.0, val2:1.0]</t>
    <phoneticPr fontId="3"/>
  </si>
  <si>
    <t>[effect:enhance_enemy, target:enemy_all, turn:-1, status:defense, val:5000, calc:add, animation:enemy_enhance_enemy],[effect:enhance_enemy, target:enemy_all, turn:-1, status:attack, val:0.4, calc:mul, animation:enemy_enhance_enemy]</t>
    <phoneticPr fontId="3"/>
  </si>
  <si>
    <t>[effect:dis_panel, target:block_green, turn:3, animation:enemy_dis_green],[effect:rush, count:1, val:0.5]</t>
    <phoneticPr fontId="3"/>
  </si>
  <si>
    <t>null</t>
    <phoneticPr fontId="3"/>
  </si>
  <si>
    <t>5ターンの間回復力が50％ダウン</t>
    <rPh sb="5" eb="6">
      <t>ア</t>
    </rPh>
    <rPh sb="6" eb="8">
      <t>カイフク</t>
    </rPh>
    <rPh sb="8" eb="9">
      <t>リョk</t>
    </rPh>
    <phoneticPr fontId="3"/>
  </si>
  <si>
    <t>1体に強攻撃</t>
    <rPh sb="1" eb="3">
      <t>イッタ</t>
    </rPh>
    <rPh sb="3" eb="6">
      <t>キョウコウゲキ</t>
    </rPh>
    <phoneticPr fontId="3"/>
  </si>
  <si>
    <t>1体に強攻撃</t>
    <rPh sb="1" eb="6">
      <t>イtt</t>
    </rPh>
    <phoneticPr fontId="3"/>
  </si>
  <si>
    <t>亀装の構え</t>
    <rPh sb="0" eb="1">
      <t>カメ</t>
    </rPh>
    <rPh sb="3" eb="5">
      <t>カマ</t>
    </rPh>
    <phoneticPr fontId="3"/>
  </si>
  <si>
    <t>玄帝会心撃</t>
    <rPh sb="0" eb="2">
      <t>ゲン</t>
    </rPh>
    <rPh sb="2" eb="5">
      <t>kaisiンンgeki</t>
    </rPh>
    <phoneticPr fontId="3"/>
  </si>
  <si>
    <t>北方七宿撃・序</t>
    <rPh sb="4" eb="5">
      <t>ゲk</t>
    </rPh>
    <rPh sb="6" eb="7">
      <t>jyo</t>
    </rPh>
    <phoneticPr fontId="3"/>
  </si>
  <si>
    <t>北方七宿撃・破</t>
    <rPh sb="6" eb="7">
      <t>ハ</t>
    </rPh>
    <phoneticPr fontId="3"/>
  </si>
  <si>
    <t>北方七宿撃・急</t>
    <rPh sb="6" eb="7">
      <t>キュ</t>
    </rPh>
    <phoneticPr fontId="3"/>
  </si>
  <si>
    <t>北方七宿撃・終</t>
    <rPh sb="6" eb="7">
      <t>シュウ</t>
    </rPh>
    <phoneticPr fontId="3"/>
  </si>
  <si>
    <t>二刀四斬</t>
    <rPh sb="2" eb="3">
      <t>4</t>
    </rPh>
    <rPh sb="3" eb="4">
      <t>zaンン</t>
    </rPh>
    <phoneticPr fontId="3"/>
  </si>
  <si>
    <t>[effect:rush, count:4, val:0.4]</t>
    <phoneticPr fontId="3"/>
  </si>
  <si>
    <t>二刀八相</t>
    <rPh sb="2" eb="4">
      <t>ハッソ</t>
    </rPh>
    <phoneticPr fontId="3"/>
  </si>
  <si>
    <t>[effect:rush, count:8, val:0.3]</t>
    <phoneticPr fontId="3"/>
  </si>
  <si>
    <t>四連続攻撃</t>
    <rPh sb="0" eb="1">
      <t>ヨン</t>
    </rPh>
    <rPh sb="1" eb="5">
      <t>レンゾクコウゲキ</t>
    </rPh>
    <phoneticPr fontId="3"/>
  </si>
  <si>
    <t>八連続攻撃</t>
    <rPh sb="0" eb="1">
      <t>ハt</t>
    </rPh>
    <rPh sb="1" eb="5">
      <t>レンゾクコウゲキ</t>
    </rPh>
    <phoneticPr fontId="3"/>
  </si>
  <si>
    <t>null</t>
    <phoneticPr fontId="3"/>
  </si>
  <si>
    <t>効果１文字列</t>
    <rPh sb="0" eb="2">
      <t>コウカ</t>
    </rPh>
    <rPh sb="3" eb="6">
      <t>モジレツ</t>
    </rPh>
    <phoneticPr fontId="3"/>
  </si>
  <si>
    <t>効果１efect位置</t>
    <rPh sb="0" eb="2">
      <t>コウカ</t>
    </rPh>
    <rPh sb="8" eb="10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</si>
  <si>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</si>
  <si>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</si>
  <si>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</si>
  <si>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効果１簡易デコード</t>
    <rPh sb="0" eb="2">
      <t>コウカ</t>
    </rPh>
    <rPh sb="3" eb="5">
      <t>カンイ</t>
    </rPh>
    <phoneticPr fontId="3"/>
  </si>
  <si>
    <t>中間文字列１</t>
    <rPh sb="0" eb="2">
      <t>チュウカン</t>
    </rPh>
    <rPh sb="2" eb="5">
      <t>モジレツ</t>
    </rPh>
    <phoneticPr fontId="3"/>
  </si>
  <si>
    <t>効果２文字列</t>
    <rPh sb="0" eb="2">
      <t>コウカ</t>
    </rPh>
    <rPh sb="3" eb="6">
      <t>モジレツ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</si>
  <si>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</si>
  <si>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</si>
  <si>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</si>
  <si>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</si>
  <si>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</si>
  <si>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</si>
  <si>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</si>
  <si>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</si>
  <si>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</si>
  <si>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</si>
  <si>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効果３簡易デコード</t>
    <rPh sb="0" eb="2">
      <t>コウカ</t>
    </rPh>
    <rPh sb="3" eb="5">
      <t>カンイ</t>
    </rPh>
    <phoneticPr fontId="3"/>
  </si>
  <si>
    <t>[effect:tolerance,target:myself, turn:-1, tolerance_effect:all, count:-1]</t>
    <phoneticPr fontId="3"/>
  </si>
  <si>
    <t>[effect:enemy_counter, target:myself,invoke_condition:unit_all,counter_target:attacker,turn:5,val:1.25,animation:enemy_counter]</t>
    <phoneticPr fontId="3"/>
  </si>
  <si>
    <t>一寸の見切り</t>
    <rPh sb="0" eb="2">
      <t>イッスン</t>
    </rPh>
    <rPh sb="2" eb="3">
      <t>イッスン</t>
    </rPh>
    <rPh sb="3" eb="6">
      <t>ミk</t>
    </rPh>
    <phoneticPr fontId="3"/>
  </si>
  <si>
    <t>[effect:tolerance,target:myself, turn:-1, tolerance_effect:all, count:-1],[effect:enemy_counter, target:myself,invoke_condition:unit_all,counter_target:attacker,turn:5,val:1.25,animation:enemy_counter]</t>
    <phoneticPr fontId="3"/>
  </si>
  <si>
    <t>5ターンの間すべての攻撃に対してカウンター</t>
    <rPh sb="5" eb="6">
      <t>ア</t>
    </rPh>
    <rPh sb="10" eb="13">
      <t>コウゲ</t>
    </rPh>
    <rPh sb="13" eb="16">
      <t>タイs</t>
    </rPh>
    <phoneticPr fontId="3"/>
  </si>
  <si>
    <t>5ターンの間状態異常耐性＋カウンター</t>
    <rPh sb="5" eb="6">
      <t>ア</t>
    </rPh>
    <rPh sb="6" eb="8">
      <t>ジョ</t>
    </rPh>
    <rPh sb="8" eb="10">
      <t>イジョ</t>
    </rPh>
    <rPh sb="10" eb="12">
      <t>タイセ</t>
    </rPh>
    <phoneticPr fontId="3"/>
  </si>
  <si>
    <t>五輪の構え・見切り</t>
    <rPh sb="0" eb="2">
      <t>ゴリン</t>
    </rPh>
    <rPh sb="2" eb="3">
      <t>イッスン</t>
    </rPh>
    <rPh sb="3" eb="5">
      <t>カマ</t>
    </rPh>
    <rPh sb="6" eb="9">
      <t>ミk</t>
    </rPh>
    <phoneticPr fontId="3"/>
  </si>
  <si>
    <t>[effect:critical, val:1.2, animation:enemy_critical]</t>
    <phoneticPr fontId="3"/>
  </si>
  <si>
    <t>[effect:critical, val:1.8, animation:enemy_critical]</t>
    <phoneticPr fontId="3"/>
  </si>
  <si>
    <t>[effect:critical, val:2.4, animation:enemy_critical]</t>
    <phoneticPr fontId="3"/>
  </si>
  <si>
    <t>[effect:critical, val:3.25, animation:enemy_critical]</t>
    <phoneticPr fontId="3"/>
  </si>
  <si>
    <t>[effect:damage_anti_type, target:unit_one, type:attack, val1:1.5, val2:0.8]</t>
    <phoneticPr fontId="3"/>
  </si>
  <si>
    <t>赤属性のユニットに対して強攻撃</t>
    <rPh sb="0" eb="1">
      <t>アカ</t>
    </rPh>
    <rPh sb="1" eb="3">
      <t>ゾクセ</t>
    </rPh>
    <rPh sb="9" eb="12">
      <t>タイ</t>
    </rPh>
    <rPh sb="12" eb="15">
      <t>キョ</t>
    </rPh>
    <phoneticPr fontId="3"/>
  </si>
  <si>
    <t>黄属性のユニットに対して強攻撃</t>
    <rPh sb="0" eb="1">
      <t>キイロ</t>
    </rPh>
    <rPh sb="1" eb="3">
      <t>ア</t>
    </rPh>
    <rPh sb="9" eb="12">
      <t>タイ</t>
    </rPh>
    <rPh sb="12" eb="15">
      <t>キョ</t>
    </rPh>
    <phoneticPr fontId="3"/>
  </si>
  <si>
    <t>[effect:degrade_unit, target:unit_all, turn:5, status:heal, val:0.5, calc:mul, animation:degrade_unit_all_heal]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</si>
</sst>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716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4" fillId="13" borderId="7" xfId="0" applyFont="1" applyFill="1" applyBorder="1" applyAlignment="1">
      <alignment vertical="center"/>
    </xf>
    <xf numFmtId="0" fontId="4" fillId="14" borderId="3" xfId="0" applyFont="1" applyFill="1" applyBorder="1" applyAlignment="1">
      <alignment vertical="center"/>
    </xf>
    <xf numFmtId="0" fontId="11" fillId="11" borderId="7" xfId="434" applyFont="1" applyFill="1" applyBorder="1" applyAlignment="1"/>
    <xf numFmtId="0" fontId="22" fillId="0" borderId="7" xfId="434" applyBorder="1" applyAlignment="1"/>
    <xf numFmtId="0" fontId="14" fillId="15" borderId="7" xfId="0" applyFont="1" applyFill="1" applyBorder="1" applyAlignment="1">
      <alignment horizontal="center" vertical="center"/>
    </xf>
  </cellXfs>
  <cellStyles count="716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無題1" xfId="43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externalLink" Target="externalLinks/externalLink6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12001</v>
          </cell>
        </row>
        <row r="70">
          <cell r="A70">
            <v>12002</v>
          </cell>
        </row>
        <row r="71">
          <cell r="A71">
            <v>12003</v>
          </cell>
        </row>
        <row r="72">
          <cell r="A72">
            <v>11210</v>
          </cell>
        </row>
        <row r="73">
          <cell r="A73">
            <v>13001</v>
          </cell>
        </row>
        <row r="74">
          <cell r="A74">
            <v>20001</v>
          </cell>
        </row>
        <row r="75">
          <cell r="A75">
            <v>20002</v>
          </cell>
        </row>
        <row r="76">
          <cell r="A76">
            <v>20003</v>
          </cell>
        </row>
        <row r="77">
          <cell r="A77">
            <v>20004</v>
          </cell>
        </row>
        <row r="78">
          <cell r="A78">
            <v>20005</v>
          </cell>
        </row>
        <row r="79">
          <cell r="A79">
            <v>20006</v>
          </cell>
        </row>
        <row r="80">
          <cell r="A80">
            <v>20007</v>
          </cell>
        </row>
        <row r="81">
          <cell r="A81">
            <v>20008</v>
          </cell>
        </row>
        <row r="82">
          <cell r="A82">
            <v>20009</v>
          </cell>
        </row>
        <row r="83">
          <cell r="A83">
            <v>20010</v>
          </cell>
        </row>
        <row r="84">
          <cell r="A84">
            <v>20011</v>
          </cell>
        </row>
        <row r="85">
          <cell r="A85">
            <v>20012</v>
          </cell>
        </row>
        <row r="86">
          <cell r="A86">
            <v>30001</v>
          </cell>
        </row>
        <row r="87">
          <cell r="A87">
            <v>30002</v>
          </cell>
        </row>
        <row r="88">
          <cell r="A88">
            <v>30003</v>
          </cell>
        </row>
        <row r="89">
          <cell r="A89">
            <v>30004</v>
          </cell>
        </row>
        <row r="90">
          <cell r="A90">
            <v>30005</v>
          </cell>
        </row>
        <row r="91">
          <cell r="A91">
            <v>30006</v>
          </cell>
        </row>
        <row r="92">
          <cell r="A92">
            <v>30007</v>
          </cell>
        </row>
        <row r="93">
          <cell r="A93">
            <v>30008</v>
          </cell>
        </row>
        <row r="94">
          <cell r="A94">
            <v>30009</v>
          </cell>
        </row>
        <row r="95">
          <cell r="A95">
            <v>30010</v>
          </cell>
        </row>
        <row r="96">
          <cell r="A96">
            <v>30011</v>
          </cell>
        </row>
        <row r="97">
          <cell r="A97">
            <v>30012</v>
          </cell>
        </row>
        <row r="98">
          <cell r="A98">
            <v>30013</v>
          </cell>
        </row>
        <row r="99">
          <cell r="A99">
            <v>30014</v>
          </cell>
        </row>
        <row r="100">
          <cell r="A100">
            <v>30015</v>
          </cell>
        </row>
        <row r="101">
          <cell r="A101">
            <v>30016</v>
          </cell>
        </row>
        <row r="102">
          <cell r="A102">
            <v>30017</v>
          </cell>
        </row>
        <row r="103">
          <cell r="A103">
            <v>30018</v>
          </cell>
        </row>
        <row r="104">
          <cell r="A104">
            <v>40001</v>
          </cell>
        </row>
        <row r="105">
          <cell r="A105">
            <v>40002</v>
          </cell>
        </row>
        <row r="106">
          <cell r="A106">
            <v>40003</v>
          </cell>
        </row>
        <row r="107">
          <cell r="A107">
            <v>40004</v>
          </cell>
        </row>
        <row r="108">
          <cell r="A108">
            <v>50001</v>
          </cell>
        </row>
        <row r="109">
          <cell r="A109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12001_1</v>
          </cell>
        </row>
        <row r="255">
          <cell r="A255" t="str">
            <v>12001_2</v>
          </cell>
        </row>
        <row r="256">
          <cell r="A256" t="str">
            <v>12001_3</v>
          </cell>
        </row>
        <row r="257">
          <cell r="A257" t="str">
            <v>12002_3</v>
          </cell>
        </row>
        <row r="258">
          <cell r="A258" t="str">
            <v>12002_2</v>
          </cell>
        </row>
        <row r="259">
          <cell r="A259" t="str">
            <v>12002_1</v>
          </cell>
        </row>
        <row r="260">
          <cell r="A260" t="str">
            <v>12003_1</v>
          </cell>
        </row>
        <row r="261">
          <cell r="A261" t="str">
            <v>12003_2</v>
          </cell>
        </row>
        <row r="262">
          <cell r="A262" t="str">
            <v>12003_3</v>
          </cell>
        </row>
        <row r="263">
          <cell r="A263" t="str">
            <v>12003_4</v>
          </cell>
        </row>
        <row r="264">
          <cell r="A264" t="str">
            <v>13001_1</v>
          </cell>
        </row>
        <row r="265">
          <cell r="A265" t="str">
            <v>13001_2</v>
          </cell>
        </row>
        <row r="266">
          <cell r="A266" t="str">
            <v>13001_3</v>
          </cell>
        </row>
        <row r="267">
          <cell r="A267" t="str">
            <v>13001_4</v>
          </cell>
        </row>
        <row r="268">
          <cell r="A268" t="str">
            <v>13001_5</v>
          </cell>
        </row>
        <row r="269">
          <cell r="A269" t="str">
            <v>13001_6</v>
          </cell>
        </row>
        <row r="270">
          <cell r="A270" t="str">
            <v>13001_7</v>
          </cell>
        </row>
        <row r="271">
          <cell r="A271" t="str">
            <v>13001_8</v>
          </cell>
        </row>
        <row r="272">
          <cell r="A272" t="str">
            <v>13001_9</v>
          </cell>
        </row>
        <row r="273">
          <cell r="A273" t="str">
            <v>13001_10</v>
          </cell>
        </row>
        <row r="274">
          <cell r="A274" t="str">
            <v>13001_11</v>
          </cell>
        </row>
        <row r="275">
          <cell r="A275" t="str">
            <v>13001_12</v>
          </cell>
        </row>
        <row r="276">
          <cell r="A276" t="str">
            <v>13001_13</v>
          </cell>
        </row>
        <row r="277">
          <cell r="A277" t="str">
            <v>13001_14</v>
          </cell>
        </row>
        <row r="278">
          <cell r="A278" t="str">
            <v>13001_15</v>
          </cell>
        </row>
        <row r="279">
          <cell r="A279" t="str">
            <v>13001_16</v>
          </cell>
        </row>
        <row r="280">
          <cell r="A280" t="str">
            <v>13001_17</v>
          </cell>
        </row>
        <row r="281">
          <cell r="A281" t="str">
            <v>13001_18</v>
          </cell>
        </row>
        <row r="282">
          <cell r="A282" t="str">
            <v>13001_19</v>
          </cell>
        </row>
        <row r="283">
          <cell r="A283" t="str">
            <v>13001_20</v>
          </cell>
        </row>
        <row r="284">
          <cell r="A284" t="str">
            <v>13001_21</v>
          </cell>
        </row>
        <row r="285">
          <cell r="A285" t="str">
            <v>13001_22</v>
          </cell>
        </row>
        <row r="286">
          <cell r="A286" t="str">
            <v>13001_23</v>
          </cell>
        </row>
        <row r="287">
          <cell r="A287" t="str">
            <v>13001_24</v>
          </cell>
        </row>
        <row r="288">
          <cell r="A288" t="str">
            <v>13001_25</v>
          </cell>
        </row>
        <row r="289">
          <cell r="A289" t="str">
            <v>20001_1</v>
          </cell>
        </row>
        <row r="290">
          <cell r="A290" t="str">
            <v>20001_2</v>
          </cell>
        </row>
        <row r="291">
          <cell r="A291" t="str">
            <v>20001_3</v>
          </cell>
        </row>
        <row r="292">
          <cell r="A292" t="str">
            <v>20002_1</v>
          </cell>
        </row>
        <row r="293">
          <cell r="A293" t="str">
            <v>20002_2</v>
          </cell>
        </row>
        <row r="294">
          <cell r="A294" t="str">
            <v>20002_3</v>
          </cell>
        </row>
        <row r="295">
          <cell r="A295" t="str">
            <v>20003_1</v>
          </cell>
        </row>
        <row r="296">
          <cell r="A296" t="str">
            <v>20003_2</v>
          </cell>
        </row>
        <row r="297">
          <cell r="A297" t="str">
            <v>20003_3</v>
          </cell>
        </row>
        <row r="298">
          <cell r="A298" t="str">
            <v>20004_1</v>
          </cell>
        </row>
        <row r="299">
          <cell r="A299" t="str">
            <v>20004_2</v>
          </cell>
        </row>
        <row r="300">
          <cell r="A300" t="str">
            <v>20004_3</v>
          </cell>
        </row>
        <row r="301">
          <cell r="A301" t="str">
            <v>20005_1</v>
          </cell>
        </row>
        <row r="302">
          <cell r="A302" t="str">
            <v>20005_2</v>
          </cell>
        </row>
        <row r="303">
          <cell r="A303" t="str">
            <v>20005_3</v>
          </cell>
        </row>
        <row r="304">
          <cell r="A304" t="str">
            <v>20006_1</v>
          </cell>
        </row>
        <row r="305">
          <cell r="A305" t="str">
            <v>20006_2</v>
          </cell>
        </row>
        <row r="306">
          <cell r="A306" t="str">
            <v>20006_3</v>
          </cell>
        </row>
        <row r="307">
          <cell r="A307" t="str">
            <v>20007_1</v>
          </cell>
        </row>
        <row r="308">
          <cell r="A308" t="str">
            <v>20007_2</v>
          </cell>
        </row>
        <row r="309">
          <cell r="A309" t="str">
            <v>20007_3</v>
          </cell>
        </row>
        <row r="310">
          <cell r="A310" t="str">
            <v>20008_1</v>
          </cell>
        </row>
        <row r="311">
          <cell r="A311" t="str">
            <v>20008_2</v>
          </cell>
        </row>
        <row r="312">
          <cell r="A312" t="str">
            <v>20008_3</v>
          </cell>
        </row>
        <row r="313">
          <cell r="A313" t="str">
            <v>20009_1</v>
          </cell>
        </row>
        <row r="314">
          <cell r="A314" t="str">
            <v>20009_2</v>
          </cell>
        </row>
        <row r="315">
          <cell r="A315" t="str">
            <v>20009_3</v>
          </cell>
        </row>
        <row r="316">
          <cell r="A316" t="str">
            <v>20010_1</v>
          </cell>
        </row>
        <row r="317">
          <cell r="A317" t="str">
            <v>20010_2</v>
          </cell>
        </row>
        <row r="318">
          <cell r="A318" t="str">
            <v>20010_3</v>
          </cell>
        </row>
        <row r="319">
          <cell r="A319" t="str">
            <v>20011_1</v>
          </cell>
        </row>
        <row r="320">
          <cell r="A320" t="str">
            <v>20011_2</v>
          </cell>
        </row>
        <row r="321">
          <cell r="A321" t="str">
            <v>20011_3</v>
          </cell>
        </row>
        <row r="322">
          <cell r="A322" t="str">
            <v>20012_1</v>
          </cell>
        </row>
        <row r="323">
          <cell r="A323" t="str">
            <v>20012_2</v>
          </cell>
        </row>
        <row r="324">
          <cell r="A324" t="str">
            <v>20012_3</v>
          </cell>
        </row>
        <row r="325">
          <cell r="A325" t="str">
            <v>30001_1</v>
          </cell>
        </row>
        <row r="326">
          <cell r="A326" t="str">
            <v>30001_2</v>
          </cell>
        </row>
        <row r="327">
          <cell r="A327" t="str">
            <v>30001_3</v>
          </cell>
        </row>
        <row r="328">
          <cell r="A328" t="str">
            <v>30002_1</v>
          </cell>
        </row>
        <row r="329">
          <cell r="A329" t="str">
            <v>30002_2</v>
          </cell>
        </row>
        <row r="330">
          <cell r="A330" t="str">
            <v>30002_3</v>
          </cell>
        </row>
        <row r="331">
          <cell r="A331" t="str">
            <v>30003_1</v>
          </cell>
        </row>
        <row r="332">
          <cell r="A332" t="str">
            <v>30003_2</v>
          </cell>
        </row>
        <row r="333">
          <cell r="A333" t="str">
            <v>30003_3</v>
          </cell>
        </row>
        <row r="334">
          <cell r="A334" t="str">
            <v>30004_1</v>
          </cell>
        </row>
        <row r="335">
          <cell r="A335" t="str">
            <v>30004_2</v>
          </cell>
        </row>
        <row r="336">
          <cell r="A336" t="str">
            <v>30004_3</v>
          </cell>
        </row>
        <row r="337">
          <cell r="A337" t="str">
            <v>30005_1</v>
          </cell>
        </row>
        <row r="338">
          <cell r="A338" t="str">
            <v>30005_2</v>
          </cell>
        </row>
        <row r="339">
          <cell r="A339" t="str">
            <v>30005_3</v>
          </cell>
        </row>
        <row r="340">
          <cell r="A340" t="str">
            <v>30006_1</v>
          </cell>
        </row>
        <row r="341">
          <cell r="A341" t="str">
            <v>30006_2</v>
          </cell>
        </row>
        <row r="342">
          <cell r="A342" t="str">
            <v>30006_3</v>
          </cell>
        </row>
        <row r="343">
          <cell r="A343" t="str">
            <v>30007_1</v>
          </cell>
        </row>
        <row r="344">
          <cell r="A344" t="str">
            <v>30007_2</v>
          </cell>
        </row>
        <row r="345">
          <cell r="A345" t="str">
            <v>30007_3</v>
          </cell>
        </row>
        <row r="346">
          <cell r="A346" t="str">
            <v>30008_1</v>
          </cell>
        </row>
        <row r="347">
          <cell r="A347" t="str">
            <v>30008_2</v>
          </cell>
        </row>
        <row r="348">
          <cell r="A348" t="str">
            <v>30008_3</v>
          </cell>
        </row>
        <row r="349">
          <cell r="A349" t="str">
            <v>30009_3</v>
          </cell>
        </row>
        <row r="350">
          <cell r="A350" t="str">
            <v>30009_1</v>
          </cell>
        </row>
        <row r="351">
          <cell r="A351" t="str">
            <v>30009_2</v>
          </cell>
        </row>
        <row r="352">
          <cell r="A352" t="str">
            <v>30010_1</v>
          </cell>
        </row>
        <row r="353">
          <cell r="A353" t="str">
            <v>30010_2</v>
          </cell>
        </row>
        <row r="354">
          <cell r="A354" t="str">
            <v>30010_3</v>
          </cell>
        </row>
        <row r="355">
          <cell r="A355" t="str">
            <v>30011_1</v>
          </cell>
        </row>
        <row r="356">
          <cell r="A356" t="str">
            <v>30011_2</v>
          </cell>
        </row>
        <row r="357">
          <cell r="A357" t="str">
            <v>30011_3</v>
          </cell>
        </row>
        <row r="358">
          <cell r="A358" t="str">
            <v>30012_1</v>
          </cell>
        </row>
        <row r="359">
          <cell r="A359" t="str">
            <v>30012_2</v>
          </cell>
        </row>
        <row r="360">
          <cell r="A360" t="str">
            <v>30012_3</v>
          </cell>
        </row>
        <row r="361">
          <cell r="A361" t="str">
            <v>30013_1</v>
          </cell>
        </row>
        <row r="362">
          <cell r="A362" t="str">
            <v>30013_2</v>
          </cell>
        </row>
        <row r="363">
          <cell r="A363" t="str">
            <v>30014_1</v>
          </cell>
        </row>
        <row r="364">
          <cell r="A364" t="str">
            <v>30014_2</v>
          </cell>
        </row>
        <row r="365">
          <cell r="A365" t="str">
            <v>30015_1</v>
          </cell>
        </row>
        <row r="366">
          <cell r="A366" t="str">
            <v>30015_2</v>
          </cell>
        </row>
        <row r="367">
          <cell r="A367" t="str">
            <v>30016_1</v>
          </cell>
        </row>
        <row r="368">
          <cell r="A368" t="str">
            <v>30016_2</v>
          </cell>
        </row>
        <row r="369">
          <cell r="A369" t="str">
            <v>30017_1</v>
          </cell>
        </row>
        <row r="370">
          <cell r="A370" t="str">
            <v>30017_2</v>
          </cell>
        </row>
        <row r="371">
          <cell r="A371" t="str">
            <v>30018_1</v>
          </cell>
        </row>
        <row r="372">
          <cell r="A372" t="str">
            <v>30018_2</v>
          </cell>
        </row>
        <row r="373">
          <cell r="A373" t="str">
            <v>40001_1</v>
          </cell>
        </row>
        <row r="374">
          <cell r="A374" t="str">
            <v>40002_1</v>
          </cell>
        </row>
        <row r="375">
          <cell r="A375" t="str">
            <v>40002_2</v>
          </cell>
        </row>
        <row r="376">
          <cell r="A376" t="str">
            <v>40002_3</v>
          </cell>
        </row>
        <row r="377">
          <cell r="A377" t="str">
            <v>40003_1</v>
          </cell>
        </row>
        <row r="378">
          <cell r="A378" t="str">
            <v>40004_1</v>
          </cell>
        </row>
        <row r="379">
          <cell r="A379" t="str">
            <v>50001_1</v>
          </cell>
        </row>
        <row r="380">
          <cell r="A380" t="str">
            <v>65535_1</v>
          </cell>
        </row>
        <row r="381">
          <cell r="A381" t="str">
            <v>65535_2</v>
          </cell>
        </row>
        <row r="382">
          <cell r="A382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進化素材タイプ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進化素材タイプ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進化素材タイプ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進化素材タイプ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進化素材タイプ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進化素材タイプ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進化素材タイプ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進化素材タイプ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進化素材タイプ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進化素材タイプ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進化素材タイプ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進化素材タイプ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進化素材タイプ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進化素材タイプ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進化素材タイプ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進化素材タイプ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60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60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60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60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60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60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none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none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none</v>
          </cell>
          <cell r="C331">
            <v>4</v>
          </cell>
          <cell r="D331" t="str">
            <v>yellow</v>
          </cell>
          <cell r="E331">
            <v>0.98</v>
          </cell>
          <cell r="F331">
            <v>1.01</v>
          </cell>
          <cell r="G331">
            <v>1</v>
          </cell>
          <cell r="H331" t="str">
            <v>none</v>
          </cell>
          <cell r="I331" t="str">
            <v>タイプなし</v>
          </cell>
          <cell r="J331">
            <v>0</v>
          </cell>
          <cell r="K331">
            <v>0</v>
          </cell>
          <cell r="L331">
            <v>0</v>
          </cell>
          <cell r="M331" t="str">
            <v>human</v>
          </cell>
          <cell r="N331" t="str">
            <v>ヒューマン</v>
          </cell>
          <cell r="O331">
            <v>0.94</v>
          </cell>
          <cell r="P331">
            <v>0.99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60</v>
          </cell>
        </row>
        <row r="332">
          <cell r="A332">
            <v>331</v>
          </cell>
          <cell r="B332" t="str">
            <v>none</v>
          </cell>
          <cell r="C332">
            <v>5</v>
          </cell>
          <cell r="D332" t="str">
            <v>yellow</v>
          </cell>
          <cell r="E332">
            <v>0.98</v>
          </cell>
          <cell r="F332">
            <v>1.01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human</v>
          </cell>
          <cell r="N332" t="str">
            <v>ヒューマン</v>
          </cell>
          <cell r="O332">
            <v>0.94</v>
          </cell>
          <cell r="P332">
            <v>0.99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進化素材タイプ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15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進化素材タイプ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15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進化素材タイプ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15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進化素材タイプ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15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balance</v>
          </cell>
          <cell r="I371" t="str">
            <v>バランスタイプ</v>
          </cell>
          <cell r="J371">
            <v>1</v>
          </cell>
          <cell r="K371">
            <v>1</v>
          </cell>
          <cell r="L371">
            <v>1</v>
          </cell>
          <cell r="M371" t="str">
            <v>human</v>
          </cell>
          <cell r="N371" t="str">
            <v>ヒューマン</v>
          </cell>
          <cell r="O371">
            <v>0.94</v>
          </cell>
          <cell r="P371">
            <v>0.99</v>
          </cell>
          <cell r="Q371">
            <v>1</v>
          </cell>
          <cell r="R371" t="str">
            <v>Boss</v>
          </cell>
          <cell r="S371">
            <v>5</v>
          </cell>
          <cell r="T371">
            <v>1.3</v>
          </cell>
          <cell r="U371">
            <v>0.8</v>
          </cell>
          <cell r="V371">
            <v>3</v>
          </cell>
          <cell r="W371">
            <v>1</v>
          </cell>
          <cell r="X371">
            <v>60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balance</v>
          </cell>
          <cell r="I372" t="str">
            <v>バランスタイプ</v>
          </cell>
          <cell r="J372">
            <v>1</v>
          </cell>
          <cell r="K372">
            <v>1</v>
          </cell>
          <cell r="L372">
            <v>1</v>
          </cell>
          <cell r="M372" t="str">
            <v>human</v>
          </cell>
          <cell r="N372" t="str">
            <v>ヒューマン</v>
          </cell>
          <cell r="O372">
            <v>0.94</v>
          </cell>
          <cell r="P372">
            <v>0.99</v>
          </cell>
          <cell r="Q372">
            <v>1</v>
          </cell>
          <cell r="R372" t="str">
            <v>Boss</v>
          </cell>
          <cell r="S372">
            <v>5</v>
          </cell>
          <cell r="T372">
            <v>1.3</v>
          </cell>
          <cell r="U372">
            <v>0.8</v>
          </cell>
          <cell r="V372">
            <v>3</v>
          </cell>
          <cell r="W372">
            <v>1</v>
          </cell>
          <cell r="X372">
            <v>60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human</v>
          </cell>
          <cell r="N373" t="str">
            <v>ヒューマン</v>
          </cell>
          <cell r="O373">
            <v>0.94</v>
          </cell>
          <cell r="P373">
            <v>0.99</v>
          </cell>
          <cell r="Q373">
            <v>1</v>
          </cell>
          <cell r="R373" t="str">
            <v>Boss</v>
          </cell>
          <cell r="S373">
            <v>5</v>
          </cell>
          <cell r="T373">
            <v>1.3</v>
          </cell>
          <cell r="U373">
            <v>0.8</v>
          </cell>
          <cell r="V373">
            <v>3</v>
          </cell>
          <cell r="W373">
            <v>1</v>
          </cell>
          <cell r="X373">
            <v>60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human</v>
          </cell>
          <cell r="N374" t="str">
            <v>ヒューマン</v>
          </cell>
          <cell r="O374">
            <v>0.94</v>
          </cell>
          <cell r="P374">
            <v>0.99</v>
          </cell>
          <cell r="Q374">
            <v>1</v>
          </cell>
          <cell r="R374" t="str">
            <v>Boss</v>
          </cell>
          <cell r="S374">
            <v>5</v>
          </cell>
          <cell r="T374">
            <v>1.3</v>
          </cell>
          <cell r="U374">
            <v>0.8</v>
          </cell>
          <cell r="V374">
            <v>3</v>
          </cell>
          <cell r="W374">
            <v>1</v>
          </cell>
          <cell r="X374">
            <v>60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balance</v>
          </cell>
          <cell r="I375" t="str">
            <v>バランスタイプ</v>
          </cell>
          <cell r="J375">
            <v>1</v>
          </cell>
          <cell r="K375">
            <v>1</v>
          </cell>
          <cell r="L375">
            <v>1</v>
          </cell>
          <cell r="M375" t="str">
            <v>human</v>
          </cell>
          <cell r="N375" t="str">
            <v>ヒューマン</v>
          </cell>
          <cell r="O375">
            <v>0.94</v>
          </cell>
          <cell r="P375">
            <v>0.99</v>
          </cell>
          <cell r="Q375">
            <v>1</v>
          </cell>
          <cell r="R375" t="str">
            <v>Boss</v>
          </cell>
          <cell r="S375">
            <v>5</v>
          </cell>
          <cell r="T375">
            <v>1.3</v>
          </cell>
          <cell r="U375">
            <v>0.8</v>
          </cell>
          <cell r="V375">
            <v>3</v>
          </cell>
          <cell r="W375">
            <v>1</v>
          </cell>
          <cell r="X375">
            <v>60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balance</v>
          </cell>
          <cell r="I376" t="str">
            <v>バランスタイプ</v>
          </cell>
          <cell r="J376">
            <v>1</v>
          </cell>
          <cell r="K376">
            <v>1</v>
          </cell>
          <cell r="L376">
            <v>1</v>
          </cell>
          <cell r="M376" t="str">
            <v>human</v>
          </cell>
          <cell r="N376" t="str">
            <v>ヒューマン</v>
          </cell>
          <cell r="O376">
            <v>0.94</v>
          </cell>
          <cell r="P376">
            <v>0.99</v>
          </cell>
          <cell r="Q376">
            <v>1</v>
          </cell>
          <cell r="R376" t="str">
            <v>Boss</v>
          </cell>
          <cell r="S376">
            <v>5</v>
          </cell>
          <cell r="T376">
            <v>1.3</v>
          </cell>
          <cell r="U376">
            <v>0.8</v>
          </cell>
          <cell r="V376">
            <v>3</v>
          </cell>
          <cell r="W376">
            <v>1</v>
          </cell>
          <cell r="X376">
            <v>60</v>
          </cell>
        </row>
        <row r="377">
          <cell r="A377">
            <v>376</v>
          </cell>
          <cell r="B377" t="str">
            <v>勘兵衛</v>
          </cell>
          <cell r="C377">
            <v>2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balance</v>
          </cell>
          <cell r="I377" t="str">
            <v>バランスタイプ</v>
          </cell>
          <cell r="J377">
            <v>1</v>
          </cell>
          <cell r="K377">
            <v>1</v>
          </cell>
          <cell r="L377">
            <v>1</v>
          </cell>
          <cell r="M377" t="str">
            <v>human</v>
          </cell>
          <cell r="N377" t="str">
            <v>ヒューマン</v>
          </cell>
          <cell r="O377">
            <v>0.94</v>
          </cell>
          <cell r="P377">
            <v>0.99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60</v>
          </cell>
        </row>
        <row r="378">
          <cell r="A378">
            <v>377</v>
          </cell>
          <cell r="B378" t="str">
            <v>光明鹿剣 勘兵衛</v>
          </cell>
          <cell r="C378">
            <v>3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balance</v>
          </cell>
          <cell r="I378" t="str">
            <v>バランスタイプ</v>
          </cell>
          <cell r="J378">
            <v>1</v>
          </cell>
          <cell r="K378">
            <v>1</v>
          </cell>
          <cell r="L378">
            <v>1</v>
          </cell>
          <cell r="M378" t="str">
            <v>human</v>
          </cell>
          <cell r="N378" t="str">
            <v>ヒューマン</v>
          </cell>
          <cell r="O378">
            <v>0.94</v>
          </cell>
          <cell r="P378">
            <v>0.99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60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60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60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60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60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60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60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60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60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60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60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60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60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60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60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60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60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60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60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60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コードレッド</v>
          </cell>
          <cell r="C411">
            <v>3</v>
          </cell>
          <cell r="D411" t="str">
            <v>red</v>
          </cell>
          <cell r="E411">
            <v>1</v>
          </cell>
          <cell r="F411">
            <v>1.02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unknown</v>
          </cell>
          <cell r="N411" t="str">
            <v>Unknown</v>
          </cell>
          <cell r="O411">
            <v>1</v>
          </cell>
          <cell r="P411">
            <v>1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60</v>
          </cell>
        </row>
        <row r="412">
          <cell r="A412">
            <v>411</v>
          </cell>
          <cell r="B412" t="str">
            <v>増殖感染型コードレッド</v>
          </cell>
          <cell r="C412">
            <v>4</v>
          </cell>
          <cell r="D412" t="str">
            <v>red</v>
          </cell>
          <cell r="E412">
            <v>1</v>
          </cell>
          <cell r="F412">
            <v>1.02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unknown</v>
          </cell>
          <cell r="N412" t="str">
            <v>Unknown</v>
          </cell>
          <cell r="O412">
            <v>1</v>
          </cell>
          <cell r="P412">
            <v>1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ミケランジェロ</v>
          </cell>
          <cell r="C413">
            <v>3</v>
          </cell>
          <cell r="D413" t="str">
            <v>green</v>
          </cell>
          <cell r="E413">
            <v>1.02</v>
          </cell>
          <cell r="F413">
            <v>0.98</v>
          </cell>
          <cell r="G413">
            <v>1</v>
          </cell>
          <cell r="H413" t="str">
            <v>balance</v>
          </cell>
          <cell r="I413" t="str">
            <v>バランスタイプ</v>
          </cell>
          <cell r="J413">
            <v>1</v>
          </cell>
          <cell r="K413">
            <v>1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Boss</v>
          </cell>
          <cell r="S413">
            <v>5</v>
          </cell>
          <cell r="T413">
            <v>1.3</v>
          </cell>
          <cell r="U413">
            <v>0.8</v>
          </cell>
          <cell r="V413">
            <v>3</v>
          </cell>
          <cell r="W413">
            <v>1</v>
          </cell>
          <cell r="X413">
            <v>60</v>
          </cell>
        </row>
        <row r="414">
          <cell r="A414">
            <v>413</v>
          </cell>
          <cell r="B414" t="str">
            <v>侵食破壊性ミケランジェロ</v>
          </cell>
          <cell r="C414">
            <v>4</v>
          </cell>
          <cell r="D414" t="str">
            <v>green</v>
          </cell>
          <cell r="E414">
            <v>1.02</v>
          </cell>
          <cell r="F414">
            <v>0.98</v>
          </cell>
          <cell r="G414">
            <v>1</v>
          </cell>
          <cell r="H414" t="str">
            <v>balance</v>
          </cell>
          <cell r="I414" t="str">
            <v>バランスタイプ</v>
          </cell>
          <cell r="J414">
            <v>1</v>
          </cell>
          <cell r="K414">
            <v>1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Boss</v>
          </cell>
          <cell r="S414">
            <v>5</v>
          </cell>
          <cell r="T414">
            <v>1.3</v>
          </cell>
          <cell r="U414">
            <v>0.8</v>
          </cell>
          <cell r="V414">
            <v>3</v>
          </cell>
          <cell r="W414">
            <v>1</v>
          </cell>
          <cell r="X414">
            <v>60</v>
          </cell>
        </row>
        <row r="415">
          <cell r="A415">
            <v>414</v>
          </cell>
          <cell r="B415" t="str">
            <v>ラブレター</v>
          </cell>
          <cell r="C415">
            <v>3</v>
          </cell>
          <cell r="D415" t="str">
            <v>blue</v>
          </cell>
          <cell r="E415">
            <v>1</v>
          </cell>
          <cell r="F415">
            <v>0.98</v>
          </cell>
          <cell r="G415">
            <v>1</v>
          </cell>
          <cell r="H415" t="str">
            <v>balance</v>
          </cell>
          <cell r="I415" t="str">
            <v>バランスタイプ</v>
          </cell>
          <cell r="J415">
            <v>1</v>
          </cell>
          <cell r="K415">
            <v>1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60</v>
          </cell>
        </row>
        <row r="416">
          <cell r="A416">
            <v>415</v>
          </cell>
          <cell r="B416" t="str">
            <v>連鎖告白型ラブレター</v>
          </cell>
          <cell r="C416">
            <v>4</v>
          </cell>
          <cell r="D416" t="str">
            <v>blue</v>
          </cell>
          <cell r="E416">
            <v>1</v>
          </cell>
          <cell r="F416">
            <v>0.98</v>
          </cell>
          <cell r="G416">
            <v>1</v>
          </cell>
          <cell r="H416" t="str">
            <v>balance</v>
          </cell>
          <cell r="I416" t="str">
            <v>バランスタイプ</v>
          </cell>
          <cell r="J416">
            <v>1</v>
          </cell>
          <cell r="K416">
            <v>1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60</v>
          </cell>
        </row>
        <row r="417">
          <cell r="A417">
            <v>416</v>
          </cell>
          <cell r="B417" t="str">
            <v>カスケード</v>
          </cell>
          <cell r="C417">
            <v>3</v>
          </cell>
          <cell r="D417" t="str">
            <v>yellow</v>
          </cell>
          <cell r="E417">
            <v>0.98</v>
          </cell>
          <cell r="F417">
            <v>1.01</v>
          </cell>
          <cell r="G417">
            <v>1</v>
          </cell>
          <cell r="H417" t="str">
            <v>balance</v>
          </cell>
          <cell r="I417" t="str">
            <v>バランスタイプ</v>
          </cell>
          <cell r="J417">
            <v>1</v>
          </cell>
          <cell r="K417">
            <v>1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60</v>
          </cell>
        </row>
        <row r="418">
          <cell r="A418">
            <v>417</v>
          </cell>
          <cell r="B418" t="str">
            <v>落下分解型カスケード</v>
          </cell>
          <cell r="C418">
            <v>4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balance</v>
          </cell>
          <cell r="I418" t="str">
            <v>バランスタイプ</v>
          </cell>
          <cell r="J418">
            <v>1</v>
          </cell>
          <cell r="K418">
            <v>1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60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60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60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4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進化素材タイプ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4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進化素材タイプ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4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進化素材タイプ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4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進化素材タイプ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60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60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60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60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60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60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ライオネル</v>
          </cell>
          <cell r="C445">
            <v>4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balance</v>
          </cell>
          <cell r="I445" t="str">
            <v>バランスタイプ</v>
          </cell>
          <cell r="J445">
            <v>1</v>
          </cell>
          <cell r="K445">
            <v>1</v>
          </cell>
          <cell r="L445">
            <v>1</v>
          </cell>
          <cell r="M445" t="str">
            <v>human</v>
          </cell>
          <cell r="N445" t="str">
            <v>ヒューマン</v>
          </cell>
          <cell r="O445">
            <v>0.94</v>
          </cell>
          <cell r="P445">
            <v>0.99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60</v>
          </cell>
        </row>
        <row r="446">
          <cell r="A446">
            <v>445</v>
          </cell>
          <cell r="B446" t="str">
            <v>怒鬣の紳獅 ライオネル</v>
          </cell>
          <cell r="C446">
            <v>5</v>
          </cell>
          <cell r="D446" t="str">
            <v>red</v>
          </cell>
          <cell r="E446">
            <v>1</v>
          </cell>
          <cell r="F446">
            <v>1.02</v>
          </cell>
          <cell r="G446">
            <v>1</v>
          </cell>
          <cell r="H446" t="str">
            <v>balance</v>
          </cell>
          <cell r="I446" t="str">
            <v>バランスタイプ</v>
          </cell>
          <cell r="J446">
            <v>1</v>
          </cell>
          <cell r="K446">
            <v>1</v>
          </cell>
          <cell r="L446">
            <v>1</v>
          </cell>
          <cell r="M446" t="str">
            <v>human</v>
          </cell>
          <cell r="N446" t="str">
            <v>ヒューマン</v>
          </cell>
          <cell r="O446">
            <v>0.94</v>
          </cell>
          <cell r="P446">
            <v>0.99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60</v>
          </cell>
        </row>
        <row r="447">
          <cell r="A447">
            <v>446</v>
          </cell>
          <cell r="B447" t="str">
            <v>ガラハッド</v>
          </cell>
          <cell r="C447">
            <v>4</v>
          </cell>
          <cell r="D447" t="str">
            <v>green</v>
          </cell>
          <cell r="E447">
            <v>1.02</v>
          </cell>
          <cell r="F447">
            <v>0.98</v>
          </cell>
          <cell r="G447">
            <v>1</v>
          </cell>
          <cell r="H447" t="str">
            <v>balance</v>
          </cell>
          <cell r="I447" t="str">
            <v>バランスタイプ</v>
          </cell>
          <cell r="J447">
            <v>1</v>
          </cell>
          <cell r="K447">
            <v>1</v>
          </cell>
          <cell r="L447">
            <v>1</v>
          </cell>
          <cell r="M447" t="str">
            <v>human</v>
          </cell>
          <cell r="N447" t="str">
            <v>ヒューマン</v>
          </cell>
          <cell r="O447">
            <v>0.94</v>
          </cell>
          <cell r="P447">
            <v>0.99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60</v>
          </cell>
        </row>
        <row r="448">
          <cell r="A448">
            <v>447</v>
          </cell>
          <cell r="B448" t="str">
            <v>荒息の銃剣 ガラハッド</v>
          </cell>
          <cell r="C448">
            <v>5</v>
          </cell>
          <cell r="D448" t="str">
            <v>green</v>
          </cell>
          <cell r="E448">
            <v>1.02</v>
          </cell>
          <cell r="F448">
            <v>0.98</v>
          </cell>
          <cell r="G448">
            <v>1</v>
          </cell>
          <cell r="H448" t="str">
            <v>balance</v>
          </cell>
          <cell r="I448" t="str">
            <v>バランスタイプ</v>
          </cell>
          <cell r="J448">
            <v>1</v>
          </cell>
          <cell r="K448">
            <v>1</v>
          </cell>
          <cell r="L448">
            <v>1</v>
          </cell>
          <cell r="M448" t="str">
            <v>human</v>
          </cell>
          <cell r="N448" t="str">
            <v>ヒューマン</v>
          </cell>
          <cell r="O448">
            <v>0.94</v>
          </cell>
          <cell r="P448">
            <v>0.99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60</v>
          </cell>
        </row>
        <row r="449">
          <cell r="A449">
            <v>448</v>
          </cell>
          <cell r="B449" t="str">
            <v>ガレス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60</v>
          </cell>
        </row>
        <row r="450">
          <cell r="A450">
            <v>449</v>
          </cell>
          <cell r="B450" t="str">
            <v>幽き美手 ガレス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60</v>
          </cell>
        </row>
        <row r="452">
          <cell r="A452">
            <v>451</v>
          </cell>
          <cell r="B452" t="str">
            <v>黄金の媚惑 イゾルデ</v>
          </cell>
          <cell r="C452">
            <v>5</v>
          </cell>
          <cell r="D452" t="str">
            <v>yellow</v>
          </cell>
          <cell r="E452">
            <v>0.98</v>
          </cell>
          <cell r="F452">
            <v>1.01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60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machine</v>
          </cell>
          <cell r="N455" t="str">
            <v>マシン</v>
          </cell>
          <cell r="O455">
            <v>1</v>
          </cell>
          <cell r="P455">
            <v>1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60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machine</v>
          </cell>
          <cell r="N456" t="str">
            <v>マシン</v>
          </cell>
          <cell r="O456">
            <v>1</v>
          </cell>
          <cell r="P456">
            <v>1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5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60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5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60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60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60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60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60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60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60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60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60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ラグランジュ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human</v>
          </cell>
          <cell r="N475" t="str">
            <v>ヒューマン</v>
          </cell>
          <cell r="O475">
            <v>0.94</v>
          </cell>
          <cell r="P475">
            <v>0.99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60</v>
          </cell>
        </row>
        <row r="476">
          <cell r="A476">
            <v>475</v>
          </cell>
          <cell r="B476" t="str">
            <v>超越自我 ラグランジュ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human</v>
          </cell>
          <cell r="N476" t="str">
            <v>ヒューマン</v>
          </cell>
          <cell r="O476">
            <v>0.94</v>
          </cell>
          <cell r="P476">
            <v>0.99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重なる世解 シュレディンガー</v>
          </cell>
          <cell r="C477">
            <v>5</v>
          </cell>
          <cell r="D477" t="str">
            <v>red</v>
          </cell>
          <cell r="E477">
            <v>1</v>
          </cell>
          <cell r="F477">
            <v>1.02</v>
          </cell>
          <cell r="G477">
            <v>1</v>
          </cell>
          <cell r="H477" t="str">
            <v>balance</v>
          </cell>
          <cell r="I477" t="str">
            <v>バランスタイプ</v>
          </cell>
          <cell r="J477">
            <v>1</v>
          </cell>
          <cell r="K477">
            <v>1</v>
          </cell>
          <cell r="L477">
            <v>1</v>
          </cell>
          <cell r="M477" t="str">
            <v>human</v>
          </cell>
          <cell r="N477" t="str">
            <v>ヒューマン</v>
          </cell>
          <cell r="O477">
            <v>0.94</v>
          </cell>
          <cell r="P477">
            <v>0.99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60</v>
          </cell>
        </row>
        <row r="478">
          <cell r="A478">
            <v>477</v>
          </cell>
          <cell r="B478" t="str">
            <v>暴創の造物 チューリング</v>
          </cell>
          <cell r="C478">
            <v>5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hp</v>
          </cell>
          <cell r="I478" t="str">
            <v>体力タイプ</v>
          </cell>
          <cell r="J478">
            <v>1.45</v>
          </cell>
          <cell r="K478">
            <v>0.85</v>
          </cell>
          <cell r="L478">
            <v>1</v>
          </cell>
          <cell r="M478" t="str">
            <v>human</v>
          </cell>
          <cell r="N478" t="str">
            <v>ヒューマン</v>
          </cell>
          <cell r="O478">
            <v>0.94</v>
          </cell>
          <cell r="P478">
            <v>0.99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60</v>
          </cell>
        </row>
        <row r="479">
          <cell r="A479">
            <v>478</v>
          </cell>
          <cell r="B479" t="str">
            <v>直観の異論 ヘンペル</v>
          </cell>
          <cell r="C479">
            <v>5</v>
          </cell>
          <cell r="D479" t="str">
            <v>blue</v>
          </cell>
          <cell r="E479">
            <v>1</v>
          </cell>
          <cell r="F479">
            <v>0.98</v>
          </cell>
          <cell r="G479">
            <v>1</v>
          </cell>
          <cell r="H479" t="str">
            <v>balance</v>
          </cell>
          <cell r="I479" t="str">
            <v>バランスタイプ</v>
          </cell>
          <cell r="J479">
            <v>1</v>
          </cell>
          <cell r="K479">
            <v>1</v>
          </cell>
          <cell r="L479">
            <v>1</v>
          </cell>
          <cell r="M479" t="str">
            <v>human</v>
          </cell>
          <cell r="N479" t="str">
            <v>ヒューマン</v>
          </cell>
          <cell r="O479">
            <v>0.94</v>
          </cell>
          <cell r="P479">
            <v>0.99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完然者 ラプラス</v>
          </cell>
          <cell r="C480">
            <v>5</v>
          </cell>
          <cell r="D480" t="str">
            <v>yellow</v>
          </cell>
          <cell r="E480">
            <v>0.98</v>
          </cell>
          <cell r="F480">
            <v>1.01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human</v>
          </cell>
          <cell r="N480" t="str">
            <v>ヒューマン</v>
          </cell>
          <cell r="O480">
            <v>0.94</v>
          </cell>
          <cell r="P480">
            <v>0.99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60</v>
          </cell>
        </row>
        <row r="481">
          <cell r="A481">
            <v>480</v>
          </cell>
          <cell r="B481" t="str">
            <v>キング・ドライグ</v>
          </cell>
          <cell r="C481">
            <v>4</v>
          </cell>
          <cell r="D481" t="str">
            <v>red</v>
          </cell>
          <cell r="E481">
            <v>1</v>
          </cell>
          <cell r="F481">
            <v>1.02</v>
          </cell>
          <cell r="G481">
            <v>1</v>
          </cell>
          <cell r="H481" t="str">
            <v>balance</v>
          </cell>
          <cell r="I481" t="str">
            <v>バランスタイプ</v>
          </cell>
          <cell r="J481">
            <v>1</v>
          </cell>
          <cell r="K481">
            <v>1</v>
          </cell>
          <cell r="L481">
            <v>1</v>
          </cell>
          <cell r="M481" t="str">
            <v>dragon</v>
          </cell>
          <cell r="N481" t="str">
            <v>ドラゴン</v>
          </cell>
          <cell r="O481">
            <v>1.1499999999999999</v>
          </cell>
          <cell r="P481">
            <v>1.1000000000000001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緋王 キング・ドライグ</v>
          </cell>
          <cell r="C482">
            <v>5</v>
          </cell>
          <cell r="D482" t="str">
            <v>red</v>
          </cell>
          <cell r="E482">
            <v>1</v>
          </cell>
          <cell r="F482">
            <v>1.02</v>
          </cell>
          <cell r="G482">
            <v>1</v>
          </cell>
          <cell r="H482" t="str">
            <v>balance</v>
          </cell>
          <cell r="I482" t="str">
            <v>バランスタイプ</v>
          </cell>
          <cell r="J482">
            <v>1</v>
          </cell>
          <cell r="K482">
            <v>1</v>
          </cell>
          <cell r="L482">
            <v>1</v>
          </cell>
          <cell r="M482" t="str">
            <v>dragon</v>
          </cell>
          <cell r="N482" t="str">
            <v>ドラゴン</v>
          </cell>
          <cell r="O482">
            <v>1.1499999999999999</v>
          </cell>
          <cell r="P482">
            <v>1.1000000000000001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60</v>
          </cell>
        </row>
        <row r="483">
          <cell r="A483">
            <v>482</v>
          </cell>
          <cell r="B483" t="str">
            <v>ファータ</v>
          </cell>
          <cell r="C483">
            <v>3</v>
          </cell>
          <cell r="D483" t="str">
            <v>green</v>
          </cell>
          <cell r="E483">
            <v>1.02</v>
          </cell>
          <cell r="F483">
            <v>0.98</v>
          </cell>
          <cell r="G483">
            <v>1</v>
          </cell>
          <cell r="H483" t="str">
            <v>heal</v>
          </cell>
          <cell r="I483" t="str">
            <v>回復タイプ</v>
          </cell>
          <cell r="J483">
            <v>0.8</v>
          </cell>
          <cell r="K483">
            <v>0.78</v>
          </cell>
          <cell r="L483">
            <v>1</v>
          </cell>
          <cell r="M483" t="str">
            <v>unknown</v>
          </cell>
          <cell r="N483" t="str">
            <v>Unknown</v>
          </cell>
          <cell r="O483">
            <v>1</v>
          </cell>
          <cell r="P483">
            <v>1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60</v>
          </cell>
        </row>
        <row r="484">
          <cell r="A484">
            <v>483</v>
          </cell>
          <cell r="B484" t="str">
            <v>愛羽妖精 ファータ</v>
          </cell>
          <cell r="C484">
            <v>4</v>
          </cell>
          <cell r="D484" t="str">
            <v>green</v>
          </cell>
          <cell r="E484">
            <v>1.02</v>
          </cell>
          <cell r="F484">
            <v>0.98</v>
          </cell>
          <cell r="G484">
            <v>1</v>
          </cell>
          <cell r="H484" t="str">
            <v>heal</v>
          </cell>
          <cell r="I484" t="str">
            <v>回復タイプ</v>
          </cell>
          <cell r="J484">
            <v>0.8</v>
          </cell>
          <cell r="K484">
            <v>0.78</v>
          </cell>
          <cell r="L484">
            <v>1</v>
          </cell>
          <cell r="M484" t="str">
            <v>unknown</v>
          </cell>
          <cell r="N484" t="str">
            <v>Unknown</v>
          </cell>
          <cell r="O484">
            <v>1</v>
          </cell>
          <cell r="P484">
            <v>1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時計仕掛けの愛羽妖精 ファータ</v>
          </cell>
          <cell r="C485">
            <v>5</v>
          </cell>
          <cell r="D485" t="str">
            <v>green</v>
          </cell>
          <cell r="E485">
            <v>1.02</v>
          </cell>
          <cell r="F485">
            <v>0.98</v>
          </cell>
          <cell r="G485">
            <v>1</v>
          </cell>
          <cell r="H485" t="str">
            <v>heal</v>
          </cell>
          <cell r="I485" t="str">
            <v>回復タイプ</v>
          </cell>
          <cell r="J485">
            <v>0.8</v>
          </cell>
          <cell r="K485">
            <v>0.78</v>
          </cell>
          <cell r="L485">
            <v>1</v>
          </cell>
          <cell r="M485" t="str">
            <v>unknown</v>
          </cell>
          <cell r="N485" t="str">
            <v>Unknown</v>
          </cell>
          <cell r="O485">
            <v>1</v>
          </cell>
          <cell r="P485">
            <v>1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60</v>
          </cell>
        </row>
        <row r="486">
          <cell r="A486">
            <v>485</v>
          </cell>
          <cell r="B486" t="str">
            <v>ロキ</v>
          </cell>
          <cell r="C486">
            <v>4</v>
          </cell>
          <cell r="D486" t="str">
            <v>blue</v>
          </cell>
          <cell r="E486">
            <v>1</v>
          </cell>
          <cell r="F486">
            <v>0.98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god</v>
          </cell>
          <cell r="N486" t="str">
            <v>ゴッド</v>
          </cell>
          <cell r="O486">
            <v>0.96</v>
          </cell>
          <cell r="P486">
            <v>1.02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華麗なるサディスト ロキ</v>
          </cell>
          <cell r="C487">
            <v>5</v>
          </cell>
          <cell r="D487" t="str">
            <v>blue</v>
          </cell>
          <cell r="E487">
            <v>1</v>
          </cell>
          <cell r="F487">
            <v>0.98</v>
          </cell>
          <cell r="G487">
            <v>1</v>
          </cell>
          <cell r="H487" t="str">
            <v>technical</v>
          </cell>
          <cell r="I487" t="str">
            <v>テクニカルタイプ</v>
          </cell>
          <cell r="J487">
            <v>0.9</v>
          </cell>
          <cell r="K487">
            <v>0.9</v>
          </cell>
          <cell r="L487">
            <v>1</v>
          </cell>
          <cell r="M487" t="str">
            <v>god</v>
          </cell>
          <cell r="N487" t="str">
            <v>ゴッド</v>
          </cell>
          <cell r="O487">
            <v>0.96</v>
          </cell>
          <cell r="P487">
            <v>1.02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沢庵宗彭</v>
          </cell>
          <cell r="C488">
            <v>3</v>
          </cell>
          <cell r="D488" t="str">
            <v>yellow</v>
          </cell>
          <cell r="E488">
            <v>0.98</v>
          </cell>
          <cell r="F488">
            <v>1.01</v>
          </cell>
          <cell r="G488">
            <v>1</v>
          </cell>
          <cell r="H488" t="str">
            <v>attack</v>
          </cell>
          <cell r="I488" t="str">
            <v>攻撃タイプ</v>
          </cell>
          <cell r="J488">
            <v>1</v>
          </cell>
          <cell r="K488">
            <v>1.33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魁僧 沢庵宗彭</v>
          </cell>
          <cell r="C489">
            <v>4</v>
          </cell>
          <cell r="D489" t="str">
            <v>yellow</v>
          </cell>
          <cell r="E489">
            <v>0.98</v>
          </cell>
          <cell r="F489">
            <v>1.01</v>
          </cell>
          <cell r="G489">
            <v>1</v>
          </cell>
          <cell r="H489" t="str">
            <v>attack</v>
          </cell>
          <cell r="I489" t="str">
            <v>攻撃タイプ</v>
          </cell>
          <cell r="J489">
            <v>1</v>
          </cell>
          <cell r="K489">
            <v>1.33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 xml:space="preserve">命経死遂 沢庵宗彭 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attack</v>
          </cell>
          <cell r="I490" t="str">
            <v>攻撃タイプ</v>
          </cell>
          <cell r="J490">
            <v>1</v>
          </cell>
          <cell r="K490">
            <v>1.33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侵食性ウイルス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calc:mul, animation:degrade_unit_all_heal]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calc:mul, animation:degrade_unit_all_heal]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ハース・スポイル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侵食性ウイルス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ハース・スポイル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B14" sqref="B14"/>
    </sheetView>
  </sheetViews>
  <sheetFormatPr baseColWidth="12" defaultRowHeight="18" x14ac:dyDescent="0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>
      <c r="A1" s="63" t="s">
        <v>151</v>
      </c>
      <c r="B1" s="56" t="s">
        <v>102</v>
      </c>
      <c r="C1" s="56" t="s">
        <v>103</v>
      </c>
      <c r="D1" s="56" t="s">
        <v>104</v>
      </c>
      <c r="E1" s="56" t="s">
        <v>105</v>
      </c>
      <c r="F1" s="56" t="s">
        <v>106</v>
      </c>
      <c r="G1" s="56" t="s">
        <v>107</v>
      </c>
      <c r="H1" s="56"/>
      <c r="I1" s="56"/>
      <c r="J1" s="56"/>
      <c r="K1" s="56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>
      <c r="A2" s="64" t="s">
        <v>153</v>
      </c>
      <c r="B2" s="58" t="s">
        <v>108</v>
      </c>
      <c r="C2" s="58">
        <v>40004</v>
      </c>
      <c r="D2" s="58" t="s">
        <v>109</v>
      </c>
      <c r="E2" s="57" t="str">
        <f>B2&amp;C2&amp;D2</f>
        <v>floors_40004.tmp</v>
      </c>
      <c r="F2" s="58" t="s">
        <v>110</v>
      </c>
      <c r="G2" s="59" t="s">
        <v>0</v>
      </c>
      <c r="H2" s="59" t="s">
        <v>1</v>
      </c>
      <c r="I2" s="59" t="s">
        <v>13</v>
      </c>
      <c r="J2" s="59" t="s">
        <v>14</v>
      </c>
      <c r="K2" s="59" t="s">
        <v>15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</row>
    <row r="3" spans="1:29">
      <c r="A3" s="64" t="s">
        <v>152</v>
      </c>
      <c r="B3" s="58" t="s">
        <v>111</v>
      </c>
      <c r="C3" s="58">
        <v>40004</v>
      </c>
      <c r="D3" s="58" t="s">
        <v>109</v>
      </c>
      <c r="E3" s="57" t="str">
        <f>B3&amp;C3&amp;D3</f>
        <v>enemy_habitats_40004.tmp</v>
      </c>
      <c r="F3" s="58" t="s">
        <v>112</v>
      </c>
      <c r="G3" s="59" t="s">
        <v>0</v>
      </c>
      <c r="H3" s="59" t="s">
        <v>1</v>
      </c>
      <c r="I3" s="59" t="s">
        <v>13</v>
      </c>
      <c r="J3" s="59" t="s">
        <v>2</v>
      </c>
      <c r="K3" s="59" t="s">
        <v>3</v>
      </c>
      <c r="L3" s="59" t="s">
        <v>47</v>
      </c>
      <c r="M3" s="59" t="s">
        <v>49</v>
      </c>
      <c r="N3" s="59" t="s">
        <v>51</v>
      </c>
      <c r="O3" s="59" t="s">
        <v>22</v>
      </c>
      <c r="P3" s="59" t="s">
        <v>5</v>
      </c>
      <c r="Q3" s="59" t="s">
        <v>6</v>
      </c>
      <c r="R3" s="59" t="s">
        <v>7</v>
      </c>
      <c r="S3" s="59" t="s">
        <v>8</v>
      </c>
      <c r="T3" s="59" t="s">
        <v>9</v>
      </c>
      <c r="U3" s="59" t="s">
        <v>10</v>
      </c>
      <c r="V3" s="59" t="s">
        <v>11</v>
      </c>
      <c r="W3" s="59" t="s">
        <v>12</v>
      </c>
      <c r="X3" s="59" t="s">
        <v>37</v>
      </c>
      <c r="Y3" s="59" t="s">
        <v>39</v>
      </c>
      <c r="Z3" s="59" t="s">
        <v>41</v>
      </c>
      <c r="AA3" s="59" t="s">
        <v>43</v>
      </c>
      <c r="AB3" s="59" t="s">
        <v>45</v>
      </c>
      <c r="AC3" s="59" t="s">
        <v>53</v>
      </c>
    </row>
    <row r="4" spans="1:29">
      <c r="A4" s="64" t="s">
        <v>152</v>
      </c>
      <c r="B4" s="58" t="s">
        <v>113</v>
      </c>
      <c r="C4" s="58">
        <v>40004</v>
      </c>
      <c r="D4" s="58" t="s">
        <v>109</v>
      </c>
      <c r="E4" s="57" t="str">
        <f>B4&amp;C4&amp;D4</f>
        <v>enemy_habitat_S_40004.tmp</v>
      </c>
      <c r="F4" s="58" t="s">
        <v>114</v>
      </c>
      <c r="G4" s="59" t="s">
        <v>0</v>
      </c>
      <c r="H4" s="59" t="s">
        <v>1</v>
      </c>
      <c r="I4" s="59" t="s">
        <v>13</v>
      </c>
      <c r="J4" s="59" t="s">
        <v>53</v>
      </c>
      <c r="K4" s="59" t="s">
        <v>54</v>
      </c>
      <c r="L4" s="59" t="s">
        <v>55</v>
      </c>
      <c r="M4" s="59" t="s">
        <v>56</v>
      </c>
      <c r="N4" s="59" t="s">
        <v>57</v>
      </c>
      <c r="O4" s="59" t="s">
        <v>58</v>
      </c>
      <c r="P4" s="59" t="s">
        <v>48</v>
      </c>
      <c r="Q4" s="59" t="s">
        <v>50</v>
      </c>
      <c r="R4" s="59" t="s">
        <v>52</v>
      </c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</row>
    <row r="5" spans="1:29">
      <c r="A5" s="64" t="s">
        <v>152</v>
      </c>
      <c r="B5" s="58" t="s">
        <v>115</v>
      </c>
      <c r="C5" s="58">
        <v>40004</v>
      </c>
      <c r="D5" s="58" t="s">
        <v>109</v>
      </c>
      <c r="E5" s="57" t="str">
        <f>B5&amp;C5&amp;D5</f>
        <v>enemy_skill_sets_40004.tmp</v>
      </c>
      <c r="F5" s="58" t="s">
        <v>116</v>
      </c>
      <c r="G5" s="60" t="s">
        <v>22</v>
      </c>
      <c r="H5" s="60" t="s">
        <v>101</v>
      </c>
      <c r="I5" s="60" t="s">
        <v>96</v>
      </c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</row>
    <row r="6" spans="1:29">
      <c r="A6" s="64" t="s">
        <v>152</v>
      </c>
      <c r="B6" s="58" t="s">
        <v>117</v>
      </c>
      <c r="C6" s="58">
        <v>40004</v>
      </c>
      <c r="D6" s="58" t="s">
        <v>118</v>
      </c>
      <c r="E6" s="57" t="str">
        <f t="shared" ref="E6:E8" si="0">B6&amp;C6&amp;D6</f>
        <v>enemy_skills_tmp_40004.tmp</v>
      </c>
      <c r="F6" s="58" t="s">
        <v>92</v>
      </c>
      <c r="G6" s="59" t="s">
        <v>80</v>
      </c>
      <c r="H6" s="59" t="s">
        <v>81</v>
      </c>
      <c r="I6" s="59" t="s">
        <v>82</v>
      </c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</row>
    <row r="7" spans="1:29">
      <c r="A7" s="64" t="s">
        <v>152</v>
      </c>
      <c r="B7" s="58" t="s">
        <v>119</v>
      </c>
      <c r="C7" s="58">
        <v>40004</v>
      </c>
      <c r="D7" s="58" t="s">
        <v>109</v>
      </c>
      <c r="E7" s="57" t="str">
        <f>B7&amp;C7&amp;D7</f>
        <v>enemy_skills_i18n_40004.tmp</v>
      </c>
      <c r="F7" s="58" t="s">
        <v>120</v>
      </c>
      <c r="G7" s="59" t="s">
        <v>80</v>
      </c>
      <c r="H7" s="59" t="s">
        <v>93</v>
      </c>
      <c r="I7" s="59" t="s">
        <v>94</v>
      </c>
      <c r="J7" s="59" t="s">
        <v>95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</row>
    <row r="8" spans="1:29">
      <c r="A8" s="64" t="s">
        <v>152</v>
      </c>
      <c r="B8" s="58" t="s">
        <v>121</v>
      </c>
      <c r="C8" s="58">
        <v>40004</v>
      </c>
      <c r="D8" s="58" t="s">
        <v>122</v>
      </c>
      <c r="E8" s="57" t="str">
        <f t="shared" si="0"/>
        <v>enemy_skill_triggers_40004.tmp</v>
      </c>
      <c r="F8" s="58" t="s">
        <v>123</v>
      </c>
      <c r="G8" s="59" t="s">
        <v>96</v>
      </c>
      <c r="H8" s="59" t="s">
        <v>97</v>
      </c>
      <c r="I8" s="59" t="s">
        <v>98</v>
      </c>
      <c r="J8" s="59" t="s">
        <v>99</v>
      </c>
      <c r="K8" s="59" t="s">
        <v>124</v>
      </c>
      <c r="L8" s="59" t="s">
        <v>100</v>
      </c>
      <c r="M8" s="59" t="s">
        <v>125</v>
      </c>
      <c r="N8" s="59" t="s">
        <v>126</v>
      </c>
      <c r="O8" s="59" t="s">
        <v>127</v>
      </c>
      <c r="P8" s="59" t="s">
        <v>66</v>
      </c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L10" sqref="L10"/>
    </sheetView>
  </sheetViews>
  <sheetFormatPr baseColWidth="12" defaultColWidth="13" defaultRowHeight="21" customHeight="1" outlineLevelCol="1" x14ac:dyDescent="0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40004_1-1</v>
      </c>
      <c r="B2" s="16" t="str">
        <f>IF(COUNTIF(enemy_habitats!$H:$H,A2),"OK","NG")</f>
        <v>OK</v>
      </c>
      <c r="C2" s="7">
        <v>40004</v>
      </c>
      <c r="D2" s="11" t="str">
        <f ca="1">VLOOKUP($C2,OFFSET([2]quests!$A$1,0,0,COUNTA([2]quests!$A:$A),MATCH(D$1,[2]quests!$1:$1,0)-MATCH($C$1,[2]quests!$1:$1,0)+1),MATCH(D$1,[2]quests!$1:$1,0)-MATCH($C$1,[2]quests!$1:$1,0)+1,FALSE)</f>
        <v>宮本武蔵襲来！</v>
      </c>
      <c r="E2" s="19" t="str">
        <f ca="1">VLOOKUP($C2,OFFSET([2]quests!$A$1,0,0,COUNTA([2]quests!$A:$A),MATCH(E$1,[2]quests!$1:$1,0)-MATCH($C$1,[2]quests!$1:$1,0)+1),MATCH(E$1,[2]quests!$1:$1,0)-MATCH($C$1,[2]quests!$1:$1,0)+1,FALSE)</f>
        <v>降臨4</v>
      </c>
      <c r="F2" s="22">
        <v>1</v>
      </c>
      <c r="G2" s="24" t="str">
        <f>C2&amp;"_"&amp;F2</f>
        <v>40004_1</v>
      </c>
      <c r="H2" s="15" t="str">
        <f ca="1">VLOOKUP($G2,OFFSET([2]stages!$A$1,0,0,COUNTA([2]stages!$A:$A),MATCH(H$1,[2]stages!$2:$2,0)-MATCH($G$1,[2]stages!$2:$2,0)+1),MATCH(H$1,[2]stages!$2:$2,0)-MATCH($G$1,[2]stages!$2:$2,0)+1,FALSE)</f>
        <v>宮本武蔵襲来 【ウィザード級】</v>
      </c>
      <c r="I2" s="22">
        <v>1</v>
      </c>
      <c r="J2" s="12">
        <v>60</v>
      </c>
      <c r="K2" s="12">
        <v>60</v>
      </c>
    </row>
    <row r="3" spans="1:11" ht="21" customHeight="1">
      <c r="A3" s="16" t="str">
        <f t="shared" ref="A3:A5" si="0">G3&amp;"-"&amp;I3</f>
        <v>40004_1-2</v>
      </c>
      <c r="B3" s="16" t="str">
        <f>IF(COUNTIF(enemy_habitats!$H:$H,A3),"OK","NG")</f>
        <v>OK</v>
      </c>
      <c r="C3" s="7">
        <v>40004</v>
      </c>
      <c r="D3" s="11" t="str">
        <f ca="1">VLOOKUP($C3,OFFSET([2]quests!$A$1,0,0,COUNTA([2]quests!$A:$A),MATCH(D$1,[2]quests!$1:$1,0)-MATCH($C$1,[2]quests!$1:$1,0)+1),MATCH(D$1,[2]quests!$1:$1,0)-MATCH($C$1,[2]quests!$1:$1,0)+1,FALSE)</f>
        <v>宮本武蔵襲来！</v>
      </c>
      <c r="E3" s="19" t="str">
        <f ca="1">VLOOKUP($C3,OFFSET([2]quests!$A$1,0,0,COUNTA([2]quests!$A:$A),MATCH(E$1,[2]quests!$1:$1,0)-MATCH($C$1,[2]quests!$1:$1,0)+1),MATCH(E$1,[2]quests!$1:$1,0)-MATCH($C$1,[2]quests!$1:$1,0)+1,FALSE)</f>
        <v>降臨4</v>
      </c>
      <c r="F3" s="22">
        <v>1</v>
      </c>
      <c r="G3" s="24" t="str">
        <f t="shared" ref="G3:G5" si="1">C3&amp;"_"&amp;F3</f>
        <v>40004_1</v>
      </c>
      <c r="H3" s="15" t="str">
        <f ca="1">VLOOKUP($G3,OFFSET([2]stages!$A$1,0,0,COUNTA([2]stages!$A:$A),MATCH(H$1,[2]stages!$2:$2,0)-MATCH($G$1,[2]stages!$2:$2,0)+1),MATCH(H$1,[2]stages!$2:$2,0)-MATCH($G$1,[2]stages!$2:$2,0)+1,FALSE)</f>
        <v>宮本武蔵襲来 【ウィザード級】</v>
      </c>
      <c r="I3" s="22">
        <v>2</v>
      </c>
      <c r="J3" s="12">
        <v>60</v>
      </c>
      <c r="K3" s="12">
        <v>60</v>
      </c>
    </row>
    <row r="4" spans="1:11" ht="21" customHeight="1">
      <c r="A4" s="16" t="str">
        <f t="shared" si="0"/>
        <v>40004_1-3</v>
      </c>
      <c r="B4" s="16" t="str">
        <f>IF(COUNTIF(enemy_habitats!$H:$H,A4),"OK","NG")</f>
        <v>OK</v>
      </c>
      <c r="C4" s="7">
        <v>40004</v>
      </c>
      <c r="D4" s="11" t="str">
        <f ca="1">VLOOKUP($C4,OFFSET([2]quests!$A$1,0,0,COUNTA([2]quests!$A:$A),MATCH(D$1,[2]quests!$1:$1,0)-MATCH($C$1,[2]quests!$1:$1,0)+1),MATCH(D$1,[2]quests!$1:$1,0)-MATCH($C$1,[2]quests!$1:$1,0)+1,FALSE)</f>
        <v>宮本武蔵襲来！</v>
      </c>
      <c r="E4" s="19" t="str">
        <f ca="1">VLOOKUP($C4,OFFSET([2]quests!$A$1,0,0,COUNTA([2]quests!$A:$A),MATCH(E$1,[2]quests!$1:$1,0)-MATCH($C$1,[2]quests!$1:$1,0)+1),MATCH(E$1,[2]quests!$1:$1,0)-MATCH($C$1,[2]quests!$1:$1,0)+1,FALSE)</f>
        <v>降臨4</v>
      </c>
      <c r="F4" s="22">
        <v>1</v>
      </c>
      <c r="G4" s="24" t="str">
        <f t="shared" si="1"/>
        <v>40004_1</v>
      </c>
      <c r="H4" s="15" t="str">
        <f ca="1">VLOOKUP($G4,OFFSET([2]stages!$A$1,0,0,COUNTA([2]stages!$A:$A),MATCH(H$1,[2]stages!$2:$2,0)-MATCH($G$1,[2]stages!$2:$2,0)+1),MATCH(H$1,[2]stages!$2:$2,0)-MATCH($G$1,[2]stages!$2:$2,0)+1,FALSE)</f>
        <v>宮本武蔵襲来 【ウィザード級】</v>
      </c>
      <c r="I4" s="22">
        <v>3</v>
      </c>
      <c r="J4" s="12">
        <v>60</v>
      </c>
      <c r="K4" s="12">
        <v>60</v>
      </c>
    </row>
    <row r="5" spans="1:11" ht="21" customHeight="1">
      <c r="A5" s="16" t="str">
        <f t="shared" si="0"/>
        <v>40004_1-4</v>
      </c>
      <c r="B5" s="16" t="str">
        <f>IF(COUNTIF(enemy_habitats!$H:$H,A5),"OK","NG")</f>
        <v>OK</v>
      </c>
      <c r="C5" s="7">
        <v>40004</v>
      </c>
      <c r="D5" s="11" t="str">
        <f ca="1">VLOOKUP($C5,OFFSET([2]quests!$A$1,0,0,COUNTA([2]quests!$A:$A),MATCH(D$1,[2]quests!$1:$1,0)-MATCH($C$1,[2]quests!$1:$1,0)+1),MATCH(D$1,[2]quests!$1:$1,0)-MATCH($C$1,[2]quests!$1:$1,0)+1,FALSE)</f>
        <v>宮本武蔵襲来！</v>
      </c>
      <c r="E5" s="19" t="str">
        <f ca="1">VLOOKUP($C5,OFFSET([2]quests!$A$1,0,0,COUNTA([2]quests!$A:$A),MATCH(E$1,[2]quests!$1:$1,0)-MATCH($C$1,[2]quests!$1:$1,0)+1),MATCH(E$1,[2]quests!$1:$1,0)-MATCH($C$1,[2]quests!$1:$1,0)+1,FALSE)</f>
        <v>降臨4</v>
      </c>
      <c r="F5" s="22">
        <v>1</v>
      </c>
      <c r="G5" s="24" t="str">
        <f t="shared" si="1"/>
        <v>40004_1</v>
      </c>
      <c r="H5" s="15" t="str">
        <f ca="1">VLOOKUP($G5,OFFSET([2]stages!$A$1,0,0,COUNTA([2]stages!$A:$A),MATCH(H$1,[2]stages!$2:$2,0)-MATCH($G$1,[2]stages!$2:$2,0)+1),MATCH(H$1,[2]stages!$2:$2,0)-MATCH($G$1,[2]stages!$2:$2,0)+1,FALSE)</f>
        <v>宮本武蔵襲来 【ウィザード級】</v>
      </c>
      <c r="I5" s="22">
        <v>4</v>
      </c>
      <c r="J5" s="12">
        <v>60</v>
      </c>
      <c r="K5" s="12">
        <v>60</v>
      </c>
    </row>
    <row r="6" spans="1:11" ht="21" customHeight="1">
      <c r="A6" s="16" t="str">
        <f>G6&amp;"-"&amp;I6</f>
        <v>40004_1-5</v>
      </c>
      <c r="B6" s="16" t="str">
        <f>IF(COUNTIF(enemy_habitats!$H:$H,A6),"OK","NG")</f>
        <v>OK</v>
      </c>
      <c r="C6" s="7">
        <v>40004</v>
      </c>
      <c r="D6" s="11" t="str">
        <f ca="1">VLOOKUP($C6,OFFSET([2]quests!$A$1,0,0,COUNTA([2]quests!$A:$A),MATCH(D$1,[2]quests!$1:$1,0)-MATCH($C$1,[2]quests!$1:$1,0)+1),MATCH(D$1,[2]quests!$1:$1,0)-MATCH($C$1,[2]quests!$1:$1,0)+1,FALSE)</f>
        <v>宮本武蔵襲来！</v>
      </c>
      <c r="E6" s="19" t="str">
        <f ca="1">VLOOKUP($C6,OFFSET([2]quests!$A$1,0,0,COUNTA([2]quests!$A:$A),MATCH(E$1,[2]quests!$1:$1,0)-MATCH($C$1,[2]quests!$1:$1,0)+1),MATCH(E$1,[2]quests!$1:$1,0)-MATCH($C$1,[2]quests!$1:$1,0)+1,FALSE)</f>
        <v>降臨4</v>
      </c>
      <c r="F6" s="22">
        <v>1</v>
      </c>
      <c r="G6" s="24" t="str">
        <f>C6&amp;"_"&amp;F6</f>
        <v>40004_1</v>
      </c>
      <c r="H6" s="15" t="str">
        <f ca="1">VLOOKUP($G6,OFFSET([2]stages!$A$1,0,0,COUNTA([2]stages!$A:$A),MATCH(H$1,[2]stages!$2:$2,0)-MATCH($G$1,[2]stages!$2:$2,0)+1),MATCH(H$1,[2]stages!$2:$2,0)-MATCH($G$1,[2]stages!$2:$2,0)+1,FALSE)</f>
        <v>宮本武蔵襲来 【ウィザード級】</v>
      </c>
      <c r="I6" s="22">
        <v>5</v>
      </c>
      <c r="J6" s="12">
        <v>60</v>
      </c>
      <c r="K6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8"/>
  <sheetViews>
    <sheetView showGridLines="0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W8" sqref="W8"/>
    </sheetView>
  </sheetViews>
  <sheetFormatPr baseColWidth="12" defaultColWidth="13" defaultRowHeight="21" customHeight="1" outlineLevelCol="1" x14ac:dyDescent="0"/>
  <cols>
    <col min="1" max="1" width="15.83203125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customWidth="1"/>
    <col min="23" max="23" width="10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53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>
      <c r="A2" s="16" t="str">
        <f ca="1">B2&amp;"_"&amp;C2&amp;"-"&amp;G2&amp;"/"&amp;L2&amp;"&lt;lv"&amp;R2&amp;"&gt;s"&amp;AA2</f>
        <v>40004_1-1/190&lt;lv48&gt;s3</v>
      </c>
      <c r="B2" s="23">
        <v>40004</v>
      </c>
      <c r="C2" s="22">
        <v>1</v>
      </c>
      <c r="D2" s="2" t="str">
        <f>B2&amp;"_"&amp;C2</f>
        <v>40004_1</v>
      </c>
      <c r="E2" s="4" t="str">
        <f ca="1">VLOOKUP($B2,OFFSET([2]quests!$A$1,0,0,COUNTA([2]quests!$A:$A),MATCH(E$1,[2]quests!$1:$1,0)-MATCH($B$1,[2]quests!$1:$1,0)+1),MATCH(E$1,[2]quests!$1:$1,0)-MATCH($B$1,[2]quests!$1:$1,0)+1,FALSE)</f>
        <v>宮本武蔵襲来！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宮本武蔵襲来 【ウィザード級】</v>
      </c>
      <c r="G2" s="22">
        <v>1</v>
      </c>
      <c r="H2" s="15" t="str">
        <f>B2&amp;"_"&amp;C2&amp;"-"&amp;G2</f>
        <v>40004_1-1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 t="s">
        <v>132</v>
      </c>
      <c r="L2" s="21">
        <v>190</v>
      </c>
      <c r="M2" s="17" t="str">
        <f ca="1">VLOOKUP(L2,[3]enemies!$A:$B,2,FALSE)</f>
        <v>卑弥呼</v>
      </c>
      <c r="N2" s="19" t="str">
        <f ca="1">VLOOKUP(L2,[3]enemies!$A:$D,4,FALSE)</f>
        <v>red</v>
      </c>
      <c r="O2" s="19" t="str">
        <f>VLOOKUP(L2,[4]characters!$A:$J,10,FALSE)</f>
        <v>PremiumN</v>
      </c>
      <c r="P2" s="18" t="str">
        <f>VLOOKUP(L2,[4]characters!$A:$M,13,FALSE)</f>
        <v>human</v>
      </c>
      <c r="Q2" s="4">
        <f ca="1">VLOOKUP(L2,[3]enemies!$A:$X,24,FALSE)</f>
        <v>20</v>
      </c>
      <c r="R2" s="5">
        <v>48</v>
      </c>
      <c r="S2" s="26">
        <v>1.2</v>
      </c>
      <c r="T2" s="26">
        <v>1</v>
      </c>
      <c r="U2" s="5">
        <v>0</v>
      </c>
      <c r="V2" s="62">
        <v>40004001</v>
      </c>
      <c r="W2" s="4" t="str">
        <f>IFERROR(VLOOKUP(V2,[5]enemy_skill_sets!$B:$E,4,FALSE),VLOOKUP(V2,enemy_skill_sets!B:E,4,FALSE))</f>
        <v>攻勢の巫術</v>
      </c>
      <c r="X2" s="6">
        <v>1</v>
      </c>
      <c r="Y2" s="6">
        <v>100</v>
      </c>
      <c r="Z2" s="6">
        <v>1</v>
      </c>
      <c r="AA2" s="4">
        <f ca="1">VLOOKUP(L2,[3]enemies!$A:$V,22,FALSE)</f>
        <v>3</v>
      </c>
      <c r="AB2" s="25">
        <f>L2</f>
        <v>190</v>
      </c>
      <c r="AC2" s="4" t="str">
        <f ca="1">VLOOKUP(AB2,[3]enemies!$A:$B,2,FALSE)</f>
        <v>卑弥呼</v>
      </c>
      <c r="AD2" s="4">
        <f ca="1">VLOOKUP(AB2,[3]enemies!$A:$E,3,FALSE)</f>
        <v>3</v>
      </c>
      <c r="AE2" s="4" t="str">
        <f>VLOOKUP(AB2,[4]characters!$A:$J,10,FALSE)</f>
        <v>PremiumN</v>
      </c>
      <c r="AF2" s="7">
        <v>1</v>
      </c>
      <c r="AG2" s="25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6" t="str">
        <f ca="1">B3&amp;"_"&amp;C3&amp;"-"&amp;G3&amp;"/"&amp;L3&amp;"&lt;lv"&amp;R3&amp;"&gt;s"&amp;AA3</f>
        <v>40004_1-1/360&lt;lv50&gt;s3</v>
      </c>
      <c r="B3" s="23">
        <v>40004</v>
      </c>
      <c r="C3" s="22">
        <v>1</v>
      </c>
      <c r="D3" s="2" t="str">
        <f>B3&amp;"_"&amp;C3</f>
        <v>40004_1</v>
      </c>
      <c r="E3" s="4" t="str">
        <f ca="1">VLOOKUP($B3,OFFSET([2]quests!$A$1,0,0,COUNTA([2]quests!$A:$A),MATCH(E$1,[2]quests!$1:$1,0)-MATCH($B$1,[2]quests!$1:$1,0)+1),MATCH(E$1,[2]quests!$1:$1,0)-MATCH($B$1,[2]quests!$1:$1,0)+1,FALSE)</f>
        <v>宮本武蔵襲来！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宮本武蔵襲来 【ウィザード級】</v>
      </c>
      <c r="G3" s="22">
        <v>1</v>
      </c>
      <c r="H3" s="15" t="str">
        <f>B3&amp;"_"&amp;C3&amp;"-"&amp;G3</f>
        <v>40004_1-1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 t="s">
        <v>132</v>
      </c>
      <c r="L3" s="21">
        <v>360</v>
      </c>
      <c r="M3" s="17" t="str">
        <f ca="1">VLOOKUP(L3,[3]enemies!$A:$B,2,FALSE)</f>
        <v>ガンテツ</v>
      </c>
      <c r="N3" s="19" t="str">
        <f ca="1">VLOOKUP(L3,[3]enemies!$A:$D,4,FALSE)</f>
        <v>red</v>
      </c>
      <c r="O3" s="19" t="str">
        <f>VLOOKUP(L3,[4]characters!$A:$J,10,FALSE)</f>
        <v>Drop1S</v>
      </c>
      <c r="P3" s="18" t="str">
        <f>VLOOKUP(L3,[4]characters!$A:$M,13,FALSE)</f>
        <v>animal</v>
      </c>
      <c r="Q3" s="4">
        <f ca="1">VLOOKUP(L3,[3]enemies!$A:$X,24,FALSE)</f>
        <v>15</v>
      </c>
      <c r="R3" s="5">
        <v>50</v>
      </c>
      <c r="S3" s="26">
        <v>1</v>
      </c>
      <c r="T3" s="26">
        <v>1</v>
      </c>
      <c r="U3" s="5">
        <v>0</v>
      </c>
      <c r="V3" s="62">
        <v>40004002</v>
      </c>
      <c r="W3" s="4" t="str">
        <f>IFERROR(VLOOKUP(V3,[5]enemy_skill_sets!$B:$E,4,FALSE),VLOOKUP(V3,enemy_skill_sets!B:E,4,FALSE))</f>
        <v>熱々焼ゴテ</v>
      </c>
      <c r="X3" s="6">
        <v>2</v>
      </c>
      <c r="Y3" s="6">
        <v>100</v>
      </c>
      <c r="Z3" s="6">
        <v>0</v>
      </c>
      <c r="AA3" s="4">
        <f ca="1">VLOOKUP(L3,[3]enemies!$A:$V,22,FALSE)</f>
        <v>3</v>
      </c>
      <c r="AB3" s="25">
        <f>L3</f>
        <v>360</v>
      </c>
      <c r="AC3" s="4" t="str">
        <f ca="1">VLOOKUP(AB3,[3]enemies!$A:$B,2,FALSE)</f>
        <v>ガンテツ</v>
      </c>
      <c r="AD3" s="4">
        <f ca="1">VLOOKUP(AB3,[3]enemies!$A:$E,3,FALSE)</f>
        <v>2</v>
      </c>
      <c r="AE3" s="4" t="str">
        <f>VLOOKUP(AB3,[4]characters!$A:$J,10,FALSE)</f>
        <v>Drop1S</v>
      </c>
      <c r="AF3" s="7">
        <v>1</v>
      </c>
      <c r="AG3" s="25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>
      <c r="A4" s="16" t="str">
        <f t="shared" ref="A4:A8" ca="1" si="0">B4&amp;"_"&amp;C4&amp;"-"&amp;G4&amp;"/"&amp;L4&amp;"&lt;lv"&amp;R4&amp;"&gt;s"&amp;AA4</f>
        <v>40004_1-2/139&lt;lv60&gt;s2</v>
      </c>
      <c r="B4" s="23">
        <v>40004</v>
      </c>
      <c r="C4" s="22">
        <v>1</v>
      </c>
      <c r="D4" s="2" t="str">
        <f t="shared" ref="D4:D8" si="1">B4&amp;"_"&amp;C4</f>
        <v>40004_1</v>
      </c>
      <c r="E4" s="4" t="str">
        <f ca="1">VLOOKUP($B4,OFFSET([2]quests!$A$1,0,0,COUNTA([2]quests!$A:$A),MATCH(E$1,[2]quests!$1:$1,0)-MATCH($B$1,[2]quests!$1:$1,0)+1),MATCH(E$1,[2]quests!$1:$1,0)-MATCH($B$1,[2]quests!$1:$1,0)+1,FALSE)</f>
        <v>宮本武蔵襲来！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宮本武蔵襲来 【ウィザード級】</v>
      </c>
      <c r="G4" s="22">
        <v>2</v>
      </c>
      <c r="H4" s="15" t="str">
        <f t="shared" ref="H4:H8" si="2">B4&amp;"_"&amp;C4&amp;"-"&amp;G4</f>
        <v>40004_1-2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 t="s">
        <v>132</v>
      </c>
      <c r="L4" s="21">
        <v>139</v>
      </c>
      <c r="M4" s="17" t="str">
        <f ca="1">VLOOKUP(L4,[3]enemies!$A:$B,2,FALSE)</f>
        <v>蒼昇刃姫 トモエ</v>
      </c>
      <c r="N4" s="19" t="str">
        <f ca="1">VLOOKUP(L4,[3]enemies!$A:$D,4,FALSE)</f>
        <v>blue</v>
      </c>
      <c r="O4" s="19" t="str">
        <f>VLOOKUP(L4,[4]characters!$A:$J,10,FALSE)</f>
        <v>PremiumW</v>
      </c>
      <c r="P4" s="18" t="str">
        <f>VLOOKUP(L4,[4]characters!$A:$M,13,FALSE)</f>
        <v>human</v>
      </c>
      <c r="Q4" s="4">
        <f ca="1">VLOOKUP(L4,[3]enemies!$A:$X,24,FALSE)</f>
        <v>30</v>
      </c>
      <c r="R4" s="5">
        <v>60</v>
      </c>
      <c r="S4" s="26">
        <v>1.5</v>
      </c>
      <c r="T4" s="26">
        <v>1</v>
      </c>
      <c r="U4" s="5">
        <v>0</v>
      </c>
      <c r="V4" s="62">
        <v>40004003</v>
      </c>
      <c r="W4" s="4" t="str">
        <f>IFERROR(VLOOKUP(V4,[5]enemy_skill_sets!$B:$E,4,FALSE),VLOOKUP(V4,enemy_skill_sets!B:E,4,FALSE))</f>
        <v>万物流転</v>
      </c>
      <c r="X4" s="6">
        <v>1</v>
      </c>
      <c r="Y4" s="6">
        <v>100</v>
      </c>
      <c r="Z4" s="6">
        <v>1</v>
      </c>
      <c r="AA4" s="4">
        <f ca="1">VLOOKUP(L4,[3]enemies!$A:$V,22,FALSE)</f>
        <v>2</v>
      </c>
      <c r="AB4" s="25">
        <f t="shared" ref="AB4:AB7" si="3">L4</f>
        <v>139</v>
      </c>
      <c r="AC4" s="4" t="str">
        <f ca="1">VLOOKUP(AB4,[3]enemies!$A:$B,2,FALSE)</f>
        <v>蒼昇刃姫 トモエ</v>
      </c>
      <c r="AD4" s="4">
        <f ca="1">VLOOKUP(AB4,[3]enemies!$A:$E,3,FALSE)</f>
        <v>4</v>
      </c>
      <c r="AE4" s="4" t="str">
        <f>VLOOKUP(AB4,[4]characters!$A:$J,10,FALSE)</f>
        <v>PremiumW</v>
      </c>
      <c r="AF4" s="7">
        <v>1</v>
      </c>
      <c r="AG4" s="25">
        <f t="shared" ref="AG4:AG8" ca="1" si="4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>
      <c r="A5" s="16" t="str">
        <f t="shared" ca="1" si="0"/>
        <v>40004_1-2/13&lt;lv60&gt;s2</v>
      </c>
      <c r="B5" s="23">
        <v>40004</v>
      </c>
      <c r="C5" s="22">
        <v>1</v>
      </c>
      <c r="D5" s="2" t="str">
        <f t="shared" si="1"/>
        <v>40004_1</v>
      </c>
      <c r="E5" s="4" t="str">
        <f ca="1">VLOOKUP($B5,OFFSET([2]quests!$A$1,0,0,COUNTA([2]quests!$A:$A),MATCH(E$1,[2]quests!$1:$1,0)-MATCH($B$1,[2]quests!$1:$1,0)+1),MATCH(E$1,[2]quests!$1:$1,0)-MATCH($B$1,[2]quests!$1:$1,0)+1,FALSE)</f>
        <v>宮本武蔵襲来！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宮本武蔵襲来 【ウィザード級】</v>
      </c>
      <c r="G5" s="22">
        <v>2</v>
      </c>
      <c r="H5" s="15" t="str">
        <f t="shared" si="2"/>
        <v>40004_1-2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 t="s">
        <v>132</v>
      </c>
      <c r="L5" s="21">
        <v>13</v>
      </c>
      <c r="M5" s="17" t="str">
        <f ca="1">VLOOKUP(L5,[3]enemies!$A:$B,2,FALSE)</f>
        <v>ミミ</v>
      </c>
      <c r="N5" s="19" t="str">
        <f ca="1">VLOOKUP(L5,[3]enemies!$A:$D,4,FALSE)</f>
        <v>yellow</v>
      </c>
      <c r="O5" s="19" t="str">
        <f>VLOOKUP(L5,[4]characters!$A:$J,10,FALSE)</f>
        <v>Drop1W</v>
      </c>
      <c r="P5" s="18" t="str">
        <f>VLOOKUP(L5,[4]characters!$A:$M,13,FALSE)</f>
        <v>animal</v>
      </c>
      <c r="Q5" s="4">
        <f ca="1">VLOOKUP(L5,[3]enemies!$A:$X,24,FALSE)</f>
        <v>15</v>
      </c>
      <c r="R5" s="5">
        <v>60</v>
      </c>
      <c r="S5" s="26">
        <v>1.2</v>
      </c>
      <c r="T5" s="26">
        <v>1</v>
      </c>
      <c r="U5" s="5">
        <v>0</v>
      </c>
      <c r="V5" s="62">
        <v>40004004</v>
      </c>
      <c r="W5" s="4" t="str">
        <f>IFERROR(VLOOKUP(V5,[5]enemy_skill_sets!$B:$E,4,FALSE),VLOOKUP(V5,enemy_skill_sets!B:E,4,FALSE))</f>
        <v>にゃんこ銃弾</v>
      </c>
      <c r="X5" s="6">
        <v>2</v>
      </c>
      <c r="Y5" s="6">
        <v>100</v>
      </c>
      <c r="Z5" s="6">
        <v>0</v>
      </c>
      <c r="AA5" s="4">
        <f ca="1">VLOOKUP(L5,[3]enemies!$A:$V,22,FALSE)</f>
        <v>2</v>
      </c>
      <c r="AB5" s="25">
        <f t="shared" si="3"/>
        <v>13</v>
      </c>
      <c r="AC5" s="4" t="str">
        <f ca="1">VLOOKUP(AB5,[3]enemies!$A:$B,2,FALSE)</f>
        <v>ミミ</v>
      </c>
      <c r="AD5" s="4">
        <f ca="1">VLOOKUP(AB5,[3]enemies!$A:$E,3,FALSE)</f>
        <v>1</v>
      </c>
      <c r="AE5" s="4" t="str">
        <f>VLOOKUP(AB5,[4]characters!$A:$J,10,FALSE)</f>
        <v>Drop1W</v>
      </c>
      <c r="AF5" s="7">
        <v>1</v>
      </c>
      <c r="AG5" s="25">
        <f t="shared" ca="1" si="4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>
      <c r="A6" s="16" t="str">
        <f t="shared" si="0"/>
        <v>40004_1-3/90&lt;lv64&gt;s3</v>
      </c>
      <c r="B6" s="23">
        <v>40004</v>
      </c>
      <c r="C6" s="22">
        <v>1</v>
      </c>
      <c r="D6" s="2" t="str">
        <f t="shared" si="1"/>
        <v>40004_1</v>
      </c>
      <c r="E6" s="4" t="str">
        <f ca="1">VLOOKUP($B6,OFFSET([2]quests!$A$1,0,0,COUNTA([2]quests!$A:$A),MATCH(E$1,[2]quests!$1:$1,0)-MATCH($B$1,[2]quests!$1:$1,0)+1),MATCH(E$1,[2]quests!$1:$1,0)-MATCH($B$1,[2]quests!$1:$1,0)+1,FALSE)</f>
        <v>宮本武蔵襲来！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宮本武蔵襲来 【ウィザード級】</v>
      </c>
      <c r="G6" s="22">
        <v>3</v>
      </c>
      <c r="H6" s="15" t="str">
        <f t="shared" si="2"/>
        <v>40004_1-3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9" t="s">
        <v>132</v>
      </c>
      <c r="L6" s="21">
        <v>90</v>
      </c>
      <c r="M6" s="17" t="str">
        <f ca="1">VLOOKUP(L6,[3]enemies!$A:$B,2,FALSE)</f>
        <v>翠北の守護神 玄武</v>
      </c>
      <c r="N6" s="19" t="str">
        <f ca="1">VLOOKUP(L6,[3]enemies!$A:$D,4,FALSE)</f>
        <v>green</v>
      </c>
      <c r="O6" s="19" t="str">
        <f>VLOOKUP(L6,[4]characters!$A:$J,10,FALSE)</f>
        <v>Drop2N</v>
      </c>
      <c r="P6" s="18" t="str">
        <f>VLOOKUP(L6,[4]characters!$A:$M,13,FALSE)</f>
        <v>dragon</v>
      </c>
      <c r="Q6" s="4">
        <f ca="1">VLOOKUP(L6,[3]enemies!$A:$X,24,FALSE)</f>
        <v>60</v>
      </c>
      <c r="R6" s="5">
        <v>64</v>
      </c>
      <c r="S6" s="26">
        <v>4</v>
      </c>
      <c r="T6" s="26">
        <v>0.6</v>
      </c>
      <c r="U6" s="5">
        <v>0</v>
      </c>
      <c r="V6" s="62">
        <v>40004005</v>
      </c>
      <c r="W6" s="4" t="str">
        <f>IFERROR(VLOOKUP(V6,[5]enemy_skill_sets!$B:$E,4,FALSE),VLOOKUP(V6,enemy_skill_sets!B:E,4,FALSE))</f>
        <v>亀装の構え</v>
      </c>
      <c r="X6" s="6">
        <v>1</v>
      </c>
      <c r="Y6" s="6">
        <v>100</v>
      </c>
      <c r="Z6" s="6">
        <v>1</v>
      </c>
      <c r="AA6" s="62">
        <v>3</v>
      </c>
      <c r="AB6" s="25">
        <f t="shared" si="3"/>
        <v>90</v>
      </c>
      <c r="AC6" s="4" t="str">
        <f ca="1">VLOOKUP(AB6,[3]enemies!$A:$B,2,FALSE)</f>
        <v>翠北の守護神 玄武</v>
      </c>
      <c r="AD6" s="4">
        <f ca="1">VLOOKUP(AB6,[3]enemies!$A:$E,3,FALSE)</f>
        <v>5</v>
      </c>
      <c r="AE6" s="4" t="str">
        <f>VLOOKUP(AB6,[4]characters!$A:$J,10,FALSE)</f>
        <v>Drop2N</v>
      </c>
      <c r="AF6" s="7">
        <v>1</v>
      </c>
      <c r="AG6" s="25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>
      <c r="A7" s="16" t="str">
        <f t="shared" ca="1" si="0"/>
        <v>40004_1-4/237&lt;lv72&gt;s2</v>
      </c>
      <c r="B7" s="23">
        <v>40004</v>
      </c>
      <c r="C7" s="22">
        <v>1</v>
      </c>
      <c r="D7" s="2" t="str">
        <f t="shared" si="1"/>
        <v>40004_1</v>
      </c>
      <c r="E7" s="4" t="str">
        <f ca="1">VLOOKUP($B7,OFFSET([2]quests!$A$1,0,0,COUNTA([2]quests!$A:$A),MATCH(E$1,[2]quests!$1:$1,0)-MATCH($B$1,[2]quests!$1:$1,0)+1),MATCH(E$1,[2]quests!$1:$1,0)-MATCH($B$1,[2]quests!$1:$1,0)+1,FALSE)</f>
        <v>宮本武蔵襲来！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宮本武蔵襲来 【ウィザード級】</v>
      </c>
      <c r="G7" s="22">
        <v>4</v>
      </c>
      <c r="H7" s="15" t="str">
        <f t="shared" si="2"/>
        <v>40004_1-4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9">
        <v>1</v>
      </c>
      <c r="L7" s="21">
        <v>237</v>
      </c>
      <c r="M7" s="17" t="str">
        <f ca="1">VLOOKUP(L7,[3]enemies!$A:$B,2,FALSE)</f>
        <v>森羅万象の神母 イザナミ</v>
      </c>
      <c r="N7" s="19" t="str">
        <f ca="1">VLOOKUP(L7,[3]enemies!$A:$D,4,FALSE)</f>
        <v>yellow</v>
      </c>
      <c r="O7" s="19" t="str">
        <f>VLOOKUP(L7,[4]characters!$A:$J,10,FALSE)</f>
        <v>PremiumS</v>
      </c>
      <c r="P7" s="18" t="str">
        <f>VLOOKUP(L7,[4]characters!$A:$M,13,FALSE)</f>
        <v>god</v>
      </c>
      <c r="Q7" s="4">
        <f ca="1">VLOOKUP(L7,[3]enemies!$A:$X,24,FALSE)</f>
        <v>60</v>
      </c>
      <c r="R7" s="5">
        <v>72</v>
      </c>
      <c r="S7" s="26">
        <v>2</v>
      </c>
      <c r="T7" s="26">
        <v>1</v>
      </c>
      <c r="U7" s="5">
        <v>0</v>
      </c>
      <c r="V7" s="62">
        <v>40004006</v>
      </c>
      <c r="W7" s="4" t="str">
        <f>IFERROR(VLOOKUP(V7,[5]enemy_skill_sets!$B:$E,4,FALSE),VLOOKUP(V7,enemy_skill_sets!B:E,4,FALSE))</f>
        <v>大地を焼く母神</v>
      </c>
      <c r="X7" s="6">
        <v>1</v>
      </c>
      <c r="Y7" s="6">
        <v>100</v>
      </c>
      <c r="Z7" s="6">
        <v>1</v>
      </c>
      <c r="AA7" s="4">
        <f ca="1">VLOOKUP(L7,[3]enemies!$A:$V,22,FALSE)</f>
        <v>2</v>
      </c>
      <c r="AB7" s="25">
        <f t="shared" si="3"/>
        <v>237</v>
      </c>
      <c r="AC7" s="4" t="str">
        <f ca="1">VLOOKUP(AB7,[3]enemies!$A:$B,2,FALSE)</f>
        <v>森羅万象の神母 イザナミ</v>
      </c>
      <c r="AD7" s="4">
        <f ca="1">VLOOKUP(AB7,[3]enemies!$A:$E,3,FALSE)</f>
        <v>5</v>
      </c>
      <c r="AE7" s="4" t="str">
        <f>VLOOKUP(AB7,[4]characters!$A:$J,10,FALSE)</f>
        <v>PremiumS</v>
      </c>
      <c r="AF7" s="7">
        <v>1</v>
      </c>
      <c r="AG7" s="25">
        <f t="shared" ca="1" si="4"/>
        <v>5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>
      <c r="A8" s="16" t="str">
        <f t="shared" si="0"/>
        <v>40004_1-5/427&lt;lv72&gt;s2</v>
      </c>
      <c r="B8" s="23">
        <v>40004</v>
      </c>
      <c r="C8" s="22">
        <v>1</v>
      </c>
      <c r="D8" s="2" t="str">
        <f t="shared" si="1"/>
        <v>40004_1</v>
      </c>
      <c r="E8" s="4" t="str">
        <f ca="1">VLOOKUP($B8,OFFSET([2]quests!$A$1,0,0,COUNTA([2]quests!$A:$A),MATCH(E$1,[2]quests!$1:$1,0)-MATCH($B$1,[2]quests!$1:$1,0)+1),MATCH(E$1,[2]quests!$1:$1,0)-MATCH($B$1,[2]quests!$1:$1,0)+1,FALSE)</f>
        <v>宮本武蔵襲来！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宮本武蔵襲来 【ウィザード級】</v>
      </c>
      <c r="G8" s="22">
        <v>5</v>
      </c>
      <c r="H8" s="15" t="str">
        <f t="shared" si="2"/>
        <v>40004_1-5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9">
        <v>2</v>
      </c>
      <c r="L8" s="21">
        <v>427</v>
      </c>
      <c r="M8" s="17" t="str">
        <f ca="1">VLOOKUP(L8,[3]enemies!$A:$B,2,FALSE)</f>
        <v>極・剣豪 宮本武蔵</v>
      </c>
      <c r="N8" s="19" t="str">
        <f ca="1">VLOOKUP(L8,[3]enemies!$A:$D,4,FALSE)</f>
        <v>yellow</v>
      </c>
      <c r="O8" s="19" t="str">
        <f>VLOOKUP(L8,[4]characters!$A:$J,10,FALSE)</f>
        <v>PremiumS</v>
      </c>
      <c r="P8" s="18" t="str">
        <f>VLOOKUP(L8,[4]characters!$A:$M,13,FALSE)</f>
        <v>human</v>
      </c>
      <c r="Q8" s="4">
        <f ca="1">VLOOKUP(L8,[3]enemies!$A:$X,24,FALSE)</f>
        <v>60</v>
      </c>
      <c r="R8" s="5">
        <v>72</v>
      </c>
      <c r="S8" s="26">
        <v>2</v>
      </c>
      <c r="T8" s="26">
        <v>1</v>
      </c>
      <c r="U8" s="5">
        <v>0</v>
      </c>
      <c r="V8" s="62">
        <v>40004008</v>
      </c>
      <c r="W8" s="4" t="str">
        <f>IFERROR(VLOOKUP(V8,[5]enemy_skill_sets!$B:$E,4,FALSE),VLOOKUP(V8,enemy_skill_sets!B:E,4,FALSE))</f>
        <v>無念無想</v>
      </c>
      <c r="X8" s="6">
        <v>1</v>
      </c>
      <c r="Y8" s="6">
        <v>100</v>
      </c>
      <c r="Z8" s="6">
        <v>1</v>
      </c>
      <c r="AA8" s="62">
        <v>2</v>
      </c>
      <c r="AB8" s="25">
        <v>426</v>
      </c>
      <c r="AC8" s="4" t="str">
        <f ca="1">VLOOKUP(AB8,[3]enemies!$A:$B,2,FALSE)</f>
        <v>宮本武蔵</v>
      </c>
      <c r="AD8" s="4">
        <f ca="1">VLOOKUP(AB8,[3]enemies!$A:$E,3,FALSE)</f>
        <v>4</v>
      </c>
      <c r="AE8" s="4" t="str">
        <f>VLOOKUP(AB8,[4]characters!$A:$J,10,FALSE)</f>
        <v>PremiumS</v>
      </c>
      <c r="AF8" s="7">
        <v>1</v>
      </c>
      <c r="AG8" s="25">
        <f t="shared" ca="1" si="4"/>
        <v>4</v>
      </c>
      <c r="AH8" s="8">
        <v>30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L17" sqref="L17"/>
    </sheetView>
  </sheetViews>
  <sheetFormatPr baseColWidth="12" defaultColWidth="13" defaultRowHeight="21" customHeight="1" outlineLevelCol="1" x14ac:dyDescent="0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6" customFormat="1" ht="21" customHeight="1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53</v>
      </c>
      <c r="L1" s="37" t="s">
        <v>54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30" t="s">
        <v>130</v>
      </c>
      <c r="X1" s="29" t="s">
        <v>131</v>
      </c>
      <c r="Y1" s="29" t="s">
        <v>8</v>
      </c>
    </row>
    <row r="2" spans="1:25" ht="21" customHeight="1">
      <c r="A2" s="16" t="str">
        <f>B2&amp;"_"&amp;C2&amp;"-"&amp;G2&amp;"/"&amp;M2&amp;"&lt;lv"&amp;S2&amp;"&gt;sq"&amp;K2&amp;"st"&amp;L2</f>
        <v>40004_1-4/237&lt;lv72&gt;sq1st2</v>
      </c>
      <c r="B2" s="23">
        <v>40004</v>
      </c>
      <c r="C2" s="22">
        <v>1</v>
      </c>
      <c r="D2" s="2" t="str">
        <f>B2&amp;"_"&amp;C2</f>
        <v>40004_1</v>
      </c>
      <c r="E2" s="4" t="str">
        <f ca="1">VLOOKUP($B2,OFFSET([2]quests!$A$1,0,0,COUNTA([2]quests!$A:$A),MATCH(E$1,[2]quests!$1:$1,0)-MATCH($B$1,[2]quests!$1:$1,0)+1),MATCH(E$1,[2]quests!$1:$1,0)-MATCH($B$1,[2]quests!$1:$1,0)+1,FALSE)</f>
        <v>宮本武蔵襲来！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宮本武蔵襲来 【ウィザード級】</v>
      </c>
      <c r="G2" s="22">
        <v>4</v>
      </c>
      <c r="H2" s="15" t="str">
        <f>B2&amp;"_"&amp;C2&amp;"-"&amp;G2</f>
        <v>40004_1-4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>
        <v>1</v>
      </c>
      <c r="L2" s="39">
        <v>2</v>
      </c>
      <c r="M2" s="21">
        <v>237</v>
      </c>
      <c r="N2" s="17" t="str">
        <f ca="1">VLOOKUP(M2,[3]enemies!$A:$B,2,FALSE)</f>
        <v>森羅万象の神母 イザナミ</v>
      </c>
      <c r="O2" s="19" t="str">
        <f ca="1">VLOOKUP(M2,[3]enemies!$A:$D,4,FALSE)</f>
        <v>yellow</v>
      </c>
      <c r="P2" s="19" t="str">
        <f>VLOOKUP(M2,[4]characters!$A:$J,10,FALSE)</f>
        <v>PremiumS</v>
      </c>
      <c r="Q2" s="18" t="str">
        <f>VLOOKUP(M2,[4]characters!$A:$M,13,FALSE)</f>
        <v>god</v>
      </c>
      <c r="R2" s="4">
        <f ca="1">VLOOKUP(M2,[3]enemies!$A:$X,24,FALSE)</f>
        <v>60</v>
      </c>
      <c r="S2" s="5">
        <v>72</v>
      </c>
      <c r="T2" s="26">
        <v>1.5</v>
      </c>
      <c r="U2" s="26">
        <v>1</v>
      </c>
      <c r="V2" s="5">
        <v>0</v>
      </c>
      <c r="W2" s="62">
        <v>40004007</v>
      </c>
      <c r="X2" s="4" t="str">
        <f>IFERROR(VLOOKUP(W2,[5]enemy_skill_sets!$B:$E,4,FALSE),VLOOKUP(W2,enemy_skill_sets!C:F,3,FALSE))</f>
        <v>亀装の構え</v>
      </c>
      <c r="Y2" s="4">
        <f ca="1">VLOOKUP(M2,[3]enemies!$A:$V,22,FALSE)</f>
        <v>2</v>
      </c>
    </row>
    <row r="3" spans="1:25" ht="21" customHeight="1">
      <c r="A3" s="16" t="str">
        <f>B3&amp;"_"&amp;C3&amp;"-"&amp;G3&amp;"/"&amp;M3&amp;"&lt;lv"&amp;S3&amp;"&gt;sq"&amp;K3&amp;"st"&amp;L3</f>
        <v>40004_1-5/427&lt;lv72&gt;sq2st2</v>
      </c>
      <c r="B3" s="23">
        <v>40004</v>
      </c>
      <c r="C3" s="22">
        <v>1</v>
      </c>
      <c r="D3" s="2" t="str">
        <f>B3&amp;"_"&amp;C3</f>
        <v>40004_1</v>
      </c>
      <c r="E3" s="4" t="str">
        <f ca="1">VLOOKUP($B3,OFFSET([2]quests!$A$1,0,0,COUNTA([2]quests!$A:$A),MATCH(E$1,[2]quests!$1:$1,0)-MATCH($B$1,[2]quests!$1:$1,0)+1),MATCH(E$1,[2]quests!$1:$1,0)-MATCH($B$1,[2]quests!$1:$1,0)+1,FALSE)</f>
        <v>宮本武蔵襲来！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宮本武蔵襲来 【ウィザード級】</v>
      </c>
      <c r="G3" s="22">
        <v>5</v>
      </c>
      <c r="H3" s="15" t="str">
        <f>B3&amp;"_"&amp;C3&amp;"-"&amp;G3</f>
        <v>40004_1-5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>
        <v>2</v>
      </c>
      <c r="L3" s="39">
        <v>2</v>
      </c>
      <c r="M3" s="21">
        <v>427</v>
      </c>
      <c r="N3" s="17" t="str">
        <f ca="1">VLOOKUP(M3,[3]enemies!$A:$B,2,FALSE)</f>
        <v>極・剣豪 宮本武蔵</v>
      </c>
      <c r="O3" s="19" t="str">
        <f ca="1">VLOOKUP(M3,[3]enemies!$A:$D,4,FALSE)</f>
        <v>yellow</v>
      </c>
      <c r="P3" s="19" t="str">
        <f>VLOOKUP(M3,[4]characters!$A:$J,10,FALSE)</f>
        <v>PremiumS</v>
      </c>
      <c r="Q3" s="18" t="str">
        <f>VLOOKUP(M3,[4]characters!$A:$M,13,FALSE)</f>
        <v>human</v>
      </c>
      <c r="R3" s="4">
        <f ca="1">VLOOKUP(M3,[3]enemies!$A:$X,24,FALSE)</f>
        <v>60</v>
      </c>
      <c r="S3" s="5">
        <v>72</v>
      </c>
      <c r="T3" s="26">
        <v>1.6</v>
      </c>
      <c r="U3" s="26">
        <v>1.3</v>
      </c>
      <c r="V3" s="5">
        <v>0</v>
      </c>
      <c r="W3" s="62">
        <v>40004009</v>
      </c>
      <c r="X3" s="4" t="str">
        <f>IFERROR(VLOOKUP(W3,[5]enemy_skill_sets!$B:$E,4,FALSE),VLOOKUP(W3,enemy_skill_sets!C:F,3,FALSE))</f>
        <v>北方七宿撃・序</v>
      </c>
      <c r="Y3" s="62">
        <v>2</v>
      </c>
    </row>
    <row r="4" spans="1:25" ht="21" customHeight="1">
      <c r="A4" s="16" t="str">
        <f>B4&amp;"_"&amp;C4&amp;"-"&amp;G4&amp;"/"&amp;M4&amp;"&lt;lv"&amp;S4&amp;"&gt;sq"&amp;K4&amp;"st"&amp;L4</f>
        <v>40004_1-5/427&lt;lv72&gt;sq2st3</v>
      </c>
      <c r="B4" s="23">
        <v>40004</v>
      </c>
      <c r="C4" s="22">
        <v>1</v>
      </c>
      <c r="D4" s="2" t="str">
        <f>B4&amp;"_"&amp;C4</f>
        <v>40004_1</v>
      </c>
      <c r="E4" s="4" t="str">
        <f ca="1">VLOOKUP($B4,OFFSET([2]quests!$A$1,0,0,COUNTA([2]quests!$A:$A),MATCH(E$1,[2]quests!$1:$1,0)-MATCH($B$1,[2]quests!$1:$1,0)+1),MATCH(E$1,[2]quests!$1:$1,0)-MATCH($B$1,[2]quests!$1:$1,0)+1,FALSE)</f>
        <v>宮本武蔵襲来！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宮本武蔵襲来 【ウィザード級】</v>
      </c>
      <c r="G4" s="22">
        <v>5</v>
      </c>
      <c r="H4" s="15" t="str">
        <f>B4&amp;"_"&amp;C4&amp;"-"&amp;G4</f>
        <v>40004_1-5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>
        <v>2</v>
      </c>
      <c r="L4" s="39">
        <v>3</v>
      </c>
      <c r="M4" s="21">
        <v>427</v>
      </c>
      <c r="N4" s="17" t="str">
        <f ca="1">VLOOKUP(M4,[3]enemies!$A:$B,2,FALSE)</f>
        <v>極・剣豪 宮本武蔵</v>
      </c>
      <c r="O4" s="19" t="str">
        <f ca="1">VLOOKUP(M4,[3]enemies!$A:$D,4,FALSE)</f>
        <v>yellow</v>
      </c>
      <c r="P4" s="19" t="str">
        <f>VLOOKUP(M4,[4]characters!$A:$J,10,FALSE)</f>
        <v>PremiumS</v>
      </c>
      <c r="Q4" s="18" t="str">
        <f>VLOOKUP(M4,[4]characters!$A:$M,13,FALSE)</f>
        <v>human</v>
      </c>
      <c r="R4" s="4">
        <f ca="1">VLOOKUP(M4,[3]enemies!$A:$X,24,FALSE)</f>
        <v>60</v>
      </c>
      <c r="S4" s="5">
        <v>72</v>
      </c>
      <c r="T4" s="26">
        <v>1.6</v>
      </c>
      <c r="U4" s="26">
        <v>1.5</v>
      </c>
      <c r="V4" s="5">
        <v>0</v>
      </c>
      <c r="W4" s="62">
        <v>40004010</v>
      </c>
      <c r="X4" s="4" t="str">
        <f>IFERROR(VLOOKUP(W4,[5]enemy_skill_sets!$B:$E,4,FALSE),VLOOKUP(W4,enemy_skill_sets!C:F,3,FALSE))</f>
        <v>北方七宿撃・破</v>
      </c>
      <c r="Y4" s="62">
        <v>2</v>
      </c>
    </row>
  </sheetData>
  <sheetProtection selectLockedCells="1" selectUnlockedCells="1"/>
  <autoFilter ref="B1:Y3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workbookViewId="0">
      <pane xSplit="5" ySplit="1" topLeftCell="F19" activePane="bottomRight" state="frozen"/>
      <selection pane="topRight" activeCell="F1" sqref="F1"/>
      <selection pane="bottomLeft" activeCell="A2" sqref="A2"/>
      <selection pane="bottomRight" activeCell="B29" sqref="B29"/>
    </sheetView>
  </sheetViews>
  <sheetFormatPr baseColWidth="12" defaultColWidth="12.83203125" defaultRowHeight="21" customHeight="1" outlineLevelCol="1" x14ac:dyDescent="0"/>
  <cols>
    <col min="1" max="1" width="11.33203125" style="40" bestFit="1" customWidth="1"/>
    <col min="2" max="2" width="9.5" style="50" bestFit="1" customWidth="1"/>
    <col min="3" max="3" width="11.1640625" style="50" bestFit="1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>
      <c r="A1" s="40" t="s">
        <v>59</v>
      </c>
      <c r="B1" s="41" t="s">
        <v>60</v>
      </c>
      <c r="C1" s="41" t="s">
        <v>61</v>
      </c>
      <c r="D1" s="42" t="s">
        <v>62</v>
      </c>
      <c r="E1" s="42" t="s">
        <v>63</v>
      </c>
      <c r="F1" s="43" t="s">
        <v>64</v>
      </c>
      <c r="G1" s="44" t="s">
        <v>65</v>
      </c>
      <c r="H1" s="44" t="s">
        <v>67</v>
      </c>
      <c r="I1" s="44" t="s">
        <v>68</v>
      </c>
      <c r="J1" s="44" t="s">
        <v>69</v>
      </c>
      <c r="K1" s="45" t="s">
        <v>70</v>
      </c>
      <c r="L1" s="45" t="s">
        <v>71</v>
      </c>
      <c r="M1" s="44" t="s">
        <v>72</v>
      </c>
      <c r="N1" s="44" t="s">
        <v>73</v>
      </c>
      <c r="O1" s="44" t="s">
        <v>74</v>
      </c>
      <c r="P1" s="42" t="s">
        <v>75</v>
      </c>
      <c r="Q1" s="42" t="s">
        <v>76</v>
      </c>
      <c r="R1" s="42" t="s">
        <v>77</v>
      </c>
    </row>
    <row r="2" spans="1:18" ht="21" customHeight="1">
      <c r="A2" s="40" t="str">
        <f t="shared" ref="A2:A29" si="0">B2&amp;"_"&amp;C2</f>
        <v>40004001_40004001</v>
      </c>
      <c r="B2" s="61">
        <v>40004001</v>
      </c>
      <c r="C2" s="61">
        <v>40004001</v>
      </c>
      <c r="D2" s="47" t="str">
        <f>IFERROR(VLOOKUP(C2,enemy_skills!A:Y,4,FALSE),VLOOKUP(C2,[5]enemy_skills!$A:$E,4,FALSE))</f>
        <v>ja</v>
      </c>
      <c r="E2" s="47" t="str">
        <f>IFERROR(VLOOKUP(C2,enemy_skills!A:Y,5,FALSE),VLOOKUP(C2,[5]enemy_skills!$A:$E,5,FALSE))</f>
        <v>攻勢の巫術</v>
      </c>
      <c r="F2" s="61">
        <v>40004001</v>
      </c>
      <c r="G2" s="49">
        <f>VLOOKUP($F2,enemy_skill_triggers!$A:$J,2,FALSE)</f>
        <v>0</v>
      </c>
      <c r="H2" s="49" t="str">
        <f>VLOOKUP($F2,enemy_skill_triggers!$A:$J,3,FALSE)</f>
        <v>null</v>
      </c>
      <c r="I2" s="49">
        <f>VLOOKUP($F2,enemy_skill_triggers!$A:$J,4,FALSE)</f>
        <v>50</v>
      </c>
      <c r="J2" s="49" t="str">
        <f>VLOOKUP($F2,enemy_skill_triggers!$A:$J,5,FALSE)</f>
        <v>null</v>
      </c>
      <c r="K2" s="49" t="str">
        <f>VLOOKUP($F2,enemy_skill_triggers!$A:$J,6,FALSE)</f>
        <v>null</v>
      </c>
      <c r="L2" s="49">
        <f>VLOOKUP($F2,enemy_skill_triggers!$A:$J,7,FALSE)</f>
        <v>1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50</v>
      </c>
      <c r="P2" s="48" t="s">
        <v>78</v>
      </c>
      <c r="Q2" s="48"/>
      <c r="R2" s="48" t="s">
        <v>79</v>
      </c>
    </row>
    <row r="3" spans="1:18" ht="21" customHeight="1">
      <c r="A3" s="40" t="str">
        <f t="shared" si="0"/>
        <v>40004002_40004003</v>
      </c>
      <c r="B3" s="61">
        <v>40004002</v>
      </c>
      <c r="C3" s="61">
        <v>40004003</v>
      </c>
      <c r="D3" s="47" t="str">
        <f>IFERROR(VLOOKUP(C3,enemy_skills!A:Y,4,FALSE),VLOOKUP(C3,[5]enemy_skills!$A:$E,4,FALSE))</f>
        <v>ja</v>
      </c>
      <c r="E3" s="47" t="str">
        <f>IFERROR(VLOOKUP(C3,enemy_skills!A:Y,5,FALSE),VLOOKUP(C3,[5]enemy_skills!$A:$E,5,FALSE))</f>
        <v>熱々焼ゴテ</v>
      </c>
      <c r="F3" s="61">
        <v>40004003</v>
      </c>
      <c r="G3" s="49">
        <f>VLOOKUP($F3,enemy_skill_triggers!$A:$J,2,FALSE)</f>
        <v>0</v>
      </c>
      <c r="H3" s="49" t="str">
        <f>VLOOKUP($F3,enemy_skill_triggers!$A:$J,3,FALSE)</f>
        <v>null</v>
      </c>
      <c r="I3" s="49">
        <f>VLOOKUP($F3,enemy_skill_triggers!$A:$J,4,FALSE)</f>
        <v>25</v>
      </c>
      <c r="J3" s="49" t="str">
        <f>VLOOKUP($F3,enemy_skill_triggers!$A:$J,5,FALSE)</f>
        <v>null</v>
      </c>
      <c r="K3" s="49" t="str">
        <f>VLOOKUP($F3,enemy_skill_triggers!$A:$J,6,FALSE)</f>
        <v>null</v>
      </c>
      <c r="L3" s="49" t="str">
        <f>VLOOKUP($F3,enemy_skill_triggers!$A:$J,7,FALSE)</f>
        <v>null</v>
      </c>
      <c r="M3" s="49" t="str">
        <f>VLOOKUP($F3,enemy_skill_triggers!$A:$J,8,FALSE)</f>
        <v>null</v>
      </c>
      <c r="N3" s="49" t="str">
        <f>VLOOKUP($F3,enemy_skill_triggers!$A:$J,9,FALSE)</f>
        <v>null</v>
      </c>
      <c r="O3" s="49">
        <f>VLOOKUP($F3,enemy_skill_triggers!$A:$J,10,FALSE)</f>
        <v>25</v>
      </c>
      <c r="P3" s="48" t="s">
        <v>78</v>
      </c>
      <c r="Q3" s="48"/>
      <c r="R3" s="48" t="s">
        <v>79</v>
      </c>
    </row>
    <row r="4" spans="1:18" ht="21" customHeight="1">
      <c r="A4" s="40" t="str">
        <f t="shared" si="0"/>
        <v>40004003_40004004</v>
      </c>
      <c r="B4" s="61">
        <v>40004003</v>
      </c>
      <c r="C4" s="61">
        <v>40004004</v>
      </c>
      <c r="D4" s="47" t="str">
        <f>IFERROR(VLOOKUP(C4,enemy_skills!A:Y,4,FALSE),VLOOKUP(C4,[5]enemy_skills!$A:$E,4,FALSE))</f>
        <v>ja</v>
      </c>
      <c r="E4" s="47" t="str">
        <f>IFERROR(VLOOKUP(C4,enemy_skills!A:Y,5,FALSE),VLOOKUP(C4,[5]enemy_skills!$A:$E,5,FALSE))</f>
        <v>万物流転</v>
      </c>
      <c r="F4" s="61">
        <v>40004004</v>
      </c>
      <c r="G4" s="49">
        <f>VLOOKUP($F4,enemy_skill_triggers!$A:$J,2,FALSE)</f>
        <v>1</v>
      </c>
      <c r="H4" s="49" t="str">
        <f>VLOOKUP($F4,enemy_skill_triggers!$A:$J,3,FALSE)</f>
        <v>null</v>
      </c>
      <c r="I4" s="49">
        <f>VLOOKUP($F4,enemy_skill_triggers!$A:$J,4,FALSE)</f>
        <v>40</v>
      </c>
      <c r="J4" s="49" t="str">
        <f>VLOOKUP($F4,enemy_skill_triggers!$A:$J,5,FALSE)</f>
        <v>null</v>
      </c>
      <c r="K4" s="49" t="str">
        <f>VLOOKUP($F4,enemy_skill_triggers!$A:$J,6,FALSE)</f>
        <v>null</v>
      </c>
      <c r="L4" s="49">
        <f>VLOOKUP($F4,enemy_skill_triggers!$A:$J,7,FALSE)</f>
        <v>5</v>
      </c>
      <c r="M4" s="49">
        <f>VLOOKUP($F4,enemy_skill_triggers!$A:$J,8,FALSE)</f>
        <v>3</v>
      </c>
      <c r="N4" s="49" t="str">
        <f>VLOOKUP($F4,enemy_skill_triggers!$A:$J,9,FALSE)</f>
        <v>null</v>
      </c>
      <c r="O4" s="49">
        <f>VLOOKUP($F4,enemy_skill_triggers!$A:$J,10,FALSE)</f>
        <v>40</v>
      </c>
      <c r="P4" s="48" t="s">
        <v>78</v>
      </c>
      <c r="Q4" s="48"/>
      <c r="R4" s="48" t="s">
        <v>79</v>
      </c>
    </row>
    <row r="5" spans="1:18" ht="21" customHeight="1">
      <c r="A5" s="40" t="str">
        <f t="shared" si="0"/>
        <v>40004003_40004005</v>
      </c>
      <c r="B5" s="61">
        <v>40004003</v>
      </c>
      <c r="C5" s="61">
        <v>40004005</v>
      </c>
      <c r="D5" s="47" t="str">
        <f>IFERROR(VLOOKUP(C5,enemy_skills!A:Y,4,FALSE),VLOOKUP(C5,[5]enemy_skills!$A:$E,4,FALSE))</f>
        <v>ja</v>
      </c>
      <c r="E5" s="47" t="str">
        <f>IFERROR(VLOOKUP(C5,enemy_skills!A:Y,5,FALSE),VLOOKUP(C5,[5]enemy_skills!$A:$E,5,FALSE))</f>
        <v>枯れ落ちる緑</v>
      </c>
      <c r="F5" s="61">
        <v>40004005</v>
      </c>
      <c r="G5" s="49">
        <f>VLOOKUP($F5,enemy_skill_triggers!$A:$J,2,FALSE)</f>
        <v>0</v>
      </c>
      <c r="H5" s="49" t="str">
        <f>VLOOKUP($F5,enemy_skill_triggers!$A:$J,3,FALSE)</f>
        <v>null</v>
      </c>
      <c r="I5" s="49">
        <f>VLOOKUP($F5,enemy_skill_triggers!$A:$J,4,FALSE)</f>
        <v>30</v>
      </c>
      <c r="J5" s="49" t="str">
        <f>VLOOKUP($F5,enemy_skill_triggers!$A:$J,5,FALSE)</f>
        <v>null</v>
      </c>
      <c r="K5" s="49" t="str">
        <f>VLOOKUP($F5,enemy_skill_triggers!$A:$J,6,FALSE)</f>
        <v>null</v>
      </c>
      <c r="L5" s="49" t="str">
        <f>VLOOKUP($F5,enemy_skill_triggers!$A:$J,7,FALSE)</f>
        <v>null</v>
      </c>
      <c r="M5" s="49" t="str">
        <f>VLOOKUP($F5,enemy_skill_triggers!$A:$J,8,FALSE)</f>
        <v>null</v>
      </c>
      <c r="N5" s="49" t="str">
        <f>VLOOKUP($F5,enemy_skill_triggers!$A:$J,9,FALSE)</f>
        <v>null</v>
      </c>
      <c r="O5" s="49">
        <f>VLOOKUP($F5,enemy_skill_triggers!$A:$J,10,FALSE)</f>
        <v>30</v>
      </c>
      <c r="P5" s="48" t="s">
        <v>78</v>
      </c>
      <c r="Q5" s="48"/>
      <c r="R5" s="48" t="s">
        <v>79</v>
      </c>
    </row>
    <row r="6" spans="1:18" ht="21" customHeight="1">
      <c r="A6" s="40" t="str">
        <f t="shared" si="0"/>
        <v>40004004_40004006</v>
      </c>
      <c r="B6" s="61">
        <v>40004004</v>
      </c>
      <c r="C6" s="61">
        <v>40004006</v>
      </c>
      <c r="D6" s="47" t="str">
        <f>IFERROR(VLOOKUP(C6,enemy_skills!A:Y,4,FALSE),VLOOKUP(C6,[5]enemy_skills!$A:$E,4,FALSE))</f>
        <v>ja</v>
      </c>
      <c r="E6" s="47" t="str">
        <f>IFERROR(VLOOKUP(C6,enemy_skills!A:Y,5,FALSE),VLOOKUP(C6,[5]enemy_skills!$A:$E,5,FALSE))</f>
        <v>にゃんこ銃弾</v>
      </c>
      <c r="F6" s="61">
        <v>40004006</v>
      </c>
      <c r="G6" s="49">
        <f>VLOOKUP($F6,enemy_skill_triggers!$A:$J,2,FALSE)</f>
        <v>0</v>
      </c>
      <c r="H6" s="49" t="str">
        <f>VLOOKUP($F6,enemy_skill_triggers!$A:$J,3,FALSE)</f>
        <v>null</v>
      </c>
      <c r="I6" s="49">
        <f>VLOOKUP($F6,enemy_skill_triggers!$A:$J,4,FALSE)</f>
        <v>25</v>
      </c>
      <c r="J6" s="49" t="str">
        <f>VLOOKUP($F6,enemy_skill_triggers!$A:$J,5,FALSE)</f>
        <v>null</v>
      </c>
      <c r="K6" s="49" t="str">
        <f>VLOOKUP($F6,enemy_skill_triggers!$A:$J,6,FALSE)</f>
        <v>null</v>
      </c>
      <c r="L6" s="49" t="str">
        <f>VLOOKUP($F6,enemy_skill_triggers!$A:$J,7,FALSE)</f>
        <v>null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25</v>
      </c>
      <c r="P6" s="48" t="s">
        <v>78</v>
      </c>
      <c r="Q6" s="48"/>
      <c r="R6" s="48" t="s">
        <v>79</v>
      </c>
    </row>
    <row r="7" spans="1:18" ht="21" customHeight="1">
      <c r="A7" s="40" t="str">
        <f t="shared" si="0"/>
        <v>40004005_40004007</v>
      </c>
      <c r="B7" s="61">
        <v>40004005</v>
      </c>
      <c r="C7" s="61">
        <v>40004007</v>
      </c>
      <c r="D7" s="47" t="str">
        <f>IFERROR(VLOOKUP(C7,enemy_skills!A:Y,4,FALSE),VLOOKUP(C7,[5]enemy_skills!$A:$E,4,FALSE))</f>
        <v>ja</v>
      </c>
      <c r="E7" s="47" t="str">
        <f>IFERROR(VLOOKUP(C7,enemy_skills!A:Y,5,FALSE),VLOOKUP(C7,[5]enemy_skills!$A:$E,5,FALSE))</f>
        <v>亀装の構え</v>
      </c>
      <c r="F7" s="61">
        <v>40004007</v>
      </c>
      <c r="G7" s="49">
        <f>VLOOKUP($F7,enemy_skill_triggers!$A:$J,2,FALSE)</f>
        <v>0</v>
      </c>
      <c r="H7" s="49" t="str">
        <f>VLOOKUP($F7,enemy_skill_triggers!$A:$J,3,FALSE)</f>
        <v>null</v>
      </c>
      <c r="I7" s="49">
        <f>VLOOKUP($F7,enemy_skill_triggers!$A:$J,4,FALSE)</f>
        <v>100</v>
      </c>
      <c r="J7" s="49">
        <f>VLOOKUP($F7,enemy_skill_triggers!$A:$J,5,FALSE)</f>
        <v>30</v>
      </c>
      <c r="K7" s="49" t="str">
        <f>VLOOKUP($F7,enemy_skill_triggers!$A:$J,6,FALSE)</f>
        <v>null</v>
      </c>
      <c r="L7" s="49">
        <f>VLOOKUP($F7,enemy_skill_triggers!$A:$J,7,FALSE)</f>
        <v>1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100</v>
      </c>
      <c r="P7" s="48" t="s">
        <v>78</v>
      </c>
      <c r="Q7" s="48"/>
      <c r="R7" s="48" t="s">
        <v>79</v>
      </c>
    </row>
    <row r="8" spans="1:18" ht="21" customHeight="1">
      <c r="A8" s="40" t="str">
        <f t="shared" si="0"/>
        <v>40004005_40004008</v>
      </c>
      <c r="B8" s="61">
        <v>40004005</v>
      </c>
      <c r="C8" s="61">
        <v>40004008</v>
      </c>
      <c r="D8" s="47" t="str">
        <f>IFERROR(VLOOKUP(C8,enemy_skills!A:Y,4,FALSE),VLOOKUP(C8,[5]enemy_skills!$A:$E,4,FALSE))</f>
        <v>ja</v>
      </c>
      <c r="E8" s="47" t="str">
        <f>IFERROR(VLOOKUP(C8,enemy_skills!A:Y,5,FALSE),VLOOKUP(C8,[5]enemy_skills!$A:$E,5,FALSE))</f>
        <v>玄帝会心撃</v>
      </c>
      <c r="F8" s="61">
        <v>40004008</v>
      </c>
      <c r="G8" s="49">
        <f>VLOOKUP($F8,enemy_skill_triggers!$A:$J,2,FALSE)</f>
        <v>0</v>
      </c>
      <c r="H8" s="49" t="str">
        <f>VLOOKUP($F8,enemy_skill_triggers!$A:$J,3,FALSE)</f>
        <v>null</v>
      </c>
      <c r="I8" s="49">
        <f>VLOOKUP($F8,enemy_skill_triggers!$A:$J,4,FALSE)</f>
        <v>100</v>
      </c>
      <c r="J8" s="49">
        <f>VLOOKUP($F8,enemy_skill_triggers!$A:$J,5,FALSE)</f>
        <v>80</v>
      </c>
      <c r="K8" s="49" t="str">
        <f>VLOOKUP($F8,enemy_skill_triggers!$A:$J,6,FALSE)</f>
        <v>null</v>
      </c>
      <c r="L8" s="49">
        <f>VLOOKUP($F8,enemy_skill_triggers!$A:$J,7,FALSE)</f>
        <v>1</v>
      </c>
      <c r="M8" s="49" t="str">
        <f>VLOOKUP($F8,enemy_skill_triggers!$A:$J,8,FALSE)</f>
        <v>null</v>
      </c>
      <c r="N8" s="49" t="str">
        <f>VLOOKUP($F8,enemy_skill_triggers!$A:$J,9,FALSE)</f>
        <v>null</v>
      </c>
      <c r="O8" s="49">
        <f>VLOOKUP($F8,enemy_skill_triggers!$A:$J,10,FALSE)</f>
        <v>100</v>
      </c>
      <c r="P8" s="48" t="s">
        <v>78</v>
      </c>
      <c r="Q8" s="48"/>
      <c r="R8" s="48" t="s">
        <v>79</v>
      </c>
    </row>
    <row r="9" spans="1:18" ht="21" customHeight="1">
      <c r="A9" s="40" t="str">
        <f t="shared" si="0"/>
        <v>40004005_40004009</v>
      </c>
      <c r="B9" s="61">
        <v>40004005</v>
      </c>
      <c r="C9" s="61">
        <v>40004009</v>
      </c>
      <c r="D9" s="47" t="str">
        <f>IFERROR(VLOOKUP(C9,enemy_skills!A:Y,4,FALSE),VLOOKUP(C9,[5]enemy_skills!$A:$E,4,FALSE))</f>
        <v>ja</v>
      </c>
      <c r="E9" s="47" t="str">
        <f>IFERROR(VLOOKUP(C9,enemy_skills!A:Y,5,FALSE),VLOOKUP(C9,[5]enemy_skills!$A:$E,5,FALSE))</f>
        <v>北方七宿撃・序</v>
      </c>
      <c r="F9" s="61">
        <v>40004009</v>
      </c>
      <c r="G9" s="49">
        <f>VLOOKUP($F9,enemy_skill_triggers!$A:$J,2,FALSE)</f>
        <v>0</v>
      </c>
      <c r="H9" s="49" t="str">
        <f>VLOOKUP($F9,enemy_skill_triggers!$A:$J,3,FALSE)</f>
        <v>null</v>
      </c>
      <c r="I9" s="49">
        <f>VLOOKUP($F9,enemy_skill_triggers!$A:$J,4,FALSE)</f>
        <v>100</v>
      </c>
      <c r="J9" s="49">
        <f>VLOOKUP($F9,enemy_skill_triggers!$A:$J,5,FALSE)</f>
        <v>100</v>
      </c>
      <c r="K9" s="49">
        <f>VLOOKUP($F9,enemy_skill_triggers!$A:$J,6,FALSE)</f>
        <v>76</v>
      </c>
      <c r="L9" s="49" t="str">
        <f>VLOOKUP($F9,enemy_skill_triggers!$A:$J,7,FALSE)</f>
        <v>null</v>
      </c>
      <c r="M9" s="49" t="str">
        <f>VLOOKUP($F9,enemy_skill_triggers!$A:$J,8,FALSE)</f>
        <v>null</v>
      </c>
      <c r="N9" s="49" t="str">
        <f>VLOOKUP($F9,enemy_skill_triggers!$A:$J,9,FALSE)</f>
        <v>null</v>
      </c>
      <c r="O9" s="49">
        <f>VLOOKUP($F9,enemy_skill_triggers!$A:$J,10,FALSE)</f>
        <v>100</v>
      </c>
      <c r="P9" s="48" t="s">
        <v>78</v>
      </c>
      <c r="Q9" s="48"/>
      <c r="R9" s="48" t="s">
        <v>79</v>
      </c>
    </row>
    <row r="10" spans="1:18" ht="21" customHeight="1">
      <c r="A10" s="40" t="str">
        <f t="shared" si="0"/>
        <v>40004005_40004010</v>
      </c>
      <c r="B10" s="61">
        <v>40004005</v>
      </c>
      <c r="C10" s="61">
        <v>40004010</v>
      </c>
      <c r="D10" s="47" t="str">
        <f>IFERROR(VLOOKUP(C10,enemy_skills!A:Y,4,FALSE),VLOOKUP(C10,[5]enemy_skills!$A:$E,4,FALSE))</f>
        <v>ja</v>
      </c>
      <c r="E10" s="47" t="str">
        <f>IFERROR(VLOOKUP(C10,enemy_skills!A:Y,5,FALSE),VLOOKUP(C10,[5]enemy_skills!$A:$E,5,FALSE))</f>
        <v>北方七宿撃・破</v>
      </c>
      <c r="F10" s="61">
        <v>40004010</v>
      </c>
      <c r="G10" s="49">
        <f>VLOOKUP($F10,enemy_skill_triggers!$A:$J,2,FALSE)</f>
        <v>0</v>
      </c>
      <c r="H10" s="49" t="str">
        <f>VLOOKUP($F10,enemy_skill_triggers!$A:$J,3,FALSE)</f>
        <v>null</v>
      </c>
      <c r="I10" s="49">
        <f>VLOOKUP($F10,enemy_skill_triggers!$A:$J,4,FALSE)</f>
        <v>100</v>
      </c>
      <c r="J10" s="49">
        <f>VLOOKUP($F10,enemy_skill_triggers!$A:$J,5,FALSE)</f>
        <v>75</v>
      </c>
      <c r="K10" s="49">
        <f>VLOOKUP($F10,enemy_skill_triggers!$A:$J,6,FALSE)</f>
        <v>51</v>
      </c>
      <c r="L10" s="49" t="str">
        <f>VLOOKUP($F10,enemy_skill_triggers!$A:$J,7,FALSE)</f>
        <v>null</v>
      </c>
      <c r="M10" s="49" t="str">
        <f>VLOOKUP($F10,enemy_skill_triggers!$A:$J,8,FALSE)</f>
        <v>null</v>
      </c>
      <c r="N10" s="49" t="str">
        <f>VLOOKUP($F10,enemy_skill_triggers!$A:$J,9,FALSE)</f>
        <v>null</v>
      </c>
      <c r="O10" s="49">
        <f>VLOOKUP($F10,enemy_skill_triggers!$A:$J,10,FALSE)</f>
        <v>100</v>
      </c>
      <c r="P10" s="48" t="s">
        <v>78</v>
      </c>
      <c r="Q10" s="48"/>
      <c r="R10" s="48" t="s">
        <v>79</v>
      </c>
    </row>
    <row r="11" spans="1:18" ht="21" customHeight="1">
      <c r="A11" s="40" t="str">
        <f t="shared" si="0"/>
        <v>40004005_40004011</v>
      </c>
      <c r="B11" s="61">
        <v>40004005</v>
      </c>
      <c r="C11" s="61">
        <v>40004011</v>
      </c>
      <c r="D11" s="47" t="str">
        <f>IFERROR(VLOOKUP(C11,enemy_skills!A:Y,4,FALSE),VLOOKUP(C11,[5]enemy_skills!$A:$E,4,FALSE))</f>
        <v>ja</v>
      </c>
      <c r="E11" s="47" t="str">
        <f>IFERROR(VLOOKUP(C11,enemy_skills!A:Y,5,FALSE),VLOOKUP(C11,[5]enemy_skills!$A:$E,5,FALSE))</f>
        <v>北方七宿撃・急</v>
      </c>
      <c r="F11" s="61">
        <v>40004011</v>
      </c>
      <c r="G11" s="49">
        <f>VLOOKUP($F11,enemy_skill_triggers!$A:$J,2,FALSE)</f>
        <v>0</v>
      </c>
      <c r="H11" s="49" t="str">
        <f>VLOOKUP($F11,enemy_skill_triggers!$A:$J,3,FALSE)</f>
        <v>null</v>
      </c>
      <c r="I11" s="49">
        <f>VLOOKUP($F11,enemy_skill_triggers!$A:$J,4,FALSE)</f>
        <v>100</v>
      </c>
      <c r="J11" s="49">
        <f>VLOOKUP($F11,enemy_skill_triggers!$A:$J,5,FALSE)</f>
        <v>50</v>
      </c>
      <c r="K11" s="49">
        <f>VLOOKUP($F11,enemy_skill_triggers!$A:$J,6,FALSE)</f>
        <v>26</v>
      </c>
      <c r="L11" s="49" t="str">
        <f>VLOOKUP($F11,enemy_skill_triggers!$A:$J,7,FALSE)</f>
        <v>null</v>
      </c>
      <c r="M11" s="49" t="str">
        <f>VLOOKUP($F11,enemy_skill_triggers!$A:$J,8,FALSE)</f>
        <v>null</v>
      </c>
      <c r="N11" s="49" t="str">
        <f>VLOOKUP($F11,enemy_skill_triggers!$A:$J,9,FALSE)</f>
        <v>null</v>
      </c>
      <c r="O11" s="49">
        <f>VLOOKUP($F11,enemy_skill_triggers!$A:$J,10,FALSE)</f>
        <v>100</v>
      </c>
      <c r="P11" s="48" t="s">
        <v>78</v>
      </c>
      <c r="Q11" s="48"/>
      <c r="R11" s="48" t="s">
        <v>79</v>
      </c>
    </row>
    <row r="12" spans="1:18" ht="21" customHeight="1">
      <c r="A12" s="40" t="str">
        <f t="shared" si="0"/>
        <v>40004005_40004012</v>
      </c>
      <c r="B12" s="61">
        <v>40004005</v>
      </c>
      <c r="C12" s="61">
        <v>40004012</v>
      </c>
      <c r="D12" s="47" t="str">
        <f>IFERROR(VLOOKUP(C12,enemy_skills!A:Y,4,FALSE),VLOOKUP(C12,[5]enemy_skills!$A:$E,4,FALSE))</f>
        <v>ja</v>
      </c>
      <c r="E12" s="47" t="str">
        <f>IFERROR(VLOOKUP(C12,enemy_skills!A:Y,5,FALSE),VLOOKUP(C12,[5]enemy_skills!$A:$E,5,FALSE))</f>
        <v>北方七宿撃・終</v>
      </c>
      <c r="F12" s="61">
        <v>40004012</v>
      </c>
      <c r="G12" s="49">
        <f>VLOOKUP($F12,enemy_skill_triggers!$A:$J,2,FALSE)</f>
        <v>0</v>
      </c>
      <c r="H12" s="49" t="str">
        <f>VLOOKUP($F12,enemy_skill_triggers!$A:$J,3,FALSE)</f>
        <v>null</v>
      </c>
      <c r="I12" s="49">
        <f>VLOOKUP($F12,enemy_skill_triggers!$A:$J,4,FALSE)</f>
        <v>100</v>
      </c>
      <c r="J12" s="49">
        <f>VLOOKUP($F12,enemy_skill_triggers!$A:$J,5,FALSE)</f>
        <v>25</v>
      </c>
      <c r="K12" s="49" t="str">
        <f>VLOOKUP($F12,enemy_skill_triggers!$A:$J,6,FALSE)</f>
        <v>null</v>
      </c>
      <c r="L12" s="49" t="str">
        <f>VLOOKUP($F12,enemy_skill_triggers!$A:$J,7,FALSE)</f>
        <v>null</v>
      </c>
      <c r="M12" s="49" t="str">
        <f>VLOOKUP($F12,enemy_skill_triggers!$A:$J,8,FALSE)</f>
        <v>null</v>
      </c>
      <c r="N12" s="49" t="str">
        <f>VLOOKUP($F12,enemy_skill_triggers!$A:$J,9,FALSE)</f>
        <v>null</v>
      </c>
      <c r="O12" s="49">
        <f>VLOOKUP($F12,enemy_skill_triggers!$A:$J,10,FALSE)</f>
        <v>100</v>
      </c>
      <c r="P12" s="48" t="s">
        <v>78</v>
      </c>
      <c r="Q12" s="48"/>
      <c r="R12" s="48" t="s">
        <v>79</v>
      </c>
    </row>
    <row r="13" spans="1:18" ht="21" customHeight="1">
      <c r="A13" s="40" t="str">
        <f t="shared" si="0"/>
        <v>40004006_40004013</v>
      </c>
      <c r="B13" s="61">
        <v>40004006</v>
      </c>
      <c r="C13" s="61">
        <v>40004013</v>
      </c>
      <c r="D13" s="47" t="str">
        <f>IFERROR(VLOOKUP(C13,enemy_skills!A:Y,4,FALSE),VLOOKUP(C13,[5]enemy_skills!$A:$E,4,FALSE))</f>
        <v>ja</v>
      </c>
      <c r="E13" s="47" t="str">
        <f>IFERROR(VLOOKUP(C13,enemy_skills!A:Y,5,FALSE),VLOOKUP(C13,[5]enemy_skills!$A:$E,5,FALSE))</f>
        <v>大地を焼く母神</v>
      </c>
      <c r="F13" s="61">
        <v>40004013</v>
      </c>
      <c r="G13" s="49">
        <f>VLOOKUP($F13,enemy_skill_triggers!$A:$J,2,FALSE)</f>
        <v>0</v>
      </c>
      <c r="H13" s="49">
        <f>VLOOKUP($F13,enemy_skill_triggers!$A:$J,3,FALSE)</f>
        <v>15</v>
      </c>
      <c r="I13" s="49">
        <f>VLOOKUP($F13,enemy_skill_triggers!$A:$J,4,FALSE)</f>
        <v>50</v>
      </c>
      <c r="J13" s="49" t="str">
        <f>VLOOKUP($F13,enemy_skill_triggers!$A:$J,5,FALSE)</f>
        <v>null</v>
      </c>
      <c r="K13" s="49" t="str">
        <f>VLOOKUP($F13,enemy_skill_triggers!$A:$J,6,FALSE)</f>
        <v>null</v>
      </c>
      <c r="L13" s="49" t="str">
        <f>VLOOKUP($F13,enemy_skill_triggers!$A:$J,7,FALSE)</f>
        <v>null</v>
      </c>
      <c r="M13" s="49" t="str">
        <f>VLOOKUP($F13,enemy_skill_triggers!$A:$J,8,FALSE)</f>
        <v>null</v>
      </c>
      <c r="N13" s="49" t="str">
        <f>VLOOKUP($F13,enemy_skill_triggers!$A:$J,9,FALSE)</f>
        <v>null</v>
      </c>
      <c r="O13" s="49">
        <f>VLOOKUP($F13,enemy_skill_triggers!$A:$J,10,FALSE)</f>
        <v>50</v>
      </c>
      <c r="P13" s="48" t="s">
        <v>78</v>
      </c>
      <c r="Q13" s="48"/>
      <c r="R13" s="48" t="s">
        <v>79</v>
      </c>
    </row>
    <row r="14" spans="1:18" ht="21" customHeight="1">
      <c r="A14" s="40" t="str">
        <f t="shared" ref="A14" si="1">B14&amp;"_"&amp;C14</f>
        <v>40004007_40004013</v>
      </c>
      <c r="B14" s="61">
        <v>40004007</v>
      </c>
      <c r="C14" s="61">
        <v>40004013</v>
      </c>
      <c r="D14" s="47" t="str">
        <f>IFERROR(VLOOKUP(C14,enemy_skills!A:Y,4,FALSE),VLOOKUP(C14,[5]enemy_skills!$A:$E,4,FALSE))</f>
        <v>ja</v>
      </c>
      <c r="E14" s="47" t="str">
        <f>IFERROR(VLOOKUP(C14,enemy_skills!A:Y,5,FALSE),VLOOKUP(C14,[5]enemy_skills!$A:$E,5,FALSE))</f>
        <v>大地を焼く母神</v>
      </c>
      <c r="F14" s="61">
        <v>40004013</v>
      </c>
      <c r="G14" s="49">
        <f>VLOOKUP($F14,enemy_skill_triggers!$A:$J,2,FALSE)</f>
        <v>0</v>
      </c>
      <c r="H14" s="49">
        <f>VLOOKUP($F14,enemy_skill_triggers!$A:$J,3,FALSE)</f>
        <v>15</v>
      </c>
      <c r="I14" s="49">
        <f>VLOOKUP($F14,enemy_skill_triggers!$A:$J,4,FALSE)</f>
        <v>50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 t="str">
        <f>VLOOKUP($F14,enemy_skill_triggers!$A:$J,7,FALSE)</f>
        <v>null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50</v>
      </c>
      <c r="P14" s="48" t="s">
        <v>78</v>
      </c>
      <c r="Q14" s="48"/>
      <c r="R14" s="48" t="s">
        <v>79</v>
      </c>
    </row>
    <row r="15" spans="1:18" ht="21" customHeight="1">
      <c r="A15" s="40" t="str">
        <f t="shared" si="0"/>
        <v>40004007_40004014</v>
      </c>
      <c r="B15" s="61">
        <v>40004007</v>
      </c>
      <c r="C15" s="61">
        <v>40004014</v>
      </c>
      <c r="D15" s="47" t="str">
        <f>IFERROR(VLOOKUP(C15,enemy_skills!A:Y,4,FALSE),VLOOKUP(C15,[5]enemy_skills!$A:$E,4,FALSE))</f>
        <v>ja</v>
      </c>
      <c r="E15" s="47" t="str">
        <f>IFERROR(VLOOKUP(C15,enemy_skills!A:Y,5,FALSE),VLOOKUP(C15,[5]enemy_skills!$A:$E,5,FALSE))</f>
        <v>生命変遷</v>
      </c>
      <c r="F15" s="61">
        <v>40004014</v>
      </c>
      <c r="G15" s="49">
        <f>VLOOKUP($F15,enemy_skill_triggers!$A:$J,2,FALSE)</f>
        <v>0</v>
      </c>
      <c r="H15" s="49">
        <f>VLOOKUP($F15,enemy_skill_triggers!$A:$J,3,FALSE)</f>
        <v>10</v>
      </c>
      <c r="I15" s="49">
        <f>VLOOKUP($F15,enemy_skill_triggers!$A:$J,4,FALSE)</f>
        <v>100</v>
      </c>
      <c r="J15" s="49" t="str">
        <f>VLOOKUP($F15,enemy_skill_triggers!$A:$J,5,FALSE)</f>
        <v>null</v>
      </c>
      <c r="K15" s="49" t="str">
        <f>VLOOKUP($F15,enemy_skill_triggers!$A:$J,6,FALSE)</f>
        <v>null</v>
      </c>
      <c r="L15" s="49" t="str">
        <f>VLOOKUP($F15,enemy_skill_triggers!$A:$J,7,FALSE)</f>
        <v>null</v>
      </c>
      <c r="M15" s="49">
        <f>VLOOKUP($F15,enemy_skill_triggers!$A:$J,8,FALSE)</f>
        <v>3</v>
      </c>
      <c r="N15" s="49" t="str">
        <f>VLOOKUP($F15,enemy_skill_triggers!$A:$J,9,FALSE)</f>
        <v>null</v>
      </c>
      <c r="O15" s="49">
        <f>VLOOKUP($F15,enemy_skill_triggers!$A:$J,10,FALSE)</f>
        <v>100</v>
      </c>
      <c r="P15" s="48" t="s">
        <v>78</v>
      </c>
      <c r="Q15" s="48"/>
      <c r="R15" s="48" t="s">
        <v>79</v>
      </c>
    </row>
    <row r="16" spans="1:18" ht="21" customHeight="1">
      <c r="A16" s="40" t="str">
        <f t="shared" si="0"/>
        <v>40004007_40004015</v>
      </c>
      <c r="B16" s="61">
        <v>40004007</v>
      </c>
      <c r="C16" s="61">
        <v>40004015</v>
      </c>
      <c r="D16" s="47" t="str">
        <f>IFERROR(VLOOKUP(C16,enemy_skills!A:Y,4,FALSE),VLOOKUP(C16,[5]enemy_skills!$A:$E,4,FALSE))</f>
        <v>ja</v>
      </c>
      <c r="E16" s="47" t="str">
        <f>IFERROR(VLOOKUP(C16,enemy_skills!A:Y,5,FALSE),VLOOKUP(C16,[5]enemy_skills!$A:$E,5,FALSE))</f>
        <v>穢れの誘い</v>
      </c>
      <c r="F16" s="61">
        <v>40004015</v>
      </c>
      <c r="G16" s="49">
        <f>VLOOKUP($F16,enemy_skill_triggers!$A:$J,2,FALSE)</f>
        <v>0</v>
      </c>
      <c r="H16" s="49">
        <f>VLOOKUP($F16,enemy_skill_triggers!$A:$J,3,FALSE)</f>
        <v>17</v>
      </c>
      <c r="I16" s="49">
        <f>VLOOKUP($F16,enemy_skill_triggers!$A:$J,4,FALSE)</f>
        <v>100</v>
      </c>
      <c r="J16" s="49">
        <f>VLOOKUP($F16,enemy_skill_triggers!$A:$J,5,FALSE)</f>
        <v>25</v>
      </c>
      <c r="K16" s="49" t="str">
        <f>VLOOKUP($F16,enemy_skill_triggers!$A:$J,6,FALSE)</f>
        <v>null</v>
      </c>
      <c r="L16" s="49">
        <f>VLOOKUP($F16,enemy_skill_triggers!$A:$J,7,FALSE)</f>
        <v>1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100</v>
      </c>
      <c r="P16" s="48" t="s">
        <v>78</v>
      </c>
      <c r="Q16" s="48"/>
      <c r="R16" s="48" t="s">
        <v>79</v>
      </c>
    </row>
    <row r="17" spans="1:18" ht="21" customHeight="1">
      <c r="A17" s="40" t="str">
        <f t="shared" si="0"/>
        <v>40004008_40004016</v>
      </c>
      <c r="B17" s="61">
        <v>40004008</v>
      </c>
      <c r="C17" s="61">
        <v>40004016</v>
      </c>
      <c r="D17" s="47" t="str">
        <f>IFERROR(VLOOKUP(C17,enemy_skills!A:Y,4,FALSE),VLOOKUP(C17,[5]enemy_skills!$A:$E,4,FALSE))</f>
        <v>ja</v>
      </c>
      <c r="E17" s="47" t="str">
        <f>IFERROR(VLOOKUP(C17,enemy_skills!A:Y,5,FALSE),VLOOKUP(C17,[5]enemy_skills!$A:$E,5,FALSE))</f>
        <v>無念無想</v>
      </c>
      <c r="F17" s="61">
        <v>40004016</v>
      </c>
      <c r="G17" s="49">
        <f>VLOOKUP($F17,enemy_skill_triggers!$A:$J,2,FALSE)</f>
        <v>0</v>
      </c>
      <c r="H17" s="49">
        <f>VLOOKUP($F17,enemy_skill_triggers!$A:$J,3,FALSE)</f>
        <v>16</v>
      </c>
      <c r="I17" s="49">
        <f>VLOOKUP($F17,enemy_skill_triggers!$A:$J,4,FALSE)</f>
        <v>100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>
        <f>VLOOKUP($F17,enemy_skill_triggers!$A:$J,7,FALSE)</f>
        <v>1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100</v>
      </c>
      <c r="P17" s="48" t="s">
        <v>78</v>
      </c>
      <c r="Q17" s="48"/>
      <c r="R17" s="48" t="s">
        <v>79</v>
      </c>
    </row>
    <row r="18" spans="1:18" ht="21" customHeight="1">
      <c r="A18" s="40" t="str">
        <f t="shared" si="0"/>
        <v>40004008_40004017</v>
      </c>
      <c r="B18" s="61">
        <v>40004008</v>
      </c>
      <c r="C18" s="61">
        <v>40004017</v>
      </c>
      <c r="D18" s="47" t="str">
        <f>IFERROR(VLOOKUP(C18,enemy_skills!A:Y,4,FALSE),VLOOKUP(C18,[5]enemy_skills!$A:$E,4,FALSE))</f>
        <v>ja</v>
      </c>
      <c r="E18" s="47" t="str">
        <f>IFERROR(VLOOKUP(C18,enemy_skills!A:Y,5,FALSE),VLOOKUP(C18,[5]enemy_skills!$A:$E,5,FALSE))</f>
        <v>五輪の構え・護</v>
      </c>
      <c r="F18" s="61">
        <v>40004017</v>
      </c>
      <c r="G18" s="49">
        <f>VLOOKUP($F18,enemy_skill_triggers!$A:$J,2,FALSE)</f>
        <v>1</v>
      </c>
      <c r="H18" s="49">
        <f>VLOOKUP($F18,enemy_skill_triggers!$A:$J,3,FALSE)</f>
        <v>18</v>
      </c>
      <c r="I18" s="49">
        <f>VLOOKUP($F18,enemy_skill_triggers!$A:$J,4,FALSE)</f>
        <v>100</v>
      </c>
      <c r="J18" s="49" t="str">
        <f>VLOOKUP($F18,enemy_skill_triggers!$A:$J,5,FALSE)</f>
        <v>null</v>
      </c>
      <c r="K18" s="49" t="str">
        <f>VLOOKUP($F18,enemy_skill_triggers!$A:$J,6,FALSE)</f>
        <v>null</v>
      </c>
      <c r="L18" s="49">
        <f>VLOOKUP($F18,enemy_skill_triggers!$A:$J,7,FALSE)</f>
        <v>1</v>
      </c>
      <c r="M18" s="49" t="str">
        <f>VLOOKUP($F18,enemy_skill_triggers!$A:$J,8,FALSE)</f>
        <v>null</v>
      </c>
      <c r="N18" s="49" t="str">
        <f>VLOOKUP($F18,enemy_skill_triggers!$A:$J,9,FALSE)</f>
        <v>null</v>
      </c>
      <c r="O18" s="49">
        <f>VLOOKUP($F18,enemy_skill_triggers!$A:$J,10,FALSE)</f>
        <v>100</v>
      </c>
      <c r="P18" s="48" t="s">
        <v>78</v>
      </c>
      <c r="Q18" s="48"/>
      <c r="R18" s="48" t="s">
        <v>79</v>
      </c>
    </row>
    <row r="19" spans="1:18" ht="21" customHeight="1">
      <c r="A19" s="40" t="str">
        <f t="shared" si="0"/>
        <v>40004008_40004018</v>
      </c>
      <c r="B19" s="61">
        <v>40004008</v>
      </c>
      <c r="C19" s="61">
        <v>40004018</v>
      </c>
      <c r="D19" s="47" t="str">
        <f>IFERROR(VLOOKUP(C19,enemy_skills!A:Y,4,FALSE),VLOOKUP(C19,[5]enemy_skills!$A:$E,4,FALSE))</f>
        <v>ja</v>
      </c>
      <c r="E19" s="47" t="str">
        <f>IFERROR(VLOOKUP(C19,enemy_skills!A:Y,5,FALSE),VLOOKUP(C19,[5]enemy_skills!$A:$E,5,FALSE))</f>
        <v>紅葉重ね</v>
      </c>
      <c r="F19" s="61">
        <v>40004018</v>
      </c>
      <c r="G19" s="49">
        <f>VLOOKUP($F19,enemy_skill_triggers!$A:$J,2,FALSE)</f>
        <v>0</v>
      </c>
      <c r="H19" s="49" t="str">
        <f>VLOOKUP($F19,enemy_skill_triggers!$A:$J,3,FALSE)</f>
        <v>null</v>
      </c>
      <c r="I19" s="49">
        <f>VLOOKUP($F19,enemy_skill_triggers!$A:$J,4,FALSE)</f>
        <v>30</v>
      </c>
      <c r="J19" s="49" t="str">
        <f>VLOOKUP($F19,enemy_skill_triggers!$A:$J,5,FALSE)</f>
        <v>null</v>
      </c>
      <c r="K19" s="49" t="str">
        <f>VLOOKUP($F19,enemy_skill_triggers!$A:$J,6,FALSE)</f>
        <v>null</v>
      </c>
      <c r="L19" s="49" t="str">
        <f>VLOOKUP($F19,enemy_skill_triggers!$A:$J,7,FALSE)</f>
        <v>null</v>
      </c>
      <c r="M19" s="49" t="str">
        <f>VLOOKUP($F19,enemy_skill_triggers!$A:$J,8,FALSE)</f>
        <v>null</v>
      </c>
      <c r="N19" s="49" t="str">
        <f>VLOOKUP($F19,enemy_skill_triggers!$A:$J,9,FALSE)</f>
        <v>null</v>
      </c>
      <c r="O19" s="49">
        <f>VLOOKUP($F19,enemy_skill_triggers!$A:$J,10,FALSE)</f>
        <v>30</v>
      </c>
      <c r="P19" s="48" t="s">
        <v>78</v>
      </c>
      <c r="Q19" s="48"/>
      <c r="R19" s="48" t="s">
        <v>79</v>
      </c>
    </row>
    <row r="20" spans="1:18" ht="21" customHeight="1">
      <c r="A20" s="40" t="str">
        <f t="shared" si="0"/>
        <v>40004008_40004019</v>
      </c>
      <c r="B20" s="61">
        <v>40004008</v>
      </c>
      <c r="C20" s="61">
        <v>40004019</v>
      </c>
      <c r="D20" s="47" t="str">
        <f>IFERROR(VLOOKUP(C20,enemy_skills!A:Y,4,FALSE),VLOOKUP(C20,[5]enemy_skills!$A:$E,4,FALSE))</f>
        <v>ja</v>
      </c>
      <c r="E20" s="47" t="str">
        <f>IFERROR(VLOOKUP(C20,enemy_skills!A:Y,5,FALSE),VLOOKUP(C20,[5]enemy_skills!$A:$E,5,FALSE))</f>
        <v>二刀抜刀</v>
      </c>
      <c r="F20" s="61">
        <v>40004019</v>
      </c>
      <c r="G20" s="49">
        <f>VLOOKUP($F20,enemy_skill_triggers!$A:$J,2,FALSE)</f>
        <v>0</v>
      </c>
      <c r="H20" s="49" t="str">
        <f>VLOOKUP($F20,enemy_skill_triggers!$A:$J,3,FALSE)</f>
        <v>null</v>
      </c>
      <c r="I20" s="49">
        <f>VLOOKUP($F20,enemy_skill_triggers!$A:$J,4,FALSE)</f>
        <v>25</v>
      </c>
      <c r="J20" s="49" t="str">
        <f>VLOOKUP($F20,enemy_skill_triggers!$A:$J,5,FALSE)</f>
        <v>null</v>
      </c>
      <c r="K20" s="49" t="str">
        <f>VLOOKUP($F20,enemy_skill_triggers!$A:$J,6,FALSE)</f>
        <v>null</v>
      </c>
      <c r="L20" s="49" t="str">
        <f>VLOOKUP($F20,enemy_skill_triggers!$A:$J,7,FALSE)</f>
        <v>null</v>
      </c>
      <c r="M20" s="49" t="str">
        <f>VLOOKUP($F20,enemy_skill_triggers!$A:$J,8,FALSE)</f>
        <v>null</v>
      </c>
      <c r="N20" s="49" t="str">
        <f>VLOOKUP($F20,enemy_skill_triggers!$A:$J,9,FALSE)</f>
        <v>null</v>
      </c>
      <c r="O20" s="49">
        <f>VLOOKUP($F20,enemy_skill_triggers!$A:$J,10,FALSE)</f>
        <v>25</v>
      </c>
      <c r="P20" s="48" t="s">
        <v>78</v>
      </c>
      <c r="Q20" s="48"/>
      <c r="R20" s="48" t="s">
        <v>79</v>
      </c>
    </row>
    <row r="21" spans="1:18" ht="21" customHeight="1">
      <c r="A21" s="40" t="str">
        <f t="shared" ref="A21" si="2">B21&amp;"_"&amp;C21</f>
        <v>40004009_40004016</v>
      </c>
      <c r="B21" s="61">
        <v>40004009</v>
      </c>
      <c r="C21" s="61">
        <v>40004016</v>
      </c>
      <c r="D21" s="47" t="str">
        <f>IFERROR(VLOOKUP(C21,enemy_skills!A:Y,4,FALSE),VLOOKUP(C21,[5]enemy_skills!$A:$E,4,FALSE))</f>
        <v>ja</v>
      </c>
      <c r="E21" s="47" t="str">
        <f>IFERROR(VLOOKUP(C21,enemy_skills!A:Y,5,FALSE),VLOOKUP(C21,[5]enemy_skills!$A:$E,5,FALSE))</f>
        <v>無念無想</v>
      </c>
      <c r="F21" s="61">
        <v>40004028</v>
      </c>
      <c r="G21" s="49">
        <f>VLOOKUP($F21,enemy_skill_triggers!$A:$J,2,FALSE)</f>
        <v>0</v>
      </c>
      <c r="H21" s="49">
        <f>VLOOKUP($F21,enemy_skill_triggers!$A:$J,3,FALSE)</f>
        <v>16</v>
      </c>
      <c r="I21" s="49">
        <f>VLOOKUP($F21,enemy_skill_triggers!$A:$J,4,FALSE)</f>
        <v>100</v>
      </c>
      <c r="J21" s="49" t="str">
        <f>VLOOKUP($F21,enemy_skill_triggers!$A:$J,5,FALSE)</f>
        <v>null</v>
      </c>
      <c r="K21" s="49" t="str">
        <f>VLOOKUP($F21,enemy_skill_triggers!$A:$J,6,FALSE)</f>
        <v>null</v>
      </c>
      <c r="L21" s="49">
        <f>VLOOKUP($F21,enemy_skill_triggers!$A:$J,7,FALSE)</f>
        <v>1</v>
      </c>
      <c r="M21" s="49" t="str">
        <f>VLOOKUP($F21,enemy_skill_triggers!$A:$J,8,FALSE)</f>
        <v>null</v>
      </c>
      <c r="N21" s="49" t="str">
        <f>VLOOKUP($F21,enemy_skill_triggers!$A:$J,9,FALSE)</f>
        <v>null</v>
      </c>
      <c r="O21" s="49">
        <f>VLOOKUP($F21,enemy_skill_triggers!$A:$J,10,FALSE)</f>
        <v>100</v>
      </c>
      <c r="P21" s="48" t="s">
        <v>78</v>
      </c>
      <c r="Q21" s="48"/>
      <c r="R21" s="48" t="s">
        <v>79</v>
      </c>
    </row>
    <row r="22" spans="1:18" ht="21" customHeight="1">
      <c r="A22" s="40" t="str">
        <f t="shared" si="0"/>
        <v>40004009_40004021</v>
      </c>
      <c r="B22" s="61">
        <v>40004009</v>
      </c>
      <c r="C22" s="61">
        <v>40004021</v>
      </c>
      <c r="D22" s="47" t="str">
        <f>IFERROR(VLOOKUP(C22,enemy_skills!A:Y,4,FALSE),VLOOKUP(C22,[5]enemy_skills!$A:$E,4,FALSE))</f>
        <v>ja</v>
      </c>
      <c r="E22" s="47" t="str">
        <f>IFERROR(VLOOKUP(C22,enemy_skills!A:Y,5,FALSE),VLOOKUP(C22,[5]enemy_skills!$A:$E,5,FALSE))</f>
        <v>五輪の構え・斬</v>
      </c>
      <c r="F22" s="61">
        <v>40004021</v>
      </c>
      <c r="G22" s="49">
        <f>VLOOKUP($F22,enemy_skill_triggers!$A:$J,2,FALSE)</f>
        <v>0</v>
      </c>
      <c r="H22" s="49">
        <f>VLOOKUP($F22,enemy_skill_triggers!$A:$J,3,FALSE)</f>
        <v>15</v>
      </c>
      <c r="I22" s="49">
        <f>VLOOKUP($F22,enemy_skill_triggers!$A:$J,4,FALSE)</f>
        <v>100</v>
      </c>
      <c r="J22" s="49" t="str">
        <f>VLOOKUP($F22,enemy_skill_triggers!$A:$J,5,FALSE)</f>
        <v>null</v>
      </c>
      <c r="K22" s="49" t="str">
        <f>VLOOKUP($F22,enemy_skill_triggers!$A:$J,6,FALSE)</f>
        <v>null</v>
      </c>
      <c r="L22" s="49">
        <f>VLOOKUP($F22,enemy_skill_triggers!$A:$J,7,FALSE)</f>
        <v>1</v>
      </c>
      <c r="M22" s="49" t="str">
        <f>VLOOKUP($F22,enemy_skill_triggers!$A:$J,8,FALSE)</f>
        <v>null</v>
      </c>
      <c r="N22" s="49" t="str">
        <f>VLOOKUP($F22,enemy_skill_triggers!$A:$J,9,FALSE)</f>
        <v>null</v>
      </c>
      <c r="O22" s="49">
        <f>VLOOKUP($F22,enemy_skill_triggers!$A:$J,10,FALSE)</f>
        <v>100</v>
      </c>
      <c r="P22" s="48" t="s">
        <v>78</v>
      </c>
      <c r="Q22" s="48"/>
      <c r="R22" s="48" t="s">
        <v>79</v>
      </c>
    </row>
    <row r="23" spans="1:18" ht="21" customHeight="1">
      <c r="A23" s="40" t="str">
        <f t="shared" si="0"/>
        <v>40004009_40004029</v>
      </c>
      <c r="B23" s="61">
        <v>40004009</v>
      </c>
      <c r="C23" s="61">
        <v>40004029</v>
      </c>
      <c r="D23" s="47" t="str">
        <f>IFERROR(VLOOKUP(C23,enemy_skills!A:Y,4,FALSE),VLOOKUP(C23,[5]enemy_skills!$A:$E,4,FALSE))</f>
        <v>ja</v>
      </c>
      <c r="E23" s="47" t="str">
        <f>IFERROR(VLOOKUP(C23,enemy_skills!A:Y,5,FALSE),VLOOKUP(C23,[5]enemy_skills!$A:$E,5,FALSE))</f>
        <v>五輪の構え・見切り</v>
      </c>
      <c r="F23" s="61">
        <v>40004022</v>
      </c>
      <c r="G23" s="49">
        <f>VLOOKUP($F23,enemy_skill_triggers!$A:$J,2,FALSE)</f>
        <v>1</v>
      </c>
      <c r="H23" s="49">
        <f>VLOOKUP($F23,enemy_skill_triggers!$A:$J,3,FALSE)</f>
        <v>10</v>
      </c>
      <c r="I23" s="49">
        <f>VLOOKUP($F23,enemy_skill_triggers!$A:$J,4,FALSE)</f>
        <v>100</v>
      </c>
      <c r="J23" s="49" t="str">
        <f>VLOOKUP($F23,enemy_skill_triggers!$A:$J,5,FALSE)</f>
        <v>null</v>
      </c>
      <c r="K23" s="49" t="str">
        <f>VLOOKUP($F23,enemy_skill_triggers!$A:$J,6,FALSE)</f>
        <v>null</v>
      </c>
      <c r="L23" s="49">
        <f>VLOOKUP($F23,enemy_skill_triggers!$A:$J,7,FALSE)</f>
        <v>1</v>
      </c>
      <c r="M23" s="49" t="str">
        <f>VLOOKUP($F23,enemy_skill_triggers!$A:$J,8,FALSE)</f>
        <v>null</v>
      </c>
      <c r="N23" s="49" t="str">
        <f>VLOOKUP($F23,enemy_skill_triggers!$A:$J,9,FALSE)</f>
        <v>null</v>
      </c>
      <c r="O23" s="49">
        <f>VLOOKUP($F23,enemy_skill_triggers!$A:$J,10,FALSE)</f>
        <v>100</v>
      </c>
      <c r="P23" s="48" t="s">
        <v>78</v>
      </c>
      <c r="Q23" s="48"/>
      <c r="R23" s="48" t="s">
        <v>79</v>
      </c>
    </row>
    <row r="24" spans="1:18" ht="21" customHeight="1">
      <c r="A24" s="40" t="str">
        <f t="shared" si="0"/>
        <v>40004009_40004023</v>
      </c>
      <c r="B24" s="61">
        <v>40004009</v>
      </c>
      <c r="C24" s="61">
        <v>40004023</v>
      </c>
      <c r="D24" s="47" t="str">
        <f>IFERROR(VLOOKUP(C24,enemy_skills!A:Y,4,FALSE),VLOOKUP(C24,[5]enemy_skills!$A:$E,4,FALSE))</f>
        <v>ja</v>
      </c>
      <c r="E24" s="47" t="str">
        <f>IFERROR(VLOOKUP(C24,enemy_skills!A:Y,5,FALSE),VLOOKUP(C24,[5]enemy_skills!$A:$E,5,FALSE))</f>
        <v>水の太刀</v>
      </c>
      <c r="F24" s="61">
        <v>40004023</v>
      </c>
      <c r="G24" s="49">
        <f>VLOOKUP($F24,enemy_skill_triggers!$A:$J,2,FALSE)</f>
        <v>0</v>
      </c>
      <c r="H24" s="49" t="str">
        <f>VLOOKUP($F24,enemy_skill_triggers!$A:$J,3,FALSE)</f>
        <v>null</v>
      </c>
      <c r="I24" s="49">
        <f>VLOOKUP($F24,enemy_skill_triggers!$A:$J,4,FALSE)</f>
        <v>25</v>
      </c>
      <c r="J24" s="49" t="str">
        <f>VLOOKUP($F24,enemy_skill_triggers!$A:$J,5,FALSE)</f>
        <v>null</v>
      </c>
      <c r="K24" s="49" t="str">
        <f>VLOOKUP($F24,enemy_skill_triggers!$A:$J,6,FALSE)</f>
        <v>null</v>
      </c>
      <c r="L24" s="49" t="str">
        <f>VLOOKUP($F24,enemy_skill_triggers!$A:$J,7,FALSE)</f>
        <v>null</v>
      </c>
      <c r="M24" s="49" t="str">
        <f>VLOOKUP($F24,enemy_skill_triggers!$A:$J,8,FALSE)</f>
        <v>null</v>
      </c>
      <c r="N24" s="49" t="str">
        <f>VLOOKUP($F24,enemy_skill_triggers!$A:$J,9,FALSE)</f>
        <v>null</v>
      </c>
      <c r="O24" s="49">
        <f>VLOOKUP($F24,enemy_skill_triggers!$A:$J,10,FALSE)</f>
        <v>25</v>
      </c>
      <c r="P24" s="48" t="s">
        <v>78</v>
      </c>
      <c r="Q24" s="48"/>
      <c r="R24" s="48" t="s">
        <v>79</v>
      </c>
    </row>
    <row r="25" spans="1:18" ht="21" customHeight="1">
      <c r="A25" s="40" t="str">
        <f t="shared" si="0"/>
        <v>40004009_40004024</v>
      </c>
      <c r="B25" s="61">
        <v>40004009</v>
      </c>
      <c r="C25" s="61">
        <v>40004024</v>
      </c>
      <c r="D25" s="47" t="str">
        <f>IFERROR(VLOOKUP(C25,enemy_skills!A:Y,4,FALSE),VLOOKUP(C25,[5]enemy_skills!$A:$E,4,FALSE))</f>
        <v>ja</v>
      </c>
      <c r="E25" s="47" t="str">
        <f>IFERROR(VLOOKUP(C25,enemy_skills!A:Y,5,FALSE),VLOOKUP(C25,[5]enemy_skills!$A:$E,5,FALSE))</f>
        <v>空の太刀</v>
      </c>
      <c r="F25" s="61">
        <v>40004024</v>
      </c>
      <c r="G25" s="49">
        <f>VLOOKUP($F25,enemy_skill_triggers!$A:$J,2,FALSE)</f>
        <v>0</v>
      </c>
      <c r="H25" s="49" t="str">
        <f>VLOOKUP($F25,enemy_skill_triggers!$A:$J,3,FALSE)</f>
        <v>null</v>
      </c>
      <c r="I25" s="49">
        <f>VLOOKUP($F25,enemy_skill_triggers!$A:$J,4,FALSE)</f>
        <v>25</v>
      </c>
      <c r="J25" s="49" t="str">
        <f>VLOOKUP($F25,enemy_skill_triggers!$A:$J,5,FALSE)</f>
        <v>null</v>
      </c>
      <c r="K25" s="49" t="str">
        <f>VLOOKUP($F25,enemy_skill_triggers!$A:$J,6,FALSE)</f>
        <v>null</v>
      </c>
      <c r="L25" s="49" t="str">
        <f>VLOOKUP($F25,enemy_skill_triggers!$A:$J,7,FALSE)</f>
        <v>null</v>
      </c>
      <c r="M25" s="49" t="str">
        <f>VLOOKUP($F25,enemy_skill_triggers!$A:$J,8,FALSE)</f>
        <v>null</v>
      </c>
      <c r="N25" s="49" t="str">
        <f>VLOOKUP($F25,enemy_skill_triggers!$A:$J,9,FALSE)</f>
        <v>null</v>
      </c>
      <c r="O25" s="49">
        <f>VLOOKUP($F25,enemy_skill_triggers!$A:$J,10,FALSE)</f>
        <v>25</v>
      </c>
      <c r="P25" s="48" t="s">
        <v>78</v>
      </c>
      <c r="Q25" s="48"/>
      <c r="R25" s="48" t="s">
        <v>79</v>
      </c>
    </row>
    <row r="26" spans="1:18" ht="21" customHeight="1">
      <c r="A26" s="40" t="str">
        <f t="shared" si="0"/>
        <v>40004009_40004025</v>
      </c>
      <c r="B26" s="61">
        <v>40004009</v>
      </c>
      <c r="C26" s="61">
        <v>40004025</v>
      </c>
      <c r="D26" s="47" t="str">
        <f>IFERROR(VLOOKUP(C26,enemy_skills!A:Y,4,FALSE),VLOOKUP(C26,[5]enemy_skills!$A:$E,4,FALSE))</f>
        <v>ja</v>
      </c>
      <c r="E26" s="47" t="str">
        <f>IFERROR(VLOOKUP(C26,enemy_skills!A:Y,5,FALSE),VLOOKUP(C26,[5]enemy_skills!$A:$E,5,FALSE))</f>
        <v>風の太刀</v>
      </c>
      <c r="F26" s="61">
        <v>40004025</v>
      </c>
      <c r="G26" s="49">
        <f>VLOOKUP($F26,enemy_skill_triggers!$A:$J,2,FALSE)</f>
        <v>0</v>
      </c>
      <c r="H26" s="49" t="str">
        <f>VLOOKUP($F26,enemy_skill_triggers!$A:$J,3,FALSE)</f>
        <v>null</v>
      </c>
      <c r="I26" s="49">
        <f>VLOOKUP($F26,enemy_skill_triggers!$A:$J,4,FALSE)</f>
        <v>25</v>
      </c>
      <c r="J26" s="49" t="str">
        <f>VLOOKUP($F26,enemy_skill_triggers!$A:$J,5,FALSE)</f>
        <v>null</v>
      </c>
      <c r="K26" s="49" t="str">
        <f>VLOOKUP($F26,enemy_skill_triggers!$A:$J,6,FALSE)</f>
        <v>null</v>
      </c>
      <c r="L26" s="49" t="str">
        <f>VLOOKUP($F26,enemy_skill_triggers!$A:$J,7,FALSE)</f>
        <v>null</v>
      </c>
      <c r="M26" s="49" t="str">
        <f>VLOOKUP($F26,enemy_skill_triggers!$A:$J,8,FALSE)</f>
        <v>null</v>
      </c>
      <c r="N26" s="49" t="str">
        <f>VLOOKUP($F26,enemy_skill_triggers!$A:$J,9,FALSE)</f>
        <v>null</v>
      </c>
      <c r="O26" s="49">
        <f>VLOOKUP($F26,enemy_skill_triggers!$A:$J,10,FALSE)</f>
        <v>25</v>
      </c>
      <c r="P26" s="48" t="s">
        <v>78</v>
      </c>
      <c r="Q26" s="48"/>
      <c r="R26" s="48" t="s">
        <v>79</v>
      </c>
    </row>
    <row r="27" spans="1:18" ht="21" customHeight="1">
      <c r="A27" s="40" t="str">
        <f t="shared" ref="A27:A28" si="3">B27&amp;"_"&amp;C27</f>
        <v>40004009_40004018</v>
      </c>
      <c r="B27" s="61">
        <v>40004009</v>
      </c>
      <c r="C27" s="61">
        <v>40004018</v>
      </c>
      <c r="D27" s="47" t="str">
        <f>IFERROR(VLOOKUP(C27,enemy_skills!A:Y,4,FALSE),VLOOKUP(C27,[5]enemy_skills!$A:$E,4,FALSE))</f>
        <v>ja</v>
      </c>
      <c r="E27" s="47" t="str">
        <f>IFERROR(VLOOKUP(C27,enemy_skills!A:Y,5,FALSE),VLOOKUP(C27,[5]enemy_skills!$A:$E,5,FALSE))</f>
        <v>紅葉重ね</v>
      </c>
      <c r="F27" s="61">
        <v>40004018</v>
      </c>
      <c r="G27" s="49">
        <f>VLOOKUP($F27,enemy_skill_triggers!$A:$J,2,FALSE)</f>
        <v>0</v>
      </c>
      <c r="H27" s="49" t="str">
        <f>VLOOKUP($F27,enemy_skill_triggers!$A:$J,3,FALSE)</f>
        <v>null</v>
      </c>
      <c r="I27" s="49">
        <f>VLOOKUP($F27,enemy_skill_triggers!$A:$J,4,FALSE)</f>
        <v>30</v>
      </c>
      <c r="J27" s="49" t="str">
        <f>VLOOKUP($F27,enemy_skill_triggers!$A:$J,5,FALSE)</f>
        <v>null</v>
      </c>
      <c r="K27" s="49" t="str">
        <f>VLOOKUP($F27,enemy_skill_triggers!$A:$J,6,FALSE)</f>
        <v>null</v>
      </c>
      <c r="L27" s="49" t="str">
        <f>VLOOKUP($F27,enemy_skill_triggers!$A:$J,7,FALSE)</f>
        <v>null</v>
      </c>
      <c r="M27" s="49" t="str">
        <f>VLOOKUP($F27,enemy_skill_triggers!$A:$J,8,FALSE)</f>
        <v>null</v>
      </c>
      <c r="N27" s="49" t="str">
        <f>VLOOKUP($F27,enemy_skill_triggers!$A:$J,9,FALSE)</f>
        <v>null</v>
      </c>
      <c r="O27" s="49">
        <f>VLOOKUP($F27,enemy_skill_triggers!$A:$J,10,FALSE)</f>
        <v>30</v>
      </c>
      <c r="P27" s="48" t="s">
        <v>78</v>
      </c>
      <c r="Q27" s="48"/>
      <c r="R27" s="48" t="s">
        <v>79</v>
      </c>
    </row>
    <row r="28" spans="1:18" ht="21" customHeight="1">
      <c r="A28" s="40" t="str">
        <f t="shared" si="3"/>
        <v>40004009_40004027</v>
      </c>
      <c r="B28" s="61">
        <v>40004009</v>
      </c>
      <c r="C28" s="61">
        <v>40004027</v>
      </c>
      <c r="D28" s="47" t="str">
        <f>IFERROR(VLOOKUP(C28,enemy_skills!A:Y,4,FALSE),VLOOKUP(C28,[5]enemy_skills!$A:$E,4,FALSE))</f>
        <v>ja</v>
      </c>
      <c r="E28" s="47" t="str">
        <f>IFERROR(VLOOKUP(C28,enemy_skills!A:Y,5,FALSE),VLOOKUP(C28,[5]enemy_skills!$A:$E,5,FALSE))</f>
        <v>二刀四斬</v>
      </c>
      <c r="F28" s="61">
        <v>40004029</v>
      </c>
      <c r="G28" s="49">
        <f>VLOOKUP($F28,enemy_skill_triggers!$A:$J,2,FALSE)</f>
        <v>0</v>
      </c>
      <c r="H28" s="49">
        <f>VLOOKUP($F28,enemy_skill_triggers!$A:$J,3,FALSE)</f>
        <v>20</v>
      </c>
      <c r="I28" s="49">
        <f>VLOOKUP($F28,enemy_skill_triggers!$A:$J,4,FALSE)</f>
        <v>25</v>
      </c>
      <c r="J28" s="49">
        <f>VLOOKUP($F28,enemy_skill_triggers!$A:$J,5,FALSE)</f>
        <v>25</v>
      </c>
      <c r="K28" s="49" t="str">
        <f>VLOOKUP($F28,enemy_skill_triggers!$A:$J,6,FALSE)</f>
        <v>null</v>
      </c>
      <c r="L28" s="49" t="str">
        <f>VLOOKUP($F28,enemy_skill_triggers!$A:$J,7,FALSE)</f>
        <v>null</v>
      </c>
      <c r="M28" s="49" t="str">
        <f>VLOOKUP($F28,enemy_skill_triggers!$A:$J,8,FALSE)</f>
        <v>null</v>
      </c>
      <c r="N28" s="49" t="str">
        <f>VLOOKUP($F28,enemy_skill_triggers!$A:$J,9,FALSE)</f>
        <v>null</v>
      </c>
      <c r="O28" s="49">
        <f>VLOOKUP($F28,enemy_skill_triggers!$A:$J,10,FALSE)</f>
        <v>25</v>
      </c>
      <c r="P28" s="48" t="s">
        <v>78</v>
      </c>
      <c r="Q28" s="48"/>
      <c r="R28" s="48" t="s">
        <v>79</v>
      </c>
    </row>
    <row r="29" spans="1:18" ht="21" customHeight="1">
      <c r="A29" s="40" t="str">
        <f t="shared" si="0"/>
        <v>40004010_40004017</v>
      </c>
      <c r="B29" s="61">
        <v>40004010</v>
      </c>
      <c r="C29" s="61">
        <v>40004017</v>
      </c>
      <c r="D29" s="47" t="str">
        <f>IFERROR(VLOOKUP(C29,enemy_skills!A:Y,4,FALSE),VLOOKUP(C29,[5]enemy_skills!$A:$E,4,FALSE))</f>
        <v>ja</v>
      </c>
      <c r="E29" s="47" t="str">
        <f>IFERROR(VLOOKUP(C29,enemy_skills!A:Y,5,FALSE),VLOOKUP(C29,[5]enemy_skills!$A:$E,5,FALSE))</f>
        <v>五輪の構え・護</v>
      </c>
      <c r="F29" s="61">
        <v>40004017</v>
      </c>
      <c r="G29" s="49">
        <f>VLOOKUP($F29,enemy_skill_triggers!$A:$J,2,FALSE)</f>
        <v>1</v>
      </c>
      <c r="H29" s="49">
        <f>VLOOKUP($F29,enemy_skill_triggers!$A:$J,3,FALSE)</f>
        <v>18</v>
      </c>
      <c r="I29" s="49">
        <f>VLOOKUP($F29,enemy_skill_triggers!$A:$J,4,FALSE)</f>
        <v>100</v>
      </c>
      <c r="J29" s="49" t="str">
        <f>VLOOKUP($F29,enemy_skill_triggers!$A:$J,5,FALSE)</f>
        <v>null</v>
      </c>
      <c r="K29" s="49" t="str">
        <f>VLOOKUP($F29,enemy_skill_triggers!$A:$J,6,FALSE)</f>
        <v>null</v>
      </c>
      <c r="L29" s="49">
        <f>VLOOKUP($F29,enemy_skill_triggers!$A:$J,7,FALSE)</f>
        <v>1</v>
      </c>
      <c r="M29" s="49" t="str">
        <f>VLOOKUP($F29,enemy_skill_triggers!$A:$J,8,FALSE)</f>
        <v>null</v>
      </c>
      <c r="N29" s="49" t="str">
        <f>VLOOKUP($F29,enemy_skill_triggers!$A:$J,9,FALSE)</f>
        <v>null</v>
      </c>
      <c r="O29" s="49">
        <f>VLOOKUP($F29,enemy_skill_triggers!$A:$J,10,FALSE)</f>
        <v>100</v>
      </c>
      <c r="P29" s="48" t="s">
        <v>78</v>
      </c>
      <c r="Q29" s="48"/>
      <c r="R29" s="48" t="s">
        <v>79</v>
      </c>
    </row>
    <row r="30" spans="1:18" ht="21" customHeight="1">
      <c r="A30" s="40" t="str">
        <f t="shared" ref="A30:A32" si="4">B30&amp;"_"&amp;C30</f>
        <v>40004010_40004023</v>
      </c>
      <c r="B30" s="61">
        <v>40004010</v>
      </c>
      <c r="C30" s="61">
        <v>40004023</v>
      </c>
      <c r="D30" s="47" t="str">
        <f>IFERROR(VLOOKUP(C30,enemy_skills!A:Y,4,FALSE),VLOOKUP(C30,[5]enemy_skills!$A:$E,4,FALSE))</f>
        <v>ja</v>
      </c>
      <c r="E30" s="47" t="str">
        <f>IFERROR(VLOOKUP(C30,enemy_skills!A:Y,5,FALSE),VLOOKUP(C30,[5]enemy_skills!$A:$E,5,FALSE))</f>
        <v>水の太刀</v>
      </c>
      <c r="F30" s="61">
        <v>40004023</v>
      </c>
      <c r="G30" s="49">
        <f>VLOOKUP($F30,enemy_skill_triggers!$A:$J,2,FALSE)</f>
        <v>0</v>
      </c>
      <c r="H30" s="49" t="str">
        <f>VLOOKUP($F30,enemy_skill_triggers!$A:$J,3,FALSE)</f>
        <v>null</v>
      </c>
      <c r="I30" s="49">
        <f>VLOOKUP($F30,enemy_skill_triggers!$A:$J,4,FALSE)</f>
        <v>25</v>
      </c>
      <c r="J30" s="49" t="str">
        <f>VLOOKUP($F30,enemy_skill_triggers!$A:$J,5,FALSE)</f>
        <v>null</v>
      </c>
      <c r="K30" s="49" t="str">
        <f>VLOOKUP($F30,enemy_skill_triggers!$A:$J,6,FALSE)</f>
        <v>null</v>
      </c>
      <c r="L30" s="49" t="str">
        <f>VLOOKUP($F30,enemy_skill_triggers!$A:$J,7,FALSE)</f>
        <v>null</v>
      </c>
      <c r="M30" s="49" t="str">
        <f>VLOOKUP($F30,enemy_skill_triggers!$A:$J,8,FALSE)</f>
        <v>null</v>
      </c>
      <c r="N30" s="49" t="str">
        <f>VLOOKUP($F30,enemy_skill_triggers!$A:$J,9,FALSE)</f>
        <v>null</v>
      </c>
      <c r="O30" s="49">
        <f>VLOOKUP($F30,enemy_skill_triggers!$A:$J,10,FALSE)</f>
        <v>25</v>
      </c>
      <c r="P30" s="48" t="s">
        <v>78</v>
      </c>
      <c r="Q30" s="48"/>
      <c r="R30" s="48" t="s">
        <v>79</v>
      </c>
    </row>
    <row r="31" spans="1:18" ht="21" customHeight="1">
      <c r="A31" s="40" t="str">
        <f t="shared" si="4"/>
        <v>40004010_40004024</v>
      </c>
      <c r="B31" s="61">
        <v>40004010</v>
      </c>
      <c r="C31" s="61">
        <v>40004024</v>
      </c>
      <c r="D31" s="47" t="str">
        <f>IFERROR(VLOOKUP(C31,enemy_skills!A:Y,4,FALSE),VLOOKUP(C31,[5]enemy_skills!$A:$E,4,FALSE))</f>
        <v>ja</v>
      </c>
      <c r="E31" s="47" t="str">
        <f>IFERROR(VLOOKUP(C31,enemy_skills!A:Y,5,FALSE),VLOOKUP(C31,[5]enemy_skills!$A:$E,5,FALSE))</f>
        <v>空の太刀</v>
      </c>
      <c r="F31" s="61">
        <v>40004024</v>
      </c>
      <c r="G31" s="49">
        <f>VLOOKUP($F31,enemy_skill_triggers!$A:$J,2,FALSE)</f>
        <v>0</v>
      </c>
      <c r="H31" s="49" t="str">
        <f>VLOOKUP($F31,enemy_skill_triggers!$A:$J,3,FALSE)</f>
        <v>null</v>
      </c>
      <c r="I31" s="49">
        <f>VLOOKUP($F31,enemy_skill_triggers!$A:$J,4,FALSE)</f>
        <v>25</v>
      </c>
      <c r="J31" s="49" t="str">
        <f>VLOOKUP($F31,enemy_skill_triggers!$A:$J,5,FALSE)</f>
        <v>null</v>
      </c>
      <c r="K31" s="49" t="str">
        <f>VLOOKUP($F31,enemy_skill_triggers!$A:$J,6,FALSE)</f>
        <v>null</v>
      </c>
      <c r="L31" s="49" t="str">
        <f>VLOOKUP($F31,enemy_skill_triggers!$A:$J,7,FALSE)</f>
        <v>null</v>
      </c>
      <c r="M31" s="49" t="str">
        <f>VLOOKUP($F31,enemy_skill_triggers!$A:$J,8,FALSE)</f>
        <v>null</v>
      </c>
      <c r="N31" s="49" t="str">
        <f>VLOOKUP($F31,enemy_skill_triggers!$A:$J,9,FALSE)</f>
        <v>null</v>
      </c>
      <c r="O31" s="49">
        <f>VLOOKUP($F31,enemy_skill_triggers!$A:$J,10,FALSE)</f>
        <v>25</v>
      </c>
      <c r="P31" s="48" t="s">
        <v>78</v>
      </c>
      <c r="Q31" s="48"/>
      <c r="R31" s="48" t="s">
        <v>79</v>
      </c>
    </row>
    <row r="32" spans="1:18" ht="21" customHeight="1">
      <c r="A32" s="40" t="str">
        <f t="shared" si="4"/>
        <v>40004010_40004025</v>
      </c>
      <c r="B32" s="61">
        <v>40004010</v>
      </c>
      <c r="C32" s="61">
        <v>40004025</v>
      </c>
      <c r="D32" s="47" t="str">
        <f>IFERROR(VLOOKUP(C32,enemy_skills!A:Y,4,FALSE),VLOOKUP(C32,[5]enemy_skills!$A:$E,4,FALSE))</f>
        <v>ja</v>
      </c>
      <c r="E32" s="47" t="str">
        <f>IFERROR(VLOOKUP(C32,enemy_skills!A:Y,5,FALSE),VLOOKUP(C32,[5]enemy_skills!$A:$E,5,FALSE))</f>
        <v>風の太刀</v>
      </c>
      <c r="F32" s="61">
        <v>40004025</v>
      </c>
      <c r="G32" s="49">
        <f>VLOOKUP($F32,enemy_skill_triggers!$A:$J,2,FALSE)</f>
        <v>0</v>
      </c>
      <c r="H32" s="49" t="str">
        <f>VLOOKUP($F32,enemy_skill_triggers!$A:$J,3,FALSE)</f>
        <v>null</v>
      </c>
      <c r="I32" s="49">
        <f>VLOOKUP($F32,enemy_skill_triggers!$A:$J,4,FALSE)</f>
        <v>25</v>
      </c>
      <c r="J32" s="49" t="str">
        <f>VLOOKUP($F32,enemy_skill_triggers!$A:$J,5,FALSE)</f>
        <v>null</v>
      </c>
      <c r="K32" s="49" t="str">
        <f>VLOOKUP($F32,enemy_skill_triggers!$A:$J,6,FALSE)</f>
        <v>null</v>
      </c>
      <c r="L32" s="49" t="str">
        <f>VLOOKUP($F32,enemy_skill_triggers!$A:$J,7,FALSE)</f>
        <v>null</v>
      </c>
      <c r="M32" s="49" t="str">
        <f>VLOOKUP($F32,enemy_skill_triggers!$A:$J,8,FALSE)</f>
        <v>null</v>
      </c>
      <c r="N32" s="49" t="str">
        <f>VLOOKUP($F32,enemy_skill_triggers!$A:$J,9,FALSE)</f>
        <v>null</v>
      </c>
      <c r="O32" s="49">
        <f>VLOOKUP($F32,enemy_skill_triggers!$A:$J,10,FALSE)</f>
        <v>25</v>
      </c>
      <c r="P32" s="48" t="s">
        <v>78</v>
      </c>
      <c r="Q32" s="48"/>
      <c r="R32" s="48" t="s">
        <v>79</v>
      </c>
    </row>
    <row r="33" spans="1:18" ht="21" customHeight="1">
      <c r="A33" s="40" t="str">
        <f t="shared" ref="A33:A34" si="5">B33&amp;"_"&amp;C33</f>
        <v>40004010_40004026</v>
      </c>
      <c r="B33" s="61">
        <v>40004010</v>
      </c>
      <c r="C33" s="61">
        <v>40004026</v>
      </c>
      <c r="D33" s="47" t="str">
        <f>IFERROR(VLOOKUP(C33,enemy_skills!A:Y,4,FALSE),VLOOKUP(C33,[5]enemy_skills!$A:$E,4,FALSE))</f>
        <v>ja</v>
      </c>
      <c r="E33" s="47" t="str">
        <f>IFERROR(VLOOKUP(C33,enemy_skills!A:Y,5,FALSE),VLOOKUP(C33,[5]enemy_skills!$A:$E,5,FALSE))</f>
        <v>巌之身</v>
      </c>
      <c r="F33" s="61">
        <v>40004026</v>
      </c>
      <c r="G33" s="49">
        <f>VLOOKUP($F33,enemy_skill_triggers!$A:$J,2,FALSE)</f>
        <v>0</v>
      </c>
      <c r="H33" s="49" t="str">
        <f>VLOOKUP($F33,enemy_skill_triggers!$A:$J,3,FALSE)</f>
        <v>null</v>
      </c>
      <c r="I33" s="49">
        <f>VLOOKUP($F33,enemy_skill_triggers!$A:$J,4,FALSE)</f>
        <v>100</v>
      </c>
      <c r="J33" s="49">
        <f>VLOOKUP($F33,enemy_skill_triggers!$A:$J,5,FALSE)</f>
        <v>25</v>
      </c>
      <c r="K33" s="49" t="str">
        <f>VLOOKUP($F33,enemy_skill_triggers!$A:$J,6,FALSE)</f>
        <v>null</v>
      </c>
      <c r="L33" s="49">
        <f>VLOOKUP($F33,enemy_skill_triggers!$A:$J,7,FALSE)</f>
        <v>1</v>
      </c>
      <c r="M33" s="49" t="str">
        <f>VLOOKUP($F33,enemy_skill_triggers!$A:$J,8,FALSE)</f>
        <v>null</v>
      </c>
      <c r="N33" s="49" t="str">
        <f>VLOOKUP($F33,enemy_skill_triggers!$A:$J,9,FALSE)</f>
        <v>null</v>
      </c>
      <c r="O33" s="49">
        <f>VLOOKUP($F33,enemy_skill_triggers!$A:$J,10,FALSE)</f>
        <v>100</v>
      </c>
      <c r="P33" s="48" t="s">
        <v>78</v>
      </c>
      <c r="Q33" s="48"/>
      <c r="R33" s="48" t="s">
        <v>79</v>
      </c>
    </row>
    <row r="34" spans="1:18" ht="21" customHeight="1">
      <c r="A34" s="40" t="str">
        <f t="shared" si="5"/>
        <v>40004010_40004018</v>
      </c>
      <c r="B34" s="61">
        <v>40004010</v>
      </c>
      <c r="C34" s="61">
        <v>40004018</v>
      </c>
      <c r="D34" s="47" t="str">
        <f>IFERROR(VLOOKUP(C34,enemy_skills!A:Y,4,FALSE),VLOOKUP(C34,[5]enemy_skills!$A:$E,4,FALSE))</f>
        <v>ja</v>
      </c>
      <c r="E34" s="47" t="str">
        <f>IFERROR(VLOOKUP(C34,enemy_skills!A:Y,5,FALSE),VLOOKUP(C34,[5]enemy_skills!$A:$E,5,FALSE))</f>
        <v>紅葉重ね</v>
      </c>
      <c r="F34" s="61">
        <v>40004018</v>
      </c>
      <c r="G34" s="49">
        <f>VLOOKUP($F34,enemy_skill_triggers!$A:$J,2,FALSE)</f>
        <v>0</v>
      </c>
      <c r="H34" s="49" t="str">
        <f>VLOOKUP($F34,enemy_skill_triggers!$A:$J,3,FALSE)</f>
        <v>null</v>
      </c>
      <c r="I34" s="49">
        <f>VLOOKUP($F34,enemy_skill_triggers!$A:$J,4,FALSE)</f>
        <v>30</v>
      </c>
      <c r="J34" s="49" t="str">
        <f>VLOOKUP($F34,enemy_skill_triggers!$A:$J,5,FALSE)</f>
        <v>null</v>
      </c>
      <c r="K34" s="49" t="str">
        <f>VLOOKUP($F34,enemy_skill_triggers!$A:$J,6,FALSE)</f>
        <v>null</v>
      </c>
      <c r="L34" s="49" t="str">
        <f>VLOOKUP($F34,enemy_skill_triggers!$A:$J,7,FALSE)</f>
        <v>null</v>
      </c>
      <c r="M34" s="49" t="str">
        <f>VLOOKUP($F34,enemy_skill_triggers!$A:$J,8,FALSE)</f>
        <v>null</v>
      </c>
      <c r="N34" s="49" t="str">
        <f>VLOOKUP($F34,enemy_skill_triggers!$A:$J,9,FALSE)</f>
        <v>null</v>
      </c>
      <c r="O34" s="49">
        <f>VLOOKUP($F34,enemy_skill_triggers!$A:$J,10,FALSE)</f>
        <v>30</v>
      </c>
      <c r="P34" s="48" t="s">
        <v>78</v>
      </c>
      <c r="Q34" s="48"/>
      <c r="R34" s="48" t="s">
        <v>79</v>
      </c>
    </row>
    <row r="35" spans="1:18" ht="21" customHeight="1">
      <c r="A35" s="40" t="str">
        <f t="shared" ref="A35" si="6">B35&amp;"_"&amp;C35</f>
        <v>40004010_40004028</v>
      </c>
      <c r="B35" s="61">
        <v>40004010</v>
      </c>
      <c r="C35" s="61">
        <v>40004028</v>
      </c>
      <c r="D35" s="47" t="str">
        <f>IFERROR(VLOOKUP(C35,enemy_skills!A:Y,4,FALSE),VLOOKUP(C35,[5]enemy_skills!$A:$E,4,FALSE))</f>
        <v>ja</v>
      </c>
      <c r="E35" s="47" t="str">
        <f>IFERROR(VLOOKUP(C35,enemy_skills!A:Y,5,FALSE),VLOOKUP(C35,[5]enemy_skills!$A:$E,5,FALSE))</f>
        <v>二刀八相</v>
      </c>
      <c r="F35" s="61">
        <v>40004029</v>
      </c>
      <c r="G35" s="49">
        <f>VLOOKUP($F35,enemy_skill_triggers!$A:$J,2,FALSE)</f>
        <v>0</v>
      </c>
      <c r="H35" s="49">
        <f>VLOOKUP($F35,enemy_skill_triggers!$A:$J,3,FALSE)</f>
        <v>20</v>
      </c>
      <c r="I35" s="49">
        <f>VLOOKUP($F35,enemy_skill_triggers!$A:$J,4,FALSE)</f>
        <v>25</v>
      </c>
      <c r="J35" s="49">
        <f>VLOOKUP($F35,enemy_skill_triggers!$A:$J,5,FALSE)</f>
        <v>25</v>
      </c>
      <c r="K35" s="49" t="str">
        <f>VLOOKUP($F35,enemy_skill_triggers!$A:$J,6,FALSE)</f>
        <v>null</v>
      </c>
      <c r="L35" s="49" t="str">
        <f>VLOOKUP($F35,enemy_skill_triggers!$A:$J,7,FALSE)</f>
        <v>null</v>
      </c>
      <c r="M35" s="49" t="str">
        <f>VLOOKUP($F35,enemy_skill_triggers!$A:$J,8,FALSE)</f>
        <v>null</v>
      </c>
      <c r="N35" s="49" t="str">
        <f>VLOOKUP($F35,enemy_skill_triggers!$A:$J,9,FALSE)</f>
        <v>null</v>
      </c>
      <c r="O35" s="49">
        <f>VLOOKUP($F35,enemy_skill_triggers!$A:$J,10,FALSE)</f>
        <v>25</v>
      </c>
      <c r="P35" s="48" t="s">
        <v>78</v>
      </c>
      <c r="Q35" s="48"/>
      <c r="R35" s="48" t="s">
        <v>79</v>
      </c>
    </row>
    <row r="36" spans="1:18" ht="21" customHeight="1">
      <c r="A36" s="40" t="str">
        <f t="shared" ref="A36" si="7">B36&amp;"_"&amp;C36</f>
        <v>40004010_40004022</v>
      </c>
      <c r="B36" s="61">
        <v>40004010</v>
      </c>
      <c r="C36" s="61">
        <v>40004022</v>
      </c>
      <c r="D36" s="47" t="str">
        <f>IFERROR(VLOOKUP(C36,enemy_skills!A:Y,4,FALSE),VLOOKUP(C36,[5]enemy_skills!$A:$E,4,FALSE))</f>
        <v>ja</v>
      </c>
      <c r="E36" s="47" t="str">
        <f>IFERROR(VLOOKUP(C36,enemy_skills!A:Y,5,FALSE),VLOOKUP(C36,[5]enemy_skills!$A:$E,5,FALSE))</f>
        <v>一寸の見切り</v>
      </c>
      <c r="F36" s="61">
        <v>40004030</v>
      </c>
      <c r="G36" s="49">
        <f>VLOOKUP($F36,enemy_skill_triggers!$A:$J,2,FALSE)</f>
        <v>0</v>
      </c>
      <c r="H36" s="49">
        <f>VLOOKUP($F36,enemy_skill_triggers!$A:$J,3,FALSE)</f>
        <v>25</v>
      </c>
      <c r="I36" s="49">
        <f>VLOOKUP($F36,enemy_skill_triggers!$A:$J,4,FALSE)</f>
        <v>100</v>
      </c>
      <c r="J36" s="49">
        <f>VLOOKUP($F36,enemy_skill_triggers!$A:$J,5,FALSE)</f>
        <v>50</v>
      </c>
      <c r="K36" s="49" t="str">
        <f>VLOOKUP($F36,enemy_skill_triggers!$A:$J,6,FALSE)</f>
        <v>null</v>
      </c>
      <c r="L36" s="49">
        <f>VLOOKUP($F36,enemy_skill_triggers!$A:$J,7,FALSE)</f>
        <v>1</v>
      </c>
      <c r="M36" s="49" t="str">
        <f>VLOOKUP($F36,enemy_skill_triggers!$A:$J,8,FALSE)</f>
        <v>null</v>
      </c>
      <c r="N36" s="49" t="str">
        <f>VLOOKUP($F36,enemy_skill_triggers!$A:$J,9,FALSE)</f>
        <v>null</v>
      </c>
      <c r="O36" s="49">
        <f>VLOOKUP($F36,enemy_skill_triggers!$A:$J,10,FALSE)</f>
        <v>100</v>
      </c>
      <c r="P36" s="48" t="s">
        <v>78</v>
      </c>
      <c r="Q36" s="48"/>
      <c r="R36" s="48" t="s">
        <v>79</v>
      </c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tabSelected="1" zoomScale="125" zoomScaleNormal="125" zoomScalePageLayoutView="125" workbookViewId="0">
      <pane ySplit="1" topLeftCell="A12" activePane="bottomLeft" state="frozenSplit"/>
      <selection activeCell="D17" sqref="D17"/>
      <selection pane="bottomLeft" activeCell="B17" sqref="B17"/>
    </sheetView>
  </sheetViews>
  <sheetFormatPr baseColWidth="12" defaultColWidth="12.83203125" defaultRowHeight="21" customHeight="1" outlineLevelCol="1" x14ac:dyDescent="0"/>
  <cols>
    <col min="1" max="1" width="12.83203125" style="50"/>
    <col min="2" max="2" width="67.1640625" style="50" customWidth="1"/>
    <col min="3" max="4" width="12.83203125" style="50" customWidth="1"/>
    <col min="5" max="5" width="23.6640625" style="50" customWidth="1"/>
    <col min="6" max="6" width="52" style="50" customWidth="1" outlineLevel="1"/>
    <col min="7" max="7" width="18.33203125" style="50" customWidth="1" outlineLevel="1"/>
    <col min="8" max="10" width="18.6640625" style="50" customWidth="1" outlineLevel="1"/>
    <col min="11" max="11" width="23.6640625" style="50" customWidth="1"/>
    <col min="12" max="17" width="23.6640625" style="50" customWidth="1" outlineLevel="1"/>
    <col min="18" max="18" width="23.6640625" style="50" customWidth="1"/>
    <col min="19" max="23" width="23.6640625" style="50" customWidth="1" outlineLevel="1"/>
    <col min="24" max="24" width="23.6640625" style="50" customWidth="1"/>
    <col min="25" max="25" width="44.1640625" style="50" bestFit="1" customWidth="1"/>
    <col min="26" max="27" width="12.83203125" style="50"/>
    <col min="28" max="28" width="44.5" style="50" customWidth="1"/>
    <col min="29" max="16384" width="12.83203125" style="50"/>
  </cols>
  <sheetData>
    <row r="1" spans="1:28" ht="21" customHeight="1">
      <c r="A1" s="41" t="s">
        <v>80</v>
      </c>
      <c r="B1" s="41" t="s">
        <v>81</v>
      </c>
      <c r="C1" s="41" t="s">
        <v>82</v>
      </c>
      <c r="D1" s="41" t="s">
        <v>128</v>
      </c>
      <c r="E1" s="41" t="s">
        <v>83</v>
      </c>
      <c r="F1" s="65" t="s">
        <v>209</v>
      </c>
      <c r="G1" s="65" t="s">
        <v>210</v>
      </c>
      <c r="H1" s="65" t="s">
        <v>211</v>
      </c>
      <c r="I1" s="65" t="s">
        <v>212</v>
      </c>
      <c r="J1" s="65" t="s">
        <v>213</v>
      </c>
      <c r="K1" s="65" t="s">
        <v>214</v>
      </c>
      <c r="L1" s="65" t="s">
        <v>215</v>
      </c>
      <c r="M1" s="65" t="s">
        <v>216</v>
      </c>
      <c r="N1" s="65" t="s">
        <v>217</v>
      </c>
      <c r="O1" s="65" t="s">
        <v>218</v>
      </c>
      <c r="P1" s="65" t="s">
        <v>219</v>
      </c>
      <c r="Q1" s="65" t="s">
        <v>220</v>
      </c>
      <c r="R1" s="65" t="s">
        <v>221</v>
      </c>
      <c r="S1" s="65" t="s">
        <v>222</v>
      </c>
      <c r="T1" s="65" t="s">
        <v>223</v>
      </c>
      <c r="U1" s="65" t="s">
        <v>224</v>
      </c>
      <c r="V1" s="65" t="s">
        <v>225</v>
      </c>
      <c r="W1" s="65" t="s">
        <v>226</v>
      </c>
      <c r="X1" s="65" t="s">
        <v>227</v>
      </c>
      <c r="Y1" s="41" t="s">
        <v>84</v>
      </c>
      <c r="Z1" s="42" t="s">
        <v>75</v>
      </c>
      <c r="AA1" s="42" t="s">
        <v>76</v>
      </c>
      <c r="AB1" s="42" t="s">
        <v>77</v>
      </c>
    </row>
    <row r="2" spans="1:28" ht="21" customHeight="1">
      <c r="A2" s="61">
        <v>40004001</v>
      </c>
      <c r="B2" s="48" t="s">
        <v>145</v>
      </c>
      <c r="C2" s="51">
        <v>3</v>
      </c>
      <c r="D2" s="51" t="s">
        <v>129</v>
      </c>
      <c r="E2" s="52" t="s">
        <v>184</v>
      </c>
      <c r="F2" s="52" t="str">
        <f>IFERROR(LEFT(B2,FIND("],",B2)),B2)</f>
        <v>[effect:enhance_enemy, target:enemy_all, turn:3, status:attack, val:1.25, animation:enemy_enhance_enemy]</v>
      </c>
      <c r="G2" s="52">
        <f>FIND("effect:",F2)+7</f>
        <v>9</v>
      </c>
      <c r="H2" s="52">
        <f>FIND(",",F2)</f>
        <v>22</v>
      </c>
      <c r="I2" s="52">
        <f>FIND("target:",F2)+7</f>
        <v>31</v>
      </c>
      <c r="J2" s="52">
        <f>FIND(",",F2,H2+1)</f>
        <v>40</v>
      </c>
      <c r="K2" s="52" t="str">
        <f>IFERROR(VLOOKUP(MID(F2,I2,J2-I2),[6]skilldef!$C:$D,2,FALSE),"-") &amp; " / " &amp; IFERROR(VLOOKUP(MID(F2,G2,H2-G2),[6]skilldef!$A:$B,2,FALSE),"-")</f>
        <v>敵全体に / ステータス強化</v>
      </c>
      <c r="L2" s="52" t="str">
        <f>IFERROR(RIGHT(B2,LEN(B2)-FIND("],",B2)-1),"none")</f>
        <v>none</v>
      </c>
      <c r="M2" s="48" t="str">
        <f>IFERROR(LEFT(L2,FIND("],",L2)+R16),L2)</f>
        <v>none</v>
      </c>
      <c r="N2" s="52" t="e">
        <f>FIND("effect:",M2)+7</f>
        <v>#VALUE!</v>
      </c>
      <c r="O2" s="52" t="e">
        <f>FIND(",",M2)</f>
        <v>#VALUE!</v>
      </c>
      <c r="P2" s="52" t="e">
        <f>FIND("target:",M2)+7</f>
        <v>#VALUE!</v>
      </c>
      <c r="Q2" s="52" t="e">
        <f>FIND(",",M2,O2+1)</f>
        <v>#VALUE!</v>
      </c>
      <c r="R2" s="52" t="str">
        <f>IFERROR(VLOOKUP(MID(M2,P2,Q2-P2),[6]skilldef!$C:$D,2,FALSE),"-") &amp; " / " &amp; IFERROR(VLOOKUP(MID(M2,N2,O2-N2),[6]skilldef!$A:$B,2,FALSE),"-")</f>
        <v>- / -</v>
      </c>
      <c r="S2" s="48" t="str">
        <f>IFERROR(RIGHT(L2,LEN(L2)-FIND("],",L2)-1),"none")</f>
        <v>none</v>
      </c>
      <c r="T2" s="52" t="e">
        <f>FIND("effect:",S2)+7</f>
        <v>#VALUE!</v>
      </c>
      <c r="U2" s="52" t="e">
        <f>FIND(",",S2)</f>
        <v>#VALUE!</v>
      </c>
      <c r="V2" s="52" t="e">
        <f>FIND("target:",S2)+7</f>
        <v>#VALUE!</v>
      </c>
      <c r="W2" s="52" t="e">
        <f>FIND(",",S2,U2+1)</f>
        <v>#VALUE!</v>
      </c>
      <c r="X2" s="52" t="str">
        <f>IFERROR(VLOOKUP(MID(S2,V2,W2-V2),[6]skilldef!$C:$D,2,FALSE),"-") &amp; " / " &amp; IFERROR(VLOOKUP(MID(S2,T2,U2-T2),[6]skilldef!$A:$B,2,FALSE),"-")</f>
        <v>- / -</v>
      </c>
      <c r="Y2" s="52" t="s">
        <v>185</v>
      </c>
      <c r="Z2" s="51" t="s">
        <v>133</v>
      </c>
      <c r="AA2" s="53">
        <v>42300</v>
      </c>
      <c r="AB2" s="51" t="s">
        <v>134</v>
      </c>
    </row>
    <row r="3" spans="1:28" ht="21" customHeight="1">
      <c r="A3" s="61">
        <v>40004002</v>
      </c>
      <c r="B3" s="48" t="s">
        <v>136</v>
      </c>
      <c r="C3" s="51">
        <v>3</v>
      </c>
      <c r="D3" s="51" t="s">
        <v>129</v>
      </c>
      <c r="E3" s="52" t="s">
        <v>135</v>
      </c>
      <c r="F3" s="52" t="str">
        <f t="shared" ref="F3:F6" si="0">IFERROR(LEFT(B3,FIND("],",B3)),B3)</f>
        <v>[effect:nothing]</v>
      </c>
      <c r="G3" s="52">
        <f t="shared" ref="G3:G29" si="1">FIND("effect:",F3)+7</f>
        <v>9</v>
      </c>
      <c r="H3" s="52">
        <f>IFERROR(FIND(",",F3),LEN(F3))</f>
        <v>16</v>
      </c>
      <c r="I3" s="52" t="e">
        <f t="shared" ref="I3:I6" si="2">FIND("target:",F3)+7</f>
        <v>#VALUE!</v>
      </c>
      <c r="J3" s="52" t="e">
        <f t="shared" ref="J3:J6" si="3">FIND(",",F3,H3+1)</f>
        <v>#VALUE!</v>
      </c>
      <c r="K3" s="52" t="str">
        <f>IFERROR(VLOOKUP(MID(F3,I3,J3-I3),[6]skilldef!$C:$D,2,FALSE),"-") &amp; " / " &amp; IFERROR(VLOOKUP(MID(F3,G3,H3-G3),[6]skilldef!$A:$B,2,FALSE),"-")</f>
        <v>- / 何もしない</v>
      </c>
      <c r="L3" s="52" t="str">
        <f t="shared" ref="L3:L6" si="4">IFERROR(RIGHT(B3,LEN(B3)-FIND("],",B3)-1),"none")</f>
        <v>none</v>
      </c>
      <c r="M3" s="48" t="str">
        <f>IFERROR(LEFT(L3,FIND("],",L3)+R17),L3)</f>
        <v>none</v>
      </c>
      <c r="N3" s="52" t="e">
        <f>FIND("effect:",M3)+7</f>
        <v>#VALUE!</v>
      </c>
      <c r="O3" s="52" t="e">
        <f>FIND(",",M3)</f>
        <v>#VALUE!</v>
      </c>
      <c r="P3" s="52" t="e">
        <f t="shared" ref="P3:P6" si="5">FIND("target:",M3)+7</f>
        <v>#VALUE!</v>
      </c>
      <c r="Q3" s="52" t="e">
        <f t="shared" ref="Q3:Q6" si="6">FIND(",",M3,O3+1)</f>
        <v>#VALUE!</v>
      </c>
      <c r="R3" s="52" t="str">
        <f>IFERROR(VLOOKUP(MID(M3,P3,Q3-P3),[6]skilldef!$C:$D,2,FALSE),"-") &amp; " / " &amp; IFERROR(VLOOKUP(MID(M3,N3,O3-N3),[6]skilldef!$A:$B,2,FALSE),"-")</f>
        <v>- / -</v>
      </c>
      <c r="S3" s="48" t="str">
        <f t="shared" ref="S3:S6" si="7">IFERROR(RIGHT(L3,LEN(L3)-FIND("],",L3)-1),"none")</f>
        <v>none</v>
      </c>
      <c r="T3" s="52" t="e">
        <f t="shared" ref="T3:T29" si="8">FIND("effect:",S3)+7</f>
        <v>#VALUE!</v>
      </c>
      <c r="U3" s="52" t="e">
        <f t="shared" ref="U3:U6" si="9">FIND(",",S3)</f>
        <v>#VALUE!</v>
      </c>
      <c r="V3" s="52" t="e">
        <f t="shared" ref="V3:V6" si="10">FIND("target:",S3)+7</f>
        <v>#VALUE!</v>
      </c>
      <c r="W3" s="52" t="e">
        <f t="shared" ref="W3:W6" si="11">FIND(",",S3,U3+1)</f>
        <v>#VALUE!</v>
      </c>
      <c r="X3" s="52" t="str">
        <f>IFERROR(VLOOKUP(MID(S3,V3,W3-V3),[6]skilldef!$C:$D,2,FALSE),"-") &amp; " / " &amp; IFERROR(VLOOKUP(MID(S3,T3,U3-T3),[6]skilldef!$A:$B,2,FALSE),"-")</f>
        <v>- / -</v>
      </c>
      <c r="Y3" s="52" t="s">
        <v>135</v>
      </c>
      <c r="Z3" s="51" t="s">
        <v>133</v>
      </c>
      <c r="AA3" s="53">
        <v>42300</v>
      </c>
      <c r="AB3" s="51" t="s">
        <v>134</v>
      </c>
    </row>
    <row r="4" spans="1:28" ht="21" customHeight="1">
      <c r="A4" s="61">
        <v>40004003</v>
      </c>
      <c r="B4" s="48" t="s">
        <v>140</v>
      </c>
      <c r="C4" s="51">
        <v>3</v>
      </c>
      <c r="D4" s="51" t="s">
        <v>129</v>
      </c>
      <c r="E4" s="52" t="s">
        <v>183</v>
      </c>
      <c r="F4" s="52" t="str">
        <f t="shared" si="0"/>
        <v>[effect:critical, val:1.1.5, animation:enemy_critical]</v>
      </c>
      <c r="G4" s="52">
        <f t="shared" si="1"/>
        <v>9</v>
      </c>
      <c r="H4" s="52">
        <f t="shared" ref="H4:H6" si="12">FIND(",",F4)</f>
        <v>17</v>
      </c>
      <c r="I4" s="52" t="e">
        <f t="shared" si="2"/>
        <v>#VALUE!</v>
      </c>
      <c r="J4" s="52">
        <f t="shared" si="3"/>
        <v>28</v>
      </c>
      <c r="K4" s="52" t="str">
        <f>IFERROR(VLOOKUP(MID(F4,I4,J4-I4),[6]skilldef!$C:$D,2,FALSE),"-") &amp; " / " &amp; IFERROR(VLOOKUP(MID(F4,G4,H4-G4),[6]skilldef!$A:$B,2,FALSE),"-")</f>
        <v>- / 大攻撃</v>
      </c>
      <c r="L4" s="52" t="str">
        <f t="shared" si="4"/>
        <v>none</v>
      </c>
      <c r="M4" s="48" t="str">
        <f t="shared" ref="M4:M29" si="13">IFERROR(LEFT(L4,FIND("],",L4)+R18),L4)</f>
        <v>none</v>
      </c>
      <c r="N4" s="52" t="e">
        <f t="shared" ref="N4:N29" si="14">FIND("effect:",M4)+7</f>
        <v>#VALUE!</v>
      </c>
      <c r="O4" s="52" t="e">
        <f t="shared" ref="O4:O6" si="15">FIND(",",M4)</f>
        <v>#VALUE!</v>
      </c>
      <c r="P4" s="52" t="e">
        <f t="shared" si="5"/>
        <v>#VALUE!</v>
      </c>
      <c r="Q4" s="52" t="e">
        <f t="shared" si="6"/>
        <v>#VALUE!</v>
      </c>
      <c r="R4" s="52" t="str">
        <f>IFERROR(VLOOKUP(MID(M4,P4,Q4-P4),[6]skilldef!$C:$D,2,FALSE),"-") &amp; " / " &amp; IFERROR(VLOOKUP(MID(M4,N4,O4-N4),[6]skilldef!$A:$B,2,FALSE),"-")</f>
        <v>- / -</v>
      </c>
      <c r="S4" s="48" t="str">
        <f t="shared" si="7"/>
        <v>none</v>
      </c>
      <c r="T4" s="52" t="e">
        <f t="shared" si="8"/>
        <v>#VALUE!</v>
      </c>
      <c r="U4" s="52" t="e">
        <f t="shared" si="9"/>
        <v>#VALUE!</v>
      </c>
      <c r="V4" s="52" t="e">
        <f t="shared" si="10"/>
        <v>#VALUE!</v>
      </c>
      <c r="W4" s="52" t="e">
        <f t="shared" si="11"/>
        <v>#VALUE!</v>
      </c>
      <c r="X4" s="52" t="str">
        <f>IFERROR(VLOOKUP(MID(S4,V4,W4-V4),[6]skilldef!$C:$D,2,FALSE),"-") &amp; " / " &amp; IFERROR(VLOOKUP(MID(S4,T4,U4-T4),[6]skilldef!$A:$B,2,FALSE),"-")</f>
        <v>- / -</v>
      </c>
      <c r="Y4" s="52" t="s">
        <v>194</v>
      </c>
      <c r="Z4" s="51" t="s">
        <v>133</v>
      </c>
      <c r="AA4" s="53">
        <v>42300</v>
      </c>
      <c r="AB4" s="51" t="s">
        <v>134</v>
      </c>
    </row>
    <row r="5" spans="1:28" ht="21" customHeight="1">
      <c r="A5" s="61">
        <v>40004004</v>
      </c>
      <c r="B5" s="48" t="s">
        <v>141</v>
      </c>
      <c r="C5" s="51">
        <v>3</v>
      </c>
      <c r="D5" s="51" t="s">
        <v>129</v>
      </c>
      <c r="E5" s="52" t="s">
        <v>178</v>
      </c>
      <c r="F5" s="52" t="str">
        <f t="shared" si="0"/>
        <v>[effect:change_block, new_block:jammer, target:block_all, count:5, val:0.1, animation:change_block]</v>
      </c>
      <c r="G5" s="52">
        <f t="shared" si="1"/>
        <v>9</v>
      </c>
      <c r="H5" s="52">
        <f t="shared" si="12"/>
        <v>21</v>
      </c>
      <c r="I5" s="52">
        <f t="shared" si="2"/>
        <v>48</v>
      </c>
      <c r="J5" s="52">
        <f t="shared" si="3"/>
        <v>39</v>
      </c>
      <c r="K5" s="52" t="str">
        <f>IFERROR(VLOOKUP(MID(F5,I5,J5-I5),[6]skilldef!$C:$D,2,FALSE),"-") &amp; " / " &amp; IFERROR(VLOOKUP(MID(F5,G5,H5-G5),[6]skilldef!$A:$B,2,FALSE),"-")</f>
        <v>- / ブロック変換</v>
      </c>
      <c r="L5" s="52" t="str">
        <f t="shared" si="4"/>
        <v>none</v>
      </c>
      <c r="M5" s="48" t="str">
        <f t="shared" si="13"/>
        <v>none</v>
      </c>
      <c r="N5" s="52" t="e">
        <f t="shared" si="14"/>
        <v>#VALUE!</v>
      </c>
      <c r="O5" s="52" t="e">
        <f t="shared" si="15"/>
        <v>#VALUE!</v>
      </c>
      <c r="P5" s="52" t="e">
        <f t="shared" si="5"/>
        <v>#VALUE!</v>
      </c>
      <c r="Q5" s="52" t="e">
        <f t="shared" si="6"/>
        <v>#VALUE!</v>
      </c>
      <c r="R5" s="52" t="str">
        <f>IFERROR(VLOOKUP(MID(M5,P5,Q5-P5),[6]skilldef!$C:$D,2,FALSE),"-") &amp; " / " &amp; IFERROR(VLOOKUP(MID(M5,N5,O5-N5),[6]skilldef!$A:$B,2,FALSE),"-")</f>
        <v>- / -</v>
      </c>
      <c r="S5" s="48" t="str">
        <f t="shared" si="7"/>
        <v>none</v>
      </c>
      <c r="T5" s="52" t="e">
        <f t="shared" si="8"/>
        <v>#VALUE!</v>
      </c>
      <c r="U5" s="52" t="e">
        <f t="shared" si="9"/>
        <v>#VALUE!</v>
      </c>
      <c r="V5" s="52" t="e">
        <f t="shared" si="10"/>
        <v>#VALUE!</v>
      </c>
      <c r="W5" s="52" t="e">
        <f t="shared" si="11"/>
        <v>#VALUE!</v>
      </c>
      <c r="X5" s="52" t="str">
        <f>IFERROR(VLOOKUP(MID(S5,V5,W5-V5),[6]skilldef!$C:$D,2,FALSE),"-") &amp; " / " &amp; IFERROR(VLOOKUP(MID(S5,T5,U5-T5),[6]skilldef!$A:$B,2,FALSE),"-")</f>
        <v>- / -</v>
      </c>
      <c r="Y5" s="52" t="s">
        <v>179</v>
      </c>
      <c r="Z5" s="51" t="s">
        <v>133</v>
      </c>
      <c r="AA5" s="53">
        <v>42300</v>
      </c>
      <c r="AB5" s="51" t="s">
        <v>134</v>
      </c>
    </row>
    <row r="6" spans="1:28" ht="21" customHeight="1">
      <c r="A6" s="61">
        <v>40004005</v>
      </c>
      <c r="B6" s="48" t="s">
        <v>191</v>
      </c>
      <c r="C6" s="51">
        <v>3</v>
      </c>
      <c r="D6" s="51" t="s">
        <v>129</v>
      </c>
      <c r="E6" s="52" t="s">
        <v>180</v>
      </c>
      <c r="F6" s="52" t="str">
        <f t="shared" si="0"/>
        <v>[effect:dis_panel, target:block_green, turn:3, animation:enemy_dis_green]</v>
      </c>
      <c r="G6" s="52">
        <f t="shared" si="1"/>
        <v>9</v>
      </c>
      <c r="H6" s="52">
        <f t="shared" si="12"/>
        <v>18</v>
      </c>
      <c r="I6" s="52">
        <f t="shared" si="2"/>
        <v>27</v>
      </c>
      <c r="J6" s="52">
        <f t="shared" si="3"/>
        <v>38</v>
      </c>
      <c r="K6" s="52" t="str">
        <f>IFERROR(VLOOKUP(MID(F6,I6,J6-I6),[6]skilldef!$C:$D,2,FALSE),"-") &amp; " / " &amp; IFERROR(VLOOKUP(MID(F6,G6,H6-G6),[6]skilldef!$A:$B,2,FALSE),"-")</f>
        <v>緑パネルを / ディスパネル</v>
      </c>
      <c r="L6" s="52" t="str">
        <f t="shared" si="4"/>
        <v>[effect:rush, count:1, val:0.5]</v>
      </c>
      <c r="M6" s="48" t="str">
        <f t="shared" si="13"/>
        <v>[effect:rush, count:1, val:0.5]</v>
      </c>
      <c r="N6" s="52">
        <f t="shared" si="14"/>
        <v>9</v>
      </c>
      <c r="O6" s="52">
        <f t="shared" si="15"/>
        <v>13</v>
      </c>
      <c r="P6" s="52" t="e">
        <f t="shared" si="5"/>
        <v>#VALUE!</v>
      </c>
      <c r="Q6" s="52">
        <f t="shared" si="6"/>
        <v>22</v>
      </c>
      <c r="R6" s="52" t="str">
        <f>IFERROR(VLOOKUP(MID(M6,P6,Q6-P6),[6]skilldef!$C:$D,2,FALSE),"-") &amp; " / " &amp; IFERROR(VLOOKUP(MID(M6,N6,O6-N6),[6]skilldef!$A:$B,2,FALSE),"-")</f>
        <v>- / 連続攻撃</v>
      </c>
      <c r="S6" s="48" t="str">
        <f t="shared" si="7"/>
        <v>none</v>
      </c>
      <c r="T6" s="52" t="e">
        <f t="shared" si="8"/>
        <v>#VALUE!</v>
      </c>
      <c r="U6" s="52" t="e">
        <f t="shared" si="9"/>
        <v>#VALUE!</v>
      </c>
      <c r="V6" s="52" t="e">
        <f t="shared" si="10"/>
        <v>#VALUE!</v>
      </c>
      <c r="W6" s="52" t="e">
        <f t="shared" si="11"/>
        <v>#VALUE!</v>
      </c>
      <c r="X6" s="52" t="str">
        <f>IFERROR(VLOOKUP(MID(S6,V6,W6-V6),[6]skilldef!$C:$D,2,FALSE),"-") &amp; " / " &amp; IFERROR(VLOOKUP(MID(S6,T6,U6-T6),[6]skilldef!$A:$B,2,FALSE),"-")</f>
        <v>- / -</v>
      </c>
      <c r="Y6" s="52" t="s">
        <v>181</v>
      </c>
      <c r="Z6" s="51" t="s">
        <v>133</v>
      </c>
      <c r="AA6" s="53">
        <v>42300</v>
      </c>
      <c r="AB6" s="51" t="s">
        <v>134</v>
      </c>
    </row>
    <row r="7" spans="1:28" ht="21" customHeight="1">
      <c r="A7" s="61">
        <v>40004006</v>
      </c>
      <c r="B7" s="48" t="s">
        <v>142</v>
      </c>
      <c r="C7" s="51">
        <v>3</v>
      </c>
      <c r="D7" s="51" t="s">
        <v>129</v>
      </c>
      <c r="E7" s="52" t="s">
        <v>182</v>
      </c>
      <c r="F7" s="52" t="str">
        <f t="shared" ref="F7:F29" si="16">IFERROR(LEFT(B7,FIND("],",B7)),B7)</f>
        <v>[effect:critical, val:1.1.5, animation:enemy_critical]</v>
      </c>
      <c r="G7" s="52">
        <f t="shared" si="1"/>
        <v>9</v>
      </c>
      <c r="H7" s="52">
        <f t="shared" ref="H7:H29" si="17">FIND(",",F7)</f>
        <v>17</v>
      </c>
      <c r="I7" s="52" t="e">
        <f t="shared" ref="I7:I29" si="18">FIND("target:",F7)+7</f>
        <v>#VALUE!</v>
      </c>
      <c r="J7" s="52">
        <f t="shared" ref="J7:J29" si="19">FIND(",",F7,H7+1)</f>
        <v>28</v>
      </c>
      <c r="K7" s="52" t="str">
        <f>IFERROR(VLOOKUP(MID(F7,I7,J7-I7),[6]skilldef!$C:$D,2,FALSE),"-") &amp; " / " &amp; IFERROR(VLOOKUP(MID(F7,G7,H7-G7),[6]skilldef!$A:$B,2,FALSE),"-")</f>
        <v>- / 大攻撃</v>
      </c>
      <c r="L7" s="52" t="str">
        <f t="shared" ref="L7:L29" si="20">IFERROR(RIGHT(B7,LEN(B7)-FIND("],",B7)-1),"none")</f>
        <v>none</v>
      </c>
      <c r="M7" s="48" t="str">
        <f t="shared" si="13"/>
        <v>none</v>
      </c>
      <c r="N7" s="52" t="e">
        <f t="shared" si="14"/>
        <v>#VALUE!</v>
      </c>
      <c r="O7" s="52" t="e">
        <f t="shared" ref="O7:O29" si="21">FIND(",",M7)</f>
        <v>#VALUE!</v>
      </c>
      <c r="P7" s="52" t="e">
        <f t="shared" ref="P7:P29" si="22">FIND("target:",M7)+7</f>
        <v>#VALUE!</v>
      </c>
      <c r="Q7" s="52" t="e">
        <f t="shared" ref="Q7:Q29" si="23">FIND(",",M7,O7+1)</f>
        <v>#VALUE!</v>
      </c>
      <c r="R7" s="52" t="str">
        <f>IFERROR(VLOOKUP(MID(M7,P7,Q7-P7),[6]skilldef!$C:$D,2,FALSE),"-") &amp; " / " &amp; IFERROR(VLOOKUP(MID(M7,N7,O7-N7),[6]skilldef!$A:$B,2,FALSE),"-")</f>
        <v>- / -</v>
      </c>
      <c r="S7" s="48" t="str">
        <f t="shared" ref="S7:S29" si="24">IFERROR(RIGHT(L7,LEN(L7)-FIND("],",L7)-1),"none")</f>
        <v>none</v>
      </c>
      <c r="T7" s="52" t="e">
        <f t="shared" si="8"/>
        <v>#VALUE!</v>
      </c>
      <c r="U7" s="52" t="e">
        <f t="shared" ref="U7:U29" si="25">FIND(",",S7)</f>
        <v>#VALUE!</v>
      </c>
      <c r="V7" s="52" t="e">
        <f t="shared" ref="V7:V29" si="26">FIND("target:",S7)+7</f>
        <v>#VALUE!</v>
      </c>
      <c r="W7" s="52" t="e">
        <f t="shared" ref="W7:W29" si="27">FIND(",",S7,U7+1)</f>
        <v>#VALUE!</v>
      </c>
      <c r="X7" s="52" t="str">
        <f>IFERROR(VLOOKUP(MID(S7,V7,W7-V7),[6]skilldef!$C:$D,2,FALSE),"-") &amp; " / " &amp; IFERROR(VLOOKUP(MID(S7,T7,U7-T7),[6]skilldef!$A:$B,2,FALSE),"-")</f>
        <v>- / -</v>
      </c>
      <c r="Y7" s="52" t="s">
        <v>195</v>
      </c>
      <c r="Z7" s="51" t="s">
        <v>133</v>
      </c>
      <c r="AA7" s="53">
        <v>42300</v>
      </c>
      <c r="AB7" s="51" t="s">
        <v>134</v>
      </c>
    </row>
    <row r="8" spans="1:28" ht="21" customHeight="1">
      <c r="A8" s="61">
        <v>40004007</v>
      </c>
      <c r="B8" s="48" t="s">
        <v>186</v>
      </c>
      <c r="C8" s="51">
        <v>3</v>
      </c>
      <c r="D8" s="51" t="s">
        <v>129</v>
      </c>
      <c r="E8" s="52" t="s">
        <v>196</v>
      </c>
      <c r="F8" s="52" t="str">
        <f t="shared" si="16"/>
        <v>[effect:enhance_enemy, target:enemy_all, turn:-1, status:defense, val:5000, calc:add, animation:enemy_enhance_enemy]</v>
      </c>
      <c r="G8" s="52">
        <f t="shared" si="1"/>
        <v>9</v>
      </c>
      <c r="H8" s="52">
        <f t="shared" si="17"/>
        <v>22</v>
      </c>
      <c r="I8" s="52">
        <f t="shared" si="18"/>
        <v>31</v>
      </c>
      <c r="J8" s="52">
        <f t="shared" si="19"/>
        <v>40</v>
      </c>
      <c r="K8" s="52" t="str">
        <f>IFERROR(VLOOKUP(MID(F8,I8,J8-I8),[6]skilldef!$C:$D,2,FALSE),"-") &amp; " / " &amp; IFERROR(VLOOKUP(MID(F8,G8,H8-G8),[6]skilldef!$A:$B,2,FALSE),"-")</f>
        <v>敵全体に / ステータス強化</v>
      </c>
      <c r="L8" s="52" t="str">
        <f t="shared" si="20"/>
        <v>none</v>
      </c>
      <c r="M8" s="48" t="str">
        <f t="shared" si="13"/>
        <v>none</v>
      </c>
      <c r="N8" s="52" t="e">
        <f t="shared" si="14"/>
        <v>#VALUE!</v>
      </c>
      <c r="O8" s="52" t="e">
        <f t="shared" si="21"/>
        <v>#VALUE!</v>
      </c>
      <c r="P8" s="52" t="e">
        <f t="shared" si="22"/>
        <v>#VALUE!</v>
      </c>
      <c r="Q8" s="52" t="e">
        <f t="shared" si="23"/>
        <v>#VALUE!</v>
      </c>
      <c r="R8" s="52" t="str">
        <f>IFERROR(VLOOKUP(MID(M8,P8,Q8-P8),[6]skilldef!$C:$D,2,FALSE),"-") &amp; " / " &amp; IFERROR(VLOOKUP(MID(M8,N8,O8-N8),[6]skilldef!$A:$B,2,FALSE),"-")</f>
        <v>- / -</v>
      </c>
      <c r="S8" s="48" t="str">
        <f t="shared" si="24"/>
        <v>none</v>
      </c>
      <c r="T8" s="52" t="e">
        <f t="shared" si="8"/>
        <v>#VALUE!</v>
      </c>
      <c r="U8" s="52" t="e">
        <f t="shared" si="25"/>
        <v>#VALUE!</v>
      </c>
      <c r="V8" s="52" t="e">
        <f t="shared" si="26"/>
        <v>#VALUE!</v>
      </c>
      <c r="W8" s="52" t="e">
        <f t="shared" si="27"/>
        <v>#VALUE!</v>
      </c>
      <c r="X8" s="52" t="str">
        <f>IFERROR(VLOOKUP(MID(S8,V8,W8-V8),[6]skilldef!$C:$D,2,FALSE),"-") &amp; " / " &amp; IFERROR(VLOOKUP(MID(S8,T8,U8-T8),[6]skilldef!$A:$B,2,FALSE),"-")</f>
        <v>- / -</v>
      </c>
      <c r="Y8" s="52" t="s">
        <v>175</v>
      </c>
      <c r="Z8" s="51" t="s">
        <v>133</v>
      </c>
      <c r="AA8" s="53">
        <v>42300</v>
      </c>
      <c r="AB8" s="51" t="s">
        <v>134</v>
      </c>
    </row>
    <row r="9" spans="1:28" ht="21" customHeight="1">
      <c r="A9" s="61">
        <v>40004008</v>
      </c>
      <c r="B9" s="48" t="s">
        <v>150</v>
      </c>
      <c r="C9" s="51">
        <v>3</v>
      </c>
      <c r="D9" s="51" t="s">
        <v>129</v>
      </c>
      <c r="E9" s="52" t="s">
        <v>197</v>
      </c>
      <c r="F9" s="52" t="str">
        <f t="shared" si="16"/>
        <v>[effect:enemy_counter, target:myself,invoke_condition:unit_all,counter_target:attacker,turn:3,val:1.25,animation:enemy_counter]</v>
      </c>
      <c r="G9" s="52">
        <f t="shared" si="1"/>
        <v>9</v>
      </c>
      <c r="H9" s="52">
        <f t="shared" si="17"/>
        <v>22</v>
      </c>
      <c r="I9" s="52">
        <f t="shared" si="18"/>
        <v>31</v>
      </c>
      <c r="J9" s="52">
        <f t="shared" si="19"/>
        <v>37</v>
      </c>
      <c r="K9" s="52" t="str">
        <f>IFERROR(VLOOKUP(MID(F9,I9,J9-I9),[6]skilldef!$C:$D,2,FALSE),"-") &amp; " / " &amp; IFERROR(VLOOKUP(MID(F9,G9,H9-G9),[6]skilldef!$A:$B,2,FALSE),"-")</f>
        <v>自分自身に / カウンター</v>
      </c>
      <c r="L9" s="52" t="str">
        <f t="shared" si="20"/>
        <v>none</v>
      </c>
      <c r="M9" s="48" t="str">
        <f t="shared" si="13"/>
        <v>none</v>
      </c>
      <c r="N9" s="52" t="e">
        <f t="shared" si="14"/>
        <v>#VALUE!</v>
      </c>
      <c r="O9" s="52" t="e">
        <f t="shared" si="21"/>
        <v>#VALUE!</v>
      </c>
      <c r="P9" s="52" t="e">
        <f t="shared" si="22"/>
        <v>#VALUE!</v>
      </c>
      <c r="Q9" s="52" t="e">
        <f t="shared" si="23"/>
        <v>#VALUE!</v>
      </c>
      <c r="R9" s="52" t="str">
        <f>IFERROR(VLOOKUP(MID(M9,P9,Q9-P9),[6]skilldef!$C:$D,2,FALSE),"-") &amp; " / " &amp; IFERROR(VLOOKUP(MID(M9,N9,O9-N9),[6]skilldef!$A:$B,2,FALSE),"-")</f>
        <v>- / -</v>
      </c>
      <c r="S9" s="48" t="str">
        <f t="shared" si="24"/>
        <v>none</v>
      </c>
      <c r="T9" s="52" t="e">
        <f t="shared" si="8"/>
        <v>#VALUE!</v>
      </c>
      <c r="U9" s="52" t="e">
        <f t="shared" si="25"/>
        <v>#VALUE!</v>
      </c>
      <c r="V9" s="52" t="e">
        <f t="shared" si="26"/>
        <v>#VALUE!</v>
      </c>
      <c r="W9" s="52" t="e">
        <f t="shared" si="27"/>
        <v>#VALUE!</v>
      </c>
      <c r="X9" s="52" t="str">
        <f>IFERROR(VLOOKUP(MID(S9,V9,W9-V9),[6]skilldef!$C:$D,2,FALSE),"-") &amp; " / " &amp; IFERROR(VLOOKUP(MID(S9,T9,U9-T9),[6]skilldef!$A:$B,2,FALSE),"-")</f>
        <v>- / -</v>
      </c>
      <c r="Y9" s="52" t="s">
        <v>176</v>
      </c>
      <c r="Z9" s="51" t="s">
        <v>133</v>
      </c>
      <c r="AA9" s="53">
        <v>42300</v>
      </c>
      <c r="AB9" s="51" t="s">
        <v>134</v>
      </c>
    </row>
    <row r="10" spans="1:28" ht="21" customHeight="1">
      <c r="A10" s="61">
        <v>40004009</v>
      </c>
      <c r="B10" s="48" t="s">
        <v>235</v>
      </c>
      <c r="C10" s="51">
        <v>3</v>
      </c>
      <c r="D10" s="51" t="s">
        <v>129</v>
      </c>
      <c r="E10" s="52" t="s">
        <v>198</v>
      </c>
      <c r="F10" s="52" t="str">
        <f t="shared" si="16"/>
        <v>[effect:critical, val:1.2, animation:enemy_critical]</v>
      </c>
      <c r="G10" s="52">
        <f t="shared" si="1"/>
        <v>9</v>
      </c>
      <c r="H10" s="52">
        <f t="shared" si="17"/>
        <v>17</v>
      </c>
      <c r="I10" s="52" t="e">
        <f t="shared" si="18"/>
        <v>#VALUE!</v>
      </c>
      <c r="J10" s="52">
        <f t="shared" si="19"/>
        <v>26</v>
      </c>
      <c r="K10" s="52" t="str">
        <f>IFERROR(VLOOKUP(MID(F10,I10,J10-I10),[6]skilldef!$C:$D,2,FALSE),"-") &amp; " / " &amp; IFERROR(VLOOKUP(MID(F10,G10,H10-G10),[6]skilldef!$A:$B,2,FALSE),"-")</f>
        <v>- / 大攻撃</v>
      </c>
      <c r="L10" s="52" t="str">
        <f t="shared" si="20"/>
        <v>none</v>
      </c>
      <c r="M10" s="48" t="str">
        <f t="shared" si="13"/>
        <v>none</v>
      </c>
      <c r="N10" s="52" t="e">
        <f t="shared" si="14"/>
        <v>#VALUE!</v>
      </c>
      <c r="O10" s="52" t="e">
        <f t="shared" si="21"/>
        <v>#VALUE!</v>
      </c>
      <c r="P10" s="52" t="e">
        <f t="shared" si="22"/>
        <v>#VALUE!</v>
      </c>
      <c r="Q10" s="52" t="e">
        <f t="shared" si="23"/>
        <v>#VALUE!</v>
      </c>
      <c r="R10" s="52" t="str">
        <f>IFERROR(VLOOKUP(MID(M10,P10,Q10-P10),[6]skilldef!$C:$D,2,FALSE),"-") &amp; " / " &amp; IFERROR(VLOOKUP(MID(M10,N10,O10-N10),[6]skilldef!$A:$B,2,FALSE),"-")</f>
        <v>- / -</v>
      </c>
      <c r="S10" s="48" t="str">
        <f t="shared" si="24"/>
        <v>none</v>
      </c>
      <c r="T10" s="52" t="e">
        <f t="shared" si="8"/>
        <v>#VALUE!</v>
      </c>
      <c r="U10" s="52" t="e">
        <f t="shared" si="25"/>
        <v>#VALUE!</v>
      </c>
      <c r="V10" s="52" t="e">
        <f t="shared" si="26"/>
        <v>#VALUE!</v>
      </c>
      <c r="W10" s="52" t="e">
        <f t="shared" si="27"/>
        <v>#VALUE!</v>
      </c>
      <c r="X10" s="52" t="str">
        <f>IFERROR(VLOOKUP(MID(S10,V10,W10-V10),[6]skilldef!$C:$D,2,FALSE),"-") &amp; " / " &amp; IFERROR(VLOOKUP(MID(S10,T10,U10-T10),[6]skilldef!$A:$B,2,FALSE),"-")</f>
        <v>- / -</v>
      </c>
      <c r="Y10" s="52" t="s">
        <v>177</v>
      </c>
      <c r="Z10" s="51" t="s">
        <v>133</v>
      </c>
      <c r="AA10" s="53">
        <v>42300</v>
      </c>
      <c r="AB10" s="51" t="s">
        <v>134</v>
      </c>
    </row>
    <row r="11" spans="1:28" ht="21" customHeight="1">
      <c r="A11" s="61">
        <v>40004010</v>
      </c>
      <c r="B11" s="48" t="s">
        <v>236</v>
      </c>
      <c r="C11" s="51">
        <v>3</v>
      </c>
      <c r="D11" s="51" t="s">
        <v>129</v>
      </c>
      <c r="E11" s="52" t="s">
        <v>199</v>
      </c>
      <c r="F11" s="52" t="str">
        <f t="shared" si="16"/>
        <v>[effect:critical, val:1.8, animation:enemy_critical]</v>
      </c>
      <c r="G11" s="52">
        <f t="shared" si="1"/>
        <v>9</v>
      </c>
      <c r="H11" s="52">
        <f t="shared" si="17"/>
        <v>17</v>
      </c>
      <c r="I11" s="52" t="e">
        <f t="shared" si="18"/>
        <v>#VALUE!</v>
      </c>
      <c r="J11" s="52">
        <f t="shared" si="19"/>
        <v>26</v>
      </c>
      <c r="K11" s="52" t="str">
        <f>IFERROR(VLOOKUP(MID(F11,I11,J11-I11),[6]skilldef!$C:$D,2,FALSE),"-") &amp; " / " &amp; IFERROR(VLOOKUP(MID(F11,G11,H11-G11),[6]skilldef!$A:$B,2,FALSE),"-")</f>
        <v>- / 大攻撃</v>
      </c>
      <c r="L11" s="52" t="str">
        <f t="shared" si="20"/>
        <v>none</v>
      </c>
      <c r="M11" s="48" t="str">
        <f t="shared" si="13"/>
        <v>none</v>
      </c>
      <c r="N11" s="52" t="e">
        <f t="shared" si="14"/>
        <v>#VALUE!</v>
      </c>
      <c r="O11" s="52" t="e">
        <f t="shared" si="21"/>
        <v>#VALUE!</v>
      </c>
      <c r="P11" s="52" t="e">
        <f t="shared" si="22"/>
        <v>#VALUE!</v>
      </c>
      <c r="Q11" s="52" t="e">
        <f t="shared" si="23"/>
        <v>#VALUE!</v>
      </c>
      <c r="R11" s="52" t="str">
        <f>IFERROR(VLOOKUP(MID(M11,P11,Q11-P11),[6]skilldef!$C:$D,2,FALSE),"-") &amp; " / " &amp; IFERROR(VLOOKUP(MID(M11,N11,O11-N11),[6]skilldef!$A:$B,2,FALSE),"-")</f>
        <v>- / -</v>
      </c>
      <c r="S11" s="48" t="str">
        <f t="shared" si="24"/>
        <v>none</v>
      </c>
      <c r="T11" s="52" t="e">
        <f t="shared" si="8"/>
        <v>#VALUE!</v>
      </c>
      <c r="U11" s="52" t="e">
        <f t="shared" si="25"/>
        <v>#VALUE!</v>
      </c>
      <c r="V11" s="52" t="e">
        <f t="shared" si="26"/>
        <v>#VALUE!</v>
      </c>
      <c r="W11" s="52" t="e">
        <f t="shared" si="27"/>
        <v>#VALUE!</v>
      </c>
      <c r="X11" s="52" t="str">
        <f>IFERROR(VLOOKUP(MID(S11,V11,W11-V11),[6]skilldef!$C:$D,2,FALSE),"-") &amp; " / " &amp; IFERROR(VLOOKUP(MID(S11,T11,U11-T11),[6]skilldef!$A:$B,2,FALSE),"-")</f>
        <v>- / -</v>
      </c>
      <c r="Y11" s="52" t="s">
        <v>177</v>
      </c>
      <c r="Z11" s="51" t="s">
        <v>133</v>
      </c>
      <c r="AA11" s="53">
        <v>42300</v>
      </c>
      <c r="AB11" s="51" t="s">
        <v>134</v>
      </c>
    </row>
    <row r="12" spans="1:28" ht="21" customHeight="1">
      <c r="A12" s="61">
        <v>40004011</v>
      </c>
      <c r="B12" s="48" t="s">
        <v>237</v>
      </c>
      <c r="C12" s="51">
        <v>3</v>
      </c>
      <c r="D12" s="51" t="s">
        <v>129</v>
      </c>
      <c r="E12" s="52" t="s">
        <v>200</v>
      </c>
      <c r="F12" s="52" t="str">
        <f t="shared" si="16"/>
        <v>[effect:critical, val:2.4, animation:enemy_critical]</v>
      </c>
      <c r="G12" s="52">
        <f t="shared" si="1"/>
        <v>9</v>
      </c>
      <c r="H12" s="52">
        <f t="shared" si="17"/>
        <v>17</v>
      </c>
      <c r="I12" s="52" t="e">
        <f t="shared" si="18"/>
        <v>#VALUE!</v>
      </c>
      <c r="J12" s="52">
        <f t="shared" si="19"/>
        <v>26</v>
      </c>
      <c r="K12" s="52" t="str">
        <f>IFERROR(VLOOKUP(MID(F12,I12,J12-I12),[6]skilldef!$C:$D,2,FALSE),"-") &amp; " / " &amp; IFERROR(VLOOKUP(MID(F12,G12,H12-G12),[6]skilldef!$A:$B,2,FALSE),"-")</f>
        <v>- / 大攻撃</v>
      </c>
      <c r="L12" s="52" t="str">
        <f t="shared" si="20"/>
        <v>none</v>
      </c>
      <c r="M12" s="48" t="str">
        <f t="shared" si="13"/>
        <v>none</v>
      </c>
      <c r="N12" s="52" t="e">
        <f t="shared" si="14"/>
        <v>#VALUE!</v>
      </c>
      <c r="O12" s="52" t="e">
        <f t="shared" si="21"/>
        <v>#VALUE!</v>
      </c>
      <c r="P12" s="52" t="e">
        <f t="shared" si="22"/>
        <v>#VALUE!</v>
      </c>
      <c r="Q12" s="52" t="e">
        <f t="shared" si="23"/>
        <v>#VALUE!</v>
      </c>
      <c r="R12" s="52" t="str">
        <f>IFERROR(VLOOKUP(MID(M12,P12,Q12-P12),[6]skilldef!$C:$D,2,FALSE),"-") &amp; " / " &amp; IFERROR(VLOOKUP(MID(M12,N12,O12-N12),[6]skilldef!$A:$B,2,FALSE),"-")</f>
        <v>- / -</v>
      </c>
      <c r="S12" s="48" t="str">
        <f t="shared" si="24"/>
        <v>none</v>
      </c>
      <c r="T12" s="52" t="e">
        <f t="shared" si="8"/>
        <v>#VALUE!</v>
      </c>
      <c r="U12" s="52" t="e">
        <f t="shared" si="25"/>
        <v>#VALUE!</v>
      </c>
      <c r="V12" s="52" t="e">
        <f t="shared" si="26"/>
        <v>#VALUE!</v>
      </c>
      <c r="W12" s="52" t="e">
        <f t="shared" si="27"/>
        <v>#VALUE!</v>
      </c>
      <c r="X12" s="52" t="str">
        <f>IFERROR(VLOOKUP(MID(S12,V12,W12-V12),[6]skilldef!$C:$D,2,FALSE),"-") &amp; " / " &amp; IFERROR(VLOOKUP(MID(S12,T12,U12-T12),[6]skilldef!$A:$B,2,FALSE),"-")</f>
        <v>- / -</v>
      </c>
      <c r="Y12" s="52" t="s">
        <v>177</v>
      </c>
      <c r="Z12" s="51" t="s">
        <v>133</v>
      </c>
      <c r="AA12" s="53">
        <v>42300</v>
      </c>
      <c r="AB12" s="51" t="s">
        <v>134</v>
      </c>
    </row>
    <row r="13" spans="1:28" ht="21" customHeight="1">
      <c r="A13" s="61">
        <v>40004012</v>
      </c>
      <c r="B13" s="48" t="s">
        <v>238</v>
      </c>
      <c r="C13" s="51">
        <v>3</v>
      </c>
      <c r="D13" s="51" t="s">
        <v>129</v>
      </c>
      <c r="E13" s="52" t="s">
        <v>201</v>
      </c>
      <c r="F13" s="52" t="str">
        <f t="shared" si="16"/>
        <v>[effect:critical, val:3.25, animation:enemy_critical]</v>
      </c>
      <c r="G13" s="52">
        <f t="shared" si="1"/>
        <v>9</v>
      </c>
      <c r="H13" s="52">
        <f t="shared" si="17"/>
        <v>17</v>
      </c>
      <c r="I13" s="52" t="e">
        <f t="shared" si="18"/>
        <v>#VALUE!</v>
      </c>
      <c r="J13" s="52">
        <f t="shared" si="19"/>
        <v>27</v>
      </c>
      <c r="K13" s="52" t="str">
        <f>IFERROR(VLOOKUP(MID(F13,I13,J13-I13),[6]skilldef!$C:$D,2,FALSE),"-") &amp; " / " &amp; IFERROR(VLOOKUP(MID(F13,G13,H13-G13),[6]skilldef!$A:$B,2,FALSE),"-")</f>
        <v>- / 大攻撃</v>
      </c>
      <c r="L13" s="52" t="str">
        <f t="shared" si="20"/>
        <v>none</v>
      </c>
      <c r="M13" s="48" t="str">
        <f t="shared" si="13"/>
        <v>none</v>
      </c>
      <c r="N13" s="52" t="e">
        <f t="shared" si="14"/>
        <v>#VALUE!</v>
      </c>
      <c r="O13" s="52" t="e">
        <f t="shared" si="21"/>
        <v>#VALUE!</v>
      </c>
      <c r="P13" s="52" t="e">
        <f t="shared" si="22"/>
        <v>#VALUE!</v>
      </c>
      <c r="Q13" s="52" t="e">
        <f t="shared" si="23"/>
        <v>#VALUE!</v>
      </c>
      <c r="R13" s="52" t="str">
        <f>IFERROR(VLOOKUP(MID(M13,P13,Q13-P13),[6]skilldef!$C:$D,2,FALSE),"-") &amp; " / " &amp; IFERROR(VLOOKUP(MID(M13,N13,O13-N13),[6]skilldef!$A:$B,2,FALSE),"-")</f>
        <v>- / -</v>
      </c>
      <c r="S13" s="48" t="str">
        <f t="shared" si="24"/>
        <v>none</v>
      </c>
      <c r="T13" s="52" t="e">
        <f t="shared" si="8"/>
        <v>#VALUE!</v>
      </c>
      <c r="U13" s="52" t="e">
        <f t="shared" si="25"/>
        <v>#VALUE!</v>
      </c>
      <c r="V13" s="52" t="e">
        <f t="shared" si="26"/>
        <v>#VALUE!</v>
      </c>
      <c r="W13" s="52" t="e">
        <f t="shared" si="27"/>
        <v>#VALUE!</v>
      </c>
      <c r="X13" s="52" t="str">
        <f>IFERROR(VLOOKUP(MID(S13,V13,W13-V13),[6]skilldef!$C:$D,2,FALSE),"-") &amp; " / " &amp; IFERROR(VLOOKUP(MID(S13,T13,U13-T13),[6]skilldef!$A:$B,2,FALSE),"-")</f>
        <v>- / -</v>
      </c>
      <c r="Y13" s="52" t="s">
        <v>177</v>
      </c>
      <c r="Z13" s="51" t="s">
        <v>133</v>
      </c>
      <c r="AA13" s="53">
        <v>42300</v>
      </c>
      <c r="AB13" s="51" t="s">
        <v>134</v>
      </c>
    </row>
    <row r="14" spans="1:28" ht="21" customHeight="1">
      <c r="A14" s="61">
        <v>40004013</v>
      </c>
      <c r="B14" s="48" t="s">
        <v>139</v>
      </c>
      <c r="C14" s="51">
        <v>3</v>
      </c>
      <c r="D14" s="51" t="s">
        <v>129</v>
      </c>
      <c r="E14" s="52" t="s">
        <v>174</v>
      </c>
      <c r="F14" s="52" t="str">
        <f t="shared" si="16"/>
        <v>[effect:spread, val:0.3, animation:enemy_spread]</v>
      </c>
      <c r="G14" s="52">
        <f t="shared" si="1"/>
        <v>9</v>
      </c>
      <c r="H14" s="52">
        <f t="shared" si="17"/>
        <v>15</v>
      </c>
      <c r="I14" s="52" t="e">
        <f t="shared" si="18"/>
        <v>#VALUE!</v>
      </c>
      <c r="J14" s="52">
        <f t="shared" si="19"/>
        <v>24</v>
      </c>
      <c r="K14" s="52" t="str">
        <f>IFERROR(VLOOKUP(MID(F14,I14,J14-I14),[6]skilldef!$C:$D,2,FALSE),"-") &amp; " / " &amp; IFERROR(VLOOKUP(MID(F14,G14,H14-G14),[6]skilldef!$A:$B,2,FALSE),"-")</f>
        <v>- / 全体攻撃</v>
      </c>
      <c r="L14" s="52" t="str">
        <f t="shared" si="20"/>
        <v>none</v>
      </c>
      <c r="M14" s="48" t="str">
        <f t="shared" si="13"/>
        <v>none</v>
      </c>
      <c r="N14" s="52" t="e">
        <f t="shared" si="14"/>
        <v>#VALUE!</v>
      </c>
      <c r="O14" s="52" t="e">
        <f t="shared" si="21"/>
        <v>#VALUE!</v>
      </c>
      <c r="P14" s="52" t="e">
        <f t="shared" si="22"/>
        <v>#VALUE!</v>
      </c>
      <c r="Q14" s="52" t="e">
        <f t="shared" si="23"/>
        <v>#VALUE!</v>
      </c>
      <c r="R14" s="52" t="str">
        <f>IFERROR(VLOOKUP(MID(M14,P14,Q14-P14),[6]skilldef!$C:$D,2,FALSE),"-") &amp; " / " &amp; IFERROR(VLOOKUP(MID(M14,N14,O14-N14),[6]skilldef!$A:$B,2,FALSE),"-")</f>
        <v>- / -</v>
      </c>
      <c r="S14" s="48" t="str">
        <f t="shared" si="24"/>
        <v>none</v>
      </c>
      <c r="T14" s="52" t="e">
        <f t="shared" si="8"/>
        <v>#VALUE!</v>
      </c>
      <c r="U14" s="52" t="e">
        <f t="shared" si="25"/>
        <v>#VALUE!</v>
      </c>
      <c r="V14" s="52" t="e">
        <f t="shared" si="26"/>
        <v>#VALUE!</v>
      </c>
      <c r="W14" s="52" t="e">
        <f t="shared" si="27"/>
        <v>#VALUE!</v>
      </c>
      <c r="X14" s="52" t="str">
        <f>IFERROR(VLOOKUP(MID(S14,V14,W14-V14),[6]skilldef!$C:$D,2,FALSE),"-") &amp; " / " &amp; IFERROR(VLOOKUP(MID(S14,T14,U14-T14),[6]skilldef!$A:$B,2,FALSE),"-")</f>
        <v>- / -</v>
      </c>
      <c r="Y14" s="52" t="s">
        <v>137</v>
      </c>
      <c r="Z14" s="51" t="s">
        <v>133</v>
      </c>
      <c r="AA14" s="53">
        <v>42300</v>
      </c>
      <c r="AB14" s="51" t="s">
        <v>134</v>
      </c>
    </row>
    <row r="15" spans="1:28" ht="21" customHeight="1">
      <c r="A15" s="61">
        <v>40004014</v>
      </c>
      <c r="B15" s="48" t="s">
        <v>149</v>
      </c>
      <c r="C15" s="51">
        <v>3</v>
      </c>
      <c r="D15" s="51" t="s">
        <v>129</v>
      </c>
      <c r="E15" s="52" t="s">
        <v>171</v>
      </c>
      <c r="F15" s="52" t="str">
        <f t="shared" si="16"/>
        <v>[effect:change_block, new_block:block_blue, target:block_heart, count:10, val:0.1, animation:change_block]</v>
      </c>
      <c r="G15" s="52">
        <f t="shared" si="1"/>
        <v>9</v>
      </c>
      <c r="H15" s="52">
        <f t="shared" si="17"/>
        <v>21</v>
      </c>
      <c r="I15" s="52">
        <f t="shared" si="18"/>
        <v>52</v>
      </c>
      <c r="J15" s="52">
        <f t="shared" si="19"/>
        <v>43</v>
      </c>
      <c r="K15" s="52" t="str">
        <f>IFERROR(VLOOKUP(MID(F15,I15,J15-I15),[6]skilldef!$C:$D,2,FALSE),"-") &amp; " / " &amp; IFERROR(VLOOKUP(MID(F15,G15,H15-G15),[6]skilldef!$A:$B,2,FALSE),"-")</f>
        <v>- / ブロック変換</v>
      </c>
      <c r="L15" s="52" t="str">
        <f t="shared" si="20"/>
        <v>none</v>
      </c>
      <c r="M15" s="48" t="str">
        <f t="shared" si="13"/>
        <v>none</v>
      </c>
      <c r="N15" s="52" t="e">
        <f t="shared" si="14"/>
        <v>#VALUE!</v>
      </c>
      <c r="O15" s="52" t="e">
        <f t="shared" si="21"/>
        <v>#VALUE!</v>
      </c>
      <c r="P15" s="52" t="e">
        <f t="shared" si="22"/>
        <v>#VALUE!</v>
      </c>
      <c r="Q15" s="52" t="e">
        <f t="shared" si="23"/>
        <v>#VALUE!</v>
      </c>
      <c r="R15" s="52" t="str">
        <f>IFERROR(VLOOKUP(MID(M15,P15,Q15-P15),[6]skilldef!$C:$D,2,FALSE),"-") &amp; " / " &amp; IFERROR(VLOOKUP(MID(M15,N15,O15-N15),[6]skilldef!$A:$B,2,FALSE),"-")</f>
        <v>- / -</v>
      </c>
      <c r="S15" s="48" t="str">
        <f t="shared" si="24"/>
        <v>none</v>
      </c>
      <c r="T15" s="52" t="e">
        <f t="shared" si="8"/>
        <v>#VALUE!</v>
      </c>
      <c r="U15" s="52" t="e">
        <f t="shared" si="25"/>
        <v>#VALUE!</v>
      </c>
      <c r="V15" s="52" t="e">
        <f t="shared" si="26"/>
        <v>#VALUE!</v>
      </c>
      <c r="W15" s="52" t="e">
        <f t="shared" si="27"/>
        <v>#VALUE!</v>
      </c>
      <c r="X15" s="52" t="str">
        <f>IFERROR(VLOOKUP(MID(S15,V15,W15-V15),[6]skilldef!$C:$D,2,FALSE),"-") &amp; " / " &amp; IFERROR(VLOOKUP(MID(S15,T15,U15-T15),[6]skilldef!$A:$B,2,FALSE),"-")</f>
        <v>- / -</v>
      </c>
      <c r="Y15" s="52" t="s">
        <v>143</v>
      </c>
      <c r="Z15" s="51" t="s">
        <v>133</v>
      </c>
      <c r="AA15" s="53">
        <v>42300</v>
      </c>
      <c r="AB15" s="51" t="s">
        <v>134</v>
      </c>
    </row>
    <row r="16" spans="1:28" ht="21" customHeight="1">
      <c r="A16" s="61">
        <v>40004015</v>
      </c>
      <c r="B16" s="48" t="s">
        <v>242</v>
      </c>
      <c r="C16" s="51">
        <v>3</v>
      </c>
      <c r="D16" s="51" t="s">
        <v>129</v>
      </c>
      <c r="E16" s="52" t="s">
        <v>173</v>
      </c>
      <c r="F16" s="52" t="str">
        <f t="shared" si="16"/>
        <v>[effect:degrade_unit, target:unit_all, turn:5, status:heal, val:0.5, calc:mul, animation:degrade_unit_all_heal]</v>
      </c>
      <c r="G16" s="52">
        <f t="shared" si="1"/>
        <v>9</v>
      </c>
      <c r="H16" s="52">
        <f t="shared" si="17"/>
        <v>21</v>
      </c>
      <c r="I16" s="52">
        <f t="shared" si="18"/>
        <v>30</v>
      </c>
      <c r="J16" s="52">
        <f t="shared" si="19"/>
        <v>38</v>
      </c>
      <c r="K16" s="52" t="str">
        <f>IFERROR(VLOOKUP(MID(F16,I16,J16-I16),[6]skilldef!$C:$D,2,FALSE),"-") &amp; " / " &amp; IFERROR(VLOOKUP(MID(F16,G16,H16-G16),[6]skilldef!$A:$B,2,FALSE),"-")</f>
        <v>味方全体に / ステータスDOWN</v>
      </c>
      <c r="L16" s="52" t="str">
        <f t="shared" si="20"/>
        <v>none</v>
      </c>
      <c r="M16" s="48" t="str">
        <f t="shared" si="13"/>
        <v>none</v>
      </c>
      <c r="N16" s="52" t="e">
        <f t="shared" si="14"/>
        <v>#VALUE!</v>
      </c>
      <c r="O16" s="52" t="e">
        <f t="shared" si="21"/>
        <v>#VALUE!</v>
      </c>
      <c r="P16" s="52" t="e">
        <f t="shared" si="22"/>
        <v>#VALUE!</v>
      </c>
      <c r="Q16" s="52" t="e">
        <f t="shared" si="23"/>
        <v>#VALUE!</v>
      </c>
      <c r="R16" s="52" t="str">
        <f>IFERROR(VLOOKUP(MID(M16,P16,Q16-P16),[6]skilldef!$C:$D,2,FALSE),"-") &amp; " / " &amp; IFERROR(VLOOKUP(MID(M16,N16,O16-N16),[6]skilldef!$A:$B,2,FALSE),"-")</f>
        <v>- / -</v>
      </c>
      <c r="S16" s="48" t="str">
        <f t="shared" si="24"/>
        <v>none</v>
      </c>
      <c r="T16" s="52" t="e">
        <f t="shared" si="8"/>
        <v>#VALUE!</v>
      </c>
      <c r="U16" s="52" t="e">
        <f t="shared" si="25"/>
        <v>#VALUE!</v>
      </c>
      <c r="V16" s="52" t="e">
        <f t="shared" si="26"/>
        <v>#VALUE!</v>
      </c>
      <c r="W16" s="52" t="e">
        <f t="shared" si="27"/>
        <v>#VALUE!</v>
      </c>
      <c r="X16" s="52" t="str">
        <f>IFERROR(VLOOKUP(MID(S16,V16,W16-V16),[6]skilldef!$C:$D,2,FALSE),"-") &amp; " / " &amp; IFERROR(VLOOKUP(MID(S16,T16,U16-T16),[6]skilldef!$A:$B,2,FALSE),"-")</f>
        <v>- / -</v>
      </c>
      <c r="Y16" s="52" t="s">
        <v>193</v>
      </c>
      <c r="Z16" s="51" t="s">
        <v>133</v>
      </c>
      <c r="AA16" s="53">
        <v>42300</v>
      </c>
      <c r="AB16" s="51" t="s">
        <v>134</v>
      </c>
    </row>
    <row r="17" spans="1:28" ht="21" customHeight="1">
      <c r="A17" s="61">
        <v>40004016</v>
      </c>
      <c r="B17" s="48" t="s">
        <v>138</v>
      </c>
      <c r="C17" s="51">
        <v>3</v>
      </c>
      <c r="D17" s="51" t="s">
        <v>129</v>
      </c>
      <c r="E17" s="52" t="s">
        <v>164</v>
      </c>
      <c r="F17" s="52" t="str">
        <f t="shared" si="16"/>
        <v>[effect:freq_turn, target:myself, turn:3, val:1, animation:enemy_freq_turn]</v>
      </c>
      <c r="G17" s="52">
        <f t="shared" si="1"/>
        <v>9</v>
      </c>
      <c r="H17" s="52">
        <f t="shared" si="17"/>
        <v>18</v>
      </c>
      <c r="I17" s="52">
        <f t="shared" si="18"/>
        <v>27</v>
      </c>
      <c r="J17" s="52">
        <f t="shared" si="19"/>
        <v>33</v>
      </c>
      <c r="K17" s="52" t="str">
        <f>IFERROR(VLOOKUP(MID(F17,I17,J17-I17),[6]skilldef!$C:$D,2,FALSE),"-") &amp; " / " &amp; IFERROR(VLOOKUP(MID(F17,G17,H17-G17),[6]skilldef!$A:$B,2,FALSE),"-")</f>
        <v>自分自身に / 攻撃頻度がUP</v>
      </c>
      <c r="L17" s="52" t="str">
        <f t="shared" si="20"/>
        <v>none</v>
      </c>
      <c r="M17" s="48" t="str">
        <f t="shared" si="13"/>
        <v>none</v>
      </c>
      <c r="N17" s="52" t="e">
        <f t="shared" si="14"/>
        <v>#VALUE!</v>
      </c>
      <c r="O17" s="52" t="e">
        <f t="shared" si="21"/>
        <v>#VALUE!</v>
      </c>
      <c r="P17" s="52" t="e">
        <f t="shared" si="22"/>
        <v>#VALUE!</v>
      </c>
      <c r="Q17" s="52" t="e">
        <f t="shared" si="23"/>
        <v>#VALUE!</v>
      </c>
      <c r="R17" s="52" t="str">
        <f>IFERROR(VLOOKUP(MID(M17,P17,Q17-P17),[6]skilldef!$C:$D,2,FALSE),"-") &amp; " / " &amp; IFERROR(VLOOKUP(MID(M17,N17,O17-N17),[6]skilldef!$A:$B,2,FALSE),"-")</f>
        <v>- / -</v>
      </c>
      <c r="S17" s="48" t="str">
        <f t="shared" si="24"/>
        <v>none</v>
      </c>
      <c r="T17" s="52" t="e">
        <f t="shared" si="8"/>
        <v>#VALUE!</v>
      </c>
      <c r="U17" s="52" t="e">
        <f t="shared" si="25"/>
        <v>#VALUE!</v>
      </c>
      <c r="V17" s="52" t="e">
        <f t="shared" si="26"/>
        <v>#VALUE!</v>
      </c>
      <c r="W17" s="52" t="e">
        <f t="shared" si="27"/>
        <v>#VALUE!</v>
      </c>
      <c r="X17" s="52" t="str">
        <f>IFERROR(VLOOKUP(MID(S17,V17,W17-V17),[6]skilldef!$C:$D,2,FALSE),"-") &amp; " / " &amp; IFERROR(VLOOKUP(MID(S17,T17,U17-T17),[6]skilldef!$A:$B,2,FALSE),"-")</f>
        <v>- / -</v>
      </c>
      <c r="Y17" s="52" t="s">
        <v>154</v>
      </c>
      <c r="Z17" s="51" t="s">
        <v>133</v>
      </c>
      <c r="AA17" s="53">
        <v>42300</v>
      </c>
      <c r="AB17" s="51" t="s">
        <v>134</v>
      </c>
    </row>
    <row r="18" spans="1:28" ht="21" customHeight="1">
      <c r="A18" s="61">
        <v>40004017</v>
      </c>
      <c r="B18" s="48" t="s">
        <v>228</v>
      </c>
      <c r="C18" s="51">
        <v>3</v>
      </c>
      <c r="D18" s="51" t="s">
        <v>129</v>
      </c>
      <c r="E18" s="52" t="s">
        <v>168</v>
      </c>
      <c r="F18" s="52" t="str">
        <f t="shared" si="16"/>
        <v>[effect:tolerance,target:myself, turn:-1, tolerance_effect:all, count:-1]</v>
      </c>
      <c r="G18" s="52">
        <f t="shared" si="1"/>
        <v>9</v>
      </c>
      <c r="H18" s="52">
        <f t="shared" si="17"/>
        <v>18</v>
      </c>
      <c r="I18" s="52">
        <f t="shared" si="18"/>
        <v>26</v>
      </c>
      <c r="J18" s="52">
        <f t="shared" si="19"/>
        <v>32</v>
      </c>
      <c r="K18" s="52" t="str">
        <f>IFERROR(VLOOKUP(MID(F18,I18,J18-I18),[6]skilldef!$C:$D,2,FALSE),"-") &amp; " / " &amp; IFERROR(VLOOKUP(MID(F18,G18,H18-G18),[6]skilldef!$A:$B,2,FALSE),"-")</f>
        <v>自分自身に / 状態異常耐性</v>
      </c>
      <c r="L18" s="52" t="str">
        <f t="shared" si="20"/>
        <v>none</v>
      </c>
      <c r="M18" s="48" t="str">
        <f t="shared" si="13"/>
        <v>none</v>
      </c>
      <c r="N18" s="52" t="e">
        <f t="shared" si="14"/>
        <v>#VALUE!</v>
      </c>
      <c r="O18" s="52" t="e">
        <f t="shared" si="21"/>
        <v>#VALUE!</v>
      </c>
      <c r="P18" s="52" t="e">
        <f t="shared" si="22"/>
        <v>#VALUE!</v>
      </c>
      <c r="Q18" s="52" t="e">
        <f t="shared" si="23"/>
        <v>#VALUE!</v>
      </c>
      <c r="R18" s="52" t="str">
        <f>IFERROR(VLOOKUP(MID(M18,P18,Q18-P18),[6]skilldef!$C:$D,2,FALSE),"-") &amp; " / " &amp; IFERROR(VLOOKUP(MID(M18,N18,O18-N18),[6]skilldef!$A:$B,2,FALSE),"-")</f>
        <v>- / -</v>
      </c>
      <c r="S18" s="48" t="str">
        <f t="shared" si="24"/>
        <v>none</v>
      </c>
      <c r="T18" s="52" t="e">
        <f t="shared" si="8"/>
        <v>#VALUE!</v>
      </c>
      <c r="U18" s="52" t="e">
        <f t="shared" si="25"/>
        <v>#VALUE!</v>
      </c>
      <c r="V18" s="52" t="e">
        <f t="shared" si="26"/>
        <v>#VALUE!</v>
      </c>
      <c r="W18" s="52" t="e">
        <f t="shared" si="27"/>
        <v>#VALUE!</v>
      </c>
      <c r="X18" s="52" t="str">
        <f>IFERROR(VLOOKUP(MID(S18,V18,W18-V18),[6]skilldef!$C:$D,2,FALSE),"-") &amp; " / " &amp; IFERROR(VLOOKUP(MID(S18,T18,U18-T18),[6]skilldef!$A:$B,2,FALSE),"-")</f>
        <v>- / -</v>
      </c>
      <c r="Y18" s="52" t="s">
        <v>155</v>
      </c>
      <c r="Z18" s="51" t="s">
        <v>133</v>
      </c>
      <c r="AA18" s="53">
        <v>42300</v>
      </c>
      <c r="AB18" s="51" t="s">
        <v>134</v>
      </c>
    </row>
    <row r="19" spans="1:28" ht="21" customHeight="1">
      <c r="A19" s="61">
        <v>40004018</v>
      </c>
      <c r="B19" s="48" t="s">
        <v>239</v>
      </c>
      <c r="C19" s="51">
        <v>3</v>
      </c>
      <c r="D19" s="51" t="s">
        <v>129</v>
      </c>
      <c r="E19" s="52" t="s">
        <v>170</v>
      </c>
      <c r="F19" s="52" t="str">
        <f t="shared" si="16"/>
        <v>[effect:damage_anti_type, target:unit_one, type:attack, val1:1.5, val2:0.8]</v>
      </c>
      <c r="G19" s="52">
        <f t="shared" si="1"/>
        <v>9</v>
      </c>
      <c r="H19" s="52">
        <f t="shared" si="17"/>
        <v>25</v>
      </c>
      <c r="I19" s="52">
        <f t="shared" si="18"/>
        <v>34</v>
      </c>
      <c r="J19" s="52">
        <f t="shared" si="19"/>
        <v>42</v>
      </c>
      <c r="K19" s="52" t="str">
        <f>IFERROR(VLOOKUP(MID(F19,I19,J19-I19),[6]skilldef!$C:$D,2,FALSE),"-") &amp; " / " &amp; IFERROR(VLOOKUP(MID(F19,G19,H19-G19),[6]skilldef!$A:$B,2,FALSE),"-")</f>
        <v>味方単体に / タイプキラー</v>
      </c>
      <c r="L19" s="52" t="str">
        <f t="shared" si="20"/>
        <v>none</v>
      </c>
      <c r="M19" s="48" t="str">
        <f t="shared" si="13"/>
        <v>none</v>
      </c>
      <c r="N19" s="52" t="e">
        <f t="shared" si="14"/>
        <v>#VALUE!</v>
      </c>
      <c r="O19" s="52" t="e">
        <f t="shared" si="21"/>
        <v>#VALUE!</v>
      </c>
      <c r="P19" s="52" t="e">
        <f t="shared" si="22"/>
        <v>#VALUE!</v>
      </c>
      <c r="Q19" s="52" t="e">
        <f t="shared" si="23"/>
        <v>#VALUE!</v>
      </c>
      <c r="R19" s="52" t="str">
        <f>IFERROR(VLOOKUP(MID(M19,P19,Q19-P19),[6]skilldef!$C:$D,2,FALSE),"-") &amp; " / " &amp; IFERROR(VLOOKUP(MID(M19,N19,O19-N19),[6]skilldef!$A:$B,2,FALSE),"-")</f>
        <v>- / -</v>
      </c>
      <c r="S19" s="48" t="str">
        <f t="shared" si="24"/>
        <v>none</v>
      </c>
      <c r="T19" s="52" t="e">
        <f t="shared" si="8"/>
        <v>#VALUE!</v>
      </c>
      <c r="U19" s="52" t="e">
        <f t="shared" si="25"/>
        <v>#VALUE!</v>
      </c>
      <c r="V19" s="52" t="e">
        <f t="shared" si="26"/>
        <v>#VALUE!</v>
      </c>
      <c r="W19" s="52" t="e">
        <f t="shared" si="27"/>
        <v>#VALUE!</v>
      </c>
      <c r="X19" s="52" t="str">
        <f>IFERROR(VLOOKUP(MID(S19,V19,W19-V19),[6]skilldef!$C:$D,2,FALSE),"-") &amp; " / " &amp; IFERROR(VLOOKUP(MID(S19,T19,U19-T19),[6]skilldef!$A:$B,2,FALSE),"-")</f>
        <v>- / -</v>
      </c>
      <c r="Y19" s="52" t="s">
        <v>156</v>
      </c>
      <c r="Z19" s="51" t="s">
        <v>133</v>
      </c>
      <c r="AA19" s="53">
        <v>42300</v>
      </c>
      <c r="AB19" s="51" t="s">
        <v>134</v>
      </c>
    </row>
    <row r="20" spans="1:28" ht="21" customHeight="1">
      <c r="A20" s="61">
        <v>40004019</v>
      </c>
      <c r="B20" s="48" t="s">
        <v>157</v>
      </c>
      <c r="C20" s="51">
        <v>3</v>
      </c>
      <c r="D20" s="51" t="s">
        <v>129</v>
      </c>
      <c r="E20" s="52" t="s">
        <v>165</v>
      </c>
      <c r="F20" s="52" t="str">
        <f t="shared" si="16"/>
        <v>[effect:rush, count:2, val:0.6]</v>
      </c>
      <c r="G20" s="52">
        <f t="shared" si="1"/>
        <v>9</v>
      </c>
      <c r="H20" s="52">
        <f t="shared" si="17"/>
        <v>13</v>
      </c>
      <c r="I20" s="52" t="e">
        <f t="shared" si="18"/>
        <v>#VALUE!</v>
      </c>
      <c r="J20" s="52">
        <f t="shared" si="19"/>
        <v>22</v>
      </c>
      <c r="K20" s="52" t="str">
        <f>IFERROR(VLOOKUP(MID(F20,I20,J20-I20),[6]skilldef!$C:$D,2,FALSE),"-") &amp; " / " &amp; IFERROR(VLOOKUP(MID(F20,G20,H20-G20),[6]skilldef!$A:$B,2,FALSE),"-")</f>
        <v>- / 連続攻撃</v>
      </c>
      <c r="L20" s="52" t="str">
        <f t="shared" si="20"/>
        <v>none</v>
      </c>
      <c r="M20" s="48" t="str">
        <f t="shared" si="13"/>
        <v>none</v>
      </c>
      <c r="N20" s="52" t="e">
        <f t="shared" si="14"/>
        <v>#VALUE!</v>
      </c>
      <c r="O20" s="52" t="e">
        <f t="shared" si="21"/>
        <v>#VALUE!</v>
      </c>
      <c r="P20" s="52" t="e">
        <f t="shared" si="22"/>
        <v>#VALUE!</v>
      </c>
      <c r="Q20" s="52" t="e">
        <f t="shared" si="23"/>
        <v>#VALUE!</v>
      </c>
      <c r="R20" s="52" t="str">
        <f>IFERROR(VLOOKUP(MID(M20,P20,Q20-P20),[6]skilldef!$C:$D,2,FALSE),"-") &amp; " / " &amp; IFERROR(VLOOKUP(MID(M20,N20,O20-N20),[6]skilldef!$A:$B,2,FALSE),"-")</f>
        <v>- / -</v>
      </c>
      <c r="S20" s="48" t="str">
        <f t="shared" si="24"/>
        <v>none</v>
      </c>
      <c r="T20" s="52" t="e">
        <f t="shared" si="8"/>
        <v>#VALUE!</v>
      </c>
      <c r="U20" s="52" t="e">
        <f t="shared" si="25"/>
        <v>#VALUE!</v>
      </c>
      <c r="V20" s="52" t="e">
        <f t="shared" si="26"/>
        <v>#VALUE!</v>
      </c>
      <c r="W20" s="52" t="e">
        <f t="shared" si="27"/>
        <v>#VALUE!</v>
      </c>
      <c r="X20" s="52" t="str">
        <f>IFERROR(VLOOKUP(MID(S20,V20,W20-V20),[6]skilldef!$C:$D,2,FALSE),"-") &amp; " / " &amp; IFERROR(VLOOKUP(MID(S20,T20,U20-T20),[6]skilldef!$A:$B,2,FALSE),"-")</f>
        <v>- / -</v>
      </c>
      <c r="Y20" s="52" t="s">
        <v>169</v>
      </c>
      <c r="Z20" s="51" t="s">
        <v>133</v>
      </c>
      <c r="AA20" s="53">
        <v>42300</v>
      </c>
      <c r="AB20" s="51" t="s">
        <v>134</v>
      </c>
    </row>
    <row r="21" spans="1:28" ht="21" customHeight="1">
      <c r="A21" s="61">
        <v>40004020</v>
      </c>
      <c r="B21" s="48" t="s">
        <v>139</v>
      </c>
      <c r="C21" s="51">
        <v>3</v>
      </c>
      <c r="D21" s="51" t="s">
        <v>129</v>
      </c>
      <c r="E21" s="52" t="s">
        <v>166</v>
      </c>
      <c r="F21" s="52" t="str">
        <f t="shared" si="16"/>
        <v>[effect:spread, val:0.3, animation:enemy_spread]</v>
      </c>
      <c r="G21" s="52">
        <f t="shared" si="1"/>
        <v>9</v>
      </c>
      <c r="H21" s="52">
        <f t="shared" si="17"/>
        <v>15</v>
      </c>
      <c r="I21" s="52" t="e">
        <f t="shared" si="18"/>
        <v>#VALUE!</v>
      </c>
      <c r="J21" s="52">
        <f t="shared" si="19"/>
        <v>24</v>
      </c>
      <c r="K21" s="52" t="str">
        <f>IFERROR(VLOOKUP(MID(F21,I21,J21-I21),[6]skilldef!$C:$D,2,FALSE),"-") &amp; " / " &amp; IFERROR(VLOOKUP(MID(F21,G21,H21-G21),[6]skilldef!$A:$B,2,FALSE),"-")</f>
        <v>- / 全体攻撃</v>
      </c>
      <c r="L21" s="52" t="str">
        <f t="shared" si="20"/>
        <v>none</v>
      </c>
      <c r="M21" s="48" t="str">
        <f t="shared" si="13"/>
        <v>none</v>
      </c>
      <c r="N21" s="52" t="e">
        <f t="shared" si="14"/>
        <v>#VALUE!</v>
      </c>
      <c r="O21" s="52" t="e">
        <f t="shared" si="21"/>
        <v>#VALUE!</v>
      </c>
      <c r="P21" s="52" t="e">
        <f t="shared" si="22"/>
        <v>#VALUE!</v>
      </c>
      <c r="Q21" s="52" t="e">
        <f t="shared" si="23"/>
        <v>#VALUE!</v>
      </c>
      <c r="R21" s="52" t="str">
        <f>IFERROR(VLOOKUP(MID(M21,P21,Q21-P21),[6]skilldef!$C:$D,2,FALSE),"-") &amp; " / " &amp; IFERROR(VLOOKUP(MID(M21,N21,O21-N21),[6]skilldef!$A:$B,2,FALSE),"-")</f>
        <v>- / -</v>
      </c>
      <c r="S21" s="48" t="str">
        <f t="shared" si="24"/>
        <v>none</v>
      </c>
      <c r="T21" s="52" t="e">
        <f t="shared" si="8"/>
        <v>#VALUE!</v>
      </c>
      <c r="U21" s="52" t="e">
        <f t="shared" si="25"/>
        <v>#VALUE!</v>
      </c>
      <c r="V21" s="52" t="e">
        <f t="shared" si="26"/>
        <v>#VALUE!</v>
      </c>
      <c r="W21" s="52" t="e">
        <f t="shared" si="27"/>
        <v>#VALUE!</v>
      </c>
      <c r="X21" s="52" t="str">
        <f>IFERROR(VLOOKUP(MID(S21,V21,W21-V21),[6]skilldef!$C:$D,2,FALSE),"-") &amp; " / " &amp; IFERROR(VLOOKUP(MID(S21,T21,U21-T21),[6]skilldef!$A:$B,2,FALSE),"-")</f>
        <v>- / -</v>
      </c>
      <c r="Y21" s="52" t="s">
        <v>137</v>
      </c>
      <c r="Z21" s="51" t="s">
        <v>133</v>
      </c>
      <c r="AA21" s="53">
        <v>42300</v>
      </c>
      <c r="AB21" s="51" t="s">
        <v>134</v>
      </c>
    </row>
    <row r="22" spans="1:28" ht="21" customHeight="1">
      <c r="A22" s="61">
        <v>40004021</v>
      </c>
      <c r="B22" s="48" t="s">
        <v>144</v>
      </c>
      <c r="C22" s="51">
        <v>3</v>
      </c>
      <c r="D22" s="51" t="s">
        <v>129</v>
      </c>
      <c r="E22" s="52" t="s">
        <v>167</v>
      </c>
      <c r="F22" s="52" t="str">
        <f t="shared" si="16"/>
        <v>[effect:enhance_enemy, target:enemy_all, turn:5, status:attack, val:1.1, animation:enemy_enhance_enemy]</v>
      </c>
      <c r="G22" s="52">
        <f t="shared" si="1"/>
        <v>9</v>
      </c>
      <c r="H22" s="52">
        <f t="shared" si="17"/>
        <v>22</v>
      </c>
      <c r="I22" s="52">
        <f t="shared" si="18"/>
        <v>31</v>
      </c>
      <c r="J22" s="52">
        <f t="shared" si="19"/>
        <v>40</v>
      </c>
      <c r="K22" s="52" t="str">
        <f>IFERROR(VLOOKUP(MID(F22,I22,J22-I22),[6]skilldef!$C:$D,2,FALSE),"-") &amp; " / " &amp; IFERROR(VLOOKUP(MID(F22,G22,H22-G22),[6]skilldef!$A:$B,2,FALSE),"-")</f>
        <v>敵全体に / ステータス強化</v>
      </c>
      <c r="L22" s="52" t="str">
        <f t="shared" si="20"/>
        <v>none</v>
      </c>
      <c r="M22" s="48" t="str">
        <f t="shared" si="13"/>
        <v>none</v>
      </c>
      <c r="N22" s="52" t="e">
        <f t="shared" si="14"/>
        <v>#VALUE!</v>
      </c>
      <c r="O22" s="52" t="e">
        <f t="shared" si="21"/>
        <v>#VALUE!</v>
      </c>
      <c r="P22" s="52" t="e">
        <f t="shared" si="22"/>
        <v>#VALUE!</v>
      </c>
      <c r="Q22" s="52" t="e">
        <f t="shared" si="23"/>
        <v>#VALUE!</v>
      </c>
      <c r="R22" s="52" t="str">
        <f>IFERROR(VLOOKUP(MID(M22,P22,Q22-P22),[6]skilldef!$C:$D,2,FALSE),"-") &amp; " / " &amp; IFERROR(VLOOKUP(MID(M22,N22,O22-N22),[6]skilldef!$A:$B,2,FALSE),"-")</f>
        <v>- / -</v>
      </c>
      <c r="S22" s="48" t="str">
        <f t="shared" si="24"/>
        <v>none</v>
      </c>
      <c r="T22" s="52" t="e">
        <f t="shared" si="8"/>
        <v>#VALUE!</v>
      </c>
      <c r="U22" s="52" t="e">
        <f t="shared" si="25"/>
        <v>#VALUE!</v>
      </c>
      <c r="V22" s="52" t="e">
        <f t="shared" si="26"/>
        <v>#VALUE!</v>
      </c>
      <c r="W22" s="52" t="e">
        <f t="shared" si="27"/>
        <v>#VALUE!</v>
      </c>
      <c r="X22" s="52" t="str">
        <f>IFERROR(VLOOKUP(MID(S22,V22,W22-V22),[6]skilldef!$C:$D,2,FALSE),"-") &amp; " / " &amp; IFERROR(VLOOKUP(MID(S22,T22,U22-T22),[6]skilldef!$A:$B,2,FALSE),"-")</f>
        <v>- / -</v>
      </c>
      <c r="Y22" s="52" t="s">
        <v>172</v>
      </c>
      <c r="Z22" s="51" t="s">
        <v>133</v>
      </c>
      <c r="AA22" s="53">
        <v>42300</v>
      </c>
      <c r="AB22" s="51" t="s">
        <v>134</v>
      </c>
    </row>
    <row r="23" spans="1:28" ht="21" customHeight="1">
      <c r="A23" s="61">
        <v>40004022</v>
      </c>
      <c r="B23" s="48" t="s">
        <v>229</v>
      </c>
      <c r="C23" s="51">
        <v>3</v>
      </c>
      <c r="D23" s="51" t="s">
        <v>129</v>
      </c>
      <c r="E23" s="52" t="s">
        <v>230</v>
      </c>
      <c r="F23" s="52" t="str">
        <f t="shared" si="16"/>
        <v>[effect:enemy_counter, target:myself,invoke_condition:unit_all,counter_target:attacker,turn:5,val:1.25,animation:enemy_counter]</v>
      </c>
      <c r="G23" s="52">
        <f t="shared" si="1"/>
        <v>9</v>
      </c>
      <c r="H23" s="52">
        <f t="shared" si="17"/>
        <v>22</v>
      </c>
      <c r="I23" s="52">
        <f t="shared" si="18"/>
        <v>31</v>
      </c>
      <c r="J23" s="52">
        <f t="shared" si="19"/>
        <v>37</v>
      </c>
      <c r="K23" s="52" t="str">
        <f>IFERROR(VLOOKUP(MID(F23,I23,J23-I23),[6]skilldef!$C:$D,2,FALSE),"-") &amp; " / " &amp; IFERROR(VLOOKUP(MID(F23,G23,H23-G23),[6]skilldef!$A:$B,2,FALSE),"-")</f>
        <v>自分自身に / カウンター</v>
      </c>
      <c r="L23" s="52" t="str">
        <f t="shared" si="20"/>
        <v>none</v>
      </c>
      <c r="M23" s="48" t="str">
        <f t="shared" si="13"/>
        <v>none</v>
      </c>
      <c r="N23" s="52" t="e">
        <f t="shared" si="14"/>
        <v>#VALUE!</v>
      </c>
      <c r="O23" s="52" t="e">
        <f t="shared" si="21"/>
        <v>#VALUE!</v>
      </c>
      <c r="P23" s="52" t="e">
        <f t="shared" si="22"/>
        <v>#VALUE!</v>
      </c>
      <c r="Q23" s="52" t="e">
        <f t="shared" si="23"/>
        <v>#VALUE!</v>
      </c>
      <c r="R23" s="52" t="str">
        <f>IFERROR(VLOOKUP(MID(M23,P23,Q23-P23),[6]skilldef!$C:$D,2,FALSE),"-") &amp; " / " &amp; IFERROR(VLOOKUP(MID(M23,N23,O23-N23),[6]skilldef!$A:$B,2,FALSE),"-")</f>
        <v>- / -</v>
      </c>
      <c r="S23" s="48" t="str">
        <f t="shared" si="24"/>
        <v>none</v>
      </c>
      <c r="T23" s="52" t="e">
        <f t="shared" si="8"/>
        <v>#VALUE!</v>
      </c>
      <c r="U23" s="52" t="e">
        <f t="shared" si="25"/>
        <v>#VALUE!</v>
      </c>
      <c r="V23" s="52" t="e">
        <f t="shared" si="26"/>
        <v>#VALUE!</v>
      </c>
      <c r="W23" s="52" t="e">
        <f t="shared" si="27"/>
        <v>#VALUE!</v>
      </c>
      <c r="X23" s="52" t="str">
        <f>IFERROR(VLOOKUP(MID(S23,V23,W23-V23),[6]skilldef!$C:$D,2,FALSE),"-") &amp; " / " &amp; IFERROR(VLOOKUP(MID(S23,T23,U23-T23),[6]skilldef!$A:$B,2,FALSE),"-")</f>
        <v>- / -</v>
      </c>
      <c r="Y23" s="52" t="s">
        <v>232</v>
      </c>
      <c r="Z23" s="51" t="s">
        <v>133</v>
      </c>
      <c r="AA23" s="53">
        <v>42300</v>
      </c>
      <c r="AB23" s="51" t="s">
        <v>134</v>
      </c>
    </row>
    <row r="24" spans="1:28" ht="21" customHeight="1">
      <c r="A24" s="61">
        <v>40004023</v>
      </c>
      <c r="B24" s="48" t="s">
        <v>187</v>
      </c>
      <c r="C24" s="51">
        <v>3</v>
      </c>
      <c r="D24" s="51" t="s">
        <v>129</v>
      </c>
      <c r="E24" s="52" t="s">
        <v>158</v>
      </c>
      <c r="F24" s="52" t="str">
        <f t="shared" si="16"/>
        <v>[effect:damage_anti_color, target:unit_one, color:red, val1:3.0, val2:1.0]</v>
      </c>
      <c r="G24" s="52">
        <f t="shared" si="1"/>
        <v>9</v>
      </c>
      <c r="H24" s="52">
        <f t="shared" si="17"/>
        <v>26</v>
      </c>
      <c r="I24" s="52">
        <f t="shared" si="18"/>
        <v>35</v>
      </c>
      <c r="J24" s="52">
        <f t="shared" si="19"/>
        <v>43</v>
      </c>
      <c r="K24" s="52" t="str">
        <f>IFERROR(VLOOKUP(MID(F24,I24,J24-I24),[6]skilldef!$C:$D,2,FALSE),"-") &amp; " / " &amp; IFERROR(VLOOKUP(MID(F24,G24,H24-G24),[6]skilldef!$A:$B,2,FALSE),"-")</f>
        <v>味方単体に / 属性キラー</v>
      </c>
      <c r="L24" s="52" t="str">
        <f t="shared" si="20"/>
        <v>none</v>
      </c>
      <c r="M24" s="48" t="str">
        <f t="shared" si="13"/>
        <v>none</v>
      </c>
      <c r="N24" s="52" t="e">
        <f t="shared" si="14"/>
        <v>#VALUE!</v>
      </c>
      <c r="O24" s="52" t="e">
        <f t="shared" si="21"/>
        <v>#VALUE!</v>
      </c>
      <c r="P24" s="52" t="e">
        <f t="shared" si="22"/>
        <v>#VALUE!</v>
      </c>
      <c r="Q24" s="52" t="e">
        <f t="shared" si="23"/>
        <v>#VALUE!</v>
      </c>
      <c r="R24" s="52" t="str">
        <f>IFERROR(VLOOKUP(MID(M24,P24,Q24-P24),[6]skilldef!$C:$D,2,FALSE),"-") &amp; " / " &amp; IFERROR(VLOOKUP(MID(M24,N24,O24-N24),[6]skilldef!$A:$B,2,FALSE),"-")</f>
        <v>- / -</v>
      </c>
      <c r="S24" s="48" t="str">
        <f t="shared" si="24"/>
        <v>none</v>
      </c>
      <c r="T24" s="52" t="e">
        <f t="shared" si="8"/>
        <v>#VALUE!</v>
      </c>
      <c r="U24" s="52" t="e">
        <f t="shared" si="25"/>
        <v>#VALUE!</v>
      </c>
      <c r="V24" s="52" t="e">
        <f t="shared" si="26"/>
        <v>#VALUE!</v>
      </c>
      <c r="W24" s="52" t="e">
        <f t="shared" si="27"/>
        <v>#VALUE!</v>
      </c>
      <c r="X24" s="52" t="str">
        <f>IFERROR(VLOOKUP(MID(S24,V24,W24-V24),[6]skilldef!$C:$D,2,FALSE),"-") &amp; " / " &amp; IFERROR(VLOOKUP(MID(S24,T24,U24-T24),[6]skilldef!$A:$B,2,FALSE),"-")</f>
        <v>- / -</v>
      </c>
      <c r="Y24" s="52" t="s">
        <v>240</v>
      </c>
      <c r="Z24" s="51" t="s">
        <v>133</v>
      </c>
      <c r="AA24" s="53">
        <v>42300</v>
      </c>
      <c r="AB24" s="51" t="s">
        <v>134</v>
      </c>
    </row>
    <row r="25" spans="1:28" ht="21" customHeight="1">
      <c r="A25" s="61">
        <v>40004024</v>
      </c>
      <c r="B25" s="48" t="s">
        <v>188</v>
      </c>
      <c r="C25" s="51">
        <v>3</v>
      </c>
      <c r="D25" s="51" t="s">
        <v>129</v>
      </c>
      <c r="E25" s="52" t="s">
        <v>159</v>
      </c>
      <c r="F25" s="52" t="str">
        <f t="shared" si="16"/>
        <v>[effect:damage_anti_color, target:unit_one, color:blue, val1:3.0, val2:1.0]</v>
      </c>
      <c r="G25" s="52">
        <f t="shared" si="1"/>
        <v>9</v>
      </c>
      <c r="H25" s="52">
        <f t="shared" si="17"/>
        <v>26</v>
      </c>
      <c r="I25" s="52">
        <f t="shared" si="18"/>
        <v>35</v>
      </c>
      <c r="J25" s="52">
        <f t="shared" si="19"/>
        <v>43</v>
      </c>
      <c r="K25" s="52" t="str">
        <f>IFERROR(VLOOKUP(MID(F25,I25,J25-I25),[6]skilldef!$C:$D,2,FALSE),"-") &amp; " / " &amp; IFERROR(VLOOKUP(MID(F25,G25,H25-G25),[6]skilldef!$A:$B,2,FALSE),"-")</f>
        <v>味方単体に / 属性キラー</v>
      </c>
      <c r="L25" s="52" t="str">
        <f t="shared" si="20"/>
        <v>none</v>
      </c>
      <c r="M25" s="48" t="str">
        <f t="shared" si="13"/>
        <v>none</v>
      </c>
      <c r="N25" s="52" t="e">
        <f t="shared" si="14"/>
        <v>#VALUE!</v>
      </c>
      <c r="O25" s="52" t="e">
        <f t="shared" si="21"/>
        <v>#VALUE!</v>
      </c>
      <c r="P25" s="52" t="e">
        <f t="shared" si="22"/>
        <v>#VALUE!</v>
      </c>
      <c r="Q25" s="52" t="e">
        <f t="shared" si="23"/>
        <v>#VALUE!</v>
      </c>
      <c r="R25" s="52" t="str">
        <f>IFERROR(VLOOKUP(MID(M25,P25,Q25-P25),[6]skilldef!$C:$D,2,FALSE),"-") &amp; " / " &amp; IFERROR(VLOOKUP(MID(M25,N25,O25-N25),[6]skilldef!$A:$B,2,FALSE),"-")</f>
        <v>- / -</v>
      </c>
      <c r="S25" s="48" t="str">
        <f t="shared" si="24"/>
        <v>none</v>
      </c>
      <c r="T25" s="52" t="e">
        <f t="shared" si="8"/>
        <v>#VALUE!</v>
      </c>
      <c r="U25" s="52" t="e">
        <f t="shared" si="25"/>
        <v>#VALUE!</v>
      </c>
      <c r="V25" s="52" t="e">
        <f t="shared" si="26"/>
        <v>#VALUE!</v>
      </c>
      <c r="W25" s="52" t="e">
        <f t="shared" si="27"/>
        <v>#VALUE!</v>
      </c>
      <c r="X25" s="52" t="str">
        <f>IFERROR(VLOOKUP(MID(S25,V25,W25-V25),[6]skilldef!$C:$D,2,FALSE),"-") &amp; " / " &amp; IFERROR(VLOOKUP(MID(S25,T25,U25-T25),[6]skilldef!$A:$B,2,FALSE),"-")</f>
        <v>- / -</v>
      </c>
      <c r="Y25" s="52" t="s">
        <v>161</v>
      </c>
      <c r="Z25" s="51" t="s">
        <v>133</v>
      </c>
      <c r="AA25" s="53">
        <v>42300</v>
      </c>
      <c r="AB25" s="51" t="s">
        <v>134</v>
      </c>
    </row>
    <row r="26" spans="1:28" ht="21" customHeight="1">
      <c r="A26" s="61">
        <v>40004025</v>
      </c>
      <c r="B26" s="48" t="s">
        <v>189</v>
      </c>
      <c r="C26" s="51">
        <v>3</v>
      </c>
      <c r="D26" s="51" t="s">
        <v>129</v>
      </c>
      <c r="E26" s="52" t="s">
        <v>160</v>
      </c>
      <c r="F26" s="52" t="str">
        <f t="shared" si="16"/>
        <v>[effect:damage_anti_color, target:unit_one, color:yellow, val1:3.0, val2:1.0]</v>
      </c>
      <c r="G26" s="52">
        <f t="shared" si="1"/>
        <v>9</v>
      </c>
      <c r="H26" s="52">
        <f t="shared" si="17"/>
        <v>26</v>
      </c>
      <c r="I26" s="52">
        <f t="shared" si="18"/>
        <v>35</v>
      </c>
      <c r="J26" s="52">
        <f t="shared" si="19"/>
        <v>43</v>
      </c>
      <c r="K26" s="52" t="str">
        <f>IFERROR(VLOOKUP(MID(F26,I26,J26-I26),[6]skilldef!$C:$D,2,FALSE),"-") &amp; " / " &amp; IFERROR(VLOOKUP(MID(F26,G26,H26-G26),[6]skilldef!$A:$B,2,FALSE),"-")</f>
        <v>味方単体に / 属性キラー</v>
      </c>
      <c r="L26" s="52" t="str">
        <f t="shared" si="20"/>
        <v>none</v>
      </c>
      <c r="M26" s="48" t="str">
        <f t="shared" si="13"/>
        <v>none</v>
      </c>
      <c r="N26" s="52" t="e">
        <f t="shared" si="14"/>
        <v>#VALUE!</v>
      </c>
      <c r="O26" s="52" t="e">
        <f t="shared" si="21"/>
        <v>#VALUE!</v>
      </c>
      <c r="P26" s="52" t="e">
        <f t="shared" si="22"/>
        <v>#VALUE!</v>
      </c>
      <c r="Q26" s="52" t="e">
        <f t="shared" si="23"/>
        <v>#VALUE!</v>
      </c>
      <c r="R26" s="52" t="str">
        <f>IFERROR(VLOOKUP(MID(M26,P26,Q26-P26),[6]skilldef!$C:$D,2,FALSE),"-") &amp; " / " &amp; IFERROR(VLOOKUP(MID(M26,N26,O26-N26),[6]skilldef!$A:$B,2,FALSE),"-")</f>
        <v>- / -</v>
      </c>
      <c r="S26" s="48" t="str">
        <f t="shared" si="24"/>
        <v>none</v>
      </c>
      <c r="T26" s="52" t="e">
        <f t="shared" si="8"/>
        <v>#VALUE!</v>
      </c>
      <c r="U26" s="52" t="e">
        <f t="shared" si="25"/>
        <v>#VALUE!</v>
      </c>
      <c r="V26" s="52" t="e">
        <f t="shared" si="26"/>
        <v>#VALUE!</v>
      </c>
      <c r="W26" s="52" t="e">
        <f t="shared" si="27"/>
        <v>#VALUE!</v>
      </c>
      <c r="X26" s="52" t="str">
        <f>IFERROR(VLOOKUP(MID(S26,V26,W26-V26),[6]skilldef!$C:$D,2,FALSE),"-") &amp; " / " &amp; IFERROR(VLOOKUP(MID(S26,T26,U26-T26),[6]skilldef!$A:$B,2,FALSE),"-")</f>
        <v>- / -</v>
      </c>
      <c r="Y26" s="52" t="s">
        <v>241</v>
      </c>
      <c r="Z26" s="51" t="s">
        <v>133</v>
      </c>
      <c r="AA26" s="53">
        <v>42300</v>
      </c>
      <c r="AB26" s="51" t="s">
        <v>134</v>
      </c>
    </row>
    <row r="27" spans="1:28" ht="21" customHeight="1">
      <c r="A27" s="61">
        <v>40004026</v>
      </c>
      <c r="B27" s="48" t="s">
        <v>190</v>
      </c>
      <c r="C27" s="51">
        <v>3</v>
      </c>
      <c r="D27" s="51" t="s">
        <v>129</v>
      </c>
      <c r="E27" s="52" t="s">
        <v>162</v>
      </c>
      <c r="F27" s="52" t="str">
        <f t="shared" si="16"/>
        <v>[effect:enhance_enemy, target:enemy_all, turn:-1, status:defense, val:5000, calc:add, animation:enemy_enhance_enemy]</v>
      </c>
      <c r="G27" s="52">
        <f t="shared" si="1"/>
        <v>9</v>
      </c>
      <c r="H27" s="52">
        <f t="shared" si="17"/>
        <v>22</v>
      </c>
      <c r="I27" s="52">
        <f t="shared" si="18"/>
        <v>31</v>
      </c>
      <c r="J27" s="52">
        <f t="shared" si="19"/>
        <v>40</v>
      </c>
      <c r="K27" s="52" t="str">
        <f>IFERROR(VLOOKUP(MID(F27,I27,J27-I27),[6]skilldef!$C:$D,2,FALSE),"-") &amp; " / " &amp; IFERROR(VLOOKUP(MID(F27,G27,H27-G27),[6]skilldef!$A:$B,2,FALSE),"-")</f>
        <v>敵全体に / ステータス強化</v>
      </c>
      <c r="L27" s="52" t="str">
        <f t="shared" si="20"/>
        <v>[effect:enhance_enemy, target:enemy_all, turn:-1, status:attack, val:0.4, calc:mul, animation:enemy_enhance_enemy]</v>
      </c>
      <c r="M27" s="48" t="str">
        <f t="shared" si="13"/>
        <v>[effect:enhance_enemy, target:enemy_all, turn:-1, status:attack, val:0.4, calc:mul, animation:enemy_enhance_enemy]</v>
      </c>
      <c r="N27" s="52">
        <f t="shared" si="14"/>
        <v>9</v>
      </c>
      <c r="O27" s="52">
        <f t="shared" si="21"/>
        <v>22</v>
      </c>
      <c r="P27" s="52">
        <f t="shared" si="22"/>
        <v>31</v>
      </c>
      <c r="Q27" s="52">
        <f t="shared" si="23"/>
        <v>40</v>
      </c>
      <c r="R27" s="52" t="str">
        <f>IFERROR(VLOOKUP(MID(M27,P27,Q27-P27),[6]skilldef!$C:$D,2,FALSE),"-") &amp; " / " &amp; IFERROR(VLOOKUP(MID(M27,N27,O27-N27),[6]skilldef!$A:$B,2,FALSE),"-")</f>
        <v>敵全体に / ステータス強化</v>
      </c>
      <c r="S27" s="48" t="str">
        <f t="shared" si="24"/>
        <v>none</v>
      </c>
      <c r="T27" s="52" t="e">
        <f t="shared" si="8"/>
        <v>#VALUE!</v>
      </c>
      <c r="U27" s="52" t="e">
        <f t="shared" si="25"/>
        <v>#VALUE!</v>
      </c>
      <c r="V27" s="52" t="e">
        <f t="shared" si="26"/>
        <v>#VALUE!</v>
      </c>
      <c r="W27" s="52" t="e">
        <f t="shared" si="27"/>
        <v>#VALUE!</v>
      </c>
      <c r="X27" s="52" t="str">
        <f>IFERROR(VLOOKUP(MID(S27,V27,W27-V27),[6]skilldef!$C:$D,2,FALSE),"-") &amp; " / " &amp; IFERROR(VLOOKUP(MID(S27,T27,U27-T27),[6]skilldef!$A:$B,2,FALSE),"-")</f>
        <v>- / -</v>
      </c>
      <c r="Y27" s="52" t="s">
        <v>163</v>
      </c>
      <c r="Z27" s="51" t="s">
        <v>133</v>
      </c>
      <c r="AA27" s="53">
        <v>42300</v>
      </c>
      <c r="AB27" s="51" t="s">
        <v>134</v>
      </c>
    </row>
    <row r="28" spans="1:28" ht="21" customHeight="1">
      <c r="A28" s="61">
        <v>40004027</v>
      </c>
      <c r="B28" s="48" t="s">
        <v>203</v>
      </c>
      <c r="C28" s="51">
        <v>3</v>
      </c>
      <c r="D28" s="51" t="s">
        <v>129</v>
      </c>
      <c r="E28" s="52" t="s">
        <v>202</v>
      </c>
      <c r="F28" s="52" t="str">
        <f t="shared" si="16"/>
        <v>[effect:rush, count:4, val:0.4]</v>
      </c>
      <c r="G28" s="52">
        <f t="shared" si="1"/>
        <v>9</v>
      </c>
      <c r="H28" s="52">
        <f t="shared" si="17"/>
        <v>13</v>
      </c>
      <c r="I28" s="52" t="e">
        <f t="shared" si="18"/>
        <v>#VALUE!</v>
      </c>
      <c r="J28" s="52">
        <f t="shared" si="19"/>
        <v>22</v>
      </c>
      <c r="K28" s="52" t="str">
        <f>IFERROR(VLOOKUP(MID(F28,I28,J28-I28),[6]skilldef!$C:$D,2,FALSE),"-") &amp; " / " &amp; IFERROR(VLOOKUP(MID(F28,G28,H28-G28),[6]skilldef!$A:$B,2,FALSE),"-")</f>
        <v>- / 連続攻撃</v>
      </c>
      <c r="L28" s="52" t="str">
        <f t="shared" si="20"/>
        <v>none</v>
      </c>
      <c r="M28" s="48" t="str">
        <f t="shared" si="13"/>
        <v>none</v>
      </c>
      <c r="N28" s="52" t="e">
        <f t="shared" si="14"/>
        <v>#VALUE!</v>
      </c>
      <c r="O28" s="52" t="e">
        <f t="shared" si="21"/>
        <v>#VALUE!</v>
      </c>
      <c r="P28" s="52" t="e">
        <f t="shared" si="22"/>
        <v>#VALUE!</v>
      </c>
      <c r="Q28" s="52" t="e">
        <f t="shared" si="23"/>
        <v>#VALUE!</v>
      </c>
      <c r="R28" s="52" t="str">
        <f>IFERROR(VLOOKUP(MID(M28,P28,Q28-P28),[6]skilldef!$C:$D,2,FALSE),"-") &amp; " / " &amp; IFERROR(VLOOKUP(MID(M28,N28,O28-N28),[6]skilldef!$A:$B,2,FALSE),"-")</f>
        <v>- / -</v>
      </c>
      <c r="S28" s="48" t="str">
        <f t="shared" si="24"/>
        <v>none</v>
      </c>
      <c r="T28" s="52" t="e">
        <f t="shared" si="8"/>
        <v>#VALUE!</v>
      </c>
      <c r="U28" s="52" t="e">
        <f t="shared" si="25"/>
        <v>#VALUE!</v>
      </c>
      <c r="V28" s="52" t="e">
        <f t="shared" si="26"/>
        <v>#VALUE!</v>
      </c>
      <c r="W28" s="52" t="e">
        <f t="shared" si="27"/>
        <v>#VALUE!</v>
      </c>
      <c r="X28" s="52" t="str">
        <f>IFERROR(VLOOKUP(MID(S28,V28,W28-V28),[6]skilldef!$C:$D,2,FALSE),"-") &amp; " / " &amp; IFERROR(VLOOKUP(MID(S28,T28,U28-T28),[6]skilldef!$A:$B,2,FALSE),"-")</f>
        <v>- / -</v>
      </c>
      <c r="Y28" s="52" t="s">
        <v>206</v>
      </c>
      <c r="Z28" s="51" t="s">
        <v>133</v>
      </c>
      <c r="AA28" s="53">
        <v>42300</v>
      </c>
      <c r="AB28" s="51" t="s">
        <v>134</v>
      </c>
    </row>
    <row r="29" spans="1:28" ht="21" customHeight="1">
      <c r="A29" s="61">
        <v>40004028</v>
      </c>
      <c r="B29" s="48" t="s">
        <v>205</v>
      </c>
      <c r="C29" s="51">
        <v>3</v>
      </c>
      <c r="D29" s="51" t="s">
        <v>129</v>
      </c>
      <c r="E29" s="52" t="s">
        <v>204</v>
      </c>
      <c r="F29" s="52" t="str">
        <f t="shared" si="16"/>
        <v>[effect:rush, count:8, val:0.3]</v>
      </c>
      <c r="G29" s="52">
        <f t="shared" si="1"/>
        <v>9</v>
      </c>
      <c r="H29" s="52">
        <f t="shared" si="17"/>
        <v>13</v>
      </c>
      <c r="I29" s="52" t="e">
        <f t="shared" si="18"/>
        <v>#VALUE!</v>
      </c>
      <c r="J29" s="52">
        <f t="shared" si="19"/>
        <v>22</v>
      </c>
      <c r="K29" s="52" t="str">
        <f>IFERROR(VLOOKUP(MID(F29,I29,J29-I29),[6]skilldef!$C:$D,2,FALSE),"-") &amp; " / " &amp; IFERROR(VLOOKUP(MID(F29,G29,H29-G29),[6]skilldef!$A:$B,2,FALSE),"-")</f>
        <v>- / 連続攻撃</v>
      </c>
      <c r="L29" s="52" t="str">
        <f t="shared" si="20"/>
        <v>none</v>
      </c>
      <c r="M29" s="48" t="str">
        <f t="shared" si="13"/>
        <v>none</v>
      </c>
      <c r="N29" s="52" t="e">
        <f t="shared" si="14"/>
        <v>#VALUE!</v>
      </c>
      <c r="O29" s="52" t="e">
        <f t="shared" si="21"/>
        <v>#VALUE!</v>
      </c>
      <c r="P29" s="52" t="e">
        <f t="shared" si="22"/>
        <v>#VALUE!</v>
      </c>
      <c r="Q29" s="52" t="e">
        <f t="shared" si="23"/>
        <v>#VALUE!</v>
      </c>
      <c r="R29" s="52" t="str">
        <f>IFERROR(VLOOKUP(MID(M29,P29,Q29-P29),[6]skilldef!$C:$D,2,FALSE),"-") &amp; " / " &amp; IFERROR(VLOOKUP(MID(M29,N29,O29-N29),[6]skilldef!$A:$B,2,FALSE),"-")</f>
        <v>- / -</v>
      </c>
      <c r="S29" s="48" t="str">
        <f t="shared" si="24"/>
        <v>none</v>
      </c>
      <c r="T29" s="52" t="e">
        <f t="shared" si="8"/>
        <v>#VALUE!</v>
      </c>
      <c r="U29" s="52" t="e">
        <f t="shared" si="25"/>
        <v>#VALUE!</v>
      </c>
      <c r="V29" s="52" t="e">
        <f t="shared" si="26"/>
        <v>#VALUE!</v>
      </c>
      <c r="W29" s="52" t="e">
        <f t="shared" si="27"/>
        <v>#VALUE!</v>
      </c>
      <c r="X29" s="52" t="str">
        <f>IFERROR(VLOOKUP(MID(S29,V29,W29-V29),[6]skilldef!$C:$D,2,FALSE),"-") &amp; " / " &amp; IFERROR(VLOOKUP(MID(S29,T29,U29-T29),[6]skilldef!$A:$B,2,FALSE),"-")</f>
        <v>- / -</v>
      </c>
      <c r="Y29" s="52" t="s">
        <v>207</v>
      </c>
      <c r="Z29" s="51" t="s">
        <v>133</v>
      </c>
      <c r="AA29" s="53">
        <v>42300</v>
      </c>
      <c r="AB29" s="51" t="s">
        <v>134</v>
      </c>
    </row>
    <row r="30" spans="1:28" ht="21" customHeight="1">
      <c r="A30" s="61">
        <v>40004029</v>
      </c>
      <c r="B30" s="48" t="s">
        <v>231</v>
      </c>
      <c r="C30" s="51">
        <v>3</v>
      </c>
      <c r="D30" s="51" t="s">
        <v>129</v>
      </c>
      <c r="E30" s="52" t="s">
        <v>234</v>
      </c>
      <c r="F30" s="52" t="str">
        <f t="shared" ref="F30" si="28">IFERROR(LEFT(B30,FIND("],",B30)),B30)</f>
        <v>[effect:tolerance,target:myself, turn:-1, tolerance_effect:all, count:-1]</v>
      </c>
      <c r="G30" s="52">
        <f t="shared" ref="G30" si="29">FIND("effect:",F30)+7</f>
        <v>9</v>
      </c>
      <c r="H30" s="52">
        <f t="shared" ref="H30" si="30">FIND(",",F30)</f>
        <v>18</v>
      </c>
      <c r="I30" s="52">
        <f t="shared" ref="I30" si="31">FIND("target:",F30)+7</f>
        <v>26</v>
      </c>
      <c r="J30" s="52">
        <f t="shared" ref="J30" si="32">FIND(",",F30,H30+1)</f>
        <v>32</v>
      </c>
      <c r="K30" s="52" t="str">
        <f>IFERROR(VLOOKUP(MID(F30,I30,J30-I30),[6]skilldef!$C:$D,2,FALSE),"-") &amp; " / " &amp; IFERROR(VLOOKUP(MID(F30,G30,H30-G30),[6]skilldef!$A:$B,2,FALSE),"-")</f>
        <v>自分自身に / 状態異常耐性</v>
      </c>
      <c r="L30" s="52" t="str">
        <f t="shared" ref="L30" si="33">IFERROR(RIGHT(B30,LEN(B30)-FIND("],",B30)-1),"none")</f>
        <v>[effect:enemy_counter, target:myself,invoke_condition:unit_all,counter_target:attacker,turn:5,val:1.25,animation:enemy_counter]</v>
      </c>
      <c r="M30" s="48" t="str">
        <f t="shared" ref="M30" si="34">IFERROR(LEFT(L30,FIND("],",L30)+R44),L30)</f>
        <v>[effect:enemy_counter, target:myself,invoke_condition:unit_all,counter_target:attacker,turn:5,val:1.25,animation:enemy_counter]</v>
      </c>
      <c r="N30" s="52">
        <f t="shared" ref="N30" si="35">FIND("effect:",M30)+7</f>
        <v>9</v>
      </c>
      <c r="O30" s="52">
        <f t="shared" ref="O30" si="36">FIND(",",M30)</f>
        <v>22</v>
      </c>
      <c r="P30" s="52">
        <f t="shared" ref="P30" si="37">FIND("target:",M30)+7</f>
        <v>31</v>
      </c>
      <c r="Q30" s="52">
        <f t="shared" ref="Q30" si="38">FIND(",",M30,O30+1)</f>
        <v>37</v>
      </c>
      <c r="R30" s="52" t="str">
        <f>IFERROR(VLOOKUP(MID(M30,P30,Q30-P30),[6]skilldef!$C:$D,2,FALSE),"-") &amp; " / " &amp; IFERROR(VLOOKUP(MID(M30,N30,O30-N30),[6]skilldef!$A:$B,2,FALSE),"-")</f>
        <v>自分自身に / カウンター</v>
      </c>
      <c r="S30" s="48" t="str">
        <f t="shared" ref="S30" si="39">IFERROR(RIGHT(L30,LEN(L30)-FIND("],",L30)-1),"none")</f>
        <v>none</v>
      </c>
      <c r="T30" s="52" t="e">
        <f t="shared" ref="T30" si="40">FIND("effect:",S30)+7</f>
        <v>#VALUE!</v>
      </c>
      <c r="U30" s="52" t="e">
        <f t="shared" ref="U30" si="41">FIND(",",S30)</f>
        <v>#VALUE!</v>
      </c>
      <c r="V30" s="52" t="e">
        <f t="shared" ref="V30" si="42">FIND("target:",S30)+7</f>
        <v>#VALUE!</v>
      </c>
      <c r="W30" s="52" t="e">
        <f t="shared" ref="W30" si="43">FIND(",",S30,U30+1)</f>
        <v>#VALUE!</v>
      </c>
      <c r="X30" s="52" t="str">
        <f>IFERROR(VLOOKUP(MID(S30,V30,W30-V30),[6]skilldef!$C:$D,2,FALSE),"-") &amp; " / " &amp; IFERROR(VLOOKUP(MID(S30,T30,U30-T30),[6]skilldef!$A:$B,2,FALSE),"-")</f>
        <v>- / -</v>
      </c>
      <c r="Y30" s="52" t="s">
        <v>233</v>
      </c>
      <c r="Z30" s="51" t="s">
        <v>133</v>
      </c>
      <c r="AA30" s="53">
        <v>42300</v>
      </c>
      <c r="AB30" s="51" t="s">
        <v>134</v>
      </c>
    </row>
  </sheetData>
  <autoFilter ref="A1:AB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1"/>
  <sheetViews>
    <sheetView showGridLines="0" workbookViewId="0">
      <pane ySplit="1" topLeftCell="A12" activePane="bottomLeft" state="frozenSplit"/>
      <selection activeCell="H205" sqref="H205"/>
      <selection pane="bottomLeft" activeCell="G32" sqref="G32"/>
    </sheetView>
  </sheetViews>
  <sheetFormatPr baseColWidth="12" defaultColWidth="12.83203125" defaultRowHeight="21" customHeight="1" x14ac:dyDescent="0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>
      <c r="A1" s="43" t="s">
        <v>85</v>
      </c>
      <c r="B1" s="43" t="s">
        <v>86</v>
      </c>
      <c r="C1" s="43" t="s">
        <v>87</v>
      </c>
      <c r="D1" s="43" t="s">
        <v>88</v>
      </c>
      <c r="E1" s="43" t="s">
        <v>69</v>
      </c>
      <c r="F1" s="54" t="s">
        <v>70</v>
      </c>
      <c r="G1" s="54" t="s">
        <v>71</v>
      </c>
      <c r="H1" s="43" t="s">
        <v>72</v>
      </c>
      <c r="I1" s="43" t="s">
        <v>73</v>
      </c>
      <c r="J1" s="43" t="s">
        <v>74</v>
      </c>
      <c r="K1" s="55" t="s">
        <v>89</v>
      </c>
    </row>
    <row r="2" spans="1:11" ht="21" customHeight="1">
      <c r="A2" s="61">
        <v>40004001</v>
      </c>
      <c r="B2" s="48">
        <v>0</v>
      </c>
      <c r="C2" s="48" t="s">
        <v>90</v>
      </c>
      <c r="D2" s="48">
        <v>50</v>
      </c>
      <c r="E2" s="48" t="s">
        <v>91</v>
      </c>
      <c r="F2" s="48" t="s">
        <v>91</v>
      </c>
      <c r="G2" s="48">
        <v>1</v>
      </c>
      <c r="H2" s="48" t="s">
        <v>91</v>
      </c>
      <c r="I2" s="48" t="s">
        <v>91</v>
      </c>
      <c r="J2" s="49">
        <f>D2</f>
        <v>50</v>
      </c>
    </row>
    <row r="3" spans="1:11" ht="21" customHeight="1">
      <c r="A3" s="61">
        <v>40004002</v>
      </c>
      <c r="B3" s="48">
        <v>0</v>
      </c>
      <c r="C3" s="48" t="s">
        <v>90</v>
      </c>
      <c r="D3" s="48">
        <v>0</v>
      </c>
      <c r="E3" s="48" t="s">
        <v>91</v>
      </c>
      <c r="F3" s="48" t="s">
        <v>91</v>
      </c>
      <c r="G3" s="48" t="s">
        <v>91</v>
      </c>
      <c r="H3" s="48" t="s">
        <v>91</v>
      </c>
      <c r="I3" s="48" t="s">
        <v>91</v>
      </c>
      <c r="J3" s="49">
        <f t="shared" ref="J3:J26" si="0">D3</f>
        <v>0</v>
      </c>
    </row>
    <row r="4" spans="1:11" ht="21" customHeight="1">
      <c r="A4" s="61">
        <v>40004003</v>
      </c>
      <c r="B4" s="48">
        <v>0</v>
      </c>
      <c r="C4" s="48" t="s">
        <v>90</v>
      </c>
      <c r="D4" s="48">
        <v>25</v>
      </c>
      <c r="E4" s="48" t="s">
        <v>91</v>
      </c>
      <c r="F4" s="48" t="s">
        <v>91</v>
      </c>
      <c r="G4" s="48" t="s">
        <v>146</v>
      </c>
      <c r="H4" s="48" t="s">
        <v>91</v>
      </c>
      <c r="I4" s="48" t="s">
        <v>91</v>
      </c>
      <c r="J4" s="49">
        <f t="shared" si="0"/>
        <v>25</v>
      </c>
    </row>
    <row r="5" spans="1:11" ht="21" customHeight="1">
      <c r="A5" s="61">
        <v>40004004</v>
      </c>
      <c r="B5" s="48">
        <v>1</v>
      </c>
      <c r="C5" s="48" t="s">
        <v>90</v>
      </c>
      <c r="D5" s="48">
        <v>40</v>
      </c>
      <c r="E5" s="48" t="s">
        <v>91</v>
      </c>
      <c r="F5" s="48" t="s">
        <v>91</v>
      </c>
      <c r="G5" s="48">
        <v>5</v>
      </c>
      <c r="H5" s="48">
        <v>3</v>
      </c>
      <c r="I5" s="48" t="s">
        <v>91</v>
      </c>
      <c r="J5" s="49">
        <f t="shared" si="0"/>
        <v>40</v>
      </c>
    </row>
    <row r="6" spans="1:11" ht="21" customHeight="1">
      <c r="A6" s="61">
        <v>40004005</v>
      </c>
      <c r="B6" s="48">
        <v>0</v>
      </c>
      <c r="C6" s="48" t="s">
        <v>90</v>
      </c>
      <c r="D6" s="48">
        <v>30</v>
      </c>
      <c r="E6" s="48" t="s">
        <v>91</v>
      </c>
      <c r="F6" s="48" t="s">
        <v>91</v>
      </c>
      <c r="G6" s="48" t="s">
        <v>91</v>
      </c>
      <c r="H6" s="48" t="s">
        <v>91</v>
      </c>
      <c r="I6" s="48" t="s">
        <v>91</v>
      </c>
      <c r="J6" s="49">
        <f t="shared" si="0"/>
        <v>30</v>
      </c>
    </row>
    <row r="7" spans="1:11" ht="21" customHeight="1">
      <c r="A7" s="61">
        <v>40004006</v>
      </c>
      <c r="B7" s="48">
        <v>0</v>
      </c>
      <c r="C7" s="48" t="s">
        <v>90</v>
      </c>
      <c r="D7" s="48">
        <v>25</v>
      </c>
      <c r="E7" s="48" t="s">
        <v>91</v>
      </c>
      <c r="F7" s="48" t="s">
        <v>91</v>
      </c>
      <c r="G7" s="48" t="s">
        <v>91</v>
      </c>
      <c r="H7" s="48" t="s">
        <v>91</v>
      </c>
      <c r="I7" s="48" t="s">
        <v>91</v>
      </c>
      <c r="J7" s="49">
        <f t="shared" si="0"/>
        <v>25</v>
      </c>
    </row>
    <row r="8" spans="1:11" ht="21" customHeight="1">
      <c r="A8" s="61">
        <v>40004007</v>
      </c>
      <c r="B8" s="48">
        <v>0</v>
      </c>
      <c r="C8" s="48" t="s">
        <v>90</v>
      </c>
      <c r="D8" s="48">
        <v>100</v>
      </c>
      <c r="E8" s="48">
        <v>30</v>
      </c>
      <c r="F8" s="48" t="s">
        <v>91</v>
      </c>
      <c r="G8" s="48">
        <v>1</v>
      </c>
      <c r="H8" s="48" t="s">
        <v>91</v>
      </c>
      <c r="I8" s="48" t="s">
        <v>91</v>
      </c>
      <c r="J8" s="49">
        <f t="shared" si="0"/>
        <v>100</v>
      </c>
    </row>
    <row r="9" spans="1:11" ht="21" customHeight="1">
      <c r="A9" s="61">
        <v>40004008</v>
      </c>
      <c r="B9" s="48">
        <v>0</v>
      </c>
      <c r="C9" s="48" t="s">
        <v>90</v>
      </c>
      <c r="D9" s="48">
        <v>100</v>
      </c>
      <c r="E9" s="48">
        <v>80</v>
      </c>
      <c r="F9" s="48" t="s">
        <v>91</v>
      </c>
      <c r="G9" s="48">
        <v>1</v>
      </c>
      <c r="H9" s="48" t="s">
        <v>91</v>
      </c>
      <c r="I9" s="48" t="s">
        <v>91</v>
      </c>
      <c r="J9" s="49">
        <f t="shared" si="0"/>
        <v>100</v>
      </c>
    </row>
    <row r="10" spans="1:11" ht="21" customHeight="1">
      <c r="A10" s="61">
        <v>40004009</v>
      </c>
      <c r="B10" s="48">
        <v>0</v>
      </c>
      <c r="C10" s="48" t="s">
        <v>90</v>
      </c>
      <c r="D10" s="48">
        <v>100</v>
      </c>
      <c r="E10" s="48">
        <v>100</v>
      </c>
      <c r="F10" s="48">
        <v>76</v>
      </c>
      <c r="G10" s="48" t="s">
        <v>147</v>
      </c>
      <c r="H10" s="48" t="s">
        <v>91</v>
      </c>
      <c r="I10" s="48" t="s">
        <v>91</v>
      </c>
      <c r="J10" s="49">
        <f t="shared" si="0"/>
        <v>100</v>
      </c>
    </row>
    <row r="11" spans="1:11" ht="21" customHeight="1">
      <c r="A11" s="61">
        <v>40004010</v>
      </c>
      <c r="B11" s="48">
        <v>0</v>
      </c>
      <c r="C11" s="48" t="s">
        <v>90</v>
      </c>
      <c r="D11" s="48">
        <v>100</v>
      </c>
      <c r="E11" s="48">
        <v>75</v>
      </c>
      <c r="F11" s="48">
        <v>51</v>
      </c>
      <c r="G11" s="48" t="s">
        <v>91</v>
      </c>
      <c r="H11" s="48" t="s">
        <v>91</v>
      </c>
      <c r="I11" s="48" t="s">
        <v>91</v>
      </c>
      <c r="J11" s="49">
        <f t="shared" si="0"/>
        <v>100</v>
      </c>
    </row>
    <row r="12" spans="1:11" ht="21" customHeight="1">
      <c r="A12" s="61">
        <v>40004011</v>
      </c>
      <c r="B12" s="48">
        <v>0</v>
      </c>
      <c r="C12" s="48" t="s">
        <v>90</v>
      </c>
      <c r="D12" s="48">
        <v>100</v>
      </c>
      <c r="E12" s="48">
        <v>50</v>
      </c>
      <c r="F12" s="48">
        <v>26</v>
      </c>
      <c r="G12" s="48" t="s">
        <v>91</v>
      </c>
      <c r="H12" s="48" t="s">
        <v>91</v>
      </c>
      <c r="I12" s="48" t="s">
        <v>91</v>
      </c>
      <c r="J12" s="49">
        <f t="shared" si="0"/>
        <v>100</v>
      </c>
    </row>
    <row r="13" spans="1:11" ht="21" customHeight="1">
      <c r="A13" s="61">
        <v>40004012</v>
      </c>
      <c r="B13" s="48">
        <v>0</v>
      </c>
      <c r="C13" s="48" t="s">
        <v>90</v>
      </c>
      <c r="D13" s="48">
        <v>100</v>
      </c>
      <c r="E13" s="48">
        <v>25</v>
      </c>
      <c r="F13" s="48" t="s">
        <v>91</v>
      </c>
      <c r="G13" s="48" t="s">
        <v>91</v>
      </c>
      <c r="H13" s="48" t="s">
        <v>91</v>
      </c>
      <c r="I13" s="48" t="s">
        <v>91</v>
      </c>
      <c r="J13" s="49">
        <f t="shared" si="0"/>
        <v>100</v>
      </c>
    </row>
    <row r="14" spans="1:11" ht="21" customHeight="1">
      <c r="A14" s="61">
        <v>40004013</v>
      </c>
      <c r="B14" s="48">
        <v>0</v>
      </c>
      <c r="C14" s="48">
        <v>15</v>
      </c>
      <c r="D14" s="48">
        <v>50</v>
      </c>
      <c r="E14" s="48" t="s">
        <v>148</v>
      </c>
      <c r="F14" s="48" t="s">
        <v>91</v>
      </c>
      <c r="G14" s="48" t="s">
        <v>91</v>
      </c>
      <c r="H14" s="48" t="s">
        <v>91</v>
      </c>
      <c r="I14" s="48" t="s">
        <v>91</v>
      </c>
      <c r="J14" s="49">
        <f t="shared" si="0"/>
        <v>50</v>
      </c>
    </row>
    <row r="15" spans="1:11" ht="21" customHeight="1">
      <c r="A15" s="61">
        <v>40004014</v>
      </c>
      <c r="B15" s="48">
        <v>0</v>
      </c>
      <c r="C15" s="48">
        <v>10</v>
      </c>
      <c r="D15" s="48">
        <v>100</v>
      </c>
      <c r="E15" s="48" t="s">
        <v>91</v>
      </c>
      <c r="F15" s="48" t="s">
        <v>91</v>
      </c>
      <c r="G15" s="48" t="s">
        <v>192</v>
      </c>
      <c r="H15" s="48">
        <v>3</v>
      </c>
      <c r="I15" s="48" t="s">
        <v>91</v>
      </c>
      <c r="J15" s="49">
        <f t="shared" si="0"/>
        <v>100</v>
      </c>
    </row>
    <row r="16" spans="1:11" ht="21" customHeight="1">
      <c r="A16" s="61">
        <v>40004015</v>
      </c>
      <c r="B16" s="48">
        <v>0</v>
      </c>
      <c r="C16" s="48">
        <v>17</v>
      </c>
      <c r="D16" s="48">
        <v>100</v>
      </c>
      <c r="E16" s="48">
        <v>25</v>
      </c>
      <c r="F16" s="48" t="s">
        <v>91</v>
      </c>
      <c r="G16" s="48">
        <v>1</v>
      </c>
      <c r="H16" s="48" t="s">
        <v>91</v>
      </c>
      <c r="I16" s="48" t="s">
        <v>91</v>
      </c>
      <c r="J16" s="49">
        <f t="shared" si="0"/>
        <v>100</v>
      </c>
    </row>
    <row r="17" spans="1:10" ht="21" customHeight="1">
      <c r="A17" s="61">
        <v>40004016</v>
      </c>
      <c r="B17" s="48">
        <v>0</v>
      </c>
      <c r="C17" s="48">
        <v>16</v>
      </c>
      <c r="D17" s="48">
        <v>100</v>
      </c>
      <c r="E17" s="48" t="s">
        <v>91</v>
      </c>
      <c r="F17" s="48" t="s">
        <v>91</v>
      </c>
      <c r="G17" s="48">
        <v>1</v>
      </c>
      <c r="H17" s="48" t="s">
        <v>91</v>
      </c>
      <c r="I17" s="48" t="s">
        <v>91</v>
      </c>
      <c r="J17" s="49">
        <f t="shared" si="0"/>
        <v>100</v>
      </c>
    </row>
    <row r="18" spans="1:10" ht="21" customHeight="1">
      <c r="A18" s="61">
        <v>40004017</v>
      </c>
      <c r="B18" s="48">
        <v>1</v>
      </c>
      <c r="C18" s="48">
        <v>18</v>
      </c>
      <c r="D18" s="48">
        <v>100</v>
      </c>
      <c r="E18" s="48" t="s">
        <v>91</v>
      </c>
      <c r="F18" s="48" t="s">
        <v>91</v>
      </c>
      <c r="G18" s="48">
        <v>1</v>
      </c>
      <c r="H18" s="48" t="s">
        <v>91</v>
      </c>
      <c r="I18" s="48" t="s">
        <v>91</v>
      </c>
      <c r="J18" s="49">
        <f t="shared" si="0"/>
        <v>100</v>
      </c>
    </row>
    <row r="19" spans="1:10" ht="21" customHeight="1">
      <c r="A19" s="61">
        <v>40004018</v>
      </c>
      <c r="B19" s="48">
        <v>0</v>
      </c>
      <c r="C19" s="48" t="s">
        <v>90</v>
      </c>
      <c r="D19" s="48">
        <v>30</v>
      </c>
      <c r="E19" s="48" t="s">
        <v>91</v>
      </c>
      <c r="F19" s="48" t="s">
        <v>91</v>
      </c>
      <c r="G19" s="48" t="s">
        <v>91</v>
      </c>
      <c r="H19" s="48" t="s">
        <v>91</v>
      </c>
      <c r="I19" s="48" t="s">
        <v>91</v>
      </c>
      <c r="J19" s="49">
        <f t="shared" si="0"/>
        <v>30</v>
      </c>
    </row>
    <row r="20" spans="1:10" ht="21" customHeight="1">
      <c r="A20" s="61">
        <v>40004019</v>
      </c>
      <c r="B20" s="48">
        <v>0</v>
      </c>
      <c r="C20" s="48" t="s">
        <v>90</v>
      </c>
      <c r="D20" s="48">
        <v>25</v>
      </c>
      <c r="E20" s="48" t="s">
        <v>91</v>
      </c>
      <c r="F20" s="48" t="s">
        <v>91</v>
      </c>
      <c r="G20" s="48" t="s">
        <v>91</v>
      </c>
      <c r="H20" s="48" t="s">
        <v>91</v>
      </c>
      <c r="I20" s="48" t="s">
        <v>91</v>
      </c>
      <c r="J20" s="49">
        <f t="shared" si="0"/>
        <v>25</v>
      </c>
    </row>
    <row r="21" spans="1:10" ht="21" customHeight="1">
      <c r="A21" s="61">
        <v>40004020</v>
      </c>
      <c r="B21" s="48">
        <v>0</v>
      </c>
      <c r="C21" s="48" t="s">
        <v>90</v>
      </c>
      <c r="D21" s="48">
        <v>0</v>
      </c>
      <c r="E21" s="48" t="s">
        <v>91</v>
      </c>
      <c r="F21" s="48" t="s">
        <v>91</v>
      </c>
      <c r="G21" s="48" t="s">
        <v>91</v>
      </c>
      <c r="H21" s="48" t="s">
        <v>91</v>
      </c>
      <c r="I21" s="48" t="s">
        <v>91</v>
      </c>
      <c r="J21" s="49">
        <f t="shared" si="0"/>
        <v>0</v>
      </c>
    </row>
    <row r="22" spans="1:10" ht="21" customHeight="1">
      <c r="A22" s="61">
        <v>40004021</v>
      </c>
      <c r="B22" s="48">
        <v>0</v>
      </c>
      <c r="C22" s="48">
        <v>15</v>
      </c>
      <c r="D22" s="48">
        <v>100</v>
      </c>
      <c r="E22" s="48" t="s">
        <v>91</v>
      </c>
      <c r="F22" s="48" t="s">
        <v>91</v>
      </c>
      <c r="G22" s="48">
        <v>1</v>
      </c>
      <c r="H22" s="48" t="s">
        <v>91</v>
      </c>
      <c r="I22" s="48" t="s">
        <v>91</v>
      </c>
      <c r="J22" s="49">
        <f t="shared" si="0"/>
        <v>100</v>
      </c>
    </row>
    <row r="23" spans="1:10" ht="21" customHeight="1">
      <c r="A23" s="61">
        <v>40004022</v>
      </c>
      <c r="B23" s="48">
        <v>1</v>
      </c>
      <c r="C23" s="48">
        <v>10</v>
      </c>
      <c r="D23" s="48">
        <v>100</v>
      </c>
      <c r="E23" s="48" t="s">
        <v>91</v>
      </c>
      <c r="F23" s="48" t="s">
        <v>91</v>
      </c>
      <c r="G23" s="48">
        <v>1</v>
      </c>
      <c r="H23" s="48" t="s">
        <v>91</v>
      </c>
      <c r="I23" s="48" t="s">
        <v>91</v>
      </c>
      <c r="J23" s="49">
        <f t="shared" si="0"/>
        <v>100</v>
      </c>
    </row>
    <row r="24" spans="1:10" ht="21" customHeight="1">
      <c r="A24" s="61">
        <v>40004023</v>
      </c>
      <c r="B24" s="48">
        <v>0</v>
      </c>
      <c r="C24" s="48" t="s">
        <v>90</v>
      </c>
      <c r="D24" s="48">
        <v>25</v>
      </c>
      <c r="E24" s="48" t="s">
        <v>91</v>
      </c>
      <c r="F24" s="48" t="s">
        <v>91</v>
      </c>
      <c r="G24" s="48" t="s">
        <v>91</v>
      </c>
      <c r="H24" s="48" t="s">
        <v>91</v>
      </c>
      <c r="I24" s="48" t="s">
        <v>91</v>
      </c>
      <c r="J24" s="49">
        <f t="shared" si="0"/>
        <v>25</v>
      </c>
    </row>
    <row r="25" spans="1:10" ht="21" customHeight="1">
      <c r="A25" s="61">
        <v>40004024</v>
      </c>
      <c r="B25" s="48">
        <v>0</v>
      </c>
      <c r="C25" s="48" t="s">
        <v>90</v>
      </c>
      <c r="D25" s="48">
        <v>25</v>
      </c>
      <c r="E25" s="48" t="s">
        <v>91</v>
      </c>
      <c r="F25" s="48" t="s">
        <v>91</v>
      </c>
      <c r="G25" s="48" t="s">
        <v>91</v>
      </c>
      <c r="H25" s="48" t="s">
        <v>91</v>
      </c>
      <c r="I25" s="48" t="s">
        <v>91</v>
      </c>
      <c r="J25" s="49">
        <f t="shared" si="0"/>
        <v>25</v>
      </c>
    </row>
    <row r="26" spans="1:10" ht="21" customHeight="1">
      <c r="A26" s="61">
        <v>40004025</v>
      </c>
      <c r="B26" s="48">
        <v>0</v>
      </c>
      <c r="C26" s="48" t="s">
        <v>90</v>
      </c>
      <c r="D26" s="48">
        <v>25</v>
      </c>
      <c r="E26" s="48" t="s">
        <v>91</v>
      </c>
      <c r="F26" s="48" t="s">
        <v>91</v>
      </c>
      <c r="G26" s="48" t="s">
        <v>91</v>
      </c>
      <c r="H26" s="48" t="s">
        <v>91</v>
      </c>
      <c r="I26" s="48" t="s">
        <v>91</v>
      </c>
      <c r="J26" s="49">
        <f t="shared" si="0"/>
        <v>25</v>
      </c>
    </row>
    <row r="27" spans="1:10" ht="21" customHeight="1">
      <c r="A27" s="61">
        <v>40004026</v>
      </c>
      <c r="B27" s="48">
        <v>0</v>
      </c>
      <c r="C27" s="48" t="s">
        <v>90</v>
      </c>
      <c r="D27" s="48">
        <v>100</v>
      </c>
      <c r="E27" s="48">
        <v>25</v>
      </c>
      <c r="F27" s="48" t="s">
        <v>91</v>
      </c>
      <c r="G27" s="48">
        <v>1</v>
      </c>
      <c r="H27" s="48" t="s">
        <v>91</v>
      </c>
      <c r="I27" s="48" t="s">
        <v>91</v>
      </c>
      <c r="J27" s="49">
        <f t="shared" ref="J27:J29" si="1">D27</f>
        <v>100</v>
      </c>
    </row>
    <row r="28" spans="1:10" ht="21" customHeight="1">
      <c r="A28" s="61">
        <v>40004027</v>
      </c>
      <c r="B28" s="48">
        <v>0</v>
      </c>
      <c r="C28" s="48" t="s">
        <v>90</v>
      </c>
      <c r="D28" s="48">
        <v>0</v>
      </c>
      <c r="E28" s="48" t="s">
        <v>91</v>
      </c>
      <c r="F28" s="48" t="s">
        <v>91</v>
      </c>
      <c r="G28" s="48" t="s">
        <v>91</v>
      </c>
      <c r="H28" s="48" t="s">
        <v>91</v>
      </c>
      <c r="I28" s="48" t="s">
        <v>91</v>
      </c>
      <c r="J28" s="49">
        <f t="shared" si="1"/>
        <v>0</v>
      </c>
    </row>
    <row r="29" spans="1:10" ht="21" customHeight="1">
      <c r="A29" s="61">
        <v>40004028</v>
      </c>
      <c r="B29" s="48">
        <v>0</v>
      </c>
      <c r="C29" s="48">
        <v>16</v>
      </c>
      <c r="D29" s="48">
        <v>100</v>
      </c>
      <c r="E29" s="48" t="s">
        <v>91</v>
      </c>
      <c r="F29" s="48" t="s">
        <v>91</v>
      </c>
      <c r="G29" s="48">
        <v>1</v>
      </c>
      <c r="H29" s="48" t="s">
        <v>91</v>
      </c>
      <c r="I29" s="48" t="s">
        <v>91</v>
      </c>
      <c r="J29" s="49">
        <f t="shared" si="1"/>
        <v>100</v>
      </c>
    </row>
    <row r="30" spans="1:10" ht="21" customHeight="1">
      <c r="A30" s="61">
        <v>40004029</v>
      </c>
      <c r="B30" s="48">
        <v>0</v>
      </c>
      <c r="C30" s="48">
        <v>20</v>
      </c>
      <c r="D30" s="48">
        <v>25</v>
      </c>
      <c r="E30" s="48">
        <v>25</v>
      </c>
      <c r="F30" s="48" t="s">
        <v>91</v>
      </c>
      <c r="G30" s="48" t="s">
        <v>208</v>
      </c>
      <c r="H30" s="48" t="s">
        <v>91</v>
      </c>
      <c r="I30" s="48" t="s">
        <v>91</v>
      </c>
      <c r="J30" s="49">
        <f t="shared" ref="J30" si="2">D30</f>
        <v>25</v>
      </c>
    </row>
    <row r="31" spans="1:10" ht="21" customHeight="1">
      <c r="A31" s="61">
        <v>40004030</v>
      </c>
      <c r="B31" s="48">
        <v>0</v>
      </c>
      <c r="C31" s="48">
        <v>25</v>
      </c>
      <c r="D31" s="48">
        <v>100</v>
      </c>
      <c r="E31" s="48">
        <v>50</v>
      </c>
      <c r="F31" s="48" t="s">
        <v>91</v>
      </c>
      <c r="G31" s="48">
        <v>1</v>
      </c>
      <c r="H31" s="48" t="s">
        <v>91</v>
      </c>
      <c r="I31" s="48" t="s">
        <v>91</v>
      </c>
      <c r="J31" s="49">
        <f t="shared" ref="J31" si="3">D31</f>
        <v>100</v>
      </c>
    </row>
  </sheetData>
  <autoFilter ref="A1:G1"/>
  <phoneticPr fontId="3"/>
  <conditionalFormatting sqref="K1:K30 K32:K1048576">
    <cfRule type="duplicateValues" dxfId="1" priority="2"/>
  </conditionalFormatting>
  <conditionalFormatting sqref="K3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加藤 雅大</cp:lastModifiedBy>
  <dcterms:created xsi:type="dcterms:W3CDTF">2015-01-30T13:36:44Z</dcterms:created>
  <dcterms:modified xsi:type="dcterms:W3CDTF">2015-11-19T11:47:51Z</dcterms:modified>
</cp:coreProperties>
</file>