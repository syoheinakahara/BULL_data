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060" tabRatio="943" activeTab="4"/>
  </bookViews>
  <sheets>
    <sheet name="確率の考え方" sheetId="110" r:id="rId1"/>
    <sheet name="Sheet1" sheetId="107" r:id="rId2"/>
    <sheet name="output" sheetId="103" r:id="rId3"/>
    <sheet name="input_7339" sheetId="153" r:id="rId4"/>
    <sheet name="tables_7339" sheetId="154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4" hidden="1">tables_7339!$A$1:$V$360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4" l="1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I355" i="154"/>
  <c r="D355" i="154"/>
  <c r="J355" i="154"/>
  <c r="E355" i="154"/>
  <c r="F355" i="154"/>
  <c r="C355" i="154"/>
  <c r="I356" i="154"/>
  <c r="D356" i="154"/>
  <c r="J356" i="154"/>
  <c r="E356" i="154"/>
  <c r="F356" i="154"/>
  <c r="C356" i="154"/>
  <c r="I357" i="154"/>
  <c r="D357" i="154"/>
  <c r="J357" i="154"/>
  <c r="E357" i="154"/>
  <c r="F357" i="154"/>
  <c r="C357" i="154"/>
  <c r="I358" i="154"/>
  <c r="D358" i="154"/>
  <c r="J358" i="154"/>
  <c r="E358" i="154"/>
  <c r="F358" i="154"/>
  <c r="C358" i="154"/>
  <c r="I359" i="154"/>
  <c r="D359" i="154"/>
  <c r="J359" i="154"/>
  <c r="E359" i="154"/>
  <c r="F359" i="154"/>
  <c r="C359" i="154"/>
  <c r="I360" i="154"/>
  <c r="D360" i="154"/>
  <c r="J360" i="154"/>
  <c r="E360" i="154"/>
  <c r="F360" i="154"/>
  <c r="C360" i="154"/>
  <c r="F5" i="153"/>
  <c r="F6" i="153"/>
  <c r="A36" i="153"/>
  <c r="A2" i="153"/>
  <c r="A356" i="154"/>
  <c r="H356" i="154"/>
  <c r="K356" i="154"/>
  <c r="L356" i="154"/>
  <c r="M356" i="154"/>
  <c r="N356" i="154"/>
  <c r="G22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2" i="153"/>
  <c r="H22" i="153"/>
  <c r="O356" i="154"/>
  <c r="E6" i="153"/>
  <c r="E19" i="153"/>
  <c r="B19" i="153"/>
  <c r="E24" i="153"/>
  <c r="B24" i="153"/>
  <c r="B17" i="153"/>
  <c r="G17" i="153"/>
  <c r="E17" i="153"/>
  <c r="H17" i="153"/>
  <c r="O2" i="154"/>
  <c r="E20" i="153"/>
  <c r="B20" i="153"/>
  <c r="E25" i="153"/>
  <c r="B25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E21" i="153"/>
  <c r="E23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C31" i="153"/>
  <c r="B21" i="153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E27" i="153"/>
  <c r="H27" i="153"/>
  <c r="O138" i="154"/>
  <c r="E28" i="153"/>
  <c r="E29" i="153"/>
  <c r="B28" i="153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B23" i="153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O262" i="154"/>
  <c r="O263" i="154"/>
  <c r="O264" i="154"/>
  <c r="O265" i="154"/>
  <c r="B29" i="153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O357" i="154"/>
  <c r="O358" i="154"/>
  <c r="O359" i="154"/>
  <c r="O360" i="154"/>
  <c r="P356" i="154"/>
  <c r="A354" i="154"/>
  <c r="H354" i="154"/>
  <c r="K354" i="154"/>
  <c r="L354" i="154"/>
  <c r="M354" i="154"/>
  <c r="N354" i="154"/>
  <c r="P354" i="154"/>
  <c r="A349" i="154"/>
  <c r="H349" i="154"/>
  <c r="K349" i="154"/>
  <c r="L349" i="154"/>
  <c r="M349" i="154"/>
  <c r="N349" i="154"/>
  <c r="P349" i="154"/>
  <c r="A342" i="154"/>
  <c r="H342" i="154"/>
  <c r="K342" i="154"/>
  <c r="L342" i="154"/>
  <c r="M342" i="154"/>
  <c r="N342" i="154"/>
  <c r="P342" i="154"/>
  <c r="A336" i="154"/>
  <c r="H336" i="154"/>
  <c r="K336" i="154"/>
  <c r="L336" i="154"/>
  <c r="M336" i="154"/>
  <c r="N336" i="154"/>
  <c r="P336" i="154"/>
  <c r="A334" i="154"/>
  <c r="H334" i="154"/>
  <c r="K334" i="154"/>
  <c r="L334" i="154"/>
  <c r="M334" i="154"/>
  <c r="N334" i="154"/>
  <c r="P334" i="154"/>
  <c r="A326" i="154"/>
  <c r="H326" i="154"/>
  <c r="K326" i="154"/>
  <c r="L326" i="154"/>
  <c r="M326" i="154"/>
  <c r="N326" i="154"/>
  <c r="P326" i="154"/>
  <c r="A324" i="154"/>
  <c r="H324" i="154"/>
  <c r="K324" i="154"/>
  <c r="L324" i="154"/>
  <c r="M324" i="154"/>
  <c r="N324" i="154"/>
  <c r="P324" i="154"/>
  <c r="A318" i="154"/>
  <c r="H318" i="154"/>
  <c r="K318" i="154"/>
  <c r="L318" i="154"/>
  <c r="M318" i="154"/>
  <c r="N318" i="154"/>
  <c r="P318" i="154"/>
  <c r="A311" i="154"/>
  <c r="H311" i="154"/>
  <c r="K311" i="154"/>
  <c r="L311" i="154"/>
  <c r="M311" i="154"/>
  <c r="N311" i="154"/>
  <c r="P311" i="154"/>
  <c r="A306" i="154"/>
  <c r="H306" i="154"/>
  <c r="K306" i="154"/>
  <c r="L306" i="154"/>
  <c r="M306" i="154"/>
  <c r="N306" i="154"/>
  <c r="P306" i="154"/>
  <c r="A303" i="154"/>
  <c r="H303" i="154"/>
  <c r="K303" i="154"/>
  <c r="L303" i="154"/>
  <c r="M303" i="154"/>
  <c r="N303" i="154"/>
  <c r="P303" i="154"/>
  <c r="A297" i="154"/>
  <c r="H297" i="154"/>
  <c r="K297" i="154"/>
  <c r="L297" i="154"/>
  <c r="M297" i="154"/>
  <c r="N297" i="154"/>
  <c r="P297" i="154"/>
  <c r="A292" i="154"/>
  <c r="H292" i="154"/>
  <c r="K292" i="154"/>
  <c r="L292" i="154"/>
  <c r="M292" i="154"/>
  <c r="N292" i="154"/>
  <c r="P292" i="154"/>
  <c r="A290" i="154"/>
  <c r="H290" i="154"/>
  <c r="K290" i="154"/>
  <c r="L290" i="154"/>
  <c r="M290" i="154"/>
  <c r="N290" i="154"/>
  <c r="P290" i="154"/>
  <c r="A288" i="154"/>
  <c r="H288" i="154"/>
  <c r="K288" i="154"/>
  <c r="L288" i="154"/>
  <c r="M288" i="154"/>
  <c r="N288" i="154"/>
  <c r="P288" i="154"/>
  <c r="A286" i="154"/>
  <c r="H286" i="154"/>
  <c r="K286" i="154"/>
  <c r="L286" i="154"/>
  <c r="M286" i="154"/>
  <c r="N286" i="154"/>
  <c r="P286" i="154"/>
  <c r="A281" i="154"/>
  <c r="H281" i="154"/>
  <c r="K281" i="154"/>
  <c r="L281" i="154"/>
  <c r="M281" i="154"/>
  <c r="N281" i="154"/>
  <c r="P281" i="154"/>
  <c r="A282" i="154"/>
  <c r="H282" i="154"/>
  <c r="K282" i="154"/>
  <c r="L282" i="154"/>
  <c r="M282" i="154"/>
  <c r="N282" i="154"/>
  <c r="P282" i="154"/>
  <c r="A278" i="154"/>
  <c r="H278" i="154"/>
  <c r="K278" i="154"/>
  <c r="L278" i="154"/>
  <c r="M278" i="154"/>
  <c r="N278" i="154"/>
  <c r="P278" i="154"/>
  <c r="A279" i="154"/>
  <c r="H279" i="154"/>
  <c r="K279" i="154"/>
  <c r="L279" i="154"/>
  <c r="M279" i="154"/>
  <c r="N279" i="154"/>
  <c r="P279" i="154"/>
  <c r="A276" i="154"/>
  <c r="H276" i="154"/>
  <c r="K276" i="154"/>
  <c r="L276" i="154"/>
  <c r="M276" i="154"/>
  <c r="N276" i="154"/>
  <c r="P276" i="154"/>
  <c r="A274" i="154"/>
  <c r="H274" i="154"/>
  <c r="K274" i="154"/>
  <c r="L274" i="154"/>
  <c r="M274" i="154"/>
  <c r="N274" i="154"/>
  <c r="P274" i="154"/>
  <c r="A272" i="154"/>
  <c r="H272" i="154"/>
  <c r="K272" i="154"/>
  <c r="L272" i="154"/>
  <c r="M272" i="154"/>
  <c r="N272" i="154"/>
  <c r="P272" i="154"/>
  <c r="A270" i="154"/>
  <c r="H270" i="154"/>
  <c r="K270" i="154"/>
  <c r="L270" i="154"/>
  <c r="M270" i="154"/>
  <c r="N270" i="154"/>
  <c r="P270" i="154"/>
  <c r="A264" i="154"/>
  <c r="H264" i="154"/>
  <c r="K264" i="154"/>
  <c r="L264" i="154"/>
  <c r="M264" i="154"/>
  <c r="N264" i="154"/>
  <c r="P264" i="154"/>
  <c r="A262" i="154"/>
  <c r="H262" i="154"/>
  <c r="K262" i="154"/>
  <c r="L262" i="154"/>
  <c r="M262" i="154"/>
  <c r="N262" i="154"/>
  <c r="P262" i="154"/>
  <c r="A260" i="154"/>
  <c r="H260" i="154"/>
  <c r="K260" i="154"/>
  <c r="L260" i="154"/>
  <c r="M260" i="154"/>
  <c r="N260" i="154"/>
  <c r="P260" i="154"/>
  <c r="A258" i="154"/>
  <c r="H258" i="154"/>
  <c r="K258" i="154"/>
  <c r="L258" i="154"/>
  <c r="M258" i="154"/>
  <c r="N258" i="154"/>
  <c r="P258" i="154"/>
  <c r="A255" i="154"/>
  <c r="H255" i="154"/>
  <c r="K255" i="154"/>
  <c r="L255" i="154"/>
  <c r="M255" i="154"/>
  <c r="N255" i="154"/>
  <c r="P255" i="154"/>
  <c r="A256" i="154"/>
  <c r="H256" i="154"/>
  <c r="K256" i="154"/>
  <c r="L256" i="154"/>
  <c r="M256" i="154"/>
  <c r="N256" i="154"/>
  <c r="P256" i="154"/>
  <c r="A252" i="154"/>
  <c r="H252" i="154"/>
  <c r="K252" i="154"/>
  <c r="L252" i="154"/>
  <c r="M252" i="154"/>
  <c r="N252" i="154"/>
  <c r="P252" i="154"/>
  <c r="A253" i="154"/>
  <c r="H253" i="154"/>
  <c r="K253" i="154"/>
  <c r="L253" i="154"/>
  <c r="M253" i="154"/>
  <c r="N253" i="154"/>
  <c r="P253" i="154"/>
  <c r="A249" i="154"/>
  <c r="H249" i="154"/>
  <c r="K249" i="154"/>
  <c r="L249" i="154"/>
  <c r="M249" i="154"/>
  <c r="N249" i="154"/>
  <c r="P249" i="154"/>
  <c r="A250" i="154"/>
  <c r="H250" i="154"/>
  <c r="K250" i="154"/>
  <c r="L250" i="154"/>
  <c r="M250" i="154"/>
  <c r="N250" i="154"/>
  <c r="P250" i="154"/>
  <c r="A246" i="154"/>
  <c r="H246" i="154"/>
  <c r="K246" i="154"/>
  <c r="L246" i="154"/>
  <c r="M246" i="154"/>
  <c r="N246" i="154"/>
  <c r="P246" i="154"/>
  <c r="A247" i="154"/>
  <c r="H247" i="154"/>
  <c r="K247" i="154"/>
  <c r="L247" i="154"/>
  <c r="M247" i="154"/>
  <c r="N247" i="154"/>
  <c r="P247" i="154"/>
  <c r="A244" i="154"/>
  <c r="H244" i="154"/>
  <c r="K244" i="154"/>
  <c r="L244" i="154"/>
  <c r="M244" i="154"/>
  <c r="N244" i="154"/>
  <c r="P244" i="154"/>
  <c r="A242" i="154"/>
  <c r="H242" i="154"/>
  <c r="K242" i="154"/>
  <c r="L242" i="154"/>
  <c r="M242" i="154"/>
  <c r="N242" i="154"/>
  <c r="P242" i="154"/>
  <c r="A239" i="154"/>
  <c r="H239" i="154"/>
  <c r="K239" i="154"/>
  <c r="L239" i="154"/>
  <c r="M239" i="154"/>
  <c r="N239" i="154"/>
  <c r="P239" i="154"/>
  <c r="A240" i="154"/>
  <c r="H240" i="154"/>
  <c r="K240" i="154"/>
  <c r="L240" i="154"/>
  <c r="M240" i="154"/>
  <c r="N240" i="154"/>
  <c r="P240" i="154"/>
  <c r="A237" i="154"/>
  <c r="H237" i="154"/>
  <c r="K237" i="154"/>
  <c r="L237" i="154"/>
  <c r="M237" i="154"/>
  <c r="N237" i="154"/>
  <c r="P237" i="154"/>
  <c r="A234" i="154"/>
  <c r="H234" i="154"/>
  <c r="K234" i="154"/>
  <c r="L234" i="154"/>
  <c r="M234" i="154"/>
  <c r="N234" i="154"/>
  <c r="P234" i="154"/>
  <c r="A235" i="154"/>
  <c r="H235" i="154"/>
  <c r="K235" i="154"/>
  <c r="L235" i="154"/>
  <c r="M235" i="154"/>
  <c r="N235" i="154"/>
  <c r="P235" i="154"/>
  <c r="A231" i="154"/>
  <c r="H231" i="154"/>
  <c r="K231" i="154"/>
  <c r="L231" i="154"/>
  <c r="M231" i="154"/>
  <c r="N231" i="154"/>
  <c r="P231" i="154"/>
  <c r="A232" i="154"/>
  <c r="H232" i="154"/>
  <c r="K232" i="154"/>
  <c r="L232" i="154"/>
  <c r="M232" i="154"/>
  <c r="N232" i="154"/>
  <c r="P232" i="154"/>
  <c r="A229" i="154"/>
  <c r="H229" i="154"/>
  <c r="K229" i="154"/>
  <c r="L229" i="154"/>
  <c r="M229" i="154"/>
  <c r="N229" i="154"/>
  <c r="P229" i="154"/>
  <c r="A226" i="154"/>
  <c r="H226" i="154"/>
  <c r="K226" i="154"/>
  <c r="L226" i="154"/>
  <c r="M226" i="154"/>
  <c r="N226" i="154"/>
  <c r="P226" i="154"/>
  <c r="A227" i="154"/>
  <c r="H227" i="154"/>
  <c r="K227" i="154"/>
  <c r="L227" i="154"/>
  <c r="M227" i="154"/>
  <c r="N227" i="154"/>
  <c r="P227" i="154"/>
  <c r="A223" i="154"/>
  <c r="H223" i="154"/>
  <c r="K223" i="154"/>
  <c r="L223" i="154"/>
  <c r="M223" i="154"/>
  <c r="N223" i="154"/>
  <c r="P223" i="154"/>
  <c r="A224" i="154"/>
  <c r="H224" i="154"/>
  <c r="K224" i="154"/>
  <c r="L224" i="154"/>
  <c r="M224" i="154"/>
  <c r="N224" i="154"/>
  <c r="P224" i="154"/>
  <c r="A221" i="154"/>
  <c r="H221" i="154"/>
  <c r="K221" i="154"/>
  <c r="L221" i="154"/>
  <c r="M221" i="154"/>
  <c r="N221" i="154"/>
  <c r="P221" i="154"/>
  <c r="A213" i="154"/>
  <c r="H213" i="154"/>
  <c r="K213" i="154"/>
  <c r="L213" i="154"/>
  <c r="M213" i="154"/>
  <c r="N213" i="154"/>
  <c r="P213" i="154"/>
  <c r="A210" i="154"/>
  <c r="H210" i="154"/>
  <c r="K210" i="154"/>
  <c r="L210" i="154"/>
  <c r="M210" i="154"/>
  <c r="N210" i="154"/>
  <c r="P210" i="154"/>
  <c r="A211" i="154"/>
  <c r="H211" i="154"/>
  <c r="K211" i="154"/>
  <c r="L211" i="154"/>
  <c r="M211" i="154"/>
  <c r="N211" i="154"/>
  <c r="P211" i="154"/>
  <c r="A208" i="154"/>
  <c r="H208" i="154"/>
  <c r="K208" i="154"/>
  <c r="L208" i="154"/>
  <c r="M208" i="154"/>
  <c r="N208" i="154"/>
  <c r="P208" i="154"/>
  <c r="A206" i="154"/>
  <c r="H206" i="154"/>
  <c r="K206" i="154"/>
  <c r="L206" i="154"/>
  <c r="M206" i="154"/>
  <c r="N206" i="154"/>
  <c r="P206" i="154"/>
  <c r="A203" i="154"/>
  <c r="H203" i="154"/>
  <c r="K203" i="154"/>
  <c r="L203" i="154"/>
  <c r="M203" i="154"/>
  <c r="N203" i="154"/>
  <c r="P203" i="154"/>
  <c r="A204" i="154"/>
  <c r="H204" i="154"/>
  <c r="K204" i="154"/>
  <c r="L204" i="154"/>
  <c r="M204" i="154"/>
  <c r="N204" i="154"/>
  <c r="P204" i="154"/>
  <c r="A201" i="154"/>
  <c r="H201" i="154"/>
  <c r="K201" i="154"/>
  <c r="L201" i="154"/>
  <c r="M201" i="154"/>
  <c r="N201" i="154"/>
  <c r="P201" i="154"/>
  <c r="A198" i="154"/>
  <c r="H198" i="154"/>
  <c r="K198" i="154"/>
  <c r="L198" i="154"/>
  <c r="M198" i="154"/>
  <c r="N198" i="154"/>
  <c r="P198" i="154"/>
  <c r="A199" i="154"/>
  <c r="H199" i="154"/>
  <c r="K199" i="154"/>
  <c r="L199" i="154"/>
  <c r="M199" i="154"/>
  <c r="N199" i="154"/>
  <c r="P199" i="154"/>
  <c r="A196" i="154"/>
  <c r="H196" i="154"/>
  <c r="K196" i="154"/>
  <c r="L196" i="154"/>
  <c r="M196" i="154"/>
  <c r="N196" i="154"/>
  <c r="P196" i="154"/>
  <c r="A193" i="154"/>
  <c r="H193" i="154"/>
  <c r="K193" i="154"/>
  <c r="L193" i="154"/>
  <c r="M193" i="154"/>
  <c r="N193" i="154"/>
  <c r="P193" i="154"/>
  <c r="A194" i="154"/>
  <c r="H194" i="154"/>
  <c r="K194" i="154"/>
  <c r="L194" i="154"/>
  <c r="M194" i="154"/>
  <c r="N194" i="154"/>
  <c r="P194" i="154"/>
  <c r="A191" i="154"/>
  <c r="H191" i="154"/>
  <c r="K191" i="154"/>
  <c r="L191" i="154"/>
  <c r="M191" i="154"/>
  <c r="N191" i="154"/>
  <c r="P191" i="154"/>
  <c r="A189" i="154"/>
  <c r="H189" i="154"/>
  <c r="K189" i="154"/>
  <c r="L189" i="154"/>
  <c r="M189" i="154"/>
  <c r="N189" i="154"/>
  <c r="P189" i="154"/>
  <c r="A186" i="154"/>
  <c r="H186" i="154"/>
  <c r="K186" i="154"/>
  <c r="L186" i="154"/>
  <c r="M186" i="154"/>
  <c r="N186" i="154"/>
  <c r="P186" i="154"/>
  <c r="A187" i="154"/>
  <c r="H187" i="154"/>
  <c r="K187" i="154"/>
  <c r="L187" i="154"/>
  <c r="M187" i="154"/>
  <c r="N187" i="154"/>
  <c r="P187" i="154"/>
  <c r="A184" i="154"/>
  <c r="H184" i="154"/>
  <c r="K184" i="154"/>
  <c r="L184" i="154"/>
  <c r="M184" i="154"/>
  <c r="N184" i="154"/>
  <c r="P184" i="154"/>
  <c r="A181" i="154"/>
  <c r="H181" i="154"/>
  <c r="K181" i="154"/>
  <c r="L181" i="154"/>
  <c r="M181" i="154"/>
  <c r="N181" i="154"/>
  <c r="P181" i="154"/>
  <c r="A182" i="154"/>
  <c r="H182" i="154"/>
  <c r="K182" i="154"/>
  <c r="L182" i="154"/>
  <c r="M182" i="154"/>
  <c r="N182" i="154"/>
  <c r="P182" i="154"/>
  <c r="A178" i="154"/>
  <c r="H178" i="154"/>
  <c r="K178" i="154"/>
  <c r="L178" i="154"/>
  <c r="M178" i="154"/>
  <c r="N178" i="154"/>
  <c r="P178" i="154"/>
  <c r="A179" i="154"/>
  <c r="H179" i="154"/>
  <c r="K179" i="154"/>
  <c r="L179" i="154"/>
  <c r="M179" i="154"/>
  <c r="N179" i="154"/>
  <c r="P179" i="154"/>
  <c r="A176" i="154"/>
  <c r="H176" i="154"/>
  <c r="K176" i="154"/>
  <c r="L176" i="154"/>
  <c r="M176" i="154"/>
  <c r="N176" i="154"/>
  <c r="P176" i="154"/>
  <c r="A174" i="154"/>
  <c r="H174" i="154"/>
  <c r="K174" i="154"/>
  <c r="L174" i="154"/>
  <c r="M174" i="154"/>
  <c r="N174" i="154"/>
  <c r="P174" i="154"/>
  <c r="A171" i="154"/>
  <c r="H171" i="154"/>
  <c r="K171" i="154"/>
  <c r="L171" i="154"/>
  <c r="M171" i="154"/>
  <c r="N171" i="154"/>
  <c r="P171" i="154"/>
  <c r="A172" i="154"/>
  <c r="H172" i="154"/>
  <c r="K172" i="154"/>
  <c r="L172" i="154"/>
  <c r="M172" i="154"/>
  <c r="N172" i="154"/>
  <c r="P172" i="154"/>
  <c r="A169" i="154"/>
  <c r="H169" i="154"/>
  <c r="K169" i="154"/>
  <c r="L169" i="154"/>
  <c r="M169" i="154"/>
  <c r="N169" i="154"/>
  <c r="P169" i="154"/>
  <c r="A166" i="154"/>
  <c r="H166" i="154"/>
  <c r="K166" i="154"/>
  <c r="L166" i="154"/>
  <c r="M166" i="154"/>
  <c r="N166" i="154"/>
  <c r="P166" i="154"/>
  <c r="A167" i="154"/>
  <c r="H167" i="154"/>
  <c r="K167" i="154"/>
  <c r="L167" i="154"/>
  <c r="M167" i="154"/>
  <c r="N167" i="154"/>
  <c r="P167" i="154"/>
  <c r="A164" i="154"/>
  <c r="H164" i="154"/>
  <c r="K164" i="154"/>
  <c r="L164" i="154"/>
  <c r="M164" i="154"/>
  <c r="N164" i="154"/>
  <c r="P164" i="154"/>
  <c r="A161" i="154"/>
  <c r="H161" i="154"/>
  <c r="K161" i="154"/>
  <c r="L161" i="154"/>
  <c r="M161" i="154"/>
  <c r="N161" i="154"/>
  <c r="P161" i="154"/>
  <c r="A162" i="154"/>
  <c r="H162" i="154"/>
  <c r="K162" i="154"/>
  <c r="L162" i="154"/>
  <c r="M162" i="154"/>
  <c r="N162" i="154"/>
  <c r="P162" i="154"/>
  <c r="A158" i="154"/>
  <c r="H158" i="154"/>
  <c r="K158" i="154"/>
  <c r="L158" i="154"/>
  <c r="M158" i="154"/>
  <c r="N158" i="154"/>
  <c r="P158" i="154"/>
  <c r="A159" i="154"/>
  <c r="H159" i="154"/>
  <c r="K159" i="154"/>
  <c r="L159" i="154"/>
  <c r="M159" i="154"/>
  <c r="N159" i="154"/>
  <c r="P159" i="154"/>
  <c r="A156" i="154"/>
  <c r="H156" i="154"/>
  <c r="K156" i="154"/>
  <c r="L156" i="154"/>
  <c r="M156" i="154"/>
  <c r="N156" i="154"/>
  <c r="P156" i="154"/>
  <c r="A153" i="154"/>
  <c r="H153" i="154"/>
  <c r="K153" i="154"/>
  <c r="L153" i="154"/>
  <c r="M153" i="154"/>
  <c r="N153" i="154"/>
  <c r="P153" i="154"/>
  <c r="A154" i="154"/>
  <c r="H154" i="154"/>
  <c r="K154" i="154"/>
  <c r="L154" i="154"/>
  <c r="M154" i="154"/>
  <c r="N154" i="154"/>
  <c r="P154" i="154"/>
  <c r="A151" i="154"/>
  <c r="H151" i="154"/>
  <c r="K151" i="154"/>
  <c r="L151" i="154"/>
  <c r="M151" i="154"/>
  <c r="N151" i="154"/>
  <c r="P151" i="154"/>
  <c r="A149" i="154"/>
  <c r="H149" i="154"/>
  <c r="K149" i="154"/>
  <c r="L149" i="154"/>
  <c r="M149" i="154"/>
  <c r="N149" i="154"/>
  <c r="P149" i="154"/>
  <c r="A146" i="154"/>
  <c r="H146" i="154"/>
  <c r="K146" i="154"/>
  <c r="L146" i="154"/>
  <c r="M146" i="154"/>
  <c r="N146" i="154"/>
  <c r="P146" i="154"/>
  <c r="A147" i="154"/>
  <c r="H147" i="154"/>
  <c r="K147" i="154"/>
  <c r="L147" i="154"/>
  <c r="M147" i="154"/>
  <c r="N147" i="154"/>
  <c r="P147" i="154"/>
  <c r="A144" i="154"/>
  <c r="H144" i="154"/>
  <c r="K144" i="154"/>
  <c r="L144" i="154"/>
  <c r="M144" i="154"/>
  <c r="N144" i="154"/>
  <c r="P144" i="154"/>
  <c r="A142" i="154"/>
  <c r="H142" i="154"/>
  <c r="K142" i="154"/>
  <c r="L142" i="154"/>
  <c r="M142" i="154"/>
  <c r="N142" i="154"/>
  <c r="P142" i="154"/>
  <c r="A140" i="154"/>
  <c r="H140" i="154"/>
  <c r="K140" i="154"/>
  <c r="L140" i="154"/>
  <c r="M140" i="154"/>
  <c r="N140" i="154"/>
  <c r="P140" i="154"/>
  <c r="A138" i="154"/>
  <c r="H138" i="154"/>
  <c r="K138" i="154"/>
  <c r="L138" i="154"/>
  <c r="M138" i="154"/>
  <c r="N138" i="154"/>
  <c r="P138" i="154"/>
  <c r="A135" i="154"/>
  <c r="H135" i="154"/>
  <c r="K135" i="154"/>
  <c r="L135" i="154"/>
  <c r="M135" i="154"/>
  <c r="N135" i="154"/>
  <c r="P135" i="154"/>
  <c r="A136" i="154"/>
  <c r="H136" i="154"/>
  <c r="K136" i="154"/>
  <c r="L136" i="154"/>
  <c r="M136" i="154"/>
  <c r="N136" i="154"/>
  <c r="P136" i="154"/>
  <c r="A132" i="154"/>
  <c r="H132" i="154"/>
  <c r="K132" i="154"/>
  <c r="L132" i="154"/>
  <c r="M132" i="154"/>
  <c r="N132" i="154"/>
  <c r="P132" i="154"/>
  <c r="A133" i="154"/>
  <c r="H133" i="154"/>
  <c r="K133" i="154"/>
  <c r="L133" i="154"/>
  <c r="M133" i="154"/>
  <c r="N133" i="154"/>
  <c r="P133" i="154"/>
  <c r="A129" i="154"/>
  <c r="H129" i="154"/>
  <c r="K129" i="154"/>
  <c r="L129" i="154"/>
  <c r="M129" i="154"/>
  <c r="N129" i="154"/>
  <c r="P129" i="154"/>
  <c r="A130" i="154"/>
  <c r="H130" i="154"/>
  <c r="K130" i="154"/>
  <c r="L130" i="154"/>
  <c r="M130" i="154"/>
  <c r="N130" i="154"/>
  <c r="P130" i="154"/>
  <c r="A126" i="154"/>
  <c r="H126" i="154"/>
  <c r="K126" i="154"/>
  <c r="L126" i="154"/>
  <c r="M126" i="154"/>
  <c r="N126" i="154"/>
  <c r="P126" i="154"/>
  <c r="A127" i="154"/>
  <c r="H127" i="154"/>
  <c r="K127" i="154"/>
  <c r="L127" i="154"/>
  <c r="M127" i="154"/>
  <c r="N127" i="154"/>
  <c r="P127" i="154"/>
  <c r="A123" i="154"/>
  <c r="H123" i="154"/>
  <c r="K123" i="154"/>
  <c r="L123" i="154"/>
  <c r="M123" i="154"/>
  <c r="N123" i="154"/>
  <c r="P123" i="154"/>
  <c r="A124" i="154"/>
  <c r="H124" i="154"/>
  <c r="K124" i="154"/>
  <c r="L124" i="154"/>
  <c r="M124" i="154"/>
  <c r="N124" i="154"/>
  <c r="P124" i="154"/>
  <c r="A120" i="154"/>
  <c r="H120" i="154"/>
  <c r="K120" i="154"/>
  <c r="L120" i="154"/>
  <c r="M120" i="154"/>
  <c r="N120" i="154"/>
  <c r="P120" i="154"/>
  <c r="A121" i="154"/>
  <c r="H121" i="154"/>
  <c r="K121" i="154"/>
  <c r="L121" i="154"/>
  <c r="M121" i="154"/>
  <c r="N121" i="154"/>
  <c r="P121" i="154"/>
  <c r="A117" i="154"/>
  <c r="H117" i="154"/>
  <c r="K117" i="154"/>
  <c r="L117" i="154"/>
  <c r="M117" i="154"/>
  <c r="N117" i="154"/>
  <c r="P117" i="154"/>
  <c r="A118" i="154"/>
  <c r="H118" i="154"/>
  <c r="K118" i="154"/>
  <c r="L118" i="154"/>
  <c r="M118" i="154"/>
  <c r="N118" i="154"/>
  <c r="P118" i="154"/>
  <c r="A114" i="154"/>
  <c r="H114" i="154"/>
  <c r="K114" i="154"/>
  <c r="L114" i="154"/>
  <c r="M114" i="154"/>
  <c r="N114" i="154"/>
  <c r="P114" i="154"/>
  <c r="A115" i="154"/>
  <c r="H115" i="154"/>
  <c r="K115" i="154"/>
  <c r="L115" i="154"/>
  <c r="M115" i="154"/>
  <c r="N115" i="154"/>
  <c r="P115" i="154"/>
  <c r="A111" i="154"/>
  <c r="H111" i="154"/>
  <c r="K111" i="154"/>
  <c r="L111" i="154"/>
  <c r="M111" i="154"/>
  <c r="N111" i="154"/>
  <c r="P111" i="154"/>
  <c r="A112" i="154"/>
  <c r="H112" i="154"/>
  <c r="K112" i="154"/>
  <c r="L112" i="154"/>
  <c r="M112" i="154"/>
  <c r="N112" i="154"/>
  <c r="P112" i="154"/>
  <c r="A108" i="154"/>
  <c r="H108" i="154"/>
  <c r="K108" i="154"/>
  <c r="L108" i="154"/>
  <c r="M108" i="154"/>
  <c r="N108" i="154"/>
  <c r="P108" i="154"/>
  <c r="A109" i="154"/>
  <c r="H109" i="154"/>
  <c r="K109" i="154"/>
  <c r="L109" i="154"/>
  <c r="M109" i="154"/>
  <c r="N109" i="154"/>
  <c r="P109" i="154"/>
  <c r="A105" i="154"/>
  <c r="H105" i="154"/>
  <c r="K105" i="154"/>
  <c r="L105" i="154"/>
  <c r="M105" i="154"/>
  <c r="N105" i="154"/>
  <c r="P105" i="154"/>
  <c r="A106" i="154"/>
  <c r="H106" i="154"/>
  <c r="K106" i="154"/>
  <c r="L106" i="154"/>
  <c r="M106" i="154"/>
  <c r="N106" i="154"/>
  <c r="P106" i="154"/>
  <c r="A102" i="154"/>
  <c r="H102" i="154"/>
  <c r="K102" i="154"/>
  <c r="L102" i="154"/>
  <c r="M102" i="154"/>
  <c r="N102" i="154"/>
  <c r="P102" i="154"/>
  <c r="A103" i="154"/>
  <c r="H103" i="154"/>
  <c r="K103" i="154"/>
  <c r="L103" i="154"/>
  <c r="M103" i="154"/>
  <c r="N103" i="154"/>
  <c r="P103" i="154"/>
  <c r="A99" i="154"/>
  <c r="H99" i="154"/>
  <c r="K99" i="154"/>
  <c r="L99" i="154"/>
  <c r="M99" i="154"/>
  <c r="N99" i="154"/>
  <c r="P99" i="154"/>
  <c r="A100" i="154"/>
  <c r="H100" i="154"/>
  <c r="K100" i="154"/>
  <c r="L100" i="154"/>
  <c r="M100" i="154"/>
  <c r="N100" i="154"/>
  <c r="P100" i="154"/>
  <c r="A96" i="154"/>
  <c r="H96" i="154"/>
  <c r="K96" i="154"/>
  <c r="L96" i="154"/>
  <c r="M96" i="154"/>
  <c r="N96" i="154"/>
  <c r="P96" i="154"/>
  <c r="A97" i="154"/>
  <c r="H97" i="154"/>
  <c r="K97" i="154"/>
  <c r="L97" i="154"/>
  <c r="M97" i="154"/>
  <c r="N97" i="154"/>
  <c r="P97" i="154"/>
  <c r="A93" i="154"/>
  <c r="H93" i="154"/>
  <c r="K93" i="154"/>
  <c r="L93" i="154"/>
  <c r="M93" i="154"/>
  <c r="N93" i="154"/>
  <c r="P93" i="154"/>
  <c r="A94" i="154"/>
  <c r="H94" i="154"/>
  <c r="K94" i="154"/>
  <c r="L94" i="154"/>
  <c r="M94" i="154"/>
  <c r="N94" i="154"/>
  <c r="P94" i="154"/>
  <c r="A90" i="154"/>
  <c r="H90" i="154"/>
  <c r="K90" i="154"/>
  <c r="L90" i="154"/>
  <c r="M90" i="154"/>
  <c r="N90" i="154"/>
  <c r="P90" i="154"/>
  <c r="A91" i="154"/>
  <c r="H91" i="154"/>
  <c r="K91" i="154"/>
  <c r="L91" i="154"/>
  <c r="M91" i="154"/>
  <c r="N91" i="154"/>
  <c r="P91" i="154"/>
  <c r="A87" i="154"/>
  <c r="H87" i="154"/>
  <c r="K87" i="154"/>
  <c r="L87" i="154"/>
  <c r="M87" i="154"/>
  <c r="N87" i="154"/>
  <c r="P87" i="154"/>
  <c r="A88" i="154"/>
  <c r="H88" i="154"/>
  <c r="K88" i="154"/>
  <c r="L88" i="154"/>
  <c r="M88" i="154"/>
  <c r="N88" i="154"/>
  <c r="P88" i="154"/>
  <c r="A84" i="154"/>
  <c r="H84" i="154"/>
  <c r="K84" i="154"/>
  <c r="L84" i="154"/>
  <c r="M84" i="154"/>
  <c r="N84" i="154"/>
  <c r="P84" i="154"/>
  <c r="A85" i="154"/>
  <c r="H85" i="154"/>
  <c r="K85" i="154"/>
  <c r="L85" i="154"/>
  <c r="M85" i="154"/>
  <c r="N85" i="154"/>
  <c r="P85" i="154"/>
  <c r="A81" i="154"/>
  <c r="H81" i="154"/>
  <c r="K81" i="154"/>
  <c r="L81" i="154"/>
  <c r="M81" i="154"/>
  <c r="N81" i="154"/>
  <c r="P81" i="154"/>
  <c r="A82" i="154"/>
  <c r="H82" i="154"/>
  <c r="K82" i="154"/>
  <c r="L82" i="154"/>
  <c r="M82" i="154"/>
  <c r="N82" i="154"/>
  <c r="P82" i="154"/>
  <c r="A78" i="154"/>
  <c r="H78" i="154"/>
  <c r="K78" i="154"/>
  <c r="L78" i="154"/>
  <c r="M78" i="154"/>
  <c r="N78" i="154"/>
  <c r="P78" i="154"/>
  <c r="A79" i="154"/>
  <c r="H79" i="154"/>
  <c r="K79" i="154"/>
  <c r="L79" i="154"/>
  <c r="M79" i="154"/>
  <c r="N79" i="154"/>
  <c r="P79" i="154"/>
  <c r="A75" i="154"/>
  <c r="H75" i="154"/>
  <c r="K75" i="154"/>
  <c r="L75" i="154"/>
  <c r="M75" i="154"/>
  <c r="N75" i="154"/>
  <c r="P75" i="154"/>
  <c r="A76" i="154"/>
  <c r="H76" i="154"/>
  <c r="K76" i="154"/>
  <c r="L76" i="154"/>
  <c r="M76" i="154"/>
  <c r="N76" i="154"/>
  <c r="P76" i="154"/>
  <c r="A72" i="154"/>
  <c r="H72" i="154"/>
  <c r="K72" i="154"/>
  <c r="L72" i="154"/>
  <c r="M72" i="154"/>
  <c r="N72" i="154"/>
  <c r="P72" i="154"/>
  <c r="A73" i="154"/>
  <c r="H73" i="154"/>
  <c r="K73" i="154"/>
  <c r="L73" i="154"/>
  <c r="M73" i="154"/>
  <c r="N73" i="154"/>
  <c r="P73" i="154"/>
  <c r="A69" i="154"/>
  <c r="H69" i="154"/>
  <c r="K69" i="154"/>
  <c r="L69" i="154"/>
  <c r="M69" i="154"/>
  <c r="N69" i="154"/>
  <c r="P69" i="154"/>
  <c r="A70" i="154"/>
  <c r="H70" i="154"/>
  <c r="K70" i="154"/>
  <c r="L70" i="154"/>
  <c r="M70" i="154"/>
  <c r="N70" i="154"/>
  <c r="P70" i="154"/>
  <c r="A66" i="154"/>
  <c r="H66" i="154"/>
  <c r="K66" i="154"/>
  <c r="L66" i="154"/>
  <c r="M66" i="154"/>
  <c r="N66" i="154"/>
  <c r="P66" i="154"/>
  <c r="A67" i="154"/>
  <c r="H67" i="154"/>
  <c r="K67" i="154"/>
  <c r="L67" i="154"/>
  <c r="M67" i="154"/>
  <c r="N67" i="154"/>
  <c r="P67" i="154"/>
  <c r="A63" i="154"/>
  <c r="H63" i="154"/>
  <c r="K63" i="154"/>
  <c r="L63" i="154"/>
  <c r="M63" i="154"/>
  <c r="N63" i="154"/>
  <c r="P63" i="154"/>
  <c r="A64" i="154"/>
  <c r="H64" i="154"/>
  <c r="K64" i="154"/>
  <c r="L64" i="154"/>
  <c r="M64" i="154"/>
  <c r="N64" i="154"/>
  <c r="P64" i="154"/>
  <c r="A60" i="154"/>
  <c r="H60" i="154"/>
  <c r="K60" i="154"/>
  <c r="L60" i="154"/>
  <c r="M60" i="154"/>
  <c r="N60" i="154"/>
  <c r="P60" i="154"/>
  <c r="A61" i="154"/>
  <c r="H61" i="154"/>
  <c r="K61" i="154"/>
  <c r="L61" i="154"/>
  <c r="M61" i="154"/>
  <c r="N61" i="154"/>
  <c r="P61" i="154"/>
  <c r="A57" i="154"/>
  <c r="H57" i="154"/>
  <c r="K57" i="154"/>
  <c r="L57" i="154"/>
  <c r="M57" i="154"/>
  <c r="N57" i="154"/>
  <c r="P57" i="154"/>
  <c r="A58" i="154"/>
  <c r="H58" i="154"/>
  <c r="K58" i="154"/>
  <c r="L58" i="154"/>
  <c r="M58" i="154"/>
  <c r="N58" i="154"/>
  <c r="P58" i="154"/>
  <c r="A54" i="154"/>
  <c r="H54" i="154"/>
  <c r="K54" i="154"/>
  <c r="L54" i="154"/>
  <c r="M54" i="154"/>
  <c r="N54" i="154"/>
  <c r="P54" i="154"/>
  <c r="A55" i="154"/>
  <c r="H55" i="154"/>
  <c r="K55" i="154"/>
  <c r="L55" i="154"/>
  <c r="M55" i="154"/>
  <c r="N55" i="154"/>
  <c r="P55" i="154"/>
  <c r="A51" i="154"/>
  <c r="H51" i="154"/>
  <c r="K51" i="154"/>
  <c r="L51" i="154"/>
  <c r="M51" i="154"/>
  <c r="N51" i="154"/>
  <c r="P51" i="154"/>
  <c r="A52" i="154"/>
  <c r="H52" i="154"/>
  <c r="K52" i="154"/>
  <c r="L52" i="154"/>
  <c r="M52" i="154"/>
  <c r="N52" i="154"/>
  <c r="P52" i="154"/>
  <c r="A48" i="154"/>
  <c r="H48" i="154"/>
  <c r="K48" i="154"/>
  <c r="L48" i="154"/>
  <c r="M48" i="154"/>
  <c r="N48" i="154"/>
  <c r="P48" i="154"/>
  <c r="A49" i="154"/>
  <c r="H49" i="154"/>
  <c r="K49" i="154"/>
  <c r="L49" i="154"/>
  <c r="M49" i="154"/>
  <c r="N49" i="154"/>
  <c r="P49" i="154"/>
  <c r="A45" i="154"/>
  <c r="H45" i="154"/>
  <c r="K45" i="154"/>
  <c r="L45" i="154"/>
  <c r="M45" i="154"/>
  <c r="N45" i="154"/>
  <c r="P45" i="154"/>
  <c r="A46" i="154"/>
  <c r="H46" i="154"/>
  <c r="K46" i="154"/>
  <c r="L46" i="154"/>
  <c r="M46" i="154"/>
  <c r="N46" i="154"/>
  <c r="P46" i="154"/>
  <c r="A2" i="154"/>
  <c r="H2" i="154"/>
  <c r="K2" i="154"/>
  <c r="L2" i="154"/>
  <c r="M2" i="154"/>
  <c r="N2" i="154"/>
  <c r="P2" i="154"/>
  <c r="A3" i="154"/>
  <c r="H3" i="154"/>
  <c r="K3" i="154"/>
  <c r="L3" i="154"/>
  <c r="M3" i="154"/>
  <c r="N3" i="154"/>
  <c r="P3" i="154"/>
  <c r="A4" i="154"/>
  <c r="H4" i="154"/>
  <c r="K4" i="154"/>
  <c r="L4" i="154"/>
  <c r="M4" i="154"/>
  <c r="N4" i="154"/>
  <c r="P4" i="154"/>
  <c r="A5" i="154"/>
  <c r="H5" i="154"/>
  <c r="K5" i="154"/>
  <c r="L5" i="154"/>
  <c r="M5" i="154"/>
  <c r="N5" i="154"/>
  <c r="P5" i="154"/>
  <c r="A6" i="154"/>
  <c r="H6" i="154"/>
  <c r="K6" i="154"/>
  <c r="L6" i="154"/>
  <c r="M6" i="154"/>
  <c r="N6" i="154"/>
  <c r="P6" i="154"/>
  <c r="A7" i="154"/>
  <c r="H7" i="154"/>
  <c r="K7" i="154"/>
  <c r="L7" i="154"/>
  <c r="M7" i="154"/>
  <c r="N7" i="154"/>
  <c r="P7" i="154"/>
  <c r="A8" i="154"/>
  <c r="H8" i="154"/>
  <c r="K8" i="154"/>
  <c r="L8" i="154"/>
  <c r="M8" i="154"/>
  <c r="N8" i="154"/>
  <c r="P8" i="154"/>
  <c r="A9" i="154"/>
  <c r="H9" i="154"/>
  <c r="K9" i="154"/>
  <c r="L9" i="154"/>
  <c r="M9" i="154"/>
  <c r="N9" i="154"/>
  <c r="P9" i="154"/>
  <c r="A10" i="154"/>
  <c r="H10" i="154"/>
  <c r="K10" i="154"/>
  <c r="L10" i="154"/>
  <c r="M10" i="154"/>
  <c r="N10" i="154"/>
  <c r="P10" i="154"/>
  <c r="A11" i="154"/>
  <c r="H11" i="154"/>
  <c r="K11" i="154"/>
  <c r="L11" i="154"/>
  <c r="M11" i="154"/>
  <c r="N11" i="154"/>
  <c r="P11" i="154"/>
  <c r="A12" i="154"/>
  <c r="H12" i="154"/>
  <c r="K12" i="154"/>
  <c r="L12" i="154"/>
  <c r="M12" i="154"/>
  <c r="N12" i="154"/>
  <c r="P12" i="154"/>
  <c r="A13" i="154"/>
  <c r="H13" i="154"/>
  <c r="K13" i="154"/>
  <c r="L13" i="154"/>
  <c r="M13" i="154"/>
  <c r="N13" i="154"/>
  <c r="P13" i="154"/>
  <c r="A14" i="154"/>
  <c r="H14" i="154"/>
  <c r="K14" i="154"/>
  <c r="L14" i="154"/>
  <c r="M14" i="154"/>
  <c r="N14" i="154"/>
  <c r="P14" i="154"/>
  <c r="A15" i="154"/>
  <c r="H15" i="154"/>
  <c r="K15" i="154"/>
  <c r="L15" i="154"/>
  <c r="M15" i="154"/>
  <c r="N15" i="154"/>
  <c r="P15" i="154"/>
  <c r="A16" i="154"/>
  <c r="H16" i="154"/>
  <c r="K16" i="154"/>
  <c r="L16" i="154"/>
  <c r="M16" i="154"/>
  <c r="N16" i="154"/>
  <c r="P16" i="154"/>
  <c r="A17" i="154"/>
  <c r="H17" i="154"/>
  <c r="K17" i="154"/>
  <c r="L17" i="154"/>
  <c r="M17" i="154"/>
  <c r="N17" i="154"/>
  <c r="P17" i="154"/>
  <c r="A18" i="154"/>
  <c r="H18" i="154"/>
  <c r="K18" i="154"/>
  <c r="L18" i="154"/>
  <c r="M18" i="154"/>
  <c r="N18" i="154"/>
  <c r="P18" i="154"/>
  <c r="A19" i="154"/>
  <c r="H19" i="154"/>
  <c r="K19" i="154"/>
  <c r="L19" i="154"/>
  <c r="M19" i="154"/>
  <c r="N19" i="154"/>
  <c r="P19" i="154"/>
  <c r="A20" i="154"/>
  <c r="H20" i="154"/>
  <c r="K20" i="154"/>
  <c r="L20" i="154"/>
  <c r="M20" i="154"/>
  <c r="N20" i="154"/>
  <c r="P20" i="154"/>
  <c r="A21" i="154"/>
  <c r="H21" i="154"/>
  <c r="K21" i="154"/>
  <c r="L21" i="154"/>
  <c r="M21" i="154"/>
  <c r="N21" i="154"/>
  <c r="P21" i="154"/>
  <c r="A22" i="154"/>
  <c r="H22" i="154"/>
  <c r="K22" i="154"/>
  <c r="L22" i="154"/>
  <c r="M22" i="154"/>
  <c r="N22" i="154"/>
  <c r="P22" i="154"/>
  <c r="A23" i="154"/>
  <c r="H23" i="154"/>
  <c r="K23" i="154"/>
  <c r="L23" i="154"/>
  <c r="M23" i="154"/>
  <c r="N23" i="154"/>
  <c r="P23" i="154"/>
  <c r="A24" i="154"/>
  <c r="H24" i="154"/>
  <c r="K24" i="154"/>
  <c r="L24" i="154"/>
  <c r="M24" i="154"/>
  <c r="N24" i="154"/>
  <c r="P24" i="154"/>
  <c r="A25" i="154"/>
  <c r="H25" i="154"/>
  <c r="K25" i="154"/>
  <c r="L25" i="154"/>
  <c r="M25" i="154"/>
  <c r="N25" i="154"/>
  <c r="P25" i="154"/>
  <c r="A26" i="154"/>
  <c r="H26" i="154"/>
  <c r="K26" i="154"/>
  <c r="L26" i="154"/>
  <c r="M26" i="154"/>
  <c r="N26" i="154"/>
  <c r="P26" i="154"/>
  <c r="A27" i="154"/>
  <c r="H27" i="154"/>
  <c r="K27" i="154"/>
  <c r="L27" i="154"/>
  <c r="M27" i="154"/>
  <c r="N27" i="154"/>
  <c r="P27" i="154"/>
  <c r="A28" i="154"/>
  <c r="H28" i="154"/>
  <c r="K28" i="154"/>
  <c r="L28" i="154"/>
  <c r="M28" i="154"/>
  <c r="N28" i="154"/>
  <c r="P28" i="154"/>
  <c r="A29" i="154"/>
  <c r="H29" i="154"/>
  <c r="K29" i="154"/>
  <c r="L29" i="154"/>
  <c r="M29" i="154"/>
  <c r="N29" i="154"/>
  <c r="P29" i="154"/>
  <c r="A30" i="154"/>
  <c r="H30" i="154"/>
  <c r="K30" i="154"/>
  <c r="L30" i="154"/>
  <c r="M30" i="154"/>
  <c r="N30" i="154"/>
  <c r="P30" i="154"/>
  <c r="A31" i="154"/>
  <c r="H31" i="154"/>
  <c r="K31" i="154"/>
  <c r="L31" i="154"/>
  <c r="M31" i="154"/>
  <c r="N31" i="154"/>
  <c r="P31" i="154"/>
  <c r="A32" i="154"/>
  <c r="H32" i="154"/>
  <c r="K32" i="154"/>
  <c r="L32" i="154"/>
  <c r="M32" i="154"/>
  <c r="N32" i="154"/>
  <c r="P32" i="154"/>
  <c r="A33" i="154"/>
  <c r="H33" i="154"/>
  <c r="K33" i="154"/>
  <c r="L33" i="154"/>
  <c r="M33" i="154"/>
  <c r="N33" i="154"/>
  <c r="P33" i="154"/>
  <c r="A34" i="154"/>
  <c r="H34" i="154"/>
  <c r="K34" i="154"/>
  <c r="L34" i="154"/>
  <c r="M34" i="154"/>
  <c r="N34" i="154"/>
  <c r="P34" i="154"/>
  <c r="A35" i="154"/>
  <c r="H35" i="154"/>
  <c r="K35" i="154"/>
  <c r="L35" i="154"/>
  <c r="M35" i="154"/>
  <c r="N35" i="154"/>
  <c r="P35" i="154"/>
  <c r="A36" i="154"/>
  <c r="H36" i="154"/>
  <c r="K36" i="154"/>
  <c r="L36" i="154"/>
  <c r="M36" i="154"/>
  <c r="N36" i="154"/>
  <c r="P36" i="154"/>
  <c r="A37" i="154"/>
  <c r="H37" i="154"/>
  <c r="K37" i="154"/>
  <c r="L37" i="154"/>
  <c r="M37" i="154"/>
  <c r="N37" i="154"/>
  <c r="P37" i="154"/>
  <c r="A38" i="154"/>
  <c r="H38" i="154"/>
  <c r="K38" i="154"/>
  <c r="L38" i="154"/>
  <c r="M38" i="154"/>
  <c r="N38" i="154"/>
  <c r="P38" i="154"/>
  <c r="A39" i="154"/>
  <c r="H39" i="154"/>
  <c r="K39" i="154"/>
  <c r="L39" i="154"/>
  <c r="M39" i="154"/>
  <c r="N39" i="154"/>
  <c r="P39" i="154"/>
  <c r="A40" i="154"/>
  <c r="H40" i="154"/>
  <c r="K40" i="154"/>
  <c r="L40" i="154"/>
  <c r="M40" i="154"/>
  <c r="N40" i="154"/>
  <c r="P40" i="154"/>
  <c r="A41" i="154"/>
  <c r="H41" i="154"/>
  <c r="K41" i="154"/>
  <c r="L41" i="154"/>
  <c r="M41" i="154"/>
  <c r="N41" i="154"/>
  <c r="P41" i="154"/>
  <c r="A42" i="154"/>
  <c r="H42" i="154"/>
  <c r="K42" i="154"/>
  <c r="L42" i="154"/>
  <c r="M42" i="154"/>
  <c r="N42" i="154"/>
  <c r="P42" i="154"/>
  <c r="A43" i="154"/>
  <c r="H43" i="154"/>
  <c r="K43" i="154"/>
  <c r="L43" i="154"/>
  <c r="M43" i="154"/>
  <c r="N43" i="154"/>
  <c r="P43" i="154"/>
  <c r="F42" i="153"/>
  <c r="G42" i="153"/>
  <c r="H357" i="154"/>
  <c r="K357" i="154"/>
  <c r="L357" i="154"/>
  <c r="M357" i="154"/>
  <c r="N357" i="154"/>
  <c r="P357" i="154"/>
  <c r="H358" i="154"/>
  <c r="K358" i="154"/>
  <c r="L358" i="154"/>
  <c r="M358" i="154"/>
  <c r="N358" i="154"/>
  <c r="P358" i="154"/>
  <c r="H359" i="154"/>
  <c r="K359" i="154"/>
  <c r="L359" i="154"/>
  <c r="M359" i="154"/>
  <c r="N359" i="154"/>
  <c r="P359" i="154"/>
  <c r="H360" i="154"/>
  <c r="K360" i="154"/>
  <c r="L360" i="154"/>
  <c r="M360" i="154"/>
  <c r="N360" i="154"/>
  <c r="P360" i="154"/>
  <c r="A357" i="154"/>
  <c r="A358" i="154"/>
  <c r="A359" i="154"/>
  <c r="A360" i="154"/>
  <c r="C2" i="103"/>
  <c r="E5" i="153"/>
  <c r="R3" i="153"/>
  <c r="P314" i="154"/>
  <c r="P317" i="154"/>
  <c r="P321" i="154"/>
  <c r="P328" i="154"/>
  <c r="P44" i="154"/>
  <c r="P47" i="154"/>
  <c r="P50" i="154"/>
  <c r="P53" i="154"/>
  <c r="P56" i="154"/>
  <c r="P59" i="154"/>
  <c r="P62" i="154"/>
  <c r="P65" i="154"/>
  <c r="P68" i="154"/>
  <c r="P71" i="154"/>
  <c r="P74" i="154"/>
  <c r="P77" i="154"/>
  <c r="P80" i="154"/>
  <c r="P83" i="154"/>
  <c r="P86" i="154"/>
  <c r="P89" i="154"/>
  <c r="P92" i="154"/>
  <c r="P95" i="154"/>
  <c r="P98" i="154"/>
  <c r="P101" i="154"/>
  <c r="P104" i="154"/>
  <c r="P107" i="154"/>
  <c r="P110" i="154"/>
  <c r="P113" i="154"/>
  <c r="P116" i="154"/>
  <c r="P119" i="154"/>
  <c r="P122" i="154"/>
  <c r="P125" i="154"/>
  <c r="P128" i="154"/>
  <c r="P131" i="154"/>
  <c r="P134" i="154"/>
  <c r="P137" i="154"/>
  <c r="P139" i="154"/>
  <c r="P141" i="154"/>
  <c r="P143" i="154"/>
  <c r="P145" i="154"/>
  <c r="P148" i="154"/>
  <c r="P150" i="154"/>
  <c r="P152" i="154"/>
  <c r="P155" i="154"/>
  <c r="P157" i="154"/>
  <c r="P160" i="154"/>
  <c r="P163" i="154"/>
  <c r="P165" i="154"/>
  <c r="P168" i="154"/>
  <c r="P170" i="154"/>
  <c r="P173" i="154"/>
  <c r="P175" i="154"/>
  <c r="P177" i="154"/>
  <c r="P180" i="154"/>
  <c r="P183" i="154"/>
  <c r="P185" i="154"/>
  <c r="P188" i="154"/>
  <c r="P190" i="154"/>
  <c r="P192" i="154"/>
  <c r="P195" i="154"/>
  <c r="P197" i="154"/>
  <c r="P200" i="154"/>
  <c r="P202" i="154"/>
  <c r="P205" i="154"/>
  <c r="P207" i="154"/>
  <c r="P209" i="154"/>
  <c r="P212" i="154"/>
  <c r="P214" i="154"/>
  <c r="P215" i="154"/>
  <c r="P216" i="154"/>
  <c r="P217" i="154"/>
  <c r="P218" i="154"/>
  <c r="P219" i="154"/>
  <c r="P220" i="154"/>
  <c r="P222" i="154"/>
  <c r="P225" i="154"/>
  <c r="P228" i="154"/>
  <c r="P230" i="154"/>
  <c r="P233" i="154"/>
  <c r="P236" i="154"/>
  <c r="P238" i="154"/>
  <c r="P241" i="154"/>
  <c r="P243" i="154"/>
  <c r="P245" i="154"/>
  <c r="P248" i="154"/>
  <c r="P251" i="154"/>
  <c r="P254" i="154"/>
  <c r="P257" i="154"/>
  <c r="P259" i="154"/>
  <c r="P261" i="154"/>
  <c r="P263" i="154"/>
  <c r="P265" i="154"/>
  <c r="P266" i="154"/>
  <c r="P267" i="154"/>
  <c r="P268" i="154"/>
  <c r="P269" i="154"/>
  <c r="P271" i="154"/>
  <c r="P273" i="154"/>
  <c r="P275" i="154"/>
  <c r="P277" i="154"/>
  <c r="P280" i="154"/>
  <c r="P283" i="154"/>
  <c r="P284" i="154"/>
  <c r="P285" i="154"/>
  <c r="P287" i="154"/>
  <c r="P289" i="154"/>
  <c r="P291" i="154"/>
  <c r="P293" i="154"/>
  <c r="P294" i="154"/>
  <c r="P295" i="154"/>
  <c r="P296" i="154"/>
  <c r="P298" i="154"/>
  <c r="P299" i="154"/>
  <c r="P300" i="154"/>
  <c r="P301" i="154"/>
  <c r="P302" i="154"/>
  <c r="P304" i="154"/>
  <c r="P305" i="154"/>
  <c r="P307" i="154"/>
  <c r="P308" i="154"/>
  <c r="P309" i="154"/>
  <c r="P310" i="154"/>
  <c r="P312" i="154"/>
  <c r="P313" i="154"/>
  <c r="P315" i="154"/>
  <c r="P316" i="154"/>
  <c r="P319" i="154"/>
  <c r="P320" i="154"/>
  <c r="P322" i="154"/>
  <c r="P323" i="154"/>
  <c r="P325" i="154"/>
  <c r="P327" i="154"/>
  <c r="P329" i="154"/>
  <c r="P330" i="154"/>
  <c r="P331" i="154"/>
  <c r="P332" i="154"/>
  <c r="P333" i="154"/>
  <c r="P335" i="154"/>
  <c r="P337" i="154"/>
  <c r="P338" i="154"/>
  <c r="P339" i="154"/>
  <c r="P340" i="154"/>
  <c r="P341" i="154"/>
  <c r="P343" i="154"/>
  <c r="P344" i="154"/>
  <c r="P345" i="154"/>
  <c r="P346" i="154"/>
  <c r="P347" i="154"/>
  <c r="P348" i="154"/>
  <c r="P350" i="154"/>
  <c r="P351" i="154"/>
  <c r="P352" i="154"/>
  <c r="P353" i="154"/>
  <c r="P355" i="154"/>
  <c r="F49" i="153"/>
  <c r="F48" i="153"/>
  <c r="A355" i="154"/>
  <c r="A353" i="154"/>
  <c r="A352" i="154"/>
  <c r="A351" i="154"/>
  <c r="H355" i="154"/>
  <c r="K355" i="154"/>
  <c r="L355" i="154"/>
  <c r="M355" i="154"/>
  <c r="N355" i="154"/>
  <c r="B10" i="153"/>
  <c r="B30" i="153"/>
  <c r="H351" i="154"/>
  <c r="K351" i="154"/>
  <c r="L351" i="154"/>
  <c r="M351" i="154"/>
  <c r="N351" i="154"/>
  <c r="H352" i="154"/>
  <c r="K352" i="154"/>
  <c r="L352" i="154"/>
  <c r="M352" i="154"/>
  <c r="N352" i="154"/>
  <c r="H353" i="154"/>
  <c r="K353" i="154"/>
  <c r="L353" i="154"/>
  <c r="M353" i="154"/>
  <c r="N353" i="154"/>
  <c r="A350" i="154"/>
  <c r="A346" i="154"/>
  <c r="A347" i="154"/>
  <c r="A348" i="154"/>
  <c r="H346" i="154"/>
  <c r="K346" i="154"/>
  <c r="L346" i="154"/>
  <c r="M346" i="154"/>
  <c r="N346" i="154"/>
  <c r="H347" i="154"/>
  <c r="K347" i="154"/>
  <c r="L347" i="154"/>
  <c r="M347" i="154"/>
  <c r="N347" i="154"/>
  <c r="H348" i="154"/>
  <c r="K348" i="154"/>
  <c r="L348" i="154"/>
  <c r="M348" i="154"/>
  <c r="N348" i="154"/>
  <c r="H350" i="154"/>
  <c r="K350" i="154"/>
  <c r="L350" i="154"/>
  <c r="M350" i="154"/>
  <c r="N350" i="154"/>
  <c r="H341" i="154"/>
  <c r="K341" i="154"/>
  <c r="L341" i="154"/>
  <c r="M341" i="154"/>
  <c r="N341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A341" i="154"/>
  <c r="A343" i="154"/>
  <c r="A344" i="154"/>
  <c r="A345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7" i="154"/>
  <c r="A338" i="154"/>
  <c r="A339" i="154"/>
  <c r="A340" i="154"/>
  <c r="R6" i="153"/>
  <c r="F41" i="153"/>
  <c r="G41" i="153"/>
  <c r="R4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5" i="154"/>
  <c r="K335" i="154"/>
  <c r="L335" i="154"/>
  <c r="M335" i="154"/>
  <c r="N335" i="154"/>
  <c r="A331" i="154"/>
  <c r="A332" i="154"/>
  <c r="A333" i="154"/>
  <c r="A335" i="154"/>
  <c r="M7" i="153"/>
  <c r="M6" i="153"/>
  <c r="M5" i="153"/>
  <c r="M4" i="153"/>
  <c r="M3" i="153"/>
  <c r="H325" i="154"/>
  <c r="K325" i="154"/>
  <c r="L325" i="154"/>
  <c r="M325" i="154"/>
  <c r="N325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A320" i="154"/>
  <c r="A321" i="154"/>
  <c r="A322" i="154"/>
  <c r="A323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9" i="154"/>
  <c r="K319" i="154"/>
  <c r="L319" i="154"/>
  <c r="M319" i="154"/>
  <c r="N319" i="154"/>
  <c r="A315" i="154"/>
  <c r="A316" i="154"/>
  <c r="A317" i="154"/>
  <c r="A319" i="154"/>
  <c r="H310" i="154"/>
  <c r="K310" i="154"/>
  <c r="L310" i="154"/>
  <c r="M310" i="154"/>
  <c r="N310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A291" i="154"/>
  <c r="H291" i="154"/>
  <c r="K291" i="154"/>
  <c r="L291" i="154"/>
  <c r="M291" i="154"/>
  <c r="N291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9" i="154"/>
  <c r="K289" i="154"/>
  <c r="L289" i="154"/>
  <c r="M289" i="154"/>
  <c r="N289" i="154"/>
  <c r="A287" i="154"/>
  <c r="A289" i="154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4" i="154"/>
  <c r="H284" i="154"/>
  <c r="K284" i="154"/>
  <c r="L284" i="154"/>
  <c r="M284" i="154"/>
  <c r="N284" i="154"/>
  <c r="C5" i="103"/>
  <c r="E5" i="103"/>
  <c r="C6" i="103"/>
  <c r="E6" i="103"/>
  <c r="E2" i="103"/>
  <c r="N283" i="154"/>
  <c r="M283" i="154"/>
  <c r="L283" i="154"/>
  <c r="K283" i="154"/>
  <c r="H283" i="154"/>
  <c r="A283" i="154"/>
  <c r="N280" i="154"/>
  <c r="M280" i="154"/>
  <c r="L280" i="154"/>
  <c r="K280" i="154"/>
  <c r="H280" i="154"/>
  <c r="A280" i="154"/>
  <c r="N277" i="154"/>
  <c r="M277" i="154"/>
  <c r="L277" i="154"/>
  <c r="K277" i="154"/>
  <c r="H277" i="154"/>
  <c r="A277" i="154"/>
  <c r="N275" i="154"/>
  <c r="M275" i="154"/>
  <c r="L275" i="154"/>
  <c r="K275" i="154"/>
  <c r="H275" i="154"/>
  <c r="A275" i="154"/>
  <c r="N273" i="154"/>
  <c r="M273" i="154"/>
  <c r="L273" i="154"/>
  <c r="K273" i="154"/>
  <c r="H273" i="154"/>
  <c r="A273" i="154"/>
  <c r="N271" i="154"/>
  <c r="M271" i="154"/>
  <c r="L271" i="154"/>
  <c r="K271" i="154"/>
  <c r="H271" i="154"/>
  <c r="A271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3" i="154"/>
  <c r="M263" i="154"/>
  <c r="L263" i="154"/>
  <c r="K263" i="154"/>
  <c r="H263" i="154"/>
  <c r="A263" i="154"/>
  <c r="N261" i="154"/>
  <c r="M261" i="154"/>
  <c r="L261" i="154"/>
  <c r="K261" i="154"/>
  <c r="H261" i="154"/>
  <c r="A261" i="154"/>
  <c r="N259" i="154"/>
  <c r="M259" i="154"/>
  <c r="L259" i="154"/>
  <c r="K259" i="154"/>
  <c r="H259" i="154"/>
  <c r="A259" i="154"/>
  <c r="N257" i="154"/>
  <c r="M257" i="154"/>
  <c r="L257" i="154"/>
  <c r="K257" i="154"/>
  <c r="H257" i="154"/>
  <c r="A257" i="154"/>
  <c r="N254" i="154"/>
  <c r="M254" i="154"/>
  <c r="L254" i="154"/>
  <c r="K254" i="154"/>
  <c r="H254" i="154"/>
  <c r="A254" i="154"/>
  <c r="N251" i="154"/>
  <c r="M251" i="154"/>
  <c r="L251" i="154"/>
  <c r="K251" i="154"/>
  <c r="H251" i="154"/>
  <c r="A251" i="154"/>
  <c r="N248" i="154"/>
  <c r="M248" i="154"/>
  <c r="L248" i="154"/>
  <c r="K248" i="154"/>
  <c r="H248" i="154"/>
  <c r="A248" i="154"/>
  <c r="N245" i="154"/>
  <c r="M245" i="154"/>
  <c r="L245" i="154"/>
  <c r="K245" i="154"/>
  <c r="H245" i="154"/>
  <c r="A245" i="154"/>
  <c r="N243" i="154"/>
  <c r="M243" i="154"/>
  <c r="L243" i="154"/>
  <c r="K243" i="154"/>
  <c r="H243" i="154"/>
  <c r="A243" i="154"/>
  <c r="N241" i="154"/>
  <c r="M241" i="154"/>
  <c r="L241" i="154"/>
  <c r="K241" i="154"/>
  <c r="H241" i="154"/>
  <c r="A241" i="154"/>
  <c r="N238" i="154"/>
  <c r="M238" i="154"/>
  <c r="L238" i="154"/>
  <c r="K238" i="154"/>
  <c r="H238" i="154"/>
  <c r="A238" i="154"/>
  <c r="N236" i="154"/>
  <c r="M236" i="154"/>
  <c r="L236" i="154"/>
  <c r="K236" i="154"/>
  <c r="H236" i="154"/>
  <c r="A236" i="154"/>
  <c r="N233" i="154"/>
  <c r="M233" i="154"/>
  <c r="L233" i="154"/>
  <c r="K233" i="154"/>
  <c r="H233" i="154"/>
  <c r="A233" i="154"/>
  <c r="N230" i="154"/>
  <c r="M230" i="154"/>
  <c r="L230" i="154"/>
  <c r="K230" i="154"/>
  <c r="H230" i="154"/>
  <c r="A230" i="154"/>
  <c r="N228" i="154"/>
  <c r="M228" i="154"/>
  <c r="L228" i="154"/>
  <c r="K228" i="154"/>
  <c r="H228" i="154"/>
  <c r="A228" i="154"/>
  <c r="N225" i="154"/>
  <c r="M225" i="154"/>
  <c r="L225" i="154"/>
  <c r="K225" i="154"/>
  <c r="H225" i="154"/>
  <c r="A225" i="154"/>
  <c r="N222" i="154"/>
  <c r="M222" i="154"/>
  <c r="L222" i="154"/>
  <c r="K222" i="154"/>
  <c r="H222" i="154"/>
  <c r="A222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2" i="154"/>
  <c r="M212" i="154"/>
  <c r="L212" i="154"/>
  <c r="K212" i="154"/>
  <c r="H212" i="154"/>
  <c r="A212" i="154"/>
  <c r="N209" i="154"/>
  <c r="M209" i="154"/>
  <c r="L209" i="154"/>
  <c r="K209" i="154"/>
  <c r="H209" i="154"/>
  <c r="A209" i="154"/>
  <c r="N207" i="154"/>
  <c r="M207" i="154"/>
  <c r="L207" i="154"/>
  <c r="K207" i="154"/>
  <c r="H207" i="154"/>
  <c r="A207" i="154"/>
  <c r="N205" i="154"/>
  <c r="M205" i="154"/>
  <c r="L205" i="154"/>
  <c r="K205" i="154"/>
  <c r="H205" i="154"/>
  <c r="A205" i="154"/>
  <c r="N202" i="154"/>
  <c r="M202" i="154"/>
  <c r="L202" i="154"/>
  <c r="K202" i="154"/>
  <c r="H202" i="154"/>
  <c r="A202" i="154"/>
  <c r="N200" i="154"/>
  <c r="M200" i="154"/>
  <c r="L200" i="154"/>
  <c r="K200" i="154"/>
  <c r="H200" i="154"/>
  <c r="A200" i="154"/>
  <c r="N197" i="154"/>
  <c r="M197" i="154"/>
  <c r="L197" i="154"/>
  <c r="K197" i="154"/>
  <c r="H197" i="154"/>
  <c r="A197" i="154"/>
  <c r="N195" i="154"/>
  <c r="M195" i="154"/>
  <c r="L195" i="154"/>
  <c r="K195" i="154"/>
  <c r="H195" i="154"/>
  <c r="A195" i="154"/>
  <c r="N192" i="154"/>
  <c r="M192" i="154"/>
  <c r="L192" i="154"/>
  <c r="K192" i="154"/>
  <c r="H192" i="154"/>
  <c r="A192" i="154"/>
  <c r="N190" i="154"/>
  <c r="M190" i="154"/>
  <c r="L190" i="154"/>
  <c r="K190" i="154"/>
  <c r="H190" i="154"/>
  <c r="A190" i="154"/>
  <c r="N188" i="154"/>
  <c r="M188" i="154"/>
  <c r="L188" i="154"/>
  <c r="K188" i="154"/>
  <c r="H188" i="154"/>
  <c r="A188" i="154"/>
  <c r="N185" i="154"/>
  <c r="M185" i="154"/>
  <c r="L185" i="154"/>
  <c r="K185" i="154"/>
  <c r="H185" i="154"/>
  <c r="A185" i="154"/>
  <c r="N183" i="154"/>
  <c r="M183" i="154"/>
  <c r="L183" i="154"/>
  <c r="K183" i="154"/>
  <c r="H183" i="154"/>
  <c r="A183" i="154"/>
  <c r="N180" i="154"/>
  <c r="M180" i="154"/>
  <c r="L180" i="154"/>
  <c r="K180" i="154"/>
  <c r="H180" i="154"/>
  <c r="A180" i="154"/>
  <c r="N177" i="154"/>
  <c r="M177" i="154"/>
  <c r="L177" i="154"/>
  <c r="K177" i="154"/>
  <c r="H177" i="154"/>
  <c r="A177" i="154"/>
  <c r="N175" i="154"/>
  <c r="M175" i="154"/>
  <c r="L175" i="154"/>
  <c r="K175" i="154"/>
  <c r="H175" i="154"/>
  <c r="A175" i="154"/>
  <c r="N173" i="154"/>
  <c r="M173" i="154"/>
  <c r="L173" i="154"/>
  <c r="K173" i="154"/>
  <c r="H173" i="154"/>
  <c r="A173" i="154"/>
  <c r="N170" i="154"/>
  <c r="M170" i="154"/>
  <c r="L170" i="154"/>
  <c r="K170" i="154"/>
  <c r="H170" i="154"/>
  <c r="A170" i="154"/>
  <c r="N168" i="154"/>
  <c r="M168" i="154"/>
  <c r="L168" i="154"/>
  <c r="K168" i="154"/>
  <c r="H168" i="154"/>
  <c r="A168" i="154"/>
  <c r="N165" i="154"/>
  <c r="M165" i="154"/>
  <c r="L165" i="154"/>
  <c r="K165" i="154"/>
  <c r="H165" i="154"/>
  <c r="A165" i="154"/>
  <c r="N163" i="154"/>
  <c r="M163" i="154"/>
  <c r="L163" i="154"/>
  <c r="K163" i="154"/>
  <c r="H163" i="154"/>
  <c r="A163" i="154"/>
  <c r="N160" i="154"/>
  <c r="M160" i="154"/>
  <c r="L160" i="154"/>
  <c r="K160" i="154"/>
  <c r="H160" i="154"/>
  <c r="A160" i="154"/>
  <c r="N157" i="154"/>
  <c r="M157" i="154"/>
  <c r="L157" i="154"/>
  <c r="K157" i="154"/>
  <c r="H157" i="154"/>
  <c r="A157" i="154"/>
  <c r="N155" i="154"/>
  <c r="M155" i="154"/>
  <c r="L155" i="154"/>
  <c r="K155" i="154"/>
  <c r="H155" i="154"/>
  <c r="A155" i="154"/>
  <c r="N152" i="154"/>
  <c r="M152" i="154"/>
  <c r="L152" i="154"/>
  <c r="K152" i="154"/>
  <c r="H152" i="154"/>
  <c r="A152" i="154"/>
  <c r="N150" i="154"/>
  <c r="M150" i="154"/>
  <c r="L150" i="154"/>
  <c r="K150" i="154"/>
  <c r="H150" i="154"/>
  <c r="A150" i="154"/>
  <c r="N148" i="154"/>
  <c r="M148" i="154"/>
  <c r="L148" i="154"/>
  <c r="K148" i="154"/>
  <c r="H148" i="154"/>
  <c r="A148" i="154"/>
  <c r="N145" i="154"/>
  <c r="M145" i="154"/>
  <c r="L145" i="154"/>
  <c r="K145" i="154"/>
  <c r="H145" i="154"/>
  <c r="A145" i="154"/>
  <c r="N143" i="154"/>
  <c r="M143" i="154"/>
  <c r="L143" i="154"/>
  <c r="K143" i="154"/>
  <c r="H143" i="154"/>
  <c r="A143" i="154"/>
  <c r="N141" i="154"/>
  <c r="M141" i="154"/>
  <c r="L141" i="154"/>
  <c r="K141" i="154"/>
  <c r="H141" i="154"/>
  <c r="A141" i="154"/>
  <c r="N139" i="154"/>
  <c r="M139" i="154"/>
  <c r="L139" i="154"/>
  <c r="K139" i="154"/>
  <c r="H139" i="154"/>
  <c r="A139" i="154"/>
  <c r="N137" i="154"/>
  <c r="M137" i="154"/>
  <c r="L137" i="154"/>
  <c r="K137" i="154"/>
  <c r="H137" i="154"/>
  <c r="A137" i="154"/>
  <c r="N134" i="154"/>
  <c r="M134" i="154"/>
  <c r="L134" i="154"/>
  <c r="K134" i="154"/>
  <c r="H134" i="154"/>
  <c r="A134" i="154"/>
  <c r="N131" i="154"/>
  <c r="M131" i="154"/>
  <c r="L131" i="154"/>
  <c r="K131" i="154"/>
  <c r="H131" i="154"/>
  <c r="A131" i="154"/>
  <c r="N128" i="154"/>
  <c r="M128" i="154"/>
  <c r="L128" i="154"/>
  <c r="K128" i="154"/>
  <c r="H128" i="154"/>
  <c r="A128" i="154"/>
  <c r="N125" i="154"/>
  <c r="M125" i="154"/>
  <c r="L125" i="154"/>
  <c r="K125" i="154"/>
  <c r="H125" i="154"/>
  <c r="A125" i="154"/>
  <c r="N122" i="154"/>
  <c r="M122" i="154"/>
  <c r="L122" i="154"/>
  <c r="K122" i="154"/>
  <c r="H122" i="154"/>
  <c r="A122" i="154"/>
  <c r="N119" i="154"/>
  <c r="M119" i="154"/>
  <c r="L119" i="154"/>
  <c r="K119" i="154"/>
  <c r="H119" i="154"/>
  <c r="A119" i="154"/>
  <c r="N116" i="154"/>
  <c r="M116" i="154"/>
  <c r="L116" i="154"/>
  <c r="K116" i="154"/>
  <c r="H116" i="154"/>
  <c r="A116" i="154"/>
  <c r="N113" i="154"/>
  <c r="M113" i="154"/>
  <c r="L113" i="154"/>
  <c r="K113" i="154"/>
  <c r="H113" i="154"/>
  <c r="A113" i="154"/>
  <c r="N110" i="154"/>
  <c r="M110" i="154"/>
  <c r="L110" i="154"/>
  <c r="K110" i="154"/>
  <c r="H110" i="154"/>
  <c r="A110" i="154"/>
  <c r="N107" i="154"/>
  <c r="M107" i="154"/>
  <c r="L107" i="154"/>
  <c r="K107" i="154"/>
  <c r="H107" i="154"/>
  <c r="A107" i="154"/>
  <c r="N104" i="154"/>
  <c r="M104" i="154"/>
  <c r="L104" i="154"/>
  <c r="K104" i="154"/>
  <c r="H104" i="154"/>
  <c r="A104" i="154"/>
  <c r="N101" i="154"/>
  <c r="M101" i="154"/>
  <c r="L101" i="154"/>
  <c r="K101" i="154"/>
  <c r="H101" i="154"/>
  <c r="A101" i="154"/>
  <c r="N98" i="154"/>
  <c r="M98" i="154"/>
  <c r="L98" i="154"/>
  <c r="K98" i="154"/>
  <c r="H98" i="154"/>
  <c r="A98" i="154"/>
  <c r="N95" i="154"/>
  <c r="M95" i="154"/>
  <c r="L95" i="154"/>
  <c r="K95" i="154"/>
  <c r="H95" i="154"/>
  <c r="A95" i="154"/>
  <c r="N92" i="154"/>
  <c r="M92" i="154"/>
  <c r="L92" i="154"/>
  <c r="K92" i="154"/>
  <c r="H92" i="154"/>
  <c r="A92" i="154"/>
  <c r="N89" i="154"/>
  <c r="M89" i="154"/>
  <c r="L89" i="154"/>
  <c r="K89" i="154"/>
  <c r="H89" i="154"/>
  <c r="A89" i="154"/>
  <c r="N86" i="154"/>
  <c r="M86" i="154"/>
  <c r="L86" i="154"/>
  <c r="K86" i="154"/>
  <c r="H86" i="154"/>
  <c r="A86" i="154"/>
  <c r="N83" i="154"/>
  <c r="M83" i="154"/>
  <c r="L83" i="154"/>
  <c r="K83" i="154"/>
  <c r="H83" i="154"/>
  <c r="A83" i="154"/>
  <c r="N80" i="154"/>
  <c r="M80" i="154"/>
  <c r="L80" i="154"/>
  <c r="K80" i="154"/>
  <c r="H80" i="154"/>
  <c r="A80" i="154"/>
  <c r="N77" i="154"/>
  <c r="M77" i="154"/>
  <c r="L77" i="154"/>
  <c r="K77" i="154"/>
  <c r="H77" i="154"/>
  <c r="A77" i="154"/>
  <c r="N74" i="154"/>
  <c r="M74" i="154"/>
  <c r="L74" i="154"/>
  <c r="K74" i="154"/>
  <c r="H74" i="154"/>
  <c r="A74" i="154"/>
  <c r="N71" i="154"/>
  <c r="M71" i="154"/>
  <c r="L71" i="154"/>
  <c r="K71" i="154"/>
  <c r="H71" i="154"/>
  <c r="A71" i="154"/>
  <c r="N68" i="154"/>
  <c r="M68" i="154"/>
  <c r="L68" i="154"/>
  <c r="K68" i="154"/>
  <c r="H68" i="154"/>
  <c r="A68" i="154"/>
  <c r="N65" i="154"/>
  <c r="M65" i="154"/>
  <c r="L65" i="154"/>
  <c r="K65" i="154"/>
  <c r="H65" i="154"/>
  <c r="A65" i="154"/>
  <c r="N62" i="154"/>
  <c r="M62" i="154"/>
  <c r="L62" i="154"/>
  <c r="K62" i="154"/>
  <c r="H62" i="154"/>
  <c r="A62" i="154"/>
  <c r="N59" i="154"/>
  <c r="M59" i="154"/>
  <c r="L59" i="154"/>
  <c r="K59" i="154"/>
  <c r="H59" i="154"/>
  <c r="A59" i="154"/>
  <c r="N56" i="154"/>
  <c r="M56" i="154"/>
  <c r="L56" i="154"/>
  <c r="K56" i="154"/>
  <c r="H56" i="154"/>
  <c r="A56" i="154"/>
  <c r="N53" i="154"/>
  <c r="M53" i="154"/>
  <c r="L53" i="154"/>
  <c r="K53" i="154"/>
  <c r="H53" i="154"/>
  <c r="A53" i="154"/>
  <c r="N50" i="154"/>
  <c r="M50" i="154"/>
  <c r="L50" i="154"/>
  <c r="K50" i="154"/>
  <c r="H50" i="154"/>
  <c r="A50" i="154"/>
  <c r="N47" i="154"/>
  <c r="M47" i="154"/>
  <c r="L47" i="154"/>
  <c r="K47" i="154"/>
  <c r="H47" i="154"/>
  <c r="A47" i="154"/>
  <c r="N44" i="154"/>
  <c r="M44" i="154"/>
  <c r="L44" i="154"/>
  <c r="K44" i="154"/>
  <c r="H44" i="154"/>
  <c r="A44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<sst xmlns="http://schemas.openxmlformats.org/spreadsheetml/2006/main" count="399" uniqueCount="254">
  <si>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</si>
  <si>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</si>
  <si>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</si>
  <si>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</si>
  <si>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</si>
  <si>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</si>
  <si>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</si>
  <si>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</si>
  <si>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</si>
  <si>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</si>
  <si>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</si>
  <si>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</si>
  <si>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</si>
  <si>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</si>
  <si>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</si>
  <si>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</si>
  <si>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</si>
  <si>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</si>
  <si>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</si>
  <si>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</si>
  <si>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</si>
  <si>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</si>
  <si>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</si>
  <si>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</si>
  <si>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</si>
  <si>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</si>
  <si>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</si>
  <si>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</si>
  <si>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</si>
  <si>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</si>
  <si>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</si>
  <si>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</si>
  <si>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</si>
  <si>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</si>
  <si>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</si>
  <si>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</si>
  <si>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</si>
  <si>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</si>
  <si>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</si>
  <si>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</si>
  <si>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</si>
  <si>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</si>
  <si>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</si>
  <si>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</si>
  <si>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</si>
  <si>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</si>
  <si>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</si>
  <si>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</si>
  <si>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</si>
  <si>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</si>
  <si>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</si>
  <si>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</si>
  <si>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</si>
  <si>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</si>
  <si>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</si>
  <si>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</si>
  <si>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</si>
  <si>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</si>
  <si>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</si>
  <si>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</si>
  <si>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</si>
  <si>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</si>
  <si>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</si>
  <si>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</si>
  <si>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</si>
  <si>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</si>
  <si>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</si>
  <si>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</si>
  <si>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</si>
  <si>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</si>
  <si>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</si>
  <si>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</si>
  <si>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</si>
  <si>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</si>
  <si>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</si>
  <si>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</si>
  <si>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</si>
  <si>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</si>
  <si>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</si>
  <si>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</si>
  <si>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</si>
  <si>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</si>
  <si>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</si>
  <si>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</si>
  <si>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</si>
  <si>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</si>
  <si>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</si>
  <si>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</si>
  <si>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</si>
  <si>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</si>
  <si>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</si>
  <si>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</si>
  <si>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</si>
  <si>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</si>
  <si>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</si>
  <si>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</si>
  <si>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</si>
  <si>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</si>
  <si>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</si>
  <si>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</si>
  <si>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</si>
  <si>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</si>
  <si>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</si>
  <si>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</si>
  <si>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</si>
  <si>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</si>
  <si>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</si>
  <si>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</si>
  <si>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</si>
  <si>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</si>
  <si>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</si>
  <si>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</si>
  <si>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</si>
  <si>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</si>
  <si>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</si>
  <si>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</si>
  <si>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</si>
  <si>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</si>
  <si>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</si>
  <si>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</si>
  <si>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</si>
  <si>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</si>
  <si>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</si>
  <si>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</si>
  <si>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</si>
  <si>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</si>
  <si>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</si>
  <si>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</si>
  <si>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</si>
  <si>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</si>
  <si>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</si>
  <si>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</si>
  <si>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</si>
  <si>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</si>
  <si>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</si>
  <si>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</si>
  <si>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</si>
  <si>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</si>
  <si>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</si>
  <si>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</si>
  <si>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</si>
  <si>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</si>
  <si>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</si>
  <si>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</si>
  <si>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</si>
  <si>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</si>
  <si>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</si>
  <si>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</si>
  <si>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</si>
  <si>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</si>
  <si>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</si>
  <si>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</si>
  <si>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</si>
  <si>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</si>
  <si>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</si>
  <si>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</si>
  <si>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</si>
  <si>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</si>
  <si>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</si>
  <si>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</si>
  <si>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</si>
  <si>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</si>
  <si>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</si>
  <si>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</si>
  <si>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</si>
  <si>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</si>
  <si>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</si>
  <si>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</si>
  <si>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</si>
  <si>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</si>
  <si>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</si>
  <si>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</si>
  <si>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</si>
  <si>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</si>
  <si>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</si>
  <si>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</si>
  <si>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</si>
  <si>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</si>
  <si>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</si>
  <si>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</si>
  <si>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</si>
  <si>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</si>
  <si>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</si>
  <si>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</si>
  <si>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</si>
  <si>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</si>
  <si>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</si>
  <si>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</si>
  <si>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</si>
  <si>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</si>
  <si>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</si>
  <si>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</si>
  <si>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</si>
  <si>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</si>
  <si>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</si>
  <si>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</si>
  <si>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</si>
  <si>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</si>
  <si>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</si>
  <si>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</si>
  <si>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</si>
  <si>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</si>
  <si>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</si>
  <si>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</si>
  <si>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</si>
  <si>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</si>
  <si>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</si>
  <si>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</si>
  <si>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</si>
  <si>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</si>
  <si>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</si>
  <si>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</si>
  <si>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</si>
  <si>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</si>
  <si>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</si>
  <si>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</si>
  <si>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</si>
  <si>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</si>
  <si>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</si>
  <si>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</si>
  <si>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</si>
  <si>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</si>
  <si>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</si>
  <si>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</si>
  <si>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</si>
  <si>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</si>
  <si>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</si>
  <si>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</si>
  <si>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</si>
  <si>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</si>
  <si>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</si>
  <si>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</si>
  <si>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</si>
  <si>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</si>
  <si>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</si>
  <si>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</si>
  <si>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</si>
  <si>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</si>
  <si>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</si>
  <si>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</si>
  <si>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</si>
  <si>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</si>
  <si>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</si>
  <si>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</si>
  <si>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</si>
  <si>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</si>
  <si>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</si>
  <si>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</si>
  <si>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</si>
  <si>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tables_settle_443100</t>
    <phoneticPr fontId="22"/>
  </si>
  <si>
    <t>PremiumSSw</t>
    <phoneticPr fontId="22"/>
  </si>
  <si>
    <t>skip</t>
    <phoneticPr fontId="22"/>
  </si>
  <si>
    <t>tables_532010</t>
    <phoneticPr fontId="22"/>
  </si>
  <si>
    <t>tables_7339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</si>
</sst>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3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outline/>
      <sz val="10"/>
      <color theme="1"/>
      <name val="ＭＳ Ｐゴシック"/>
      <family val="3"/>
      <charset val="128"/>
      <scheme val="minor"/>
    </font>
    <font>
      <outline/>
      <sz val="10"/>
      <name val="ＭＳ Ｐゴシック"/>
      <family val="3"/>
      <charset val="128"/>
    </font>
    <font>
      <outline/>
      <sz val="10"/>
      <color rgb="FF00000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9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5" fillId="0" borderId="1" xfId="2978" applyFont="1" applyBorder="1"/>
    <xf numFmtId="0" fontId="5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4" fillId="4" borderId="1" xfId="2978" applyFont="1" applyFill="1" applyBorder="1"/>
    <xf numFmtId="0" fontId="3" fillId="0" borderId="1" xfId="3036" applyFont="1" applyBorder="1"/>
    <xf numFmtId="0" fontId="2" fillId="4" borderId="1" xfId="2978" applyFont="1" applyFill="1" applyBorder="1"/>
    <xf numFmtId="0" fontId="27" fillId="4" borderId="0" xfId="2" applyFont="1" applyFill="1" applyAlignment="1">
      <alignment vertical="center"/>
    </xf>
    <xf numFmtId="180" fontId="0" fillId="4" borderId="1" xfId="0" applyNumberFormat="1" applyFill="1" applyBorder="1"/>
    <xf numFmtId="176" fontId="0" fillId="0" borderId="0" xfId="0" applyNumberFormat="1"/>
    <xf numFmtId="0" fontId="1" fillId="4" borderId="1" xfId="2978" applyFont="1" applyFill="1" applyBorder="1"/>
    <xf numFmtId="0" fontId="54" fillId="4" borderId="1" xfId="0" applyFont="1" applyFill="1" applyBorder="1" applyAlignment="1">
      <alignment vertical="center"/>
    </xf>
    <xf numFmtId="0" fontId="60" fillId="3" borderId="1" xfId="2" applyFont="1" applyFill="1" applyBorder="1" applyAlignment="1">
      <alignment vertical="center"/>
    </xf>
    <xf numFmtId="0" fontId="60" fillId="3" borderId="14" xfId="2" applyFont="1" applyFill="1" applyBorder="1" applyAlignment="1">
      <alignment vertical="center"/>
    </xf>
    <xf numFmtId="0" fontId="61" fillId="29" borderId="1" xfId="0" applyFont="1" applyFill="1" applyBorder="1"/>
    <xf numFmtId="177" fontId="61" fillId="29" borderId="1" xfId="3575" applyNumberFormat="1" applyFont="1" applyFill="1" applyBorder="1"/>
    <xf numFmtId="0" fontId="62" fillId="3" borderId="1" xfId="0" applyFont="1" applyFill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</row>
        <row r="1564">
          <cell r="A1564">
            <v>1613</v>
          </cell>
          <cell r="B1564" t="str">
            <v>ja</v>
          </cell>
          <cell r="C1564" t="str">
            <v>空欄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PremiumSSS</v>
          </cell>
          <cell r="K1564" t="str">
            <v>hp</v>
          </cell>
          <cell r="L1564" t="str">
            <v>体力タイプ</v>
          </cell>
          <cell r="M1564" t="str">
            <v>academia</v>
          </cell>
        </row>
        <row r="1565">
          <cell r="A1565">
            <v>1614</v>
          </cell>
          <cell r="B1565" t="str">
            <v>ja</v>
          </cell>
          <cell r="C1565" t="str">
            <v>空欄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red</v>
          </cell>
          <cell r="I1565">
            <v>6</v>
          </cell>
          <cell r="J1565" t="str">
            <v>PremiumSSS</v>
          </cell>
          <cell r="K1565" t="str">
            <v>hp</v>
          </cell>
          <cell r="L1565" t="str">
            <v>体力タイプ</v>
          </cell>
          <cell r="M1565" t="str">
            <v>academia</v>
          </cell>
        </row>
        <row r="1566">
          <cell r="A1566">
            <v>1615</v>
          </cell>
          <cell r="B1566" t="str">
            <v>ja</v>
          </cell>
          <cell r="C1566" t="str">
            <v>オリジナル花嫁ウィザード</v>
          </cell>
          <cell r="H1566" t="str">
            <v>red</v>
          </cell>
          <cell r="I1566">
            <v>6</v>
          </cell>
          <cell r="J1566" t="str">
            <v>DropWizS</v>
          </cell>
          <cell r="K1566" t="str">
            <v>attack</v>
          </cell>
          <cell r="L1566" t="str">
            <v>攻撃タイプ</v>
          </cell>
          <cell r="M1566" t="str">
            <v>human</v>
          </cell>
        </row>
        <row r="1567">
          <cell r="A1567">
            <v>1616</v>
          </cell>
          <cell r="B1567" t="str">
            <v>ja</v>
          </cell>
          <cell r="C1567" t="str">
            <v>花嫁アマテラス</v>
          </cell>
          <cell r="H1567" t="str">
            <v>green</v>
          </cell>
          <cell r="I1567">
            <v>6</v>
          </cell>
          <cell r="J1567" t="str">
            <v>DropWizSS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</row>
        <row r="1568">
          <cell r="A1568">
            <v>1617</v>
          </cell>
          <cell r="B1568" t="str">
            <v>ja</v>
          </cell>
          <cell r="C1568" t="str">
            <v>オリジナル花嫁A</v>
          </cell>
          <cell r="H1568" t="str">
            <v>blue</v>
          </cell>
          <cell r="I1568">
            <v>6</v>
          </cell>
          <cell r="J1568" t="str">
            <v>PremiumSS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</row>
        <row r="1569">
          <cell r="A1569">
            <v>1618</v>
          </cell>
          <cell r="B1569" t="str">
            <v>ja</v>
          </cell>
          <cell r="C1569" t="str">
            <v>オリジナル花嫁B</v>
          </cell>
          <cell r="H1569" t="str">
            <v>red</v>
          </cell>
          <cell r="I1569">
            <v>6</v>
          </cell>
          <cell r="J1569" t="str">
            <v>PremiumSS</v>
          </cell>
          <cell r="K1569" t="str">
            <v>hp</v>
          </cell>
          <cell r="L1569" t="str">
            <v>体力タイプ</v>
          </cell>
          <cell r="M1569" t="str">
            <v>human</v>
          </cell>
        </row>
        <row r="1570">
          <cell r="A1570">
            <v>1619</v>
          </cell>
          <cell r="B1570" t="str">
            <v>ja</v>
          </cell>
          <cell r="C1570" t="str">
            <v>白雪姫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</row>
        <row r="1571">
          <cell r="A1571">
            <v>1620</v>
          </cell>
          <cell r="B1571" t="str">
            <v>ja</v>
          </cell>
          <cell r="C1571" t="str">
            <v>バステト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</row>
        <row r="1572">
          <cell r="A1572">
            <v>1621</v>
          </cell>
          <cell r="B1572" t="str">
            <v>ja</v>
          </cell>
          <cell r="C1572" t="str">
            <v>イズン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god</v>
          </cell>
        </row>
        <row r="1573">
          <cell r="A1573">
            <v>1622</v>
          </cell>
          <cell r="B1573" t="str">
            <v>ja</v>
          </cell>
          <cell r="C1573" t="str">
            <v>諸葛亮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DropWizSS</v>
          </cell>
          <cell r="K1573" t="str">
            <v>balance</v>
          </cell>
          <cell r="L1573" t="str">
            <v>バランスタイプ</v>
          </cell>
          <cell r="M1573" t="str">
            <v>samurai</v>
          </cell>
        </row>
        <row r="1574">
          <cell r="A1574">
            <v>1623</v>
          </cell>
          <cell r="B1574" t="str">
            <v>ja</v>
          </cell>
          <cell r="C1574" t="str">
            <v>ジーク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</row>
        <row r="1575">
          <cell r="A1575">
            <v>1624</v>
          </cell>
          <cell r="B1575" t="str">
            <v>ja</v>
          </cell>
          <cell r="C1575" t="str">
            <v>アマラ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DropWizSS</v>
          </cell>
          <cell r="K1575" t="str">
            <v>attack</v>
          </cell>
          <cell r="L1575" t="str">
            <v>攻撃タイプ</v>
          </cell>
          <cell r="M1575" t="str">
            <v>human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</row>
        <row r="1586">
          <cell r="A1586">
            <v>5001</v>
          </cell>
          <cell r="B1586" t="str">
            <v>ja</v>
          </cell>
          <cell r="C1586" t="str">
            <v>ガルーダ</v>
          </cell>
          <cell r="D1586" t="str">
            <v>ノーマルクエスト</v>
          </cell>
          <cell r="E1586" t="str">
            <v>QoH</v>
          </cell>
          <cell r="F1586" t="str">
            <v>世界観</v>
          </cell>
          <cell r="G1586" t="str">
            <v>不明</v>
          </cell>
          <cell r="H1586" t="str">
            <v>red</v>
          </cell>
          <cell r="I1586">
            <v>5</v>
          </cell>
          <cell r="J1586" t="str">
            <v>PremiumSSw</v>
          </cell>
          <cell r="K1586" t="str">
            <v>attack</v>
          </cell>
          <cell r="L1586" t="str">
            <v>攻撃タイプ</v>
          </cell>
          <cell r="M1586" t="str">
            <v>god</v>
          </cell>
        </row>
        <row r="1587">
          <cell r="A1587">
            <v>5002</v>
          </cell>
          <cell r="B1587" t="str">
            <v>ja</v>
          </cell>
          <cell r="C1587" t="str">
            <v>光輝する美翼聖鳥 ガルーダ</v>
          </cell>
          <cell r="D1587" t="str">
            <v>ノーマルクエスト</v>
          </cell>
          <cell r="E1587" t="str">
            <v>アバター</v>
          </cell>
          <cell r="F1587" t="str">
            <v>世界観</v>
          </cell>
          <cell r="G1587" t="str">
            <v>男性</v>
          </cell>
          <cell r="H1587" t="str">
            <v>red</v>
          </cell>
          <cell r="I1587">
            <v>6</v>
          </cell>
          <cell r="J1587" t="str">
            <v>PremiumSSw</v>
          </cell>
          <cell r="K1587" t="str">
            <v>attack</v>
          </cell>
          <cell r="L1587" t="str">
            <v>攻撃タイプ</v>
          </cell>
          <cell r="M1587" t="str">
            <v>god</v>
          </cell>
        </row>
        <row r="1588">
          <cell r="A1588">
            <v>5003</v>
          </cell>
          <cell r="B1588" t="str">
            <v>ja</v>
          </cell>
          <cell r="C1588" t="str">
            <v>ナーガ</v>
          </cell>
          <cell r="D1588" t="str">
            <v>リンクガチャ:4神</v>
          </cell>
          <cell r="E1588" t="str">
            <v>守護神</v>
          </cell>
          <cell r="F1588" t="str">
            <v>格好いい</v>
          </cell>
          <cell r="G1588" t="str">
            <v>不明</v>
          </cell>
          <cell r="H1588" t="str">
            <v>green</v>
          </cell>
          <cell r="I1588">
            <v>5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animal</v>
          </cell>
        </row>
        <row r="1589">
          <cell r="A1589">
            <v>5004</v>
          </cell>
          <cell r="B1589" t="str">
            <v>ja</v>
          </cell>
          <cell r="C1589" t="str">
            <v>深淵翠緑 ナーガ</v>
          </cell>
          <cell r="D1589" t="str">
            <v>ノーマルクエスト</v>
          </cell>
          <cell r="E1589" t="str">
            <v>アバター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animal</v>
          </cell>
        </row>
        <row r="1590">
          <cell r="A1590">
            <v>5005</v>
          </cell>
          <cell r="B1590" t="str">
            <v>ja</v>
          </cell>
          <cell r="C1590" t="str">
            <v>カーミラ</v>
          </cell>
          <cell r="D1590" t="str">
            <v>ノーマルクエスト</v>
          </cell>
          <cell r="E1590" t="str">
            <v>QoH</v>
          </cell>
          <cell r="F1590" t="str">
            <v>世界観</v>
          </cell>
          <cell r="G1590" t="str">
            <v>不明</v>
          </cell>
          <cell r="H1590" t="str">
            <v>green</v>
          </cell>
          <cell r="I1590">
            <v>5</v>
          </cell>
          <cell r="J1590" t="str">
            <v>PremiumSSw</v>
          </cell>
          <cell r="K1590" t="str">
            <v>balance</v>
          </cell>
          <cell r="L1590" t="str">
            <v>バランスタイプ</v>
          </cell>
          <cell r="M1590" t="str">
            <v>demon</v>
          </cell>
        </row>
        <row r="1591">
          <cell r="A1591">
            <v>5006</v>
          </cell>
          <cell r="B1591" t="str">
            <v>ja</v>
          </cell>
          <cell r="C1591" t="str">
            <v>カーミラ★６</v>
          </cell>
          <cell r="D1591" t="str">
            <v>ノーマルクエスト</v>
          </cell>
          <cell r="E1591" t="str">
            <v>アバター</v>
          </cell>
          <cell r="F1591" t="str">
            <v>世界観</v>
          </cell>
          <cell r="G1591" t="str">
            <v>男性</v>
          </cell>
          <cell r="H1591" t="str">
            <v>green</v>
          </cell>
          <cell r="I1591">
            <v>6</v>
          </cell>
          <cell r="J1591" t="str">
            <v>PremiumSSw</v>
          </cell>
          <cell r="K1591" t="str">
            <v>balance</v>
          </cell>
          <cell r="L1591" t="str">
            <v>バランスタイプ</v>
          </cell>
          <cell r="M1591" t="str">
            <v>demon</v>
          </cell>
        </row>
        <row r="1592">
          <cell r="A1592">
            <v>5007</v>
          </cell>
          <cell r="B1592" t="str">
            <v>ja</v>
          </cell>
          <cell r="C1592" t="str">
            <v>ヘルシング</v>
          </cell>
          <cell r="D1592" t="str">
            <v>リンクガチャ:4神</v>
          </cell>
          <cell r="E1592" t="str">
            <v>守護神</v>
          </cell>
          <cell r="F1592" t="str">
            <v>格好いい</v>
          </cell>
          <cell r="G1592" t="str">
            <v>不明</v>
          </cell>
          <cell r="H1592" t="str">
            <v>yellow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5008</v>
          </cell>
          <cell r="B1593" t="str">
            <v>ja</v>
          </cell>
          <cell r="C1593" t="str">
            <v>ヘルシング★６</v>
          </cell>
          <cell r="D1593" t="str">
            <v>ノーマルクエスト</v>
          </cell>
          <cell r="E1593" t="str">
            <v>アバター</v>
          </cell>
          <cell r="F1593" t="str">
            <v>世界観</v>
          </cell>
          <cell r="G1593" t="str">
            <v>不明</v>
          </cell>
          <cell r="H1593" t="str">
            <v>yellow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6001</v>
          </cell>
          <cell r="B1594" t="str">
            <v>ja</v>
          </cell>
          <cell r="C1594" t="str">
            <v>ジェリー</v>
          </cell>
          <cell r="D1594" t="str">
            <v>ノーマルクエスト</v>
          </cell>
          <cell r="E1594" t="str">
            <v>QoH</v>
          </cell>
          <cell r="F1594" t="str">
            <v>世界観</v>
          </cell>
          <cell r="G1594" t="str">
            <v>不明</v>
          </cell>
          <cell r="H1594" t="str">
            <v>red</v>
          </cell>
          <cell r="I1594">
            <v>1</v>
          </cell>
          <cell r="J1594" t="str">
            <v>Drop1T</v>
          </cell>
          <cell r="K1594" t="str">
            <v>ra</v>
          </cell>
          <cell r="L1594" t="str">
            <v>ラグランジュチャレンジ</v>
          </cell>
          <cell r="M1594" t="str">
            <v>unknown</v>
          </cell>
        </row>
        <row r="1595">
          <cell r="A1595">
            <v>6002</v>
          </cell>
          <cell r="B1595" t="str">
            <v>ja</v>
          </cell>
          <cell r="C1595" t="str">
            <v>ヨシタカ</v>
          </cell>
          <cell r="D1595" t="str">
            <v>ノーマルクエスト</v>
          </cell>
          <cell r="E1595" t="str">
            <v>アバター</v>
          </cell>
          <cell r="F1595" t="str">
            <v>世界観</v>
          </cell>
          <cell r="G1595" t="str">
            <v>男性</v>
          </cell>
          <cell r="H1595" t="str">
            <v>red</v>
          </cell>
          <cell r="I1595">
            <v>2</v>
          </cell>
          <cell r="J1595" t="str">
            <v>Drop1N</v>
          </cell>
          <cell r="K1595" t="str">
            <v>ra</v>
          </cell>
          <cell r="L1595" t="str">
            <v>ラグランジュチャレンジ</v>
          </cell>
          <cell r="M1595" t="str">
            <v>human</v>
          </cell>
        </row>
        <row r="1596">
          <cell r="A1596">
            <v>6003</v>
          </cell>
          <cell r="B1596" t="str">
            <v>ja</v>
          </cell>
          <cell r="C1596" t="str">
            <v>朱雀</v>
          </cell>
          <cell r="D1596" t="str">
            <v>リンクガチャ:4神</v>
          </cell>
          <cell r="E1596" t="str">
            <v>守護神</v>
          </cell>
          <cell r="F1596" t="str">
            <v>格好いい</v>
          </cell>
          <cell r="G1596" t="str">
            <v>不明</v>
          </cell>
          <cell r="H1596" t="str">
            <v>red</v>
          </cell>
          <cell r="I1596">
            <v>3</v>
          </cell>
          <cell r="J1596" t="str">
            <v>Drop2N</v>
          </cell>
          <cell r="K1596" t="str">
            <v>ra</v>
          </cell>
          <cell r="L1596" t="str">
            <v>ラグランジュチャレンジ</v>
          </cell>
          <cell r="M1596" t="str">
            <v>animal</v>
          </cell>
        </row>
        <row r="1597">
          <cell r="A1597">
            <v>6004</v>
          </cell>
          <cell r="B1597" t="str">
            <v>ja</v>
          </cell>
          <cell r="C1597" t="str">
            <v>ブレット</v>
          </cell>
          <cell r="D1597" t="str">
            <v>ノーマルクエスト</v>
          </cell>
          <cell r="E1597" t="str">
            <v>アバター</v>
          </cell>
          <cell r="F1597" t="str">
            <v>世界観</v>
          </cell>
          <cell r="G1597" t="str">
            <v>不明</v>
          </cell>
          <cell r="H1597" t="str">
            <v>red</v>
          </cell>
          <cell r="I1597">
            <v>1</v>
          </cell>
          <cell r="J1597" t="str">
            <v>Drop1W</v>
          </cell>
          <cell r="K1597" t="str">
            <v>ra</v>
          </cell>
          <cell r="L1597" t="str">
            <v>ラグランジュチャレンジ</v>
          </cell>
          <cell r="M1597" t="str">
            <v>animal</v>
          </cell>
        </row>
        <row r="1598">
          <cell r="A1598">
            <v>6005</v>
          </cell>
          <cell r="B1598" t="str">
            <v>ja</v>
          </cell>
          <cell r="C1598" t="str">
            <v>孤神 テティス</v>
          </cell>
          <cell r="D1598" t="str">
            <v>初期ガチャ</v>
          </cell>
          <cell r="E1598" t="str">
            <v>管理者</v>
          </cell>
          <cell r="F1598" t="str">
            <v>美しい</v>
          </cell>
          <cell r="G1598" t="str">
            <v>女性</v>
          </cell>
          <cell r="H1598" t="str">
            <v>blue</v>
          </cell>
          <cell r="I1598">
            <v>4</v>
          </cell>
          <cell r="J1598" t="str">
            <v>PremiumN</v>
          </cell>
          <cell r="K1598" t="str">
            <v>ra</v>
          </cell>
          <cell r="L1598" t="str">
            <v>ラグランジュチャレンジ</v>
          </cell>
          <cell r="M1598" t="str">
            <v>god</v>
          </cell>
        </row>
        <row r="1599">
          <cell r="A1599">
            <v>6006</v>
          </cell>
          <cell r="B1599" t="str">
            <v>ja</v>
          </cell>
          <cell r="C1599" t="str">
            <v>海底の孤高神 テティス</v>
          </cell>
          <cell r="D1599" t="str">
            <v>初期ガチャ</v>
          </cell>
          <cell r="E1599" t="str">
            <v>管理者</v>
          </cell>
          <cell r="F1599" t="str">
            <v>美しい</v>
          </cell>
          <cell r="G1599" t="str">
            <v>女性</v>
          </cell>
          <cell r="H1599" t="str">
            <v>blue</v>
          </cell>
          <cell r="I1599">
            <v>5</v>
          </cell>
          <cell r="J1599" t="str">
            <v>PremiumN</v>
          </cell>
          <cell r="K1599" t="str">
            <v>ra</v>
          </cell>
          <cell r="L1599" t="str">
            <v>ラグランジュチャレンジ</v>
          </cell>
          <cell r="M1599" t="str">
            <v>god</v>
          </cell>
        </row>
        <row r="1600">
          <cell r="A1600">
            <v>6007</v>
          </cell>
          <cell r="B1600" t="str">
            <v>ja</v>
          </cell>
          <cell r="C1600" t="str">
            <v>番犬 ケルベロス</v>
          </cell>
          <cell r="D1600" t="str">
            <v>初期ガチャ</v>
          </cell>
          <cell r="E1600" t="str">
            <v>破界者</v>
          </cell>
          <cell r="F1600" t="str">
            <v>可愛い</v>
          </cell>
          <cell r="G1600" t="str">
            <v>女性</v>
          </cell>
          <cell r="H1600" t="str">
            <v>red</v>
          </cell>
          <cell r="I1600">
            <v>4</v>
          </cell>
          <cell r="J1600" t="str">
            <v>PremiumN</v>
          </cell>
          <cell r="K1600" t="str">
            <v>ra</v>
          </cell>
          <cell r="L1600" t="str">
            <v>ラグランジュチャレンジ</v>
          </cell>
          <cell r="M1600" t="str">
            <v>animal</v>
          </cell>
        </row>
        <row r="1601">
          <cell r="A1601">
            <v>6008</v>
          </cell>
          <cell r="B1601" t="str">
            <v>ja</v>
          </cell>
          <cell r="C1601" t="str">
            <v>焔神 プロメテウス</v>
          </cell>
          <cell r="D1601" t="str">
            <v>初期ガチャ</v>
          </cell>
          <cell r="E1601" t="str">
            <v>管理者</v>
          </cell>
          <cell r="F1601" t="str">
            <v>格好いい</v>
          </cell>
          <cell r="G1601" t="str">
            <v>男性</v>
          </cell>
          <cell r="H1601" t="str">
            <v>red</v>
          </cell>
          <cell r="I1601">
            <v>4</v>
          </cell>
          <cell r="J1601" t="str">
            <v>PremiumN</v>
          </cell>
          <cell r="K1601" t="str">
            <v>ra</v>
          </cell>
          <cell r="L1601" t="str">
            <v>ラグランジュチャレンジ</v>
          </cell>
          <cell r="M1601" t="str">
            <v>god</v>
          </cell>
        </row>
        <row r="1602">
          <cell r="A1602">
            <v>6009</v>
          </cell>
          <cell r="B1602" t="str">
            <v>ja</v>
          </cell>
          <cell r="C1602" t="str">
            <v>超越自我 ラグランジュ</v>
          </cell>
          <cell r="D1602" t="str">
            <v>ガチャ:フィーバーフェス02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red</v>
          </cell>
          <cell r="I1602">
            <v>5</v>
          </cell>
          <cell r="J1602" t="str">
            <v>PremiumSSS</v>
          </cell>
          <cell r="K1602" t="str">
            <v>ra</v>
          </cell>
          <cell r="L1602" t="str">
            <v>ラグランジュチャレンジ</v>
          </cell>
          <cell r="M1602" t="str">
            <v>human</v>
          </cell>
        </row>
        <row r="1603">
          <cell r="A1603">
            <v>6010</v>
          </cell>
          <cell r="B1603" t="str">
            <v>ja</v>
          </cell>
          <cell r="C1603" t="str">
            <v>超越凌駕 ラグランジュ</v>
          </cell>
          <cell r="D1603" t="str">
            <v>ガチャ:フィーバーフェス02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red</v>
          </cell>
          <cell r="I1603">
            <v>6</v>
          </cell>
          <cell r="J1603" t="str">
            <v>PremiumSSS</v>
          </cell>
          <cell r="K1603" t="str">
            <v>ra</v>
          </cell>
          <cell r="L1603" t="str">
            <v>ラグランジュチャレンジ</v>
          </cell>
          <cell r="M1603" t="str">
            <v>human</v>
          </cell>
        </row>
        <row r="1604">
          <cell r="A1604">
            <v>6011</v>
          </cell>
          <cell r="B1604" t="str">
            <v>ja</v>
          </cell>
          <cell r="C1604" t="str">
            <v>パトドッグリーダー ポチ</v>
          </cell>
          <cell r="D1604" t="str">
            <v>ガチャ:フィーバーフェス02</v>
          </cell>
          <cell r="E1604" t="str">
            <v>執行者</v>
          </cell>
          <cell r="F1604" t="str">
            <v>格好いい</v>
          </cell>
          <cell r="G1604" t="str">
            <v>男性</v>
          </cell>
          <cell r="H1604" t="str">
            <v>blue</v>
          </cell>
          <cell r="I1604">
            <v>2</v>
          </cell>
          <cell r="J1604" t="str">
            <v>Drop1T</v>
          </cell>
          <cell r="K1604" t="str">
            <v>ra002</v>
          </cell>
          <cell r="L1604" t="str">
            <v>ユークリッドチャレンジ</v>
          </cell>
          <cell r="M1604" t="str">
            <v>unknown</v>
          </cell>
        </row>
        <row r="1605">
          <cell r="A1605">
            <v>6012</v>
          </cell>
          <cell r="B1605" t="str">
            <v>ja</v>
          </cell>
          <cell r="C1605" t="str">
            <v>ミミ</v>
          </cell>
          <cell r="D1605" t="str">
            <v>ガチャ:フィーバーフェス02</v>
          </cell>
          <cell r="E1605" t="str">
            <v>執行者</v>
          </cell>
          <cell r="F1605" t="str">
            <v>格好いい</v>
          </cell>
          <cell r="G1605" t="str">
            <v>男性</v>
          </cell>
          <cell r="H1605" t="str">
            <v>yellow</v>
          </cell>
          <cell r="I1605">
            <v>1</v>
          </cell>
          <cell r="J1605" t="str">
            <v>Drop1W</v>
          </cell>
          <cell r="K1605" t="str">
            <v>ra002</v>
          </cell>
          <cell r="L1605" t="str">
            <v>ユークリッドチャレンジ</v>
          </cell>
          <cell r="M1605" t="str">
            <v>animal</v>
          </cell>
        </row>
        <row r="1606">
          <cell r="A1606">
            <v>6013</v>
          </cell>
          <cell r="B1606" t="str">
            <v>ja</v>
          </cell>
          <cell r="C1606" t="str">
            <v>護衛機人 スケアクロウ</v>
          </cell>
          <cell r="D1606" t="str">
            <v>ガチャ:フィーバーフェス02</v>
          </cell>
          <cell r="E1606" t="str">
            <v>執行者</v>
          </cell>
          <cell r="F1606" t="str">
            <v>格好いい</v>
          </cell>
          <cell r="G1606" t="str">
            <v>男性</v>
          </cell>
          <cell r="H1606" t="str">
            <v>blue</v>
          </cell>
          <cell r="I1606">
            <v>2</v>
          </cell>
          <cell r="J1606" t="str">
            <v>Drop1N</v>
          </cell>
          <cell r="K1606" t="str">
            <v>ra002</v>
          </cell>
          <cell r="L1606" t="str">
            <v>ユークリッドチャレンジ</v>
          </cell>
          <cell r="M1606" t="str">
            <v>machine</v>
          </cell>
        </row>
        <row r="1607">
          <cell r="A1607">
            <v>6014</v>
          </cell>
          <cell r="B1607" t="str">
            <v>ja</v>
          </cell>
          <cell r="C1607" t="str">
            <v>月下の人狼 ローレンス</v>
          </cell>
          <cell r="D1607" t="str">
            <v>ガチャ:フィーバーフェス02</v>
          </cell>
          <cell r="E1607" t="str">
            <v>執行者</v>
          </cell>
          <cell r="F1607" t="str">
            <v>格好いい</v>
          </cell>
          <cell r="G1607" t="str">
            <v>男性</v>
          </cell>
          <cell r="H1607" t="str">
            <v>blue</v>
          </cell>
          <cell r="I1607">
            <v>4</v>
          </cell>
          <cell r="J1607" t="str">
            <v>PremiumW</v>
          </cell>
          <cell r="K1607" t="str">
            <v>ra002</v>
          </cell>
          <cell r="L1607" t="str">
            <v>ユークリッドチャレンジ</v>
          </cell>
          <cell r="M1607" t="str">
            <v>animal</v>
          </cell>
        </row>
        <row r="1608">
          <cell r="A1608">
            <v>6015</v>
          </cell>
          <cell r="B1608" t="str">
            <v>ja</v>
          </cell>
          <cell r="C1608" t="str">
            <v>フレイヤ</v>
          </cell>
          <cell r="D1608" t="str">
            <v>ガチャ:フィーバーフェス02</v>
          </cell>
          <cell r="E1608" t="str">
            <v>執行者</v>
          </cell>
          <cell r="F1608" t="str">
            <v>格好いい</v>
          </cell>
          <cell r="G1608" t="str">
            <v>男性</v>
          </cell>
          <cell r="H1608" t="str">
            <v>blue</v>
          </cell>
          <cell r="I1608">
            <v>4</v>
          </cell>
          <cell r="J1608" t="str">
            <v>PremiumSS</v>
          </cell>
          <cell r="K1608" t="str">
            <v>ra002</v>
          </cell>
          <cell r="L1608" t="str">
            <v>ユークリッドチャレンジ</v>
          </cell>
          <cell r="M1608" t="str">
            <v>animal</v>
          </cell>
        </row>
        <row r="1609">
          <cell r="A1609">
            <v>6016</v>
          </cell>
          <cell r="B1609" t="str">
            <v>ja</v>
          </cell>
          <cell r="C1609" t="str">
            <v>根原論理 ユークリッド</v>
          </cell>
          <cell r="D1609" t="str">
            <v>ガチャ:フィーバーフェス02</v>
          </cell>
          <cell r="E1609" t="str">
            <v>執行者</v>
          </cell>
          <cell r="F1609" t="str">
            <v>格好いい</v>
          </cell>
          <cell r="G1609" t="str">
            <v>男性</v>
          </cell>
          <cell r="H1609" t="str">
            <v>blue</v>
          </cell>
          <cell r="I1609">
            <v>5</v>
          </cell>
          <cell r="J1609" t="str">
            <v>PremiumSSS</v>
          </cell>
          <cell r="K1609" t="str">
            <v>ra002</v>
          </cell>
          <cell r="L1609" t="str">
            <v>ユークリッドチャレンジ</v>
          </cell>
          <cell r="M1609" t="str">
            <v>human</v>
          </cell>
        </row>
        <row r="1610">
          <cell r="A1610">
            <v>6017</v>
          </cell>
          <cell r="B1610" t="str">
            <v>ja</v>
          </cell>
          <cell r="C1610" t="str">
            <v>不朽の極論 ユークリッド</v>
          </cell>
          <cell r="D1610" t="str">
            <v>ガチャ:フィーバーフェス02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blue</v>
          </cell>
          <cell r="I1610">
            <v>6</v>
          </cell>
          <cell r="J1610" t="str">
            <v>PremiumSSS</v>
          </cell>
          <cell r="K1610" t="str">
            <v>ra002</v>
          </cell>
          <cell r="L1610" t="str">
            <v>ユークリッドチャレンジ</v>
          </cell>
          <cell r="M1610" t="str">
            <v>human</v>
          </cell>
        </row>
        <row r="1611">
          <cell r="A1611">
            <v>6018</v>
          </cell>
          <cell r="B1611" t="str">
            <v>ja</v>
          </cell>
          <cell r="C1611" t="str">
            <v>ハヅル</v>
          </cell>
          <cell r="D1611" t="str">
            <v>ガチャ:フィーバーフェス02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red</v>
          </cell>
          <cell r="I1611">
            <v>4</v>
          </cell>
          <cell r="J1611" t="str">
            <v>PremiumSS</v>
          </cell>
          <cell r="K1611" t="str">
            <v>ra002</v>
          </cell>
          <cell r="L1611" t="str">
            <v>ユークリッドチャレンジ</v>
          </cell>
          <cell r="M1611" t="str">
            <v>animal</v>
          </cell>
        </row>
        <row r="1612">
          <cell r="A1612">
            <v>6019</v>
          </cell>
          <cell r="B1612" t="str">
            <v>ja</v>
          </cell>
          <cell r="C1612" t="str">
            <v>天織羽鶴 ハヅル</v>
          </cell>
          <cell r="D1612" t="str">
            <v>ガチャ:フィーバーフェス02</v>
          </cell>
          <cell r="E1612" t="str">
            <v>執行者</v>
          </cell>
          <cell r="F1612" t="str">
            <v>格好いい</v>
          </cell>
          <cell r="G1612" t="str">
            <v>男性</v>
          </cell>
          <cell r="H1612" t="str">
            <v>red</v>
          </cell>
          <cell r="I1612">
            <v>5</v>
          </cell>
          <cell r="J1612" t="str">
            <v>PremiumSS</v>
          </cell>
          <cell r="K1612" t="str">
            <v>ra002</v>
          </cell>
          <cell r="L1612" t="str">
            <v>ユークリッドチャレンジ</v>
          </cell>
          <cell r="M1612" t="str">
            <v>animal</v>
          </cell>
        </row>
        <row r="1613">
          <cell r="A1613">
            <v>6020</v>
          </cell>
          <cell r="B1613" t="str">
            <v>ja</v>
          </cell>
          <cell r="C1613" t="str">
            <v>ミズチ</v>
          </cell>
          <cell r="D1613" t="str">
            <v>ガチャ:フィーバーフェス02</v>
          </cell>
          <cell r="E1613" t="str">
            <v>執行者</v>
          </cell>
          <cell r="F1613" t="str">
            <v>格好いい</v>
          </cell>
          <cell r="G1613" t="str">
            <v>男性</v>
          </cell>
          <cell r="H1613" t="str">
            <v>blue</v>
          </cell>
          <cell r="I1613">
            <v>4</v>
          </cell>
          <cell r="J1613" t="str">
            <v>PremiumS</v>
          </cell>
          <cell r="K1613" t="str">
            <v>ra002</v>
          </cell>
          <cell r="L1613" t="str">
            <v>ユークリッドチャレンジ</v>
          </cell>
          <cell r="M1613" t="str">
            <v>dragon</v>
          </cell>
        </row>
        <row r="1614">
          <cell r="A1614">
            <v>8001</v>
          </cell>
          <cell r="B1614" t="str">
            <v>ja</v>
          </cell>
          <cell r="C1614" t="str">
            <v>媽祖</v>
          </cell>
          <cell r="D1614" t="str">
            <v>イベント:ミクコラボ01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yellow</v>
          </cell>
          <cell r="I1614">
            <v>5</v>
          </cell>
          <cell r="J1614" t="str">
            <v>PremiumSS</v>
          </cell>
          <cell r="K1614" t="str">
            <v>attack</v>
          </cell>
          <cell r="L1614" t="str">
            <v>攻撃タイプ</v>
          </cell>
          <cell r="M1614" t="str">
            <v>god</v>
          </cell>
        </row>
        <row r="1615">
          <cell r="A1615">
            <v>8002</v>
          </cell>
          <cell r="B1615" t="str">
            <v>ja</v>
          </cell>
          <cell r="C1615" t="str">
            <v>宣導する天海妃 媽祖</v>
          </cell>
          <cell r="D1615" t="str">
            <v>イベント:ミクコラボ01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yellow</v>
          </cell>
          <cell r="I1615">
            <v>6</v>
          </cell>
          <cell r="J1615" t="str">
            <v>PremiumSS</v>
          </cell>
          <cell r="K1615" t="str">
            <v>attack</v>
          </cell>
          <cell r="L1615" t="str">
            <v>攻撃タイプ</v>
          </cell>
          <cell r="M1615" t="str">
            <v>god</v>
          </cell>
        </row>
        <row r="1616">
          <cell r="A1616">
            <v>8003</v>
          </cell>
          <cell r="B1616" t="str">
            <v>ja</v>
          </cell>
          <cell r="C1616" t="str">
            <v>蛟龍</v>
          </cell>
          <cell r="D1616" t="str">
            <v>イベント:ミクコラボ01</v>
          </cell>
          <cell r="E1616" t="str">
            <v>執行者</v>
          </cell>
          <cell r="F1616" t="str">
            <v>格好いい</v>
          </cell>
          <cell r="G1616" t="str">
            <v>不明</v>
          </cell>
          <cell r="H1616" t="str">
            <v>blue</v>
          </cell>
          <cell r="I1616">
            <v>5</v>
          </cell>
          <cell r="J1616" t="str">
            <v>DropWizS</v>
          </cell>
          <cell r="K1616" t="str">
            <v>hp</v>
          </cell>
          <cell r="L1616" t="str">
            <v>体力タイプ</v>
          </cell>
          <cell r="M1616" t="str">
            <v>dragon</v>
          </cell>
        </row>
        <row r="1617">
          <cell r="A1617">
            <v>8004</v>
          </cell>
          <cell r="B1617" t="str">
            <v>ja</v>
          </cell>
          <cell r="C1617" t="str">
            <v>呼嵐の蒼棲龍 蛟龍</v>
          </cell>
          <cell r="D1617" t="str">
            <v>イベント:ミクコラボ01</v>
          </cell>
          <cell r="E1617" t="str">
            <v>執行者</v>
          </cell>
          <cell r="F1617" t="str">
            <v>格好いい</v>
          </cell>
          <cell r="G1617" t="str">
            <v>不明</v>
          </cell>
          <cell r="H1617" t="str">
            <v>blue</v>
          </cell>
          <cell r="I1617">
            <v>6</v>
          </cell>
          <cell r="J1617" t="str">
            <v>DropWizS</v>
          </cell>
          <cell r="K1617" t="str">
            <v>hp</v>
          </cell>
          <cell r="L1617" t="str">
            <v>体力タイプ</v>
          </cell>
          <cell r="M1617" t="str">
            <v>dragon</v>
          </cell>
        </row>
        <row r="1618">
          <cell r="A1618">
            <v>8005</v>
          </cell>
          <cell r="B1618" t="str">
            <v>ja</v>
          </cell>
          <cell r="C1618" t="str">
            <v>三蔵法師</v>
          </cell>
          <cell r="D1618" t="str">
            <v>イベント:ミクコラボ01</v>
          </cell>
          <cell r="E1618" t="str">
            <v>執行者</v>
          </cell>
          <cell r="F1618" t="str">
            <v>格好いい</v>
          </cell>
          <cell r="G1618" t="str">
            <v>不明</v>
          </cell>
          <cell r="H1618" t="str">
            <v>blue</v>
          </cell>
          <cell r="I1618">
            <v>5</v>
          </cell>
          <cell r="J1618" t="str">
            <v>PremiumSS</v>
          </cell>
          <cell r="K1618" t="str">
            <v>balance</v>
          </cell>
          <cell r="L1618" t="str">
            <v>バランスタイプ</v>
          </cell>
          <cell r="M1618" t="str">
            <v>human</v>
          </cell>
        </row>
        <row r="1619">
          <cell r="A1619">
            <v>8006</v>
          </cell>
          <cell r="B1619" t="str">
            <v>ja</v>
          </cell>
          <cell r="C1619" t="str">
            <v>慈戒の呪封使 三蔵法師</v>
          </cell>
          <cell r="D1619" t="str">
            <v>イベント:ミクコラボ01</v>
          </cell>
          <cell r="E1619" t="str">
            <v>執行者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6</v>
          </cell>
          <cell r="J1619" t="str">
            <v>PremiumSS</v>
          </cell>
          <cell r="K1619" t="str">
            <v>balance</v>
          </cell>
          <cell r="L1619" t="str">
            <v>バランスタイプ</v>
          </cell>
          <cell r="M1619" t="str">
            <v>human</v>
          </cell>
        </row>
        <row r="1620">
          <cell r="A1620">
            <v>8007</v>
          </cell>
          <cell r="B1620" t="str">
            <v>ja</v>
          </cell>
          <cell r="C1620" t="str">
            <v>孫悟空</v>
          </cell>
          <cell r="D1620" t="str">
            <v>イベント:ミクコラボ01</v>
          </cell>
          <cell r="E1620" t="str">
            <v>執行者</v>
          </cell>
          <cell r="F1620" t="str">
            <v>格好いい</v>
          </cell>
          <cell r="G1620" t="str">
            <v>不明</v>
          </cell>
          <cell r="H1620" t="str">
            <v>red</v>
          </cell>
          <cell r="I1620">
            <v>5</v>
          </cell>
          <cell r="J1620" t="str">
            <v>DropWizS</v>
          </cell>
          <cell r="K1620" t="str">
            <v>attack</v>
          </cell>
          <cell r="L1620" t="str">
            <v>攻撃タイプ</v>
          </cell>
          <cell r="M1620" t="str">
            <v>animal</v>
          </cell>
        </row>
        <row r="1621">
          <cell r="A1621">
            <v>8008</v>
          </cell>
          <cell r="B1621" t="str">
            <v>ja</v>
          </cell>
          <cell r="C1621" t="str">
            <v>花果の天猿仙人 孫悟空</v>
          </cell>
          <cell r="D1621" t="str">
            <v>イベント:ミクコラボ01</v>
          </cell>
          <cell r="E1621" t="str">
            <v>執行者</v>
          </cell>
          <cell r="F1621" t="str">
            <v>格好いい</v>
          </cell>
          <cell r="G1621" t="str">
            <v>不明</v>
          </cell>
          <cell r="H1621" t="str">
            <v>red</v>
          </cell>
          <cell r="I1621">
            <v>6</v>
          </cell>
          <cell r="J1621" t="str">
            <v>DropWizS</v>
          </cell>
          <cell r="K1621" t="str">
            <v>attack</v>
          </cell>
          <cell r="L1621" t="str">
            <v>攻撃タイプ</v>
          </cell>
          <cell r="M1621" t="str">
            <v>animal</v>
          </cell>
        </row>
        <row r="1622">
          <cell r="A1622">
            <v>8009</v>
          </cell>
          <cell r="B1622" t="str">
            <v>ja</v>
          </cell>
          <cell r="C1622" t="str">
            <v>西王娘娘</v>
          </cell>
          <cell r="D1622" t="str">
            <v>イベント:ミクコラボ01</v>
          </cell>
          <cell r="E1622" t="str">
            <v>執行者</v>
          </cell>
          <cell r="F1622" t="str">
            <v>格好いい</v>
          </cell>
          <cell r="G1622" t="str">
            <v>不明</v>
          </cell>
          <cell r="H1622" t="str">
            <v>green</v>
          </cell>
          <cell r="I1622">
            <v>5</v>
          </cell>
          <cell r="J1622" t="str">
            <v>PremiumSS</v>
          </cell>
          <cell r="K1622" t="str">
            <v>attack</v>
          </cell>
          <cell r="L1622" t="str">
            <v>攻撃タイプ</v>
          </cell>
          <cell r="M1622" t="str">
            <v>god</v>
          </cell>
        </row>
        <row r="1623">
          <cell r="A1623">
            <v>8010</v>
          </cell>
          <cell r="B1623" t="str">
            <v>ja</v>
          </cell>
          <cell r="C1623" t="str">
            <v>極楽瑶池の聖母 西王娘娘</v>
          </cell>
          <cell r="D1623" t="str">
            <v>イベント:ミクコラボ01</v>
          </cell>
          <cell r="E1623" t="str">
            <v>執行者</v>
          </cell>
          <cell r="F1623" t="str">
            <v>格好いい</v>
          </cell>
          <cell r="G1623" t="str">
            <v>不明</v>
          </cell>
          <cell r="H1623" t="str">
            <v>green</v>
          </cell>
          <cell r="I1623">
            <v>6</v>
          </cell>
          <cell r="J1623" t="str">
            <v>PremiumSS</v>
          </cell>
          <cell r="K1623" t="str">
            <v>attack</v>
          </cell>
          <cell r="L1623" t="str">
            <v>攻撃タイプ</v>
          </cell>
          <cell r="M1623" t="str">
            <v>god</v>
          </cell>
        </row>
        <row r="1624">
          <cell r="A1624">
            <v>8011</v>
          </cell>
          <cell r="B1624" t="str">
            <v>ja</v>
          </cell>
          <cell r="C1624" t="str">
            <v>月下老人</v>
          </cell>
          <cell r="D1624" t="str">
            <v>イベント:ミクコラボ01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yellow</v>
          </cell>
          <cell r="I1624">
            <v>5</v>
          </cell>
          <cell r="J1624" t="str">
            <v>DropWizS</v>
          </cell>
          <cell r="K1624" t="str">
            <v>balance</v>
          </cell>
          <cell r="L1624" t="str">
            <v>バランスタイプ</v>
          </cell>
          <cell r="M1624" t="str">
            <v>god</v>
          </cell>
        </row>
        <row r="1625">
          <cell r="A1625">
            <v>8012</v>
          </cell>
          <cell r="B1625" t="str">
            <v>ja</v>
          </cell>
          <cell r="C1625" t="str">
            <v>破戀斬る縁剣 月下老人</v>
          </cell>
          <cell r="D1625" t="str">
            <v>イベント:ミクコラボ01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yellow</v>
          </cell>
          <cell r="I1625">
            <v>6</v>
          </cell>
          <cell r="J1625" t="str">
            <v>DropWizS</v>
          </cell>
          <cell r="K1625" t="str">
            <v>balance</v>
          </cell>
          <cell r="L1625" t="str">
            <v>バランスタイプ</v>
          </cell>
          <cell r="M1625" t="str">
            <v>god</v>
          </cell>
        </row>
        <row r="1626">
          <cell r="A1626">
            <v>8013</v>
          </cell>
          <cell r="B1626" t="str">
            <v>ja</v>
          </cell>
          <cell r="C1626" t="str">
            <v>初音ミクV3</v>
          </cell>
          <cell r="D1626" t="str">
            <v>初音ミクV3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yellow</v>
          </cell>
          <cell r="I1626">
            <v>4</v>
          </cell>
          <cell r="J1626" t="str">
            <v>DropWizS</v>
          </cell>
          <cell r="K1626" t="str">
            <v>balance</v>
          </cell>
          <cell r="L1626" t="str">
            <v>バランスタイプ</v>
          </cell>
          <cell r="M1626" t="str">
            <v>unknown</v>
          </cell>
        </row>
        <row r="1627">
          <cell r="A1627">
            <v>8014</v>
          </cell>
          <cell r="B1627" t="str">
            <v>ja</v>
          </cell>
          <cell r="C1627" t="str">
            <v>初音ミクV3</v>
          </cell>
          <cell r="D1627" t="str">
            <v>初音ミクV3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yellow</v>
          </cell>
          <cell r="I1627">
            <v>5</v>
          </cell>
          <cell r="J1627" t="str">
            <v>DropWizS</v>
          </cell>
          <cell r="K1627" t="str">
            <v>balance</v>
          </cell>
          <cell r="L1627" t="str">
            <v>バランスタイプ</v>
          </cell>
          <cell r="M1627" t="str">
            <v>unknown</v>
          </cell>
        </row>
        <row r="1628">
          <cell r="A1628">
            <v>8015</v>
          </cell>
          <cell r="B1628" t="str">
            <v>ja</v>
          </cell>
          <cell r="C1628" t="str">
            <v>初音ミク・アペンド</v>
          </cell>
          <cell r="D1628" t="str">
            <v>初音ミク・アペンド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green</v>
          </cell>
          <cell r="I1628">
            <v>4</v>
          </cell>
          <cell r="J1628" t="str">
            <v>PremiumSSS</v>
          </cell>
          <cell r="K1628" t="str">
            <v>technical</v>
          </cell>
          <cell r="L1628" t="str">
            <v>テクニカルタイプ</v>
          </cell>
          <cell r="M1628" t="str">
            <v>unknown</v>
          </cell>
        </row>
        <row r="1629">
          <cell r="A1629">
            <v>8016</v>
          </cell>
          <cell r="B1629" t="str">
            <v>ja</v>
          </cell>
          <cell r="C1629" t="str">
            <v>初音ミク・アペンド</v>
          </cell>
          <cell r="D1629" t="str">
            <v>初音ミク・アペンド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unknown</v>
          </cell>
        </row>
        <row r="1630">
          <cell r="A1630">
            <v>8017</v>
          </cell>
          <cell r="B1630" t="str">
            <v>ja</v>
          </cell>
          <cell r="C1630" t="str">
            <v>初音ミク</v>
          </cell>
          <cell r="D1630" t="str">
            <v>初音ミク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4</v>
          </cell>
          <cell r="J1630" t="str">
            <v>PremiumSSS</v>
          </cell>
          <cell r="K1630" t="str">
            <v>balance</v>
          </cell>
          <cell r="L1630" t="str">
            <v>バランスタイプ</v>
          </cell>
          <cell r="M1630" t="str">
            <v>unknown</v>
          </cell>
        </row>
        <row r="1631">
          <cell r="A1631">
            <v>8018</v>
          </cell>
          <cell r="B1631" t="str">
            <v>ja</v>
          </cell>
          <cell r="C1631" t="str">
            <v>初音ミク</v>
          </cell>
          <cell r="D1631" t="str">
            <v>初音ミク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green</v>
          </cell>
          <cell r="I1631">
            <v>5</v>
          </cell>
          <cell r="J1631" t="str">
            <v>PremiumSSS</v>
          </cell>
          <cell r="K1631" t="str">
            <v>balance</v>
          </cell>
          <cell r="L1631" t="str">
            <v>バランスタイプ</v>
          </cell>
          <cell r="M1631" t="str">
            <v>unknown</v>
          </cell>
        </row>
        <row r="1632">
          <cell r="A1632">
            <v>8019</v>
          </cell>
          <cell r="B1632" t="str">
            <v>ja</v>
          </cell>
          <cell r="C1632" t="str">
            <v>鏡音リン</v>
          </cell>
          <cell r="D1632" t="str">
            <v>鏡音リン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4</v>
          </cell>
          <cell r="J1632" t="str">
            <v>PremiumSS</v>
          </cell>
          <cell r="K1632" t="str">
            <v>balance</v>
          </cell>
          <cell r="L1632" t="str">
            <v>バランスタイプ</v>
          </cell>
          <cell r="M1632" t="str">
            <v>unknown</v>
          </cell>
        </row>
        <row r="1633">
          <cell r="A1633">
            <v>8020</v>
          </cell>
          <cell r="B1633" t="str">
            <v>ja</v>
          </cell>
          <cell r="C1633" t="str">
            <v>鏡音リン</v>
          </cell>
          <cell r="D1633" t="str">
            <v>鏡音リン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yellow</v>
          </cell>
          <cell r="I1633">
            <v>5</v>
          </cell>
          <cell r="J1633" t="str">
            <v>PremiumSS</v>
          </cell>
          <cell r="K1633" t="str">
            <v>balance</v>
          </cell>
          <cell r="L1633" t="str">
            <v>バランスタイプ</v>
          </cell>
          <cell r="M1633" t="str">
            <v>unknown</v>
          </cell>
        </row>
        <row r="1634">
          <cell r="A1634">
            <v>8021</v>
          </cell>
          <cell r="B1634" t="str">
            <v>ja</v>
          </cell>
          <cell r="C1634" t="str">
            <v>鏡音レン</v>
          </cell>
          <cell r="D1634" t="str">
            <v>鏡音レン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yellow</v>
          </cell>
          <cell r="I1634">
            <v>4</v>
          </cell>
          <cell r="J1634" t="str">
            <v>PremiumSS</v>
          </cell>
          <cell r="K1634" t="str">
            <v>heal</v>
          </cell>
          <cell r="L1634" t="str">
            <v>回復タイプ</v>
          </cell>
          <cell r="M1634" t="str">
            <v>unknown</v>
          </cell>
        </row>
        <row r="1635">
          <cell r="A1635">
            <v>8022</v>
          </cell>
          <cell r="B1635" t="str">
            <v>ja</v>
          </cell>
          <cell r="C1635" t="str">
            <v>鏡音レン</v>
          </cell>
          <cell r="D1635" t="str">
            <v>鏡音レン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yellow</v>
          </cell>
          <cell r="I1635">
            <v>5</v>
          </cell>
          <cell r="J1635" t="str">
            <v>PremiumSS</v>
          </cell>
          <cell r="K1635" t="str">
            <v>heal</v>
          </cell>
          <cell r="L1635" t="str">
            <v>回復タイプ</v>
          </cell>
          <cell r="M1635" t="str">
            <v>unknown</v>
          </cell>
        </row>
        <row r="1636">
          <cell r="A1636">
            <v>8023</v>
          </cell>
          <cell r="B1636" t="str">
            <v>ja</v>
          </cell>
          <cell r="C1636" t="str">
            <v>巡音ルカ</v>
          </cell>
          <cell r="D1636" t="str">
            <v>巡音ルカ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red</v>
          </cell>
          <cell r="I1636">
            <v>3</v>
          </cell>
          <cell r="J1636" t="str">
            <v>PremiumS</v>
          </cell>
          <cell r="K1636" t="str">
            <v>attack</v>
          </cell>
          <cell r="L1636" t="str">
            <v>攻撃タイプ</v>
          </cell>
          <cell r="M1636" t="str">
            <v>unknown</v>
          </cell>
        </row>
        <row r="1637">
          <cell r="A1637">
            <v>8024</v>
          </cell>
          <cell r="B1637" t="str">
            <v>ja</v>
          </cell>
          <cell r="C1637" t="str">
            <v>巡音ルカ</v>
          </cell>
          <cell r="D1637" t="str">
            <v>巡音ルカ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red</v>
          </cell>
          <cell r="I1637">
            <v>4</v>
          </cell>
          <cell r="J1637" t="str">
            <v>PremiumS</v>
          </cell>
          <cell r="K1637" t="str">
            <v>attack</v>
          </cell>
          <cell r="L1637" t="str">
            <v>攻撃タイプ</v>
          </cell>
          <cell r="M1637" t="str">
            <v>unknown</v>
          </cell>
        </row>
        <row r="1638">
          <cell r="A1638">
            <v>8025</v>
          </cell>
          <cell r="B1638" t="str">
            <v>ja</v>
          </cell>
          <cell r="C1638" t="str">
            <v>MEIKO</v>
          </cell>
          <cell r="D1638" t="str">
            <v>MEIKO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3</v>
          </cell>
          <cell r="J1638" t="str">
            <v>PremiumS</v>
          </cell>
          <cell r="K1638" t="str">
            <v>hp</v>
          </cell>
          <cell r="L1638" t="str">
            <v>体力タイプ</v>
          </cell>
          <cell r="M1638" t="str">
            <v>unknown</v>
          </cell>
        </row>
        <row r="1639">
          <cell r="A1639">
            <v>8026</v>
          </cell>
          <cell r="B1639" t="str">
            <v>ja</v>
          </cell>
          <cell r="C1639" t="str">
            <v>MEIKO</v>
          </cell>
          <cell r="D1639" t="str">
            <v>MEIKO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4</v>
          </cell>
          <cell r="J1639" t="str">
            <v>PremiumS</v>
          </cell>
          <cell r="K1639" t="str">
            <v>hp</v>
          </cell>
          <cell r="L1639" t="str">
            <v>体力タイプ</v>
          </cell>
          <cell r="M1639" t="str">
            <v>unknown</v>
          </cell>
        </row>
        <row r="1640">
          <cell r="A1640">
            <v>8027</v>
          </cell>
          <cell r="B1640" t="str">
            <v>ja</v>
          </cell>
          <cell r="C1640" t="str">
            <v>KAITO</v>
          </cell>
          <cell r="D1640" t="str">
            <v>KAITO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blue</v>
          </cell>
          <cell r="I1640">
            <v>3</v>
          </cell>
          <cell r="J1640" t="str">
            <v>PremiumS</v>
          </cell>
          <cell r="K1640" t="str">
            <v>technical</v>
          </cell>
          <cell r="L1640" t="str">
            <v>テクニカルタイプ</v>
          </cell>
          <cell r="M1640" t="str">
            <v>unknown</v>
          </cell>
        </row>
        <row r="1641">
          <cell r="A1641">
            <v>8028</v>
          </cell>
          <cell r="B1641" t="str">
            <v>ja</v>
          </cell>
          <cell r="C1641" t="str">
            <v>KAITO</v>
          </cell>
          <cell r="D1641" t="str">
            <v>KAITO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blue</v>
          </cell>
          <cell r="I1641">
            <v>4</v>
          </cell>
          <cell r="J1641" t="str">
            <v>PremiumS</v>
          </cell>
          <cell r="K1641" t="str">
            <v>technical</v>
          </cell>
          <cell r="L1641" t="str">
            <v>テクニカルタイプ</v>
          </cell>
          <cell r="M1641" t="str">
            <v>unknown</v>
          </cell>
        </row>
        <row r="1642">
          <cell r="A1642">
            <v>8029</v>
          </cell>
          <cell r="B1642" t="str">
            <v>ja</v>
          </cell>
          <cell r="C1642" t="str">
            <v>Expoミク</v>
          </cell>
          <cell r="D1642" t="str">
            <v>Expoミク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blue</v>
          </cell>
          <cell r="I1642">
            <v>4</v>
          </cell>
          <cell r="J1642" t="str">
            <v>Drop2N</v>
          </cell>
          <cell r="K1642" t="str">
            <v>heal</v>
          </cell>
          <cell r="L1642" t="str">
            <v>回復タイプ</v>
          </cell>
          <cell r="M1642" t="str">
            <v>unknown</v>
          </cell>
        </row>
        <row r="1643">
          <cell r="A1643">
            <v>8030</v>
          </cell>
          <cell r="B1643" t="str">
            <v>ja</v>
          </cell>
          <cell r="C1643" t="str">
            <v>Expoミク</v>
          </cell>
          <cell r="D1643" t="str">
            <v>Expoミク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blue</v>
          </cell>
          <cell r="I1643">
            <v>5</v>
          </cell>
          <cell r="J1643" t="str">
            <v>Drop2N</v>
          </cell>
          <cell r="K1643" t="str">
            <v>heal</v>
          </cell>
          <cell r="L1643" t="str">
            <v>回復タイプ</v>
          </cell>
          <cell r="M1643" t="str">
            <v>unknown</v>
          </cell>
        </row>
        <row r="1644">
          <cell r="A1644">
            <v>8031</v>
          </cell>
          <cell r="B1644" t="str">
            <v>ja</v>
          </cell>
          <cell r="C1644" t="str">
            <v>閻羅王</v>
          </cell>
          <cell r="D1644" t="str">
            <v>Expoミク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god</v>
          </cell>
        </row>
        <row r="1645">
          <cell r="A1645">
            <v>8032</v>
          </cell>
          <cell r="B1645" t="str">
            <v>ja</v>
          </cell>
          <cell r="C1645" t="str">
            <v>六道輪廻の絶獄 閻羅王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god</v>
          </cell>
        </row>
        <row r="1646">
          <cell r="A1646">
            <v>8033</v>
          </cell>
          <cell r="B1646" t="str">
            <v>ja</v>
          </cell>
          <cell r="C1646" t="str">
            <v>牛頭馬面</v>
          </cell>
          <cell r="D1646" t="str">
            <v>Expoミク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green</v>
          </cell>
          <cell r="I1646">
            <v>5</v>
          </cell>
          <cell r="J1646" t="str">
            <v>DropWizS</v>
          </cell>
          <cell r="K1646" t="str">
            <v>attack</v>
          </cell>
          <cell r="L1646" t="str">
            <v>攻撃タイプ</v>
          </cell>
          <cell r="M1646" t="str">
            <v>god</v>
          </cell>
        </row>
        <row r="1647">
          <cell r="A1647">
            <v>8034</v>
          </cell>
          <cell r="B1647" t="str">
            <v>ja</v>
          </cell>
          <cell r="C1647" t="str">
            <v>冥府狩る魂使 牛頭馬面</v>
          </cell>
          <cell r="D1647" t="str">
            <v>Expoミク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green</v>
          </cell>
          <cell r="I1647">
            <v>6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god</v>
          </cell>
        </row>
        <row r="1648">
          <cell r="A1648">
            <v>8035</v>
          </cell>
          <cell r="B1648" t="str">
            <v>ja</v>
          </cell>
          <cell r="C1648" t="str">
            <v>飛衛</v>
          </cell>
          <cell r="D1648" t="str">
            <v>Expoミク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blue</v>
          </cell>
          <cell r="I1648">
            <v>5</v>
          </cell>
          <cell r="J1648" t="str">
            <v>PremiumSS</v>
          </cell>
          <cell r="K1648" t="str">
            <v>heal</v>
          </cell>
          <cell r="L1648" t="str">
            <v>回復タイプ</v>
          </cell>
          <cell r="M1648" t="str">
            <v>human</v>
          </cell>
        </row>
        <row r="1649">
          <cell r="A1649">
            <v>8036</v>
          </cell>
          <cell r="B1649" t="str">
            <v>ja</v>
          </cell>
          <cell r="C1649" t="str">
            <v>レア６飛衛</v>
          </cell>
          <cell r="D1649" t="str">
            <v>Expoミク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blue</v>
          </cell>
          <cell r="I1649">
            <v>6</v>
          </cell>
          <cell r="J1649" t="str">
            <v>PremiumSS</v>
          </cell>
          <cell r="K1649" t="str">
            <v>heal</v>
          </cell>
          <cell r="L1649" t="str">
            <v>回復タイプ</v>
          </cell>
          <cell r="M1649" t="str">
            <v>human</v>
          </cell>
        </row>
        <row r="1650">
          <cell r="A1650">
            <v>8037</v>
          </cell>
          <cell r="B1650" t="str">
            <v>ja</v>
          </cell>
          <cell r="C1650" t="str">
            <v>紀昌</v>
          </cell>
          <cell r="D1650" t="str">
            <v>Expoミク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red</v>
          </cell>
          <cell r="I1650">
            <v>5</v>
          </cell>
          <cell r="J1650" t="str">
            <v>DropWizS</v>
          </cell>
          <cell r="K1650" t="str">
            <v>attack</v>
          </cell>
          <cell r="L1650" t="str">
            <v>攻撃タイプ</v>
          </cell>
          <cell r="M1650" t="str">
            <v>human</v>
          </cell>
        </row>
        <row r="1651">
          <cell r="A1651">
            <v>8038</v>
          </cell>
          <cell r="B1651" t="str">
            <v>ja</v>
          </cell>
          <cell r="C1651" t="str">
            <v>レア６紀昌</v>
          </cell>
          <cell r="D1651" t="str">
            <v>Expoミク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6</v>
          </cell>
          <cell r="J1651" t="str">
            <v>DropWizS</v>
          </cell>
          <cell r="K1651" t="str">
            <v>attack</v>
          </cell>
          <cell r="L1651" t="str">
            <v>攻撃タイプ</v>
          </cell>
          <cell r="M1651" t="str">
            <v>human</v>
          </cell>
        </row>
        <row r="1652">
          <cell r="A1652">
            <v>8039</v>
          </cell>
          <cell r="B1652" t="str">
            <v>ja</v>
          </cell>
          <cell r="C1652" t="str">
            <v>何仙姑</v>
          </cell>
          <cell r="D1652" t="str">
            <v>Expoミク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5</v>
          </cell>
          <cell r="J1652" t="str">
            <v>PremiumSSw</v>
          </cell>
          <cell r="K1652" t="str">
            <v>hp</v>
          </cell>
          <cell r="L1652" t="str">
            <v>体力タイプ</v>
          </cell>
          <cell r="M1652" t="str">
            <v>god</v>
          </cell>
        </row>
        <row r="1653">
          <cell r="A1653">
            <v>8040</v>
          </cell>
          <cell r="B1653" t="str">
            <v>ja</v>
          </cell>
          <cell r="C1653" t="str">
            <v>荷咲く九天 何仙姑</v>
          </cell>
          <cell r="D1653" t="str">
            <v>Expoミク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6</v>
          </cell>
          <cell r="J1653" t="str">
            <v>PremiumSSw</v>
          </cell>
          <cell r="K1653" t="str">
            <v>hp</v>
          </cell>
          <cell r="L1653" t="str">
            <v>体力タイプ</v>
          </cell>
          <cell r="M1653" t="str">
            <v>god</v>
          </cell>
        </row>
        <row r="1654">
          <cell r="A1654">
            <v>8041</v>
          </cell>
          <cell r="B1654" t="str">
            <v>ja</v>
          </cell>
          <cell r="C1654" t="str">
            <v>藍采和</v>
          </cell>
          <cell r="D1654" t="str">
            <v>Expoミク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god</v>
          </cell>
        </row>
        <row r="1655">
          <cell r="A1655">
            <v>8042</v>
          </cell>
          <cell r="B1655" t="str">
            <v>ja</v>
          </cell>
          <cell r="C1655" t="str">
            <v>天真浪漫 藍采和</v>
          </cell>
          <cell r="D1655" t="str">
            <v>Expoミク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DropWizS</v>
          </cell>
          <cell r="K1655" t="str">
            <v>balance</v>
          </cell>
          <cell r="L1655" t="str">
            <v>バランスタイプ</v>
          </cell>
          <cell r="M1655" t="str">
            <v>god</v>
          </cell>
        </row>
        <row r="1656">
          <cell r="A1656">
            <v>8043</v>
          </cell>
          <cell r="B1656" t="str">
            <v>ja</v>
          </cell>
          <cell r="C1656" t="str">
            <v>サンリオキャラ大集合+アザゼル</v>
          </cell>
          <cell r="D1656" t="str">
            <v>サンリオキャラ大集合+アザゼル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DropWizS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8044</v>
          </cell>
          <cell r="B1657" t="str">
            <v>ja</v>
          </cell>
          <cell r="C1657" t="str">
            <v>サンリオキャラ大集合+アザゼル</v>
          </cell>
          <cell r="D1657" t="str">
            <v>サンリオキャラ大集合+アザゼル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6</v>
          </cell>
          <cell r="J1657" t="str">
            <v>DropWizS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8045</v>
          </cell>
          <cell r="B1658" t="str">
            <v>ja</v>
          </cell>
          <cell r="C1658" t="str">
            <v>ニムダ_サンリオキャラ混じり</v>
          </cell>
          <cell r="D1658" t="str">
            <v>ニムダ_サンリオキャラ混じり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yellow</v>
          </cell>
          <cell r="I1658">
            <v>4</v>
          </cell>
          <cell r="J1658" t="str">
            <v>Drop2N</v>
          </cell>
          <cell r="K1658" t="str">
            <v>technical</v>
          </cell>
          <cell r="L1658" t="str">
            <v>テクニカルタイプ</v>
          </cell>
          <cell r="M1658" t="str">
            <v>ss</v>
          </cell>
        </row>
        <row r="1659">
          <cell r="A1659">
            <v>8046</v>
          </cell>
          <cell r="B1659" t="str">
            <v>ja</v>
          </cell>
          <cell r="C1659" t="str">
            <v>ニムダ_サンリオキャラ混じり</v>
          </cell>
          <cell r="D1659" t="str">
            <v>ニムダ_サンリオキャラ混じり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yellow</v>
          </cell>
          <cell r="I1659">
            <v>5</v>
          </cell>
          <cell r="J1659" t="str">
            <v>Drop2N</v>
          </cell>
          <cell r="K1659" t="str">
            <v>technical</v>
          </cell>
          <cell r="L1659" t="str">
            <v>テクニカルタイプ</v>
          </cell>
          <cell r="M1659" t="str">
            <v>ss</v>
          </cell>
        </row>
        <row r="1660">
          <cell r="A1660">
            <v>8047</v>
          </cell>
          <cell r="B1660" t="str">
            <v>ja</v>
          </cell>
          <cell r="C1660" t="str">
            <v>ハローキティ</v>
          </cell>
          <cell r="D1660" t="str">
            <v>ハローキティ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red</v>
          </cell>
          <cell r="I1660">
            <v>4</v>
          </cell>
          <cell r="J1660" t="str">
            <v>Drop2N</v>
          </cell>
          <cell r="K1660" t="str">
            <v>balance</v>
          </cell>
          <cell r="L1660" t="str">
            <v>バランスタイプ</v>
          </cell>
          <cell r="M1660" t="str">
            <v>ss</v>
          </cell>
        </row>
        <row r="1661">
          <cell r="A1661">
            <v>8048</v>
          </cell>
          <cell r="B1661" t="str">
            <v>ja</v>
          </cell>
          <cell r="C1661" t="str">
            <v>ハローキティ</v>
          </cell>
          <cell r="D1661" t="str">
            <v>ハローキティ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red</v>
          </cell>
          <cell r="I1661">
            <v>5</v>
          </cell>
          <cell r="J1661" t="str">
            <v>Drop2N</v>
          </cell>
          <cell r="K1661" t="str">
            <v>balance</v>
          </cell>
          <cell r="L1661" t="str">
            <v>バランスタイプ</v>
          </cell>
          <cell r="M1661" t="str">
            <v>ss</v>
          </cell>
        </row>
        <row r="1662">
          <cell r="A1662">
            <v>8049</v>
          </cell>
          <cell r="B1662" t="str">
            <v>ja</v>
          </cell>
          <cell r="C1662" t="str">
            <v>KIRIMIちゃん</v>
          </cell>
          <cell r="D1662" t="str">
            <v>KIRIMIちゃん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red</v>
          </cell>
          <cell r="I1662">
            <v>4</v>
          </cell>
          <cell r="J1662" t="str">
            <v>Drop2N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8050</v>
          </cell>
          <cell r="B1663" t="str">
            <v>ja</v>
          </cell>
          <cell r="C1663" t="str">
            <v>KIRIMIちゃん</v>
          </cell>
          <cell r="D1663" t="str">
            <v>KIRIMIちゃん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5</v>
          </cell>
          <cell r="J1663" t="str">
            <v>Drop2N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8051</v>
          </cell>
          <cell r="B1664" t="str">
            <v>ja</v>
          </cell>
          <cell r="C1664" t="str">
            <v>ハローキティのリボン</v>
          </cell>
          <cell r="D1664" t="str">
            <v>ハローキティのリボン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5</v>
          </cell>
          <cell r="J1664" t="str">
            <v>Drop2N</v>
          </cell>
          <cell r="K1664" t="str">
            <v>evolution</v>
          </cell>
          <cell r="L1664" t="str">
            <v>覚醒素材タイプ</v>
          </cell>
          <cell r="M1664" t="str">
            <v>ss</v>
          </cell>
        </row>
        <row r="1665">
          <cell r="A1665">
            <v>8052</v>
          </cell>
          <cell r="B1665" t="str">
            <v>ja</v>
          </cell>
          <cell r="C1665" t="str">
            <v>ママの作ったアップルパイ</v>
          </cell>
          <cell r="D1665" t="str">
            <v>ママの作ったアップルパイ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red</v>
          </cell>
          <cell r="I1665">
            <v>4</v>
          </cell>
          <cell r="J1665" t="str">
            <v>Drop2N</v>
          </cell>
          <cell r="K1665" t="str">
            <v>evolution</v>
          </cell>
          <cell r="L1665" t="str">
            <v>覚醒素材タイプ</v>
          </cell>
          <cell r="M1665" t="str">
            <v>ss</v>
          </cell>
        </row>
        <row r="1666">
          <cell r="A1666">
            <v>8053</v>
          </cell>
          <cell r="B1666" t="str">
            <v>ja</v>
          </cell>
          <cell r="C1666" t="str">
            <v>D.R.T.H__キティコスプレ</v>
          </cell>
          <cell r="D1666" t="str">
            <v>D.R.T.H__キティコスプレ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red</v>
          </cell>
          <cell r="I1666">
            <v>5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ss</v>
          </cell>
        </row>
        <row r="1667">
          <cell r="A1667">
            <v>8054</v>
          </cell>
          <cell r="B1667" t="str">
            <v>ja</v>
          </cell>
          <cell r="C1667" t="str">
            <v>D.R.T.H__キティコスプレ</v>
          </cell>
          <cell r="D1667" t="str">
            <v>D.R.T.H__キティコスプレ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PremiumSS</v>
          </cell>
          <cell r="K1667" t="str">
            <v>balance</v>
          </cell>
          <cell r="L1667" t="str">
            <v>バランスタイプ</v>
          </cell>
          <cell r="M1667" t="str">
            <v>ss</v>
          </cell>
        </row>
        <row r="1668">
          <cell r="A1668">
            <v>8055</v>
          </cell>
          <cell r="B1668" t="str">
            <v>ja</v>
          </cell>
          <cell r="C1668" t="str">
            <v>マイメロディ</v>
          </cell>
          <cell r="D1668" t="str">
            <v>マイメロディ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red</v>
          </cell>
          <cell r="I1668">
            <v>4</v>
          </cell>
          <cell r="J1668" t="str">
            <v>PremiumS</v>
          </cell>
          <cell r="K1668" t="str">
            <v>attack</v>
          </cell>
          <cell r="L1668" t="str">
            <v>攻撃タイプ</v>
          </cell>
          <cell r="M1668" t="str">
            <v>ss</v>
          </cell>
        </row>
        <row r="1669">
          <cell r="A1669">
            <v>8056</v>
          </cell>
          <cell r="B1669" t="str">
            <v>ja</v>
          </cell>
          <cell r="C1669" t="str">
            <v>マイメロディ</v>
          </cell>
          <cell r="D1669" t="str">
            <v>マイメロディ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red</v>
          </cell>
          <cell r="I1669">
            <v>5</v>
          </cell>
          <cell r="J1669" t="str">
            <v>PremiumS</v>
          </cell>
          <cell r="K1669" t="str">
            <v>attack</v>
          </cell>
          <cell r="L1669" t="str">
            <v>攻撃タイプ</v>
          </cell>
          <cell r="M1669" t="str">
            <v>ss</v>
          </cell>
        </row>
        <row r="1670">
          <cell r="A1670">
            <v>8057</v>
          </cell>
          <cell r="B1670" t="str">
            <v>ja</v>
          </cell>
          <cell r="C1670" t="str">
            <v>ニーベルゲン_シナモロールコスプレ</v>
          </cell>
          <cell r="D1670" t="str">
            <v>ニーベルゲン_シナモロールコスプレ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green</v>
          </cell>
          <cell r="I1670">
            <v>4</v>
          </cell>
          <cell r="J1670" t="str">
            <v>PremiumS</v>
          </cell>
          <cell r="K1670" t="str">
            <v>balance</v>
          </cell>
          <cell r="L1670" t="str">
            <v>バランスタイプ</v>
          </cell>
          <cell r="M1670" t="str">
            <v>ss</v>
          </cell>
        </row>
        <row r="1671">
          <cell r="A1671">
            <v>8058</v>
          </cell>
          <cell r="B1671" t="str">
            <v>ja</v>
          </cell>
          <cell r="C1671" t="str">
            <v>ニーベルゲン_シナモロールコスプレ</v>
          </cell>
          <cell r="D1671" t="str">
            <v>ニーベルゲン_シナモロールコスプレ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green</v>
          </cell>
          <cell r="I1671">
            <v>5</v>
          </cell>
          <cell r="J1671" t="str">
            <v>PremiumS</v>
          </cell>
          <cell r="K1671" t="str">
            <v>balance</v>
          </cell>
          <cell r="L1671" t="str">
            <v>バランスタイプ</v>
          </cell>
          <cell r="M1671" t="str">
            <v>ss</v>
          </cell>
        </row>
        <row r="1672">
          <cell r="A1672">
            <v>8059</v>
          </cell>
          <cell r="B1672" t="str">
            <v>ja</v>
          </cell>
          <cell r="C1672" t="str">
            <v>カカシ_マイメロディコスプレ</v>
          </cell>
          <cell r="D1672" t="str">
            <v>カカシ_マイメロディコスプレ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green</v>
          </cell>
          <cell r="I1672">
            <v>4</v>
          </cell>
          <cell r="J1672" t="str">
            <v>PremiumS</v>
          </cell>
          <cell r="K1672" t="str">
            <v>technical</v>
          </cell>
          <cell r="L1672" t="str">
            <v>テクニカルタイプ</v>
          </cell>
          <cell r="M1672" t="str">
            <v>ss</v>
          </cell>
        </row>
        <row r="1673">
          <cell r="A1673">
            <v>8060</v>
          </cell>
          <cell r="B1673" t="str">
            <v>ja</v>
          </cell>
          <cell r="C1673" t="str">
            <v>カカシ_マイメロディコスプレ</v>
          </cell>
          <cell r="D1673" t="str">
            <v>カカシ_マイメロディコスプレ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PremiumS</v>
          </cell>
          <cell r="K1673" t="str">
            <v>technical</v>
          </cell>
          <cell r="L1673" t="str">
            <v>テクニカルタイプ</v>
          </cell>
          <cell r="M1673" t="str">
            <v>ss</v>
          </cell>
        </row>
        <row r="1674">
          <cell r="A1674">
            <v>8061</v>
          </cell>
          <cell r="B1674" t="str">
            <v>ja</v>
          </cell>
          <cell r="C1674" t="str">
            <v>ケロケロけろっぴ</v>
          </cell>
          <cell r="D1674" t="str">
            <v>ケロケロけろっぴ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3</v>
          </cell>
          <cell r="J1674" t="str">
            <v>PremiumS</v>
          </cell>
          <cell r="K1674" t="str">
            <v>balance</v>
          </cell>
          <cell r="L1674" t="str">
            <v>バランスタイプ</v>
          </cell>
          <cell r="M1674" t="str">
            <v>ss</v>
          </cell>
        </row>
        <row r="1675">
          <cell r="A1675">
            <v>8062</v>
          </cell>
          <cell r="B1675" t="str">
            <v>ja</v>
          </cell>
          <cell r="C1675" t="str">
            <v>ケロケロけろっぴ</v>
          </cell>
          <cell r="D1675" t="str">
            <v>ケロケロけろっぴ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green</v>
          </cell>
          <cell r="I1675">
            <v>4</v>
          </cell>
          <cell r="J1675" t="str">
            <v>PremiumS</v>
          </cell>
          <cell r="K1675" t="str">
            <v>balance</v>
          </cell>
          <cell r="L1675" t="str">
            <v>バランスタイプ</v>
          </cell>
          <cell r="M1675" t="str">
            <v>ss</v>
          </cell>
        </row>
        <row r="1676">
          <cell r="A1676">
            <v>8063</v>
          </cell>
          <cell r="B1676" t="str">
            <v>ja</v>
          </cell>
          <cell r="C1676" t="str">
            <v>モルドレッド_ポムポムプリンコスプレ</v>
          </cell>
          <cell r="D1676" t="str">
            <v>モルドレッド_ポムポムプリンコスプレ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5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ss</v>
          </cell>
        </row>
        <row r="1677">
          <cell r="A1677">
            <v>8064</v>
          </cell>
          <cell r="B1677" t="str">
            <v>ja</v>
          </cell>
          <cell r="C1677" t="str">
            <v>モルドレッド_ポムポムプリンコスプレ</v>
          </cell>
          <cell r="D1677" t="str">
            <v>モルドレッド_ポムポムプリンコスプレ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blue</v>
          </cell>
          <cell r="I1677">
            <v>6</v>
          </cell>
          <cell r="J1677" t="str">
            <v>PremiumSS</v>
          </cell>
          <cell r="K1677" t="str">
            <v>heal</v>
          </cell>
          <cell r="L1677" t="str">
            <v>回復タイプ</v>
          </cell>
          <cell r="M1677" t="str">
            <v>ss</v>
          </cell>
        </row>
        <row r="1678">
          <cell r="A1678">
            <v>8065</v>
          </cell>
          <cell r="B1678" t="str">
            <v>ja</v>
          </cell>
          <cell r="C1678" t="str">
            <v>クロミ</v>
          </cell>
          <cell r="D1678" t="str">
            <v>クロミ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blue</v>
          </cell>
          <cell r="I1678">
            <v>3</v>
          </cell>
          <cell r="J1678" t="str">
            <v>PremiumS</v>
          </cell>
          <cell r="K1678" t="str">
            <v>technical</v>
          </cell>
          <cell r="L1678" t="str">
            <v>テクニカルタイプ</v>
          </cell>
          <cell r="M1678" t="str">
            <v>ss</v>
          </cell>
        </row>
        <row r="1679">
          <cell r="A1679">
            <v>8066</v>
          </cell>
          <cell r="B1679" t="str">
            <v>ja</v>
          </cell>
          <cell r="C1679" t="str">
            <v>クロミ</v>
          </cell>
          <cell r="D1679" t="str">
            <v>クロミ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4</v>
          </cell>
          <cell r="J1679" t="str">
            <v>PremiumS</v>
          </cell>
          <cell r="K1679" t="str">
            <v>technical</v>
          </cell>
          <cell r="L1679" t="str">
            <v>テクニカルタイプ</v>
          </cell>
          <cell r="M1679" t="str">
            <v>ss</v>
          </cell>
        </row>
        <row r="1680">
          <cell r="A1680">
            <v>8067</v>
          </cell>
          <cell r="B1680" t="str">
            <v>ja</v>
          </cell>
          <cell r="C1680" t="str">
            <v>バッドばつ丸</v>
          </cell>
          <cell r="D1680" t="str">
            <v>バッドばつ丸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3</v>
          </cell>
          <cell r="J1680" t="str">
            <v>PremiumS</v>
          </cell>
          <cell r="K1680" t="str">
            <v>attack</v>
          </cell>
          <cell r="L1680" t="str">
            <v>攻撃タイプ</v>
          </cell>
          <cell r="M1680" t="str">
            <v>ss</v>
          </cell>
        </row>
        <row r="1681">
          <cell r="A1681">
            <v>8068</v>
          </cell>
          <cell r="B1681" t="str">
            <v>ja</v>
          </cell>
          <cell r="C1681" t="str">
            <v>バッドばつ丸</v>
          </cell>
          <cell r="D1681" t="str">
            <v>バッドばつ丸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4</v>
          </cell>
          <cell r="J1681" t="str">
            <v>PremiumS</v>
          </cell>
          <cell r="K1681" t="str">
            <v>attack</v>
          </cell>
          <cell r="L1681" t="str">
            <v>攻撃タイプ</v>
          </cell>
          <cell r="M1681" t="str">
            <v>ss</v>
          </cell>
        </row>
        <row r="1682">
          <cell r="A1682">
            <v>8069</v>
          </cell>
          <cell r="B1682" t="str">
            <v>ja</v>
          </cell>
          <cell r="C1682" t="str">
            <v>シナモロール</v>
          </cell>
          <cell r="D1682" t="str">
            <v>シナモロール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yellow</v>
          </cell>
          <cell r="I1682">
            <v>4</v>
          </cell>
          <cell r="J1682" t="str">
            <v>PremiumS</v>
          </cell>
          <cell r="K1682" t="str">
            <v>heal</v>
          </cell>
          <cell r="L1682" t="str">
            <v>回復タイプ</v>
          </cell>
          <cell r="M1682" t="str">
            <v>ss</v>
          </cell>
        </row>
        <row r="1683">
          <cell r="A1683">
            <v>8070</v>
          </cell>
          <cell r="B1683" t="str">
            <v>ja</v>
          </cell>
          <cell r="C1683" t="str">
            <v>シナモロール</v>
          </cell>
          <cell r="D1683" t="str">
            <v>シナモロール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yellow</v>
          </cell>
          <cell r="I1683">
            <v>5</v>
          </cell>
          <cell r="J1683" t="str">
            <v>PremiumS</v>
          </cell>
          <cell r="K1683" t="str">
            <v>heal</v>
          </cell>
          <cell r="L1683" t="str">
            <v>回復タイプ</v>
          </cell>
          <cell r="M1683" t="str">
            <v>ss</v>
          </cell>
        </row>
        <row r="1684">
          <cell r="A1684">
            <v>8071</v>
          </cell>
          <cell r="B1684" t="str">
            <v>ja</v>
          </cell>
          <cell r="C1684" t="str">
            <v>ポムポムプリン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yellow</v>
          </cell>
          <cell r="I1684">
            <v>3</v>
          </cell>
          <cell r="J1684" t="str">
            <v>PremiumS</v>
          </cell>
          <cell r="K1684" t="str">
            <v>hp</v>
          </cell>
          <cell r="L1684" t="str">
            <v>体力タイプ</v>
          </cell>
          <cell r="M1684" t="str">
            <v>ss</v>
          </cell>
        </row>
        <row r="1685">
          <cell r="A1685">
            <v>8072</v>
          </cell>
          <cell r="B1685" t="str">
            <v>ja</v>
          </cell>
          <cell r="C1685" t="str">
            <v>ポムポムプリン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PremiumS</v>
          </cell>
          <cell r="K1685" t="str">
            <v>hp</v>
          </cell>
          <cell r="L1685" t="str">
            <v>体力タイプ</v>
          </cell>
          <cell r="M1685" t="str">
            <v>ss</v>
          </cell>
        </row>
        <row r="1686">
          <cell r="A1686">
            <v>8073</v>
          </cell>
          <cell r="B1686" t="str">
            <v>ja</v>
          </cell>
          <cell r="C1686" t="str">
            <v>星海祈る天光妃 媽祖</v>
          </cell>
          <cell r="D1686" t="str">
            <v>Expoミク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6</v>
          </cell>
          <cell r="J1686" t="str">
            <v>PremiumSS</v>
          </cell>
          <cell r="K1686" t="str">
            <v>attack</v>
          </cell>
          <cell r="L1686" t="str">
            <v>攻撃タイプ</v>
          </cell>
          <cell r="M1686" t="str">
            <v>human</v>
          </cell>
        </row>
        <row r="1687">
          <cell r="A1687">
            <v>8074</v>
          </cell>
          <cell r="B1687" t="str">
            <v>ja</v>
          </cell>
          <cell r="C1687" t="str">
            <v>海戀の絶龍姫 蛟龍</v>
          </cell>
          <cell r="D1687" t="str">
            <v>Expoミク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blue</v>
          </cell>
          <cell r="I1687">
            <v>6</v>
          </cell>
          <cell r="J1687" t="str">
            <v>DropWizS</v>
          </cell>
          <cell r="K1687" t="str">
            <v>hp</v>
          </cell>
          <cell r="L1687" t="str">
            <v>体力タイプ</v>
          </cell>
          <cell r="M1687" t="str">
            <v>dragon</v>
          </cell>
        </row>
        <row r="1688">
          <cell r="A1688">
            <v>8075</v>
          </cell>
          <cell r="B1688" t="str">
            <v>ja</v>
          </cell>
          <cell r="C1688" t="str">
            <v>解脱天の知徳 三蔵法師</v>
          </cell>
          <cell r="D1688" t="str">
            <v>Expoミク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blue</v>
          </cell>
          <cell r="I1688">
            <v>6</v>
          </cell>
          <cell r="J1688" t="str">
            <v>PremiumSS</v>
          </cell>
          <cell r="K1688" t="str">
            <v>balance</v>
          </cell>
          <cell r="L1688" t="str">
            <v>バランスタイプ</v>
          </cell>
          <cell r="M1688" t="str">
            <v>god</v>
          </cell>
        </row>
        <row r="1689">
          <cell r="A1689">
            <v>8076</v>
          </cell>
          <cell r="B1689" t="str">
            <v>ja</v>
          </cell>
          <cell r="C1689" t="str">
            <v>天暴の斉天大聖 孫悟空</v>
          </cell>
          <cell r="D1689" t="str">
            <v>Expoミク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unknown</v>
          </cell>
        </row>
        <row r="1690">
          <cell r="A1690">
            <v>8077</v>
          </cell>
          <cell r="B1690" t="str">
            <v>ja</v>
          </cell>
          <cell r="C1690" t="str">
            <v>鄭成功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blue</v>
          </cell>
          <cell r="I1690">
            <v>5</v>
          </cell>
          <cell r="J1690" t="str">
            <v>PremiumSS</v>
          </cell>
          <cell r="K1690" t="str">
            <v>attack</v>
          </cell>
          <cell r="L1690" t="str">
            <v>攻撃タイプ</v>
          </cell>
          <cell r="M1690" t="str">
            <v>human</v>
          </cell>
        </row>
        <row r="1691">
          <cell r="A1691">
            <v>8078</v>
          </cell>
          <cell r="B1691" t="str">
            <v>ja</v>
          </cell>
          <cell r="C1691" t="str">
            <v>レア６鄭成功</v>
          </cell>
          <cell r="D1691" t="str">
            <v>ポムポムプリン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blue</v>
          </cell>
          <cell r="I1691">
            <v>6</v>
          </cell>
          <cell r="J1691" t="str">
            <v>PremiumSS</v>
          </cell>
          <cell r="K1691" t="str">
            <v>attack</v>
          </cell>
          <cell r="L1691" t="str">
            <v>攻撃タイプ</v>
          </cell>
          <cell r="M1691" t="str">
            <v>human</v>
          </cell>
        </row>
        <row r="1692">
          <cell r="A1692">
            <v>8079</v>
          </cell>
          <cell r="B1692" t="str">
            <v>ja</v>
          </cell>
          <cell r="C1692" t="str">
            <v>赤鬼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dragon</v>
          </cell>
        </row>
        <row r="1693">
          <cell r="A1693">
            <v>8080</v>
          </cell>
          <cell r="B1693" t="str">
            <v>ja</v>
          </cell>
          <cell r="C1693" t="str">
            <v>レア６赤鬼</v>
          </cell>
          <cell r="D1693" t="str">
            <v>ポムポムプリン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dragon</v>
          </cell>
        </row>
        <row r="1694">
          <cell r="A1694">
            <v>8081</v>
          </cell>
          <cell r="B1694" t="str">
            <v>ja</v>
          </cell>
          <cell r="C1694" t="str">
            <v>関羽</v>
          </cell>
          <cell r="H1694" t="str">
            <v>green</v>
          </cell>
          <cell r="I1694">
            <v>5</v>
          </cell>
          <cell r="J1694" t="str">
            <v>PremiumSSS</v>
          </cell>
          <cell r="K1694" t="str">
            <v>balance</v>
          </cell>
          <cell r="L1694" t="str">
            <v>バランスタイプ</v>
          </cell>
          <cell r="M1694" t="str">
            <v>samurai</v>
          </cell>
        </row>
        <row r="1695">
          <cell r="A1695">
            <v>8082</v>
          </cell>
          <cell r="B1695" t="str">
            <v>ja</v>
          </cell>
          <cell r="C1695" t="str">
            <v>★６関羽</v>
          </cell>
          <cell r="H1695" t="str">
            <v>green</v>
          </cell>
          <cell r="I1695">
            <v>6</v>
          </cell>
          <cell r="J1695" t="str">
            <v>PremiumSSS</v>
          </cell>
          <cell r="K1695" t="str">
            <v>balance</v>
          </cell>
          <cell r="L1695" t="str">
            <v>バランスタイプ</v>
          </cell>
          <cell r="M1695" t="str">
            <v>samurai</v>
          </cell>
        </row>
        <row r="1696">
          <cell r="A1696">
            <v>8083</v>
          </cell>
          <cell r="B1696" t="str">
            <v>ja</v>
          </cell>
          <cell r="C1696" t="str">
            <v>曹操</v>
          </cell>
          <cell r="H1696" t="str">
            <v>yellow</v>
          </cell>
          <cell r="I1696">
            <v>5</v>
          </cell>
          <cell r="J1696" t="str">
            <v>DropWizSS</v>
          </cell>
          <cell r="K1696" t="str">
            <v>technical</v>
          </cell>
          <cell r="L1696" t="str">
            <v>テクニカルタイプ</v>
          </cell>
          <cell r="M1696" t="str">
            <v>samurai</v>
          </cell>
        </row>
        <row r="1697">
          <cell r="A1697">
            <v>8084</v>
          </cell>
          <cell r="B1697" t="str">
            <v>ja</v>
          </cell>
          <cell r="C1697" t="str">
            <v>★６曹操</v>
          </cell>
          <cell r="H1697" t="str">
            <v>yellow</v>
          </cell>
          <cell r="I1697">
            <v>6</v>
          </cell>
          <cell r="J1697" t="str">
            <v>DropWizSS</v>
          </cell>
          <cell r="K1697" t="str">
            <v>technical</v>
          </cell>
          <cell r="L1697" t="str">
            <v>テクニカルタイプ</v>
          </cell>
          <cell r="M1697" t="str">
            <v>samurai</v>
          </cell>
        </row>
        <row r="1698">
          <cell r="A1698">
            <v>8085</v>
          </cell>
          <cell r="B1698" t="str">
            <v>ja</v>
          </cell>
          <cell r="C1698" t="str">
            <v>九霊無上の聖母 西王娘娘</v>
          </cell>
          <cell r="H1698" t="str">
            <v>green</v>
          </cell>
          <cell r="I1698">
            <v>6</v>
          </cell>
          <cell r="J1698" t="str">
            <v>PremiumSS</v>
          </cell>
          <cell r="K1698" t="str">
            <v>attack</v>
          </cell>
          <cell r="L1698" t="str">
            <v>攻撃タイプ</v>
          </cell>
          <cell r="M1698" t="str">
            <v>god</v>
          </cell>
        </row>
        <row r="1699">
          <cell r="A1699">
            <v>8086</v>
          </cell>
          <cell r="B1699" t="str">
            <v>ja</v>
          </cell>
          <cell r="C1699" t="str">
            <v>砕縁の情滅剣 月下老人</v>
          </cell>
          <cell r="H1699" t="str">
            <v>yellow</v>
          </cell>
          <cell r="I1699">
            <v>6</v>
          </cell>
          <cell r="J1699" t="str">
            <v>DropWizS</v>
          </cell>
          <cell r="K1699" t="str">
            <v>attack</v>
          </cell>
          <cell r="L1699" t="str">
            <v>攻撃タイプ</v>
          </cell>
          <cell r="M1699" t="str">
            <v>god</v>
          </cell>
        </row>
        <row r="1700">
          <cell r="A1700">
            <v>8087</v>
          </cell>
          <cell r="B1700" t="str">
            <v>ja</v>
          </cell>
          <cell r="C1700" t="str">
            <v>財神</v>
          </cell>
          <cell r="H1700" t="str">
            <v>red</v>
          </cell>
          <cell r="I1700">
            <v>5</v>
          </cell>
          <cell r="J1700" t="str">
            <v>PremiumSSS</v>
          </cell>
          <cell r="K1700" t="str">
            <v>technical</v>
          </cell>
          <cell r="L1700" t="str">
            <v>テクニカルタイプ</v>
          </cell>
          <cell r="M1700" t="str">
            <v>god</v>
          </cell>
        </row>
        <row r="1701">
          <cell r="A1701">
            <v>8088</v>
          </cell>
          <cell r="B1701" t="str">
            <v>ja</v>
          </cell>
          <cell r="C1701" t="str">
            <v>★６財神</v>
          </cell>
          <cell r="H1701" t="str">
            <v>red</v>
          </cell>
          <cell r="I1701">
            <v>6</v>
          </cell>
          <cell r="J1701" t="str">
            <v>PremiumSSS</v>
          </cell>
          <cell r="K1701" t="str">
            <v>technical</v>
          </cell>
          <cell r="L1701" t="str">
            <v>テクニカルタイプ</v>
          </cell>
          <cell r="M1701" t="str">
            <v>god</v>
          </cell>
        </row>
        <row r="1702">
          <cell r="A1702">
            <v>8089</v>
          </cell>
          <cell r="B1702" t="str">
            <v>ja</v>
          </cell>
          <cell r="C1702" t="str">
            <v>年獣</v>
          </cell>
          <cell r="H1702" t="str">
            <v>green</v>
          </cell>
          <cell r="I1702">
            <v>5</v>
          </cell>
          <cell r="J1702" t="str">
            <v>DropWizS</v>
          </cell>
          <cell r="K1702" t="str">
            <v>attack</v>
          </cell>
          <cell r="L1702" t="str">
            <v>攻撃タイプ</v>
          </cell>
          <cell r="M1702" t="str">
            <v>animal</v>
          </cell>
        </row>
        <row r="1703">
          <cell r="A1703">
            <v>8090</v>
          </cell>
          <cell r="B1703" t="str">
            <v>ja</v>
          </cell>
          <cell r="C1703" t="str">
            <v>★６年獣</v>
          </cell>
          <cell r="H1703" t="str">
            <v>green</v>
          </cell>
          <cell r="I1703">
            <v>6</v>
          </cell>
          <cell r="J1703" t="str">
            <v>DropWizS</v>
          </cell>
          <cell r="K1703" t="str">
            <v>attack</v>
          </cell>
          <cell r="L1703" t="str">
            <v>攻撃タイプ</v>
          </cell>
          <cell r="M1703" t="str">
            <v>animal</v>
          </cell>
        </row>
        <row r="1704">
          <cell r="A1704">
            <v>8095</v>
          </cell>
          <cell r="B1704" t="str">
            <v>ja</v>
          </cell>
          <cell r="C1704" t="str">
            <v>バハムートダック赤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red</v>
          </cell>
          <cell r="I1704">
            <v>6</v>
          </cell>
          <cell r="J1704" t="str">
            <v>Material</v>
          </cell>
          <cell r="K1704" t="str">
            <v>exp</v>
          </cell>
          <cell r="L1704" t="str">
            <v>強化素材タイプ</v>
          </cell>
          <cell r="M1704" t="str">
            <v>unknown</v>
          </cell>
        </row>
        <row r="1705">
          <cell r="A1705">
            <v>8096</v>
          </cell>
          <cell r="B1705" t="str">
            <v>ja</v>
          </cell>
          <cell r="C1705" t="str">
            <v>バハムートダック緑</v>
          </cell>
          <cell r="D1705" t="str">
            <v>ポムポムプリン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green</v>
          </cell>
          <cell r="I1705">
            <v>6</v>
          </cell>
          <cell r="J1705" t="str">
            <v>Material</v>
          </cell>
          <cell r="K1705" t="str">
            <v>exp</v>
          </cell>
          <cell r="L1705" t="str">
            <v>強化素材タイプ</v>
          </cell>
          <cell r="M1705" t="str">
            <v>unknown</v>
          </cell>
        </row>
        <row r="1706">
          <cell r="A1706">
            <v>8097</v>
          </cell>
          <cell r="B1706" t="str">
            <v>ja</v>
          </cell>
          <cell r="C1706" t="str">
            <v>バハムートダック青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6</v>
          </cell>
          <cell r="J1706" t="str">
            <v>Material</v>
          </cell>
          <cell r="K1706" t="str">
            <v>exp</v>
          </cell>
          <cell r="L1706" t="str">
            <v>強化素材タイプ</v>
          </cell>
          <cell r="M1706" t="str">
            <v>unknown</v>
          </cell>
        </row>
        <row r="1707">
          <cell r="A1707">
            <v>8098</v>
          </cell>
          <cell r="B1707" t="str">
            <v>ja</v>
          </cell>
          <cell r="C1707" t="str">
            <v>バハムートダック黄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yellow</v>
          </cell>
          <cell r="I1707">
            <v>6</v>
          </cell>
          <cell r="J1707" t="str">
            <v>Material</v>
          </cell>
          <cell r="K1707" t="str">
            <v>exp</v>
          </cell>
          <cell r="L1707" t="str">
            <v>強化素材タイプ</v>
          </cell>
          <cell r="M1707" t="str">
            <v>unknown</v>
          </cell>
        </row>
        <row r="1708">
          <cell r="A1708">
            <v>8099</v>
          </cell>
          <cell r="B1708" t="str">
            <v>ja</v>
          </cell>
          <cell r="C1708" t="str">
            <v>韓湘子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PremiumSSw</v>
          </cell>
          <cell r="K1708" t="str">
            <v>balance</v>
          </cell>
          <cell r="L1708" t="str">
            <v>バランスタイプ</v>
          </cell>
          <cell r="M1708" t="str">
            <v>god</v>
          </cell>
        </row>
        <row r="1709">
          <cell r="A1709">
            <v>8100</v>
          </cell>
          <cell r="B1709" t="str">
            <v>ja</v>
          </cell>
          <cell r="C1709" t="str">
            <v>韓湘子★６</v>
          </cell>
          <cell r="D1709" t="str">
            <v>ポムポムプリン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green</v>
          </cell>
          <cell r="I1709">
            <v>6</v>
          </cell>
          <cell r="J1709" t="str">
            <v>PremiumSSw</v>
          </cell>
          <cell r="K1709" t="str">
            <v>balance</v>
          </cell>
          <cell r="L1709" t="str">
            <v>バランスタイプ</v>
          </cell>
          <cell r="M1709" t="str">
            <v>god</v>
          </cell>
        </row>
        <row r="1710">
          <cell r="A1710">
            <v>8101</v>
          </cell>
          <cell r="B1710" t="str">
            <v>ja</v>
          </cell>
          <cell r="C1710" t="str">
            <v>張果老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DropWizS</v>
          </cell>
          <cell r="K1710" t="str">
            <v>attack</v>
          </cell>
          <cell r="L1710" t="str">
            <v>攻撃タイプ</v>
          </cell>
          <cell r="M1710" t="str">
            <v>god</v>
          </cell>
        </row>
        <row r="1711">
          <cell r="A1711">
            <v>8102</v>
          </cell>
          <cell r="B1711" t="str">
            <v>ja</v>
          </cell>
          <cell r="C1711" t="str">
            <v>張果老★６</v>
          </cell>
          <cell r="D1711" t="str">
            <v>各属性相性良3・黄・R455</v>
          </cell>
          <cell r="E1711" t="str">
            <v>執行者</v>
          </cell>
          <cell r="F1711" t="str">
            <v>格好いい</v>
          </cell>
          <cell r="G1711" t="str">
            <v>男性</v>
          </cell>
          <cell r="H1711" t="str">
            <v>yellow</v>
          </cell>
          <cell r="I1711">
            <v>6</v>
          </cell>
          <cell r="J1711" t="str">
            <v>DropWizS</v>
          </cell>
          <cell r="K1711" t="str">
            <v>attack</v>
          </cell>
          <cell r="L1711" t="str">
            <v>攻撃タイプ</v>
          </cell>
          <cell r="M1711" t="str">
            <v>god</v>
          </cell>
        </row>
        <row r="1712">
          <cell r="A1712">
            <v>8103</v>
          </cell>
          <cell r="B1712" t="str">
            <v>ja</v>
          </cell>
          <cell r="C1712" t="str">
            <v>李鐵拐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PremiumSSw</v>
          </cell>
          <cell r="K1712" t="str">
            <v>technical</v>
          </cell>
          <cell r="L1712" t="str">
            <v>テクニカルタイプ</v>
          </cell>
          <cell r="M1712" t="str">
            <v>god</v>
          </cell>
        </row>
        <row r="1713">
          <cell r="A1713">
            <v>8104</v>
          </cell>
          <cell r="B1713" t="str">
            <v>ja</v>
          </cell>
          <cell r="C1713" t="str">
            <v>李鐵拐★６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PremiumSSw</v>
          </cell>
          <cell r="K1713" t="str">
            <v>technical</v>
          </cell>
          <cell r="L1713" t="str">
            <v>テクニカルタイプ</v>
          </cell>
          <cell r="M1713" t="str">
            <v>god</v>
          </cell>
        </row>
        <row r="1714">
          <cell r="A1714">
            <v>8105</v>
          </cell>
          <cell r="B1714" t="str">
            <v>ja</v>
          </cell>
          <cell r="C1714" t="str">
            <v>曹國舅</v>
          </cell>
          <cell r="D1714" t="str">
            <v>ポムポムプリン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green</v>
          </cell>
          <cell r="I1714">
            <v>5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god</v>
          </cell>
        </row>
        <row r="1715">
          <cell r="A1715">
            <v>8106</v>
          </cell>
          <cell r="B1715" t="str">
            <v>ja</v>
          </cell>
          <cell r="C1715" t="str">
            <v>曹國舅★６</v>
          </cell>
          <cell r="D1715" t="str">
            <v>各属性相性良3・黄・R455</v>
          </cell>
          <cell r="E1715" t="str">
            <v>執行者</v>
          </cell>
          <cell r="F1715" t="str">
            <v>格好いい</v>
          </cell>
          <cell r="G1715" t="str">
            <v>男性</v>
          </cell>
          <cell r="H1715" t="str">
            <v>green</v>
          </cell>
          <cell r="I1715">
            <v>6</v>
          </cell>
          <cell r="J1715" t="str">
            <v>DropWizS</v>
          </cell>
          <cell r="K1715" t="str">
            <v>hp</v>
          </cell>
          <cell r="L1715" t="str">
            <v>体力タイプ</v>
          </cell>
          <cell r="M1715" t="str">
            <v>god</v>
          </cell>
        </row>
        <row r="1716">
          <cell r="A1716">
            <v>8111</v>
          </cell>
          <cell r="B1716" t="str">
            <v>ja</v>
          </cell>
          <cell r="C1716" t="str">
            <v>福德正神</v>
          </cell>
          <cell r="H1716" t="str">
            <v>blue</v>
          </cell>
          <cell r="I1716">
            <v>5</v>
          </cell>
          <cell r="J1716" t="str">
            <v>DropWizS</v>
          </cell>
          <cell r="K1716" t="str">
            <v>balance</v>
          </cell>
          <cell r="L1716" t="str">
            <v>バランスタイプ</v>
          </cell>
          <cell r="M1716" t="str">
            <v>god</v>
          </cell>
        </row>
        <row r="1717">
          <cell r="A1717">
            <v>8112</v>
          </cell>
          <cell r="B1717" t="str">
            <v>ja</v>
          </cell>
          <cell r="C1717" t="str">
            <v>福德正神★６</v>
          </cell>
          <cell r="H1717" t="str">
            <v>blue</v>
          </cell>
          <cell r="I1717">
            <v>6</v>
          </cell>
          <cell r="J1717" t="str">
            <v>DropWizS</v>
          </cell>
          <cell r="K1717" t="str">
            <v>balance</v>
          </cell>
          <cell r="L1717" t="str">
            <v>バランスタイプ</v>
          </cell>
          <cell r="M1717" t="str">
            <v>god</v>
          </cell>
        </row>
        <row r="1718">
          <cell r="A1718">
            <v>8113</v>
          </cell>
          <cell r="B1718" t="str">
            <v>ja</v>
          </cell>
          <cell r="C1718" t="str">
            <v>孔子</v>
          </cell>
          <cell r="H1718" t="str">
            <v>yellow</v>
          </cell>
          <cell r="I1718">
            <v>5</v>
          </cell>
          <cell r="J1718" t="str">
            <v>PremiumSSS</v>
          </cell>
          <cell r="K1718" t="str">
            <v>attack</v>
          </cell>
          <cell r="L1718" t="str">
            <v>攻撃タイプ</v>
          </cell>
          <cell r="M1718" t="str">
            <v>academia</v>
          </cell>
        </row>
        <row r="1719">
          <cell r="A1719">
            <v>8114</v>
          </cell>
          <cell r="B1719" t="str">
            <v>ja</v>
          </cell>
          <cell r="C1719" t="str">
            <v>孔子★６</v>
          </cell>
          <cell r="H1719" t="str">
            <v>yellow</v>
          </cell>
          <cell r="I1719">
            <v>6</v>
          </cell>
          <cell r="J1719" t="str">
            <v>PremiumSSS</v>
          </cell>
          <cell r="K1719" t="str">
            <v>attack</v>
          </cell>
          <cell r="L1719" t="str">
            <v>攻撃タイプ</v>
          </cell>
          <cell r="M1719" t="str">
            <v>academia</v>
          </cell>
        </row>
        <row r="1720">
          <cell r="A1720">
            <v>8115</v>
          </cell>
          <cell r="B1720" t="str">
            <v>ja</v>
          </cell>
          <cell r="C1720" t="str">
            <v>贏政</v>
          </cell>
          <cell r="H1720" t="str">
            <v>blue</v>
          </cell>
          <cell r="I1720">
            <v>5</v>
          </cell>
          <cell r="J1720" t="str">
            <v>DropWizSS</v>
          </cell>
          <cell r="K1720" t="str">
            <v>attack</v>
          </cell>
          <cell r="L1720" t="str">
            <v>攻撃タイプ</v>
          </cell>
          <cell r="M1720" t="str">
            <v>human</v>
          </cell>
        </row>
        <row r="1721">
          <cell r="A1721">
            <v>8116</v>
          </cell>
          <cell r="B1721" t="str">
            <v>ja</v>
          </cell>
          <cell r="C1721" t="str">
            <v>贏政★６</v>
          </cell>
          <cell r="H1721" t="str">
            <v>blue</v>
          </cell>
          <cell r="I1721">
            <v>6</v>
          </cell>
          <cell r="J1721" t="str">
            <v>DropWizSS</v>
          </cell>
          <cell r="K1721" t="str">
            <v>attack</v>
          </cell>
          <cell r="L1721" t="str">
            <v>攻撃タイプ</v>
          </cell>
          <cell r="M1721" t="str">
            <v>human</v>
          </cell>
        </row>
        <row r="1722">
          <cell r="A1722">
            <v>8117</v>
          </cell>
          <cell r="B1722" t="str">
            <v>ja</v>
          </cell>
          <cell r="C1722" t="str">
            <v>白娘子</v>
          </cell>
          <cell r="D1722" t="str">
            <v>ポムポムプリン</v>
          </cell>
          <cell r="E1722" t="str">
            <v>執行者</v>
          </cell>
          <cell r="F1722" t="str">
            <v>格好いい</v>
          </cell>
          <cell r="G1722" t="str">
            <v>女性</v>
          </cell>
          <cell r="H1722" t="str">
            <v>green</v>
          </cell>
          <cell r="I1722">
            <v>5</v>
          </cell>
          <cell r="J1722" t="str">
            <v>PremiumSSw</v>
          </cell>
          <cell r="K1722" t="str">
            <v>heal</v>
          </cell>
          <cell r="L1722" t="str">
            <v>回復タイプ</v>
          </cell>
          <cell r="M1722" t="str">
            <v>dragon</v>
          </cell>
        </row>
        <row r="1723">
          <cell r="A1723">
            <v>8118</v>
          </cell>
          <cell r="B1723" t="str">
            <v>ja</v>
          </cell>
          <cell r="C1723" t="str">
            <v>白娘子★６</v>
          </cell>
          <cell r="D1723" t="str">
            <v>ポムポムプリン</v>
          </cell>
          <cell r="E1723" t="str">
            <v>執行者</v>
          </cell>
          <cell r="F1723" t="str">
            <v>格好いい</v>
          </cell>
          <cell r="G1723" t="str">
            <v>女性</v>
          </cell>
          <cell r="H1723" t="str">
            <v>green</v>
          </cell>
          <cell r="I1723">
            <v>6</v>
          </cell>
          <cell r="J1723" t="str">
            <v>PremiumSSw</v>
          </cell>
          <cell r="K1723" t="str">
            <v>heal</v>
          </cell>
          <cell r="L1723" t="str">
            <v>回復タイプ</v>
          </cell>
          <cell r="M1723" t="str">
            <v>dragon</v>
          </cell>
        </row>
        <row r="1724">
          <cell r="A1724">
            <v>8119</v>
          </cell>
          <cell r="B1724" t="str">
            <v>ja</v>
          </cell>
          <cell r="C1724" t="str">
            <v>小青</v>
          </cell>
          <cell r="D1724" t="str">
            <v>ポムポムプリン</v>
          </cell>
          <cell r="E1724" t="str">
            <v>執行者</v>
          </cell>
          <cell r="F1724" t="str">
            <v>格好いい</v>
          </cell>
          <cell r="G1724" t="str">
            <v>女性</v>
          </cell>
          <cell r="H1724" t="str">
            <v>green</v>
          </cell>
          <cell r="I1724">
            <v>5</v>
          </cell>
          <cell r="J1724" t="str">
            <v>PremiumSSw</v>
          </cell>
          <cell r="K1724" t="str">
            <v>attack</v>
          </cell>
          <cell r="L1724" t="str">
            <v>攻撃タイプ</v>
          </cell>
          <cell r="M1724" t="str">
            <v>dragon</v>
          </cell>
        </row>
        <row r="1725">
          <cell r="A1725">
            <v>8120</v>
          </cell>
          <cell r="B1725" t="str">
            <v>ja</v>
          </cell>
          <cell r="C1725" t="str">
            <v>小青★６</v>
          </cell>
          <cell r="D1725" t="str">
            <v>ポムポムプリン</v>
          </cell>
          <cell r="E1725" t="str">
            <v>執行者</v>
          </cell>
          <cell r="F1725" t="str">
            <v>格好いい</v>
          </cell>
          <cell r="G1725" t="str">
            <v>女性</v>
          </cell>
          <cell r="H1725" t="str">
            <v>green</v>
          </cell>
          <cell r="I1725">
            <v>6</v>
          </cell>
          <cell r="J1725" t="str">
            <v>PremiumSSw</v>
          </cell>
          <cell r="K1725" t="str">
            <v>attack</v>
          </cell>
          <cell r="L1725" t="str">
            <v>攻撃タイプ</v>
          </cell>
          <cell r="M1725" t="str">
            <v>dragon</v>
          </cell>
        </row>
        <row r="1726">
          <cell r="A1726">
            <v>8121</v>
          </cell>
          <cell r="B1726" t="str">
            <v>ja</v>
          </cell>
          <cell r="C1726" t="str">
            <v>法海</v>
          </cell>
          <cell r="D1726" t="str">
            <v>ポムポムプリン</v>
          </cell>
          <cell r="E1726" t="str">
            <v>執行者</v>
          </cell>
          <cell r="F1726" t="str">
            <v>格好いい</v>
          </cell>
          <cell r="G1726" t="str">
            <v>女性</v>
          </cell>
          <cell r="H1726" t="str">
            <v>yellow</v>
          </cell>
          <cell r="I1726">
            <v>5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human</v>
          </cell>
        </row>
        <row r="1727">
          <cell r="A1727">
            <v>8122</v>
          </cell>
          <cell r="B1727" t="str">
            <v>ja</v>
          </cell>
          <cell r="C1727" t="str">
            <v>法海★６</v>
          </cell>
          <cell r="D1727" t="str">
            <v>各属性相性良3・黄・R455</v>
          </cell>
          <cell r="E1727" t="str">
            <v>執行者</v>
          </cell>
          <cell r="F1727" t="str">
            <v>格好いい</v>
          </cell>
          <cell r="G1727" t="str">
            <v>男性</v>
          </cell>
          <cell r="H1727" t="str">
            <v>yellow</v>
          </cell>
          <cell r="I1727">
            <v>6</v>
          </cell>
          <cell r="J1727" t="str">
            <v>DropWizS</v>
          </cell>
          <cell r="K1727" t="str">
            <v>attack</v>
          </cell>
          <cell r="L1727" t="str">
            <v>攻撃タイプ</v>
          </cell>
          <cell r="M1727" t="str">
            <v>human</v>
          </cell>
        </row>
        <row r="1728">
          <cell r="A1728">
            <v>8123</v>
          </cell>
          <cell r="B1728" t="str">
            <v>ja</v>
          </cell>
          <cell r="C1728" t="str">
            <v>哪吒</v>
          </cell>
          <cell r="D1728" t="str">
            <v>各属性相性良3・黄・R455</v>
          </cell>
          <cell r="E1728" t="str">
            <v>執行者</v>
          </cell>
          <cell r="F1728" t="str">
            <v>格好いい</v>
          </cell>
          <cell r="G1728" t="str">
            <v>男性</v>
          </cell>
          <cell r="H1728" t="str">
            <v>yellow</v>
          </cell>
          <cell r="I1728">
            <v>6</v>
          </cell>
          <cell r="J1728" t="str">
            <v>DropWizS</v>
          </cell>
          <cell r="K1728" t="str">
            <v>attack</v>
          </cell>
          <cell r="L1728" t="str">
            <v>攻撃タイプ</v>
          </cell>
          <cell r="M1728" t="str">
            <v>human</v>
          </cell>
        </row>
        <row r="1729">
          <cell r="A1729">
            <v>8124</v>
          </cell>
          <cell r="B1729" t="str">
            <v>ja</v>
          </cell>
          <cell r="C1729" t="str">
            <v>★6哪吒</v>
          </cell>
          <cell r="D1729" t="str">
            <v>各属性相性良3・黄・R455</v>
          </cell>
          <cell r="E1729" t="str">
            <v>執行者</v>
          </cell>
          <cell r="F1729" t="str">
            <v>格好いい</v>
          </cell>
          <cell r="G1729" t="str">
            <v>男性</v>
          </cell>
          <cell r="H1729" t="str">
            <v>yellow</v>
          </cell>
          <cell r="I1729">
            <v>6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human</v>
          </cell>
        </row>
        <row r="1730">
          <cell r="A1730">
            <v>8125</v>
          </cell>
          <cell r="B1730" t="str">
            <v>ja</v>
          </cell>
          <cell r="C1730" t="str">
            <v>東海龍王</v>
          </cell>
          <cell r="D1730" t="str">
            <v>各属性相性良3・黄・R455</v>
          </cell>
          <cell r="E1730" t="str">
            <v>執行者</v>
          </cell>
          <cell r="F1730" t="str">
            <v>格好いい</v>
          </cell>
          <cell r="G1730" t="str">
            <v>男性</v>
          </cell>
          <cell r="H1730" t="str">
            <v>yellow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human</v>
          </cell>
        </row>
        <row r="1731">
          <cell r="A1731">
            <v>8126</v>
          </cell>
          <cell r="B1731" t="str">
            <v>ja</v>
          </cell>
          <cell r="C1731" t="str">
            <v>★6東海龍王</v>
          </cell>
          <cell r="D1731" t="str">
            <v>各属性相性良3・黄・R455</v>
          </cell>
          <cell r="E1731" t="str">
            <v>執行者</v>
          </cell>
          <cell r="F1731" t="str">
            <v>格好いい</v>
          </cell>
          <cell r="G1731" t="str">
            <v>男性</v>
          </cell>
          <cell r="H1731" t="str">
            <v>yellow</v>
          </cell>
          <cell r="I1731">
            <v>6</v>
          </cell>
          <cell r="J1731" t="str">
            <v>DropWizS</v>
          </cell>
          <cell r="K1731" t="str">
            <v>attack</v>
          </cell>
          <cell r="L1731" t="str">
            <v>攻撃タイプ</v>
          </cell>
          <cell r="M1731" t="str">
            <v>human</v>
          </cell>
        </row>
        <row r="1732">
          <cell r="A1732">
            <v>8127</v>
          </cell>
          <cell r="B1732" t="str">
            <v>ja</v>
          </cell>
          <cell r="C1732" t="str">
            <v>鐵扇公主 ‧ 羅剎女</v>
          </cell>
          <cell r="D1732" t="str">
            <v>各属性相性良3・黄・R455</v>
          </cell>
          <cell r="E1732" t="str">
            <v>執行者</v>
          </cell>
          <cell r="F1732" t="str">
            <v>格好いい</v>
          </cell>
          <cell r="G1732" t="str">
            <v>男性</v>
          </cell>
          <cell r="H1732" t="str">
            <v>green</v>
          </cell>
          <cell r="I1732">
            <v>6</v>
          </cell>
          <cell r="J1732" t="str">
            <v>PremiumSSS</v>
          </cell>
          <cell r="K1732" t="str">
            <v>technical</v>
          </cell>
          <cell r="L1732" t="str">
            <v>テクニカルタイプ</v>
          </cell>
          <cell r="M1732" t="str">
            <v>demon</v>
          </cell>
        </row>
        <row r="1733">
          <cell r="A1733">
            <v>8128</v>
          </cell>
          <cell r="B1733" t="str">
            <v>ja</v>
          </cell>
          <cell r="C1733" t="str">
            <v>聖賢哲者 ‧ 唐三藏</v>
          </cell>
          <cell r="D1733" t="str">
            <v>各属性相性良3・黄・R455</v>
          </cell>
          <cell r="E1733" t="str">
            <v>執行者</v>
          </cell>
          <cell r="F1733" t="str">
            <v>格好いい</v>
          </cell>
          <cell r="G1733" t="str">
            <v>男性</v>
          </cell>
          <cell r="H1733" t="str">
            <v>green</v>
          </cell>
          <cell r="I1733">
            <v>6</v>
          </cell>
          <cell r="J1733" t="str">
            <v>PremiumSSS</v>
          </cell>
          <cell r="K1733" t="str">
            <v>balance</v>
          </cell>
          <cell r="L1733" t="str">
            <v>バランスタイプ</v>
          </cell>
          <cell r="M1733" t="str">
            <v>god</v>
          </cell>
        </row>
        <row r="1734">
          <cell r="A1734">
            <v>8129</v>
          </cell>
          <cell r="B1734" t="str">
            <v>ja</v>
          </cell>
          <cell r="C1734" t="str">
            <v>放任孽魔 ‧ 撒旦</v>
          </cell>
          <cell r="D1734" t="str">
            <v>各属性相性良3・黄・R455</v>
          </cell>
          <cell r="E1734" t="str">
            <v>執行者</v>
          </cell>
          <cell r="F1734" t="str">
            <v>格好いい</v>
          </cell>
          <cell r="G1734" t="str">
            <v>男性</v>
          </cell>
          <cell r="H1734" t="str">
            <v>blue</v>
          </cell>
          <cell r="I1734">
            <v>6</v>
          </cell>
          <cell r="J1734" t="str">
            <v>PremiumSS</v>
          </cell>
          <cell r="K1734" t="str">
            <v>technical</v>
          </cell>
          <cell r="L1734" t="str">
            <v>テクニカルタイプ</v>
          </cell>
          <cell r="M1734" t="str">
            <v>demon</v>
          </cell>
        </row>
        <row r="1735">
          <cell r="A1735">
            <v>8130</v>
          </cell>
          <cell r="B1735" t="str">
            <v>ja</v>
          </cell>
          <cell r="C1735" t="str">
            <v>變臉火術 ‧ 切西亞</v>
          </cell>
          <cell r="D1735" t="str">
            <v>各属性相性良3・黄・R455</v>
          </cell>
          <cell r="E1735" t="str">
            <v>執行者</v>
          </cell>
          <cell r="F1735" t="str">
            <v>格好いい</v>
          </cell>
          <cell r="G1735" t="str">
            <v>男性</v>
          </cell>
          <cell r="H1735" t="str">
            <v>red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</row>
        <row r="1736">
          <cell r="A1736">
            <v>8131</v>
          </cell>
          <cell r="B1736" t="str">
            <v>ja</v>
          </cell>
          <cell r="C1736" t="str">
            <v>預知者之歷劫 ‧ 卡珊德拉</v>
          </cell>
          <cell r="D1736" t="str">
            <v>各属性相性良3・黄・R455</v>
          </cell>
          <cell r="E1736" t="str">
            <v>執行者</v>
          </cell>
          <cell r="F1736" t="str">
            <v>格好いい</v>
          </cell>
          <cell r="G1736" t="str">
            <v>男性</v>
          </cell>
          <cell r="H1736" t="str">
            <v>blue</v>
          </cell>
          <cell r="I1736">
            <v>6</v>
          </cell>
          <cell r="J1736" t="str">
            <v>PremiumSS</v>
          </cell>
          <cell r="K1736" t="str">
            <v>heal</v>
          </cell>
          <cell r="L1736" t="str">
            <v>回復タイプ</v>
          </cell>
          <cell r="M1736" t="str">
            <v>human</v>
          </cell>
        </row>
        <row r="1737">
          <cell r="A1737">
            <v>8132</v>
          </cell>
          <cell r="B1737" t="str">
            <v>ja</v>
          </cell>
          <cell r="C1737" t="str">
            <v>罪與責之承諾 ‧ 美狄亞</v>
          </cell>
          <cell r="D1737" t="str">
            <v>各属性相性良3・黄・R455</v>
          </cell>
          <cell r="E1737" t="str">
            <v>執行者</v>
          </cell>
          <cell r="F1737" t="str">
            <v>格好いい</v>
          </cell>
          <cell r="G1737" t="str">
            <v>男性</v>
          </cell>
          <cell r="H1737" t="str">
            <v>red</v>
          </cell>
          <cell r="I1737">
            <v>6</v>
          </cell>
          <cell r="J1737" t="str">
            <v>PremiumSS</v>
          </cell>
          <cell r="K1737" t="str">
            <v>attack</v>
          </cell>
          <cell r="L1737" t="str">
            <v>攻撃タイプ</v>
          </cell>
          <cell r="M1737" t="str">
            <v>human</v>
          </cell>
        </row>
        <row r="1738">
          <cell r="A1738">
            <v>8133</v>
          </cell>
          <cell r="B1738" t="str">
            <v>ja</v>
          </cell>
          <cell r="C1738" t="str">
            <v>大魔導士 ‧ 莫莉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blue</v>
          </cell>
          <cell r="I1738">
            <v>5</v>
          </cell>
          <cell r="J1738" t="str">
            <v>PremiumS</v>
          </cell>
          <cell r="K1738" t="str">
            <v>heal</v>
          </cell>
          <cell r="L1738" t="str">
            <v>回復タイプ</v>
          </cell>
          <cell r="M1738" t="str">
            <v>human</v>
          </cell>
        </row>
        <row r="1739">
          <cell r="A1739">
            <v>8134</v>
          </cell>
          <cell r="B1739" t="str">
            <v>ja</v>
          </cell>
          <cell r="C1739" t="str">
            <v>龍焰騎士 ‧ 肖恩</v>
          </cell>
          <cell r="D1739" t="str">
            <v>各属性相性良3・黄・R455</v>
          </cell>
          <cell r="E1739" t="str">
            <v>執行者</v>
          </cell>
          <cell r="F1739" t="str">
            <v>格好いい</v>
          </cell>
          <cell r="G1739" t="str">
            <v>男性</v>
          </cell>
          <cell r="H1739" t="str">
            <v>red</v>
          </cell>
          <cell r="I1739">
            <v>5</v>
          </cell>
          <cell r="J1739" t="str">
            <v>PremiumS</v>
          </cell>
          <cell r="K1739" t="str">
            <v>balance</v>
          </cell>
          <cell r="L1739" t="str">
            <v>バランスタイプ</v>
          </cell>
          <cell r="M1739" t="str">
            <v>human</v>
          </cell>
        </row>
        <row r="1740">
          <cell r="A1740">
            <v>8135</v>
          </cell>
          <cell r="B1740" t="str">
            <v>ja</v>
          </cell>
          <cell r="C1740" t="str">
            <v>混沌之翼 ‧ 路西法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yellow</v>
          </cell>
          <cell r="I1740">
            <v>5</v>
          </cell>
          <cell r="J1740" t="str">
            <v>DropWizSS</v>
          </cell>
          <cell r="K1740" t="str">
            <v>attack</v>
          </cell>
          <cell r="L1740" t="str">
            <v>攻撃タイプ</v>
          </cell>
          <cell r="M1740" t="str">
            <v>god</v>
          </cell>
        </row>
        <row r="1741">
          <cell r="A1741">
            <v>8136</v>
          </cell>
          <cell r="B1741" t="str">
            <v>ja</v>
          </cell>
          <cell r="C1741" t="str">
            <v>混沌之翼 ‧ 路西法★6</v>
          </cell>
          <cell r="D1741" t="str">
            <v>各属性相性良3・黄・R455</v>
          </cell>
          <cell r="E1741" t="str">
            <v>執行者</v>
          </cell>
          <cell r="F1741" t="str">
            <v>格好いい</v>
          </cell>
          <cell r="G1741" t="str">
            <v>男性</v>
          </cell>
          <cell r="H1741" t="str">
            <v>yellow</v>
          </cell>
          <cell r="I1741">
            <v>6</v>
          </cell>
          <cell r="J1741" t="str">
            <v>DropWizSS</v>
          </cell>
          <cell r="K1741" t="str">
            <v>attack</v>
          </cell>
          <cell r="L1741" t="str">
            <v>攻撃タイプ</v>
          </cell>
          <cell r="M1741" t="str">
            <v>god</v>
          </cell>
        </row>
        <row r="1742">
          <cell r="A1742">
            <v>8137</v>
          </cell>
          <cell r="B1742" t="str">
            <v>ja</v>
          </cell>
          <cell r="C1742" t="str">
            <v>黑巫術之疚惡 ‧ 喀耳刻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balance</v>
          </cell>
          <cell r="L1742" t="str">
            <v>バランスタイプ</v>
          </cell>
          <cell r="M1742" t="str">
            <v>human</v>
          </cell>
        </row>
        <row r="1743">
          <cell r="A1743">
            <v>8138</v>
          </cell>
          <cell r="B1743" t="str">
            <v>ja</v>
          </cell>
          <cell r="C1743" t="str">
            <v>死靈魔導 ‧ 安多</v>
          </cell>
          <cell r="D1743" t="str">
            <v>各属性相性良3・黄・R455</v>
          </cell>
          <cell r="E1743" t="str">
            <v>執行者</v>
          </cell>
          <cell r="F1743" t="str">
            <v>格好いい</v>
          </cell>
          <cell r="G1743" t="str">
            <v>男性</v>
          </cell>
          <cell r="H1743" t="str">
            <v>red</v>
          </cell>
          <cell r="I1743">
            <v>5</v>
          </cell>
          <cell r="J1743" t="str">
            <v>Drop2N</v>
          </cell>
          <cell r="K1743" t="str">
            <v>attack</v>
          </cell>
          <cell r="L1743" t="str">
            <v>攻撃タイプ</v>
          </cell>
          <cell r="M1743" t="str">
            <v>human</v>
          </cell>
        </row>
        <row r="1744">
          <cell r="A1744">
            <v>9001</v>
          </cell>
          <cell r="B1744" t="str">
            <v>ja</v>
          </cell>
          <cell r="C1744" t="str">
            <v>春香</v>
          </cell>
          <cell r="D1744" t="str">
            <v>ポムポムプリン</v>
          </cell>
          <cell r="E1744" t="str">
            <v>執行者</v>
          </cell>
          <cell r="F1744" t="str">
            <v>格好いい</v>
          </cell>
          <cell r="G1744" t="str">
            <v>女性</v>
          </cell>
          <cell r="H1744" t="str">
            <v>red</v>
          </cell>
          <cell r="I1744">
            <v>5</v>
          </cell>
          <cell r="J1744" t="str">
            <v>PremiumSSw</v>
          </cell>
          <cell r="K1744" t="str">
            <v>attack</v>
          </cell>
          <cell r="L1744" t="str">
            <v>攻撃タイプ</v>
          </cell>
          <cell r="M1744" t="str">
            <v>human</v>
          </cell>
        </row>
        <row r="1745">
          <cell r="A1745">
            <v>9002</v>
          </cell>
          <cell r="B1745" t="str">
            <v>ja</v>
          </cell>
          <cell r="C1745" t="str">
            <v>春香★６</v>
          </cell>
          <cell r="D1745" t="str">
            <v>ポムポムプリン</v>
          </cell>
          <cell r="E1745" t="str">
            <v>執行者</v>
          </cell>
          <cell r="F1745" t="str">
            <v>格好いい</v>
          </cell>
          <cell r="G1745" t="str">
            <v>女性</v>
          </cell>
          <cell r="H1745" t="str">
            <v>red</v>
          </cell>
          <cell r="I1745">
            <v>6</v>
          </cell>
          <cell r="J1745" t="str">
            <v>PremiumSSw</v>
          </cell>
          <cell r="K1745" t="str">
            <v>attack</v>
          </cell>
          <cell r="L1745" t="str">
            <v>攻撃タイプ</v>
          </cell>
          <cell r="M1745" t="str">
            <v>human</v>
          </cell>
        </row>
        <row r="1746">
          <cell r="A1746">
            <v>9003</v>
          </cell>
          <cell r="B1746" t="str">
            <v>ja</v>
          </cell>
          <cell r="C1746" t="str">
            <v>夢龍</v>
          </cell>
          <cell r="D1746" t="str">
            <v>ポムポムプリン</v>
          </cell>
          <cell r="E1746" t="str">
            <v>執行者</v>
          </cell>
          <cell r="F1746" t="str">
            <v>格好いい</v>
          </cell>
          <cell r="G1746" t="str">
            <v>女性</v>
          </cell>
          <cell r="H1746" t="str">
            <v>green</v>
          </cell>
          <cell r="I1746">
            <v>5</v>
          </cell>
          <cell r="J1746" t="str">
            <v>DropWizS</v>
          </cell>
          <cell r="K1746" t="str">
            <v>heal</v>
          </cell>
          <cell r="L1746" t="str">
            <v>回復タイプ</v>
          </cell>
          <cell r="M1746" t="str">
            <v>dragon</v>
          </cell>
        </row>
        <row r="1747">
          <cell r="A1747">
            <v>9004</v>
          </cell>
          <cell r="B1747" t="str">
            <v>ja</v>
          </cell>
          <cell r="C1747" t="str">
            <v>夢龍★６</v>
          </cell>
          <cell r="D1747" t="str">
            <v>各属性相性良3・黄・R455</v>
          </cell>
          <cell r="E1747" t="str">
            <v>執行者</v>
          </cell>
          <cell r="F1747" t="str">
            <v>格好いい</v>
          </cell>
          <cell r="G1747" t="str">
            <v>男性</v>
          </cell>
          <cell r="H1747" t="str">
            <v>green</v>
          </cell>
          <cell r="I1747">
            <v>6</v>
          </cell>
          <cell r="J1747" t="str">
            <v>DropWizS</v>
          </cell>
          <cell r="K1747" t="str">
            <v>heal</v>
          </cell>
          <cell r="L1747" t="str">
            <v>回復タイプ</v>
          </cell>
          <cell r="M1747" t="str">
            <v>dragon</v>
          </cell>
        </row>
        <row r="1748">
          <cell r="A1748">
            <v>9005</v>
          </cell>
          <cell r="B1748" t="str">
            <v>ja</v>
          </cell>
          <cell r="C1748" t="str">
            <v>降臨</v>
          </cell>
          <cell r="D1748" t="str">
            <v>ポムポムプリン</v>
          </cell>
          <cell r="E1748" t="str">
            <v>執行者</v>
          </cell>
          <cell r="F1748" t="str">
            <v>格好いい</v>
          </cell>
          <cell r="G1748" t="str">
            <v>女性</v>
          </cell>
          <cell r="H1748" t="str">
            <v>blue</v>
          </cell>
          <cell r="I1748">
            <v>5</v>
          </cell>
          <cell r="J1748" t="str">
            <v>PremiumSSw</v>
          </cell>
          <cell r="K1748" t="str">
            <v>hp</v>
          </cell>
          <cell r="L1748" t="str">
            <v>体力タイプ</v>
          </cell>
          <cell r="M1748" t="str">
            <v>demon</v>
          </cell>
        </row>
        <row r="1749">
          <cell r="A1749">
            <v>9006</v>
          </cell>
          <cell r="B1749" t="str">
            <v>ja</v>
          </cell>
          <cell r="C1749" t="str">
            <v>降臨★６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blue</v>
          </cell>
          <cell r="I1749">
            <v>6</v>
          </cell>
          <cell r="J1749" t="str">
            <v>PremiumSSw</v>
          </cell>
          <cell r="K1749" t="str">
            <v>hp</v>
          </cell>
          <cell r="L1749" t="str">
            <v>体力タイプ</v>
          </cell>
          <cell r="M1749" t="str">
            <v>demon</v>
          </cell>
        </row>
        <row r="1750">
          <cell r="A1750">
            <v>9007</v>
          </cell>
          <cell r="B1750" t="str">
            <v>ja</v>
          </cell>
          <cell r="C1750" t="str">
            <v>田禹治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red</v>
          </cell>
          <cell r="I1750">
            <v>5</v>
          </cell>
          <cell r="J1750" t="str">
            <v>DropWizS</v>
          </cell>
          <cell r="K1750" t="str">
            <v>technical</v>
          </cell>
          <cell r="L1750" t="str">
            <v>テクニカルタイプ</v>
          </cell>
          <cell r="M1750" t="str">
            <v>hero</v>
          </cell>
        </row>
        <row r="1751">
          <cell r="A1751">
            <v>9008</v>
          </cell>
          <cell r="B1751" t="str">
            <v>ja</v>
          </cell>
          <cell r="C1751" t="str">
            <v>田禹治★６</v>
          </cell>
          <cell r="D1751" t="str">
            <v>各属性相性良3・黄・R455</v>
          </cell>
          <cell r="E1751" t="str">
            <v>執行者</v>
          </cell>
          <cell r="F1751" t="str">
            <v>格好いい</v>
          </cell>
          <cell r="G1751" t="str">
            <v>男性</v>
          </cell>
          <cell r="H1751" t="str">
            <v>red</v>
          </cell>
          <cell r="I1751">
            <v>6</v>
          </cell>
          <cell r="J1751" t="str">
            <v>DropWizS</v>
          </cell>
          <cell r="K1751" t="str">
            <v>technical</v>
          </cell>
          <cell r="L1751" t="str">
            <v>テクニカルタイプ</v>
          </cell>
          <cell r="M1751" t="str">
            <v>hero</v>
          </cell>
        </row>
        <row r="1752">
          <cell r="A1752">
            <v>10001</v>
          </cell>
          <cell r="B1752" t="str">
            <v>ja</v>
          </cell>
          <cell r="C1752" t="str">
            <v>テストユニット01</v>
          </cell>
          <cell r="H1752" t="str">
            <v>yellow</v>
          </cell>
          <cell r="I1752">
            <v>6</v>
          </cell>
          <cell r="J1752" t="str">
            <v>DropWizS</v>
          </cell>
          <cell r="K1752" t="str">
            <v>heal</v>
          </cell>
          <cell r="L1752" t="str">
            <v>回復タイプ</v>
          </cell>
          <cell r="M1752" t="str">
            <v>human</v>
          </cell>
        </row>
        <row r="1753">
          <cell r="A1753">
            <v>10002</v>
          </cell>
          <cell r="B1753" t="str">
            <v>ja</v>
          </cell>
          <cell r="C1753" t="str">
            <v>テストユニット02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technical</v>
          </cell>
          <cell r="L1753" t="str">
            <v>テクニカルタイプ</v>
          </cell>
          <cell r="M1753" t="str">
            <v>animal</v>
          </cell>
        </row>
        <row r="1754">
          <cell r="A1754">
            <v>10003</v>
          </cell>
          <cell r="B1754" t="str">
            <v>ja</v>
          </cell>
          <cell r="C1754" t="str">
            <v>テストユニット03</v>
          </cell>
          <cell r="H1754" t="str">
            <v>red</v>
          </cell>
          <cell r="I1754">
            <v>5</v>
          </cell>
          <cell r="J1754" t="str">
            <v>PremiumSSS</v>
          </cell>
          <cell r="K1754" t="str">
            <v>technical</v>
          </cell>
          <cell r="L1754" t="str">
            <v>テクニカルタイプ</v>
          </cell>
          <cell r="M1754" t="str">
            <v>academia</v>
          </cell>
        </row>
        <row r="1755">
          <cell r="A1755">
            <v>10004</v>
          </cell>
          <cell r="B1755" t="str">
            <v>ja</v>
          </cell>
          <cell r="C1755" t="str">
            <v>テストユニット04</v>
          </cell>
          <cell r="H1755" t="str">
            <v>red</v>
          </cell>
          <cell r="I1755">
            <v>6</v>
          </cell>
          <cell r="J1755" t="str">
            <v>PremiumSSS</v>
          </cell>
          <cell r="K1755" t="str">
            <v>technical</v>
          </cell>
          <cell r="L1755" t="str">
            <v>テクニカルタイプ</v>
          </cell>
          <cell r="M1755" t="str">
            <v>academia</v>
          </cell>
        </row>
        <row r="1756">
          <cell r="A1756">
            <v>10005</v>
          </cell>
          <cell r="B1756" t="str">
            <v>ja</v>
          </cell>
          <cell r="C1756" t="str">
            <v>テストユニット05</v>
          </cell>
          <cell r="H1756" t="str">
            <v>yellow</v>
          </cell>
          <cell r="I1756">
            <v>6</v>
          </cell>
          <cell r="J1756" t="str">
            <v>PremiumSS</v>
          </cell>
          <cell r="K1756" t="str">
            <v>technical</v>
          </cell>
          <cell r="L1756" t="str">
            <v>テクニカルタイプ</v>
          </cell>
          <cell r="M1756" t="str">
            <v>human</v>
          </cell>
        </row>
        <row r="1757">
          <cell r="A1757">
            <v>10006</v>
          </cell>
          <cell r="B1757" t="str">
            <v>ja</v>
          </cell>
          <cell r="C1757" t="str">
            <v>テストユニット06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attack</v>
          </cell>
          <cell r="L1757" t="str">
            <v>攻撃タイプ</v>
          </cell>
          <cell r="M1757" t="str">
            <v>animal</v>
          </cell>
        </row>
        <row r="1758">
          <cell r="A1758">
            <v>10007</v>
          </cell>
          <cell r="B1758" t="str">
            <v>ja</v>
          </cell>
          <cell r="C1758" t="str">
            <v>テストユニット07</v>
          </cell>
          <cell r="H1758" t="str">
            <v>yellow</v>
          </cell>
          <cell r="I1758">
            <v>5</v>
          </cell>
          <cell r="J1758" t="str">
            <v>PremiumSSS</v>
          </cell>
          <cell r="K1758" t="str">
            <v>technical</v>
          </cell>
          <cell r="L1758" t="str">
            <v>テクニカルタイプ</v>
          </cell>
          <cell r="M1758" t="str">
            <v>machine</v>
          </cell>
        </row>
        <row r="1759">
          <cell r="A1759">
            <v>10008</v>
          </cell>
          <cell r="B1759" t="str">
            <v>ja</v>
          </cell>
          <cell r="C1759" t="str">
            <v>テストユニット08</v>
          </cell>
          <cell r="H1759" t="str">
            <v>yellow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machine</v>
          </cell>
        </row>
        <row r="1760">
          <cell r="A1760">
            <v>10009</v>
          </cell>
          <cell r="B1760" t="str">
            <v>ja</v>
          </cell>
          <cell r="C1760" t="str">
            <v>青テスト01</v>
          </cell>
          <cell r="H1760" t="str">
            <v>blue</v>
          </cell>
          <cell r="I1760">
            <v>6</v>
          </cell>
          <cell r="J1760" t="str">
            <v>DropWizS</v>
          </cell>
          <cell r="K1760" t="str">
            <v>heal</v>
          </cell>
          <cell r="L1760" t="str">
            <v>回復タイプ</v>
          </cell>
          <cell r="M1760" t="str">
            <v>human</v>
          </cell>
        </row>
        <row r="1761">
          <cell r="A1761">
            <v>10010</v>
          </cell>
          <cell r="B1761" t="str">
            <v>ja</v>
          </cell>
          <cell r="C1761" t="str">
            <v>赤テスト01</v>
          </cell>
          <cell r="H1761" t="str">
            <v>red</v>
          </cell>
          <cell r="I1761">
            <v>6</v>
          </cell>
          <cell r="J1761" t="str">
            <v>PremiumSSS</v>
          </cell>
          <cell r="K1761" t="str">
            <v>technical</v>
          </cell>
          <cell r="L1761" t="str">
            <v>テクニカルタイプ</v>
          </cell>
          <cell r="M1761" t="str">
            <v>human</v>
          </cell>
        </row>
        <row r="1762">
          <cell r="A1762">
            <v>10011</v>
          </cell>
          <cell r="B1762" t="str">
            <v>ja</v>
          </cell>
          <cell r="C1762" t="str">
            <v>テストユニット11</v>
          </cell>
          <cell r="H1762" t="str">
            <v>yellow</v>
          </cell>
          <cell r="I1762">
            <v>5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human</v>
          </cell>
        </row>
        <row r="1763">
          <cell r="A1763">
            <v>10012</v>
          </cell>
          <cell r="B1763" t="str">
            <v>ja</v>
          </cell>
          <cell r="C1763" t="str">
            <v>テストユニット12</v>
          </cell>
          <cell r="H1763" t="str">
            <v>blue</v>
          </cell>
          <cell r="I1763">
            <v>6</v>
          </cell>
          <cell r="J1763" t="str">
            <v>PremiumS</v>
          </cell>
          <cell r="K1763" t="str">
            <v>balance</v>
          </cell>
          <cell r="L1763" t="str">
            <v>バランスタイプ</v>
          </cell>
          <cell r="M1763" t="str">
            <v>human</v>
          </cell>
        </row>
        <row r="1764">
          <cell r="A1764">
            <v>10013</v>
          </cell>
          <cell r="B1764" t="str">
            <v>ja</v>
          </cell>
          <cell r="C1764" t="str">
            <v>テストユニット13</v>
          </cell>
          <cell r="H1764" t="str">
            <v>yellow</v>
          </cell>
          <cell r="I1764">
            <v>5</v>
          </cell>
          <cell r="J1764" t="str">
            <v>PremiumSSw</v>
          </cell>
          <cell r="K1764" t="str">
            <v>hp</v>
          </cell>
          <cell r="L1764" t="str">
            <v>体力タイプ</v>
          </cell>
          <cell r="M1764" t="str">
            <v>dragon</v>
          </cell>
        </row>
        <row r="1765">
          <cell r="A1765">
            <v>10014</v>
          </cell>
          <cell r="B1765" t="str">
            <v>ja</v>
          </cell>
          <cell r="C1765" t="str">
            <v>テストユニット14</v>
          </cell>
          <cell r="H1765" t="str">
            <v>yellow</v>
          </cell>
          <cell r="I1765">
            <v>6</v>
          </cell>
          <cell r="J1765" t="str">
            <v>PremiumSSw</v>
          </cell>
          <cell r="K1765" t="str">
            <v>hp</v>
          </cell>
          <cell r="L1765" t="str">
            <v>体力タイプ</v>
          </cell>
          <cell r="M1765" t="str">
            <v>dragon</v>
          </cell>
        </row>
        <row r="1766">
          <cell r="A1766">
            <v>10015</v>
          </cell>
          <cell r="B1766" t="str">
            <v>ja</v>
          </cell>
          <cell r="C1766" t="str">
            <v>テストユニット15</v>
          </cell>
          <cell r="H1766" t="str">
            <v>green</v>
          </cell>
          <cell r="I1766">
            <v>5</v>
          </cell>
          <cell r="J1766" t="str">
            <v>DropWizS</v>
          </cell>
          <cell r="K1766" t="str">
            <v>heal</v>
          </cell>
          <cell r="L1766" t="str">
            <v>回復タイプ</v>
          </cell>
          <cell r="M1766" t="str">
            <v>human</v>
          </cell>
        </row>
        <row r="1767">
          <cell r="A1767">
            <v>10016</v>
          </cell>
          <cell r="B1767" t="str">
            <v>ja</v>
          </cell>
          <cell r="C1767" t="str">
            <v>テストユニット16</v>
          </cell>
          <cell r="H1767" t="str">
            <v>green</v>
          </cell>
          <cell r="I1767">
            <v>6</v>
          </cell>
          <cell r="J1767" t="str">
            <v>DropWizS</v>
          </cell>
          <cell r="K1767" t="str">
            <v>heal</v>
          </cell>
          <cell r="L1767" t="str">
            <v>回復タイプ</v>
          </cell>
          <cell r="M1767" t="str">
            <v>human</v>
          </cell>
        </row>
        <row r="1768">
          <cell r="A1768">
            <v>10017</v>
          </cell>
          <cell r="B1768" t="str">
            <v>ja</v>
          </cell>
          <cell r="C1768" t="str">
            <v>テストユニット17</v>
          </cell>
          <cell r="H1768" t="str">
            <v>red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10018</v>
          </cell>
          <cell r="B1769" t="str">
            <v>ja</v>
          </cell>
          <cell r="C1769" t="str">
            <v>テストユニット18</v>
          </cell>
          <cell r="H1769" t="str">
            <v>blue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10019</v>
          </cell>
          <cell r="B1770" t="str">
            <v>ja</v>
          </cell>
          <cell r="C1770" t="str">
            <v>テストユニット19</v>
          </cell>
          <cell r="H1770" t="str">
            <v>green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10020</v>
          </cell>
          <cell r="B1771" t="str">
            <v>ja</v>
          </cell>
          <cell r="C1771" t="str">
            <v>テストユニット20</v>
          </cell>
          <cell r="H1771" t="str">
            <v>yellow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10021</v>
          </cell>
          <cell r="B1772" t="str">
            <v>ja</v>
          </cell>
          <cell r="C1772" t="str">
            <v>テストユニット21</v>
          </cell>
          <cell r="H1772" t="str">
            <v>blue</v>
          </cell>
          <cell r="I1772">
            <v>5</v>
          </cell>
          <cell r="J1772" t="str">
            <v>PremiumSSw</v>
          </cell>
          <cell r="K1772" t="str">
            <v>hp</v>
          </cell>
          <cell r="L1772" t="str">
            <v>体力タイプ</v>
          </cell>
          <cell r="M1772" t="str">
            <v>demon</v>
          </cell>
        </row>
        <row r="1773">
          <cell r="A1773">
            <v>10022</v>
          </cell>
          <cell r="B1773" t="str">
            <v>ja</v>
          </cell>
          <cell r="C1773" t="str">
            <v>テストユニット22</v>
          </cell>
          <cell r="H1773" t="str">
            <v>blue</v>
          </cell>
          <cell r="I1773">
            <v>6</v>
          </cell>
          <cell r="J1773" t="str">
            <v>PremiumSSw</v>
          </cell>
          <cell r="K1773" t="str">
            <v>hp</v>
          </cell>
          <cell r="L1773" t="str">
            <v>体力タイプ</v>
          </cell>
          <cell r="M1773" t="str">
            <v>demon</v>
          </cell>
        </row>
        <row r="1774">
          <cell r="A1774">
            <v>10023</v>
          </cell>
          <cell r="B1774" t="str">
            <v>ja</v>
          </cell>
          <cell r="C1774" t="str">
            <v>テストユニット23</v>
          </cell>
          <cell r="H1774" t="str">
            <v>green</v>
          </cell>
          <cell r="I1774">
            <v>5</v>
          </cell>
          <cell r="J1774" t="str">
            <v>PremiumSSw</v>
          </cell>
          <cell r="K1774" t="str">
            <v>heal</v>
          </cell>
          <cell r="L1774" t="str">
            <v>回復タイプ</v>
          </cell>
          <cell r="M1774" t="str">
            <v>dragon</v>
          </cell>
        </row>
        <row r="1775">
          <cell r="A1775">
            <v>10024</v>
          </cell>
          <cell r="B1775" t="str">
            <v>ja</v>
          </cell>
          <cell r="C1775" t="str">
            <v>テストユニット24</v>
          </cell>
          <cell r="H1775" t="str">
            <v>green</v>
          </cell>
          <cell r="I1775">
            <v>6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dragon</v>
          </cell>
        </row>
        <row r="1776">
          <cell r="A1776">
            <v>10025</v>
          </cell>
          <cell r="B1776" t="str">
            <v>ja</v>
          </cell>
          <cell r="C1776" t="str">
            <v>テストユニット25</v>
          </cell>
          <cell r="H1776" t="str">
            <v>red</v>
          </cell>
          <cell r="I1776">
            <v>5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dragon</v>
          </cell>
        </row>
        <row r="1777">
          <cell r="A1777">
            <v>10026</v>
          </cell>
          <cell r="B1777" t="str">
            <v>ja</v>
          </cell>
          <cell r="C1777" t="str">
            <v>テストユニット26</v>
          </cell>
          <cell r="H1777" t="str">
            <v>red</v>
          </cell>
          <cell r="I1777">
            <v>6</v>
          </cell>
          <cell r="J1777" t="str">
            <v>PremiumSSw</v>
          </cell>
          <cell r="K1777" t="str">
            <v>hp</v>
          </cell>
          <cell r="L1777" t="str">
            <v>体力タイプ</v>
          </cell>
          <cell r="M1777" t="str">
            <v>dragon</v>
          </cell>
        </row>
        <row r="1778">
          <cell r="A1778">
            <v>10027</v>
          </cell>
          <cell r="B1778" t="str">
            <v>ja</v>
          </cell>
          <cell r="C1778" t="str">
            <v>テストユニット27</v>
          </cell>
          <cell r="H1778" t="str">
            <v>green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10028</v>
          </cell>
          <cell r="B1779" t="str">
            <v>ja</v>
          </cell>
          <cell r="C1779" t="str">
            <v>テストユニット28</v>
          </cell>
          <cell r="H1779" t="str">
            <v>yellow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10029</v>
          </cell>
          <cell r="B1780" t="str">
            <v>ja</v>
          </cell>
          <cell r="C1780" t="str">
            <v>テストユニット29</v>
          </cell>
          <cell r="H1780" t="str">
            <v>red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10030</v>
          </cell>
          <cell r="B1781" t="str">
            <v>ja</v>
          </cell>
          <cell r="C1781" t="str">
            <v>テストユニット30</v>
          </cell>
          <cell r="H1781" t="str">
            <v>blue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10031</v>
          </cell>
          <cell r="B1782" t="str">
            <v>ja</v>
          </cell>
          <cell r="C1782" t="str">
            <v>テストユニット31</v>
          </cell>
          <cell r="H1782" t="str">
            <v>green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10032</v>
          </cell>
          <cell r="B1783" t="str">
            <v>ja</v>
          </cell>
          <cell r="C1783" t="str">
            <v>テストユニット32</v>
          </cell>
          <cell r="H1783" t="str">
            <v>yellow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10033</v>
          </cell>
          <cell r="B1784" t="str">
            <v>ja</v>
          </cell>
          <cell r="C1784" t="str">
            <v>テストユニット33</v>
          </cell>
          <cell r="H1784" t="str">
            <v>red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10034</v>
          </cell>
          <cell r="B1785" t="str">
            <v>ja</v>
          </cell>
          <cell r="C1785" t="str">
            <v>テストユニット34</v>
          </cell>
          <cell r="H1785" t="str">
            <v>blue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10035</v>
          </cell>
          <cell r="B1786" t="str">
            <v>ja</v>
          </cell>
          <cell r="C1786" t="str">
            <v>テストユニット35</v>
          </cell>
          <cell r="H1786" t="str">
            <v>green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10036</v>
          </cell>
          <cell r="B1787" t="str">
            <v>ja</v>
          </cell>
          <cell r="C1787" t="str">
            <v>テストユニット36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10037</v>
          </cell>
          <cell r="B1788" t="str">
            <v>ja</v>
          </cell>
          <cell r="C1788" t="str">
            <v>テストユニット37</v>
          </cell>
          <cell r="H1788" t="str">
            <v>red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10038</v>
          </cell>
          <cell r="B1789" t="str">
            <v>ja</v>
          </cell>
          <cell r="C1789" t="str">
            <v>テストユニット38</v>
          </cell>
          <cell r="H1789" t="str">
            <v>blue</v>
          </cell>
          <cell r="I1789">
            <v>6</v>
          </cell>
          <cell r="J1789" t="str">
            <v>DropWizS</v>
          </cell>
          <cell r="K1789" t="str">
            <v>balance</v>
          </cell>
          <cell r="L1789" t="str">
            <v>バランスタイプ</v>
          </cell>
          <cell r="M1789" t="str">
            <v>god</v>
          </cell>
        </row>
        <row r="1790">
          <cell r="A1790">
            <v>10039</v>
          </cell>
          <cell r="B1790" t="str">
            <v>ja</v>
          </cell>
          <cell r="C1790" t="str">
            <v>テストユニット39</v>
          </cell>
          <cell r="H1790" t="str">
            <v>green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10040</v>
          </cell>
          <cell r="B1791" t="str">
            <v>ja</v>
          </cell>
          <cell r="C1791" t="str">
            <v>テストユニット40</v>
          </cell>
          <cell r="H1791" t="str">
            <v>yellow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10041</v>
          </cell>
          <cell r="B1792" t="str">
            <v>ja</v>
          </cell>
          <cell r="C1792" t="str">
            <v>テストユニット41</v>
          </cell>
          <cell r="H1792" t="str">
            <v>red</v>
          </cell>
          <cell r="I1792">
            <v>6</v>
          </cell>
          <cell r="J1792" t="str">
            <v>PremiumSS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10042</v>
          </cell>
          <cell r="B1793" t="str">
            <v>ja</v>
          </cell>
          <cell r="C1793" t="str">
            <v>テストユニット42</v>
          </cell>
          <cell r="H1793" t="str">
            <v>blue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10043</v>
          </cell>
          <cell r="B1794" t="str">
            <v>ja</v>
          </cell>
          <cell r="C1794" t="str">
            <v>テストユニット43</v>
          </cell>
          <cell r="H1794" t="str">
            <v>green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10044</v>
          </cell>
          <cell r="B1795" t="str">
            <v>ja</v>
          </cell>
          <cell r="C1795" t="str">
            <v>テストユニット44</v>
          </cell>
          <cell r="H1795" t="str">
            <v>yellow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10045</v>
          </cell>
          <cell r="B1796" t="str">
            <v>ja</v>
          </cell>
          <cell r="C1796" t="str">
            <v>テストユニット45</v>
          </cell>
          <cell r="H1796" t="str">
            <v>red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10046</v>
          </cell>
          <cell r="B1797" t="str">
            <v>ja</v>
          </cell>
          <cell r="C1797" t="str">
            <v>テストユニット46</v>
          </cell>
          <cell r="H1797" t="str">
            <v>blue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10047</v>
          </cell>
          <cell r="B1798" t="str">
            <v>ja</v>
          </cell>
          <cell r="C1798" t="str">
            <v>テストユニット47</v>
          </cell>
          <cell r="H1798" t="str">
            <v>green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10048</v>
          </cell>
          <cell r="B1799" t="str">
            <v>ja</v>
          </cell>
          <cell r="C1799" t="str">
            <v>テストユニット48</v>
          </cell>
          <cell r="H1799" t="str">
            <v>yellow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10049</v>
          </cell>
          <cell r="B1800" t="str">
            <v>ja</v>
          </cell>
          <cell r="C1800" t="str">
            <v>テストユニット49</v>
          </cell>
          <cell r="H1800" t="str">
            <v>red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10050</v>
          </cell>
          <cell r="B1801" t="str">
            <v>ja</v>
          </cell>
          <cell r="C1801" t="str">
            <v>テストユニット50</v>
          </cell>
          <cell r="H1801" t="str">
            <v>blue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10051</v>
          </cell>
          <cell r="B1802" t="str">
            <v>ja</v>
          </cell>
          <cell r="C1802" t="str">
            <v>テストユニット51</v>
          </cell>
          <cell r="H1802" t="str">
            <v>green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10052</v>
          </cell>
          <cell r="B1803" t="str">
            <v>ja</v>
          </cell>
          <cell r="C1803" t="str">
            <v>テストユニット52</v>
          </cell>
          <cell r="H1803" t="str">
            <v>yellow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10053</v>
          </cell>
          <cell r="B1804" t="str">
            <v>ja</v>
          </cell>
          <cell r="C1804" t="str">
            <v>テストユニット53</v>
          </cell>
          <cell r="H1804" t="str">
            <v>red</v>
          </cell>
          <cell r="I1804">
            <v>6</v>
          </cell>
          <cell r="J1804" t="str">
            <v>PremiumSS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10054</v>
          </cell>
          <cell r="B1805" t="str">
            <v>ja</v>
          </cell>
          <cell r="C1805" t="str">
            <v>テストユニット54</v>
          </cell>
          <cell r="H1805" t="str">
            <v>blue</v>
          </cell>
          <cell r="I1805">
            <v>6</v>
          </cell>
          <cell r="J1805" t="str">
            <v>PremiumSS</v>
          </cell>
          <cell r="K1805" t="str">
            <v>balance</v>
          </cell>
          <cell r="L1805" t="str">
            <v>バランスタイプ</v>
          </cell>
          <cell r="M1805" t="str">
            <v>unknown</v>
          </cell>
        </row>
        <row r="1806">
          <cell r="A1806">
            <v>10055</v>
          </cell>
          <cell r="B1806" t="str">
            <v>ja</v>
          </cell>
          <cell r="C1806" t="str">
            <v>テストユニット55</v>
          </cell>
          <cell r="H1806" t="str">
            <v>green</v>
          </cell>
          <cell r="I1806">
            <v>6</v>
          </cell>
          <cell r="J1806" t="str">
            <v>PremiumSS</v>
          </cell>
          <cell r="K1806" t="str">
            <v>balance</v>
          </cell>
          <cell r="L1806" t="str">
            <v>バランスタイプ</v>
          </cell>
          <cell r="M1806" t="str">
            <v>unknown</v>
          </cell>
        </row>
        <row r="1807">
          <cell r="A1807">
            <v>10056</v>
          </cell>
          <cell r="B1807" t="str">
            <v>ja</v>
          </cell>
          <cell r="C1807" t="str">
            <v>テストユニット56</v>
          </cell>
          <cell r="H1807" t="str">
            <v>yellow</v>
          </cell>
          <cell r="I1807">
            <v>6</v>
          </cell>
          <cell r="J1807" t="str">
            <v>PremiumSS</v>
          </cell>
          <cell r="K1807" t="str">
            <v>balance</v>
          </cell>
          <cell r="L1807" t="str">
            <v>バランスタイプ</v>
          </cell>
          <cell r="M1807" t="str">
            <v>unknown</v>
          </cell>
        </row>
        <row r="1808">
          <cell r="A1808">
            <v>10057</v>
          </cell>
          <cell r="B1808" t="str">
            <v>ja</v>
          </cell>
          <cell r="C1808" t="str">
            <v>テストユニット57</v>
          </cell>
          <cell r="H1808" t="str">
            <v>red</v>
          </cell>
          <cell r="I1808">
            <v>6</v>
          </cell>
          <cell r="J1808" t="str">
            <v>PremiumSS</v>
          </cell>
          <cell r="K1808" t="str">
            <v>balance</v>
          </cell>
          <cell r="L1808" t="str">
            <v>バランスタイプ</v>
          </cell>
          <cell r="M1808" t="str">
            <v>unknown</v>
          </cell>
        </row>
        <row r="1809">
          <cell r="A1809">
            <v>10058</v>
          </cell>
          <cell r="B1809" t="str">
            <v>ja</v>
          </cell>
          <cell r="C1809" t="str">
            <v>テストユニット58</v>
          </cell>
          <cell r="H1809" t="str">
            <v>blue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</row>
        <row r="1810">
          <cell r="A1810">
            <v>10059</v>
          </cell>
          <cell r="B1810" t="str">
            <v>ja</v>
          </cell>
          <cell r="C1810" t="str">
            <v>テストユニット59</v>
          </cell>
          <cell r="H1810" t="str">
            <v>green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</row>
        <row r="1811">
          <cell r="A1811">
            <v>10060</v>
          </cell>
          <cell r="B1811" t="str">
            <v>ja</v>
          </cell>
          <cell r="C1811" t="str">
            <v>テストユニット60</v>
          </cell>
          <cell r="H1811" t="str">
            <v>yellow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</row>
        <row r="1812">
          <cell r="A1812">
            <v>10061</v>
          </cell>
          <cell r="B1812" t="str">
            <v>ja</v>
          </cell>
          <cell r="C1812" t="str">
            <v>テストユニット61</v>
          </cell>
          <cell r="H1812" t="str">
            <v>red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</row>
        <row r="1813">
          <cell r="A1813">
            <v>10062</v>
          </cell>
          <cell r="B1813" t="str">
            <v>ja</v>
          </cell>
          <cell r="C1813" t="str">
            <v>テストユニット62</v>
          </cell>
          <cell r="H1813" t="str">
            <v>blue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</row>
        <row r="1814">
          <cell r="A1814">
            <v>10063</v>
          </cell>
          <cell r="B1814" t="str">
            <v>ja</v>
          </cell>
          <cell r="C1814" t="str">
            <v>テストユニット63</v>
          </cell>
          <cell r="H1814" t="str">
            <v>green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</row>
        <row r="1815">
          <cell r="A1815">
            <v>10064</v>
          </cell>
          <cell r="B1815" t="str">
            <v>ja</v>
          </cell>
          <cell r="C1815" t="str">
            <v>テストユニット64</v>
          </cell>
          <cell r="H1815" t="str">
            <v>yellow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</row>
        <row r="1816">
          <cell r="A1816">
            <v>10065</v>
          </cell>
          <cell r="B1816" t="str">
            <v>ja</v>
          </cell>
          <cell r="C1816" t="str">
            <v>テストユニット65</v>
          </cell>
          <cell r="H1816" t="str">
            <v>red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10066</v>
          </cell>
          <cell r="B1817" t="str">
            <v>ja</v>
          </cell>
          <cell r="C1817" t="str">
            <v>テストユニット66</v>
          </cell>
          <cell r="H1817" t="str">
            <v>blue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</row>
        <row r="1818">
          <cell r="A1818">
            <v>10067</v>
          </cell>
          <cell r="B1818" t="str">
            <v>ja</v>
          </cell>
          <cell r="C1818" t="str">
            <v>テストユニット67</v>
          </cell>
          <cell r="H1818" t="str">
            <v>green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</row>
        <row r="1819">
          <cell r="A1819">
            <v>10068</v>
          </cell>
          <cell r="B1819" t="str">
            <v>ja</v>
          </cell>
          <cell r="C1819" t="str">
            <v>テストユニット68</v>
          </cell>
          <cell r="H1819" t="str">
            <v>yellow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</row>
        <row r="1820">
          <cell r="A1820">
            <v>10069</v>
          </cell>
          <cell r="B1820" t="str">
            <v>ja</v>
          </cell>
          <cell r="C1820" t="str">
            <v>テストユニット69</v>
          </cell>
          <cell r="H1820" t="str">
            <v>red</v>
          </cell>
          <cell r="I1820">
            <v>6</v>
          </cell>
          <cell r="J1820" t="str">
            <v>PremiumSS</v>
          </cell>
          <cell r="K1820" t="str">
            <v>balance</v>
          </cell>
          <cell r="L1820" t="str">
            <v>バランスタイプ</v>
          </cell>
          <cell r="M1820" t="str">
            <v>unknown</v>
          </cell>
        </row>
        <row r="1821">
          <cell r="A1821">
            <v>10070</v>
          </cell>
          <cell r="B1821" t="str">
            <v>ja</v>
          </cell>
          <cell r="C1821" t="str">
            <v>テストユニット70</v>
          </cell>
          <cell r="H1821" t="str">
            <v>blue</v>
          </cell>
          <cell r="I1821">
            <v>6</v>
          </cell>
          <cell r="J1821" t="str">
            <v>PremiumSSS</v>
          </cell>
          <cell r="K1821" t="str">
            <v>heal</v>
          </cell>
          <cell r="L1821" t="str">
            <v>回復タイプ</v>
          </cell>
          <cell r="M1821" t="str">
            <v>academia</v>
          </cell>
        </row>
        <row r="1822">
          <cell r="A1822">
            <v>10071</v>
          </cell>
          <cell r="B1822" t="str">
            <v>ja</v>
          </cell>
          <cell r="C1822" t="str">
            <v>テストユニット71</v>
          </cell>
          <cell r="H1822" t="str">
            <v>red</v>
          </cell>
          <cell r="I1822">
            <v>6</v>
          </cell>
          <cell r="J1822" t="str">
            <v>PremiumSSS</v>
          </cell>
          <cell r="K1822" t="str">
            <v>hp</v>
          </cell>
          <cell r="L1822" t="str">
            <v>体力タイプ</v>
          </cell>
          <cell r="M1822" t="str">
            <v>demon</v>
          </cell>
        </row>
        <row r="1823">
          <cell r="A1823">
            <v>10072</v>
          </cell>
          <cell r="B1823" t="str">
            <v>ja</v>
          </cell>
          <cell r="C1823" t="str">
            <v>テストユニット72</v>
          </cell>
          <cell r="H1823" t="str">
            <v>green</v>
          </cell>
          <cell r="I1823">
            <v>6</v>
          </cell>
          <cell r="J1823" t="str">
            <v>PremiumSSS</v>
          </cell>
          <cell r="K1823" t="str">
            <v>heal</v>
          </cell>
          <cell r="L1823" t="str">
            <v>回復タイプ</v>
          </cell>
          <cell r="M1823" t="str">
            <v>unknown</v>
          </cell>
        </row>
        <row r="1824">
          <cell r="A1824">
            <v>10073</v>
          </cell>
          <cell r="B1824" t="str">
            <v>ja</v>
          </cell>
          <cell r="C1824" t="str">
            <v>テストユニット73</v>
          </cell>
          <cell r="H1824" t="str">
            <v>green</v>
          </cell>
          <cell r="I1824">
            <v>6</v>
          </cell>
          <cell r="J1824" t="str">
            <v>PremiumSSS</v>
          </cell>
          <cell r="K1824" t="str">
            <v>attack</v>
          </cell>
          <cell r="L1824" t="str">
            <v>攻撃タイプ</v>
          </cell>
          <cell r="M1824" t="str">
            <v>samurai</v>
          </cell>
        </row>
        <row r="1825">
          <cell r="A1825">
            <v>10074</v>
          </cell>
          <cell r="B1825" t="str">
            <v>ja</v>
          </cell>
          <cell r="C1825" t="str">
            <v>テストユニット74</v>
          </cell>
          <cell r="H1825" t="str">
            <v>blue</v>
          </cell>
          <cell r="I1825">
            <v>6</v>
          </cell>
          <cell r="J1825" t="str">
            <v>PremiumSSS</v>
          </cell>
          <cell r="K1825" t="str">
            <v>balance</v>
          </cell>
          <cell r="L1825" t="str">
            <v>バランスタイプ</v>
          </cell>
          <cell r="M1825" t="str">
            <v>fantasy</v>
          </cell>
        </row>
        <row r="1826">
          <cell r="A1826">
            <v>10075</v>
          </cell>
          <cell r="B1826" t="str">
            <v>ja</v>
          </cell>
          <cell r="C1826" t="str">
            <v>テストユニット75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</row>
        <row r="1827">
          <cell r="A1827">
            <v>10076</v>
          </cell>
          <cell r="B1827" t="str">
            <v>ja</v>
          </cell>
          <cell r="C1827" t="str">
            <v>テストユニット76</v>
          </cell>
          <cell r="H1827" t="str">
            <v>yellow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</row>
        <row r="1828">
          <cell r="A1828">
            <v>10077</v>
          </cell>
          <cell r="B1828" t="str">
            <v>ja</v>
          </cell>
          <cell r="C1828" t="str">
            <v>テストユニット77</v>
          </cell>
          <cell r="H1828" t="str">
            <v>yellow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</row>
        <row r="1829">
          <cell r="A1829">
            <v>10078</v>
          </cell>
          <cell r="B1829" t="str">
            <v>ja</v>
          </cell>
          <cell r="C1829" t="str">
            <v>テストユニット78</v>
          </cell>
          <cell r="H1829" t="str">
            <v>red</v>
          </cell>
          <cell r="I1829">
            <v>6</v>
          </cell>
          <cell r="J1829" t="str">
            <v>PremiumSSS</v>
          </cell>
          <cell r="K1829" t="str">
            <v>attack</v>
          </cell>
          <cell r="L1829" t="str">
            <v>攻撃タイプ</v>
          </cell>
          <cell r="M1829" t="str">
            <v>human</v>
          </cell>
        </row>
        <row r="1830">
          <cell r="A1830">
            <v>10079</v>
          </cell>
          <cell r="B1830" t="str">
            <v>ja</v>
          </cell>
          <cell r="C1830" t="str">
            <v>テストユニット79</v>
          </cell>
          <cell r="H1830" t="str">
            <v>red</v>
          </cell>
          <cell r="I1830">
            <v>6</v>
          </cell>
          <cell r="J1830" t="str">
            <v>DropWizSS</v>
          </cell>
          <cell r="K1830" t="str">
            <v>hp</v>
          </cell>
          <cell r="L1830" t="str">
            <v>体力タイプ</v>
          </cell>
          <cell r="M1830" t="str">
            <v>hero</v>
          </cell>
        </row>
        <row r="1831">
          <cell r="A1831">
            <v>10080</v>
          </cell>
          <cell r="B1831" t="str">
            <v>ja</v>
          </cell>
          <cell r="C1831" t="str">
            <v>テストユニット80</v>
          </cell>
          <cell r="H1831" t="str">
            <v>yellow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</row>
        <row r="1832">
          <cell r="A1832">
            <v>10081</v>
          </cell>
          <cell r="B1832" t="str">
            <v>ja</v>
          </cell>
          <cell r="C1832" t="str">
            <v>テストユニット81</v>
          </cell>
          <cell r="H1832" t="str">
            <v>red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</row>
        <row r="1833">
          <cell r="A1833">
            <v>10082</v>
          </cell>
          <cell r="B1833" t="str">
            <v>ja</v>
          </cell>
          <cell r="C1833" t="str">
            <v>テストユニット82</v>
          </cell>
          <cell r="H1833" t="str">
            <v>blue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</row>
        <row r="1834">
          <cell r="A1834">
            <v>10083</v>
          </cell>
          <cell r="B1834" t="str">
            <v>ja</v>
          </cell>
          <cell r="C1834" t="str">
            <v>テストユニット83</v>
          </cell>
          <cell r="H1834" t="str">
            <v>green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</row>
        <row r="1835">
          <cell r="A1835">
            <v>10084</v>
          </cell>
          <cell r="B1835" t="str">
            <v>ja</v>
          </cell>
          <cell r="C1835" t="str">
            <v>テストユニット84</v>
          </cell>
          <cell r="H1835" t="str">
            <v>yellow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</row>
        <row r="1836">
          <cell r="A1836">
            <v>10085</v>
          </cell>
          <cell r="B1836" t="str">
            <v>ja</v>
          </cell>
          <cell r="C1836" t="str">
            <v>テストユニット85</v>
          </cell>
          <cell r="H1836" t="str">
            <v>red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</row>
        <row r="1837">
          <cell r="A1837">
            <v>10086</v>
          </cell>
          <cell r="B1837" t="str">
            <v>ja</v>
          </cell>
          <cell r="C1837" t="str">
            <v>テストユニット86</v>
          </cell>
          <cell r="H1837" t="str">
            <v>blue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</row>
        <row r="1838">
          <cell r="A1838">
            <v>10087</v>
          </cell>
          <cell r="B1838" t="str">
            <v>ja</v>
          </cell>
          <cell r="C1838" t="str">
            <v>テストユニット87</v>
          </cell>
          <cell r="H1838" t="str">
            <v>green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</row>
        <row r="1839">
          <cell r="A1839">
            <v>10088</v>
          </cell>
          <cell r="B1839" t="str">
            <v>ja</v>
          </cell>
          <cell r="C1839" t="str">
            <v>テストユニット88</v>
          </cell>
          <cell r="H1839" t="str">
            <v>yellow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</row>
        <row r="1840">
          <cell r="A1840">
            <v>10089</v>
          </cell>
          <cell r="B1840" t="str">
            <v>ja</v>
          </cell>
          <cell r="C1840" t="str">
            <v>テストユニット89</v>
          </cell>
          <cell r="H1840" t="str">
            <v>red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</row>
        <row r="1841">
          <cell r="A1841">
            <v>10090</v>
          </cell>
          <cell r="B1841" t="str">
            <v>ja</v>
          </cell>
          <cell r="C1841" t="str">
            <v>テストユニット90</v>
          </cell>
          <cell r="H1841" t="str">
            <v>blue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</row>
        <row r="1842">
          <cell r="A1842">
            <v>10101</v>
          </cell>
          <cell r="B1842" t="str">
            <v>ja</v>
          </cell>
          <cell r="C1842" t="str">
            <v>Usagi-kun</v>
          </cell>
          <cell r="H1842" t="str">
            <v>blue</v>
          </cell>
          <cell r="I1842">
            <v>6</v>
          </cell>
          <cell r="J1842" t="str">
            <v>DropWizS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</row>
        <row r="1843">
          <cell r="A1843">
            <v>10102</v>
          </cell>
          <cell r="B1843" t="str">
            <v>ja</v>
          </cell>
          <cell r="C1843" t="str">
            <v>ローズ</v>
          </cell>
          <cell r="D1843" t="str">
            <v>未定</v>
          </cell>
          <cell r="E1843" t="str">
            <v>執行者</v>
          </cell>
          <cell r="F1843" t="str">
            <v>格好いい</v>
          </cell>
          <cell r="G1843" t="str">
            <v>不明</v>
          </cell>
          <cell r="H1843" t="str">
            <v>red</v>
          </cell>
          <cell r="I1843">
            <v>3</v>
          </cell>
          <cell r="J1843" t="str">
            <v>DropWizSSS</v>
          </cell>
          <cell r="K1843" t="str">
            <v>attack</v>
          </cell>
          <cell r="L1843" t="str">
            <v>攻撃タイプ</v>
          </cell>
          <cell r="M1843" t="str">
            <v>queen</v>
          </cell>
        </row>
        <row r="1844">
          <cell r="A1844">
            <v>10103</v>
          </cell>
          <cell r="B1844" t="str">
            <v>ja</v>
          </cell>
          <cell r="C1844" t="str">
            <v>ローズ</v>
          </cell>
          <cell r="D1844" t="str">
            <v>未定</v>
          </cell>
          <cell r="E1844" t="str">
            <v>執行者</v>
          </cell>
          <cell r="F1844" t="str">
            <v>格好いい</v>
          </cell>
          <cell r="G1844" t="str">
            <v>不明</v>
          </cell>
          <cell r="H1844" t="str">
            <v>red</v>
          </cell>
          <cell r="I1844">
            <v>4</v>
          </cell>
          <cell r="J1844" t="str">
            <v>DropWizSSS</v>
          </cell>
          <cell r="K1844" t="str">
            <v>attack</v>
          </cell>
          <cell r="L1844" t="str">
            <v>攻撃タイプ</v>
          </cell>
          <cell r="M1844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A3" sqref="A3:XFD3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246</v>
      </c>
      <c r="B2" s="61" t="s">
        <v>110</v>
      </c>
      <c r="C2" s="50" t="str">
        <f>RIGHT(F2,4)</f>
        <v>7339</v>
      </c>
      <c r="D2" s="19" t="s">
        <v>45</v>
      </c>
      <c r="E2" s="17" t="str">
        <f t="shared" ref="E2" si="0">B2&amp;C2&amp;D2</f>
        <v>gacha_select_tables_7339.tmp</v>
      </c>
      <c r="F2" s="102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7" t="s">
        <v>241</v>
      </c>
      <c r="B3" s="61" t="s">
        <v>110</v>
      </c>
      <c r="C3" s="50" t="str">
        <f t="shared" ref="C3:C7" si="1">RIGHT(F3,6)</f>
        <v>532010</v>
      </c>
      <c r="D3" s="19" t="s">
        <v>45</v>
      </c>
      <c r="E3" s="17" t="str">
        <f t="shared" ref="E3:E10" si="2">B3&amp;C3&amp;D3</f>
        <v>gacha_select_tables_532010.tmp</v>
      </c>
      <c r="F3" s="98" t="s">
        <v>252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251</v>
      </c>
      <c r="B4" s="93" t="s">
        <v>247</v>
      </c>
      <c r="C4" s="94" t="str">
        <f t="shared" si="1"/>
        <v>443100</v>
      </c>
      <c r="D4" s="19" t="s">
        <v>248</v>
      </c>
      <c r="E4" s="17" t="str">
        <f t="shared" si="2"/>
        <v>gacha_settle_tables_443100.tmp</v>
      </c>
      <c r="F4" s="96" t="s">
        <v>249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6" t="s">
        <v>241</v>
      </c>
      <c r="B5" s="61" t="s">
        <v>110</v>
      </c>
      <c r="C5" s="50" t="str">
        <f t="shared" si="1"/>
        <v>363104</v>
      </c>
      <c r="D5" s="19" t="s">
        <v>45</v>
      </c>
      <c r="E5" s="17" t="str">
        <f t="shared" ref="E5:E7" si="3">B5&amp;C5&amp;D5</f>
        <v>gacha_select_tables_363104.tmp</v>
      </c>
      <c r="F5" s="89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4">RIGHT(F6,6)</f>
        <v>363105</v>
      </c>
      <c r="D6" s="19" t="s">
        <v>45</v>
      </c>
      <c r="E6" s="17" t="str">
        <f t="shared" ref="E6" si="5">B6&amp;C6&amp;D6</f>
        <v>gacha_select_tables_363105.tmp</v>
      </c>
      <c r="F6" s="89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1"/>
        <v>363100</v>
      </c>
      <c r="D7" s="19" t="s">
        <v>45</v>
      </c>
      <c r="E7" s="17" t="str">
        <f t="shared" si="3"/>
        <v>gacha_select_tables_363100.tmp</v>
      </c>
      <c r="F7" s="89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6" t="s">
        <v>241</v>
      </c>
      <c r="B8" s="27" t="s">
        <v>50</v>
      </c>
      <c r="C8" s="32">
        <v>363</v>
      </c>
      <c r="D8" s="19" t="s">
        <v>46</v>
      </c>
      <c r="E8" s="17" t="str">
        <f t="shared" si="2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6" t="s">
        <v>241</v>
      </c>
      <c r="B9" s="19" t="s">
        <v>48</v>
      </c>
      <c r="C9" s="32">
        <v>363</v>
      </c>
      <c r="D9" s="19" t="s">
        <v>46</v>
      </c>
      <c r="E9" s="17" t="str">
        <f t="shared" si="2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6" t="s">
        <v>241</v>
      </c>
      <c r="B10" s="19" t="s">
        <v>49</v>
      </c>
      <c r="C10" s="32">
        <v>363</v>
      </c>
      <c r="D10" s="19" t="s">
        <v>46</v>
      </c>
      <c r="E10" s="17" t="str">
        <f t="shared" si="2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topLeftCell="A2" workbookViewId="0">
      <selection activeCell="B29" sqref="B2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RIGHT(RIGHT(CELL("filename",A2),LEN(CELL("filename",A2))-FIND("]",CELL("filename",A2))),4)&amp;"010"</f>
        <v>7339010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VLOOKUP(L3,tables_7339!B:C,2,FALSE)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VLOOKUP(L4,tables_7339!B:C,2,FALSE)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6.6666666666666675E-4</v>
      </c>
      <c r="F5">
        <f>(COUNTIF(tables_7339!C:C,input_7339!A28)+COUNTIF(tables_7339!C:C,input_7339!A29))</f>
        <v>75</v>
      </c>
      <c r="H5" s="88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VLOOKUP(L5,tables_7339!B:C,2,FALSE)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9.7938144329896906E-3</v>
      </c>
      <c r="F6">
        <f>(COUNTIF(tables_7339!C:C,input_7339!A25)+COUNTIF(tables_7339!C:C,input_7339!A18)+COUNTIF(tables_7339!C:C,input_7339!A20)+COUNTIF(tables_7339!C:C,input_7339!A22))</f>
        <v>97</v>
      </c>
      <c r="H6" s="88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VLOOKUP(L6,tables_7339!B:C,2,FALSE)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VLOOKUP(L7,tables_7339!B:C,2,FALSE)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VLOOKUP(L8,tables_7339!B:C,2,FALSE)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VLOOKUP(L9,tables_7339!B:C,2,FALSE)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VLOOKUP(L10,tables_7339!B:C,2,FALSE)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VLOOKUP(L11,tables_7339!B:C,2,FALSE)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VLOOKUP(L12,tables_7339!B:C,2,FALSE)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VLOOKUP(L13,tables_7339!B:C,2,FALSE)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VLOOKUP(L14,tables_7339!B:C,2,FALSE)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VLOOKUP(L15,tables_7339!B:C,2,FALSE)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VLOOKUP(L16,tables_7339!B:C,2,FALSE)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COUNTIF(tables_7339!C:C,input_7339!A17)-COUNTIF(Q:Q,A17)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VLOOKUP(L17,tables_7339!B:C,2,FALSE)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</f>
        <v>0</v>
      </c>
      <c r="C18" s="84">
        <f t="shared" si="2"/>
        <v>0</v>
      </c>
      <c r="D18" s="74">
        <f t="shared" si="3"/>
        <v>0</v>
      </c>
      <c r="E18">
        <f>COUNTIF(tables_7339!C:C,input_7339!A18)-COUNTIF(Q:Q,A18)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VLOOKUP(L18,tables_7339!B:C,2,FALSE)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COUNTIF(tables_7339!C:C,input_7339!A19)-COUNTIF(Q:Q,A19)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VLOOKUP(L19,tables_7339!B:C,2,FALSE)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</v>
      </c>
      <c r="C20" s="84">
        <f t="shared" si="2"/>
        <v>0</v>
      </c>
      <c r="D20" s="74">
        <f t="shared" si="3"/>
        <v>0</v>
      </c>
      <c r="E20">
        <f>COUNTIF(tables_7339!C:C,input_7339!A20)-COUNTIF(Q:Q,A20)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VLOOKUP(L20,tables_7339!B:C,2,FALSE)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(B10*E21/(E21+E23+E26))-C31</f>
        <v>0.59518072289156621</v>
      </c>
      <c r="C21" s="84">
        <f t="shared" si="2"/>
        <v>0</v>
      </c>
      <c r="D21" s="74">
        <f t="shared" si="3"/>
        <v>0.59518072289156621</v>
      </c>
      <c r="E21">
        <f>COUNTIF(tables_7339!C:C,input_7339!A21)-COUNTIF(Q:Q,A21)</f>
        <v>52</v>
      </c>
      <c r="F21" s="43">
        <f t="shared" si="8"/>
        <v>1.144578313253012E-2</v>
      </c>
      <c r="G21">
        <f t="shared" si="4"/>
        <v>86598795.180722877</v>
      </c>
      <c r="H21">
        <f t="shared" si="5"/>
        <v>1665361.44578</v>
      </c>
      <c r="I21">
        <f t="shared" si="6"/>
        <v>0.44577999995090067</v>
      </c>
      <c r="J21">
        <f t="shared" si="7"/>
        <v>2.2432590069319902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4">
        <f t="shared" si="2"/>
        <v>0</v>
      </c>
      <c r="D22" s="74">
        <f t="shared" si="3"/>
        <v>0</v>
      </c>
      <c r="E22">
        <f>COUNTIF(tables_7339!C:C,input_7339!A22)-COUNTIF(Q:Q,A22)</f>
        <v>21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B10*E23/(E21+E23+E26)</f>
        <v>0.30903614457831324</v>
      </c>
      <c r="C23" s="84">
        <f t="shared" si="2"/>
        <v>0</v>
      </c>
      <c r="D23" s="74">
        <f t="shared" si="3"/>
        <v>0.30903614457831324</v>
      </c>
      <c r="E23">
        <f>COUNTIF(tables_7339!C:C,input_7339!A23)-COUNTIF(Q:Q,A23)</f>
        <v>27</v>
      </c>
      <c r="F23" s="43">
        <f t="shared" si="8"/>
        <v>1.144578313253012E-2</v>
      </c>
      <c r="G23">
        <f t="shared" si="4"/>
        <v>44964759.036144577</v>
      </c>
      <c r="H23">
        <f t="shared" si="5"/>
        <v>1665361.44578</v>
      </c>
      <c r="I23">
        <f t="shared" si="6"/>
        <v>0.44577999995090067</v>
      </c>
      <c r="J23">
        <f t="shared" si="7"/>
        <v>2.2432590069319902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COUNTIF(tables_7339!C:C,input_7339!A24)-COUNTIF(Q:Q,A24)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4">
        <f t="shared" si="2"/>
        <v>0</v>
      </c>
      <c r="D25" s="74">
        <f t="shared" si="3"/>
        <v>0</v>
      </c>
      <c r="E25">
        <f>COUNTIF(tables_7339!C:C,input_7339!A25)-COUNTIF(Q:Q,A25)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B10*E26/(E21+E23+E26)</f>
        <v>4.5783132530120479E-2</v>
      </c>
      <c r="C26" s="84">
        <f t="shared" si="2"/>
        <v>0</v>
      </c>
      <c r="D26" s="74">
        <f t="shared" si="3"/>
        <v>4.5783132530120479E-2</v>
      </c>
      <c r="E26">
        <f>COUNTIF(tables_7339!C:C,input_7339!A26)-COUNTIF(Q:Q,A26)</f>
        <v>4</v>
      </c>
      <c r="F26" s="43">
        <f t="shared" si="8"/>
        <v>1.144578313253012E-2</v>
      </c>
      <c r="G26">
        <f t="shared" si="4"/>
        <v>6661445.7831325298</v>
      </c>
      <c r="H26">
        <f t="shared" si="5"/>
        <v>1665361.44578</v>
      </c>
      <c r="I26">
        <f t="shared" si="6"/>
        <v>0.44577999995090067</v>
      </c>
      <c r="J26">
        <f t="shared" si="7"/>
        <v>2.2432590069319902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100">
        <v>0</v>
      </c>
      <c r="C27" s="84">
        <f t="shared" si="2"/>
        <v>0</v>
      </c>
      <c r="D27" s="74">
        <f t="shared" si="3"/>
        <v>0</v>
      </c>
      <c r="E27">
        <f>COUNTIF(tables_7339!C:C,input_7339!A27)-COUNTIF(Q:Q,A27)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B11*E28/SUM(E28:E29)</f>
        <v>1.8666666666666668E-2</v>
      </c>
      <c r="C28" s="84">
        <f t="shared" si="2"/>
        <v>0</v>
      </c>
      <c r="D28" s="74">
        <f t="shared" si="3"/>
        <v>1.8666666666666668E-2</v>
      </c>
      <c r="E28">
        <f>COUNTIF(tables_7339!C:C,input_7339!A28)-COUNTIF(Q:Q,A28)</f>
        <v>28</v>
      </c>
      <c r="F28" s="43">
        <f t="shared" si="8"/>
        <v>6.6666666666666675E-4</v>
      </c>
      <c r="G28">
        <f t="shared" si="4"/>
        <v>2716000</v>
      </c>
      <c r="H28">
        <f t="shared" si="5"/>
        <v>97000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B11*E29/SUM(E28:E29)</f>
        <v>3.1333333333333331E-2</v>
      </c>
      <c r="C29" s="84">
        <f t="shared" si="2"/>
        <v>0</v>
      </c>
      <c r="D29" s="74">
        <f t="shared" si="3"/>
        <v>3.1333333333333331E-2</v>
      </c>
      <c r="E29">
        <f>COUNTIF(tables_7339!C:C,input_7339!A29)-COUNTIF(Q:Q,A29)</f>
        <v>47</v>
      </c>
      <c r="F29" s="43">
        <f t="shared" si="8"/>
        <v>6.6666666666666664E-4</v>
      </c>
      <c r="G29">
        <f t="shared" si="4"/>
        <v>4559000</v>
      </c>
      <c r="H29">
        <f t="shared" si="5"/>
        <v>97000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COUNTIF(tables_7339!C:C,input_7339!A30)-COUNTIF(Q:Q,A30)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COUNTIF(tables_7339!C:C,input_7339!A31)-COUNTIF(Q:Q,A31)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SUMIF(tables_7339!C:C,input_7339!A40,tables_7339!O:O)</f>
        <v>0</v>
      </c>
      <c r="C40" s="54">
        <f t="shared" ref="C40:C46" ca="1" si="9">B40/B$47</f>
        <v>0</v>
      </c>
      <c r="E40">
        <v>3</v>
      </c>
      <c r="F40">
        <f ca="1">SUMIF(tables_7339!J:J,input_7339!E40,tables_7339!O:O)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SUMIF(tables_7339!C:C,input_7339!A41,tables_7339!O:O)</f>
        <v>0</v>
      </c>
      <c r="C41" s="54">
        <f t="shared" ca="1" si="9"/>
        <v>0</v>
      </c>
      <c r="E41">
        <v>4</v>
      </c>
      <c r="F41">
        <f ca="1">SUMIF(tables_7339!J:J,input_7339!E41,tables_7339!O:O)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SUMIF(tables_7339!C:C,input_7339!A42,tables_7339!O:O)</f>
        <v>0</v>
      </c>
      <c r="C42" s="54">
        <f t="shared" ca="1" si="9"/>
        <v>0</v>
      </c>
      <c r="E42">
        <v>5</v>
      </c>
      <c r="F42">
        <f ca="1">SUMIF(tables_7339!J:J,input_7339!E42,tables_7339!O:O)</f>
        <v>145499999.99973986</v>
      </c>
      <c r="G42">
        <f ca="1">F42/A36</f>
        <v>0.9999999999982121</v>
      </c>
    </row>
    <row r="43" spans="1:7" x14ac:dyDescent="0.15">
      <c r="A43" s="33" t="s">
        <v>109</v>
      </c>
      <c r="B43">
        <f>SUMIF(tables_7339!C:C,input_7339!A43,tables_7339!O:O)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SUMIF(tables_7339!C:C,input_7339!A44,tables_7339!O:O)</f>
        <v>86598795.180559978</v>
      </c>
      <c r="C44" s="54">
        <f t="shared" ca="1" si="9"/>
        <v>0.96959070449068041</v>
      </c>
      <c r="E44" t="s">
        <v>54</v>
      </c>
      <c r="F44" s="55"/>
    </row>
    <row r="45" spans="1:7" x14ac:dyDescent="0.15">
      <c r="A45" s="33" t="s">
        <v>107</v>
      </c>
      <c r="B45">
        <f ca="1">SUMIF(tables_7339!C:C,input_7339!A45,tables_7339!O:O)</f>
        <v>2716000</v>
      </c>
      <c r="C45" s="54">
        <f t="shared" ca="1" si="9"/>
        <v>3.0409295509319572E-2</v>
      </c>
      <c r="E45" t="s">
        <v>204</v>
      </c>
      <c r="F45" s="55">
        <f ca="1">SUMIF(tables_7339!I:I,input_7339!E45,tables_7339!P:P)</f>
        <v>6.8674698795174335E-2</v>
      </c>
    </row>
    <row r="46" spans="1:7" x14ac:dyDescent="0.15">
      <c r="A46" s="33" t="s">
        <v>108</v>
      </c>
      <c r="B46">
        <f>SUMIF(tables_7339!C:C,input_7339!A46,tables_7339!O:O)</f>
        <v>0</v>
      </c>
      <c r="C46" s="54">
        <f t="shared" ca="1" si="9"/>
        <v>0</v>
      </c>
      <c r="E46" t="s">
        <v>205</v>
      </c>
      <c r="F46" s="55">
        <f ca="1">SUMIF(tables_7339!I:I,input_7339!E46,tables_7339!P:P)</f>
        <v>0.22891566265058114</v>
      </c>
    </row>
    <row r="47" spans="1:7" x14ac:dyDescent="0.15">
      <c r="A47" s="39" t="s">
        <v>59</v>
      </c>
      <c r="B47">
        <f ca="1">SUM(B40:B46)</f>
        <v>89314795.180559978</v>
      </c>
      <c r="C47" s="55">
        <f ca="1">SUM(C40:C46)</f>
        <v>1</v>
      </c>
      <c r="E47" t="s">
        <v>206</v>
      </c>
      <c r="F47" s="55">
        <f ca="1">SUMIF(tables_7339!I:I,input_7339!E47,tables_7339!P:P)</f>
        <v>0.65240963855415601</v>
      </c>
    </row>
    <row r="48" spans="1:7" x14ac:dyDescent="0.15">
      <c r="E48" t="s">
        <v>207</v>
      </c>
      <c r="F48" s="101">
        <f ca="1">SUMIF(tables_7339!I:I,input_7339!E48,tables_7339!P:P)</f>
        <v>4.333333333341078E-2</v>
      </c>
    </row>
    <row r="49" spans="5:6" x14ac:dyDescent="0.15">
      <c r="E49" t="s">
        <v>250</v>
      </c>
      <c r="F49" s="101">
        <f ca="1">SUMIF(tables_7339!I:I,input_7339!E49,tables_7339!P:P)</f>
        <v>6.6666666666785864E-3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filterMode="1" enableFormatConditionsCalculation="0">
    <tabColor rgb="FF0000FF"/>
    <outlinePr summaryBelow="0" summaryRight="0"/>
  </sheetPr>
  <dimension ref="A1:V360"/>
  <sheetViews>
    <sheetView showGridLines="0" tabSelected="1" zoomScale="75" zoomScaleNormal="75" zoomScalePageLayoutView="75" workbookViewId="0">
      <pane ySplit="1" topLeftCell="A44" activePane="bottomLeft" state="frozen"/>
      <selection activeCell="D34" sqref="D34"/>
      <selection pane="bottomLeft" activeCell="P44" sqref="P4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hidden="1" customHeight="1" x14ac:dyDescent="0.15">
      <c r="A2" s="2" t="str">
        <f ca="1">input_7339!A$2</f>
        <v>7339010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IFERROR(VLOOKUP(B2,input_7339!L:R,7,FALSE),VLOOKUP(tables_7339!C2,input_7339!A:H,8,FALSE))</f>
        <v>0</v>
      </c>
      <c r="P2" s="46">
        <f ca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hidden="1" customHeight="1" x14ac:dyDescent="0.15">
      <c r="A3" s="2" t="str">
        <f ca="1">input_7339!A$2</f>
        <v>7339010</v>
      </c>
      <c r="B3" s="6">
        <v>127</v>
      </c>
      <c r="C3" s="7" t="str">
        <f t="shared" si="0"/>
        <v>PremiumW4</v>
      </c>
      <c r="D3" s="7" t="str">
        <f t="shared" ref="D3:D66" si="1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IFERROR(VLOOKUP(B3,input_7339!L:R,7,FALSE),VLOOKUP(tables_7339!C3,input_7339!A:H,8,FALSE))</f>
        <v>0</v>
      </c>
      <c r="P3" s="46">
        <f ca="1">O3/SUM(O:O)</f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hidden="1" customHeight="1" x14ac:dyDescent="0.15">
      <c r="A4" s="2" t="str">
        <f ca="1">input_7339!A$2</f>
        <v>7339010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IFERROR(VLOOKUP(B4,input_7339!L:R,7,FALSE),VLOOKUP(tables_7339!C4,input_7339!A:H,8,FALSE))</f>
        <v>0</v>
      </c>
      <c r="P4" s="46">
        <f ca="1">O4/SUM(O:O)</f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hidden="1" customHeight="1" x14ac:dyDescent="0.15">
      <c r="A5" s="2" t="str">
        <f ca="1">input_7339!A$2</f>
        <v>7339010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IFERROR(VLOOKUP(B5,input_7339!L:R,7,FALSE),VLOOKUP(tables_7339!C5,input_7339!A:H,8,FALSE))</f>
        <v>0</v>
      </c>
      <c r="P5" s="46">
        <f ca="1">O5/SUM(O:O)</f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hidden="1" customHeight="1" x14ac:dyDescent="0.15">
      <c r="A6" s="2" t="str">
        <f ca="1">input_7339!A$2</f>
        <v>7339010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IFERROR(VLOOKUP(B6,input_7339!L:R,7,FALSE),VLOOKUP(tables_7339!C6,input_7339!A:H,8,FALSE))</f>
        <v>0</v>
      </c>
      <c r="P6" s="46">
        <f ca="1">O6/SUM(O:O)</f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hidden="1" customHeight="1" x14ac:dyDescent="0.15">
      <c r="A7" s="2" t="str">
        <f ca="1">input_7339!A$2</f>
        <v>7339010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IFERROR(VLOOKUP(B7,input_7339!L:R,7,FALSE),VLOOKUP(tables_7339!C7,input_7339!A:H,8,FALSE))</f>
        <v>0</v>
      </c>
      <c r="P7" s="46">
        <f ca="1">O7/SUM(O:O)</f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hidden="1" customHeight="1" x14ac:dyDescent="0.15">
      <c r="A8" s="2" t="str">
        <f ca="1">input_7339!A$2</f>
        <v>7339010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IFERROR(VLOOKUP(B8,input_7339!L:R,7,FALSE),VLOOKUP(tables_7339!C8,input_7339!A:H,8,FALSE))</f>
        <v>0</v>
      </c>
      <c r="P8" s="46">
        <f ca="1">O8/SUM(O:O)</f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hidden="1" customHeight="1" x14ac:dyDescent="0.15">
      <c r="A9" s="2" t="str">
        <f ca="1">input_7339!A$2</f>
        <v>7339010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IFERROR(VLOOKUP(B9,input_7339!L:R,7,FALSE),VLOOKUP(tables_7339!C9,input_7339!A:H,8,FALSE))</f>
        <v>0</v>
      </c>
      <c r="P9" s="46">
        <f ca="1">O9/SUM(O:O)</f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hidden="1" customHeight="1" x14ac:dyDescent="0.15">
      <c r="A10" s="2" t="str">
        <f ca="1">input_7339!A$2</f>
        <v>7339010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IFERROR(VLOOKUP(B10,input_7339!L:R,7,FALSE),VLOOKUP(tables_7339!C10,input_7339!A:H,8,FALSE))</f>
        <v>0</v>
      </c>
      <c r="P10" s="46">
        <f ca="1">O10/SUM(O:O)</f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hidden="1" customHeight="1" x14ac:dyDescent="0.15">
      <c r="A11" s="2" t="str">
        <f ca="1">input_7339!A$2</f>
        <v>7339010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IFERROR(VLOOKUP(B11,input_7339!L:R,7,FALSE),VLOOKUP(tables_7339!C11,input_7339!A:H,8,FALSE))</f>
        <v>0</v>
      </c>
      <c r="P11" s="46">
        <f ca="1">O11/SUM(O:O)</f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hidden="1" customHeight="1" x14ac:dyDescent="0.15">
      <c r="A12" s="2" t="str">
        <f ca="1">input_7339!A$2</f>
        <v>7339010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IFERROR(VLOOKUP(B12,input_7339!L:R,7,FALSE),VLOOKUP(tables_7339!C12,input_7339!A:H,8,FALSE))</f>
        <v>0</v>
      </c>
      <c r="P12" s="46">
        <f ca="1">O12/SUM(O:O)</f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hidden="1" customHeight="1" x14ac:dyDescent="0.15">
      <c r="A13" s="2" t="str">
        <f ca="1">input_7339!A$2</f>
        <v>7339010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IFERROR(VLOOKUP(B13,input_7339!L:R,7,FALSE),VLOOKUP(tables_7339!C13,input_7339!A:H,8,FALSE))</f>
        <v>0</v>
      </c>
      <c r="P13" s="46">
        <f ca="1">O13/SUM(O:O)</f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hidden="1" customHeight="1" x14ac:dyDescent="0.15">
      <c r="A14" s="2" t="str">
        <f ca="1">input_7339!A$2</f>
        <v>7339010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IFERROR(VLOOKUP(B14,input_7339!L:R,7,FALSE),VLOOKUP(tables_7339!C14,input_7339!A:H,8,FALSE))</f>
        <v>0</v>
      </c>
      <c r="P14" s="46">
        <f ca="1">O14/SUM(O:O)</f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hidden="1" customHeight="1" x14ac:dyDescent="0.15">
      <c r="A15" s="2" t="str">
        <f ca="1">input_7339!A$2</f>
        <v>7339010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IFERROR(VLOOKUP(B15,input_7339!L:R,7,FALSE),VLOOKUP(tables_7339!C15,input_7339!A:H,8,FALSE))</f>
        <v>0</v>
      </c>
      <c r="P15" s="46">
        <f ca="1">O15/SUM(O:O)</f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hidden="1" customHeight="1" x14ac:dyDescent="0.15">
      <c r="A16" s="2" t="str">
        <f ca="1">input_7339!A$2</f>
        <v>7339010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IFERROR(VLOOKUP(B16,input_7339!L:R,7,FALSE),VLOOKUP(tables_7339!C16,input_7339!A:H,8,FALSE))</f>
        <v>0</v>
      </c>
      <c r="P16" s="46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hidden="1" customHeight="1" x14ac:dyDescent="0.15">
      <c r="A17" s="2" t="str">
        <f ca="1">input_7339!A$2</f>
        <v>7339010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IFERROR(VLOOKUP(B17,input_7339!L:R,7,FALSE),VLOOKUP(tables_7339!C17,input_7339!A:H,8,FALSE))</f>
        <v>0</v>
      </c>
      <c r="P17" s="46">
        <f ca="1">O17/SUM(O:O)</f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hidden="1" customHeight="1" x14ac:dyDescent="0.15">
      <c r="A18" s="2" t="str">
        <f ca="1">input_7339!A$2</f>
        <v>7339010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IFERROR(VLOOKUP(B18,input_7339!L:R,7,FALSE),VLOOKUP(tables_7339!C18,input_7339!A:H,8,FALSE))</f>
        <v>0</v>
      </c>
      <c r="P18" s="46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hidden="1" customHeight="1" thickBot="1" x14ac:dyDescent="0.2">
      <c r="A19" s="2" t="str">
        <f ca="1">input_7339!A$2</f>
        <v>7339010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IFERROR(VLOOKUP(B19,input_7339!L:R,7,FALSE),VLOOKUP(tables_7339!C19,input_7339!A:H,8,FALSE))</f>
        <v>0</v>
      </c>
      <c r="P19" s="46">
        <f ca="1">O19/SUM(O:O)</f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hidden="1" customHeight="1" x14ac:dyDescent="0.15">
      <c r="A20" s="2" t="str">
        <f ca="1">input_7339!A$2</f>
        <v>7339010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IFERROR(VLOOKUP(B20,input_7339!L:R,7,FALSE),VLOOKUP(tables_7339!C20,input_7339!A:H,8,FALSE))</f>
        <v>0</v>
      </c>
      <c r="P20" s="46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hidden="1" customHeight="1" x14ac:dyDescent="0.15">
      <c r="A21" s="2" t="str">
        <f ca="1">input_7339!A$2</f>
        <v>7339010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IFERROR(VLOOKUP(B21,input_7339!L:R,7,FALSE),VLOOKUP(tables_7339!C21,input_7339!A:H,8,FALSE))</f>
        <v>0</v>
      </c>
      <c r="P21" s="46">
        <f ca="1">O21/SUM(O:O)</f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hidden="1" customHeight="1" x14ac:dyDescent="0.15">
      <c r="A22" s="2" t="str">
        <f ca="1">input_7339!A$2</f>
        <v>7339010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IFERROR(VLOOKUP(B22,input_7339!L:R,7,FALSE),VLOOKUP(tables_7339!C22,input_7339!A:H,8,FALSE))</f>
        <v>0</v>
      </c>
      <c r="P22" s="46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hidden="1" customHeight="1" x14ac:dyDescent="0.15">
      <c r="A23" s="2" t="str">
        <f ca="1">input_7339!A$2</f>
        <v>7339010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IFERROR(VLOOKUP(B23,input_7339!L:R,7,FALSE),VLOOKUP(tables_7339!C23,input_7339!A:H,8,FALSE))</f>
        <v>0</v>
      </c>
      <c r="P23" s="46">
        <f ca="1">O23/SUM(O:O)</f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hidden="1" customHeight="1" x14ac:dyDescent="0.15">
      <c r="A24" s="2" t="str">
        <f ca="1">input_7339!A$2</f>
        <v>7339010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IFERROR(VLOOKUP(B24,input_7339!L:R,7,FALSE),VLOOKUP(tables_7339!C24,input_7339!A:H,8,FALSE))</f>
        <v>0</v>
      </c>
      <c r="P24" s="46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hidden="1" customHeight="1" x14ac:dyDescent="0.15">
      <c r="A25" s="2" t="str">
        <f ca="1">input_7339!A$2</f>
        <v>7339010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IFERROR(VLOOKUP(B25,input_7339!L:R,7,FALSE),VLOOKUP(tables_7339!C25,input_7339!A:H,8,FALSE))</f>
        <v>0</v>
      </c>
      <c r="P25" s="46">
        <f ca="1">O25/SUM(O:O)</f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hidden="1" customHeight="1" x14ac:dyDescent="0.15">
      <c r="A26" s="2" t="str">
        <f ca="1">input_7339!A$2</f>
        <v>7339010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IFERROR(VLOOKUP(B26,input_7339!L:R,7,FALSE),VLOOKUP(tables_7339!C26,input_7339!A:H,8,FALSE))</f>
        <v>0</v>
      </c>
      <c r="P26" s="46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hidden="1" customHeight="1" x14ac:dyDescent="0.15">
      <c r="A27" s="2" t="str">
        <f ca="1">input_7339!A$2</f>
        <v>7339010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IFERROR(VLOOKUP(B27,input_7339!L:R,7,FALSE),VLOOKUP(tables_7339!C27,input_7339!A:H,8,FALSE))</f>
        <v>0</v>
      </c>
      <c r="P27" s="46">
        <f ca="1">O27/SUM(O:O)</f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hidden="1" customHeight="1" x14ac:dyDescent="0.15">
      <c r="A28" s="2" t="str">
        <f ca="1">input_7339!A$2</f>
        <v>7339010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IFERROR(VLOOKUP(B28,input_7339!L:R,7,FALSE),VLOOKUP(tables_7339!C28,input_7339!A:H,8,FALSE))</f>
        <v>0</v>
      </c>
      <c r="P28" s="46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hidden="1" customHeight="1" x14ac:dyDescent="0.15">
      <c r="A29" s="2" t="str">
        <f ca="1">input_7339!A$2</f>
        <v>7339010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IFERROR(VLOOKUP(B29,input_7339!L:R,7,FALSE),VLOOKUP(tables_7339!C29,input_7339!A:H,8,FALSE))</f>
        <v>0</v>
      </c>
      <c r="P29" s="46">
        <f ca="1">O29/SUM(O:O)</f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hidden="1" customHeight="1" x14ac:dyDescent="0.15">
      <c r="A30" s="2" t="str">
        <f ca="1">input_7339!A$2</f>
        <v>7339010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IFERROR(VLOOKUP(B30,input_7339!L:R,7,FALSE),VLOOKUP(tables_7339!C30,input_7339!A:H,8,FALSE))</f>
        <v>0</v>
      </c>
      <c r="P30" s="46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hidden="1" customHeight="1" x14ac:dyDescent="0.15">
      <c r="A31" s="2" t="str">
        <f ca="1">input_7339!A$2</f>
        <v>7339010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IFERROR(VLOOKUP(B31,input_7339!L:R,7,FALSE),VLOOKUP(tables_7339!C31,input_7339!A:H,8,FALSE))</f>
        <v>0</v>
      </c>
      <c r="P31" s="46">
        <f ca="1">O31/SUM(O:O)</f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hidden="1" customHeight="1" x14ac:dyDescent="0.15">
      <c r="A32" s="2" t="str">
        <f ca="1">input_7339!A$2</f>
        <v>7339010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IFERROR(VLOOKUP(B32,input_7339!L:R,7,FALSE),VLOOKUP(tables_7339!C32,input_7339!A:H,8,FALSE))</f>
        <v>0</v>
      </c>
      <c r="P32" s="46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hidden="1" customHeight="1" x14ac:dyDescent="0.15">
      <c r="A33" s="2" t="str">
        <f ca="1">input_7339!A$2</f>
        <v>7339010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IFERROR(VLOOKUP(B33,input_7339!L:R,7,FALSE),VLOOKUP(tables_7339!C33,input_7339!A:H,8,FALSE))</f>
        <v>0</v>
      </c>
      <c r="P33" s="46">
        <f ca="1">O33/SUM(O:O)</f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hidden="1" customHeight="1" x14ac:dyDescent="0.15">
      <c r="A34" s="2" t="str">
        <f ca="1">input_7339!A$2</f>
        <v>7339010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IFERROR(VLOOKUP(B34,input_7339!L:R,7,FALSE),VLOOKUP(tables_7339!C34,input_7339!A:H,8,FALSE))</f>
        <v>0</v>
      </c>
      <c r="P34" s="46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hidden="1" customHeight="1" x14ac:dyDescent="0.15">
      <c r="A35" s="2" t="str">
        <f ca="1">input_7339!A$2</f>
        <v>7339010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IFERROR(VLOOKUP(B35,input_7339!L:R,7,FALSE),VLOOKUP(tables_7339!C35,input_7339!A:H,8,FALSE))</f>
        <v>0</v>
      </c>
      <c r="P35" s="46">
        <f ca="1">O35/SUM(O:O)</f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hidden="1" customHeight="1" x14ac:dyDescent="0.15">
      <c r="A36" s="2" t="str">
        <f ca="1">input_7339!A$2</f>
        <v>7339010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IFERROR(VLOOKUP(B36,input_7339!L:R,7,FALSE),VLOOKUP(tables_7339!C36,input_7339!A:H,8,FALSE))</f>
        <v>0</v>
      </c>
      <c r="P36" s="46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hidden="1" customHeight="1" x14ac:dyDescent="0.15">
      <c r="A37" s="2" t="str">
        <f ca="1">input_7339!A$2</f>
        <v>7339010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IFERROR(VLOOKUP(B37,input_7339!L:R,7,FALSE),VLOOKUP(tables_7339!C37,input_7339!A:H,8,FALSE))</f>
        <v>0</v>
      </c>
      <c r="P37" s="46">
        <f ca="1">O37/SUM(O:O)</f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hidden="1" customHeight="1" x14ac:dyDescent="0.15">
      <c r="A38" s="2" t="str">
        <f ca="1">input_7339!A$2</f>
        <v>7339010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IFERROR(VLOOKUP(B38,input_7339!L:R,7,FALSE),VLOOKUP(tables_7339!C38,input_7339!A:H,8,FALSE))</f>
        <v>0</v>
      </c>
      <c r="P38" s="46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hidden="1" customHeight="1" x14ac:dyDescent="0.15">
      <c r="A39" s="2" t="str">
        <f ca="1">input_7339!A$2</f>
        <v>7339010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IFERROR(VLOOKUP(B39,input_7339!L:R,7,FALSE),VLOOKUP(tables_7339!C39,input_7339!A:H,8,FALSE))</f>
        <v>0</v>
      </c>
      <c r="P39" s="46">
        <f ca="1">O39/SUM(O:O)</f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hidden="1" customHeight="1" x14ac:dyDescent="0.15">
      <c r="A40" s="2" t="str">
        <f ca="1">input_7339!A$2</f>
        <v>7339010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IFERROR(VLOOKUP(B40,input_7339!L:R,7,FALSE),VLOOKUP(tables_7339!C40,input_7339!A:H,8,FALSE))</f>
        <v>0</v>
      </c>
      <c r="P40" s="46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hidden="1" customHeight="1" x14ac:dyDescent="0.15">
      <c r="A41" s="2" t="str">
        <f ca="1">input_7339!A$2</f>
        <v>7339010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IFERROR(VLOOKUP(B41,input_7339!L:R,7,FALSE),VLOOKUP(tables_7339!C41,input_7339!A:H,8,FALSE))</f>
        <v>0</v>
      </c>
      <c r="P41" s="46">
        <f ca="1">O41/SUM(O:O)</f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hidden="1" customHeight="1" x14ac:dyDescent="0.15">
      <c r="A42" s="2" t="str">
        <f ca="1">input_7339!A$2</f>
        <v>7339010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IFERROR(VLOOKUP(B42,input_7339!L:R,7,FALSE),VLOOKUP(tables_7339!C42,input_7339!A:H,8,FALSE))</f>
        <v>0</v>
      </c>
      <c r="P42" s="46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hidden="1" customHeight="1" x14ac:dyDescent="0.15">
      <c r="A43" s="2" t="str">
        <f ca="1">input_7339!A$2</f>
        <v>7339010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IFERROR(VLOOKUP(B43,input_7339!L:R,7,FALSE),VLOOKUP(tables_7339!C43,input_7339!A:H,8,FALSE))</f>
        <v>0</v>
      </c>
      <c r="P43" s="46">
        <f ca="1">O43/SUM(O:O)</f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input_7339!A$2</f>
        <v>7339010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IFERROR(VLOOKUP(B44,input_7339!L:R,7,FALSE),VLOOKUP(tables_7339!C44,input_7339!A:H,8,FALSE))</f>
        <v>1665361.44578</v>
      </c>
      <c r="P44" s="46">
        <f ca="1">O44/SUM(O:O)</f>
        <v>1.1445783132529055E-2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hidden="1" customHeight="1" x14ac:dyDescent="0.15">
      <c r="A45" s="2" t="str">
        <f ca="1">input_7339!A$2</f>
        <v>7339010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IFERROR(VLOOKUP(B45,input_7339!L:R,7,FALSE),VLOOKUP(tables_7339!C45,input_7339!A:H,8,FALSE))</f>
        <v>0</v>
      </c>
      <c r="P45" s="46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hidden="1" customHeight="1" x14ac:dyDescent="0.15">
      <c r="A46" s="2" t="str">
        <f ca="1">input_7339!A$2</f>
        <v>7339010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IFERROR(VLOOKUP(B46,input_7339!L:R,7,FALSE),VLOOKUP(tables_7339!C46,input_7339!A:H,8,FALSE))</f>
        <v>0</v>
      </c>
      <c r="P46" s="46">
        <f ca="1">O46/SUM(O:O)</f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input_7339!A$2</f>
        <v>7339010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IFERROR(VLOOKUP(B47,input_7339!L:R,7,FALSE),VLOOKUP(tables_7339!C47,input_7339!A:H,8,FALSE))</f>
        <v>1665361.44578</v>
      </c>
      <c r="P47" s="46">
        <f ca="1">O47/SUM(O:O)</f>
        <v>1.1445783132529055E-2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hidden="1" customHeight="1" x14ac:dyDescent="0.15">
      <c r="A48" s="2" t="str">
        <f ca="1">input_7339!A$2</f>
        <v>7339010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IFERROR(VLOOKUP(B48,input_7339!L:R,7,FALSE),VLOOKUP(tables_7339!C48,input_7339!A:H,8,FALSE))</f>
        <v>0</v>
      </c>
      <c r="P48" s="46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hidden="1" customHeight="1" x14ac:dyDescent="0.15">
      <c r="A49" s="2" t="str">
        <f ca="1">input_7339!A$2</f>
        <v>7339010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IFERROR(VLOOKUP(B49,input_7339!L:R,7,FALSE),VLOOKUP(tables_7339!C49,input_7339!A:H,8,FALSE))</f>
        <v>0</v>
      </c>
      <c r="P49" s="46">
        <f ca="1">O49/SUM(O:O)</f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input_7339!A$2</f>
        <v>7339010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IFERROR(VLOOKUP(B50,input_7339!L:R,7,FALSE),VLOOKUP(tables_7339!C50,input_7339!A:H,8,FALSE))</f>
        <v>1665361.44578</v>
      </c>
      <c r="P50" s="46">
        <f ca="1">O50/SUM(O:O)</f>
        <v>1.1445783132529055E-2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hidden="1" customHeight="1" x14ac:dyDescent="0.15">
      <c r="A51" s="2" t="str">
        <f ca="1">input_7339!A$2</f>
        <v>7339010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IFERROR(VLOOKUP(B51,input_7339!L:R,7,FALSE),VLOOKUP(tables_7339!C51,input_7339!A:H,8,FALSE))</f>
        <v>0</v>
      </c>
      <c r="P51" s="46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hidden="1" customHeight="1" x14ac:dyDescent="0.15">
      <c r="A52" s="2" t="str">
        <f ca="1">input_7339!A$2</f>
        <v>7339010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IFERROR(VLOOKUP(B52,input_7339!L:R,7,FALSE),VLOOKUP(tables_7339!C52,input_7339!A:H,8,FALSE))</f>
        <v>0</v>
      </c>
      <c r="P52" s="46">
        <f ca="1">O52/SUM(O:O)</f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input_7339!A$2</f>
        <v>7339010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IFERROR(VLOOKUP(B53,input_7339!L:R,7,FALSE),VLOOKUP(tables_7339!C53,input_7339!A:H,8,FALSE))</f>
        <v>1665361.44578</v>
      </c>
      <c r="P53" s="46">
        <f ca="1">O53/SUM(O:O)</f>
        <v>1.1445783132529055E-2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hidden="1" customHeight="1" x14ac:dyDescent="0.15">
      <c r="A54" s="2" t="str">
        <f ca="1">input_7339!A$2</f>
        <v>7339010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IFERROR(VLOOKUP(B54,input_7339!L:R,7,FALSE),VLOOKUP(tables_7339!C54,input_7339!A:H,8,FALSE))</f>
        <v>0</v>
      </c>
      <c r="P54" s="46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hidden="1" customHeight="1" x14ac:dyDescent="0.15">
      <c r="A55" s="2" t="str">
        <f ca="1">input_7339!A$2</f>
        <v>7339010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IFERROR(VLOOKUP(B55,input_7339!L:R,7,FALSE),VLOOKUP(tables_7339!C55,input_7339!A:H,8,FALSE))</f>
        <v>0</v>
      </c>
      <c r="P55" s="46">
        <f ca="1">O55/SUM(O:O)</f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input_7339!A$2</f>
        <v>7339010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IFERROR(VLOOKUP(B56,input_7339!L:R,7,FALSE),VLOOKUP(tables_7339!C56,input_7339!A:H,8,FALSE))</f>
        <v>1665361.44578</v>
      </c>
      <c r="P56" s="46">
        <f ca="1">O56/SUM(O:O)</f>
        <v>1.1445783132529055E-2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hidden="1" customHeight="1" x14ac:dyDescent="0.15">
      <c r="A57" s="2" t="str">
        <f ca="1">input_7339!A$2</f>
        <v>7339010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IFERROR(VLOOKUP(B57,input_7339!L:R,7,FALSE),VLOOKUP(tables_7339!C57,input_7339!A:H,8,FALSE))</f>
        <v>0</v>
      </c>
      <c r="P57" s="46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hidden="1" customHeight="1" x14ac:dyDescent="0.15">
      <c r="A58" s="2" t="str">
        <f ca="1">input_7339!A$2</f>
        <v>7339010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IFERROR(VLOOKUP(B58,input_7339!L:R,7,FALSE),VLOOKUP(tables_7339!C58,input_7339!A:H,8,FALSE))</f>
        <v>0</v>
      </c>
      <c r="P58" s="46">
        <f ca="1">O58/SUM(O:O)</f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input_7339!A$2</f>
        <v>7339010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IFERROR(VLOOKUP(B59,input_7339!L:R,7,FALSE),VLOOKUP(tables_7339!C59,input_7339!A:H,8,FALSE))</f>
        <v>1665361.44578</v>
      </c>
      <c r="P59" s="46">
        <f ca="1">O59/SUM(O:O)</f>
        <v>1.1445783132529055E-2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hidden="1" customHeight="1" x14ac:dyDescent="0.15">
      <c r="A60" s="2" t="str">
        <f ca="1">input_7339!A$2</f>
        <v>7339010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IFERROR(VLOOKUP(B60,input_7339!L:R,7,FALSE),VLOOKUP(tables_7339!C60,input_7339!A:H,8,FALSE))</f>
        <v>0</v>
      </c>
      <c r="P60" s="46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hidden="1" customHeight="1" x14ac:dyDescent="0.15">
      <c r="A61" s="2" t="str">
        <f ca="1">input_7339!A$2</f>
        <v>7339010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IFERROR(VLOOKUP(B61,input_7339!L:R,7,FALSE),VLOOKUP(tables_7339!C61,input_7339!A:H,8,FALSE))</f>
        <v>0</v>
      </c>
      <c r="P61" s="46">
        <f ca="1">O61/SUM(O:O)</f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input_7339!A$2</f>
        <v>7339010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IFERROR(VLOOKUP(B62,input_7339!L:R,7,FALSE),VLOOKUP(tables_7339!C62,input_7339!A:H,8,FALSE))</f>
        <v>1665361.44578</v>
      </c>
      <c r="P62" s="46">
        <f ca="1">O62/SUM(O:O)</f>
        <v>1.1445783132529055E-2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hidden="1" customHeight="1" x14ac:dyDescent="0.15">
      <c r="A63" s="2" t="str">
        <f ca="1">input_7339!A$2</f>
        <v>7339010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IFERROR(VLOOKUP(B63,input_7339!L:R,7,FALSE),VLOOKUP(tables_7339!C63,input_7339!A:H,8,FALSE))</f>
        <v>0</v>
      </c>
      <c r="P63" s="46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hidden="1" customHeight="1" x14ac:dyDescent="0.15">
      <c r="A64" s="2" t="str">
        <f ca="1">input_7339!A$2</f>
        <v>7339010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IFERROR(VLOOKUP(B64,input_7339!L:R,7,FALSE),VLOOKUP(tables_7339!C64,input_7339!A:H,8,FALSE))</f>
        <v>0</v>
      </c>
      <c r="P64" s="46">
        <f ca="1">O64/SUM(O:O)</f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input_7339!A$2</f>
        <v>7339010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IFERROR(VLOOKUP(B65,input_7339!L:R,7,FALSE),VLOOKUP(tables_7339!C65,input_7339!A:H,8,FALSE))</f>
        <v>1665361.44578</v>
      </c>
      <c r="P65" s="46">
        <f ca="1">O65/SUM(O:O)</f>
        <v>1.1445783132529055E-2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hidden="1" customHeight="1" thickBot="1" x14ac:dyDescent="0.2">
      <c r="A66" s="2" t="str">
        <f ca="1">input_7339!A$2</f>
        <v>7339010</v>
      </c>
      <c r="B66" s="6">
        <v>190</v>
      </c>
      <c r="C66" s="7" t="str">
        <f t="shared" ref="C66:C129" si="2">D66&amp;J66&amp;E66&amp;F66&amp;G66</f>
        <v>Premium3</v>
      </c>
      <c r="D66" s="7" t="str">
        <f t="shared" si="1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IFERROR(VLOOKUP(B66,input_7339!L:R,7,FALSE),VLOOKUP(tables_7339!C66,input_7339!A:H,8,FALSE))</f>
        <v>0</v>
      </c>
      <c r="P66" s="46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hidden="1" customHeight="1" x14ac:dyDescent="0.15">
      <c r="A67" s="2" t="str">
        <f ca="1">input_7339!A$2</f>
        <v>7339010</v>
      </c>
      <c r="B67" s="6">
        <v>191</v>
      </c>
      <c r="C67" s="7" t="str">
        <f t="shared" si="2"/>
        <v>Premium4</v>
      </c>
      <c r="D67" s="7" t="str">
        <f t="shared" ref="D67:D130" si="3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IFERROR(VLOOKUP(B67,input_7339!L:R,7,FALSE),VLOOKUP(tables_7339!C67,input_7339!A:H,8,FALSE))</f>
        <v>0</v>
      </c>
      <c r="P67" s="46">
        <f ca="1">O67/SUM(O:O)</f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input_7339!A$2</f>
        <v>7339010</v>
      </c>
      <c r="B68" s="6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IFERROR(VLOOKUP(B68,input_7339!L:R,7,FALSE),VLOOKUP(tables_7339!C68,input_7339!A:H,8,FALSE))</f>
        <v>1665361.44578</v>
      </c>
      <c r="P68" s="46">
        <f ca="1">O68/SUM(O:O)</f>
        <v>1.1445783132529055E-2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hidden="1" customHeight="1" x14ac:dyDescent="0.15">
      <c r="A69" s="2" t="str">
        <f ca="1">input_7339!A$2</f>
        <v>7339010</v>
      </c>
      <c r="B69" s="6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IFERROR(VLOOKUP(B69,input_7339!L:R,7,FALSE),VLOOKUP(tables_7339!C69,input_7339!A:H,8,FALSE))</f>
        <v>0</v>
      </c>
      <c r="P69" s="46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hidden="1" customHeight="1" x14ac:dyDescent="0.15">
      <c r="A70" s="2" t="str">
        <f ca="1">input_7339!A$2</f>
        <v>7339010</v>
      </c>
      <c r="B70" s="10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IFERROR(VLOOKUP(B70,input_7339!L:R,7,FALSE),VLOOKUP(tables_7339!C70,input_7339!A:H,8,FALSE))</f>
        <v>0</v>
      </c>
      <c r="P70" s="46">
        <f ca="1">O70/SUM(O:O)</f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input_7339!A$2</f>
        <v>7339010</v>
      </c>
      <c r="B71" s="6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IFERROR(VLOOKUP(B71,input_7339!L:R,7,FALSE),VLOOKUP(tables_7339!C71,input_7339!A:H,8,FALSE))</f>
        <v>1665361.44578</v>
      </c>
      <c r="P71" s="46">
        <f ca="1">O71/SUM(O:O)</f>
        <v>1.1445783132529055E-2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hidden="1" customHeight="1" x14ac:dyDescent="0.15">
      <c r="A72" s="2" t="str">
        <f ca="1">input_7339!A$2</f>
        <v>7339010</v>
      </c>
      <c r="B72" s="10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IFERROR(VLOOKUP(B72,input_7339!L:R,7,FALSE),VLOOKUP(tables_7339!C72,input_7339!A:H,8,FALSE))</f>
        <v>0</v>
      </c>
      <c r="P72" s="46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hidden="1" customHeight="1" x14ac:dyDescent="0.15">
      <c r="A73" s="2" t="str">
        <f ca="1">input_7339!A$2</f>
        <v>7339010</v>
      </c>
      <c r="B73" s="11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IFERROR(VLOOKUP(B73,input_7339!L:R,7,FALSE),VLOOKUP(tables_7339!C73,input_7339!A:H,8,FALSE))</f>
        <v>0</v>
      </c>
      <c r="P73" s="46">
        <f ca="1">O73/SUM(O:O)</f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input_7339!A$2</f>
        <v>7339010</v>
      </c>
      <c r="B74" s="6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IFERROR(VLOOKUP(B74,input_7339!L:R,7,FALSE),VLOOKUP(tables_7339!C74,input_7339!A:H,8,FALSE))</f>
        <v>1665361.44578</v>
      </c>
      <c r="P74" s="46">
        <f ca="1">O74/SUM(O:O)</f>
        <v>1.1445783132529055E-2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hidden="1" customHeight="1" x14ac:dyDescent="0.15">
      <c r="A75" s="2" t="str">
        <f ca="1">input_7339!A$2</f>
        <v>7339010</v>
      </c>
      <c r="B75" s="6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IFERROR(VLOOKUP(B75,input_7339!L:R,7,FALSE),VLOOKUP(tables_7339!C75,input_7339!A:H,8,FALSE))</f>
        <v>0</v>
      </c>
      <c r="P75" s="46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hidden="1" customHeight="1" x14ac:dyDescent="0.15">
      <c r="A76" s="2" t="str">
        <f ca="1">input_7339!A$2</f>
        <v>7339010</v>
      </c>
      <c r="B76" s="6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IFERROR(VLOOKUP(B76,input_7339!L:R,7,FALSE),VLOOKUP(tables_7339!C76,input_7339!A:H,8,FALSE))</f>
        <v>0</v>
      </c>
      <c r="P76" s="46">
        <f ca="1">O76/SUM(O:O)</f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input_7339!A$2</f>
        <v>7339010</v>
      </c>
      <c r="B77" s="5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IFERROR(VLOOKUP(B77,input_7339!L:R,7,FALSE),VLOOKUP(tables_7339!C77,input_7339!A:H,8,FALSE))</f>
        <v>1665361.44578</v>
      </c>
      <c r="P77" s="46">
        <f ca="1">O77/SUM(O:O)</f>
        <v>1.1445783132529055E-2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hidden="1" customHeight="1" x14ac:dyDescent="0.15">
      <c r="A78" s="2" t="str">
        <f ca="1">input_7339!A$2</f>
        <v>7339010</v>
      </c>
      <c r="B78" s="5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IFERROR(VLOOKUP(B78,input_7339!L:R,7,FALSE),VLOOKUP(tables_7339!C78,input_7339!A:H,8,FALSE))</f>
        <v>0</v>
      </c>
      <c r="P78" s="46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hidden="1" customHeight="1" x14ac:dyDescent="0.15">
      <c r="A79" s="2" t="str">
        <f ca="1">input_7339!A$2</f>
        <v>7339010</v>
      </c>
      <c r="B79" s="5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IFERROR(VLOOKUP(B79,input_7339!L:R,7,FALSE),VLOOKUP(tables_7339!C79,input_7339!A:H,8,FALSE))</f>
        <v>0</v>
      </c>
      <c r="P79" s="46">
        <f ca="1">O79/SUM(O:O)</f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input_7339!A$2</f>
        <v>7339010</v>
      </c>
      <c r="B80" s="5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IFERROR(VLOOKUP(B80,input_7339!L:R,7,FALSE),VLOOKUP(tables_7339!C80,input_7339!A:H,8,FALSE))</f>
        <v>1665361.44578</v>
      </c>
      <c r="P80" s="46">
        <f ca="1">O80/SUM(O:O)</f>
        <v>1.1445783132529055E-2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hidden="1" customHeight="1" x14ac:dyDescent="0.15">
      <c r="A81" s="2" t="str">
        <f ca="1">input_7339!A$2</f>
        <v>7339010</v>
      </c>
      <c r="B81" s="5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IFERROR(VLOOKUP(B81,input_7339!L:R,7,FALSE),VLOOKUP(tables_7339!C81,input_7339!A:H,8,FALSE))</f>
        <v>0</v>
      </c>
      <c r="P81" s="46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hidden="1" customHeight="1" x14ac:dyDescent="0.15">
      <c r="A82" s="2" t="str">
        <f ca="1">input_7339!A$2</f>
        <v>7339010</v>
      </c>
      <c r="B82" s="5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IFERROR(VLOOKUP(B82,input_7339!L:R,7,FALSE),VLOOKUP(tables_7339!C82,input_7339!A:H,8,FALSE))</f>
        <v>0</v>
      </c>
      <c r="P82" s="46">
        <f ca="1">O82/SUM(O:O)</f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input_7339!A$2</f>
        <v>7339010</v>
      </c>
      <c r="B83" s="5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IFERROR(VLOOKUP(B83,input_7339!L:R,7,FALSE),VLOOKUP(tables_7339!C83,input_7339!A:H,8,FALSE))</f>
        <v>1665361.44578</v>
      </c>
      <c r="P83" s="46">
        <f ca="1">O83/SUM(O:O)</f>
        <v>1.1445783132529055E-2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hidden="1" customHeight="1" x14ac:dyDescent="0.15">
      <c r="A84" s="2" t="str">
        <f ca="1">input_7339!A$2</f>
        <v>7339010</v>
      </c>
      <c r="B84" s="5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IFERROR(VLOOKUP(B84,input_7339!L:R,7,FALSE),VLOOKUP(tables_7339!C84,input_7339!A:H,8,FALSE))</f>
        <v>0</v>
      </c>
      <c r="P84" s="46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hidden="1" customHeight="1" x14ac:dyDescent="0.15">
      <c r="A85" s="2" t="str">
        <f ca="1">input_7339!A$2</f>
        <v>7339010</v>
      </c>
      <c r="B85" s="5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IFERROR(VLOOKUP(B85,input_7339!L:R,7,FALSE),VLOOKUP(tables_7339!C85,input_7339!A:H,8,FALSE))</f>
        <v>0</v>
      </c>
      <c r="P85" s="46">
        <f ca="1">O85/SUM(O:O)</f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input_7339!A$2</f>
        <v>7339010</v>
      </c>
      <c r="B86" s="5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IFERROR(VLOOKUP(B86,input_7339!L:R,7,FALSE),VLOOKUP(tables_7339!C86,input_7339!A:H,8,FALSE))</f>
        <v>1665361.44578</v>
      </c>
      <c r="P86" s="46">
        <f ca="1">O86/SUM(O:O)</f>
        <v>1.1445783132529055E-2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hidden="1" customHeight="1" x14ac:dyDescent="0.15">
      <c r="A87" s="2" t="str">
        <f ca="1">input_7339!A$2</f>
        <v>7339010</v>
      </c>
      <c r="B87" s="5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IFERROR(VLOOKUP(B87,input_7339!L:R,7,FALSE),VLOOKUP(tables_7339!C87,input_7339!A:H,8,FALSE))</f>
        <v>0</v>
      </c>
      <c r="P87" s="46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hidden="1" customHeight="1" x14ac:dyDescent="0.15">
      <c r="A88" s="2" t="str">
        <f ca="1">input_7339!A$2</f>
        <v>7339010</v>
      </c>
      <c r="B88" s="5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IFERROR(VLOOKUP(B88,input_7339!L:R,7,FALSE),VLOOKUP(tables_7339!C88,input_7339!A:H,8,FALSE))</f>
        <v>0</v>
      </c>
      <c r="P88" s="46">
        <f ca="1">O88/SUM(O:O)</f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input_7339!A$2</f>
        <v>7339010</v>
      </c>
      <c r="B89" s="5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IFERROR(VLOOKUP(B89,input_7339!L:R,7,FALSE),VLOOKUP(tables_7339!C89,input_7339!A:H,8,FALSE))</f>
        <v>1665361.44578</v>
      </c>
      <c r="P89" s="46">
        <f ca="1">O89/SUM(O:O)</f>
        <v>1.1445783132529055E-2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hidden="1" customHeight="1" x14ac:dyDescent="0.15">
      <c r="A90" s="2" t="str">
        <f ca="1">input_7339!A$2</f>
        <v>7339010</v>
      </c>
      <c r="B90" s="5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IFERROR(VLOOKUP(B90,input_7339!L:R,7,FALSE),VLOOKUP(tables_7339!C90,input_7339!A:H,8,FALSE))</f>
        <v>0</v>
      </c>
      <c r="P90" s="46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hidden="1" customHeight="1" x14ac:dyDescent="0.15">
      <c r="A91" s="2" t="str">
        <f ca="1">input_7339!A$2</f>
        <v>7339010</v>
      </c>
      <c r="B91" s="5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IFERROR(VLOOKUP(B91,input_7339!L:R,7,FALSE),VLOOKUP(tables_7339!C91,input_7339!A:H,8,FALSE))</f>
        <v>0</v>
      </c>
      <c r="P91" s="46">
        <f ca="1">O91/SUM(O:O)</f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input_7339!A$2</f>
        <v>7339010</v>
      </c>
      <c r="B92" s="5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IFERROR(VLOOKUP(B92,input_7339!L:R,7,FALSE),VLOOKUP(tables_7339!C92,input_7339!A:H,8,FALSE))</f>
        <v>1665361.44578</v>
      </c>
      <c r="P92" s="46">
        <f ca="1">O92/SUM(O:O)</f>
        <v>1.1445783132529055E-2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hidden="1" customHeight="1" x14ac:dyDescent="0.15">
      <c r="A93" s="2" t="str">
        <f ca="1">input_7339!A$2</f>
        <v>7339010</v>
      </c>
      <c r="B93" s="5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IFERROR(VLOOKUP(B93,input_7339!L:R,7,FALSE),VLOOKUP(tables_7339!C93,input_7339!A:H,8,FALSE))</f>
        <v>0</v>
      </c>
      <c r="P93" s="46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hidden="1" customHeight="1" x14ac:dyDescent="0.15">
      <c r="A94" s="2" t="str">
        <f ca="1">input_7339!A$2</f>
        <v>7339010</v>
      </c>
      <c r="B94" s="5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IFERROR(VLOOKUP(B94,input_7339!L:R,7,FALSE),VLOOKUP(tables_7339!C94,input_7339!A:H,8,FALSE))</f>
        <v>0</v>
      </c>
      <c r="P94" s="46">
        <f ca="1">O94/SUM(O:O)</f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input_7339!A$2</f>
        <v>7339010</v>
      </c>
      <c r="B95" s="5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IFERROR(VLOOKUP(B95,input_7339!L:R,7,FALSE),VLOOKUP(tables_7339!C95,input_7339!A:H,8,FALSE))</f>
        <v>1665361.44578</v>
      </c>
      <c r="P95" s="46">
        <f ca="1">O95/SUM(O:O)</f>
        <v>1.1445783132529055E-2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hidden="1" customHeight="1" x14ac:dyDescent="0.15">
      <c r="A96" s="2" t="str">
        <f ca="1">input_7339!A$2</f>
        <v>7339010</v>
      </c>
      <c r="B96" s="5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IFERROR(VLOOKUP(B96,input_7339!L:R,7,FALSE),VLOOKUP(tables_7339!C96,input_7339!A:H,8,FALSE))</f>
        <v>0</v>
      </c>
      <c r="P96" s="46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hidden="1" customHeight="1" x14ac:dyDescent="0.15">
      <c r="A97" s="2" t="str">
        <f ca="1">input_7339!A$2</f>
        <v>7339010</v>
      </c>
      <c r="B97" s="5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IFERROR(VLOOKUP(B97,input_7339!L:R,7,FALSE),VLOOKUP(tables_7339!C97,input_7339!A:H,8,FALSE))</f>
        <v>0</v>
      </c>
      <c r="P97" s="46">
        <f ca="1">O97/SUM(O:O)</f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input_7339!A$2</f>
        <v>7339010</v>
      </c>
      <c r="B98" s="5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IFERROR(VLOOKUP(B98,input_7339!L:R,7,FALSE),VLOOKUP(tables_7339!C98,input_7339!A:H,8,FALSE))</f>
        <v>1665361.44578</v>
      </c>
      <c r="P98" s="46">
        <f ca="1">O98/SUM(O:O)</f>
        <v>1.1445783132529055E-2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hidden="1" customHeight="1" x14ac:dyDescent="0.15">
      <c r="A99" s="2" t="str">
        <f ca="1">input_7339!A$2</f>
        <v>7339010</v>
      </c>
      <c r="B99" s="5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IFERROR(VLOOKUP(B99,input_7339!L:R,7,FALSE),VLOOKUP(tables_7339!C99,input_7339!A:H,8,FALSE))</f>
        <v>0</v>
      </c>
      <c r="P99" s="46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hidden="1" customHeight="1" x14ac:dyDescent="0.15">
      <c r="A100" s="2" t="str">
        <f ca="1">input_7339!A$2</f>
        <v>7339010</v>
      </c>
      <c r="B100" s="5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IFERROR(VLOOKUP(B100,input_7339!L:R,7,FALSE),VLOOKUP(tables_7339!C100,input_7339!A:H,8,FALSE))</f>
        <v>0</v>
      </c>
      <c r="P100" s="46">
        <f ca="1">O100/SUM(O:O)</f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input_7339!A$2</f>
        <v>7339010</v>
      </c>
      <c r="B101" s="5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IFERROR(VLOOKUP(B101,input_7339!L:R,7,FALSE),VLOOKUP(tables_7339!C101,input_7339!A:H,8,FALSE))</f>
        <v>1665361.44578</v>
      </c>
      <c r="P101" s="46">
        <f ca="1">O101/SUM(O:O)</f>
        <v>1.1445783132529055E-2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hidden="1" customHeight="1" x14ac:dyDescent="0.15">
      <c r="A102" s="2" t="str">
        <f ca="1">input_7339!A$2</f>
        <v>7339010</v>
      </c>
      <c r="B102" s="5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IFERROR(VLOOKUP(B102,input_7339!L:R,7,FALSE),VLOOKUP(tables_7339!C102,input_7339!A:H,8,FALSE))</f>
        <v>0</v>
      </c>
      <c r="P102" s="46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hidden="1" customHeight="1" x14ac:dyDescent="0.15">
      <c r="A103" s="2" t="str">
        <f ca="1">input_7339!A$2</f>
        <v>7339010</v>
      </c>
      <c r="B103" s="5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IFERROR(VLOOKUP(B103,input_7339!L:R,7,FALSE),VLOOKUP(tables_7339!C103,input_7339!A:H,8,FALSE))</f>
        <v>0</v>
      </c>
      <c r="P103" s="46">
        <f ca="1">O103/SUM(O:O)</f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input_7339!A$2</f>
        <v>7339010</v>
      </c>
      <c r="B104" s="5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IFERROR(VLOOKUP(B104,input_7339!L:R,7,FALSE),VLOOKUP(tables_7339!C104,input_7339!A:H,8,FALSE))</f>
        <v>1665361.44578</v>
      </c>
      <c r="P104" s="46">
        <f ca="1">O104/SUM(O:O)</f>
        <v>1.1445783132529055E-2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hidden="1" customHeight="1" x14ac:dyDescent="0.15">
      <c r="A105" s="2" t="str">
        <f ca="1">input_7339!A$2</f>
        <v>7339010</v>
      </c>
      <c r="B105" s="5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IFERROR(VLOOKUP(B105,input_7339!L:R,7,FALSE),VLOOKUP(tables_7339!C105,input_7339!A:H,8,FALSE))</f>
        <v>0</v>
      </c>
      <c r="P105" s="46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hidden="1" customHeight="1" x14ac:dyDescent="0.15">
      <c r="A106" s="2" t="str">
        <f ca="1">input_7339!A$2</f>
        <v>7339010</v>
      </c>
      <c r="B106" s="5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IFERROR(VLOOKUP(B106,input_7339!L:R,7,FALSE),VLOOKUP(tables_7339!C106,input_7339!A:H,8,FALSE))</f>
        <v>0</v>
      </c>
      <c r="P106" s="46">
        <f ca="1">O106/SUM(O:O)</f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input_7339!A$2</f>
        <v>7339010</v>
      </c>
      <c r="B107" s="5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IFERROR(VLOOKUP(B107,input_7339!L:R,7,FALSE),VLOOKUP(tables_7339!C107,input_7339!A:H,8,FALSE))</f>
        <v>1665361.44578</v>
      </c>
      <c r="P107" s="46">
        <f ca="1">O107/SUM(O:O)</f>
        <v>1.1445783132529055E-2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hidden="1" customHeight="1" x14ac:dyDescent="0.15">
      <c r="A108" s="2" t="str">
        <f ca="1">input_7339!A$2</f>
        <v>7339010</v>
      </c>
      <c r="B108" s="5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IFERROR(VLOOKUP(B108,input_7339!L:R,7,FALSE),VLOOKUP(tables_7339!C108,input_7339!A:H,8,FALSE))</f>
        <v>0</v>
      </c>
      <c r="P108" s="46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hidden="1" customHeight="1" x14ac:dyDescent="0.15">
      <c r="A109" s="2" t="str">
        <f ca="1">input_7339!A$2</f>
        <v>7339010</v>
      </c>
      <c r="B109" s="5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IFERROR(VLOOKUP(B109,input_7339!L:R,7,FALSE),VLOOKUP(tables_7339!C109,input_7339!A:H,8,FALSE))</f>
        <v>0</v>
      </c>
      <c r="P109" s="46">
        <f ca="1">O109/SUM(O:O)</f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input_7339!A$2</f>
        <v>7339010</v>
      </c>
      <c r="B110" s="5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IFERROR(VLOOKUP(B110,input_7339!L:R,7,FALSE),VLOOKUP(tables_7339!C110,input_7339!A:H,8,FALSE))</f>
        <v>1665361.44578</v>
      </c>
      <c r="P110" s="46">
        <f ca="1">O110/SUM(O:O)</f>
        <v>1.1445783132529055E-2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hidden="1" customHeight="1" x14ac:dyDescent="0.15">
      <c r="A111" s="2" t="str">
        <f ca="1">input_7339!A$2</f>
        <v>7339010</v>
      </c>
      <c r="B111" s="5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IFERROR(VLOOKUP(B111,input_7339!L:R,7,FALSE),VLOOKUP(tables_7339!C111,input_7339!A:H,8,FALSE))</f>
        <v>0</v>
      </c>
      <c r="P111" s="46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hidden="1" customHeight="1" x14ac:dyDescent="0.15">
      <c r="A112" s="2" t="str">
        <f ca="1">input_7339!A$2</f>
        <v>7339010</v>
      </c>
      <c r="B112" s="5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IFERROR(VLOOKUP(B112,input_7339!L:R,7,FALSE),VLOOKUP(tables_7339!C112,input_7339!A:H,8,FALSE))</f>
        <v>0</v>
      </c>
      <c r="P112" s="46">
        <f ca="1">O112/SUM(O:O)</f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input_7339!A$2</f>
        <v>7339010</v>
      </c>
      <c r="B113" s="5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IFERROR(VLOOKUP(B113,input_7339!L:R,7,FALSE),VLOOKUP(tables_7339!C113,input_7339!A:H,8,FALSE))</f>
        <v>1665361.44578</v>
      </c>
      <c r="P113" s="46">
        <f ca="1">O113/SUM(O:O)</f>
        <v>1.1445783132529055E-2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hidden="1" customHeight="1" x14ac:dyDescent="0.15">
      <c r="A114" s="2" t="str">
        <f ca="1">input_7339!A$2</f>
        <v>7339010</v>
      </c>
      <c r="B114" s="5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IFERROR(VLOOKUP(B114,input_7339!L:R,7,FALSE),VLOOKUP(tables_7339!C114,input_7339!A:H,8,FALSE))</f>
        <v>0</v>
      </c>
      <c r="P114" s="46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hidden="1" customHeight="1" x14ac:dyDescent="0.15">
      <c r="A115" s="2" t="str">
        <f ca="1">input_7339!A$2</f>
        <v>7339010</v>
      </c>
      <c r="B115" s="5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IFERROR(VLOOKUP(B115,input_7339!L:R,7,FALSE),VLOOKUP(tables_7339!C115,input_7339!A:H,8,FALSE))</f>
        <v>0</v>
      </c>
      <c r="P115" s="46">
        <f ca="1">O115/SUM(O:O)</f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input_7339!A$2</f>
        <v>7339010</v>
      </c>
      <c r="B116" s="5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IFERROR(VLOOKUP(B116,input_7339!L:R,7,FALSE),VLOOKUP(tables_7339!C116,input_7339!A:H,8,FALSE))</f>
        <v>1665361.44578</v>
      </c>
      <c r="P116" s="46">
        <f ca="1">O116/SUM(O:O)</f>
        <v>1.1445783132529055E-2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hidden="1" customHeight="1" x14ac:dyDescent="0.15">
      <c r="A117" s="2" t="str">
        <f ca="1">input_7339!A$2</f>
        <v>7339010</v>
      </c>
      <c r="B117" s="5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IFERROR(VLOOKUP(B117,input_7339!L:R,7,FALSE),VLOOKUP(tables_7339!C117,input_7339!A:H,8,FALSE))</f>
        <v>0</v>
      </c>
      <c r="P117" s="46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hidden="1" customHeight="1" x14ac:dyDescent="0.15">
      <c r="A118" s="2" t="str">
        <f ca="1">input_7339!A$2</f>
        <v>7339010</v>
      </c>
      <c r="B118" s="5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IFERROR(VLOOKUP(B118,input_7339!L:R,7,FALSE),VLOOKUP(tables_7339!C118,input_7339!A:H,8,FALSE))</f>
        <v>0</v>
      </c>
      <c r="P118" s="46">
        <f ca="1">O118/SUM(O:O)</f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input_7339!A$2</f>
        <v>7339010</v>
      </c>
      <c r="B119" s="5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IFERROR(VLOOKUP(B119,input_7339!L:R,7,FALSE),VLOOKUP(tables_7339!C119,input_7339!A:H,8,FALSE))</f>
        <v>1665361.44578</v>
      </c>
      <c r="P119" s="46">
        <f ca="1">O119/SUM(O:O)</f>
        <v>1.1445783132529055E-2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hidden="1" customHeight="1" x14ac:dyDescent="0.15">
      <c r="A120" s="2" t="str">
        <f ca="1">input_7339!A$2</f>
        <v>7339010</v>
      </c>
      <c r="B120" s="5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IFERROR(VLOOKUP(B120,input_7339!L:R,7,FALSE),VLOOKUP(tables_7339!C120,input_7339!A:H,8,FALSE))</f>
        <v>0</v>
      </c>
      <c r="P120" s="46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hidden="1" customHeight="1" x14ac:dyDescent="0.15">
      <c r="A121" s="2" t="str">
        <f ca="1">input_7339!A$2</f>
        <v>7339010</v>
      </c>
      <c r="B121" s="5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IFERROR(VLOOKUP(B121,input_7339!L:R,7,FALSE),VLOOKUP(tables_7339!C121,input_7339!A:H,8,FALSE))</f>
        <v>0</v>
      </c>
      <c r="P121" s="46">
        <f ca="1">O121/SUM(O:O)</f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input_7339!A$2</f>
        <v>7339010</v>
      </c>
      <c r="B122" s="5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IFERROR(VLOOKUP(B122,input_7339!L:R,7,FALSE),VLOOKUP(tables_7339!C122,input_7339!A:H,8,FALSE))</f>
        <v>1665361.44578</v>
      </c>
      <c r="P122" s="46">
        <f ca="1">O122/SUM(O:O)</f>
        <v>1.1445783132529055E-2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hidden="1" customHeight="1" x14ac:dyDescent="0.15">
      <c r="A123" s="2" t="str">
        <f ca="1">input_7339!A$2</f>
        <v>7339010</v>
      </c>
      <c r="B123" s="5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IFERROR(VLOOKUP(B123,input_7339!L:R,7,FALSE),VLOOKUP(tables_7339!C123,input_7339!A:H,8,FALSE))</f>
        <v>0</v>
      </c>
      <c r="P123" s="46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hidden="1" customHeight="1" x14ac:dyDescent="0.15">
      <c r="A124" s="2" t="str">
        <f ca="1">input_7339!A$2</f>
        <v>7339010</v>
      </c>
      <c r="B124" s="5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IFERROR(VLOOKUP(B124,input_7339!L:R,7,FALSE),VLOOKUP(tables_7339!C124,input_7339!A:H,8,FALSE))</f>
        <v>0</v>
      </c>
      <c r="P124" s="46">
        <f ca="1">O124/SUM(O:O)</f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input_7339!A$2</f>
        <v>7339010</v>
      </c>
      <c r="B125" s="6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IFERROR(VLOOKUP(B125,input_7339!L:R,7,FALSE),VLOOKUP(tables_7339!C125,input_7339!A:H,8,FALSE))</f>
        <v>1665361.44578</v>
      </c>
      <c r="P125" s="46">
        <f ca="1">O125/SUM(O:O)</f>
        <v>1.1445783132529055E-2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hidden="1" customHeight="1" x14ac:dyDescent="0.15">
      <c r="A126" s="2" t="str">
        <f ca="1">input_7339!A$2</f>
        <v>7339010</v>
      </c>
      <c r="B126" s="6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IFERROR(VLOOKUP(B126,input_7339!L:R,7,FALSE),VLOOKUP(tables_7339!C126,input_7339!A:H,8,FALSE))</f>
        <v>0</v>
      </c>
      <c r="P126" s="46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hidden="1" customHeight="1" x14ac:dyDescent="0.15">
      <c r="A127" s="2" t="str">
        <f ca="1">input_7339!A$2</f>
        <v>7339010</v>
      </c>
      <c r="B127" s="6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IFERROR(VLOOKUP(B127,input_7339!L:R,7,FALSE),VLOOKUP(tables_7339!C127,input_7339!A:H,8,FALSE))</f>
        <v>0</v>
      </c>
      <c r="P127" s="46">
        <f ca="1">O127/SUM(O:O)</f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input_7339!A$2</f>
        <v>7339010</v>
      </c>
      <c r="B128" s="6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IFERROR(VLOOKUP(B128,input_7339!L:R,7,FALSE),VLOOKUP(tables_7339!C128,input_7339!A:H,8,FALSE))</f>
        <v>1665361.44578</v>
      </c>
      <c r="P128" s="46">
        <f ca="1">O128/SUM(O:O)</f>
        <v>1.1445783132529055E-2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hidden="1" customHeight="1" x14ac:dyDescent="0.15">
      <c r="A129" s="2" t="str">
        <f ca="1">input_7339!A$2</f>
        <v>7339010</v>
      </c>
      <c r="B129" s="6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IFERROR(VLOOKUP(B129,input_7339!L:R,7,FALSE),VLOOKUP(tables_7339!C129,input_7339!A:H,8,FALSE))</f>
        <v>0</v>
      </c>
      <c r="P129" s="46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hidden="1" customHeight="1" x14ac:dyDescent="0.15">
      <c r="A130" s="2" t="str">
        <f ca="1">input_7339!A$2</f>
        <v>7339010</v>
      </c>
      <c r="B130" s="6">
        <v>254</v>
      </c>
      <c r="C130" s="7" t="str">
        <f t="shared" ref="C130:C193" si="4">D130&amp;J130&amp;E130&amp;F130&amp;G130</f>
        <v>Premium4</v>
      </c>
      <c r="D130" s="7" t="str">
        <f t="shared" si="3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IFERROR(VLOOKUP(B130,input_7339!L:R,7,FALSE),VLOOKUP(tables_7339!C130,input_7339!A:H,8,FALSE))</f>
        <v>0</v>
      </c>
      <c r="P130" s="46">
        <f ca="1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input_7339!A$2</f>
        <v>7339010</v>
      </c>
      <c r="B131" s="6">
        <v>255</v>
      </c>
      <c r="C131" s="7" t="str">
        <f t="shared" si="4"/>
        <v>Premium5</v>
      </c>
      <c r="D131" s="7" t="str">
        <f t="shared" ref="D131:D194" si="5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IFERROR(VLOOKUP(B131,input_7339!L:R,7,FALSE),VLOOKUP(tables_7339!C131,input_7339!A:H,8,FALSE))</f>
        <v>1665361.44578</v>
      </c>
      <c r="P131" s="46">
        <f ca="1">O131/SUM(O:O)</f>
        <v>1.1445783132529055E-2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hidden="1" customHeight="1" x14ac:dyDescent="0.15">
      <c r="A132" s="2" t="str">
        <f ca="1">input_7339!A$2</f>
        <v>7339010</v>
      </c>
      <c r="B132" s="6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IFERROR(VLOOKUP(B132,input_7339!L:R,7,FALSE),VLOOKUP(tables_7339!C132,input_7339!A:H,8,FALSE))</f>
        <v>0</v>
      </c>
      <c r="P132" s="46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hidden="1" customHeight="1" x14ac:dyDescent="0.15">
      <c r="A133" s="2" t="str">
        <f ca="1">input_7339!A$2</f>
        <v>7339010</v>
      </c>
      <c r="B133" s="6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IFERROR(VLOOKUP(B133,input_7339!L:R,7,FALSE),VLOOKUP(tables_7339!C133,input_7339!A:H,8,FALSE))</f>
        <v>0</v>
      </c>
      <c r="P133" s="46">
        <f ca="1">O133/SUM(O:O)</f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input_7339!A$2</f>
        <v>7339010</v>
      </c>
      <c r="B134" s="6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IFERROR(VLOOKUP(B134,input_7339!L:R,7,FALSE),VLOOKUP(tables_7339!C134,input_7339!A:H,8,FALSE))</f>
        <v>1665361.44578</v>
      </c>
      <c r="P134" s="46">
        <f ca="1">O134/SUM(O:O)</f>
        <v>1.1445783132529055E-2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hidden="1" customHeight="1" x14ac:dyDescent="0.15">
      <c r="A135" s="2" t="str">
        <f ca="1">input_7339!A$2</f>
        <v>7339010</v>
      </c>
      <c r="B135" s="6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IFERROR(VLOOKUP(B135,input_7339!L:R,7,FALSE),VLOOKUP(tables_7339!C135,input_7339!A:H,8,FALSE))</f>
        <v>0</v>
      </c>
      <c r="P135" s="46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hidden="1" customHeight="1" x14ac:dyDescent="0.15">
      <c r="A136" s="2" t="str">
        <f ca="1">input_7339!A$2</f>
        <v>7339010</v>
      </c>
      <c r="B136" s="8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IFERROR(VLOOKUP(B136,input_7339!L:R,7,FALSE),VLOOKUP(tables_7339!C136,input_7339!A:H,8,FALSE))</f>
        <v>0</v>
      </c>
      <c r="P136" s="46">
        <f ca="1">O136/SUM(O:O)</f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input_7339!A$2</f>
        <v>7339010</v>
      </c>
      <c r="B137" s="8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IFERROR(VLOOKUP(B137,input_7339!L:R,7,FALSE),VLOOKUP(tables_7339!C137,input_7339!A:H,8,FALSE))</f>
        <v>1665361.44578</v>
      </c>
      <c r="P137" s="46">
        <f ca="1">O137/SUM(O:O)</f>
        <v>1.1445783132529055E-2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hidden="1" customHeight="1" x14ac:dyDescent="0.15">
      <c r="A138" s="2" t="str">
        <f ca="1">input_7339!A$2</f>
        <v>7339010</v>
      </c>
      <c r="B138" s="6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IFERROR(VLOOKUP(B138,input_7339!L:R,7,FALSE),VLOOKUP(tables_7339!C138,input_7339!A:H,8,FALSE))</f>
        <v>0</v>
      </c>
      <c r="P138" s="46">
        <f ca="1">O138/SUM(O:O)</f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input_7339!A$2</f>
        <v>7339010</v>
      </c>
      <c r="B139" s="6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IFERROR(VLOOKUP(B139,input_7339!L:R,7,FALSE),VLOOKUP(tables_7339!C139,input_7339!A:H,8,FALSE))</f>
        <v>97000</v>
      </c>
      <c r="P139" s="46">
        <f ca="1">O139/SUM(O:O)</f>
        <v>6.6666666666785862E-4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hidden="1" customHeight="1" x14ac:dyDescent="0.15">
      <c r="A140" s="2" t="str">
        <f ca="1">input_7339!A$2</f>
        <v>7339010</v>
      </c>
      <c r="B140" s="6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IFERROR(VLOOKUP(B140,input_7339!L:R,7,FALSE),VLOOKUP(tables_7339!C140,input_7339!A:H,8,FALSE))</f>
        <v>0</v>
      </c>
      <c r="P140" s="46">
        <f ca="1">O140/SUM(O:O)</f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input_7339!A$2</f>
        <v>7339010</v>
      </c>
      <c r="B141" s="6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IFERROR(VLOOKUP(B141,input_7339!L:R,7,FALSE),VLOOKUP(tables_7339!C141,input_7339!A:H,8,FALSE))</f>
        <v>97000</v>
      </c>
      <c r="P141" s="46">
        <f ca="1">O141/SUM(O:O)</f>
        <v>6.6666666666785862E-4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hidden="1" customHeight="1" x14ac:dyDescent="0.15">
      <c r="A142" s="2" t="str">
        <f ca="1">input_7339!A$2</f>
        <v>7339010</v>
      </c>
      <c r="B142" s="6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IFERROR(VLOOKUP(B142,input_7339!L:R,7,FALSE),VLOOKUP(tables_7339!C142,input_7339!A:H,8,FALSE))</f>
        <v>0</v>
      </c>
      <c r="P142" s="46">
        <f ca="1">O142/SUM(O:O)</f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input_7339!A$2</f>
        <v>7339010</v>
      </c>
      <c r="B143" s="6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IFERROR(VLOOKUP(B143,input_7339!L:R,7,FALSE),VLOOKUP(tables_7339!C143,input_7339!A:H,8,FALSE))</f>
        <v>97000</v>
      </c>
      <c r="P143" s="46">
        <f ca="1">O143/SUM(O:O)</f>
        <v>6.6666666666785862E-4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hidden="1" customHeight="1" x14ac:dyDescent="0.15">
      <c r="A144" s="2" t="str">
        <f ca="1">input_7339!A$2</f>
        <v>7339010</v>
      </c>
      <c r="B144" s="6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IFERROR(VLOOKUP(B144,input_7339!L:R,7,FALSE),VLOOKUP(tables_7339!C144,input_7339!A:H,8,FALSE))</f>
        <v>0</v>
      </c>
      <c r="P144" s="46">
        <f ca="1">O144/SUM(O:O)</f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input_7339!A$2</f>
        <v>7339010</v>
      </c>
      <c r="B145" s="6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IFERROR(VLOOKUP(B145,input_7339!L:R,7,FALSE),VLOOKUP(tables_7339!C145,input_7339!A:H,8,FALSE))</f>
        <v>97000</v>
      </c>
      <c r="P145" s="46">
        <f ca="1">O145/SUM(O:O)</f>
        <v>6.6666666666785862E-4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hidden="1" customHeight="1" x14ac:dyDescent="0.15">
      <c r="A146" s="2" t="str">
        <f ca="1">input_7339!A$2</f>
        <v>7339010</v>
      </c>
      <c r="B146" s="6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IFERROR(VLOOKUP(B146,input_7339!L:R,7,FALSE),VLOOKUP(tables_7339!C146,input_7339!A:H,8,FALSE))</f>
        <v>0</v>
      </c>
      <c r="P146" s="46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hidden="1" customHeight="1" x14ac:dyDescent="0.15">
      <c r="A147" s="2" t="str">
        <f ca="1">input_7339!A$2</f>
        <v>7339010</v>
      </c>
      <c r="B147" s="6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IFERROR(VLOOKUP(B147,input_7339!L:R,7,FALSE),VLOOKUP(tables_7339!C147,input_7339!A:H,8,FALSE))</f>
        <v>0</v>
      </c>
      <c r="P147" s="46">
        <f ca="1">O147/SUM(O:O)</f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input_7339!A$2</f>
        <v>7339010</v>
      </c>
      <c r="B148" s="6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IFERROR(VLOOKUP(B148,input_7339!L:R,7,FALSE),VLOOKUP(tables_7339!C148,input_7339!A:H,8,FALSE))</f>
        <v>1665361.44578</v>
      </c>
      <c r="P148" s="46">
        <f ca="1">O148/SUM(O:O)</f>
        <v>1.1445783132529055E-2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hidden="1" customHeight="1" x14ac:dyDescent="0.15">
      <c r="A149" s="2" t="str">
        <f ca="1">input_7339!A$2</f>
        <v>7339010</v>
      </c>
      <c r="B149" s="6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IFERROR(VLOOKUP(B149,input_7339!L:R,7,FALSE),VLOOKUP(tables_7339!C149,input_7339!A:H,8,FALSE))</f>
        <v>0</v>
      </c>
      <c r="P149" s="46">
        <f ca="1">O149/SUM(O:O)</f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input_7339!A$2</f>
        <v>7339010</v>
      </c>
      <c r="B150" s="6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IFERROR(VLOOKUP(B150,input_7339!L:R,7,FALSE),VLOOKUP(tables_7339!C150,input_7339!A:H,8,FALSE))</f>
        <v>97000</v>
      </c>
      <c r="P150" s="46">
        <f ca="1">O150/SUM(O:O)</f>
        <v>6.6666666666785862E-4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hidden="1" customHeight="1" x14ac:dyDescent="0.15">
      <c r="A151" s="2" t="str">
        <f ca="1">input_7339!A$2</f>
        <v>7339010</v>
      </c>
      <c r="B151" s="6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IFERROR(VLOOKUP(B151,input_7339!L:R,7,FALSE),VLOOKUP(tables_7339!C151,input_7339!A:H,8,FALSE))</f>
        <v>0</v>
      </c>
      <c r="P151" s="46">
        <f ca="1">O151/SUM(O:O)</f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input_7339!A$2</f>
        <v>7339010</v>
      </c>
      <c r="B152" s="6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IFERROR(VLOOKUP(B152,input_7339!L:R,7,FALSE),VLOOKUP(tables_7339!C152,input_7339!A:H,8,FALSE))</f>
        <v>97000</v>
      </c>
      <c r="P152" s="46">
        <f ca="1">O152/SUM(O:O)</f>
        <v>6.6666666666785862E-4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hidden="1" customHeight="1" x14ac:dyDescent="0.15">
      <c r="A153" s="2" t="str">
        <f ca="1">input_7339!A$2</f>
        <v>7339010</v>
      </c>
      <c r="B153" s="6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IFERROR(VLOOKUP(B153,input_7339!L:R,7,FALSE),VLOOKUP(tables_7339!C153,input_7339!A:H,8,FALSE))</f>
        <v>0</v>
      </c>
      <c r="P153" s="46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hidden="1" customHeight="1" x14ac:dyDescent="0.15">
      <c r="A154" s="2" t="str">
        <f ca="1">input_7339!A$2</f>
        <v>7339010</v>
      </c>
      <c r="B154" s="6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IFERROR(VLOOKUP(B154,input_7339!L:R,7,FALSE),VLOOKUP(tables_7339!C154,input_7339!A:H,8,FALSE))</f>
        <v>0</v>
      </c>
      <c r="P154" s="46">
        <f ca="1">O154/SUM(O:O)</f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input_7339!A$2</f>
        <v>7339010</v>
      </c>
      <c r="B155" s="6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IFERROR(VLOOKUP(B155,input_7339!L:R,7,FALSE),VLOOKUP(tables_7339!C155,input_7339!A:H,8,FALSE))</f>
        <v>1665361.44578</v>
      </c>
      <c r="P155" s="46">
        <f ca="1">O155/SUM(O:O)</f>
        <v>1.1445783132529055E-2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hidden="1" customHeight="1" x14ac:dyDescent="0.15">
      <c r="A156" s="2" t="str">
        <f ca="1">input_7339!A$2</f>
        <v>7339010</v>
      </c>
      <c r="B156" s="6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IFERROR(VLOOKUP(B156,input_7339!L:R,7,FALSE),VLOOKUP(tables_7339!C156,input_7339!A:H,8,FALSE))</f>
        <v>0</v>
      </c>
      <c r="P156" s="46">
        <f ca="1">O156/SUM(O:O)</f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input_7339!A$2</f>
        <v>7339010</v>
      </c>
      <c r="B157" s="6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IFERROR(VLOOKUP(B157,input_7339!L:R,7,FALSE),VLOOKUP(tables_7339!C157,input_7339!A:H,8,FALSE))</f>
        <v>97000</v>
      </c>
      <c r="P157" s="46">
        <f ca="1">O157/SUM(O:O)</f>
        <v>6.6666666666785862E-4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hidden="1" customHeight="1" x14ac:dyDescent="0.15">
      <c r="A158" s="2" t="str">
        <f ca="1">input_7339!A$2</f>
        <v>7339010</v>
      </c>
      <c r="B158" s="6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IFERROR(VLOOKUP(B158,input_7339!L:R,7,FALSE),VLOOKUP(tables_7339!C158,input_7339!A:H,8,FALSE))</f>
        <v>0</v>
      </c>
      <c r="P158" s="46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hidden="1" customHeight="1" x14ac:dyDescent="0.15">
      <c r="A159" s="2" t="str">
        <f ca="1">input_7339!A$2</f>
        <v>7339010</v>
      </c>
      <c r="B159" s="6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IFERROR(VLOOKUP(B159,input_7339!L:R,7,FALSE),VLOOKUP(tables_7339!C159,input_7339!A:H,8,FALSE))</f>
        <v>0</v>
      </c>
      <c r="P159" s="46">
        <f ca="1">O159/SUM(O:O)</f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input_7339!A$2</f>
        <v>7339010</v>
      </c>
      <c r="B160" s="6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IFERROR(VLOOKUP(B160,input_7339!L:R,7,FALSE),VLOOKUP(tables_7339!C160,input_7339!A:H,8,FALSE))</f>
        <v>1665361.44578</v>
      </c>
      <c r="P160" s="46">
        <f ca="1">O160/SUM(O:O)</f>
        <v>1.1445783132529055E-2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hidden="1" customHeight="1" x14ac:dyDescent="0.15">
      <c r="A161" s="2" t="str">
        <f ca="1">input_7339!A$2</f>
        <v>7339010</v>
      </c>
      <c r="B161" s="6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IFERROR(VLOOKUP(B161,input_7339!L:R,7,FALSE),VLOOKUP(tables_7339!C161,input_7339!A:H,8,FALSE))</f>
        <v>0</v>
      </c>
      <c r="P161" s="46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hidden="1" customHeight="1" x14ac:dyDescent="0.15">
      <c r="A162" s="2" t="str">
        <f ca="1">input_7339!A$2</f>
        <v>7339010</v>
      </c>
      <c r="B162" s="6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IFERROR(VLOOKUP(B162,input_7339!L:R,7,FALSE),VLOOKUP(tables_7339!C162,input_7339!A:H,8,FALSE))</f>
        <v>0</v>
      </c>
      <c r="P162" s="46">
        <f ca="1">O162/SUM(O:O)</f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input_7339!A$2</f>
        <v>7339010</v>
      </c>
      <c r="B163" s="6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IFERROR(VLOOKUP(B163,input_7339!L:R,7,FALSE),VLOOKUP(tables_7339!C163,input_7339!A:H,8,FALSE))</f>
        <v>1665361.44578</v>
      </c>
      <c r="P163" s="46">
        <f ca="1">O163/SUM(O:O)</f>
        <v>1.1445783132529055E-2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hidden="1" customHeight="1" x14ac:dyDescent="0.15">
      <c r="A164" s="2" t="str">
        <f ca="1">input_7339!A$2</f>
        <v>7339010</v>
      </c>
      <c r="B164" s="6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IFERROR(VLOOKUP(B164,input_7339!L:R,7,FALSE),VLOOKUP(tables_7339!C164,input_7339!A:H,8,FALSE))</f>
        <v>0</v>
      </c>
      <c r="P164" s="46">
        <f ca="1">O164/SUM(O:O)</f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input_7339!A$2</f>
        <v>7339010</v>
      </c>
      <c r="B165" s="6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IFERROR(VLOOKUP(B165,input_7339!L:R,7,FALSE),VLOOKUP(tables_7339!C165,input_7339!A:H,8,FALSE))</f>
        <v>97000</v>
      </c>
      <c r="P165" s="46">
        <f ca="1">O165/SUM(O:O)</f>
        <v>6.6666666666785862E-4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hidden="1" customHeight="1" x14ac:dyDescent="0.15">
      <c r="A166" s="2" t="str">
        <f ca="1">input_7339!A$2</f>
        <v>7339010</v>
      </c>
      <c r="B166" s="6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IFERROR(VLOOKUP(B166,input_7339!L:R,7,FALSE),VLOOKUP(tables_7339!C166,input_7339!A:H,8,FALSE))</f>
        <v>0</v>
      </c>
      <c r="P166" s="46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hidden="1" customHeight="1" x14ac:dyDescent="0.15">
      <c r="A167" s="2" t="str">
        <f ca="1">input_7339!A$2</f>
        <v>7339010</v>
      </c>
      <c r="B167" s="6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IFERROR(VLOOKUP(B167,input_7339!L:R,7,FALSE),VLOOKUP(tables_7339!C167,input_7339!A:H,8,FALSE))</f>
        <v>0</v>
      </c>
      <c r="P167" s="46">
        <f ca="1">O167/SUM(O:O)</f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input_7339!A$2</f>
        <v>7339010</v>
      </c>
      <c r="B168" s="6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IFERROR(VLOOKUP(B168,input_7339!L:R,7,FALSE),VLOOKUP(tables_7339!C168,input_7339!A:H,8,FALSE))</f>
        <v>1665361.44578</v>
      </c>
      <c r="P168" s="46">
        <f ca="1">O168/SUM(O:O)</f>
        <v>1.1445783132529055E-2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hidden="1" customHeight="1" x14ac:dyDescent="0.15">
      <c r="A169" s="2" t="str">
        <f ca="1">input_7339!A$2</f>
        <v>7339010</v>
      </c>
      <c r="B169" s="6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IFERROR(VLOOKUP(B169,input_7339!L:R,7,FALSE),VLOOKUP(tables_7339!C169,input_7339!A:H,8,FALSE))</f>
        <v>0</v>
      </c>
      <c r="P169" s="46">
        <f ca="1">O169/SUM(O:O)</f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input_7339!A$2</f>
        <v>7339010</v>
      </c>
      <c r="B170" s="6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IFERROR(VLOOKUP(B170,input_7339!L:R,7,FALSE),VLOOKUP(tables_7339!C170,input_7339!A:H,8,FALSE))</f>
        <v>97000</v>
      </c>
      <c r="P170" s="46">
        <f ca="1">O170/SUM(O:O)</f>
        <v>6.6666666666785862E-4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hidden="1" customHeight="1" x14ac:dyDescent="0.15">
      <c r="A171" s="2" t="str">
        <f ca="1">input_7339!A$2</f>
        <v>7339010</v>
      </c>
      <c r="B171" s="6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IFERROR(VLOOKUP(B171,input_7339!L:R,7,FALSE),VLOOKUP(tables_7339!C171,input_7339!A:H,8,FALSE))</f>
        <v>0</v>
      </c>
      <c r="P171" s="46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hidden="1" customHeight="1" x14ac:dyDescent="0.15">
      <c r="A172" s="2" t="str">
        <f ca="1">input_7339!A$2</f>
        <v>7339010</v>
      </c>
      <c r="B172" s="6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IFERROR(VLOOKUP(B172,input_7339!L:R,7,FALSE),VLOOKUP(tables_7339!C172,input_7339!A:H,8,FALSE))</f>
        <v>0</v>
      </c>
      <c r="P172" s="46">
        <f ca="1">O172/SUM(O:O)</f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input_7339!A$2</f>
        <v>7339010</v>
      </c>
      <c r="B173" s="6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IFERROR(VLOOKUP(B173,input_7339!L:R,7,FALSE),VLOOKUP(tables_7339!C173,input_7339!A:H,8,FALSE))</f>
        <v>1665361.44578</v>
      </c>
      <c r="P173" s="46">
        <f ca="1">O173/SUM(O:O)</f>
        <v>1.1445783132529055E-2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hidden="1" customHeight="1" x14ac:dyDescent="0.15">
      <c r="A174" s="2" t="str">
        <f ca="1">input_7339!A$2</f>
        <v>7339010</v>
      </c>
      <c r="B174" s="6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IFERROR(VLOOKUP(B174,input_7339!L:R,7,FALSE),VLOOKUP(tables_7339!C174,input_7339!A:H,8,FALSE))</f>
        <v>0</v>
      </c>
      <c r="P174" s="46">
        <f ca="1">O174/SUM(O:O)</f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input_7339!A$2</f>
        <v>7339010</v>
      </c>
      <c r="B175" s="6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IFERROR(VLOOKUP(B175,input_7339!L:R,7,FALSE),VLOOKUP(tables_7339!C175,input_7339!A:H,8,FALSE))</f>
        <v>97000</v>
      </c>
      <c r="P175" s="46">
        <f ca="1">O175/SUM(O:O)</f>
        <v>6.6666666666785862E-4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hidden="1" customHeight="1" x14ac:dyDescent="0.15">
      <c r="A176" s="2" t="str">
        <f ca="1">input_7339!A$2</f>
        <v>7339010</v>
      </c>
      <c r="B176" s="6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IFERROR(VLOOKUP(B176,input_7339!L:R,7,FALSE),VLOOKUP(tables_7339!C176,input_7339!A:H,8,FALSE))</f>
        <v>0</v>
      </c>
      <c r="P176" s="46">
        <f ca="1">O176/SUM(O:O)</f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input_7339!A$2</f>
        <v>7339010</v>
      </c>
      <c r="B177" s="6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IFERROR(VLOOKUP(B177,input_7339!L:R,7,FALSE),VLOOKUP(tables_7339!C177,input_7339!A:H,8,FALSE))</f>
        <v>97000</v>
      </c>
      <c r="P177" s="46">
        <f ca="1">O177/SUM(O:O)</f>
        <v>6.6666666666785862E-4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hidden="1" customHeight="1" x14ac:dyDescent="0.15">
      <c r="A178" s="2" t="str">
        <f ca="1">input_7339!A$2</f>
        <v>7339010</v>
      </c>
      <c r="B178" s="6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IFERROR(VLOOKUP(B178,input_7339!L:R,7,FALSE),VLOOKUP(tables_7339!C178,input_7339!A:H,8,FALSE))</f>
        <v>0</v>
      </c>
      <c r="P178" s="46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hidden="1" customHeight="1" x14ac:dyDescent="0.15">
      <c r="A179" s="2" t="str">
        <f ca="1">input_7339!A$2</f>
        <v>7339010</v>
      </c>
      <c r="B179" s="6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IFERROR(VLOOKUP(B179,input_7339!L:R,7,FALSE),VLOOKUP(tables_7339!C179,input_7339!A:H,8,FALSE))</f>
        <v>0</v>
      </c>
      <c r="P179" s="46">
        <f ca="1">O179/SUM(O:O)</f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input_7339!A$2</f>
        <v>7339010</v>
      </c>
      <c r="B180" s="6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IFERROR(VLOOKUP(B180,input_7339!L:R,7,FALSE),VLOOKUP(tables_7339!C180,input_7339!A:H,8,FALSE))</f>
        <v>1665361.44578</v>
      </c>
      <c r="P180" s="46">
        <f ca="1">O180/SUM(O:O)</f>
        <v>1.1445783132529055E-2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hidden="1" customHeight="1" x14ac:dyDescent="0.15">
      <c r="A181" s="2" t="str">
        <f ca="1">input_7339!A$2</f>
        <v>7339010</v>
      </c>
      <c r="B181" s="6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IFERROR(VLOOKUP(B181,input_7339!L:R,7,FALSE),VLOOKUP(tables_7339!C181,input_7339!A:H,8,FALSE))</f>
        <v>0</v>
      </c>
      <c r="P181" s="46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hidden="1" customHeight="1" x14ac:dyDescent="0.15">
      <c r="A182" s="2" t="str">
        <f ca="1">input_7339!A$2</f>
        <v>7339010</v>
      </c>
      <c r="B182" s="6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IFERROR(VLOOKUP(B182,input_7339!L:R,7,FALSE),VLOOKUP(tables_7339!C182,input_7339!A:H,8,FALSE))</f>
        <v>0</v>
      </c>
      <c r="P182" s="46">
        <f ca="1">O182/SUM(O:O)</f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input_7339!A$2</f>
        <v>7339010</v>
      </c>
      <c r="B183" s="6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IFERROR(VLOOKUP(B183,input_7339!L:R,7,FALSE),VLOOKUP(tables_7339!C183,input_7339!A:H,8,FALSE))</f>
        <v>1665361.44578</v>
      </c>
      <c r="P183" s="46">
        <f ca="1">O183/SUM(O:O)</f>
        <v>1.1445783132529055E-2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hidden="1" customHeight="1" x14ac:dyDescent="0.15">
      <c r="A184" s="2" t="str">
        <f ca="1">input_7339!A$2</f>
        <v>7339010</v>
      </c>
      <c r="B184" s="6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IFERROR(VLOOKUP(B184,input_7339!L:R,7,FALSE),VLOOKUP(tables_7339!C184,input_7339!A:H,8,FALSE))</f>
        <v>0</v>
      </c>
      <c r="P184" s="46">
        <f ca="1">O184/SUM(O:O)</f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input_7339!A$2</f>
        <v>7339010</v>
      </c>
      <c r="B185" s="6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IFERROR(VLOOKUP(B185,input_7339!L:R,7,FALSE),VLOOKUP(tables_7339!C185,input_7339!A:H,8,FALSE))</f>
        <v>97000</v>
      </c>
      <c r="P185" s="46">
        <f ca="1">O185/SUM(O:O)</f>
        <v>6.6666666666785862E-4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hidden="1" customHeight="1" x14ac:dyDescent="0.15">
      <c r="A186" s="2" t="str">
        <f ca="1">input_7339!A$2</f>
        <v>7339010</v>
      </c>
      <c r="B186" s="8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IFERROR(VLOOKUP(B186,input_7339!L:R,7,FALSE),VLOOKUP(tables_7339!C186,input_7339!A:H,8,FALSE))</f>
        <v>0</v>
      </c>
      <c r="P186" s="46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hidden="1" customHeight="1" x14ac:dyDescent="0.15">
      <c r="A187" s="2" t="str">
        <f ca="1">input_7339!A$2</f>
        <v>7339010</v>
      </c>
      <c r="B187" s="8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IFERROR(VLOOKUP(B187,input_7339!L:R,7,FALSE),VLOOKUP(tables_7339!C187,input_7339!A:H,8,FALSE))</f>
        <v>0</v>
      </c>
      <c r="P187" s="46">
        <f ca="1">O187/SUM(O:O)</f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input_7339!A$2</f>
        <v>7339010</v>
      </c>
      <c r="B188" s="8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IFERROR(VLOOKUP(B188,input_7339!L:R,7,FALSE),VLOOKUP(tables_7339!C188,input_7339!A:H,8,FALSE))</f>
        <v>1665361.44578</v>
      </c>
      <c r="P188" s="46">
        <f ca="1">O188/SUM(O:O)</f>
        <v>1.1445783132529055E-2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hidden="1" customHeight="1" x14ac:dyDescent="0.15">
      <c r="A189" s="2" t="str">
        <f ca="1">input_7339!A$2</f>
        <v>7339010</v>
      </c>
      <c r="B189" s="8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IFERROR(VLOOKUP(B189,input_7339!L:R,7,FALSE),VLOOKUP(tables_7339!C189,input_7339!A:H,8,FALSE))</f>
        <v>0</v>
      </c>
      <c r="P189" s="46">
        <f ca="1">O189/SUM(O:O)</f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input_7339!A$2</f>
        <v>7339010</v>
      </c>
      <c r="B190" s="6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IFERROR(VLOOKUP(B190,input_7339!L:R,7,FALSE),VLOOKUP(tables_7339!C190,input_7339!A:H,8,FALSE))</f>
        <v>97000</v>
      </c>
      <c r="P190" s="46">
        <f ca="1">O190/SUM(O:O)</f>
        <v>6.6666666666785862E-4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hidden="1" customHeight="1" x14ac:dyDescent="0.15">
      <c r="A191" s="2" t="str">
        <f ca="1">input_7339!A$2</f>
        <v>7339010</v>
      </c>
      <c r="B191" s="6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IFERROR(VLOOKUP(B191,input_7339!L:R,7,FALSE),VLOOKUP(tables_7339!C191,input_7339!A:H,8,FALSE))</f>
        <v>0</v>
      </c>
      <c r="P191" s="46">
        <f ca="1">O191/SUM(O:O)</f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input_7339!A$2</f>
        <v>7339010</v>
      </c>
      <c r="B192" s="6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IFERROR(VLOOKUP(B192,input_7339!L:R,7,FALSE),VLOOKUP(tables_7339!C192,input_7339!A:H,8,FALSE))</f>
        <v>97000</v>
      </c>
      <c r="P192" s="46">
        <f ca="1">O192/SUM(O:O)</f>
        <v>6.6666666666785862E-4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hidden="1" customHeight="1" x14ac:dyDescent="0.15">
      <c r="A193" s="2" t="str">
        <f ca="1">input_7339!A$2</f>
        <v>7339010</v>
      </c>
      <c r="B193" s="6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IFERROR(VLOOKUP(B193,input_7339!L:R,7,FALSE),VLOOKUP(tables_7339!C193,input_7339!A:H,8,FALSE))</f>
        <v>0</v>
      </c>
      <c r="P193" s="46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hidden="1" customHeight="1" x14ac:dyDescent="0.15">
      <c r="A194" s="2" t="str">
        <f ca="1">input_7339!A$2</f>
        <v>7339010</v>
      </c>
      <c r="B194" s="6">
        <v>470</v>
      </c>
      <c r="C194" s="7" t="str">
        <f t="shared" ref="C194:C257" si="6">D194&amp;J194&amp;E194&amp;F194&amp;G194</f>
        <v>Premium4</v>
      </c>
      <c r="D194" s="7" t="str">
        <f t="shared" si="5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IFERROR(VLOOKUP(B194,input_7339!L:R,7,FALSE),VLOOKUP(tables_7339!C194,input_7339!A:H,8,FALSE))</f>
        <v>0</v>
      </c>
      <c r="P194" s="46">
        <f ca="1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input_7339!A$2</f>
        <v>7339010</v>
      </c>
      <c r="B195" s="6">
        <v>471</v>
      </c>
      <c r="C195" s="7" t="str">
        <f t="shared" si="6"/>
        <v>Premium5</v>
      </c>
      <c r="D195" s="7" t="str">
        <f t="shared" ref="D195:D258" si="7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IFERROR(VLOOKUP(B195,input_7339!L:R,7,FALSE),VLOOKUP(tables_7339!C195,input_7339!A:H,8,FALSE))</f>
        <v>1665361.44578</v>
      </c>
      <c r="P195" s="46">
        <f ca="1">O195/SUM(O:O)</f>
        <v>1.1445783132529055E-2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hidden="1" customHeight="1" x14ac:dyDescent="0.15">
      <c r="A196" s="2" t="str">
        <f ca="1">input_7339!A$2</f>
        <v>7339010</v>
      </c>
      <c r="B196" s="6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IFERROR(VLOOKUP(B196,input_7339!L:R,7,FALSE),VLOOKUP(tables_7339!C196,input_7339!A:H,8,FALSE))</f>
        <v>0</v>
      </c>
      <c r="P196" s="46">
        <f ca="1">O196/SUM(O:O)</f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input_7339!A$2</f>
        <v>7339010</v>
      </c>
      <c r="B197" s="6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IFERROR(VLOOKUP(B197,input_7339!L:R,7,FALSE),VLOOKUP(tables_7339!C197,input_7339!A:H,8,FALSE))</f>
        <v>97000</v>
      </c>
      <c r="P197" s="46">
        <f ca="1">O197/SUM(O:O)</f>
        <v>6.6666666666785862E-4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hidden="1" customHeight="1" x14ac:dyDescent="0.15">
      <c r="A198" s="2" t="str">
        <f ca="1">input_7339!A$2</f>
        <v>7339010</v>
      </c>
      <c r="B198" s="6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IFERROR(VLOOKUP(B198,input_7339!L:R,7,FALSE),VLOOKUP(tables_7339!C198,input_7339!A:H,8,FALSE))</f>
        <v>0</v>
      </c>
      <c r="P198" s="46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hidden="1" customHeight="1" x14ac:dyDescent="0.15">
      <c r="A199" s="2" t="str">
        <f ca="1">input_7339!A$2</f>
        <v>7339010</v>
      </c>
      <c r="B199" s="6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IFERROR(VLOOKUP(B199,input_7339!L:R,7,FALSE),VLOOKUP(tables_7339!C199,input_7339!A:H,8,FALSE))</f>
        <v>0</v>
      </c>
      <c r="P199" s="46">
        <f ca="1">O199/SUM(O:O)</f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input_7339!A$2</f>
        <v>7339010</v>
      </c>
      <c r="B200" s="6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IFERROR(VLOOKUP(B200,input_7339!L:R,7,FALSE),VLOOKUP(tables_7339!C200,input_7339!A:H,8,FALSE))</f>
        <v>1665361.44578</v>
      </c>
      <c r="P200" s="46">
        <f ca="1">O200/SUM(O:O)</f>
        <v>1.1445783132529055E-2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hidden="1" customHeight="1" x14ac:dyDescent="0.15">
      <c r="A201" s="2" t="str">
        <f ca="1">input_7339!A$2</f>
        <v>7339010</v>
      </c>
      <c r="B201" s="6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IFERROR(VLOOKUP(B201,input_7339!L:R,7,FALSE),VLOOKUP(tables_7339!C201,input_7339!A:H,8,FALSE))</f>
        <v>0</v>
      </c>
      <c r="P201" s="46">
        <f ca="1">O201/SUM(O:O)</f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input_7339!A$2</f>
        <v>7339010</v>
      </c>
      <c r="B202" s="6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IFERROR(VLOOKUP(B202,input_7339!L:R,7,FALSE),VLOOKUP(tables_7339!C202,input_7339!A:H,8,FALSE))</f>
        <v>97000</v>
      </c>
      <c r="P202" s="46">
        <f ca="1">O202/SUM(O:O)</f>
        <v>6.6666666666785862E-4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hidden="1" customHeight="1" x14ac:dyDescent="0.15">
      <c r="A203" s="2" t="str">
        <f ca="1">input_7339!A$2</f>
        <v>7339010</v>
      </c>
      <c r="B203" s="6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IFERROR(VLOOKUP(B203,input_7339!L:R,7,FALSE),VLOOKUP(tables_7339!C203,input_7339!A:H,8,FALSE))</f>
        <v>0</v>
      </c>
      <c r="P203" s="46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hidden="1" customHeight="1" x14ac:dyDescent="0.15">
      <c r="A204" s="2" t="str">
        <f ca="1">input_7339!A$2</f>
        <v>7339010</v>
      </c>
      <c r="B204" s="6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IFERROR(VLOOKUP(B204,input_7339!L:R,7,FALSE),VLOOKUP(tables_7339!C204,input_7339!A:H,8,FALSE))</f>
        <v>0</v>
      </c>
      <c r="P204" s="46">
        <f ca="1">O204/SUM(O:O)</f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input_7339!A$2</f>
        <v>7339010</v>
      </c>
      <c r="B205" s="6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IFERROR(VLOOKUP(B205,input_7339!L:R,7,FALSE),VLOOKUP(tables_7339!C205,input_7339!A:H,8,FALSE))</f>
        <v>1665361.44578</v>
      </c>
      <c r="P205" s="46">
        <f ca="1">O205/SUM(O:O)</f>
        <v>1.1445783132529055E-2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hidden="1" customHeight="1" x14ac:dyDescent="0.15">
      <c r="A206" s="2" t="str">
        <f ca="1">input_7339!A$2</f>
        <v>7339010</v>
      </c>
      <c r="B206" s="6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IFERROR(VLOOKUP(B206,input_7339!L:R,7,FALSE),VLOOKUP(tables_7339!C206,input_7339!A:H,8,FALSE))</f>
        <v>0</v>
      </c>
      <c r="P206" s="46">
        <f ca="1">O206/SUM(O:O)</f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input_7339!A$2</f>
        <v>7339010</v>
      </c>
      <c r="B207" s="6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IFERROR(VLOOKUP(B207,input_7339!L:R,7,FALSE),VLOOKUP(tables_7339!C207,input_7339!A:H,8,FALSE))</f>
        <v>97000</v>
      </c>
      <c r="P207" s="46">
        <f ca="1">O207/SUM(O:O)</f>
        <v>6.6666666666785862E-4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hidden="1" customHeight="1" x14ac:dyDescent="0.15">
      <c r="A208" s="2" t="str">
        <f ca="1">input_7339!A$2</f>
        <v>7339010</v>
      </c>
      <c r="B208" s="6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IFERROR(VLOOKUP(B208,input_7339!L:R,7,FALSE),VLOOKUP(tables_7339!C208,input_7339!A:H,8,FALSE))</f>
        <v>0</v>
      </c>
      <c r="P208" s="46">
        <f ca="1">O208/SUM(O:O)</f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input_7339!A$2</f>
        <v>7339010</v>
      </c>
      <c r="B209" s="6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IFERROR(VLOOKUP(B209,input_7339!L:R,7,FALSE),VLOOKUP(tables_7339!C209,input_7339!A:H,8,FALSE))</f>
        <v>97000</v>
      </c>
      <c r="P209" s="46">
        <f ca="1">O209/SUM(O:O)</f>
        <v>6.6666666666785862E-4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hidden="1" customHeight="1" x14ac:dyDescent="0.15">
      <c r="A210" s="2" t="str">
        <f ca="1">input_7339!A$2</f>
        <v>7339010</v>
      </c>
      <c r="B210" s="6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IFERROR(VLOOKUP(B210,input_7339!L:R,7,FALSE),VLOOKUP(tables_7339!C210,input_7339!A:H,8,FALSE))</f>
        <v>0</v>
      </c>
      <c r="P210" s="46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hidden="1" customHeight="1" x14ac:dyDescent="0.15">
      <c r="A211" s="2" t="str">
        <f ca="1">input_7339!A$2</f>
        <v>7339010</v>
      </c>
      <c r="B211" s="6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IFERROR(VLOOKUP(B211,input_7339!L:R,7,FALSE),VLOOKUP(tables_7339!C211,input_7339!A:H,8,FALSE))</f>
        <v>0</v>
      </c>
      <c r="P211" s="46">
        <f ca="1">O211/SUM(O:O)</f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input_7339!A$2</f>
        <v>7339010</v>
      </c>
      <c r="B212" s="6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IFERROR(VLOOKUP(B212,input_7339!L:R,7,FALSE),VLOOKUP(tables_7339!C212,input_7339!A:H,8,FALSE))</f>
        <v>1665361.44578</v>
      </c>
      <c r="P212" s="46">
        <f ca="1">O212/SUM(O:O)</f>
        <v>1.1445783132529055E-2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hidden="1" customHeight="1" x14ac:dyDescent="0.15">
      <c r="A213" s="2" t="str">
        <f ca="1">input_7339!A$2</f>
        <v>7339010</v>
      </c>
      <c r="B213" s="6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IFERROR(VLOOKUP(B213,input_7339!L:R,7,FALSE),VLOOKUP(tables_7339!C213,input_7339!A:H,8,FALSE))</f>
        <v>0</v>
      </c>
      <c r="P213" s="46">
        <f ca="1">O213/SUM(O:O)</f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input_7339!A$2</f>
        <v>7339010</v>
      </c>
      <c r="B214" s="6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IFERROR(VLOOKUP(B214,input_7339!L:R,7,FALSE),VLOOKUP(tables_7339!C214,input_7339!A:H,8,FALSE))</f>
        <v>97000</v>
      </c>
      <c r="P214" s="46">
        <f ca="1">O214/SUM(O:O)</f>
        <v>6.6666666666785862E-4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input_7339!A$2</f>
        <v>7339010</v>
      </c>
      <c r="B215" s="6">
        <v>560</v>
      </c>
      <c r="C215" s="7" t="str">
        <f t="shared" si="6"/>
        <v>premium5R3less</v>
      </c>
      <c r="D215" s="7" t="str">
        <f t="shared" si="7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IFERROR(VLOOKUP(B215,input_7339!L:R,7,FALSE),VLOOKUP(tables_7339!C215,input_7339!A:H,8,FALSE))</f>
        <v>1665361.44578</v>
      </c>
      <c r="P215" s="46">
        <f ca="1">O215/SUM(O:O)</f>
        <v>1.1445783132529055E-2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input_7339!A$2</f>
        <v>7339010</v>
      </c>
      <c r="B216" s="6">
        <v>561</v>
      </c>
      <c r="C216" s="7" t="str">
        <f t="shared" si="6"/>
        <v>premium5R3less</v>
      </c>
      <c r="D216" s="7" t="str">
        <f t="shared" si="7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IFERROR(VLOOKUP(B216,input_7339!L:R,7,FALSE),VLOOKUP(tables_7339!C216,input_7339!A:H,8,FALSE))</f>
        <v>1665361.44578</v>
      </c>
      <c r="P216" s="46">
        <f ca="1">O216/SUM(O:O)</f>
        <v>1.1445783132529055E-2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input_7339!A$2</f>
        <v>7339010</v>
      </c>
      <c r="B217" s="6">
        <v>562</v>
      </c>
      <c r="C217" s="7" t="str">
        <f t="shared" si="6"/>
        <v>premium5R3less</v>
      </c>
      <c r="D217" s="7" t="str">
        <f t="shared" si="7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IFERROR(VLOOKUP(B217,input_7339!L:R,7,FALSE),VLOOKUP(tables_7339!C217,input_7339!A:H,8,FALSE))</f>
        <v>1665361.44578</v>
      </c>
      <c r="P217" s="46">
        <f ca="1">O217/SUM(O:O)</f>
        <v>1.1445783132529055E-2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input_7339!A$2</f>
        <v>7339010</v>
      </c>
      <c r="B218" s="6">
        <v>563</v>
      </c>
      <c r="C218" s="7" t="str">
        <f t="shared" si="6"/>
        <v>premium5R3less</v>
      </c>
      <c r="D218" s="7" t="str">
        <f t="shared" si="7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IFERROR(VLOOKUP(B218,input_7339!L:R,7,FALSE),VLOOKUP(tables_7339!C218,input_7339!A:H,8,FALSE))</f>
        <v>1665361.44578</v>
      </c>
      <c r="P218" s="46">
        <f ca="1">O218/SUM(O:O)</f>
        <v>1.1445783132529055E-2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input_7339!A$2</f>
        <v>7339010</v>
      </c>
      <c r="B219" s="6">
        <v>566</v>
      </c>
      <c r="C219" s="7" t="str">
        <f t="shared" si="6"/>
        <v>premium5R3less</v>
      </c>
      <c r="D219" s="7" t="str">
        <f t="shared" si="7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IFERROR(VLOOKUP(B219,input_7339!L:R,7,FALSE),VLOOKUP(tables_7339!C219,input_7339!A:H,8,FALSE))</f>
        <v>1665361.44578</v>
      </c>
      <c r="P219" s="46">
        <f ca="1">O219/SUM(O:O)</f>
        <v>1.1445783132529055E-2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input_7339!A$2</f>
        <v>7339010</v>
      </c>
      <c r="B220" s="6">
        <v>567</v>
      </c>
      <c r="C220" s="7" t="str">
        <f t="shared" si="6"/>
        <v>premium5R3less</v>
      </c>
      <c r="D220" s="7" t="str">
        <f t="shared" si="7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IFERROR(VLOOKUP(B220,input_7339!L:R,7,FALSE),VLOOKUP(tables_7339!C220,input_7339!A:H,8,FALSE))</f>
        <v>1665361.44578</v>
      </c>
      <c r="P220" s="46">
        <f ca="1">O220/SUM(O:O)</f>
        <v>1.1445783132529055E-2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hidden="1" customHeight="1" x14ac:dyDescent="0.15">
      <c r="A221" s="2" t="str">
        <f ca="1">input_7339!A$2</f>
        <v>7339010</v>
      </c>
      <c r="B221" s="6">
        <v>586</v>
      </c>
      <c r="C221" s="7" t="str">
        <f t="shared" si="6"/>
        <v>PremiumSS4</v>
      </c>
      <c r="D221" s="7" t="str">
        <f t="shared" si="7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IFERROR(VLOOKUP(B221,input_7339!L:R,7,FALSE),VLOOKUP(tables_7339!C221,input_7339!A:H,8,FALSE))</f>
        <v>0</v>
      </c>
      <c r="P221" s="46">
        <f ca="1">O221/SUM(O:O)</f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input_7339!A$2</f>
        <v>7339010</v>
      </c>
      <c r="B222" s="6">
        <v>587</v>
      </c>
      <c r="C222" s="7" t="str">
        <f t="shared" si="6"/>
        <v>PremiumSS5</v>
      </c>
      <c r="D222" s="7" t="str">
        <f t="shared" si="7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IFERROR(VLOOKUP(B222,input_7339!L:R,7,FALSE),VLOOKUP(tables_7339!C222,input_7339!A:H,8,FALSE))</f>
        <v>97000</v>
      </c>
      <c r="P222" s="46">
        <f ca="1">O222/SUM(O:O)</f>
        <v>6.6666666666785862E-4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hidden="1" customHeight="1" x14ac:dyDescent="0.15">
      <c r="A223" s="2" t="str">
        <f ca="1">input_7339!A$2</f>
        <v>7339010</v>
      </c>
      <c r="B223" s="6">
        <v>588</v>
      </c>
      <c r="C223" s="7" t="str">
        <f t="shared" si="6"/>
        <v>Premium3</v>
      </c>
      <c r="D223" s="7" t="str">
        <f t="shared" si="7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IFERROR(VLOOKUP(B223,input_7339!L:R,7,FALSE),VLOOKUP(tables_7339!C223,input_7339!A:H,8,FALSE))</f>
        <v>0</v>
      </c>
      <c r="P223" s="46">
        <f ca="1">O223/SUM(O:O)</f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hidden="1" customHeight="1" x14ac:dyDescent="0.15">
      <c r="A224" s="2" t="str">
        <f ca="1">input_7339!A$2</f>
        <v>7339010</v>
      </c>
      <c r="B224" s="6">
        <v>589</v>
      </c>
      <c r="C224" s="7" t="str">
        <f t="shared" si="6"/>
        <v>Premium4</v>
      </c>
      <c r="D224" s="7" t="str">
        <f t="shared" si="7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IFERROR(VLOOKUP(B224,input_7339!L:R,7,FALSE),VLOOKUP(tables_7339!C224,input_7339!A:H,8,FALSE))</f>
        <v>0</v>
      </c>
      <c r="P224" s="46">
        <f ca="1">O224/SUM(O:O)</f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input_7339!A$2</f>
        <v>7339010</v>
      </c>
      <c r="B225" s="6">
        <v>590</v>
      </c>
      <c r="C225" s="7" t="str">
        <f t="shared" si="6"/>
        <v>Premium5</v>
      </c>
      <c r="D225" s="7" t="str">
        <f t="shared" si="7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IFERROR(VLOOKUP(B225,input_7339!L:R,7,FALSE),VLOOKUP(tables_7339!C225,input_7339!A:H,8,FALSE))</f>
        <v>1665361.44578</v>
      </c>
      <c r="P225" s="46">
        <f ca="1">O225/SUM(O:O)</f>
        <v>1.1445783132529055E-2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hidden="1" customHeight="1" x14ac:dyDescent="0.15">
      <c r="A226" s="2" t="str">
        <f ca="1">input_7339!A$2</f>
        <v>7339010</v>
      </c>
      <c r="B226" s="6">
        <v>591</v>
      </c>
      <c r="C226" s="7" t="str">
        <f t="shared" si="6"/>
        <v>Premium3</v>
      </c>
      <c r="D226" s="7" t="str">
        <f t="shared" si="7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IFERROR(VLOOKUP(B226,input_7339!L:R,7,FALSE),VLOOKUP(tables_7339!C226,input_7339!A:H,8,FALSE))</f>
        <v>0</v>
      </c>
      <c r="P226" s="46">
        <f ca="1">O226/SUM(O:O)</f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hidden="1" customHeight="1" x14ac:dyDescent="0.15">
      <c r="A227" s="2" t="str">
        <f ca="1">input_7339!A$2</f>
        <v>7339010</v>
      </c>
      <c r="B227" s="6">
        <v>592</v>
      </c>
      <c r="C227" s="7" t="str">
        <f t="shared" si="6"/>
        <v>Premium4</v>
      </c>
      <c r="D227" s="7" t="str">
        <f t="shared" si="7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IFERROR(VLOOKUP(B227,input_7339!L:R,7,FALSE),VLOOKUP(tables_7339!C227,input_7339!A:H,8,FALSE))</f>
        <v>0</v>
      </c>
      <c r="P227" s="46">
        <f ca="1">O227/SUM(O:O)</f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input_7339!A$2</f>
        <v>7339010</v>
      </c>
      <c r="B228" s="6">
        <v>593</v>
      </c>
      <c r="C228" s="7" t="str">
        <f t="shared" si="6"/>
        <v>Premium5</v>
      </c>
      <c r="D228" s="7" t="str">
        <f t="shared" si="7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IFERROR(VLOOKUP(B228,input_7339!L:R,7,FALSE),VLOOKUP(tables_7339!C228,input_7339!A:H,8,FALSE))</f>
        <v>1665361.44578</v>
      </c>
      <c r="P228" s="46">
        <f ca="1">O228/SUM(O:O)</f>
        <v>1.1445783132529055E-2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hidden="1" customHeight="1" x14ac:dyDescent="0.15">
      <c r="A229" s="2" t="str">
        <f ca="1">input_7339!A$2</f>
        <v>7339010</v>
      </c>
      <c r="B229" s="6">
        <v>594</v>
      </c>
      <c r="C229" s="7" t="str">
        <f t="shared" si="6"/>
        <v>PremiumSS4</v>
      </c>
      <c r="D229" s="7" t="str">
        <f t="shared" si="7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IFERROR(VLOOKUP(B229,input_7339!L:R,7,FALSE),VLOOKUP(tables_7339!C229,input_7339!A:H,8,FALSE))</f>
        <v>0</v>
      </c>
      <c r="P229" s="46">
        <f ca="1">O229/SUM(O:O)</f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input_7339!A$2</f>
        <v>7339010</v>
      </c>
      <c r="B230" s="6">
        <v>595</v>
      </c>
      <c r="C230" s="7" t="str">
        <f t="shared" si="6"/>
        <v>PremiumSS5</v>
      </c>
      <c r="D230" s="7" t="str">
        <f t="shared" si="7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IFERROR(VLOOKUP(B230,input_7339!L:R,7,FALSE),VLOOKUP(tables_7339!C230,input_7339!A:H,8,FALSE))</f>
        <v>97000</v>
      </c>
      <c r="P230" s="46">
        <f ca="1">O230/SUM(O:O)</f>
        <v>6.6666666666785862E-4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hidden="1" customHeight="1" x14ac:dyDescent="0.15">
      <c r="A231" s="2" t="str">
        <f ca="1">input_7339!A$2</f>
        <v>7339010</v>
      </c>
      <c r="B231" s="6">
        <v>596</v>
      </c>
      <c r="C231" s="7" t="str">
        <f t="shared" si="6"/>
        <v>Premium3</v>
      </c>
      <c r="D231" s="7" t="str">
        <f t="shared" si="7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IFERROR(VLOOKUP(B231,input_7339!L:R,7,FALSE),VLOOKUP(tables_7339!C231,input_7339!A:H,8,FALSE))</f>
        <v>0</v>
      </c>
      <c r="P231" s="46">
        <f ca="1">O231/SUM(O:O)</f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hidden="1" customHeight="1" x14ac:dyDescent="0.15">
      <c r="A232" s="2" t="str">
        <f ca="1">input_7339!A$2</f>
        <v>7339010</v>
      </c>
      <c r="B232" s="6">
        <v>597</v>
      </c>
      <c r="C232" s="7" t="str">
        <f t="shared" si="6"/>
        <v>Premium4</v>
      </c>
      <c r="D232" s="7" t="str">
        <f t="shared" si="7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IFERROR(VLOOKUP(B232,input_7339!L:R,7,FALSE),VLOOKUP(tables_7339!C232,input_7339!A:H,8,FALSE))</f>
        <v>0</v>
      </c>
      <c r="P232" s="46">
        <f ca="1">O232/SUM(O:O)</f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input_7339!A$2</f>
        <v>7339010</v>
      </c>
      <c r="B233" s="6">
        <v>598</v>
      </c>
      <c r="C233" s="7" t="str">
        <f t="shared" si="6"/>
        <v>Premium5</v>
      </c>
      <c r="D233" s="7" t="str">
        <f t="shared" si="7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IFERROR(VLOOKUP(B233,input_7339!L:R,7,FALSE),VLOOKUP(tables_7339!C233,input_7339!A:H,8,FALSE))</f>
        <v>1665361.44578</v>
      </c>
      <c r="P233" s="46">
        <f ca="1">O233/SUM(O:O)</f>
        <v>1.1445783132529055E-2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hidden="1" customHeight="1" x14ac:dyDescent="0.15">
      <c r="A234" s="2" t="str">
        <f ca="1">input_7339!A$2</f>
        <v>7339010</v>
      </c>
      <c r="B234" s="6">
        <v>599</v>
      </c>
      <c r="C234" s="7" t="str">
        <f t="shared" si="6"/>
        <v>Premium3</v>
      </c>
      <c r="D234" s="7" t="str">
        <f t="shared" si="7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IFERROR(VLOOKUP(B234,input_7339!L:R,7,FALSE),VLOOKUP(tables_7339!C234,input_7339!A:H,8,FALSE))</f>
        <v>0</v>
      </c>
      <c r="P234" s="46">
        <f ca="1">O234/SUM(O:O)</f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hidden="1" customHeight="1" x14ac:dyDescent="0.15">
      <c r="A235" s="2" t="str">
        <f ca="1">input_7339!A$2</f>
        <v>7339010</v>
      </c>
      <c r="B235" s="6">
        <v>600</v>
      </c>
      <c r="C235" s="7" t="str">
        <f t="shared" si="6"/>
        <v>Premium4</v>
      </c>
      <c r="D235" s="7" t="str">
        <f t="shared" si="7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IFERROR(VLOOKUP(B235,input_7339!L:R,7,FALSE),VLOOKUP(tables_7339!C235,input_7339!A:H,8,FALSE))</f>
        <v>0</v>
      </c>
      <c r="P235" s="46">
        <f ca="1">O235/SUM(O:O)</f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input_7339!A$2</f>
        <v>7339010</v>
      </c>
      <c r="B236" s="6">
        <v>601</v>
      </c>
      <c r="C236" s="7" t="str">
        <f t="shared" si="6"/>
        <v>Premium5</v>
      </c>
      <c r="D236" s="7" t="str">
        <f t="shared" si="7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IFERROR(VLOOKUP(B236,input_7339!L:R,7,FALSE),VLOOKUP(tables_7339!C236,input_7339!A:H,8,FALSE))</f>
        <v>1665361.44578</v>
      </c>
      <c r="P236" s="46">
        <f ca="1">O236/SUM(O:O)</f>
        <v>1.1445783132529055E-2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hidden="1" customHeight="1" x14ac:dyDescent="0.15">
      <c r="A237" s="2" t="str">
        <f ca="1">input_7339!A$2</f>
        <v>7339010</v>
      </c>
      <c r="B237" s="6">
        <v>602</v>
      </c>
      <c r="C237" s="7" t="str">
        <f t="shared" si="6"/>
        <v>PremiumSS4</v>
      </c>
      <c r="D237" s="7" t="str">
        <f t="shared" si="7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IFERROR(VLOOKUP(B237,input_7339!L:R,7,FALSE),VLOOKUP(tables_7339!C237,input_7339!A:H,8,FALSE))</f>
        <v>0</v>
      </c>
      <c r="P237" s="46">
        <f ca="1">O237/SUM(O:O)</f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input_7339!A$2</f>
        <v>7339010</v>
      </c>
      <c r="B238" s="6">
        <v>603</v>
      </c>
      <c r="C238" s="7" t="str">
        <f t="shared" si="6"/>
        <v>PremiumSS5</v>
      </c>
      <c r="D238" s="7" t="str">
        <f t="shared" si="7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IFERROR(VLOOKUP(B238,input_7339!L:R,7,FALSE),VLOOKUP(tables_7339!C238,input_7339!A:H,8,FALSE))</f>
        <v>97000</v>
      </c>
      <c r="P238" s="46">
        <f ca="1">O238/SUM(O:O)</f>
        <v>6.6666666666785862E-4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hidden="1" customHeight="1" x14ac:dyDescent="0.15">
      <c r="A239" s="2" t="str">
        <f ca="1">input_7339!A$2</f>
        <v>7339010</v>
      </c>
      <c r="B239" s="6">
        <v>604</v>
      </c>
      <c r="C239" s="7" t="str">
        <f t="shared" si="6"/>
        <v>Premium3</v>
      </c>
      <c r="D239" s="7" t="str">
        <f t="shared" si="7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IFERROR(VLOOKUP(B239,input_7339!L:R,7,FALSE),VLOOKUP(tables_7339!C239,input_7339!A:H,8,FALSE))</f>
        <v>0</v>
      </c>
      <c r="P239" s="46">
        <f ca="1">O239/SUM(O:O)</f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hidden="1" customHeight="1" x14ac:dyDescent="0.15">
      <c r="A240" s="2" t="str">
        <f ca="1">input_7339!A$2</f>
        <v>7339010</v>
      </c>
      <c r="B240" s="6">
        <v>605</v>
      </c>
      <c r="C240" s="7" t="str">
        <f t="shared" si="6"/>
        <v>Premium4</v>
      </c>
      <c r="D240" s="7" t="str">
        <f t="shared" si="7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IFERROR(VLOOKUP(B240,input_7339!L:R,7,FALSE),VLOOKUP(tables_7339!C240,input_7339!A:H,8,FALSE))</f>
        <v>0</v>
      </c>
      <c r="P240" s="46">
        <f ca="1">O240/SUM(O:O)</f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input_7339!A$2</f>
        <v>7339010</v>
      </c>
      <c r="B241" s="6">
        <v>606</v>
      </c>
      <c r="C241" s="7" t="str">
        <f t="shared" si="6"/>
        <v>Premium5</v>
      </c>
      <c r="D241" s="7" t="str">
        <f t="shared" si="7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IFERROR(VLOOKUP(B241,input_7339!L:R,7,FALSE),VLOOKUP(tables_7339!C241,input_7339!A:H,8,FALSE))</f>
        <v>1665361.44578</v>
      </c>
      <c r="P241" s="46">
        <f ca="1">O241/SUM(O:O)</f>
        <v>1.1445783132529055E-2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hidden="1" customHeight="1" x14ac:dyDescent="0.15">
      <c r="A242" s="2" t="str">
        <f ca="1">input_7339!A$2</f>
        <v>7339010</v>
      </c>
      <c r="B242" s="6">
        <v>658</v>
      </c>
      <c r="C242" s="7" t="str">
        <f t="shared" si="6"/>
        <v>PremiumSS4</v>
      </c>
      <c r="D242" s="7" t="str">
        <f t="shared" si="7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IFERROR(VLOOKUP(B242,input_7339!L:R,7,FALSE),VLOOKUP(tables_7339!C242,input_7339!A:H,8,FALSE))</f>
        <v>0</v>
      </c>
      <c r="P242" s="46">
        <f ca="1">O242/SUM(O:O)</f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input_7339!A$2</f>
        <v>7339010</v>
      </c>
      <c r="B243" s="6">
        <v>659</v>
      </c>
      <c r="C243" s="7" t="str">
        <f t="shared" si="6"/>
        <v>PremiumSS5</v>
      </c>
      <c r="D243" s="7" t="str">
        <f t="shared" si="7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IFERROR(VLOOKUP(B243,input_7339!L:R,7,FALSE),VLOOKUP(tables_7339!C243,input_7339!A:H,8,FALSE))</f>
        <v>97000</v>
      </c>
      <c r="P243" s="46">
        <f ca="1">O243/SUM(O:O)</f>
        <v>6.6666666666785862E-4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hidden="1" customHeight="1" x14ac:dyDescent="0.15">
      <c r="A244" s="2" t="str">
        <f ca="1">input_7339!A$2</f>
        <v>7339010</v>
      </c>
      <c r="B244" s="6">
        <v>660</v>
      </c>
      <c r="C244" s="7" t="str">
        <f t="shared" si="6"/>
        <v>PremiumSS4</v>
      </c>
      <c r="D244" s="7" t="str">
        <f t="shared" si="7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IFERROR(VLOOKUP(B244,input_7339!L:R,7,FALSE),VLOOKUP(tables_7339!C244,input_7339!A:H,8,FALSE))</f>
        <v>0</v>
      </c>
      <c r="P244" s="46">
        <f ca="1">O244/SUM(O:O)</f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input_7339!A$2</f>
        <v>7339010</v>
      </c>
      <c r="B245" s="60">
        <v>661</v>
      </c>
      <c r="C245" s="7" t="str">
        <f t="shared" si="6"/>
        <v>PremiumSS5</v>
      </c>
      <c r="D245" s="7" t="str">
        <f t="shared" si="7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IFERROR(VLOOKUP(B245,input_7339!L:R,7,FALSE),VLOOKUP(tables_7339!C245,input_7339!A:H,8,FALSE))</f>
        <v>97000</v>
      </c>
      <c r="P245" s="46">
        <f ca="1">O245/SUM(O:O)</f>
        <v>6.6666666666785862E-4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hidden="1" customHeight="1" x14ac:dyDescent="0.15">
      <c r="A246" s="2" t="str">
        <f ca="1">input_7339!A$2</f>
        <v>7339010</v>
      </c>
      <c r="B246" s="60">
        <v>662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IFERROR(VLOOKUP(B246,input_7339!L:R,7,FALSE),VLOOKUP(tables_7339!C246,input_7339!A:H,8,FALSE))</f>
        <v>0</v>
      </c>
      <c r="P246" s="46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hidden="1" customHeight="1" x14ac:dyDescent="0.15">
      <c r="A247" s="2" t="str">
        <f ca="1">input_7339!A$2</f>
        <v>7339010</v>
      </c>
      <c r="B247" s="60">
        <v>663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IFERROR(VLOOKUP(B247,input_7339!L:R,7,FALSE),VLOOKUP(tables_7339!C247,input_7339!A:H,8,FALSE))</f>
        <v>0</v>
      </c>
      <c r="P247" s="46">
        <f ca="1">O247/SUM(O:O)</f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input_7339!A$2</f>
        <v>7339010</v>
      </c>
      <c r="B248" s="60">
        <v>664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IFERROR(VLOOKUP(B248,input_7339!L:R,7,FALSE),VLOOKUP(tables_7339!C248,input_7339!A:H,8,FALSE))</f>
        <v>1665361.44578</v>
      </c>
      <c r="P248" s="46">
        <f ca="1">O248/SUM(O:O)</f>
        <v>1.1445783132529055E-2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hidden="1" customHeight="1" x14ac:dyDescent="0.15">
      <c r="A249" s="2" t="str">
        <f ca="1">input_7339!A$2</f>
        <v>7339010</v>
      </c>
      <c r="B249" s="60">
        <v>665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IFERROR(VLOOKUP(B249,input_7339!L:R,7,FALSE),VLOOKUP(tables_7339!C249,input_7339!A:H,8,FALSE))</f>
        <v>0</v>
      </c>
      <c r="P249" s="46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hidden="1" customHeight="1" x14ac:dyDescent="0.15">
      <c r="A250" s="2" t="str">
        <f ca="1">input_7339!A$2</f>
        <v>7339010</v>
      </c>
      <c r="B250" s="60">
        <v>666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IFERROR(VLOOKUP(B250,input_7339!L:R,7,FALSE),VLOOKUP(tables_7339!C250,input_7339!A:H,8,FALSE))</f>
        <v>0</v>
      </c>
      <c r="P250" s="46">
        <f ca="1">O250/SUM(O:O)</f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input_7339!A$2</f>
        <v>7339010</v>
      </c>
      <c r="B251" s="60">
        <v>667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IFERROR(VLOOKUP(B251,input_7339!L:R,7,FALSE),VLOOKUP(tables_7339!C251,input_7339!A:H,8,FALSE))</f>
        <v>1665361.44578</v>
      </c>
      <c r="P251" s="46">
        <f ca="1">O251/SUM(O:O)</f>
        <v>1.1445783132529055E-2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hidden="1" customHeight="1" x14ac:dyDescent="0.15">
      <c r="A252" s="2" t="str">
        <f ca="1">input_7339!A$2</f>
        <v>7339010</v>
      </c>
      <c r="B252" s="60">
        <v>668</v>
      </c>
      <c r="C252" s="7" t="str">
        <f t="shared" si="6"/>
        <v>Premium3</v>
      </c>
      <c r="D252" s="7" t="str">
        <f t="shared" si="7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IFERROR(VLOOKUP(B252,input_7339!L:R,7,FALSE),VLOOKUP(tables_7339!C252,input_7339!A:H,8,FALSE))</f>
        <v>0</v>
      </c>
      <c r="P252" s="46">
        <f ca="1">O252/SUM(O:O)</f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hidden="1" customHeight="1" x14ac:dyDescent="0.15">
      <c r="A253" s="2" t="str">
        <f ca="1">input_7339!A$2</f>
        <v>7339010</v>
      </c>
      <c r="B253" s="60">
        <v>669</v>
      </c>
      <c r="C253" s="7" t="str">
        <f t="shared" si="6"/>
        <v>Premium4</v>
      </c>
      <c r="D253" s="7" t="str">
        <f t="shared" si="7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IFERROR(VLOOKUP(B253,input_7339!L:R,7,FALSE),VLOOKUP(tables_7339!C253,input_7339!A:H,8,FALSE))</f>
        <v>0</v>
      </c>
      <c r="P253" s="46">
        <f ca="1">O253/SUM(O:O)</f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input_7339!A$2</f>
        <v>7339010</v>
      </c>
      <c r="B254" s="60">
        <v>670</v>
      </c>
      <c r="C254" s="7" t="str">
        <f t="shared" si="6"/>
        <v>Premium5</v>
      </c>
      <c r="D254" s="7" t="str">
        <f t="shared" si="7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IFERROR(VLOOKUP(B254,input_7339!L:R,7,FALSE),VLOOKUP(tables_7339!C254,input_7339!A:H,8,FALSE))</f>
        <v>1665361.44578</v>
      </c>
      <c r="P254" s="46">
        <f ca="1">O254/SUM(O:O)</f>
        <v>1.1445783132529055E-2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hidden="1" customHeight="1" x14ac:dyDescent="0.15">
      <c r="A255" s="2" t="str">
        <f ca="1">input_7339!A$2</f>
        <v>7339010</v>
      </c>
      <c r="B255" s="60">
        <v>671</v>
      </c>
      <c r="C255" s="7" t="str">
        <f t="shared" si="6"/>
        <v>Premium3</v>
      </c>
      <c r="D255" s="7" t="str">
        <f t="shared" si="7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IFERROR(VLOOKUP(B255,input_7339!L:R,7,FALSE),VLOOKUP(tables_7339!C255,input_7339!A:H,8,FALSE))</f>
        <v>0</v>
      </c>
      <c r="P255" s="46">
        <f ca="1">O255/SUM(O:O)</f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hidden="1" customHeight="1" x14ac:dyDescent="0.15">
      <c r="A256" s="2" t="str">
        <f ca="1">input_7339!A$2</f>
        <v>7339010</v>
      </c>
      <c r="B256" s="60">
        <v>672</v>
      </c>
      <c r="C256" s="7" t="str">
        <f t="shared" si="6"/>
        <v>Premium4</v>
      </c>
      <c r="D256" s="7" t="str">
        <f t="shared" si="7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IFERROR(VLOOKUP(B256,input_7339!L:R,7,FALSE),VLOOKUP(tables_7339!C256,input_7339!A:H,8,FALSE))</f>
        <v>0</v>
      </c>
      <c r="P256" s="46">
        <f ca="1">O256/SUM(O:O)</f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input_7339!A$2</f>
        <v>7339010</v>
      </c>
      <c r="B257" s="60">
        <v>673</v>
      </c>
      <c r="C257" s="7" t="str">
        <f t="shared" si="6"/>
        <v>Premium5</v>
      </c>
      <c r="D257" s="7" t="str">
        <f t="shared" si="7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IFERROR(VLOOKUP(B257,input_7339!L:R,7,FALSE),VLOOKUP(tables_7339!C257,input_7339!A:H,8,FALSE))</f>
        <v>1665361.44578</v>
      </c>
      <c r="P257" s="46">
        <f ca="1">O257/SUM(O:O)</f>
        <v>1.1445783132529055E-2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hidden="1" customHeight="1" x14ac:dyDescent="0.15">
      <c r="A258" s="2" t="str">
        <f ca="1">input_7339!A$2</f>
        <v>7339010</v>
      </c>
      <c r="B258" s="60">
        <v>674</v>
      </c>
      <c r="C258" s="7" t="str">
        <f t="shared" ref="C258:C283" si="8">D258&amp;J258&amp;E258&amp;F258&amp;G258</f>
        <v>PremiumSS4</v>
      </c>
      <c r="D258" s="7" t="str">
        <f t="shared" si="7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IFERROR(VLOOKUP(B258,input_7339!L:R,7,FALSE),VLOOKUP(tables_7339!C258,input_7339!A:H,8,FALSE))</f>
        <v>0</v>
      </c>
      <c r="P258" s="46">
        <f ca="1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input_7339!A$2</f>
        <v>7339010</v>
      </c>
      <c r="B259" s="60">
        <v>675</v>
      </c>
      <c r="C259" s="7" t="str">
        <f t="shared" si="8"/>
        <v>PremiumSS5</v>
      </c>
      <c r="D259" s="7" t="str">
        <f t="shared" ref="D259:D322" si="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IFERROR(VLOOKUP(B259,input_7339!L:R,7,FALSE),VLOOKUP(tables_7339!C259,input_7339!A:H,8,FALSE))</f>
        <v>97000</v>
      </c>
      <c r="P259" s="46">
        <f ca="1">O259/SUM(O:O)</f>
        <v>6.6666666666785862E-4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hidden="1" customHeight="1" x14ac:dyDescent="0.15">
      <c r="A260" s="2" t="str">
        <f ca="1">input_7339!A$2</f>
        <v>7339010</v>
      </c>
      <c r="B260" s="60">
        <v>676</v>
      </c>
      <c r="C260" s="7" t="str">
        <f t="shared" si="8"/>
        <v>PremiumSS4</v>
      </c>
      <c r="D260" s="7" t="str">
        <f t="shared" si="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IFERROR(VLOOKUP(B260,input_7339!L:R,7,FALSE),VLOOKUP(tables_7339!C260,input_7339!A:H,8,FALSE))</f>
        <v>0</v>
      </c>
      <c r="P260" s="46">
        <f ca="1">O260/SUM(O:O)</f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input_7339!A$2</f>
        <v>7339010</v>
      </c>
      <c r="B261" s="60">
        <v>677</v>
      </c>
      <c r="C261" s="7" t="str">
        <f t="shared" si="8"/>
        <v>PremiumSS5</v>
      </c>
      <c r="D261" s="7" t="str">
        <f t="shared" si="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IFERROR(VLOOKUP(B261,input_7339!L:R,7,FALSE),VLOOKUP(tables_7339!C261,input_7339!A:H,8,FALSE))</f>
        <v>97000</v>
      </c>
      <c r="P261" s="46">
        <f ca="1">O261/SUM(O:O)</f>
        <v>6.6666666666785862E-4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hidden="1" customHeight="1" x14ac:dyDescent="0.15">
      <c r="A262" s="2" t="str">
        <f ca="1">input_7339!A$2</f>
        <v>7339010</v>
      </c>
      <c r="B262" s="60">
        <v>728</v>
      </c>
      <c r="C262" s="7" t="str">
        <f t="shared" si="8"/>
        <v>Premium4R3less</v>
      </c>
      <c r="D262" s="7" t="str">
        <f t="shared" si="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IFERROR(VLOOKUP(B262,input_7339!L:R,7,FALSE),VLOOKUP(tables_7339!C262,input_7339!A:H,8,FALSE))</f>
        <v>0</v>
      </c>
      <c r="P262" s="46">
        <f ca="1">O262/SUM(O:O)</f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input_7339!A$2</f>
        <v>7339010</v>
      </c>
      <c r="B263" s="60">
        <v>729</v>
      </c>
      <c r="C263" s="7" t="str">
        <f t="shared" si="8"/>
        <v>Premium5R3less</v>
      </c>
      <c r="D263" s="7" t="str">
        <f t="shared" si="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IFERROR(VLOOKUP(B263,input_7339!L:R,7,FALSE),VLOOKUP(tables_7339!C263,input_7339!A:H,8,FALSE))</f>
        <v>1665361.44578</v>
      </c>
      <c r="P263" s="46">
        <f ca="1">O263/SUM(O:O)</f>
        <v>1.1445783132529055E-2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hidden="1" customHeight="1" x14ac:dyDescent="0.15">
      <c r="A264" s="2" t="str">
        <f ca="1">input_7339!A$2</f>
        <v>7339010</v>
      </c>
      <c r="B264" s="60">
        <v>730</v>
      </c>
      <c r="C264" s="7" t="str">
        <f t="shared" si="8"/>
        <v>Premium4R3less</v>
      </c>
      <c r="D264" s="7" t="str">
        <f t="shared" si="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IFERROR(VLOOKUP(B264,input_7339!L:R,7,FALSE),VLOOKUP(tables_7339!C264,input_7339!A:H,8,FALSE))</f>
        <v>0</v>
      </c>
      <c r="P264" s="46">
        <f ca="1">O264/SUM(O:O)</f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input_7339!A$2</f>
        <v>7339010</v>
      </c>
      <c r="B265" s="60">
        <v>731</v>
      </c>
      <c r="C265" s="7" t="str">
        <f t="shared" si="8"/>
        <v>Premium5R3less</v>
      </c>
      <c r="D265" s="7" t="str">
        <f t="shared" si="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IFERROR(VLOOKUP(B265,input_7339!L:R,7,FALSE),VLOOKUP(tables_7339!C265,input_7339!A:H,8,FALSE))</f>
        <v>1665361.44578</v>
      </c>
      <c r="P265" s="46">
        <f ca="1">O265/SUM(O:O)</f>
        <v>1.1445783132529055E-2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input_7339!A$2</f>
        <v>7339010</v>
      </c>
      <c r="B266" s="60">
        <v>732</v>
      </c>
      <c r="C266" s="7" t="str">
        <f t="shared" si="8"/>
        <v>PremiumSS5R5only</v>
      </c>
      <c r="D266" s="7" t="str">
        <f t="shared" si="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IFERROR(VLOOKUP(B266,input_7339!L:R,7,FALSE),VLOOKUP(tables_7339!C266,input_7339!A:H,8,FALSE))</f>
        <v>97000</v>
      </c>
      <c r="P266" s="46">
        <f ca="1">O266/SUM(O:O)</f>
        <v>6.6666666666785862E-4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input_7339!A$2</f>
        <v>7339010</v>
      </c>
      <c r="B267" s="60">
        <v>734</v>
      </c>
      <c r="C267" s="7" t="str">
        <f t="shared" si="8"/>
        <v>PremiumSS5R5only</v>
      </c>
      <c r="D267" s="7" t="str">
        <f t="shared" si="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IFERROR(VLOOKUP(B267,input_7339!L:R,7,FALSE),VLOOKUP(tables_7339!C267,input_7339!A:H,8,FALSE))</f>
        <v>97000</v>
      </c>
      <c r="P267" s="46">
        <f ca="1">O267/SUM(O:O)</f>
        <v>6.6666666666785862E-4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input_7339!A$2</f>
        <v>7339010</v>
      </c>
      <c r="B268" s="60">
        <v>742</v>
      </c>
      <c r="C268" s="7" t="str">
        <f t="shared" si="8"/>
        <v>PremiumSS5R5only</v>
      </c>
      <c r="D268" s="7" t="str">
        <f t="shared" si="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IFERROR(VLOOKUP(B268,input_7339!L:R,7,FALSE),VLOOKUP(tables_7339!C268,input_7339!A:H,8,FALSE))</f>
        <v>97000</v>
      </c>
      <c r="P268" s="46">
        <f ca="1">O268/SUM(O:O)</f>
        <v>6.6666666666785862E-4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input_7339!A$2</f>
        <v>7339010</v>
      </c>
      <c r="B269" s="60">
        <v>744</v>
      </c>
      <c r="C269" s="7" t="str">
        <f t="shared" si="8"/>
        <v>PremiumSS5R5only</v>
      </c>
      <c r="D269" s="7" t="str">
        <f t="shared" si="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IFERROR(VLOOKUP(B269,input_7339!L:R,7,FALSE),VLOOKUP(tables_7339!C269,input_7339!A:H,8,FALSE))</f>
        <v>97000</v>
      </c>
      <c r="P269" s="46">
        <f ca="1">O269/SUM(O:O)</f>
        <v>6.6666666666785862E-4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hidden="1" customHeight="1" x14ac:dyDescent="0.15">
      <c r="A270" s="2" t="str">
        <f ca="1">input_7339!A$2</f>
        <v>7339010</v>
      </c>
      <c r="B270" s="60">
        <v>746</v>
      </c>
      <c r="C270" s="7" t="str">
        <f t="shared" si="8"/>
        <v>Premium4R3less</v>
      </c>
      <c r="D270" s="7" t="str">
        <f t="shared" si="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IFERROR(VLOOKUP(B270,input_7339!L:R,7,FALSE),VLOOKUP(tables_7339!C270,input_7339!A:H,8,FALSE))</f>
        <v>0</v>
      </c>
      <c r="P270" s="46">
        <f ca="1">O270/SUM(O:O)</f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input_7339!A$2</f>
        <v>7339010</v>
      </c>
      <c r="B271" s="81">
        <v>747</v>
      </c>
      <c r="C271" s="7" t="str">
        <f t="shared" si="8"/>
        <v>Premium5R3less</v>
      </c>
      <c r="D271" s="7" t="str">
        <f t="shared" si="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IFERROR(VLOOKUP(B271,input_7339!L:R,7,FALSE),VLOOKUP(tables_7339!C271,input_7339!A:H,8,FALSE))</f>
        <v>1665361.44578</v>
      </c>
      <c r="P271" s="46">
        <f ca="1">O271/SUM(O:O)</f>
        <v>1.1445783132529055E-2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hidden="1" customHeight="1" x14ac:dyDescent="0.15">
      <c r="A272" s="2" t="str">
        <f ca="1">input_7339!A$2</f>
        <v>7339010</v>
      </c>
      <c r="B272" s="81">
        <v>748</v>
      </c>
      <c r="C272" s="7" t="str">
        <f t="shared" si="8"/>
        <v>Premium4R3less</v>
      </c>
      <c r="D272" s="7" t="str">
        <f t="shared" si="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IFERROR(VLOOKUP(B272,input_7339!L:R,7,FALSE),VLOOKUP(tables_7339!C272,input_7339!A:H,8,FALSE))</f>
        <v>0</v>
      </c>
      <c r="P272" s="46">
        <f ca="1">O272/SUM(O:O)</f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input_7339!A$2</f>
        <v>7339010</v>
      </c>
      <c r="B273" s="81">
        <v>749</v>
      </c>
      <c r="C273" s="7" t="str">
        <f t="shared" si="8"/>
        <v>Premium5R3less</v>
      </c>
      <c r="D273" s="7" t="str">
        <f t="shared" si="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IFERROR(VLOOKUP(B273,input_7339!L:R,7,FALSE),VLOOKUP(tables_7339!C273,input_7339!A:H,8,FALSE))</f>
        <v>1665361.44578</v>
      </c>
      <c r="P273" s="46">
        <f ca="1">O273/SUM(O:O)</f>
        <v>1.1445783132529055E-2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hidden="1" customHeight="1" x14ac:dyDescent="0.15">
      <c r="A274" s="2" t="str">
        <f ca="1">input_7339!A$2</f>
        <v>7339010</v>
      </c>
      <c r="B274" s="81">
        <v>770</v>
      </c>
      <c r="C274" s="7" t="str">
        <f t="shared" si="8"/>
        <v>PremiumSS4</v>
      </c>
      <c r="D274" s="7" t="str">
        <f t="shared" si="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IFERROR(VLOOKUP(B274,input_7339!L:R,7,FALSE),VLOOKUP(tables_7339!C274,input_7339!A:H,8,FALSE))</f>
        <v>0</v>
      </c>
      <c r="P274" s="46">
        <f ca="1">O274/SUM(O:O)</f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input_7339!A$2</f>
        <v>7339010</v>
      </c>
      <c r="B275" s="81">
        <v>771</v>
      </c>
      <c r="C275" s="7" t="str">
        <f t="shared" si="8"/>
        <v>PremiumSS5</v>
      </c>
      <c r="D275" s="7" t="str">
        <f t="shared" si="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IFERROR(VLOOKUP(B275,input_7339!L:R,7,FALSE),VLOOKUP(tables_7339!C275,input_7339!A:H,8,FALSE))</f>
        <v>97000</v>
      </c>
      <c r="P275" s="46">
        <f ca="1">O275/SUM(O:O)</f>
        <v>6.6666666666785862E-4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hidden="1" customHeight="1" x14ac:dyDescent="0.15">
      <c r="A276" s="2" t="str">
        <f ca="1">input_7339!A$2</f>
        <v>7339010</v>
      </c>
      <c r="B276" s="81">
        <v>772</v>
      </c>
      <c r="C276" s="7" t="str">
        <f t="shared" si="8"/>
        <v>PremiumSS4</v>
      </c>
      <c r="D276" s="7" t="str">
        <f t="shared" si="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IFERROR(VLOOKUP(B276,input_7339!L:R,7,FALSE),VLOOKUP(tables_7339!C276,input_7339!A:H,8,FALSE))</f>
        <v>0</v>
      </c>
      <c r="P276" s="46">
        <f ca="1">O276/SUM(O:O)</f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input_7339!A$2</f>
        <v>7339010</v>
      </c>
      <c r="B277" s="81">
        <v>773</v>
      </c>
      <c r="C277" s="7" t="str">
        <f t="shared" si="8"/>
        <v>PremiumSS5</v>
      </c>
      <c r="D277" s="7" t="str">
        <f t="shared" si="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IFERROR(VLOOKUP(B277,input_7339!L:R,7,FALSE),VLOOKUP(tables_7339!C277,input_7339!A:H,8,FALSE))</f>
        <v>97000</v>
      </c>
      <c r="P277" s="46">
        <f ca="1">O277/SUM(O:O)</f>
        <v>6.6666666666785862E-4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hidden="1" customHeight="1" x14ac:dyDescent="0.15">
      <c r="A278" s="2" t="str">
        <f ca="1">input_7339!A$2</f>
        <v>7339010</v>
      </c>
      <c r="B278" s="81">
        <v>774</v>
      </c>
      <c r="C278" s="7" t="str">
        <f t="shared" si="8"/>
        <v>Premium3</v>
      </c>
      <c r="D278" s="7" t="str">
        <f t="shared" si="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IFERROR(VLOOKUP(B278,input_7339!L:R,7,FALSE),VLOOKUP(tables_7339!C278,input_7339!A:H,8,FALSE))</f>
        <v>0</v>
      </c>
      <c r="P278" s="46">
        <f ca="1">O278/SUM(O:O)</f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hidden="1" customHeight="1" x14ac:dyDescent="0.15">
      <c r="A279" s="2" t="str">
        <f ca="1">input_7339!A$2</f>
        <v>7339010</v>
      </c>
      <c r="B279" s="81">
        <v>775</v>
      </c>
      <c r="C279" s="7" t="str">
        <f t="shared" si="8"/>
        <v>Premium4</v>
      </c>
      <c r="D279" s="7" t="str">
        <f t="shared" si="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IFERROR(VLOOKUP(B279,input_7339!L:R,7,FALSE),VLOOKUP(tables_7339!C279,input_7339!A:H,8,FALSE))</f>
        <v>0</v>
      </c>
      <c r="P279" s="46">
        <f ca="1">O279/SUM(O:O)</f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input_7339!A$2</f>
        <v>7339010</v>
      </c>
      <c r="B280" s="81">
        <v>776</v>
      </c>
      <c r="C280" s="7" t="str">
        <f t="shared" si="8"/>
        <v>Premium5</v>
      </c>
      <c r="D280" s="7" t="str">
        <f t="shared" si="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IFERROR(VLOOKUP(B280,input_7339!L:R,7,FALSE),VLOOKUP(tables_7339!C280,input_7339!A:H,8,FALSE))</f>
        <v>1665361.44578</v>
      </c>
      <c r="P280" s="46">
        <f ca="1">O280/SUM(O:O)</f>
        <v>1.1445783132529055E-2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hidden="1" customHeight="1" x14ac:dyDescent="0.15">
      <c r="A281" s="2" t="str">
        <f ca="1">input_7339!A$2</f>
        <v>7339010</v>
      </c>
      <c r="B281" s="81">
        <v>777</v>
      </c>
      <c r="C281" s="7" t="str">
        <f t="shared" si="8"/>
        <v>Premium3</v>
      </c>
      <c r="D281" s="7" t="str">
        <f t="shared" si="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IFERROR(VLOOKUP(B281,input_7339!L:R,7,FALSE),VLOOKUP(tables_7339!C281,input_7339!A:H,8,FALSE))</f>
        <v>0</v>
      </c>
      <c r="P281" s="46">
        <f ca="1">O281/SUM(O:O)</f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hidden="1" customHeight="1" x14ac:dyDescent="0.15">
      <c r="A282" s="2" t="str">
        <f ca="1">input_7339!A$2</f>
        <v>7339010</v>
      </c>
      <c r="B282" s="81">
        <v>778</v>
      </c>
      <c r="C282" s="7" t="str">
        <f t="shared" si="8"/>
        <v>Premium4</v>
      </c>
      <c r="D282" s="7" t="str">
        <f t="shared" si="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IFERROR(VLOOKUP(B282,input_7339!L:R,7,FALSE),VLOOKUP(tables_7339!C282,input_7339!A:H,8,FALSE))</f>
        <v>0</v>
      </c>
      <c r="P282" s="46">
        <f ca="1">O282/SUM(O:O)</f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input_7339!A$2</f>
        <v>7339010</v>
      </c>
      <c r="B283" s="5">
        <v>779</v>
      </c>
      <c r="C283" s="7" t="str">
        <f t="shared" si="8"/>
        <v>Premium5</v>
      </c>
      <c r="D283" s="7" t="str">
        <f t="shared" si="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IFERROR(VLOOKUP(B283,input_7339!L:R,7,FALSE),VLOOKUP(tables_7339!C283,input_7339!A:H,8,FALSE))</f>
        <v>1665361.44578</v>
      </c>
      <c r="P283" s="46">
        <f ca="1">O283/SUM(O:O)</f>
        <v>1.1445783132529055E-2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input_7339!A$2</f>
        <v>7339010</v>
      </c>
      <c r="B284" s="5">
        <v>848</v>
      </c>
      <c r="C284" s="7" t="str">
        <f t="shared" ref="C284" si="10">D284&amp;J284&amp;E284&amp;F284&amp;G284</f>
        <v>PremiumSS5R5only</v>
      </c>
      <c r="D284" s="7" t="str">
        <f t="shared" si="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IFERROR(VLOOKUP(B284,input_7339!L:R,7,FALSE),VLOOKUP(tables_7339!C284,input_7339!A:H,8,FALSE))</f>
        <v>97000</v>
      </c>
      <c r="P284" s="46">
        <f ca="1">O284/SUM(O:O)</f>
        <v>6.6666666666785862E-4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input_7339!A$2</f>
        <v>7339010</v>
      </c>
      <c r="B285" s="5">
        <v>850</v>
      </c>
      <c r="C285" s="7" t="str">
        <f t="shared" ref="C285:C286" si="11">D285&amp;J285&amp;E285&amp;F285&amp;G285</f>
        <v>PremiumSS5R5only</v>
      </c>
      <c r="D285" s="7" t="str">
        <f t="shared" si="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IFERROR(VLOOKUP(B285,input_7339!L:R,7,FALSE),VLOOKUP(tables_7339!C285,input_7339!A:H,8,FALSE))</f>
        <v>97000</v>
      </c>
      <c r="P285" s="46">
        <f ca="1">O285/SUM(O:O)</f>
        <v>6.6666666666785862E-4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hidden="1" customHeight="1" x14ac:dyDescent="0.15">
      <c r="A286" s="2" t="str">
        <f ca="1">input_7339!A$2</f>
        <v>7339010</v>
      </c>
      <c r="B286" s="5">
        <v>852</v>
      </c>
      <c r="C286" s="7" t="str">
        <f t="shared" si="11"/>
        <v>Premium4R3less</v>
      </c>
      <c r="D286" s="7" t="str">
        <f t="shared" si="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IFERROR(VLOOKUP(B286,input_7339!L:R,7,FALSE),VLOOKUP(tables_7339!C286,input_7339!A:H,8,FALSE))</f>
        <v>0</v>
      </c>
      <c r="P286" s="46">
        <f ca="1">O286/SUM(O:O)</f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input_7339!A$2</f>
        <v>7339010</v>
      </c>
      <c r="B287" s="5">
        <v>853</v>
      </c>
      <c r="C287" s="7" t="str">
        <f t="shared" ref="C287:C289" si="12">D287&amp;J287&amp;E287&amp;F287&amp;G287</f>
        <v>Premium5R3less</v>
      </c>
      <c r="D287" s="7" t="str">
        <f t="shared" si="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IFERROR(VLOOKUP(B287,input_7339!L:R,7,FALSE),VLOOKUP(tables_7339!C287,input_7339!A:H,8,FALSE))</f>
        <v>1665361.44578</v>
      </c>
      <c r="P287" s="46">
        <f ca="1">O287/SUM(O:O)</f>
        <v>1.1445783132529055E-2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hidden="1" customHeight="1" x14ac:dyDescent="0.15">
      <c r="A288" s="2" t="str">
        <f ca="1">input_7339!A$2</f>
        <v>7339010</v>
      </c>
      <c r="B288" s="5">
        <v>854</v>
      </c>
      <c r="C288" s="7" t="str">
        <f t="shared" si="12"/>
        <v>Premium4R3less</v>
      </c>
      <c r="D288" s="7" t="str">
        <f t="shared" si="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IFERROR(VLOOKUP(B288,input_7339!L:R,7,FALSE),VLOOKUP(tables_7339!C288,input_7339!A:H,8,FALSE))</f>
        <v>0</v>
      </c>
      <c r="P288" s="46">
        <f ca="1">O288/SUM(O:O)</f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input_7339!A$2</f>
        <v>7339010</v>
      </c>
      <c r="B289" s="5">
        <v>855</v>
      </c>
      <c r="C289" s="7" t="str">
        <f t="shared" si="12"/>
        <v>Premium5R3less</v>
      </c>
      <c r="D289" s="7" t="str">
        <f t="shared" si="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IFERROR(VLOOKUP(B289,input_7339!L:R,7,FALSE),VLOOKUP(tables_7339!C289,input_7339!A:H,8,FALSE))</f>
        <v>1665361.44578</v>
      </c>
      <c r="P289" s="46">
        <f ca="1">O289/SUM(O:O)</f>
        <v>1.1445783132529055E-2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hidden="1" customHeight="1" x14ac:dyDescent="0.15">
      <c r="A290" s="2" t="str">
        <f ca="1">input_7339!A$2</f>
        <v>7339010</v>
      </c>
      <c r="B290" s="5">
        <v>862</v>
      </c>
      <c r="C290" s="7" t="str">
        <f t="shared" ref="C290:C294" si="13">D290&amp;J290&amp;E290&amp;F290&amp;G290</f>
        <v>Premium4R3less</v>
      </c>
      <c r="D290" s="7" t="str">
        <f t="shared" si="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IFERROR(VLOOKUP(B290,input_7339!L:R,7,FALSE),VLOOKUP(tables_7339!C290,input_7339!A:H,8,FALSE))</f>
        <v>0</v>
      </c>
      <c r="P290" s="46">
        <f ca="1">O290/SUM(O:O)</f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input_7339!A$2</f>
        <v>7339010</v>
      </c>
      <c r="B291" s="5">
        <v>863</v>
      </c>
      <c r="C291" s="7" t="str">
        <f t="shared" si="13"/>
        <v>Premium5R3less</v>
      </c>
      <c r="D291" s="7" t="str">
        <f t="shared" si="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IFERROR(VLOOKUP(B291,input_7339!L:R,7,FALSE),VLOOKUP(tables_7339!C291,input_7339!A:H,8,FALSE))</f>
        <v>1665361.44578</v>
      </c>
      <c r="P291" s="46">
        <f ca="1">O291/SUM(O:O)</f>
        <v>1.1445783132529055E-2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hidden="1" customHeight="1" x14ac:dyDescent="0.15">
      <c r="A292" s="2" t="str">
        <f ca="1">input_7339!A$2</f>
        <v>7339010</v>
      </c>
      <c r="B292" s="5">
        <v>864</v>
      </c>
      <c r="C292" s="7" t="str">
        <f t="shared" si="13"/>
        <v>Premium4R3less</v>
      </c>
      <c r="D292" s="7" t="str">
        <f t="shared" si="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IFERROR(VLOOKUP(B292,input_7339!L:R,7,FALSE),VLOOKUP(tables_7339!C292,input_7339!A:H,8,FALSE))</f>
        <v>0</v>
      </c>
      <c r="P292" s="46">
        <f ca="1">O292/SUM(O:O)</f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input_7339!A$2</f>
        <v>7339010</v>
      </c>
      <c r="B293" s="5">
        <v>865</v>
      </c>
      <c r="C293" s="7" t="str">
        <f t="shared" si="13"/>
        <v>Premium5R3less</v>
      </c>
      <c r="D293" s="7" t="str">
        <f t="shared" si="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IFERROR(VLOOKUP(B293,input_7339!L:R,7,FALSE),VLOOKUP(tables_7339!C293,input_7339!A:H,8,FALSE))</f>
        <v>1665361.44578</v>
      </c>
      <c r="P293" s="46">
        <f ca="1">O293/SUM(O:O)</f>
        <v>1.1445783132529055E-2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input_7339!A$2</f>
        <v>7339010</v>
      </c>
      <c r="B294" s="5">
        <v>866</v>
      </c>
      <c r="C294" s="7" t="str">
        <f t="shared" si="13"/>
        <v>PremiumSS5R5only</v>
      </c>
      <c r="D294" s="7" t="str">
        <f t="shared" si="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IFERROR(VLOOKUP(B294,input_7339!L:R,7,FALSE),VLOOKUP(tables_7339!C294,input_7339!A:H,8,FALSE))</f>
        <v>97000</v>
      </c>
      <c r="P294" s="46">
        <f ca="1">O294/SUM(O:O)</f>
        <v>6.6666666666785862E-4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input_7339!A$2</f>
        <v>7339010</v>
      </c>
      <c r="B295" s="5">
        <v>868</v>
      </c>
      <c r="C295" s="7" t="str">
        <f t="shared" ref="C295:C299" si="14">D295&amp;J295&amp;E295&amp;F295&amp;G295</f>
        <v>PremiumSS5R5only</v>
      </c>
      <c r="D295" s="7" t="str">
        <f t="shared" si="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IFERROR(VLOOKUP(B295,input_7339!L:R,7,FALSE),VLOOKUP(tables_7339!C295,input_7339!A:H,8,FALSE))</f>
        <v>97000</v>
      </c>
      <c r="P295" s="46">
        <f ca="1">O295/SUM(O:O)</f>
        <v>6.6666666666785862E-4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input_7339!A$2</f>
        <v>7339010</v>
      </c>
      <c r="B296" s="5">
        <v>937</v>
      </c>
      <c r="C296" s="7" t="str">
        <f t="shared" si="14"/>
        <v>PremiumSS5R5only</v>
      </c>
      <c r="D296" s="7" t="str">
        <f t="shared" si="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IFERROR(VLOOKUP(B296,input_7339!L:R,7,FALSE),VLOOKUP(tables_7339!C296,input_7339!A:H,8,FALSE))</f>
        <v>97000</v>
      </c>
      <c r="P296" s="46">
        <f ca="1">O296/SUM(O:O)</f>
        <v>6.6666666666785862E-4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hidden="1" customHeight="1" x14ac:dyDescent="0.15">
      <c r="A297" s="2" t="str">
        <f ca="1">input_7339!A$2</f>
        <v>7339010</v>
      </c>
      <c r="B297" s="5">
        <v>939</v>
      </c>
      <c r="C297" s="7" t="str">
        <f t="shared" si="14"/>
        <v>Premium4R3less</v>
      </c>
      <c r="D297" s="7" t="str">
        <f t="shared" si="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IFERROR(VLOOKUP(B297,input_7339!L:R,7,FALSE),VLOOKUP(tables_7339!C297,input_7339!A:H,8,FALSE))</f>
        <v>0</v>
      </c>
      <c r="P297" s="46">
        <f ca="1">O297/SUM(O:O)</f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input_7339!A$2</f>
        <v>7339010</v>
      </c>
      <c r="B298" s="5">
        <v>940</v>
      </c>
      <c r="C298" s="7" t="str">
        <f t="shared" si="14"/>
        <v>Premium5R3less</v>
      </c>
      <c r="D298" s="7" t="str">
        <f t="shared" si="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IFERROR(VLOOKUP(B298,input_7339!L:R,7,FALSE),VLOOKUP(tables_7339!C298,input_7339!A:H,8,FALSE))</f>
        <v>1665361.44578</v>
      </c>
      <c r="P298" s="46">
        <f ca="1">O298/SUM(O:O)</f>
        <v>1.1445783132529055E-2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input_7339!A$2</f>
        <v>7339010</v>
      </c>
      <c r="B299" s="5">
        <v>941</v>
      </c>
      <c r="C299" s="7" t="str">
        <f t="shared" si="14"/>
        <v>PremiumSS5R5only</v>
      </c>
      <c r="D299" s="7" t="str">
        <f t="shared" si="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IFERROR(VLOOKUP(B299,input_7339!L:R,7,FALSE),VLOOKUP(tables_7339!C299,input_7339!A:H,8,FALSE))</f>
        <v>97000</v>
      </c>
      <c r="P299" s="46">
        <f ca="1">O299/SUM(O:O)</f>
        <v>6.6666666666785862E-4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input_7339!A$2</f>
        <v>7339010</v>
      </c>
      <c r="B300" s="5">
        <v>943</v>
      </c>
      <c r="C300" s="7" t="str">
        <f t="shared" ref="C300:C304" si="15">D300&amp;J300&amp;E300&amp;F300&amp;G300</f>
        <v>PremiumSS5R5only</v>
      </c>
      <c r="D300" s="7" t="str">
        <f t="shared" si="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IFERROR(VLOOKUP(B300,input_7339!L:R,7,FALSE),VLOOKUP(tables_7339!C300,input_7339!A:H,8,FALSE))</f>
        <v>97000</v>
      </c>
      <c r="P300" s="46">
        <f ca="1">O300/SUM(O:O)</f>
        <v>6.6666666666785862E-4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input_7339!A$2</f>
        <v>7339010</v>
      </c>
      <c r="B301" s="5">
        <v>1012</v>
      </c>
      <c r="C301" s="7" t="str">
        <f t="shared" si="15"/>
        <v>PremiumSS5R5only</v>
      </c>
      <c r="D301" s="7" t="str">
        <f t="shared" si="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IFERROR(VLOOKUP(B301,input_7339!L:R,7,FALSE),VLOOKUP(tables_7339!C301,input_7339!A:H,8,FALSE))</f>
        <v>97000</v>
      </c>
      <c r="P301" s="46">
        <f ca="1">O301/SUM(O:O)</f>
        <v>6.6666666666785862E-4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input_7339!A$2</f>
        <v>7339010</v>
      </c>
      <c r="B302" s="5">
        <v>1014</v>
      </c>
      <c r="C302" s="7" t="str">
        <f t="shared" si="15"/>
        <v>PremiumSS5R5only</v>
      </c>
      <c r="D302" s="7" t="str">
        <f t="shared" si="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IFERROR(VLOOKUP(B302,input_7339!L:R,7,FALSE),VLOOKUP(tables_7339!C302,input_7339!A:H,8,FALSE))</f>
        <v>97000</v>
      </c>
      <c r="P302" s="46">
        <f ca="1">O302/SUM(O:O)</f>
        <v>6.6666666666785862E-4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hidden="1" customHeight="1" x14ac:dyDescent="0.15">
      <c r="A303" s="2" t="str">
        <f ca="1">input_7339!A$2</f>
        <v>7339010</v>
      </c>
      <c r="B303" s="5">
        <v>1016</v>
      </c>
      <c r="C303" s="7" t="str">
        <f t="shared" si="15"/>
        <v>Premium4R3less</v>
      </c>
      <c r="D303" s="7" t="str">
        <f t="shared" si="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IFERROR(VLOOKUP(B303,input_7339!L:R,7,FALSE),VLOOKUP(tables_7339!C303,input_7339!A:H,8,FALSE))</f>
        <v>0</v>
      </c>
      <c r="P303" s="46">
        <f ca="1">O303/SUM(O:O)</f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input_7339!A$2</f>
        <v>7339010</v>
      </c>
      <c r="B304" s="5">
        <v>1017</v>
      </c>
      <c r="C304" s="7" t="str">
        <f t="shared" si="15"/>
        <v>Premium5R3less</v>
      </c>
      <c r="D304" s="7" t="str">
        <f t="shared" si="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IFERROR(VLOOKUP(B304,input_7339!L:R,7,FALSE),VLOOKUP(tables_7339!C304,input_7339!A:H,8,FALSE))</f>
        <v>1665361.44578</v>
      </c>
      <c r="P304" s="46">
        <f ca="1">O304/SUM(O:O)</f>
        <v>1.1445783132529055E-2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input_7339!A$2</f>
        <v>7339010</v>
      </c>
      <c r="B305" s="5">
        <v>1018</v>
      </c>
      <c r="C305" s="7" t="str">
        <f t="shared" ref="C305:C308" si="16">D305&amp;J305&amp;E305&amp;F305&amp;G305</f>
        <v>PremiumSS5R5only</v>
      </c>
      <c r="D305" s="7" t="str">
        <f t="shared" si="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IFERROR(VLOOKUP(B305,input_7339!L:R,7,FALSE),VLOOKUP(tables_7339!C305,input_7339!A:H,8,FALSE))</f>
        <v>97000</v>
      </c>
      <c r="P305" s="46">
        <f ca="1">O305/SUM(O:O)</f>
        <v>6.6666666666785862E-4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hidden="1" customHeight="1" x14ac:dyDescent="0.15">
      <c r="A306" s="2" t="str">
        <f ca="1">input_7339!A$2</f>
        <v>7339010</v>
      </c>
      <c r="B306" s="5">
        <v>1026</v>
      </c>
      <c r="C306" s="7" t="str">
        <f t="shared" si="16"/>
        <v>Premium4R3less</v>
      </c>
      <c r="D306" s="7" t="str">
        <f t="shared" si="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IFERROR(VLOOKUP(B306,input_7339!L:R,7,FALSE),VLOOKUP(tables_7339!C306,input_7339!A:H,8,FALSE))</f>
        <v>0</v>
      </c>
      <c r="P306" s="46">
        <f ca="1">O306/SUM(O:O)</f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input_7339!A$2</f>
        <v>7339010</v>
      </c>
      <c r="B307" s="5">
        <v>1027</v>
      </c>
      <c r="C307" s="7" t="str">
        <f t="shared" si="16"/>
        <v>Premium5R3less</v>
      </c>
      <c r="D307" s="7" t="str">
        <f t="shared" si="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IFERROR(VLOOKUP(B307,input_7339!L:R,7,FALSE),VLOOKUP(tables_7339!C307,input_7339!A:H,8,FALSE))</f>
        <v>1665361.44578</v>
      </c>
      <c r="P307" s="46">
        <f ca="1">O307/SUM(O:O)</f>
        <v>1.1445783132529055E-2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input_7339!A$2</f>
        <v>7339010</v>
      </c>
      <c r="B308" s="5">
        <v>1028</v>
      </c>
      <c r="C308" s="7" t="str">
        <f t="shared" si="16"/>
        <v>PremiumSS5R5only</v>
      </c>
      <c r="D308" s="7" t="str">
        <f t="shared" si="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IFERROR(VLOOKUP(B308,input_7339!L:R,7,FALSE),VLOOKUP(tables_7339!C308,input_7339!A:H,8,FALSE))</f>
        <v>97000</v>
      </c>
      <c r="P308" s="46">
        <f ca="1">O308/SUM(O:O)</f>
        <v>6.6666666666785862E-4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input_7339!A$2</f>
        <v>7339010</v>
      </c>
      <c r="B309" s="5">
        <v>1031</v>
      </c>
      <c r="C309" s="7" t="str">
        <f t="shared" ref="C309" si="17">D309&amp;J309&amp;E309&amp;F309&amp;G309</f>
        <v>PremiumSS5R5only</v>
      </c>
      <c r="D309" s="7" t="str">
        <f t="shared" si="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IFERROR(VLOOKUP(B309,input_7339!L:R,7,FALSE),VLOOKUP(tables_7339!C309,input_7339!A:H,8,FALSE))</f>
        <v>97000</v>
      </c>
      <c r="P309" s="46">
        <f ca="1">O309/SUM(O:O)</f>
        <v>6.6666666666785862E-4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input_7339!A$2</f>
        <v>7339010</v>
      </c>
      <c r="B310" s="5">
        <v>1033</v>
      </c>
      <c r="C310" s="7" t="str">
        <f t="shared" ref="C310:C314" si="18">D310&amp;J310&amp;E310&amp;F310&amp;G310</f>
        <v>PremiumSS5R5only</v>
      </c>
      <c r="D310" s="7" t="str">
        <f t="shared" si="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IFERROR(VLOOKUP(B310,input_7339!L:R,7,FALSE),VLOOKUP(tables_7339!C310,input_7339!A:H,8,FALSE))</f>
        <v>97000</v>
      </c>
      <c r="P310" s="46">
        <f ca="1">O310/SUM(O:O)</f>
        <v>6.6666666666785862E-4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hidden="1" customHeight="1" x14ac:dyDescent="0.15">
      <c r="A311" s="2" t="str">
        <f ca="1">input_7339!A$2</f>
        <v>7339010</v>
      </c>
      <c r="B311" s="5">
        <v>1067</v>
      </c>
      <c r="C311" s="7" t="str">
        <f t="shared" si="18"/>
        <v>Premium4R3less</v>
      </c>
      <c r="D311" s="7" t="str">
        <f t="shared" si="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IFERROR(VLOOKUP(B311,input_7339!L:R,7,FALSE),VLOOKUP(tables_7339!C311,input_7339!A:H,8,FALSE))</f>
        <v>0</v>
      </c>
      <c r="P311" s="46">
        <f ca="1">O311/SUM(O:O)</f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input_7339!A$2</f>
        <v>7339010</v>
      </c>
      <c r="B312" s="5">
        <v>1068</v>
      </c>
      <c r="C312" s="7" t="str">
        <f t="shared" si="18"/>
        <v>Premium5R3less</v>
      </c>
      <c r="D312" s="7" t="str">
        <f t="shared" si="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IFERROR(VLOOKUP(B312,input_7339!L:R,7,FALSE),VLOOKUP(tables_7339!C312,input_7339!A:H,8,FALSE))</f>
        <v>1665361.44578</v>
      </c>
      <c r="P312" s="46">
        <f ca="1">O312/SUM(O:O)</f>
        <v>1.1445783132529055E-2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input_7339!A$2</f>
        <v>7339010</v>
      </c>
      <c r="B313" s="5">
        <v>1069</v>
      </c>
      <c r="C313" s="7" t="str">
        <f t="shared" si="18"/>
        <v>PremiumSS5R5only</v>
      </c>
      <c r="D313" s="7" t="str">
        <f t="shared" si="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IFERROR(VLOOKUP(B313,input_7339!L:R,7,FALSE),VLOOKUP(tables_7339!C313,input_7339!A:H,8,FALSE))</f>
        <v>97000</v>
      </c>
      <c r="P313" s="46">
        <f ca="1">O313/SUM(O:O)</f>
        <v>6.6666666666785862E-4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input_7339!A$2</f>
        <v>7339010</v>
      </c>
      <c r="B314" s="5">
        <v>1072</v>
      </c>
      <c r="C314" s="7" t="str">
        <f t="shared" si="18"/>
        <v>PremiumSS5R5only</v>
      </c>
      <c r="D314" s="7" t="str">
        <f t="shared" si="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IFERROR(VLOOKUP(B314,input_7339!L:R,7,FALSE),VLOOKUP(tables_7339!C314,input_7339!A:H,8,FALSE))</f>
        <v>97000</v>
      </c>
      <c r="P314" s="46">
        <f ca="1">O314/SUM(O:O)</f>
        <v>6.6666666666785862E-4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input_7339!A$2</f>
        <v>7339010</v>
      </c>
      <c r="B315" s="5">
        <v>1074</v>
      </c>
      <c r="C315" s="7" t="str">
        <f t="shared" ref="C315:C319" si="19">D315&amp;J315&amp;E315&amp;F315&amp;G315</f>
        <v>PremiumSS5R5only</v>
      </c>
      <c r="D315" s="7" t="str">
        <f t="shared" si="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IFERROR(VLOOKUP(B315,input_7339!L:R,7,FALSE),VLOOKUP(tables_7339!C315,input_7339!A:H,8,FALSE))</f>
        <v>97000</v>
      </c>
      <c r="P315" s="46">
        <f ca="1">O315/SUM(O:O)</f>
        <v>6.6666666666785862E-4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input_7339!A$2</f>
        <v>7339010</v>
      </c>
      <c r="B316" s="5">
        <v>1100</v>
      </c>
      <c r="C316" s="7" t="str">
        <f t="shared" si="19"/>
        <v>PremiumSS5R5only</v>
      </c>
      <c r="D316" s="7" t="str">
        <f t="shared" si="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IFERROR(VLOOKUP(B316,input_7339!L:R,7,FALSE),VLOOKUP(tables_7339!C316,input_7339!A:H,8,FALSE))</f>
        <v>97000</v>
      </c>
      <c r="P316" s="46">
        <f ca="1">O316/SUM(O:O)</f>
        <v>6.6666666666785862E-4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input_7339!A$2</f>
        <v>7339010</v>
      </c>
      <c r="B317" s="5">
        <v>1102</v>
      </c>
      <c r="C317" s="7" t="str">
        <f t="shared" si="19"/>
        <v>PremiumSS5R5only</v>
      </c>
      <c r="D317" s="7" t="str">
        <f t="shared" si="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IFERROR(VLOOKUP(B317,input_7339!L:R,7,FALSE),VLOOKUP(tables_7339!C317,input_7339!A:H,8,FALSE))</f>
        <v>97000</v>
      </c>
      <c r="P317" s="46">
        <f ca="1">O317/SUM(O:O)</f>
        <v>6.6666666666785862E-4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hidden="1" customHeight="1" x14ac:dyDescent="0.15">
      <c r="A318" s="2" t="str">
        <f ca="1">input_7339!A$2</f>
        <v>7339010</v>
      </c>
      <c r="B318" s="5">
        <v>1104</v>
      </c>
      <c r="C318" s="7" t="str">
        <f t="shared" si="19"/>
        <v>Premium4R3less</v>
      </c>
      <c r="D318" s="7" t="str">
        <f t="shared" si="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IFERROR(VLOOKUP(B318,input_7339!L:R,7,FALSE),VLOOKUP(tables_7339!C318,input_7339!A:H,8,FALSE))</f>
        <v>0</v>
      </c>
      <c r="P318" s="46">
        <f ca="1">O318/SUM(O:O)</f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input_7339!A$2</f>
        <v>7339010</v>
      </c>
      <c r="B319" s="5">
        <v>1105</v>
      </c>
      <c r="C319" s="7" t="str">
        <f t="shared" si="19"/>
        <v>Premium5R3less</v>
      </c>
      <c r="D319" s="7" t="str">
        <f t="shared" si="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IFERROR(VLOOKUP(B319,input_7339!L:R,7,FALSE),VLOOKUP(tables_7339!C319,input_7339!A:H,8,FALSE))</f>
        <v>1665361.44578</v>
      </c>
      <c r="P319" s="46">
        <f ca="1">O319/SUM(O:O)</f>
        <v>1.1445783132529055E-2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input_7339!A$2</f>
        <v>7339010</v>
      </c>
      <c r="B320" s="5">
        <v>1106</v>
      </c>
      <c r="C320" s="7" t="str">
        <f t="shared" ref="C320:C324" si="20">D320&amp;J320&amp;E320&amp;F320&amp;G320</f>
        <v>PremiumSS5R5only</v>
      </c>
      <c r="D320" s="7" t="str">
        <f t="shared" si="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IFERROR(VLOOKUP(B320,input_7339!L:R,7,FALSE),VLOOKUP(tables_7339!C320,input_7339!A:H,8,FALSE))</f>
        <v>97000</v>
      </c>
      <c r="P320" s="46">
        <f ca="1">O320/SUM(O:O)</f>
        <v>6.6666666666785862E-4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input_7339!A$2</f>
        <v>7339010</v>
      </c>
      <c r="B321" s="5">
        <v>1137</v>
      </c>
      <c r="C321" s="7" t="str">
        <f t="shared" si="20"/>
        <v>PremiumSS5R5only</v>
      </c>
      <c r="D321" s="7" t="str">
        <f t="shared" si="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IFERROR(VLOOKUP(B321,input_7339!L:R,7,FALSE),VLOOKUP(tables_7339!C321,input_7339!A:H,8,FALSE))</f>
        <v>97000</v>
      </c>
      <c r="P321" s="46">
        <f ca="1">O321/SUM(O:O)</f>
        <v>6.6666666666785862E-4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input_7339!A$2</f>
        <v>7339010</v>
      </c>
      <c r="B322" s="5">
        <v>1139</v>
      </c>
      <c r="C322" s="7" t="str">
        <f t="shared" si="20"/>
        <v>PremiumSS5R5only</v>
      </c>
      <c r="D322" s="7" t="str">
        <f t="shared" si="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IFERROR(VLOOKUP(B322,input_7339!L:R,7,FALSE),VLOOKUP(tables_7339!C322,input_7339!A:H,8,FALSE))</f>
        <v>97000</v>
      </c>
      <c r="P322" s="46">
        <f ca="1">O322/SUM(O:O)</f>
        <v>6.6666666666785862E-4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input_7339!A$2</f>
        <v>7339010</v>
      </c>
      <c r="B323" s="5">
        <v>1141</v>
      </c>
      <c r="C323" s="7" t="str">
        <f t="shared" si="20"/>
        <v>PremiumSS5R5only</v>
      </c>
      <c r="D323" s="7" t="str">
        <f t="shared" ref="D323:D330" si="21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IFERROR(VLOOKUP(B323,input_7339!L:R,7,FALSE),VLOOKUP(tables_7339!C323,input_7339!A:H,8,FALSE))</f>
        <v>97000</v>
      </c>
      <c r="P323" s="46">
        <f ca="1">O323/SUM(O:O)</f>
        <v>6.6666666666785862E-4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hidden="1" customHeight="1" x14ac:dyDescent="0.15">
      <c r="A324" s="2" t="str">
        <f ca="1">input_7339!A$2</f>
        <v>7339010</v>
      </c>
      <c r="B324" s="2">
        <v>1143</v>
      </c>
      <c r="C324" s="7" t="str">
        <f t="shared" si="20"/>
        <v>Premium4R3less</v>
      </c>
      <c r="D324" s="7" t="str">
        <f t="shared" si="21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IFERROR(VLOOKUP(B324,input_7339!L:R,7,FALSE),VLOOKUP(tables_7339!C324,input_7339!A:H,8,FALSE))</f>
        <v>0</v>
      </c>
      <c r="P324" s="46">
        <f ca="1">O324/SUM(O:O)</f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input_7339!A$2</f>
        <v>7339010</v>
      </c>
      <c r="B325" s="2">
        <v>1144</v>
      </c>
      <c r="C325" s="7" t="str">
        <f t="shared" ref="C325:C330" si="22">D325&amp;J325&amp;E325&amp;F325&amp;G325</f>
        <v>Premium5R3less</v>
      </c>
      <c r="D325" s="7" t="str">
        <f t="shared" si="21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IFERROR(VLOOKUP(B325,input_7339!L:R,7,FALSE),VLOOKUP(tables_7339!C325,input_7339!A:H,8,FALSE))</f>
        <v>1665361.44578</v>
      </c>
      <c r="P325" s="46">
        <f ca="1">O325/SUM(O:O)</f>
        <v>1.1445783132529055E-2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hidden="1" customHeight="1" x14ac:dyDescent="0.15">
      <c r="A326" s="2" t="str">
        <f ca="1">input_7339!A$2</f>
        <v>7339010</v>
      </c>
      <c r="B326" s="2">
        <v>1151</v>
      </c>
      <c r="C326" s="7" t="str">
        <f t="shared" si="22"/>
        <v>Premium4R3less</v>
      </c>
      <c r="D326" s="7" t="str">
        <f t="shared" si="21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IFERROR(VLOOKUP(B326,input_7339!L:R,7,FALSE),VLOOKUP(tables_7339!C326,input_7339!A:H,8,FALSE))</f>
        <v>0</v>
      </c>
      <c r="P326" s="46">
        <f ca="1">O326/SUM(O:O)</f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input_7339!A$2</f>
        <v>7339010</v>
      </c>
      <c r="B327" s="2">
        <v>1152</v>
      </c>
      <c r="C327" s="7" t="str">
        <f t="shared" si="22"/>
        <v>Premium5R3less</v>
      </c>
      <c r="D327" s="7" t="str">
        <f t="shared" si="21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IFERROR(VLOOKUP(B327,input_7339!L:R,7,FALSE),VLOOKUP(tables_7339!C327,input_7339!A:H,8,FALSE))</f>
        <v>1665361.44578</v>
      </c>
      <c r="P327" s="46">
        <f ca="1">O327/SUM(O:O)</f>
        <v>1.1445783132529055E-2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input_7339!A$2</f>
        <v>7339010</v>
      </c>
      <c r="B328" s="2">
        <v>1153</v>
      </c>
      <c r="C328" s="7" t="str">
        <f t="shared" si="22"/>
        <v>PremiumSS5R5only</v>
      </c>
      <c r="D328" s="7" t="str">
        <f t="shared" si="21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IFERROR(VLOOKUP(B328,input_7339!L:R,7,FALSE),VLOOKUP(tables_7339!C328,input_7339!A:H,8,FALSE))</f>
        <v>97000</v>
      </c>
      <c r="P328" s="46">
        <f ca="1">O328/SUM(O:O)</f>
        <v>6.6666666666785862E-4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input_7339!A$2</f>
        <v>7339010</v>
      </c>
      <c r="B329" s="2">
        <v>1155</v>
      </c>
      <c r="C329" s="7" t="str">
        <f t="shared" si="22"/>
        <v>PremiumSS5R5only</v>
      </c>
      <c r="D329" s="7" t="str">
        <f t="shared" si="21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IFERROR(VLOOKUP(B329,input_7339!L:R,7,FALSE),VLOOKUP(tables_7339!C329,input_7339!A:H,8,FALSE))</f>
        <v>97000</v>
      </c>
      <c r="P329" s="46">
        <f ca="1">O329/SUM(O:O)</f>
        <v>6.6666666666785862E-4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input_7339!A$2</f>
        <v>7339010</v>
      </c>
      <c r="B330" s="2">
        <v>1157</v>
      </c>
      <c r="C330" s="7" t="str">
        <f t="shared" si="22"/>
        <v>PremiumSS5R5only</v>
      </c>
      <c r="D330" s="95" t="str">
        <f t="shared" si="21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IFERROR(VLOOKUP(B330,input_7339!L:R,7,FALSE),VLOOKUP(tables_7339!C330,input_7339!A:H,8,FALSE))</f>
        <v>97000</v>
      </c>
      <c r="P330" s="46">
        <f ca="1">O330/SUM(O:O)</f>
        <v>6.6666666666785862E-4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input_7339!A$2</f>
        <v>7339010</v>
      </c>
      <c r="B331" s="60">
        <v>1214</v>
      </c>
      <c r="C331" s="7" t="str">
        <f t="shared" ref="C331:C335" si="23">D331&amp;J331&amp;E331&amp;F331&amp;G331</f>
        <v>PremiumSS5R5only</v>
      </c>
      <c r="D331" s="95" t="str">
        <f t="shared" ref="D331:D335" si="24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IFERROR(VLOOKUP(B331,input_7339!L:R,7,FALSE),VLOOKUP(tables_7339!C331,input_7339!A:H,8,FALSE))</f>
        <v>97000</v>
      </c>
      <c r="P331" s="46">
        <f ca="1">O331/SUM(O:O)</f>
        <v>6.6666666666785862E-4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input_7339!A$2</f>
        <v>7339010</v>
      </c>
      <c r="B332" s="60">
        <v>1212</v>
      </c>
      <c r="C332" s="7" t="str">
        <f t="shared" si="23"/>
        <v>PremiumSS5R5only</v>
      </c>
      <c r="D332" s="95" t="str">
        <f t="shared" si="24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IFERROR(VLOOKUP(B332,input_7339!L:R,7,FALSE),VLOOKUP(tables_7339!C332,input_7339!A:H,8,FALSE))</f>
        <v>97000</v>
      </c>
      <c r="P332" s="46">
        <f ca="1">O332/SUM(O:O)</f>
        <v>6.6666666666785862E-4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input_7339!A$2</f>
        <v>7339010</v>
      </c>
      <c r="B333" s="60">
        <v>1208</v>
      </c>
      <c r="C333" s="7" t="str">
        <f t="shared" si="23"/>
        <v>PremiumSS5R5only</v>
      </c>
      <c r="D333" s="95" t="str">
        <f t="shared" si="24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IFERROR(VLOOKUP(B333,input_7339!L:R,7,FALSE),VLOOKUP(tables_7339!C333,input_7339!A:H,8,FALSE))</f>
        <v>97000</v>
      </c>
      <c r="P333" s="46">
        <f ca="1">O333/SUM(O:O)</f>
        <v>6.6666666666785862E-4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hidden="1" customHeight="1" x14ac:dyDescent="0.15">
      <c r="A334" s="2" t="str">
        <f ca="1">input_7339!A$2</f>
        <v>7339010</v>
      </c>
      <c r="B334" s="91">
        <v>1210</v>
      </c>
      <c r="C334" s="7" t="str">
        <f t="shared" si="23"/>
        <v>Premium4R3less</v>
      </c>
      <c r="D334" s="95" t="str">
        <f t="shared" si="24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IFERROR(VLOOKUP(B334,input_7339!L:R,7,FALSE),VLOOKUP(tables_7339!C334,input_7339!A:H,8,FALSE))</f>
        <v>0</v>
      </c>
      <c r="P334" s="46">
        <f ca="1">O334/SUM(O:O)</f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input_7339!A$2</f>
        <v>7339010</v>
      </c>
      <c r="B335" s="60">
        <v>1211</v>
      </c>
      <c r="C335" s="7" t="str">
        <f t="shared" si="23"/>
        <v>Premium5R3less</v>
      </c>
      <c r="D335" s="95" t="str">
        <f t="shared" si="24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IFERROR(VLOOKUP(B335,input_7339!L:R,7,FALSE),VLOOKUP(tables_7339!C335,input_7339!A:H,8,FALSE))</f>
        <v>1665361.44578</v>
      </c>
      <c r="P335" s="46">
        <f ca="1">O335/SUM(O:O)</f>
        <v>1.1445783132529055E-2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hidden="1" customHeight="1" x14ac:dyDescent="0.15">
      <c r="A336" s="2" t="str">
        <f ca="1">input_7339!A$2</f>
        <v>7339010</v>
      </c>
      <c r="B336" s="2">
        <v>1224</v>
      </c>
      <c r="C336" s="7" t="str">
        <f t="shared" ref="C336:C340" si="25">D336&amp;J336&amp;E336&amp;F336&amp;G336</f>
        <v>Premium4R3less</v>
      </c>
      <c r="D336" s="95" t="str">
        <f t="shared" ref="D336:D340" si="26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IFERROR(VLOOKUP(B336,input_7339!L:R,7,FALSE),VLOOKUP(tables_7339!C336,input_7339!A:H,8,FALSE))</f>
        <v>0</v>
      </c>
      <c r="P336" s="46">
        <f ca="1">O336/SUM(O:O)</f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input_7339!A$2</f>
        <v>7339010</v>
      </c>
      <c r="B337" s="2">
        <v>1225</v>
      </c>
      <c r="C337" s="7" t="str">
        <f t="shared" si="25"/>
        <v>Premium5R3less</v>
      </c>
      <c r="D337" s="95" t="str">
        <f t="shared" si="26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IFERROR(VLOOKUP(B337,input_7339!L:R,7,FALSE),VLOOKUP(tables_7339!C337,input_7339!A:H,8,FALSE))</f>
        <v>1665361.44578</v>
      </c>
      <c r="P337" s="46">
        <f ca="1">O337/SUM(O:O)</f>
        <v>1.1445783132529055E-2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input_7339!A$2</f>
        <v>7339010</v>
      </c>
      <c r="B338" s="2">
        <v>1226</v>
      </c>
      <c r="C338" s="7" t="str">
        <f t="shared" si="25"/>
        <v>PremiumSS5R5only</v>
      </c>
      <c r="D338" s="95" t="str">
        <f t="shared" si="26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IFERROR(VLOOKUP(B338,input_7339!L:R,7,FALSE),VLOOKUP(tables_7339!C338,input_7339!A:H,8,FALSE))</f>
        <v>97000</v>
      </c>
      <c r="P338" s="46">
        <f ca="1">O338/SUM(O:O)</f>
        <v>6.6666666666785862E-4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input_7339!A$2</f>
        <v>7339010</v>
      </c>
      <c r="B339" s="2">
        <v>1228</v>
      </c>
      <c r="C339" s="7" t="str">
        <f t="shared" si="25"/>
        <v>PremiumSS5R5only</v>
      </c>
      <c r="D339" s="95" t="str">
        <f t="shared" si="26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IFERROR(VLOOKUP(B339,input_7339!L:R,7,FALSE),VLOOKUP(tables_7339!C339,input_7339!A:H,8,FALSE))</f>
        <v>97000</v>
      </c>
      <c r="P339" s="46">
        <f ca="1">O339/SUM(O:O)</f>
        <v>6.6666666666785862E-4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input_7339!A$2</f>
        <v>7339010</v>
      </c>
      <c r="B340" s="2">
        <v>1230</v>
      </c>
      <c r="C340" s="7" t="str">
        <f t="shared" si="25"/>
        <v>PremiumSS5R5only</v>
      </c>
      <c r="D340" s="95" t="str">
        <f t="shared" si="26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IFERROR(VLOOKUP(B340,input_7339!L:R,7,FALSE),VLOOKUP(tables_7339!C340,input_7339!A:H,8,FALSE))</f>
        <v>97000</v>
      </c>
      <c r="P340" s="46">
        <f ca="1">O340/SUM(O:O)</f>
        <v>6.6666666666785862E-4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input_7339!A$2</f>
        <v>7339010</v>
      </c>
      <c r="B341" s="1">
        <v>1250</v>
      </c>
      <c r="C341" s="7" t="str">
        <f t="shared" ref="C341:C345" si="27">D341&amp;J341&amp;E341&amp;F341&amp;G341</f>
        <v>PremiumSS5R5only</v>
      </c>
      <c r="D341" s="95" t="str">
        <f t="shared" ref="D341:D345" si="28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IFERROR(VLOOKUP(B341,input_7339!L:R,7,FALSE),VLOOKUP(tables_7339!C341,input_7339!A:H,8,FALSE))</f>
        <v>97000</v>
      </c>
      <c r="P341" s="46">
        <f ca="1">O341/SUM(O:O)</f>
        <v>6.6666666666785862E-4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hidden="1" customHeight="1" x14ac:dyDescent="0.15">
      <c r="A342" s="2" t="str">
        <f ca="1">input_7339!A$2</f>
        <v>7339010</v>
      </c>
      <c r="B342" s="1">
        <v>1248</v>
      </c>
      <c r="C342" s="7" t="str">
        <f t="shared" si="27"/>
        <v>Premium4R3less</v>
      </c>
      <c r="D342" s="95" t="str">
        <f t="shared" si="28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IFERROR(VLOOKUP(B342,input_7339!L:R,7,FALSE),VLOOKUP(tables_7339!C342,input_7339!A:H,8,FALSE))</f>
        <v>0</v>
      </c>
      <c r="P342" s="46">
        <f ca="1">O342/SUM(O:O)</f>
        <v>0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input_7339!A$2</f>
        <v>7339010</v>
      </c>
      <c r="B343" s="1">
        <v>1249</v>
      </c>
      <c r="C343" s="7" t="str">
        <f t="shared" si="27"/>
        <v>Premium5R3less</v>
      </c>
      <c r="D343" s="95" t="str">
        <f t="shared" si="28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IFERROR(VLOOKUP(B343,input_7339!L:R,7,FALSE),VLOOKUP(tables_7339!C343,input_7339!A:H,8,FALSE))</f>
        <v>1665361.44578</v>
      </c>
      <c r="P343" s="46">
        <f ca="1">O343/SUM(O:O)</f>
        <v>1.1445783132529055E-2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input_7339!A$2</f>
        <v>7339010</v>
      </c>
      <c r="B344" s="1">
        <v>1246</v>
      </c>
      <c r="C344" s="7" t="str">
        <f t="shared" si="27"/>
        <v>PremiumSS5R5only</v>
      </c>
      <c r="D344" s="95" t="str">
        <f t="shared" si="28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IFERROR(VLOOKUP(B344,input_7339!L:R,7,FALSE),VLOOKUP(tables_7339!C344,input_7339!A:H,8,FALSE))</f>
        <v>97000</v>
      </c>
      <c r="P344" s="46">
        <f ca="1">O344/SUM(O:O)</f>
        <v>6.6666666666785862E-4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input_7339!A$2</f>
        <v>7339010</v>
      </c>
      <c r="B345" s="1">
        <v>1244</v>
      </c>
      <c r="C345" s="7" t="str">
        <f t="shared" si="27"/>
        <v>PremiumSS5R5only</v>
      </c>
      <c r="D345" s="95" t="str">
        <f t="shared" si="28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IFERROR(VLOOKUP(B345,input_7339!L:R,7,FALSE),VLOOKUP(tables_7339!C345,input_7339!A:H,8,FALSE))</f>
        <v>97000</v>
      </c>
      <c r="P345" s="46">
        <f ca="1">O345/SUM(O:O)</f>
        <v>6.6666666666785862E-4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input_7339!A$2</f>
        <v>7339010</v>
      </c>
      <c r="B346" s="1">
        <v>1260</v>
      </c>
      <c r="C346" s="7" t="str">
        <f t="shared" ref="C346:C350" si="29">D346&amp;J346&amp;E346&amp;F346&amp;G346</f>
        <v>PremiumSS5R5only</v>
      </c>
      <c r="D346" s="95" t="str">
        <f t="shared" ref="D346:D350" si="30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IFERROR(VLOOKUP(B346,input_7339!L:R,7,FALSE),VLOOKUP(tables_7339!C346,input_7339!A:H,8,FALSE))</f>
        <v>97000</v>
      </c>
      <c r="P346" s="46">
        <f ca="1">O346/SUM(O:O)</f>
        <v>6.6666666666785862E-4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input_7339!A$2</f>
        <v>7339010</v>
      </c>
      <c r="B347" s="1">
        <v>1262</v>
      </c>
      <c r="C347" s="7" t="str">
        <f t="shared" si="29"/>
        <v>PremiumSS5R5only</v>
      </c>
      <c r="D347" s="95" t="str">
        <f t="shared" si="30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IFERROR(VLOOKUP(B347,input_7339!L:R,7,FALSE),VLOOKUP(tables_7339!C347,input_7339!A:H,8,FALSE))</f>
        <v>97000</v>
      </c>
      <c r="P347" s="46">
        <f ca="1">O347/SUM(O:O)</f>
        <v>6.6666666666785862E-4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input_7339!A$2</f>
        <v>7339010</v>
      </c>
      <c r="B348" s="1">
        <v>1264</v>
      </c>
      <c r="C348" s="7" t="str">
        <f t="shared" si="29"/>
        <v>PremiumSS5R5only</v>
      </c>
      <c r="D348" s="95" t="str">
        <f t="shared" si="30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IFERROR(VLOOKUP(B348,input_7339!L:R,7,FALSE),VLOOKUP(tables_7339!C348,input_7339!A:H,8,FALSE))</f>
        <v>97000</v>
      </c>
      <c r="P348" s="46">
        <f ca="1">O348/SUM(O:O)</f>
        <v>6.6666666666785862E-4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hidden="1" customHeight="1" x14ac:dyDescent="0.15">
      <c r="A349" s="2" t="str">
        <f ca="1">input_7339!A$2</f>
        <v>7339010</v>
      </c>
      <c r="B349" s="1">
        <v>1266</v>
      </c>
      <c r="C349" s="7" t="str">
        <f t="shared" si="29"/>
        <v>Premium4R3less</v>
      </c>
      <c r="D349" s="95" t="str">
        <f t="shared" si="30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IFERROR(VLOOKUP(B349,input_7339!L:R,7,FALSE),VLOOKUP(tables_7339!C349,input_7339!A:H,8,FALSE))</f>
        <v>0</v>
      </c>
      <c r="P349" s="46">
        <f ca="1">O349/SUM(O:O)</f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2" customHeight="1" x14ac:dyDescent="0.15">
      <c r="A350" s="2" t="str">
        <f ca="1">input_7339!A$2</f>
        <v>7339010</v>
      </c>
      <c r="B350" s="1">
        <v>1267</v>
      </c>
      <c r="C350" s="7" t="str">
        <f t="shared" si="29"/>
        <v>Premium5R3less</v>
      </c>
      <c r="D350" s="95" t="str">
        <f t="shared" si="30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IFERROR(VLOOKUP(B350,input_7339!L:R,7,FALSE),VLOOKUP(tables_7339!C350,input_7339!A:H,8,FALSE))</f>
        <v>1665361.44578</v>
      </c>
      <c r="P350" s="46">
        <f ca="1">O350/SUM(O:O)</f>
        <v>1.1445783132529055E-2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input_7339!A$2</f>
        <v>7339010</v>
      </c>
      <c r="B351" s="99">
        <v>1332</v>
      </c>
      <c r="C351" s="7" t="str">
        <f t="shared" ref="C351:C355" si="31">D351&amp;J351&amp;E351&amp;F351&amp;G351</f>
        <v>PremiumSS5R5only</v>
      </c>
      <c r="D351" s="95" t="str">
        <f t="shared" ref="D351:D355" si="32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IFERROR(VLOOKUP(B351,input_7339!L:R,7,FALSE),VLOOKUP(tables_7339!C351,input_7339!A:H,8,FALSE))</f>
        <v>97000</v>
      </c>
      <c r="P351" s="46">
        <f ca="1">O351/SUM(O:O)</f>
        <v>6.6666666666785862E-4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input_7339!A$2</f>
        <v>7339010</v>
      </c>
      <c r="B352" s="99">
        <v>1336</v>
      </c>
      <c r="C352" s="7" t="str">
        <f t="shared" si="31"/>
        <v>PremiumSS5R5only</v>
      </c>
      <c r="D352" s="95" t="str">
        <f t="shared" si="32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IFERROR(VLOOKUP(B352,input_7339!L:R,7,FALSE),VLOOKUP(tables_7339!C352,input_7339!A:H,8,FALSE))</f>
        <v>97000</v>
      </c>
      <c r="P352" s="46">
        <f ca="1">O352/SUM(O:O)</f>
        <v>6.6666666666785862E-4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input_7339!A$2</f>
        <v>7339010</v>
      </c>
      <c r="B353" s="99">
        <v>1338</v>
      </c>
      <c r="C353" s="7" t="str">
        <f t="shared" si="31"/>
        <v>PremiumSS5R5only</v>
      </c>
      <c r="D353" s="95" t="str">
        <f t="shared" si="32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IFERROR(VLOOKUP(B353,input_7339!L:R,7,FALSE),VLOOKUP(tables_7339!C353,input_7339!A:H,8,FALSE))</f>
        <v>97000</v>
      </c>
      <c r="P353" s="46">
        <f ca="1">O353/SUM(O:O)</f>
        <v>6.6666666666785862E-4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hidden="1" customHeight="1" x14ac:dyDescent="0.15">
      <c r="A354" s="2" t="str">
        <f ca="1">input_7339!A$2</f>
        <v>7339010</v>
      </c>
      <c r="B354" s="99">
        <v>1334</v>
      </c>
      <c r="C354" s="7" t="str">
        <f t="shared" si="31"/>
        <v>Premium4R3less</v>
      </c>
      <c r="D354" s="95" t="str">
        <f t="shared" si="32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IFERROR(VLOOKUP(B354,input_7339!L:R,7,FALSE),VLOOKUP(tables_7339!C354,input_7339!A:H,8,FALSE))</f>
        <v>0</v>
      </c>
      <c r="P354" s="46">
        <f ca="1">O354/SUM(O:O)</f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input_7339!A$2</f>
        <v>7339010</v>
      </c>
      <c r="B355" s="99">
        <v>1335</v>
      </c>
      <c r="C355" s="7" t="str">
        <f t="shared" si="31"/>
        <v>Premium5R3less</v>
      </c>
      <c r="D355" s="95" t="str">
        <f t="shared" si="32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IFERROR(VLOOKUP(B355,input_7339!L:R,7,FALSE),VLOOKUP(tables_7339!C355,input_7339!A:H,8,FALSE))</f>
        <v>1665361.44578</v>
      </c>
      <c r="P355" s="46">
        <f ca="1">O355/SUM(O:O)</f>
        <v>1.1445783132529055E-2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hidden="1" customHeight="1" x14ac:dyDescent="0.15">
      <c r="A356" s="2" t="str">
        <f ca="1">input_7339!A$2</f>
        <v>7339010</v>
      </c>
      <c r="B356" s="103">
        <v>1381</v>
      </c>
      <c r="C356" s="104" t="str">
        <f t="shared" ref="C356" si="33">D356&amp;J356&amp;E356&amp;F356&amp;G356</f>
        <v>Premium4R3less</v>
      </c>
      <c r="D356" s="105" t="str">
        <f t="shared" ref="D356" si="34">IF(OR(I356="PremiumSS",I356="PremiumSSw"),"PremiumSS",IF(I356="PremiumSSS",I356,IF(I356="PremiumW",IF(J356=5,"premium",I356),"Premium")))</f>
        <v>Premium</v>
      </c>
      <c r="E356" s="104" t="str">
        <f>IF(COUNTIF('R6追加前'!A:A,B356)=0,IF(OR(I356="PremiumSS",I356="PremiumSSw"),"R5only","R3less"),"")</f>
        <v>R3less</v>
      </c>
      <c r="F356" s="104" t="str">
        <f>IF(COUNTIF('R6開放'!A:A,B356)&gt;0,"R6release","")</f>
        <v/>
      </c>
      <c r="G356" s="104"/>
      <c r="H356" s="104" t="str">
        <f>VLOOKUP(B356,[1]characters!$A:$C,3,FALSE)</f>
        <v>ガリバー</v>
      </c>
      <c r="I356" s="104" t="str">
        <f>VLOOKUP(B356,[1]characters!$A:$J,10,FALSE)</f>
        <v>PremiumS</v>
      </c>
      <c r="J356" s="104">
        <f>VLOOKUP(B356,[1]characters!$A:$I,9,FALSE)</f>
        <v>4</v>
      </c>
      <c r="K356" s="104" t="str">
        <f>VLOOKUP(B356,[1]characters!$A:$H,8,FALSE)</f>
        <v>red</v>
      </c>
      <c r="L356" s="104" t="str">
        <f>VLOOKUP(B356,[1]characters!$A:$K,11,FALSE)</f>
        <v>hp</v>
      </c>
      <c r="M356" s="104" t="str">
        <f>VLOOKUP(B356,[1]characters!$A:$M,13,FALSE)</f>
        <v>human</v>
      </c>
      <c r="N356" s="104">
        <f>VLOOKUP(B356,[1]characters!$A:$G,7,FALSE)</f>
        <v>0</v>
      </c>
      <c r="O356" s="106">
        <f ca="1">IFERROR(VLOOKUP(B356,input_7339!L:R,7,FALSE),VLOOKUP(tables_7339!C356,input_7339!A:H,8,FALSE))</f>
        <v>0</v>
      </c>
      <c r="P356" s="107">
        <f ca="1">O356/SUM(O:O)</f>
        <v>0</v>
      </c>
      <c r="Q356" s="108">
        <v>1</v>
      </c>
      <c r="R356" s="108">
        <v>0</v>
      </c>
      <c r="S356" s="108">
        <v>0</v>
      </c>
      <c r="T356" s="108">
        <v>0</v>
      </c>
      <c r="U356" s="108">
        <v>0</v>
      </c>
      <c r="V356" s="108">
        <v>1</v>
      </c>
    </row>
    <row r="357" spans="1:22" ht="21" customHeight="1" x14ac:dyDescent="0.15">
      <c r="A357" s="2" t="str">
        <f ca="1">input_7339!A$2</f>
        <v>7339010</v>
      </c>
      <c r="B357" s="103">
        <v>1382</v>
      </c>
      <c r="C357" s="104" t="str">
        <f t="shared" ref="C357:C360" si="35">D357&amp;J357&amp;E357&amp;F357&amp;G357</f>
        <v>Premium5R3less</v>
      </c>
      <c r="D357" s="105" t="str">
        <f t="shared" ref="D357:D360" si="36">IF(OR(I357="PremiumSS",I357="PremiumSSw"),"PremiumSS",IF(I357="PremiumSSS",I357,IF(I357="PremiumW",IF(J357=5,"premium",I357),"Premium")))</f>
        <v>Premium</v>
      </c>
      <c r="E357" s="104" t="str">
        <f>IF(COUNTIF('R6追加前'!A:A,B357)=0,IF(OR(I357="PremiumSS",I357="PremiumSSw"),"R5only","R3less"),"")</f>
        <v>R3less</v>
      </c>
      <c r="F357" s="104" t="str">
        <f>IF(COUNTIF('R6開放'!A:A,B357)&gt;0,"R6release","")</f>
        <v/>
      </c>
      <c r="G357" s="104"/>
      <c r="H357" s="104" t="str">
        <f>VLOOKUP(B357,[1]characters!$A:$C,3,FALSE)</f>
        <v>賢巨なる渡来者 ガリバー</v>
      </c>
      <c r="I357" s="104" t="str">
        <f>VLOOKUP(B357,[1]characters!$A:$J,10,FALSE)</f>
        <v>PremiumS</v>
      </c>
      <c r="J357" s="104">
        <f>VLOOKUP(B357,[1]characters!$A:$I,9,FALSE)</f>
        <v>5</v>
      </c>
      <c r="K357" s="104" t="str">
        <f>VLOOKUP(B357,[1]characters!$A:$H,8,FALSE)</f>
        <v>red</v>
      </c>
      <c r="L357" s="104" t="str">
        <f>VLOOKUP(B357,[1]characters!$A:$K,11,FALSE)</f>
        <v>hp</v>
      </c>
      <c r="M357" s="104" t="str">
        <f>VLOOKUP(B357,[1]characters!$A:$M,13,FALSE)</f>
        <v>human</v>
      </c>
      <c r="N357" s="104">
        <f>VLOOKUP(B357,[1]characters!$A:$G,7,FALSE)</f>
        <v>0</v>
      </c>
      <c r="O357" s="106">
        <f ca="1">IFERROR(VLOOKUP(B357,input_7339!L:R,7,FALSE),VLOOKUP(tables_7339!C357,input_7339!A:H,8,FALSE))</f>
        <v>1665361.44578</v>
      </c>
      <c r="P357" s="107">
        <f ca="1">O357/SUM(O:O)</f>
        <v>1.1445783132529055E-2</v>
      </c>
      <c r="Q357" s="108">
        <v>1</v>
      </c>
      <c r="R357" s="108">
        <v>0</v>
      </c>
      <c r="S357" s="108">
        <v>0</v>
      </c>
      <c r="T357" s="108">
        <v>0</v>
      </c>
      <c r="U357" s="108">
        <v>0</v>
      </c>
      <c r="V357" s="108">
        <v>1</v>
      </c>
    </row>
    <row r="358" spans="1:22" ht="21" customHeight="1" x14ac:dyDescent="0.15">
      <c r="A358" s="2" t="str">
        <f ca="1">input_7339!A$2</f>
        <v>7339010</v>
      </c>
      <c r="B358" s="103">
        <v>1383</v>
      </c>
      <c r="C358" s="104" t="str">
        <f t="shared" si="35"/>
        <v>PremiumSS5R5only</v>
      </c>
      <c r="D358" s="105" t="str">
        <f t="shared" si="36"/>
        <v>PremiumSS</v>
      </c>
      <c r="E358" s="104" t="str">
        <f>IF(COUNTIF('R6追加前'!A:A,B358)=0,IF(OR(I358="PremiumSS",I358="PremiumSSw"),"R5only","R3less"),"")</f>
        <v>R5only</v>
      </c>
      <c r="F358" s="104" t="str">
        <f>IF(COUNTIF('R6開放'!A:A,B358)&gt;0,"R6release","")</f>
        <v/>
      </c>
      <c r="G358" s="104"/>
      <c r="H358" s="104" t="str">
        <f>VLOOKUP(B358,[1]characters!$A:$C,3,FALSE)</f>
        <v>シンドバッド</v>
      </c>
      <c r="I358" s="104" t="str">
        <f>VLOOKUP(B358,[1]characters!$A:$J,10,FALSE)</f>
        <v>PremiumSS</v>
      </c>
      <c r="J358" s="104">
        <f>VLOOKUP(B358,[1]characters!$A:$I,9,FALSE)</f>
        <v>5</v>
      </c>
      <c r="K358" s="104" t="str">
        <f>VLOOKUP(B358,[1]characters!$A:$H,8,FALSE)</f>
        <v>green</v>
      </c>
      <c r="L358" s="104" t="str">
        <f>VLOOKUP(B358,[1]characters!$A:$K,11,FALSE)</f>
        <v>technical</v>
      </c>
      <c r="M358" s="104" t="str">
        <f>VLOOKUP(B358,[1]characters!$A:$M,13,FALSE)</f>
        <v>hero</v>
      </c>
      <c r="N358" s="104">
        <f>VLOOKUP(B358,[1]characters!$A:$G,7,FALSE)</f>
        <v>0</v>
      </c>
      <c r="O358" s="106">
        <f ca="1">IFERROR(VLOOKUP(B358,input_7339!L:R,7,FALSE),VLOOKUP(tables_7339!C358,input_7339!A:H,8,FALSE))</f>
        <v>97000</v>
      </c>
      <c r="P358" s="107">
        <f ca="1">O358/SUM(O:O)</f>
        <v>6.6666666666785862E-4</v>
      </c>
      <c r="Q358" s="108">
        <v>1</v>
      </c>
      <c r="R358" s="108">
        <v>0</v>
      </c>
      <c r="S358" s="108">
        <v>0</v>
      </c>
      <c r="T358" s="108">
        <v>0</v>
      </c>
      <c r="U358" s="108">
        <v>0</v>
      </c>
      <c r="V358" s="108">
        <v>1</v>
      </c>
    </row>
    <row r="359" spans="1:22" ht="21" customHeight="1" x14ac:dyDescent="0.15">
      <c r="A359" s="2" t="str">
        <f ca="1">input_7339!A$2</f>
        <v>7339010</v>
      </c>
      <c r="B359" s="103">
        <v>1385</v>
      </c>
      <c r="C359" s="104" t="str">
        <f t="shared" si="35"/>
        <v>PremiumSS5R5only</v>
      </c>
      <c r="D359" s="105" t="str">
        <f t="shared" si="36"/>
        <v>PremiumSS</v>
      </c>
      <c r="E359" s="104" t="str">
        <f>IF(COUNTIF('R6追加前'!A:A,B359)=0,IF(OR(I359="PremiumSS",I359="PremiumSSw"),"R5only","R3less"),"")</f>
        <v>R5only</v>
      </c>
      <c r="F359" s="104" t="str">
        <f>IF(COUNTIF('R6開放'!A:A,B359)&gt;0,"R6release","")</f>
        <v/>
      </c>
      <c r="G359" s="104"/>
      <c r="H359" s="104" t="str">
        <f>VLOOKUP(B359,[1]characters!$A:$C,3,FALSE)</f>
        <v>いばら姫</v>
      </c>
      <c r="I359" s="104" t="str">
        <f>VLOOKUP(B359,[1]characters!$A:$J,10,FALSE)</f>
        <v>PremiumSSw</v>
      </c>
      <c r="J359" s="104">
        <f>VLOOKUP(B359,[1]characters!$A:$I,9,FALSE)</f>
        <v>5</v>
      </c>
      <c r="K359" s="104" t="str">
        <f>VLOOKUP(B359,[1]characters!$A:$H,8,FALSE)</f>
        <v>blue</v>
      </c>
      <c r="L359" s="104" t="str">
        <f>VLOOKUP(B359,[1]characters!$A:$K,11,FALSE)</f>
        <v>attack</v>
      </c>
      <c r="M359" s="104" t="str">
        <f>VLOOKUP(B359,[1]characters!$A:$M,13,FALSE)</f>
        <v>fantasy</v>
      </c>
      <c r="N359" s="104">
        <f>VLOOKUP(B359,[1]characters!$A:$G,7,FALSE)</f>
        <v>0</v>
      </c>
      <c r="O359" s="106">
        <f ca="1">IFERROR(VLOOKUP(B359,input_7339!L:R,7,FALSE),VLOOKUP(tables_7339!C359,input_7339!A:H,8,FALSE))</f>
        <v>97000</v>
      </c>
      <c r="P359" s="107">
        <f ca="1">O359/SUM(O:O)</f>
        <v>6.6666666666785862E-4</v>
      </c>
      <c r="Q359" s="108">
        <v>1</v>
      </c>
      <c r="R359" s="108">
        <v>0</v>
      </c>
      <c r="S359" s="108">
        <v>0</v>
      </c>
      <c r="T359" s="108">
        <v>0</v>
      </c>
      <c r="U359" s="108">
        <v>0</v>
      </c>
      <c r="V359" s="108">
        <v>1</v>
      </c>
    </row>
    <row r="360" spans="1:22" ht="21" customHeight="1" x14ac:dyDescent="0.15">
      <c r="A360" s="2" t="str">
        <f ca="1">input_7339!A$2</f>
        <v>7339010</v>
      </c>
      <c r="B360" s="103">
        <v>1387</v>
      </c>
      <c r="C360" s="104" t="str">
        <f t="shared" si="35"/>
        <v>PremiumSS5R5only</v>
      </c>
      <c r="D360" s="105" t="str">
        <f t="shared" si="36"/>
        <v>PremiumSS</v>
      </c>
      <c r="E360" s="104" t="str">
        <f>IF(COUNTIF('R6追加前'!A:A,B360)=0,IF(OR(I360="PremiumSS",I360="PremiumSSw"),"R5only","R3less"),"")</f>
        <v>R5only</v>
      </c>
      <c r="F360" s="104" t="str">
        <f>IF(COUNTIF('R6開放'!A:A,B360)&gt;0,"R6release","")</f>
        <v/>
      </c>
      <c r="G360" s="104"/>
      <c r="H360" s="104" t="str">
        <f>VLOOKUP(B360,[1]characters!$A:$C,3,FALSE)</f>
        <v>ダルタニャン</v>
      </c>
      <c r="I360" s="104" t="str">
        <f>VLOOKUP(B360,[1]characters!$A:$J,10,FALSE)</f>
        <v>PremiumSS</v>
      </c>
      <c r="J360" s="104">
        <f>VLOOKUP(B360,[1]characters!$A:$I,9,FALSE)</f>
        <v>5</v>
      </c>
      <c r="K360" s="104" t="str">
        <f>VLOOKUP(B360,[1]characters!$A:$H,8,FALSE)</f>
        <v>yellow</v>
      </c>
      <c r="L360" s="104" t="str">
        <f>VLOOKUP(B360,[1]characters!$A:$K,11,FALSE)</f>
        <v>attack</v>
      </c>
      <c r="M360" s="104" t="str">
        <f>VLOOKUP(B360,[1]characters!$A:$M,13,FALSE)</f>
        <v>hero</v>
      </c>
      <c r="N360" s="104">
        <f>VLOOKUP(B360,[1]characters!$A:$G,7,FALSE)</f>
        <v>0</v>
      </c>
      <c r="O360" s="106">
        <f ca="1">IFERROR(VLOOKUP(B360,input_7339!L:R,7,FALSE),VLOOKUP(tables_7339!C360,input_7339!A:H,8,FALSE))</f>
        <v>97000</v>
      </c>
      <c r="P360" s="107">
        <f ca="1">O360/SUM(O:O)</f>
        <v>6.6666666666785862E-4</v>
      </c>
      <c r="Q360" s="108">
        <v>1</v>
      </c>
      <c r="R360" s="108">
        <v>0</v>
      </c>
      <c r="S360" s="108">
        <v>0</v>
      </c>
      <c r="T360" s="108">
        <v>0</v>
      </c>
      <c r="U360" s="108">
        <v>0</v>
      </c>
      <c r="V360" s="108">
        <v>1</v>
      </c>
    </row>
  </sheetData>
  <autoFilter ref="A1:V360">
    <filterColumn colId="9">
      <filters>
        <filter val="5"/>
      </filters>
    </filterColumn>
  </autoFilter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input_7339</vt:lpstr>
      <vt:lpstr>tables_7339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2017-05-22T09:47:42Z</dcterms:modified>
</cp:coreProperties>
</file>