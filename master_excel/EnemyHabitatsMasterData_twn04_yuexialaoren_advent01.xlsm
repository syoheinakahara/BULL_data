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760" yWindow="1260" windowWidth="35100" windowHeight="200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1" i="11" l="1"/>
  <c r="O50" i="9"/>
  <c r="N50" i="9"/>
  <c r="M50" i="9"/>
  <c r="L50" i="9"/>
  <c r="K50" i="9"/>
  <c r="J50" i="9"/>
  <c r="I50" i="9"/>
  <c r="H50" i="9"/>
  <c r="G50" i="9"/>
  <c r="E50" i="9"/>
  <c r="D50" i="9"/>
  <c r="A50" i="9"/>
  <c r="J50" i="11"/>
  <c r="O49" i="9"/>
  <c r="N49" i="9"/>
  <c r="M49" i="9"/>
  <c r="L49" i="9"/>
  <c r="K49" i="9"/>
  <c r="J49" i="9"/>
  <c r="I49" i="9"/>
  <c r="H49" i="9"/>
  <c r="G49" i="9"/>
  <c r="E49" i="9"/>
  <c r="D49" i="9"/>
  <c r="A49" i="9"/>
  <c r="J49" i="11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N2" i="22"/>
  <c r="G2" i="22"/>
  <c r="F2" i="22"/>
  <c r="D2" i="22"/>
  <c r="C2" i="22"/>
  <c r="A2" i="22"/>
  <c r="O19" i="21"/>
  <c r="B19" i="21"/>
  <c r="I19" i="21"/>
  <c r="J19" i="21"/>
  <c r="G19" i="21"/>
  <c r="F19" i="21"/>
  <c r="D19" i="21"/>
  <c r="C19" i="21"/>
  <c r="O18" i="21"/>
  <c r="B18" i="21"/>
  <c r="I18" i="21"/>
  <c r="J18" i="21"/>
  <c r="G18" i="21"/>
  <c r="F18" i="21"/>
  <c r="D18" i="21"/>
  <c r="C18" i="21"/>
  <c r="O17" i="21"/>
  <c r="B17" i="21"/>
  <c r="I17" i="21"/>
  <c r="J17" i="21"/>
  <c r="G17" i="21"/>
  <c r="F17" i="21"/>
  <c r="D17" i="21"/>
  <c r="C17" i="21"/>
  <c r="O16" i="21"/>
  <c r="B16" i="21"/>
  <c r="I16" i="21"/>
  <c r="J16" i="21"/>
  <c r="G16" i="21"/>
  <c r="F16" i="21"/>
  <c r="D16" i="21"/>
  <c r="C16" i="21"/>
  <c r="O11" i="21"/>
  <c r="B11" i="21"/>
  <c r="I11" i="21"/>
  <c r="J11" i="21"/>
  <c r="G11" i="21"/>
  <c r="F11" i="21"/>
  <c r="D11" i="21"/>
  <c r="C11" i="21"/>
  <c r="O10" i="21"/>
  <c r="B10" i="21"/>
  <c r="I10" i="21"/>
  <c r="J10" i="21"/>
  <c r="G10" i="21"/>
  <c r="F10" i="21"/>
  <c r="D10" i="21"/>
  <c r="C10" i="21"/>
  <c r="O9" i="21"/>
  <c r="B9" i="21"/>
  <c r="I9" i="21"/>
  <c r="J9" i="21"/>
  <c r="G9" i="21"/>
  <c r="F9" i="21"/>
  <c r="D9" i="21"/>
  <c r="C9" i="21"/>
  <c r="O8" i="21"/>
  <c r="B8" i="21"/>
  <c r="I8" i="21"/>
  <c r="J8" i="21"/>
  <c r="G8" i="21"/>
  <c r="F8" i="21"/>
  <c r="D8" i="21"/>
  <c r="C8" i="21"/>
  <c r="O7" i="21"/>
  <c r="B7" i="21"/>
  <c r="I7" i="21"/>
  <c r="J7" i="21"/>
  <c r="G7" i="21"/>
  <c r="F7" i="21"/>
  <c r="D7" i="21"/>
  <c r="C7" i="21"/>
  <c r="O2" i="21"/>
  <c r="O3" i="21"/>
  <c r="O4" i="21"/>
  <c r="O5" i="21"/>
  <c r="O6" i="21"/>
  <c r="O12" i="21"/>
  <c r="B14" i="21"/>
  <c r="C14" i="21"/>
  <c r="D14" i="21"/>
  <c r="F14" i="21"/>
  <c r="G14" i="21"/>
  <c r="I14" i="21"/>
  <c r="J14" i="21"/>
  <c r="O14" i="21"/>
  <c r="B15" i="21"/>
  <c r="C15" i="21"/>
  <c r="D15" i="21"/>
  <c r="F15" i="21"/>
  <c r="G15" i="21"/>
  <c r="I15" i="21"/>
  <c r="J15" i="21"/>
  <c r="O15" i="21"/>
  <c r="O13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2" i="18"/>
  <c r="C16" i="18"/>
  <c r="D16" i="18"/>
  <c r="C17" i="18"/>
  <c r="D17" i="18"/>
  <c r="C18" i="18"/>
  <c r="D18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19" i="1"/>
  <c r="AF19" i="1"/>
  <c r="AI19" i="1"/>
  <c r="AD18" i="1"/>
  <c r="AF18" i="1"/>
  <c r="AI18" i="1"/>
  <c r="AD17" i="1"/>
  <c r="AF17" i="1"/>
  <c r="AI17" i="1"/>
  <c r="AD16" i="1"/>
  <c r="AF16" i="1"/>
  <c r="AI16" i="1"/>
  <c r="AD15" i="1"/>
  <c r="AF15" i="1"/>
  <c r="AI15" i="1"/>
  <c r="AD12" i="1"/>
  <c r="AF12" i="1"/>
  <c r="AI12" i="1"/>
  <c r="E31" i="9"/>
  <c r="E28" i="9"/>
  <c r="E26" i="9"/>
  <c r="E23" i="9"/>
  <c r="E18" i="9"/>
  <c r="E15" i="9"/>
  <c r="E10" i="9"/>
  <c r="E6" i="9"/>
  <c r="E2" i="9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G12" i="1"/>
  <c r="AE12" i="1"/>
  <c r="E41" i="9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G11" i="1"/>
  <c r="AE11" i="1"/>
  <c r="E36" i="9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H2" i="1"/>
  <c r="H3" i="1"/>
  <c r="H4" i="1"/>
  <c r="H5" i="1"/>
  <c r="H6" i="1"/>
  <c r="H7" i="1"/>
  <c r="H8" i="1"/>
  <c r="H9" i="1"/>
  <c r="H10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A43" i="9"/>
  <c r="D43" i="9"/>
  <c r="E43" i="9"/>
  <c r="G43" i="9"/>
  <c r="H43" i="9"/>
  <c r="I43" i="9"/>
  <c r="J43" i="9"/>
  <c r="K43" i="9"/>
  <c r="L43" i="9"/>
  <c r="M43" i="9"/>
  <c r="N43" i="9"/>
  <c r="J43" i="11"/>
  <c r="O43" i="9"/>
  <c r="A44" i="9"/>
  <c r="D44" i="9"/>
  <c r="E44" i="9"/>
  <c r="G44" i="9"/>
  <c r="H44" i="9"/>
  <c r="I44" i="9"/>
  <c r="J44" i="9"/>
  <c r="K44" i="9"/>
  <c r="L44" i="9"/>
  <c r="M44" i="9"/>
  <c r="N44" i="9"/>
  <c r="J44" i="11"/>
  <c r="O44" i="9"/>
  <c r="A45" i="9"/>
  <c r="D45" i="9"/>
  <c r="E45" i="9"/>
  <c r="G45" i="9"/>
  <c r="H45" i="9"/>
  <c r="I45" i="9"/>
  <c r="J45" i="9"/>
  <c r="K45" i="9"/>
  <c r="L45" i="9"/>
  <c r="M45" i="9"/>
  <c r="N45" i="9"/>
  <c r="J45" i="11"/>
  <c r="O45" i="9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9" i="11"/>
  <c r="O9" i="9"/>
  <c r="A10" i="9"/>
  <c r="D10" i="9"/>
  <c r="G10" i="9"/>
  <c r="H10" i="9"/>
  <c r="I10" i="9"/>
  <c r="J10" i="9"/>
  <c r="K10" i="9"/>
  <c r="L10" i="9"/>
  <c r="M10" i="9"/>
  <c r="N10" i="9"/>
  <c r="J10" i="11"/>
  <c r="O10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G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H14" i="9"/>
  <c r="I14" i="9"/>
  <c r="J14" i="9"/>
  <c r="K14" i="9"/>
  <c r="L14" i="9"/>
  <c r="M14" i="9"/>
  <c r="N14" i="9"/>
  <c r="J14" i="11"/>
  <c r="O14" i="9"/>
  <c r="A15" i="9"/>
  <c r="D15" i="9"/>
  <c r="G15" i="9"/>
  <c r="H15" i="9"/>
  <c r="I15" i="9"/>
  <c r="J15" i="9"/>
  <c r="K15" i="9"/>
  <c r="L15" i="9"/>
  <c r="M15" i="9"/>
  <c r="N15" i="9"/>
  <c r="J15" i="11"/>
  <c r="O15" i="9"/>
  <c r="A16" i="9"/>
  <c r="D16" i="9"/>
  <c r="E16" i="9"/>
  <c r="G16" i="9"/>
  <c r="H16" i="9"/>
  <c r="I16" i="9"/>
  <c r="J16" i="9"/>
  <c r="K16" i="9"/>
  <c r="L16" i="9"/>
  <c r="M16" i="9"/>
  <c r="N16" i="9"/>
  <c r="J16" i="11"/>
  <c r="O16" i="9"/>
  <c r="A17" i="9"/>
  <c r="D17" i="9"/>
  <c r="E17" i="9"/>
  <c r="G17" i="9"/>
  <c r="H17" i="9"/>
  <c r="I17" i="9"/>
  <c r="J17" i="9"/>
  <c r="K17" i="9"/>
  <c r="L17" i="9"/>
  <c r="M17" i="9"/>
  <c r="N17" i="9"/>
  <c r="J17" i="11"/>
  <c r="O17" i="9"/>
  <c r="A18" i="9"/>
  <c r="D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A26" i="9"/>
  <c r="D26" i="9"/>
  <c r="G26" i="9"/>
  <c r="H26" i="9"/>
  <c r="I26" i="9"/>
  <c r="J26" i="9"/>
  <c r="K26" i="9"/>
  <c r="L26" i="9"/>
  <c r="M26" i="9"/>
  <c r="N26" i="9"/>
  <c r="J26" i="11"/>
  <c r="O26" i="9"/>
  <c r="A27" i="9"/>
  <c r="D27" i="9"/>
  <c r="E27" i="9"/>
  <c r="G27" i="9"/>
  <c r="H27" i="9"/>
  <c r="I27" i="9"/>
  <c r="J27" i="9"/>
  <c r="K27" i="9"/>
  <c r="L27" i="9"/>
  <c r="M27" i="9"/>
  <c r="N27" i="9"/>
  <c r="J27" i="11"/>
  <c r="O27" i="9"/>
  <c r="A28" i="9"/>
  <c r="D28" i="9"/>
  <c r="G28" i="9"/>
  <c r="H28" i="9"/>
  <c r="I28" i="9"/>
  <c r="J28" i="9"/>
  <c r="K28" i="9"/>
  <c r="L28" i="9"/>
  <c r="M28" i="9"/>
  <c r="N28" i="9"/>
  <c r="J28" i="11"/>
  <c r="O28" i="9"/>
  <c r="A29" i="9"/>
  <c r="D29" i="9"/>
  <c r="E29" i="9"/>
  <c r="G29" i="9"/>
  <c r="H29" i="9"/>
  <c r="I29" i="9"/>
  <c r="J29" i="9"/>
  <c r="K29" i="9"/>
  <c r="L29" i="9"/>
  <c r="M29" i="9"/>
  <c r="N29" i="9"/>
  <c r="J29" i="11"/>
  <c r="O29" i="9"/>
  <c r="A30" i="9"/>
  <c r="D30" i="9"/>
  <c r="E30" i="9"/>
  <c r="G30" i="9"/>
  <c r="H30" i="9"/>
  <c r="I30" i="9"/>
  <c r="J30" i="9"/>
  <c r="K30" i="9"/>
  <c r="L30" i="9"/>
  <c r="M30" i="9"/>
  <c r="N30" i="9"/>
  <c r="J30" i="11"/>
  <c r="O30" i="9"/>
  <c r="A31" i="9"/>
  <c r="D31" i="9"/>
  <c r="G31" i="9"/>
  <c r="H31" i="9"/>
  <c r="I31" i="9"/>
  <c r="J31" i="9"/>
  <c r="K31" i="9"/>
  <c r="L31" i="9"/>
  <c r="M31" i="9"/>
  <c r="N31" i="9"/>
  <c r="J31" i="11"/>
  <c r="O31" i="9"/>
  <c r="A32" i="9"/>
  <c r="D32" i="9"/>
  <c r="E32" i="9"/>
  <c r="G32" i="9"/>
  <c r="H32" i="9"/>
  <c r="I32" i="9"/>
  <c r="J32" i="9"/>
  <c r="K32" i="9"/>
  <c r="L32" i="9"/>
  <c r="M32" i="9"/>
  <c r="N32" i="9"/>
  <c r="J32" i="11"/>
  <c r="O32" i="9"/>
  <c r="A33" i="9"/>
  <c r="D33" i="9"/>
  <c r="E33" i="9"/>
  <c r="G33" i="9"/>
  <c r="H33" i="9"/>
  <c r="I33" i="9"/>
  <c r="J33" i="9"/>
  <c r="K33" i="9"/>
  <c r="L33" i="9"/>
  <c r="M33" i="9"/>
  <c r="N33" i="9"/>
  <c r="J33" i="11"/>
  <c r="O33" i="9"/>
  <c r="A34" i="9"/>
  <c r="D34" i="9"/>
  <c r="E34" i="9"/>
  <c r="G34" i="9"/>
  <c r="H34" i="9"/>
  <c r="I34" i="9"/>
  <c r="J34" i="9"/>
  <c r="K34" i="9"/>
  <c r="L34" i="9"/>
  <c r="M34" i="9"/>
  <c r="N34" i="9"/>
  <c r="J34" i="11"/>
  <c r="O34" i="9"/>
  <c r="A35" i="9"/>
  <c r="D35" i="9"/>
  <c r="E35" i="9"/>
  <c r="G35" i="9"/>
  <c r="H35" i="9"/>
  <c r="I35" i="9"/>
  <c r="J35" i="9"/>
  <c r="K35" i="9"/>
  <c r="L35" i="9"/>
  <c r="M35" i="9"/>
  <c r="N35" i="9"/>
  <c r="J35" i="11"/>
  <c r="O35" i="9"/>
  <c r="A36" i="9"/>
  <c r="D36" i="9"/>
  <c r="G36" i="9"/>
  <c r="H36" i="9"/>
  <c r="I36" i="9"/>
  <c r="J36" i="9"/>
  <c r="K36" i="9"/>
  <c r="L36" i="9"/>
  <c r="M36" i="9"/>
  <c r="N36" i="9"/>
  <c r="J36" i="11"/>
  <c r="O36" i="9"/>
  <c r="A37" i="9"/>
  <c r="D37" i="9"/>
  <c r="E37" i="9"/>
  <c r="G37" i="9"/>
  <c r="H37" i="9"/>
  <c r="I37" i="9"/>
  <c r="J37" i="9"/>
  <c r="K37" i="9"/>
  <c r="L37" i="9"/>
  <c r="M37" i="9"/>
  <c r="N37" i="9"/>
  <c r="J37" i="11"/>
  <c r="O37" i="9"/>
  <c r="A38" i="9"/>
  <c r="D38" i="9"/>
  <c r="E38" i="9"/>
  <c r="G38" i="9"/>
  <c r="H38" i="9"/>
  <c r="I38" i="9"/>
  <c r="J38" i="9"/>
  <c r="K38" i="9"/>
  <c r="L38" i="9"/>
  <c r="M38" i="9"/>
  <c r="N38" i="9"/>
  <c r="J38" i="11"/>
  <c r="O38" i="9"/>
  <c r="A39" i="9"/>
  <c r="D39" i="9"/>
  <c r="E39" i="9"/>
  <c r="G39" i="9"/>
  <c r="H39" i="9"/>
  <c r="I39" i="9"/>
  <c r="J39" i="9"/>
  <c r="K39" i="9"/>
  <c r="L39" i="9"/>
  <c r="M39" i="9"/>
  <c r="N39" i="9"/>
  <c r="J39" i="11"/>
  <c r="O39" i="9"/>
  <c r="A40" i="9"/>
  <c r="D40" i="9"/>
  <c r="E40" i="9"/>
  <c r="G40" i="9"/>
  <c r="H40" i="9"/>
  <c r="I40" i="9"/>
  <c r="J40" i="9"/>
  <c r="K40" i="9"/>
  <c r="L40" i="9"/>
  <c r="M40" i="9"/>
  <c r="N40" i="9"/>
  <c r="J40" i="11"/>
  <c r="O40" i="9"/>
  <c r="A41" i="9"/>
  <c r="D41" i="9"/>
  <c r="G41" i="9"/>
  <c r="H41" i="9"/>
  <c r="I41" i="9"/>
  <c r="J41" i="9"/>
  <c r="K41" i="9"/>
  <c r="L41" i="9"/>
  <c r="M41" i="9"/>
  <c r="N41" i="9"/>
  <c r="J41" i="11"/>
  <c r="O41" i="9"/>
  <c r="A42" i="9"/>
  <c r="D42" i="9"/>
  <c r="E42" i="9"/>
  <c r="G42" i="9"/>
  <c r="H42" i="9"/>
  <c r="I42" i="9"/>
  <c r="J42" i="9"/>
  <c r="K42" i="9"/>
  <c r="L42" i="9"/>
  <c r="M42" i="9"/>
  <c r="N42" i="9"/>
  <c r="J42" i="11"/>
  <c r="O42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5" i="1"/>
  <c r="AF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X2" i="1"/>
  <c r="W2" i="7"/>
  <c r="U2" i="7"/>
  <c r="V10" i="1"/>
  <c r="V2" i="1"/>
  <c r="T10" i="1"/>
  <c r="T2" i="1"/>
  <c r="E13" i="16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D10" i="1"/>
  <c r="AG10" i="1"/>
  <c r="AF10" i="1"/>
  <c r="AE10" i="1"/>
  <c r="AD2" i="1"/>
  <c r="AG2" i="1"/>
  <c r="AF2" i="1"/>
  <c r="AE2" i="1"/>
  <c r="X10" i="1"/>
  <c r="Q10" i="1"/>
  <c r="P10" i="1"/>
  <c r="O10" i="1"/>
  <c r="N10" i="1"/>
  <c r="M10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10" i="1"/>
  <c r="A2" i="1"/>
  <c r="AI10" i="1"/>
  <c r="A2" i="9"/>
  <c r="J10" i="1"/>
  <c r="I10" i="1"/>
  <c r="D10" i="1"/>
  <c r="F10" i="1"/>
  <c r="E10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<sst xmlns="http://schemas.openxmlformats.org/spreadsheetml/2006/main" count="927" uniqueCount="419">
  <si>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</si>
  <si>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</si>
  <si>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</si>
  <si>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</si>
  <si>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</si>
  <si>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</si>
  <si>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</si>
  <si>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</si>
  <si>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</si>
  <si>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</si>
  <si>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</si>
  <si>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</si>
  <si>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</si>
  <si>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</si>
  <si>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</si>
  <si>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</si>
  <si>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</si>
  <si>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</si>
  <si>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</si>
  <si>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</si>
  <si>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</si>
  <si>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</si>
  <si>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</si>
  <si>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</si>
  <si>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</si>
  <si>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</si>
  <si>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</si>
  <si>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</si>
  <si>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</si>
  <si>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</si>
  <si>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</si>
  <si>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</si>
  <si>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</si>
  <si>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</si>
  <si>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</si>
  <si>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</si>
  <si>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</si>
  <si>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</si>
  <si>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</si>
  <si>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</si>
  <si>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</si>
  <si>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</si>
  <si>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</si>
  <si>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</si>
  <si>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</si>
  <si>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</si>
  <si>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</si>
  <si>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</si>
  <si>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</si>
  <si>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</si>
  <si>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</si>
  <si>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</si>
  <si>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</si>
  <si>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</si>
  <si>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</si>
  <si>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</si>
  <si>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</si>
  <si>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</si>
  <si>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</si>
  <si>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</si>
  <si>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</si>
  <si>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</si>
  <si>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</si>
  <si>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</si>
  <si>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</si>
  <si>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</si>
  <si>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</si>
  <si>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</si>
  <si>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</si>
  <si>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</si>
  <si>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</si>
  <si>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</si>
  <si>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</si>
  <si>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</si>
  <si>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</si>
  <si>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</si>
  <si>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</si>
  <si>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</si>
  <si>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</si>
  <si>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</si>
  <si>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</si>
  <si>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</si>
  <si>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</si>
  <si>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</si>
  <si>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</si>
  <si>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</si>
  <si>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</si>
  <si>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</si>
  <si>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</si>
  <si>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</si>
  <si>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</si>
  <si>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</si>
  <si>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</si>
  <si>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</si>
  <si>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</si>
  <si>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</si>
  <si>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</si>
  <si>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</si>
  <si>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</si>
  <si>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</si>
  <si>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</si>
  <si>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</si>
  <si>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</si>
  <si>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</si>
  <si>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</si>
  <si>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</si>
  <si>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</si>
  <si>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</si>
  <si>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</si>
  <si>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</si>
  <si>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</si>
  <si>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</si>
  <si>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</si>
  <si>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</si>
  <si>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</si>
  <si>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</si>
  <si>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</si>
  <si>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</si>
  <si>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</si>
  <si>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</si>
  <si>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</si>
  <si>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</si>
  <si>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</si>
  <si>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</si>
  <si>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</si>
  <si>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</si>
  <si>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</si>
  <si>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</si>
  <si>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</si>
  <si>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</si>
  <si>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</si>
  <si>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</si>
  <si>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</si>
  <si>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</si>
  <si>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</si>
  <si>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</si>
  <si>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</si>
  <si>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</si>
  <si>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</si>
  <si>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</si>
  <si>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</si>
  <si>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</si>
  <si>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</si>
  <si>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</si>
  <si>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</si>
  <si>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</si>
  <si>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</si>
  <si>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</si>
  <si>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</si>
  <si>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</si>
  <si>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</si>
  <si>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</si>
  <si>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</si>
  <si>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</si>
  <si>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</si>
  <si>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</si>
  <si>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</si>
  <si>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</si>
  <si>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</si>
  <si>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</si>
  <si>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</si>
  <si>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</si>
  <si>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</si>
  <si>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</si>
  <si>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</si>
  <si>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</si>
  <si>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</si>
  <si>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</si>
  <si>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</si>
  <si>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</si>
  <si>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</si>
  <si>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</si>
  <si>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</si>
  <si>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</si>
  <si>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</si>
  <si>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</si>
  <si>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</si>
  <si>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</si>
  <si>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</si>
  <si>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</si>
  <si>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</si>
  <si>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</si>
  <si>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</si>
  <si>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</si>
  <si>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</si>
  <si>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</si>
  <si>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</si>
  <si>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</si>
  <si>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</si>
  <si>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</si>
  <si>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</si>
  <si>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</si>
  <si>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</si>
  <si>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</si>
  <si>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</si>
  <si>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</si>
  <si>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</si>
  <si>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</si>
  <si>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</si>
  <si>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</si>
  <si>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</si>
  <si>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</si>
  <si>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</si>
  <si>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</si>
  <si>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</si>
  <si>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</si>
  <si>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</si>
  <si>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</si>
  <si>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</si>
  <si>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</si>
  <si>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</si>
  <si>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</si>
  <si>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</si>
  <si>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</si>
  <si>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</si>
  <si>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</si>
  <si>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</si>
  <si>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</si>
  <si>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</si>
  <si>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</si>
  <si>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</si>
  <si>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</si>
  <si>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</si>
  <si>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</si>
  <si>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</si>
  <si>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</si>
  <si>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</si>
  <si>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</si>
  <si>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</si>
  <si>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</si>
  <si>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</si>
  <si>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</si>
  <si>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</si>
  <si>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</si>
  <si>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</si>
  <si>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</si>
  <si>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</si>
  <si>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</si>
  <si>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</si>
  <si>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</si>
  <si>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</si>
  <si>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</si>
  <si>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</si>
  <si>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</si>
  <si>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</si>
  <si>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</si>
  <si>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</si>
  <si>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</si>
  <si>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</si>
  <si>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寺院にお参りしている</t>
    <phoneticPr fontId="5"/>
  </si>
  <si>
    <t>クリティカル！</t>
    <phoneticPr fontId="5"/>
  </si>
  <si>
    <t>ヨシタカは困惑している</t>
  </si>
  <si>
    <t>全体攻撃</t>
    <phoneticPr fontId="5"/>
  </si>
  <si>
    <t>愛迷バレット</t>
    <phoneticPr fontId="5"/>
  </si>
  <si>
    <t>お賽銭バズーカ</t>
    <phoneticPr fontId="5"/>
  </si>
  <si>
    <t>ゆららは怯えている</t>
    <phoneticPr fontId="5"/>
  </si>
  <si>
    <t>アツいのはイヤなの！</t>
    <phoneticPr fontId="5"/>
  </si>
  <si>
    <t>ゆるゆるいんひびっと</t>
  </si>
  <si>
    <t>3ターン赤パネル無効</t>
    <phoneticPr fontId="5"/>
  </si>
  <si>
    <t>小僧　問答の時間だ！</t>
    <phoneticPr fontId="5"/>
  </si>
  <si>
    <t>3ターン自身の攻撃力UP</t>
    <phoneticPr fontId="5"/>
  </si>
  <si>
    <t>禅を説いてやろう</t>
    <phoneticPr fontId="5"/>
  </si>
  <si>
    <t>金遁の札</t>
    <phoneticPr fontId="5"/>
  </si>
  <si>
    <t>3ターン自身の攻撃頻度UP</t>
    <phoneticPr fontId="5"/>
  </si>
  <si>
    <t>手毬唄【風車】</t>
    <phoneticPr fontId="5"/>
  </si>
  <si>
    <t>2回連続攻撃</t>
    <phoneticPr fontId="5"/>
  </si>
  <si>
    <t>皆に合縁奇縁のあらんことを</t>
    <phoneticPr fontId="5"/>
  </si>
  <si>
    <t>次のターン強力な攻撃</t>
    <phoneticPr fontId="5"/>
  </si>
  <si>
    <t>数多の縁よ！全てに幸あれ！</t>
    <phoneticPr fontId="5"/>
  </si>
  <si>
    <t>null</t>
    <phoneticPr fontId="5"/>
  </si>
  <si>
    <t>null</t>
    <phoneticPr fontId="5"/>
  </si>
  <si>
    <t>全体攻撃</t>
    <rPh sb="0" eb="4">
      <t>ゼンタイコウゲキ</t>
    </rPh>
    <phoneticPr fontId="5"/>
  </si>
  <si>
    <t>喝ぁぁぁっ！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</si>
  <si>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</si>
  <si>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</si>
  <si>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</si>
  <si>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</si>
  <si>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</si>
  <si>
    <t>この糸がマイちゃんに繋がっている…？</t>
    <rPh sb="10" eb="11">
      <t>ツナガッテ</t>
    </rPh>
    <phoneticPr fontId="5"/>
  </si>
  <si>
    <t>ヨシタカは赤い糸をたどって走り去った</t>
    <rPh sb="5" eb="6">
      <t>アカイイト</t>
    </rPh>
    <phoneticPr fontId="5"/>
  </si>
  <si>
    <t>トリスタンは赤い糸をたどって走り去った</t>
    <rPh sb="6" eb="7">
      <t>アカイイト</t>
    </rPh>
    <phoneticPr fontId="5"/>
  </si>
  <si>
    <t>反対側はいったい誰につながってるんだろう</t>
    <rPh sb="0" eb="3">
      <t>ハンタイガワ</t>
    </rPh>
    <rPh sb="8" eb="9">
      <t>ダレ</t>
    </rPh>
    <phoneticPr fontId="5"/>
  </si>
  <si>
    <t>参拝客か？良縁に恵まれたまえ</t>
    <phoneticPr fontId="5"/>
  </si>
  <si>
    <t>吉凶は今後の行い次第だろう</t>
    <rPh sb="3" eb="5">
      <t>コンゴ</t>
    </rPh>
    <rPh sb="8" eb="10">
      <t>シダイ</t>
    </rPh>
    <phoneticPr fontId="5"/>
  </si>
  <si>
    <t>今は座して待つのが吉とある</t>
    <rPh sb="0" eb="1">
      <t>イマ</t>
    </rPh>
    <phoneticPr fontId="5"/>
  </si>
  <si>
    <t>null</t>
    <phoneticPr fontId="5"/>
  </si>
  <si>
    <t>link</t>
  </si>
  <si>
    <t>unit</t>
  </si>
  <si>
    <t>failure</t>
    <phoneticPr fontId="5"/>
  </si>
  <si>
    <t>事件の終息</t>
    <rPh sb="0" eb="2">
      <t>ジケｎ</t>
    </rPh>
    <rPh sb="3" eb="5">
      <t>シュウソク</t>
    </rPh>
    <phoneticPr fontId="5"/>
  </si>
  <si>
    <t>月下老人の暴走が原因で発生した
不幸なカップルを多数生み出した事件は
アナタの活躍により終息に向かうでしょう</t>
    <rPh sb="0" eb="4">
      <t>ゲッカロウジｎ</t>
    </rPh>
    <rPh sb="5" eb="7">
      <t>ボウソウ</t>
    </rPh>
    <rPh sb="8" eb="10">
      <t>ゲンイｎ</t>
    </rPh>
    <rPh sb="11" eb="13">
      <t>ハッセイシタ</t>
    </rPh>
    <rPh sb="16" eb="18">
      <t>フコウナ</t>
    </rPh>
    <rPh sb="24" eb="26">
      <t>タスウ</t>
    </rPh>
    <rPh sb="26" eb="27">
      <t>ウミダシタ</t>
    </rPh>
    <rPh sb="31" eb="33">
      <t>ジケン</t>
    </rPh>
    <rPh sb="44" eb="46">
      <t>syuusoku</t>
    </rPh>
    <rPh sb="47" eb="48">
      <t>ムカイマシタ</t>
    </rPh>
    <phoneticPr fontId="5"/>
  </si>
  <si>
    <t>「月下老人」</t>
    <rPh sb="1" eb="5">
      <t>ゲッカロウジｎ</t>
    </rPh>
    <phoneticPr fontId="5"/>
  </si>
  <si>
    <t>「縁結び寺院」</t>
    <rPh sb="1" eb="3">
      <t>エンムスビジイン</t>
    </rPh>
    <phoneticPr fontId="5"/>
  </si>
  <si>
    <t>「西王娘娘」</t>
    <phoneticPr fontId="5"/>
  </si>
  <si>
    <t>通称「縁結び寺院」の管理AIである
「老人」の名を冠するが
外見はどう見ても若い男性であり
ある種の称号である可能性が高い</t>
    <rPh sb="0" eb="2">
      <t>ツウショウ</t>
    </rPh>
    <rPh sb="10" eb="12">
      <t>カンリニｎ</t>
    </rPh>
    <rPh sb="19" eb="21">
      <t>ロウジｎ</t>
    </rPh>
    <rPh sb="23" eb="24">
      <t>ナヲ</t>
    </rPh>
    <rPh sb="25" eb="26">
      <t>カンスル</t>
    </rPh>
    <rPh sb="30" eb="32">
      <t>ガイケンテキイハ</t>
    </rPh>
    <rPh sb="35" eb="36">
      <t>ミテ</t>
    </rPh>
    <rPh sb="38" eb="39">
      <t>ワカイダンセイ</t>
    </rPh>
    <rPh sb="50" eb="52">
      <t>ショウゴウ</t>
    </rPh>
    <rPh sb="55" eb="58">
      <t>カノウセイ</t>
    </rPh>
    <phoneticPr fontId="5"/>
  </si>
  <si>
    <t>規定のターン数が経過するか
どちらかを撃破することで
撤退するので回復しつつ耐えましょう</t>
    <rPh sb="0" eb="2">
      <t>キテイノ</t>
    </rPh>
    <rPh sb="8" eb="10">
      <t>ケイカ</t>
    </rPh>
    <rPh sb="27" eb="29">
      <t>テッタイ</t>
    </rPh>
    <rPh sb="33" eb="35">
      <t>カイフク</t>
    </rPh>
    <rPh sb="38" eb="39">
      <t>タエ</t>
    </rPh>
    <phoneticPr fontId="5"/>
  </si>
  <si>
    <t>有名なマッチングサービスの1つ
出逢った恋人と決して別れないとの
噂もあり若者達からの人気は高い</t>
    <rPh sb="0" eb="2">
      <t>ユウメイ</t>
    </rPh>
    <rPh sb="16" eb="18">
      <t>deatta</t>
    </rPh>
    <rPh sb="20" eb="22">
      <t>コイビト</t>
    </rPh>
    <rPh sb="23" eb="24">
      <t>ケシテ</t>
    </rPh>
    <rPh sb="26" eb="27">
      <t>ワカレ</t>
    </rPh>
    <rPh sb="33" eb="34">
      <t>ウワサガ</t>
    </rPh>
    <rPh sb="37" eb="39">
      <t>ワカモノ</t>
    </rPh>
    <rPh sb="39" eb="40">
      <t>タチ</t>
    </rPh>
    <rPh sb="43" eb="45">
      <t>ニンキハタカイ</t>
    </rPh>
    <phoneticPr fontId="5"/>
  </si>
  <si>
    <t>アバターの浄化を司る管理AIであり
ALICE内の悲哀や邪念など負の感情を
お菓子に変化させ昇華します</t>
    <phoneticPr fontId="5"/>
  </si>
  <si>
    <t>ふむ…まあまあの縁となろう</t>
    <phoneticPr fontId="5"/>
  </si>
  <si>
    <t>ふむ…おみくじを引かないか？</t>
    <phoneticPr fontId="5"/>
  </si>
  <si>
    <t>この縁通しは成功させてみせる</t>
    <phoneticPr fontId="5"/>
  </si>
  <si>
    <t>君たちの良縁に祈祷しよう</t>
    <phoneticPr fontId="5"/>
  </si>
  <si>
    <t>君たちには赤い糸を結ぼう</t>
    <rPh sb="9" eb="10">
      <t>ムスボウ</t>
    </rPh>
    <phoneticPr fontId="5"/>
  </si>
  <si>
    <t>ユニットに赤い糸を結びつけて攻撃</t>
    <rPh sb="14" eb="16">
      <t>コウゲキ</t>
    </rPh>
    <phoneticPr fontId="5"/>
  </si>
  <si>
    <t>赤い糸で結ばれたユニットは
1ターンスキルバインド</t>
    <rPh sb="0" eb="1">
      <t>アカイイト</t>
    </rPh>
    <rPh sb="4" eb="5">
      <t>ムスバレタ</t>
    </rPh>
    <phoneticPr fontId="5"/>
  </si>
  <si>
    <t>everyone</t>
    <phoneticPr fontId="5"/>
  </si>
  <si>
    <t>no_continue</t>
    <phoneticPr fontId="5"/>
  </si>
  <si>
    <t>unit</t>
    <phoneticPr fontId="5"/>
  </si>
  <si>
    <t>2016-5-27 0:00:00</t>
    <phoneticPr fontId="5"/>
  </si>
  <si>
    <t>2970-01-01 09:00:00</t>
    <phoneticPr fontId="5"/>
  </si>
  <si>
    <t>次のターンにハートパネル吸収攻撃</t>
    <rPh sb="12" eb="14">
      <t>キュウシュウ</t>
    </rPh>
    <phoneticPr fontId="5"/>
  </si>
  <si>
    <t>トリスタンは困惑している
【3ターン自身の防御力UP】</t>
    <phoneticPr fontId="5"/>
  </si>
  <si>
    <t>ランダムで黄の時限式ダメージパネルに3個変換+
単体攻撃</t>
  </si>
  <si>
    <t>ランダムでお邪魔パネルに12個変換+状態異常耐性</t>
    <phoneticPr fontId="5"/>
  </si>
  <si>
    <t>ランダムでお邪魔パネルに12個変換+
状態異常耐性</t>
    <phoneticPr fontId="5"/>
  </si>
  <si>
    <t>お邪魔パネルを吸収して全体攻撃(最大30個)</t>
    <phoneticPr fontId="5"/>
  </si>
  <si>
    <t>null</t>
  </si>
  <si>
    <t>自身の防御力UP+状態異常耐性</t>
    <phoneticPr fontId="5"/>
  </si>
  <si>
    <t>むぅ…この皆の有様…
全て俺のせいだというのか…？</t>
    <phoneticPr fontId="5"/>
  </si>
  <si>
    <t>ええい！さあ集まるが良い皆の者！
もう一度縁通しのやり直しだ！</t>
    <phoneticPr fontId="5"/>
  </si>
  <si>
    <t>そうか俺のために君は…
すまない、手を煩わせたな…</t>
    <phoneticPr fontId="5"/>
  </si>
  <si>
    <t>テマリはHPが半減すると敵全体に
防御力UPのスキルを使用します
タマモから倒すと良いでしょう</t>
    <rPh sb="7" eb="9">
      <t>ハンゲｎ</t>
    </rPh>
    <rPh sb="12" eb="13">
      <t>テキ</t>
    </rPh>
    <rPh sb="13" eb="15">
      <t>ゼンタイ</t>
    </rPh>
    <rPh sb="17" eb="20">
      <t>ボウギョリョク</t>
    </rPh>
    <rPh sb="27" eb="29">
      <t>シヨウシマス</t>
    </rPh>
    <rPh sb="38" eb="39">
      <t>タオストヨイデショウ</t>
    </rPh>
    <phoneticPr fontId="5"/>
  </si>
  <si>
    <t>お邪魔パネルの生成頻度が高いため
変換スキルやフィーバーで
処理したあとも油断しないようにしましょう</t>
    <rPh sb="9" eb="11">
      <t>ヒンド</t>
    </rPh>
    <rPh sb="12" eb="13">
      <t>タカイ</t>
    </rPh>
    <rPh sb="17" eb="19">
      <t>ヘンカｎ</t>
    </rPh>
    <rPh sb="30" eb="32">
      <t>ショリ</t>
    </rPh>
    <rPh sb="37" eb="39">
      <t>ユダｎ</t>
    </rPh>
    <phoneticPr fontId="5"/>
  </si>
  <si>
    <t>おお！これは良縁となるだろう！</t>
  </si>
  <si>
    <t>skip</t>
  </si>
  <si>
    <t>null</t>
    <phoneticPr fontId="5"/>
  </si>
  <si>
    <t>null</t>
    <phoneticPr fontId="5"/>
  </si>
  <si>
    <t>ヨシタカのお賽銭マシンガンは
フロア1より威力が上がっています</t>
    <rPh sb="21" eb="23">
      <t>イリョク</t>
    </rPh>
    <rPh sb="24" eb="25">
      <t>アガッテイマス</t>
    </rPh>
    <phoneticPr fontId="5"/>
  </si>
  <si>
    <t>トリスタンのお賽銭バズーカは
フロア1よりも僅かに強力になっています</t>
    <rPh sb="22" eb="23">
      <t>ワズカニ</t>
    </rPh>
    <rPh sb="25" eb="27">
      <t>キョウリョクニナッテイマス</t>
    </rPh>
    <phoneticPr fontId="5"/>
  </si>
  <si>
    <t>[effect:enemy_message, val1:1.4, val2:1.2],[effect:fix_speed, target:myself, turn:1]</t>
    <phoneticPr fontId="5"/>
  </si>
  <si>
    <t>縁結びの神様！
お願いします！</t>
    <phoneticPr fontId="5"/>
  </si>
  <si>
    <t xml:space="preserve">[effect:enemy_message, val1:1.2, val2:1.2],[effect:rush, count:3, val:0.27]    </t>
    <phoneticPr fontId="5"/>
  </si>
  <si>
    <t>お賽銭マシンガン</t>
    <phoneticPr fontId="5"/>
  </si>
  <si>
    <t>3回連続攻撃</t>
    <phoneticPr fontId="5"/>
  </si>
  <si>
    <t>3回連続攻撃</t>
    <phoneticPr fontId="5"/>
  </si>
  <si>
    <t>ja</t>
    <phoneticPr fontId="5"/>
  </si>
  <si>
    <t>なんだろう
赤い糸が見える</t>
    <phoneticPr fontId="5"/>
  </si>
  <si>
    <t>ja</t>
    <phoneticPr fontId="5"/>
  </si>
  <si>
    <t>こうしちゃいられないな！</t>
    <phoneticPr fontId="5"/>
  </si>
  <si>
    <t>[effect:enemy_message, val1:1.2, val2:1.3],[effect:fix_speed, target:myself, turn:1]</t>
    <phoneticPr fontId="5"/>
  </si>
  <si>
    <t>…年上のお姉さんがいいな</t>
    <phoneticPr fontId="5"/>
  </si>
  <si>
    <t>トリスタンもお参りしている</t>
    <phoneticPr fontId="5"/>
  </si>
  <si>
    <t xml:space="preserve">[effect:enemy_message, val1:1.2, val2:1.2],[effect:critical, val:1.1, animation:enemy_critical]    </t>
    <phoneticPr fontId="5"/>
  </si>
  <si>
    <t>お賽銭バズーカ</t>
    <phoneticPr fontId="5"/>
  </si>
  <si>
    <t>クリティカル！</t>
    <phoneticPr fontId="5"/>
  </si>
  <si>
    <t>ja</t>
    <phoneticPr fontId="5"/>
  </si>
  <si>
    <t>たどってみよう！</t>
    <phoneticPr fontId="5"/>
  </si>
  <si>
    <t>それじゃあまたね！</t>
    <phoneticPr fontId="5"/>
  </si>
  <si>
    <t>[effect:enemy_message, val1:1.2, val2:1.2],[effect:fix_speed, target:myself, turn:1]</t>
    <phoneticPr fontId="5"/>
  </si>
  <si>
    <t>あれ…女の子型の…動物？</t>
    <phoneticPr fontId="5"/>
  </si>
  <si>
    <t xml:space="preserve">[effect:enemy_message, val1:1.2, val2:1.2],[effect:rush, count:3, val:0.3]    </t>
    <phoneticPr fontId="5"/>
  </si>
  <si>
    <t>お賽銭マシンガン</t>
    <phoneticPr fontId="5"/>
  </si>
  <si>
    <t xml:space="preserve">[effect:enemy_message, val1:1.2, val2:1.2],[effect:spread, val:0.3]    </t>
    <phoneticPr fontId="5"/>
  </si>
  <si>
    <t>マガジン全掃射</t>
    <phoneticPr fontId="5"/>
  </si>
  <si>
    <t xml:space="preserve">[effect:enemy_message, val1:1.2, val2:1.2],[effect:dark, target:unit_all, turn:1, animation:enemy_dark]    </t>
    <phoneticPr fontId="5"/>
  </si>
  <si>
    <t>1ターン暗闇</t>
    <phoneticPr fontId="5"/>
  </si>
  <si>
    <t>えぇ…？こんなはずじゃ…</t>
    <phoneticPr fontId="5"/>
  </si>
  <si>
    <t>意気消沈している…</t>
    <phoneticPr fontId="5"/>
  </si>
  <si>
    <t>ゆっ！？赤いにんげん！？</t>
    <phoneticPr fontId="5"/>
  </si>
  <si>
    <t xml:space="preserve">[effect:enemy_message, val1:1.2, val2:1.9],[effect:damage_anti_color, target:unit_all, color:red, val1:1.5, val2:0.2]    </t>
    <phoneticPr fontId="5"/>
  </si>
  <si>
    <t>赤属性のユニットに大ダメージの全体攻撃</t>
    <phoneticPr fontId="5"/>
  </si>
  <si>
    <t xml:space="preserve">[effect:enemy_message, val1:1.2, val2:1.2],[effect:dis_panel, target:block_red, turn:3, animation:enemy_dis_red]    </t>
    <phoneticPr fontId="5"/>
  </si>
  <si>
    <t>[effect:enemy_message, val1:1.2, val2:2.6],[effect:enhance_enemy, target:myself, turn:3, status:defense, val:3000, calc:add, animation:enemy_enhance_defense],[effect:fix_speed, target:myself, turn:1]</t>
    <phoneticPr fontId="5"/>
  </si>
  <si>
    <t>年上の…おじさん！？</t>
    <phoneticPr fontId="5"/>
  </si>
  <si>
    <t xml:space="preserve">[effect:enemy_message, val1:1.2, val2:1.2],[effect:critical, val:1.2, animation:enemy_critical]    </t>
    <phoneticPr fontId="5"/>
  </si>
  <si>
    <t>[effect:enemy_message, val1:1.2, val2:1.6]</t>
    <phoneticPr fontId="5"/>
  </si>
  <si>
    <t>対城砲弾装填</t>
    <phoneticPr fontId="5"/>
  </si>
  <si>
    <t>[effect:enemy_message, val1:1.2, val2:2.1],[effect:break_attack_fix, val:350, lowest_val:1200, count:8, block:block_heart, target:unit_all]</t>
    <phoneticPr fontId="5"/>
  </si>
  <si>
    <t>ファウストパトローネ</t>
    <phoneticPr fontId="5"/>
  </si>
  <si>
    <t>ハートパネルを吸収して全体攻撃(最大8個)</t>
    <phoneticPr fontId="5"/>
  </si>
  <si>
    <t>ぐっ…　強すぎる…！</t>
    <phoneticPr fontId="5"/>
  </si>
  <si>
    <t>悔しそうにしている…</t>
    <phoneticPr fontId="5"/>
  </si>
  <si>
    <t>[effect:enemy_message, val1:1.2, val2:1.2],[effect:enhance_enemy, target:myself, turn:3, status:attack, val:3000, calc:add, animation:enemy_enhance_attack],[effect:fix_speed, target:myself, turn:2]</t>
    <phoneticPr fontId="5"/>
  </si>
  <si>
    <t xml:space="preserve">[effect:enemy_message, val1:1.2, val2:2.7],[effect:force_change_block, new_block:time_bomb, target:block_all, ignore01:block_positive, ignore02:block_negative, count:3, val:0.2, min_time_count:3, max_time_count:3, animation:change_block],[effect:rush, count:1, val:0.5]        </t>
    <phoneticPr fontId="5"/>
  </si>
  <si>
    <t>[effect:enemy_message, val1:1.4, val2:1.4],[effect:force_change_block, new_block:block_yellow, target:block_all, ignore01:block_positive, ignore02:block_negative, count:5, val:0, animation:change_block],[effect:fix_speed, target:myself, turn:2]</t>
    <phoneticPr fontId="5"/>
  </si>
  <si>
    <t>なにごとじゃ！ 
祭りかの！？</t>
    <phoneticPr fontId="5"/>
  </si>
  <si>
    <t>ランダムで黄パネルに5個変換</t>
    <phoneticPr fontId="5"/>
  </si>
  <si>
    <t xml:space="preserve">[effect:enemy_message, val1:1.2, val2:1.9],[effect:force_change_block, new_block:block_yellow, target:block_all, ignore01:block_positive, ignore02:block_negative, count:2, val:0, animation:change_block],[effect:rush, count:1, val:0.6]       </t>
    <phoneticPr fontId="5"/>
  </si>
  <si>
    <t>ランダムで黄パネルに2個変換+単体攻撃</t>
    <phoneticPr fontId="5"/>
  </si>
  <si>
    <t xml:space="preserve">[effect:enemy_message, val1:1.2, val2:1.3],[effect:fix_speed, target:myself, turn:2],[effect:freq_turn, target:myself, turn:3, val:1, animation:enemy_freq_turn]    </t>
  </si>
  <si>
    <t>私たちも楽しもう♪</t>
    <phoneticPr fontId="5"/>
  </si>
  <si>
    <t xml:space="preserve">[effect:enemy_message, val1:1.2, val2:1.2],[effect:rush, count:2, val:0.6]    </t>
  </si>
  <si>
    <t xml:space="preserve">[effect:enemy_message, val1:1.2, val2:1.3],[effect:enhance_enemy, target:enemy_all, turn:3, status:defense, val:2000, calc:add, animation:enemy_enhance_defense]    </t>
  </si>
  <si>
    <t>手毬唄【幸福】</t>
    <phoneticPr fontId="5"/>
  </si>
  <si>
    <t>3ターン敵全体の防御力UP</t>
    <phoneticPr fontId="5"/>
  </si>
  <si>
    <t>[effect:enemy_message, val1:1.4, val2:1.5],[effect:enhance_enemy, target:myself, turn:-1, status:defense, val:3000, calc:add, animation:enemy_enhance_defense],[effect:tolerance, target:myself, turn:-1, tolerance_effect:all, count:-1, animation:enemy_tolerance],[effect:fix_speed, target:myself, turn:1]</t>
  </si>
  <si>
    <t xml:space="preserve">[effect:enemy_message, val1:1.5, val2:2.1],[effect:force_change_block, new_block:jammer, target:block_all, ignore01:block_positive, ignore02:block_negative, count:6, val:0, animation:change_block],[effect:rush, count:1, val:1.0]    </t>
    <phoneticPr fontId="5"/>
  </si>
  <si>
    <t>ランダムでお邪魔パネルに6個変換+単体攻撃</t>
    <phoneticPr fontId="5"/>
  </si>
  <si>
    <t xml:space="preserve">[effect:enemy_message, val1:1.3, val2:2.1],[effect:force_change_block, new_block:jammer, target:block_all, ignore01:block_positive, ignore02:block_negative, count:5, val:0, animation:change_block],[effect:rush, count:1, val:1.0]    </t>
    <phoneticPr fontId="5"/>
  </si>
  <si>
    <t>ランダムでお邪魔パネルに5個変換+単体攻撃</t>
    <phoneticPr fontId="5"/>
  </si>
  <si>
    <t xml:space="preserve">[effect:enemy_message, val1:1.3, val2:3.6],[effect:force_change_block, new_block:jammer, target:block_all, ignore01:block_positive, ignore02:block_negative, count:3, val:0, animation:change_block],[effect:force_change_block, new_block:block_red, target:block_all, ignore01:block_red, ignore02:block_positive, ignore03:block_negative, count:3, val:0, animation:change_block],[effect:rush, count:1, val:1.0]    </t>
    <phoneticPr fontId="5"/>
  </si>
  <si>
    <t>ランダムで赤パネルに3個変換+
ランダムでお邪魔パネルに3個変換+単体攻撃</t>
    <phoneticPr fontId="5"/>
  </si>
  <si>
    <t xml:space="preserve">[effect:enemy_message, val1:1.3, val2:1.9],[effect:force_change_block, new_block:block_red, target:block_all, ignore01:block_red, ignore02:block_positive, ignore03:block_negative, count:2, val:0, animation:change_block],[effect:rush, count:1, val:1.0]    </t>
    <phoneticPr fontId="5"/>
  </si>
  <si>
    <t>ランダムで赤パネルに2個変換+単体攻撃</t>
    <phoneticPr fontId="5"/>
  </si>
  <si>
    <t>[effect:enemy_message, val1:1.4, val2:2.4],[effect:force_change_block, new_block:jammer, target:block_all, ignore01:block_positive, ignore02:block_negative, count:12, val:0, animation:change_block],[effect:tolerance, target:myself, turn:-1, tolerance_effect:all, count:-1, animation:enemy_tolerance],[effect:fix_speed, target:myself, turn:1]</t>
    <phoneticPr fontId="5"/>
  </si>
  <si>
    <t>[effect:enemy_message, val1:1.4, val2:1.6],[effect:damage_anti_abnormal, target:unit_both, target_effect01:sleep, val1:0.6, val2:0.6]</t>
  </si>
  <si>
    <t xml:space="preserve">[effect:enemy_message, val1:1.3, val2:1.2],[effect:spread, val:0.3]    </t>
  </si>
  <si>
    <t>[effect:enemy_message, val1:1.3, val2:2.4],[effect:hungup, target:unit_both, turn:1, rate:1, animation:hungup01]</t>
  </si>
  <si>
    <t>良縁祈願のお守りはどうだ？</t>
    <phoneticPr fontId="5"/>
  </si>
  <si>
    <t xml:space="preserve">[effect:enemy_message, val1:1.2, val2:1.2],[effect:enhance_enemy, target:myself, turn:3, status:defense, val:3000, calc:add, animation:enemy_enhance_defense]    </t>
  </si>
  <si>
    <t>3ターン自身の防御力UP</t>
    <phoneticPr fontId="5"/>
  </si>
  <si>
    <t>[effect:enemy_message, val1:1.2, val2:2.4],[effect:force_change_block, new_block:jammer, target:block_all, ignore01:block_positive, ignore02:block_negative, count:12, val:0, animation:change_block],[effect:tolerance, target:myself, turn:-1, tolerance_effect:all, count:-1, animation:enemy_tolerance],[effect:fix_speed, target:myself, turn:1]</t>
    <phoneticPr fontId="5"/>
  </si>
  <si>
    <t>幸福の赤い糸を授けようぞ</t>
    <phoneticPr fontId="5"/>
  </si>
  <si>
    <t>[effect:enemy_message, val1:1.2, val2:1.2],[effect:damage_anti_abnormal, target:unit_both, target_effect01:sleep, val1:0.6, val2:0.6]</t>
  </si>
  <si>
    <t xml:space="preserve">[effect:enemy_message, val1:1.4, val2:1.2],[effect:critical, val:1.5, animation:enemy_critical]    </t>
  </si>
  <si>
    <t>俺の仕事は良縁を結ぶことだ…</t>
    <phoneticPr fontId="5"/>
  </si>
  <si>
    <t xml:space="preserve">[effect:enemy_message, val1:1.4, val2:1.2],[effect:charge, status:attack, val:1.9]    </t>
  </si>
  <si>
    <t>本気で良縁を手繰ってみせよう</t>
    <phoneticPr fontId="5"/>
  </si>
  <si>
    <t xml:space="preserve">[effect:enemy_message, val1:1.3, val2:2.2],[effect:break_attack_fix, val:235, lowest_val:1500, count:30, block:jammer, target:unit_all]    </t>
  </si>
  <si>
    <t xml:space="preserve">[effect:enemy_message, val1:2.9, val2:3.5]    </t>
    <phoneticPr fontId="5"/>
  </si>
  <si>
    <t>[effect:enemy_message, val1:1.5, val2:1.5],[effect:enhance_enemy, target:myself, turn:-1, status:defense, val:3000, calc:add, animation:enemy_enhance_defense],[effect:tolerance, target:myself, turn:-1, tolerance_effect:all, count:-1, animation:enemy_tolerance],[effect:fix_speed, target:myself, turn:1]</t>
  </si>
  <si>
    <t>ほう…君がここに来るとは珍しい</t>
    <phoneticPr fontId="5"/>
  </si>
  <si>
    <t xml:space="preserve">[effect:enemy_message, val1:2.9, val2:3.7]    </t>
    <phoneticPr fontId="5"/>
  </si>
  <si>
    <t>誰かを助けることは自らを助けることでもあるか…
これもまた縁だな…</t>
    <phoneticPr fontId="5"/>
  </si>
  <si>
    <t xml:space="preserve">[effect:enemy_message, val1:1.2, val2:1.8],[effect:suicide, val:1, dead_type:escape, target:myself]    </t>
    <phoneticPr fontId="5"/>
  </si>
  <si>
    <t xml:space="preserve">[effect:enemy_message, val1:1.2, val2:2.0],[effect:suicide, val:1, dead_type:escape, target:myself]    </t>
    <phoneticPr fontId="5"/>
  </si>
  <si>
    <t>[effect:enemy_message, val1:1.2, val2:1.2]</t>
    <phoneticPr fontId="5"/>
  </si>
  <si>
    <t xml:space="preserve">[effect:enemy_message, val1:1.2, val2:1.8],[effect:suicide, val:1, dead_type:escape, target:myself]    </t>
    <phoneticPr fontId="5"/>
  </si>
  <si>
    <t xml:space="preserve">[effect:enemy_message, val1:1.2, val2:1.9],[effect:suicide, val:1, dead_type:escape, target:myself]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</si>
</sst>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32" borderId="23" xfId="0" applyFont="1" applyFill="1" applyBorder="1" applyAlignment="1">
      <alignment vertical="center"/>
    </xf>
    <xf numFmtId="0" fontId="16" fillId="32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32" borderId="26" xfId="0" applyFont="1" applyFill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33" borderId="26" xfId="0" applyFont="1" applyFill="1" applyBorder="1" applyAlignment="1">
      <alignment vertical="center"/>
    </xf>
    <xf numFmtId="0" fontId="16" fillId="33" borderId="28" xfId="0" applyFont="1" applyFill="1" applyBorder="1" applyAlignment="1">
      <alignment vertical="center"/>
    </xf>
    <xf numFmtId="0" fontId="16" fillId="33" borderId="29" xfId="0" applyFont="1" applyFill="1" applyBorder="1" applyAlignment="1">
      <alignment vertical="center"/>
    </xf>
    <xf numFmtId="0" fontId="16" fillId="3" borderId="29" xfId="0" applyFont="1" applyFill="1" applyBorder="1" applyAlignment="1">
      <alignment vertical="center"/>
    </xf>
    <xf numFmtId="0" fontId="14" fillId="7" borderId="30" xfId="0" applyFont="1" applyFill="1" applyBorder="1" applyAlignment="1">
      <alignment vertical="center"/>
    </xf>
    <xf numFmtId="0" fontId="14" fillId="7" borderId="31" xfId="0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0" fillId="0" borderId="12" xfId="0" applyBorder="1"/>
    <xf numFmtId="0" fontId="0" fillId="0" borderId="29" xfId="0" applyBorder="1"/>
    <xf numFmtId="38" fontId="16" fillId="0" borderId="7" xfId="628" applyFont="1" applyFill="1" applyBorder="1" applyAlignment="1">
      <alignment wrapText="1"/>
    </xf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4" xfId="0" applyBorder="1"/>
    <xf numFmtId="0" fontId="0" fillId="0" borderId="26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3" borderId="35" xfId="0" applyFill="1" applyBorder="1"/>
    <xf numFmtId="0" fontId="6" fillId="5" borderId="35" xfId="0" applyFont="1" applyFill="1" applyBorder="1" applyAlignment="1">
      <alignment vertical="center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13" fillId="7" borderId="0" xfId="0" applyFont="1" applyFill="1" applyAlignment="1">
      <alignment horizontal="left" indent="1"/>
    </xf>
    <xf numFmtId="0" fontId="4" fillId="0" borderId="7" xfId="0" applyFont="1" applyBorder="1" applyAlignment="1">
      <alignment horizontal="center" vertical="center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49" fontId="16" fillId="0" borderId="0" xfId="0" applyNumberFormat="1" applyFont="1" applyAlignment="1">
      <alignment wrapText="1"/>
    </xf>
    <xf numFmtId="0" fontId="16" fillId="32" borderId="8" xfId="0" applyFont="1" applyFill="1" applyBorder="1"/>
    <xf numFmtId="0" fontId="16" fillId="13" borderId="7" xfId="0" applyFont="1" applyFill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65523</v>
          </cell>
        </row>
        <row r="354">
          <cell r="A354">
            <v>65524</v>
          </cell>
        </row>
        <row r="355">
          <cell r="A355">
            <v>65525</v>
          </cell>
        </row>
        <row r="356">
          <cell r="A356">
            <v>65526</v>
          </cell>
        </row>
        <row r="357">
          <cell r="A357">
            <v>65527</v>
          </cell>
        </row>
        <row r="358">
          <cell r="A358">
            <v>65528</v>
          </cell>
        </row>
        <row r="359">
          <cell r="A359">
            <v>65529</v>
          </cell>
        </row>
        <row r="360">
          <cell r="A360">
            <v>65530</v>
          </cell>
        </row>
        <row r="361">
          <cell r="A361">
            <v>65531</v>
          </cell>
        </row>
        <row r="362">
          <cell r="A362">
            <v>65532</v>
          </cell>
        </row>
        <row r="363">
          <cell r="A363">
            <v>65533</v>
          </cell>
        </row>
        <row r="364">
          <cell r="A364">
            <v>65534</v>
          </cell>
        </row>
        <row r="365">
          <cell r="A365">
            <v>65535</v>
          </cell>
        </row>
        <row r="366">
          <cell r="A366">
            <v>60021</v>
          </cell>
        </row>
        <row r="367">
          <cell r="A367">
            <v>60022</v>
          </cell>
        </row>
        <row r="368">
          <cell r="A368">
            <v>60023</v>
          </cell>
        </row>
        <row r="369">
          <cell r="A36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48001_1</v>
          </cell>
        </row>
        <row r="874">
          <cell r="A874" t="str">
            <v>48002_1</v>
          </cell>
        </row>
        <row r="875">
          <cell r="A875" t="str">
            <v>48002_2</v>
          </cell>
        </row>
        <row r="876">
          <cell r="A876" t="str">
            <v>48002_3</v>
          </cell>
        </row>
        <row r="877">
          <cell r="A877" t="str">
            <v>48003_1</v>
          </cell>
        </row>
        <row r="878">
          <cell r="A878" t="str">
            <v>48003_2</v>
          </cell>
        </row>
        <row r="879">
          <cell r="A879" t="str">
            <v>48004_1</v>
          </cell>
        </row>
        <row r="880">
          <cell r="A880" t="str">
            <v>48004_2</v>
          </cell>
        </row>
        <row r="881">
          <cell r="A881" t="str">
            <v>48005_1</v>
          </cell>
        </row>
        <row r="882">
          <cell r="A882" t="str">
            <v>48005_2</v>
          </cell>
        </row>
        <row r="883">
          <cell r="A883" t="str">
            <v>48006_1</v>
          </cell>
        </row>
        <row r="884">
          <cell r="A884" t="str">
            <v>48006_2</v>
          </cell>
        </row>
        <row r="885">
          <cell r="A885" t="str">
            <v>48007_1</v>
          </cell>
        </row>
        <row r="886">
          <cell r="A886" t="str">
            <v>48007_2</v>
          </cell>
        </row>
        <row r="887">
          <cell r="A887" t="str">
            <v>48008_1</v>
          </cell>
        </row>
        <row r="888">
          <cell r="A888" t="str">
            <v>48008_2</v>
          </cell>
        </row>
        <row r="889">
          <cell r="A889" t="str">
            <v>48009_1</v>
          </cell>
        </row>
        <row r="890">
          <cell r="A890" t="str">
            <v>48009_2</v>
          </cell>
        </row>
        <row r="891">
          <cell r="A891" t="str">
            <v>48010_1</v>
          </cell>
        </row>
        <row r="892">
          <cell r="A892" t="str">
            <v>48011_1</v>
          </cell>
        </row>
        <row r="893">
          <cell r="A893" t="str">
            <v>48011_2</v>
          </cell>
        </row>
        <row r="894">
          <cell r="A894" t="str">
            <v>48012_1</v>
          </cell>
        </row>
        <row r="895">
          <cell r="A895" t="str">
            <v>48012_2</v>
          </cell>
        </row>
        <row r="896">
          <cell r="A896" t="str">
            <v>48013_1</v>
          </cell>
        </row>
        <row r="897">
          <cell r="A897" t="str">
            <v>48013_2</v>
          </cell>
        </row>
        <row r="898">
          <cell r="A898" t="str">
            <v>48014_1</v>
          </cell>
        </row>
        <row r="899">
          <cell r="A899" t="str">
            <v>48014_2</v>
          </cell>
        </row>
        <row r="900">
          <cell r="A900" t="str">
            <v>48501_1</v>
          </cell>
        </row>
        <row r="901">
          <cell r="A901" t="str">
            <v>48501_2</v>
          </cell>
        </row>
        <row r="902">
          <cell r="A902" t="str">
            <v>48502_1</v>
          </cell>
        </row>
        <row r="903">
          <cell r="A903" t="str">
            <v>48502_2</v>
          </cell>
        </row>
        <row r="904">
          <cell r="A904" t="str">
            <v>48503_1</v>
          </cell>
        </row>
        <row r="905">
          <cell r="A905" t="str">
            <v>48503_2</v>
          </cell>
        </row>
        <row r="906">
          <cell r="A906" t="str">
            <v>48701_1</v>
          </cell>
        </row>
        <row r="907">
          <cell r="A907" t="str">
            <v>48701_2</v>
          </cell>
        </row>
        <row r="908">
          <cell r="A908" t="str">
            <v>48702_1</v>
          </cell>
        </row>
        <row r="909">
          <cell r="A909" t="str">
            <v>48702_2</v>
          </cell>
        </row>
        <row r="910">
          <cell r="A910" t="str">
            <v>49001_1</v>
          </cell>
        </row>
        <row r="911">
          <cell r="A911" t="str">
            <v>49002_1</v>
          </cell>
        </row>
        <row r="912">
          <cell r="A912" t="str">
            <v>49002_2</v>
          </cell>
        </row>
        <row r="913">
          <cell r="A913" t="str">
            <v>49003_1</v>
          </cell>
        </row>
        <row r="914">
          <cell r="A914" t="str">
            <v>49003_2</v>
          </cell>
        </row>
        <row r="915">
          <cell r="A915" t="str">
            <v>49004_1</v>
          </cell>
        </row>
        <row r="916">
          <cell r="A916" t="str">
            <v>49004_2</v>
          </cell>
        </row>
        <row r="917">
          <cell r="A917" t="str">
            <v>49004_3</v>
          </cell>
        </row>
        <row r="918">
          <cell r="A918" t="str">
            <v>49005_1</v>
          </cell>
        </row>
        <row r="919">
          <cell r="A919" t="str">
            <v>49006_1</v>
          </cell>
        </row>
        <row r="920">
          <cell r="A920" t="str">
            <v>49006_2</v>
          </cell>
        </row>
        <row r="921">
          <cell r="A921" t="str">
            <v>49007_1</v>
          </cell>
        </row>
        <row r="922">
          <cell r="A922" t="str">
            <v>49007_2</v>
          </cell>
        </row>
        <row r="923">
          <cell r="A923" t="str">
            <v>49007_3</v>
          </cell>
        </row>
        <row r="924">
          <cell r="A924" t="str">
            <v>49008_1</v>
          </cell>
        </row>
        <row r="925">
          <cell r="A925" t="str">
            <v>49009_1</v>
          </cell>
        </row>
        <row r="926">
          <cell r="A926" t="str">
            <v>49010_1</v>
          </cell>
        </row>
        <row r="927">
          <cell r="A927" t="str">
            <v>49011_1</v>
          </cell>
        </row>
        <row r="928">
          <cell r="A928" t="str">
            <v>49012_1</v>
          </cell>
        </row>
        <row r="929">
          <cell r="A929" t="str">
            <v>49013_1</v>
          </cell>
        </row>
        <row r="930">
          <cell r="A930" t="str">
            <v>49014_1</v>
          </cell>
        </row>
        <row r="931">
          <cell r="A931" t="str">
            <v>49014_2</v>
          </cell>
        </row>
        <row r="932">
          <cell r="A932" t="str">
            <v>49015_1</v>
          </cell>
        </row>
        <row r="933">
          <cell r="A933" t="str">
            <v>49015_2</v>
          </cell>
        </row>
        <row r="934">
          <cell r="A934" t="str">
            <v>49015_3</v>
          </cell>
        </row>
        <row r="935">
          <cell r="A935" t="str">
            <v>49016_1</v>
          </cell>
        </row>
        <row r="936">
          <cell r="A936" t="str">
            <v>49016_2</v>
          </cell>
        </row>
        <row r="937">
          <cell r="A937" t="str">
            <v>50001_1</v>
          </cell>
        </row>
        <row r="938">
          <cell r="A938" t="str">
            <v>50002_1</v>
          </cell>
        </row>
        <row r="939">
          <cell r="A939" t="str">
            <v>50003_1</v>
          </cell>
        </row>
        <row r="940">
          <cell r="A940" t="str">
            <v>50004_1</v>
          </cell>
        </row>
        <row r="941">
          <cell r="A941" t="str">
            <v>50005_1</v>
          </cell>
        </row>
        <row r="942">
          <cell r="A942" t="str">
            <v>50006_1</v>
          </cell>
        </row>
        <row r="943">
          <cell r="A943" t="str">
            <v>50007_1</v>
          </cell>
        </row>
        <row r="944">
          <cell r="A944" t="str">
            <v>50008_1</v>
          </cell>
        </row>
        <row r="945">
          <cell r="A945" t="str">
            <v>50009_1</v>
          </cell>
        </row>
        <row r="946">
          <cell r="A946" t="str">
            <v>50010_1</v>
          </cell>
        </row>
        <row r="947">
          <cell r="A947" t="str">
            <v>50011_1</v>
          </cell>
        </row>
        <row r="948">
          <cell r="A948" t="str">
            <v>50012_1</v>
          </cell>
        </row>
        <row r="949">
          <cell r="A949" t="str">
            <v>50013_1</v>
          </cell>
        </row>
        <row r="950">
          <cell r="A950" t="str">
            <v>50014_1</v>
          </cell>
        </row>
        <row r="951">
          <cell r="A951" t="str">
            <v>50015_1</v>
          </cell>
        </row>
        <row r="952">
          <cell r="A952" t="str">
            <v>50016_1</v>
          </cell>
        </row>
        <row r="953">
          <cell r="A953" t="str">
            <v>51001_1</v>
          </cell>
        </row>
        <row r="954">
          <cell r="A954" t="str">
            <v>51002_1</v>
          </cell>
        </row>
        <row r="955">
          <cell r="A955" t="str">
            <v>58001_1</v>
          </cell>
        </row>
        <row r="956">
          <cell r="A956" t="str">
            <v>58002_1</v>
          </cell>
        </row>
        <row r="957">
          <cell r="A957" t="str">
            <v>59001_1</v>
          </cell>
        </row>
        <row r="958">
          <cell r="A958" t="str">
            <v>59002_1</v>
          </cell>
        </row>
        <row r="959">
          <cell r="A959" t="str">
            <v>59003_1</v>
          </cell>
        </row>
        <row r="960">
          <cell r="A960" t="str">
            <v>59003_2</v>
          </cell>
        </row>
        <row r="961">
          <cell r="A961" t="str">
            <v>60001_1</v>
          </cell>
        </row>
        <row r="962">
          <cell r="A962" t="str">
            <v>60002_1</v>
          </cell>
        </row>
        <row r="963">
          <cell r="A963" t="str">
            <v>60002_2</v>
          </cell>
        </row>
        <row r="964">
          <cell r="A964" t="str">
            <v>60003_1</v>
          </cell>
        </row>
        <row r="965">
          <cell r="A965" t="str">
            <v>60003_2</v>
          </cell>
        </row>
        <row r="966">
          <cell r="A966" t="str">
            <v>60003_3</v>
          </cell>
        </row>
        <row r="967">
          <cell r="A967" t="str">
            <v>60004_1</v>
          </cell>
        </row>
        <row r="968">
          <cell r="A968" t="str">
            <v>60005_1</v>
          </cell>
        </row>
        <row r="969">
          <cell r="A969" t="str">
            <v>60006_1</v>
          </cell>
        </row>
        <row r="970">
          <cell r="A970" t="str">
            <v>60006_2</v>
          </cell>
        </row>
        <row r="971">
          <cell r="A971" t="str">
            <v>60006_3</v>
          </cell>
        </row>
        <row r="972">
          <cell r="A972" t="str">
            <v>60007_1</v>
          </cell>
        </row>
        <row r="973">
          <cell r="A973" t="str">
            <v>60007_2</v>
          </cell>
        </row>
        <row r="974">
          <cell r="A974" t="str">
            <v>60007_3</v>
          </cell>
        </row>
        <row r="975">
          <cell r="A975" t="str">
            <v>60010_1</v>
          </cell>
        </row>
        <row r="976">
          <cell r="A976" t="str">
            <v>60011_1</v>
          </cell>
        </row>
        <row r="977">
          <cell r="A977" t="str">
            <v>60011_2</v>
          </cell>
        </row>
        <row r="978">
          <cell r="A978" t="str">
            <v>60012_1</v>
          </cell>
        </row>
        <row r="979">
          <cell r="A979" t="str">
            <v>60013_1</v>
          </cell>
        </row>
        <row r="980">
          <cell r="A980" t="str">
            <v>60013_2</v>
          </cell>
        </row>
        <row r="981">
          <cell r="A981" t="str">
            <v>60013_3</v>
          </cell>
        </row>
        <row r="982">
          <cell r="A982" t="str">
            <v>60014_1</v>
          </cell>
        </row>
        <row r="983">
          <cell r="A983" t="str">
            <v>60015_1</v>
          </cell>
        </row>
        <row r="984">
          <cell r="A984" t="str">
            <v>60016_1</v>
          </cell>
        </row>
        <row r="985">
          <cell r="A985" t="str">
            <v>60017_1</v>
          </cell>
        </row>
        <row r="986">
          <cell r="A986" t="str">
            <v>60018_1</v>
          </cell>
        </row>
        <row r="987">
          <cell r="A987" t="str">
            <v>60019_1</v>
          </cell>
        </row>
        <row r="988">
          <cell r="A988" t="str">
            <v>60020_1</v>
          </cell>
        </row>
        <row r="989">
          <cell r="A989" t="str">
            <v>60021_3</v>
          </cell>
        </row>
        <row r="990">
          <cell r="A990" t="str">
            <v>60022_3</v>
          </cell>
        </row>
        <row r="991">
          <cell r="A991" t="str">
            <v>60023_3</v>
          </cell>
        </row>
        <row r="992">
          <cell r="A992" t="str">
            <v>60024_3</v>
          </cell>
        </row>
        <row r="993">
          <cell r="A993" t="str">
            <v>60025_1</v>
          </cell>
        </row>
        <row r="994">
          <cell r="A994" t="str">
            <v>60026_1</v>
          </cell>
        </row>
        <row r="995">
          <cell r="A995" t="str">
            <v>61011_1</v>
          </cell>
        </row>
        <row r="996">
          <cell r="A996" t="str">
            <v>60027_1</v>
          </cell>
        </row>
        <row r="997">
          <cell r="A997" t="str">
            <v>60028_1</v>
          </cell>
        </row>
        <row r="998">
          <cell r="A998" t="str">
            <v>60029_1</v>
          </cell>
        </row>
        <row r="999">
          <cell r="A999" t="str">
            <v>60030_1</v>
          </cell>
        </row>
        <row r="1000">
          <cell r="A1000" t="str">
            <v>65523_1</v>
          </cell>
        </row>
        <row r="1001">
          <cell r="A1001" t="str">
            <v>65523_2</v>
          </cell>
        </row>
        <row r="1002">
          <cell r="A1002" t="str">
            <v>65523_3</v>
          </cell>
        </row>
        <row r="1003">
          <cell r="A1003" t="str">
            <v>65524_1</v>
          </cell>
        </row>
        <row r="1004">
          <cell r="A1004" t="str">
            <v>65524_2</v>
          </cell>
        </row>
        <row r="1005">
          <cell r="A1005" t="str">
            <v>65525_1</v>
          </cell>
        </row>
        <row r="1006">
          <cell r="A1006" t="str">
            <v>65526_1</v>
          </cell>
        </row>
        <row r="1007">
          <cell r="A1007" t="str">
            <v>65526_2</v>
          </cell>
        </row>
        <row r="1008">
          <cell r="A1008" t="str">
            <v>65527_1</v>
          </cell>
        </row>
        <row r="1009">
          <cell r="A1009" t="str">
            <v>65528_1</v>
          </cell>
        </row>
        <row r="1010">
          <cell r="A1010" t="str">
            <v>65529_1</v>
          </cell>
        </row>
        <row r="1011">
          <cell r="A1011" t="str">
            <v>65530_1</v>
          </cell>
        </row>
        <row r="1012">
          <cell r="A1012" t="str">
            <v>65531_1</v>
          </cell>
        </row>
        <row r="1013">
          <cell r="A1013" t="str">
            <v>65531_2</v>
          </cell>
        </row>
        <row r="1014">
          <cell r="A1014" t="str">
            <v>65532_1</v>
          </cell>
        </row>
        <row r="1015">
          <cell r="A1015" t="str">
            <v>65532_2</v>
          </cell>
        </row>
        <row r="1016">
          <cell r="A1016" t="str">
            <v>65533_1</v>
          </cell>
        </row>
        <row r="1017">
          <cell r="A1017" t="str">
            <v>65533_2</v>
          </cell>
        </row>
        <row r="1018">
          <cell r="A1018" t="str">
            <v>65534_1</v>
          </cell>
        </row>
        <row r="1019">
          <cell r="A1019" t="str">
            <v>65534_2</v>
          </cell>
        </row>
        <row r="1020">
          <cell r="A1020" t="str">
            <v>65535_1</v>
          </cell>
        </row>
        <row r="1021">
          <cell r="A1021" t="str">
            <v>65535_2</v>
          </cell>
        </row>
        <row r="1022">
          <cell r="A1022" t="str">
            <v>65535_3</v>
          </cell>
        </row>
        <row r="1023">
          <cell r="A1023" t="str">
            <v>65535_4</v>
          </cell>
        </row>
        <row r="1024">
          <cell r="A1024" t="str">
            <v>65535_5</v>
          </cell>
        </row>
        <row r="1025">
          <cell r="A1025" t="str">
            <v>65535_6</v>
          </cell>
        </row>
        <row r="1026">
          <cell r="A1026" t="str">
            <v>65535_7</v>
          </cell>
        </row>
        <row r="1027">
          <cell r="A1027" t="str">
            <v>65535_8</v>
          </cell>
        </row>
        <row r="1028">
          <cell r="A1028" t="str">
            <v>65535_9</v>
          </cell>
        </row>
        <row r="1029">
          <cell r="A102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1436</v>
          </cell>
        </row>
        <row r="1349">
          <cell r="A1349">
            <v>1437</v>
          </cell>
        </row>
        <row r="1350">
          <cell r="A1350">
            <v>1438</v>
          </cell>
        </row>
        <row r="1351">
          <cell r="A1351">
            <v>1439</v>
          </cell>
        </row>
        <row r="1352">
          <cell r="A1352">
            <v>1440</v>
          </cell>
        </row>
        <row r="1353">
          <cell r="A1353">
            <v>1441</v>
          </cell>
        </row>
        <row r="1354">
          <cell r="A1354">
            <v>1442</v>
          </cell>
        </row>
        <row r="1355">
          <cell r="A1355">
            <v>1443</v>
          </cell>
        </row>
        <row r="1356">
          <cell r="A1356">
            <v>1444</v>
          </cell>
        </row>
        <row r="1357">
          <cell r="A1357">
            <v>1445</v>
          </cell>
        </row>
        <row r="1358">
          <cell r="A1358">
            <v>1446</v>
          </cell>
        </row>
        <row r="1359">
          <cell r="A1359">
            <v>1447</v>
          </cell>
        </row>
        <row r="1360">
          <cell r="A1360">
            <v>1448</v>
          </cell>
        </row>
        <row r="1361">
          <cell r="A1361">
            <v>1449</v>
          </cell>
        </row>
        <row r="1362">
          <cell r="A1362">
            <v>1450</v>
          </cell>
        </row>
        <row r="1363">
          <cell r="A1363">
            <v>1451</v>
          </cell>
        </row>
        <row r="1364">
          <cell r="A1364">
            <v>1466</v>
          </cell>
        </row>
        <row r="1365">
          <cell r="A1365">
            <v>1467</v>
          </cell>
        </row>
        <row r="1366">
          <cell r="A1366">
            <v>1468</v>
          </cell>
        </row>
        <row r="1367">
          <cell r="A1367">
            <v>1469</v>
          </cell>
        </row>
        <row r="1368">
          <cell r="A1368">
            <v>1470</v>
          </cell>
        </row>
        <row r="1369">
          <cell r="A1369">
            <v>1471</v>
          </cell>
        </row>
        <row r="1370">
          <cell r="A1370">
            <v>1495</v>
          </cell>
        </row>
        <row r="1371">
          <cell r="A1371">
            <v>1496</v>
          </cell>
        </row>
        <row r="1372">
          <cell r="A1372">
            <v>1497</v>
          </cell>
        </row>
        <row r="1373">
          <cell r="A1373">
            <v>1498</v>
          </cell>
        </row>
        <row r="1374">
          <cell r="A1374">
            <v>1499</v>
          </cell>
        </row>
        <row r="1375">
          <cell r="A1375">
            <v>1500</v>
          </cell>
        </row>
        <row r="1376">
          <cell r="A1376">
            <v>1501</v>
          </cell>
        </row>
        <row r="1377">
          <cell r="A1377">
            <v>1502</v>
          </cell>
        </row>
        <row r="1378">
          <cell r="A1378">
            <v>1503</v>
          </cell>
        </row>
        <row r="1379">
          <cell r="A1379">
            <v>1504</v>
          </cell>
        </row>
        <row r="1380">
          <cell r="A1380">
            <v>1505</v>
          </cell>
        </row>
        <row r="1381">
          <cell r="A1381">
            <v>1506</v>
          </cell>
        </row>
        <row r="1382">
          <cell r="A1382">
            <v>1507</v>
          </cell>
        </row>
        <row r="1383">
          <cell r="A1383">
            <v>1508</v>
          </cell>
        </row>
        <row r="1384">
          <cell r="A1384">
            <v>1509</v>
          </cell>
        </row>
        <row r="1385">
          <cell r="A1385">
            <v>1510</v>
          </cell>
        </row>
        <row r="1386">
          <cell r="A1386">
            <v>1511</v>
          </cell>
        </row>
        <row r="1387">
          <cell r="A1387">
            <v>1512</v>
          </cell>
        </row>
        <row r="1388">
          <cell r="A1388">
            <v>1523</v>
          </cell>
        </row>
        <row r="1389">
          <cell r="A1389">
            <v>1524</v>
          </cell>
        </row>
        <row r="1390">
          <cell r="A1390">
            <v>1525</v>
          </cell>
        </row>
        <row r="1391">
          <cell r="A1391">
            <v>1526</v>
          </cell>
        </row>
        <row r="1392">
          <cell r="A1392">
            <v>1551</v>
          </cell>
        </row>
        <row r="1393">
          <cell r="A1393">
            <v>1552</v>
          </cell>
        </row>
        <row r="1394">
          <cell r="A1394">
            <v>1553</v>
          </cell>
        </row>
        <row r="1395">
          <cell r="A1395">
            <v>1554</v>
          </cell>
        </row>
        <row r="1396">
          <cell r="A1396">
            <v>1555</v>
          </cell>
        </row>
        <row r="1397">
          <cell r="A1397">
            <v>1556</v>
          </cell>
        </row>
        <row r="1398">
          <cell r="A1398">
            <v>1557</v>
          </cell>
        </row>
        <row r="1399">
          <cell r="A1399">
            <v>1558</v>
          </cell>
        </row>
        <row r="1400">
          <cell r="A1400">
            <v>1559</v>
          </cell>
        </row>
        <row r="1401">
          <cell r="A1401">
            <v>1560</v>
          </cell>
        </row>
        <row r="1402">
          <cell r="A1402">
            <v>1561</v>
          </cell>
        </row>
        <row r="1403">
          <cell r="A1403">
            <v>1562</v>
          </cell>
        </row>
        <row r="1404">
          <cell r="A1404">
            <v>1563</v>
          </cell>
        </row>
        <row r="1405">
          <cell r="A1405">
            <v>1564</v>
          </cell>
        </row>
        <row r="1406">
          <cell r="A1406">
            <v>1565</v>
          </cell>
        </row>
        <row r="1407">
          <cell r="A1407">
            <v>1566</v>
          </cell>
        </row>
        <row r="1408">
          <cell r="A1408">
            <v>1567</v>
          </cell>
        </row>
        <row r="1409">
          <cell r="A1409">
            <v>1568</v>
          </cell>
        </row>
        <row r="1410">
          <cell r="A1410">
            <v>1569</v>
          </cell>
        </row>
        <row r="1411">
          <cell r="A1411">
            <v>1570</v>
          </cell>
        </row>
        <row r="1412">
          <cell r="A1412">
            <v>1571</v>
          </cell>
        </row>
        <row r="1413">
          <cell r="A1413">
            <v>1572</v>
          </cell>
        </row>
        <row r="1414">
          <cell r="A1414">
            <v>1573</v>
          </cell>
        </row>
        <row r="1415">
          <cell r="A1415">
            <v>1574</v>
          </cell>
        </row>
        <row r="1416">
          <cell r="A1416">
            <v>1575</v>
          </cell>
        </row>
        <row r="1417">
          <cell r="A1417">
            <v>1576</v>
          </cell>
        </row>
        <row r="1418">
          <cell r="A1418">
            <v>1577</v>
          </cell>
        </row>
        <row r="1419">
          <cell r="A1419">
            <v>1578</v>
          </cell>
        </row>
        <row r="1420">
          <cell r="A1420">
            <v>1579</v>
          </cell>
        </row>
        <row r="1421">
          <cell r="A1421">
            <v>1580</v>
          </cell>
        </row>
        <row r="1422">
          <cell r="A1422">
            <v>1581</v>
          </cell>
        </row>
        <row r="1423">
          <cell r="A1423">
            <v>1582</v>
          </cell>
        </row>
        <row r="1424">
          <cell r="A1424">
            <v>1583</v>
          </cell>
        </row>
        <row r="1425">
          <cell r="A1425">
            <v>1584</v>
          </cell>
        </row>
        <row r="1426">
          <cell r="A1426">
            <v>1585</v>
          </cell>
        </row>
        <row r="1427">
          <cell r="A1427">
            <v>1586</v>
          </cell>
        </row>
        <row r="1428">
          <cell r="A1428">
            <v>1587</v>
          </cell>
        </row>
        <row r="1429">
          <cell r="A1429">
            <v>1588</v>
          </cell>
        </row>
        <row r="1430">
          <cell r="A1430">
            <v>5001</v>
          </cell>
        </row>
        <row r="1431">
          <cell r="A1431">
            <v>5002</v>
          </cell>
        </row>
        <row r="1432">
          <cell r="A1432">
            <v>5003</v>
          </cell>
        </row>
        <row r="1433">
          <cell r="A1433">
            <v>5004</v>
          </cell>
        </row>
        <row r="1434">
          <cell r="A1434">
            <v>5005</v>
          </cell>
        </row>
        <row r="1435">
          <cell r="A1435">
            <v>5006</v>
          </cell>
        </row>
        <row r="1436">
          <cell r="A1436">
            <v>5007</v>
          </cell>
        </row>
        <row r="1437">
          <cell r="A1437">
            <v>5008</v>
          </cell>
        </row>
        <row r="1438">
          <cell r="A1438">
            <v>6001</v>
          </cell>
        </row>
        <row r="1439">
          <cell r="A1439">
            <v>6002</v>
          </cell>
        </row>
        <row r="1440">
          <cell r="A1440">
            <v>6003</v>
          </cell>
        </row>
        <row r="1441">
          <cell r="A1441">
            <v>6004</v>
          </cell>
        </row>
        <row r="1442">
          <cell r="A1442">
            <v>6005</v>
          </cell>
        </row>
        <row r="1443">
          <cell r="A1443">
            <v>6006</v>
          </cell>
        </row>
        <row r="1444">
          <cell r="A1444">
            <v>6007</v>
          </cell>
        </row>
        <row r="1445">
          <cell r="A1445">
            <v>6008</v>
          </cell>
        </row>
        <row r="1446">
          <cell r="A1446">
            <v>6009</v>
          </cell>
        </row>
        <row r="1447">
          <cell r="A1447">
            <v>6010</v>
          </cell>
        </row>
        <row r="1448">
          <cell r="A1448">
            <v>6011</v>
          </cell>
        </row>
        <row r="1449">
          <cell r="A1449">
            <v>6012</v>
          </cell>
        </row>
        <row r="1450">
          <cell r="A1450">
            <v>6013</v>
          </cell>
        </row>
        <row r="1451">
          <cell r="A1451">
            <v>6014</v>
          </cell>
        </row>
        <row r="1452">
          <cell r="A1452">
            <v>6015</v>
          </cell>
        </row>
        <row r="1453">
          <cell r="A1453">
            <v>6016</v>
          </cell>
        </row>
        <row r="1454">
          <cell r="A1454">
            <v>6017</v>
          </cell>
        </row>
        <row r="1455">
          <cell r="A1455">
            <v>6018</v>
          </cell>
        </row>
        <row r="1456">
          <cell r="A1456">
            <v>6019</v>
          </cell>
        </row>
        <row r="1457">
          <cell r="A1457">
            <v>6020</v>
          </cell>
        </row>
        <row r="1458">
          <cell r="A1458">
            <v>8001</v>
          </cell>
        </row>
        <row r="1459">
          <cell r="A1459">
            <v>8002</v>
          </cell>
        </row>
        <row r="1460">
          <cell r="A1460">
            <v>8003</v>
          </cell>
        </row>
        <row r="1461">
          <cell r="A1461">
            <v>8004</v>
          </cell>
        </row>
        <row r="1462">
          <cell r="A1462">
            <v>8005</v>
          </cell>
        </row>
        <row r="1463">
          <cell r="A1463">
            <v>8006</v>
          </cell>
        </row>
        <row r="1464">
          <cell r="A1464">
            <v>8007</v>
          </cell>
        </row>
        <row r="1465">
          <cell r="A1465">
            <v>8008</v>
          </cell>
        </row>
        <row r="1466">
          <cell r="A1466">
            <v>8009</v>
          </cell>
        </row>
        <row r="1467">
          <cell r="A1467">
            <v>8010</v>
          </cell>
        </row>
        <row r="1468">
          <cell r="A1468">
            <v>8011</v>
          </cell>
        </row>
        <row r="1469">
          <cell r="A1469">
            <v>8012</v>
          </cell>
        </row>
        <row r="1470">
          <cell r="A1470">
            <v>8013</v>
          </cell>
        </row>
        <row r="1471">
          <cell r="A1471">
            <v>8014</v>
          </cell>
        </row>
        <row r="1472">
          <cell r="A1472">
            <v>8015</v>
          </cell>
        </row>
        <row r="1473">
          <cell r="A1473">
            <v>8016</v>
          </cell>
        </row>
        <row r="1474">
          <cell r="A1474">
            <v>8017</v>
          </cell>
        </row>
        <row r="1475">
          <cell r="A1475">
            <v>8018</v>
          </cell>
        </row>
        <row r="1476">
          <cell r="A1476">
            <v>8019</v>
          </cell>
        </row>
        <row r="1477">
          <cell r="A1477">
            <v>8020</v>
          </cell>
        </row>
        <row r="1478">
          <cell r="A1478">
            <v>8021</v>
          </cell>
        </row>
        <row r="1479">
          <cell r="A1479">
            <v>8022</v>
          </cell>
        </row>
        <row r="1480">
          <cell r="A1480">
            <v>8023</v>
          </cell>
        </row>
        <row r="1481">
          <cell r="A1481">
            <v>8024</v>
          </cell>
        </row>
        <row r="1482">
          <cell r="A1482">
            <v>8025</v>
          </cell>
        </row>
        <row r="1483">
          <cell r="A1483">
            <v>8026</v>
          </cell>
        </row>
        <row r="1484">
          <cell r="A1484">
            <v>8027</v>
          </cell>
        </row>
        <row r="1485">
          <cell r="A1485">
            <v>8028</v>
          </cell>
        </row>
        <row r="1486">
          <cell r="A1486">
            <v>8029</v>
          </cell>
        </row>
        <row r="1487">
          <cell r="A1487">
            <v>8030</v>
          </cell>
        </row>
        <row r="1488">
          <cell r="A1488">
            <v>8031</v>
          </cell>
        </row>
        <row r="1489">
          <cell r="A1489">
            <v>8032</v>
          </cell>
        </row>
        <row r="1490">
          <cell r="A1490">
            <v>8033</v>
          </cell>
        </row>
        <row r="1491">
          <cell r="A1491">
            <v>8034</v>
          </cell>
        </row>
        <row r="1492">
          <cell r="A1492">
            <v>8035</v>
          </cell>
        </row>
        <row r="1493">
          <cell r="A1493">
            <v>8036</v>
          </cell>
        </row>
        <row r="1494">
          <cell r="A1494">
            <v>8037</v>
          </cell>
        </row>
        <row r="1495">
          <cell r="A1495">
            <v>8038</v>
          </cell>
        </row>
        <row r="1496">
          <cell r="A1496">
            <v>8039</v>
          </cell>
        </row>
        <row r="1497">
          <cell r="A1497">
            <v>8040</v>
          </cell>
        </row>
        <row r="1498">
          <cell r="A1498">
            <v>8041</v>
          </cell>
        </row>
        <row r="1499">
          <cell r="A1499">
            <v>8042</v>
          </cell>
        </row>
        <row r="1500">
          <cell r="A1500">
            <v>8043</v>
          </cell>
        </row>
        <row r="1501">
          <cell r="A1501">
            <v>8044</v>
          </cell>
        </row>
        <row r="1502">
          <cell r="A1502">
            <v>8045</v>
          </cell>
        </row>
        <row r="1503">
          <cell r="A1503">
            <v>8046</v>
          </cell>
        </row>
        <row r="1504">
          <cell r="A1504">
            <v>8047</v>
          </cell>
        </row>
        <row r="1505">
          <cell r="A1505">
            <v>8048</v>
          </cell>
        </row>
        <row r="1506">
          <cell r="A1506">
            <v>8049</v>
          </cell>
        </row>
        <row r="1507">
          <cell r="A1507">
            <v>8050</v>
          </cell>
        </row>
        <row r="1508">
          <cell r="A1508">
            <v>8051</v>
          </cell>
        </row>
        <row r="1509">
          <cell r="A1509">
            <v>8052</v>
          </cell>
        </row>
        <row r="1510">
          <cell r="A1510">
            <v>8053</v>
          </cell>
        </row>
        <row r="1511">
          <cell r="A1511">
            <v>8054</v>
          </cell>
        </row>
        <row r="1512">
          <cell r="A1512">
            <v>8055</v>
          </cell>
        </row>
        <row r="1513">
          <cell r="A1513">
            <v>8056</v>
          </cell>
        </row>
        <row r="1514">
          <cell r="A1514">
            <v>8057</v>
          </cell>
        </row>
        <row r="1515">
          <cell r="A1515">
            <v>8058</v>
          </cell>
        </row>
        <row r="1516">
          <cell r="A1516">
            <v>8059</v>
          </cell>
        </row>
        <row r="1517">
          <cell r="A1517">
            <v>8060</v>
          </cell>
        </row>
        <row r="1518">
          <cell r="A1518">
            <v>8061</v>
          </cell>
        </row>
        <row r="1519">
          <cell r="A1519">
            <v>8062</v>
          </cell>
        </row>
        <row r="1520">
          <cell r="A1520">
            <v>8063</v>
          </cell>
        </row>
        <row r="1521">
          <cell r="A1521">
            <v>8064</v>
          </cell>
        </row>
        <row r="1522">
          <cell r="A1522">
            <v>8065</v>
          </cell>
        </row>
        <row r="1523">
          <cell r="A1523">
            <v>8066</v>
          </cell>
        </row>
        <row r="1524">
          <cell r="A1524">
            <v>8067</v>
          </cell>
        </row>
        <row r="1525">
          <cell r="A1525">
            <v>8068</v>
          </cell>
        </row>
        <row r="1526">
          <cell r="A1526">
            <v>8069</v>
          </cell>
        </row>
        <row r="1527">
          <cell r="A1527">
            <v>8070</v>
          </cell>
        </row>
        <row r="1528">
          <cell r="A1528">
            <v>8071</v>
          </cell>
        </row>
        <row r="1529">
          <cell r="A1529">
            <v>8072</v>
          </cell>
        </row>
        <row r="1530">
          <cell r="A1530">
            <v>8073</v>
          </cell>
        </row>
        <row r="1531">
          <cell r="A1531">
            <v>8074</v>
          </cell>
        </row>
        <row r="1532">
          <cell r="A1532">
            <v>8077</v>
          </cell>
        </row>
        <row r="1533">
          <cell r="A1533">
            <v>8078</v>
          </cell>
        </row>
        <row r="1534">
          <cell r="A1534">
            <v>8079</v>
          </cell>
        </row>
        <row r="1535">
          <cell r="A1535">
            <v>8080</v>
          </cell>
        </row>
        <row r="1536">
          <cell r="A1536">
            <v>8081</v>
          </cell>
        </row>
        <row r="1537">
          <cell r="A1537">
            <v>8082</v>
          </cell>
        </row>
        <row r="1538">
          <cell r="A1538">
            <v>8083</v>
          </cell>
        </row>
        <row r="1539">
          <cell r="A1539">
            <v>8084</v>
          </cell>
        </row>
        <row r="1540">
          <cell r="A1540">
            <v>8085</v>
          </cell>
        </row>
        <row r="1541">
          <cell r="A1541">
            <v>8086</v>
          </cell>
        </row>
        <row r="1542">
          <cell r="A1542">
            <v>8087</v>
          </cell>
        </row>
        <row r="1543">
          <cell r="A1543">
            <v>8088</v>
          </cell>
        </row>
        <row r="1544">
          <cell r="A1544">
            <v>8089</v>
          </cell>
        </row>
        <row r="1545">
          <cell r="A1545">
            <v>8090</v>
          </cell>
        </row>
        <row r="1546">
          <cell r="A1546">
            <v>8095</v>
          </cell>
        </row>
        <row r="1547">
          <cell r="A1547">
            <v>8096</v>
          </cell>
        </row>
        <row r="1548">
          <cell r="A1548">
            <v>8097</v>
          </cell>
        </row>
        <row r="1549">
          <cell r="A1549">
            <v>8098</v>
          </cell>
        </row>
        <row r="1550">
          <cell r="A1550">
            <v>8099</v>
          </cell>
        </row>
        <row r="1551">
          <cell r="A1551">
            <v>8100</v>
          </cell>
        </row>
        <row r="1552">
          <cell r="A1552">
            <v>8101</v>
          </cell>
        </row>
        <row r="1553">
          <cell r="A1553">
            <v>8102</v>
          </cell>
        </row>
        <row r="1554">
          <cell r="A1554">
            <v>8103</v>
          </cell>
        </row>
        <row r="1555">
          <cell r="A1555">
            <v>8104</v>
          </cell>
        </row>
        <row r="1556">
          <cell r="A1556">
            <v>8105</v>
          </cell>
        </row>
        <row r="1557">
          <cell r="A1557">
            <v>8106</v>
          </cell>
        </row>
        <row r="1558">
          <cell r="A1558">
            <v>8111</v>
          </cell>
        </row>
        <row r="1559">
          <cell r="A1559">
            <v>8112</v>
          </cell>
        </row>
        <row r="1560">
          <cell r="A1560">
            <v>8113</v>
          </cell>
        </row>
        <row r="1561">
          <cell r="A1561">
            <v>8114</v>
          </cell>
        </row>
        <row r="1562">
          <cell r="A1562">
            <v>8115</v>
          </cell>
        </row>
        <row r="1563">
          <cell r="A1563">
            <v>8116</v>
          </cell>
        </row>
        <row r="1564">
          <cell r="A1564">
            <v>8117</v>
          </cell>
        </row>
        <row r="1565">
          <cell r="A1565">
            <v>8118</v>
          </cell>
        </row>
        <row r="1566">
          <cell r="A1566">
            <v>8119</v>
          </cell>
        </row>
        <row r="1567">
          <cell r="A1567">
            <v>8120</v>
          </cell>
        </row>
        <row r="1568">
          <cell r="A1568">
            <v>8121</v>
          </cell>
        </row>
        <row r="1569">
          <cell r="A1569">
            <v>8122</v>
          </cell>
        </row>
        <row r="1570">
          <cell r="A1570">
            <v>9001</v>
          </cell>
        </row>
        <row r="1571">
          <cell r="A1571">
            <v>9002</v>
          </cell>
        </row>
        <row r="1572">
          <cell r="A1572">
            <v>9003</v>
          </cell>
        </row>
        <row r="1573">
          <cell r="A1573">
            <v>9004</v>
          </cell>
        </row>
        <row r="1574">
          <cell r="A1574">
            <v>9005</v>
          </cell>
        </row>
        <row r="1575">
          <cell r="A1575">
            <v>9006</v>
          </cell>
        </row>
        <row r="1576">
          <cell r="A1576">
            <v>9007</v>
          </cell>
        </row>
        <row r="1577">
          <cell r="A1577">
            <v>9008</v>
          </cell>
        </row>
        <row r="1578">
          <cell r="A1578">
            <v>10101</v>
          </cell>
        </row>
        <row r="1579">
          <cell r="A1579">
            <v>10102</v>
          </cell>
        </row>
        <row r="1580">
          <cell r="A158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1" sqref="A1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277</v>
      </c>
      <c r="B2" s="56" t="s">
        <v>107</v>
      </c>
      <c r="C2" s="62">
        <v>48003</v>
      </c>
      <c r="D2" s="56" t="s">
        <v>108</v>
      </c>
      <c r="E2" s="55" t="str">
        <f>B2&amp;C2&amp;D2</f>
        <v>floors_48003.tmp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277</v>
      </c>
      <c r="B3" s="56" t="s">
        <v>110</v>
      </c>
      <c r="C3" s="62">
        <v>48003</v>
      </c>
      <c r="D3" s="56" t="s">
        <v>108</v>
      </c>
      <c r="E3" s="55" t="str">
        <f>B3&amp;C3&amp;D3</f>
        <v>enemy_habitats_48003.tmp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178</v>
      </c>
    </row>
    <row r="4" spans="1:30" x14ac:dyDescent="0.15">
      <c r="A4" s="60" t="s">
        <v>277</v>
      </c>
      <c r="B4" s="56" t="s">
        <v>112</v>
      </c>
      <c r="C4" s="62">
        <v>48003</v>
      </c>
      <c r="D4" s="56" t="s">
        <v>108</v>
      </c>
      <c r="E4" s="55" t="str">
        <f>B4&amp;C4&amp;D4</f>
        <v>enemy_habitat_S_48003.tmp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277</v>
      </c>
      <c r="B5" s="56" t="s">
        <v>114</v>
      </c>
      <c r="C5" s="62">
        <v>48003</v>
      </c>
      <c r="D5" s="56" t="s">
        <v>108</v>
      </c>
      <c r="E5" s="55" t="str">
        <f>B5&amp;C5&amp;D5</f>
        <v>enemy_skill_sets_48003.tmp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277</v>
      </c>
      <c r="B6" s="56" t="s">
        <v>116</v>
      </c>
      <c r="C6" s="62">
        <v>48003</v>
      </c>
      <c r="D6" s="56" t="s">
        <v>117</v>
      </c>
      <c r="E6" s="55" t="str">
        <f t="shared" ref="E6:E10" si="0">B6&amp;C6&amp;D6</f>
        <v>enemy_skills_tmp_48003.tmp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277</v>
      </c>
      <c r="B7" s="56" t="s">
        <v>118</v>
      </c>
      <c r="C7" s="62">
        <v>48003</v>
      </c>
      <c r="D7" s="56" t="s">
        <v>108</v>
      </c>
      <c r="E7" s="55" t="str">
        <f>B7&amp;C7&amp;D7</f>
        <v>enemy_skills_i18n_48003.tmp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277</v>
      </c>
      <c r="B8" s="56" t="s">
        <v>120</v>
      </c>
      <c r="C8" s="62">
        <v>48003</v>
      </c>
      <c r="D8" s="56" t="s">
        <v>121</v>
      </c>
      <c r="E8" s="55" t="str">
        <f t="shared" si="0"/>
        <v>enemy_skill_triggers_48003.tmp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277</v>
      </c>
      <c r="B9" s="67" t="s">
        <v>177</v>
      </c>
      <c r="C9" s="62">
        <v>48003</v>
      </c>
      <c r="D9" s="67" t="s">
        <v>171</v>
      </c>
      <c r="E9" s="68" t="str">
        <f t="shared" si="0"/>
        <v>stage_bug_bonuses_48003.tmp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324</v>
      </c>
      <c r="B10" s="67" t="s">
        <v>201</v>
      </c>
      <c r="C10" s="62">
        <v>48003</v>
      </c>
      <c r="D10" s="67" t="s">
        <v>180</v>
      </c>
      <c r="E10" s="68" t="str">
        <f t="shared" si="0"/>
        <v>stage_hints_data_c_48003.tmp</v>
      </c>
      <c r="F10" s="67" t="s">
        <v>209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66" t="s">
        <v>184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5" customFormat="1" x14ac:dyDescent="0.15">
      <c r="A11" s="60" t="s">
        <v>277</v>
      </c>
      <c r="B11" s="67" t="s">
        <v>202</v>
      </c>
      <c r="C11" s="62">
        <v>48003</v>
      </c>
      <c r="D11" s="67" t="s">
        <v>171</v>
      </c>
      <c r="E11" s="68" t="str">
        <f t="shared" ref="E11:E13" si="1">B11&amp;C11&amp;D11</f>
        <v>stage_hints_data_f_48003.tmp</v>
      </c>
      <c r="F11" s="67" t="s">
        <v>210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66" t="s">
        <v>184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5" customFormat="1" x14ac:dyDescent="0.15">
      <c r="A12" s="60" t="s">
        <v>277</v>
      </c>
      <c r="B12" s="67" t="s">
        <v>203</v>
      </c>
      <c r="C12" s="62">
        <v>48003</v>
      </c>
      <c r="D12" s="67" t="s">
        <v>171</v>
      </c>
      <c r="E12" s="68" t="str">
        <f t="shared" si="1"/>
        <v>stage_hints_i18n_48003.tmp</v>
      </c>
      <c r="F12" s="67" t="s">
        <v>211</v>
      </c>
      <c r="G12" s="74" t="s">
        <v>204</v>
      </c>
      <c r="H12" s="93" t="s">
        <v>205</v>
      </c>
      <c r="I12" s="73" t="s">
        <v>206</v>
      </c>
      <c r="J12" s="97" t="s">
        <v>207</v>
      </c>
      <c r="K12" s="66" t="s">
        <v>208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5" customFormat="1" x14ac:dyDescent="0.15">
      <c r="A13" s="60" t="s">
        <v>277</v>
      </c>
      <c r="B13" s="67" t="s">
        <v>246</v>
      </c>
      <c r="C13" s="62">
        <v>48003</v>
      </c>
      <c r="D13" s="67" t="s">
        <v>227</v>
      </c>
      <c r="E13" s="68" t="str">
        <f t="shared" si="1"/>
        <v>stage_bonuses_48003.tmp</v>
      </c>
      <c r="F13" s="67" t="s">
        <v>226</v>
      </c>
      <c r="G13" s="73" t="s">
        <v>228</v>
      </c>
      <c r="H13" s="73" t="s">
        <v>229</v>
      </c>
      <c r="I13" s="73" t="s">
        <v>230</v>
      </c>
      <c r="J13" s="73" t="s">
        <v>231</v>
      </c>
      <c r="K13" s="73" t="s">
        <v>232</v>
      </c>
      <c r="L13" s="73" t="s">
        <v>233</v>
      </c>
      <c r="M13" s="73" t="s">
        <v>234</v>
      </c>
      <c r="N13" s="73" t="s">
        <v>235</v>
      </c>
      <c r="O13" s="73" t="s">
        <v>236</v>
      </c>
      <c r="P13" s="73" t="s">
        <v>237</v>
      </c>
      <c r="Q13" s="73" t="s">
        <v>238</v>
      </c>
      <c r="R13" s="73" t="s">
        <v>239</v>
      </c>
      <c r="S13" s="73" t="s">
        <v>240</v>
      </c>
      <c r="T13" s="73" t="s">
        <v>241</v>
      </c>
      <c r="U13" s="73" t="s">
        <v>242</v>
      </c>
      <c r="V13" s="73" t="s">
        <v>243</v>
      </c>
      <c r="W13" s="73" t="s">
        <v>244</v>
      </c>
      <c r="X13" s="73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E10" sqref="E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34.1640625" style="3" customWidth="1" outlineLevel="1"/>
    <col min="9" max="9" width="13.33203125" style="3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48003_1-1</v>
      </c>
      <c r="B2" s="16" t="str">
        <f>IF(COUNTIF(enemy_habitats!$H:$H,A2),"OK","NG")</f>
        <v>OK</v>
      </c>
      <c r="C2" s="7">
        <v>48003</v>
      </c>
      <c r="D2" s="11" t="str">
        <f ca="1">VLOOKUP($C2,OFFSET([2]quests!$A$1,0,0,COUNTA([2]quests!$A:$A),MATCH(D$1,[2]quests!$1:$1,0)-MATCH($C$1,[2]quests!$1:$1,0)+1),MATCH(D$1,[2]quests!$1:$1,0)-MATCH($C$1,[2]quests!$1:$1,0)+1,FALSE)</f>
        <v>月下老人襲来！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台湾版降臨4</v>
      </c>
      <c r="F2" s="21">
        <v>1</v>
      </c>
      <c r="G2" s="23" t="str">
        <f>C2&amp;"_"&amp;F2</f>
        <v>48003_1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【超絶級】月下老人襲来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ref="A3:A11" si="0">G3&amp;"-"&amp;I3</f>
        <v>48003_1-2</v>
      </c>
      <c r="B3" s="16" t="str">
        <f>IF(COUNTIF(enemy_habitats!$H:$H,A3),"OK","NG")</f>
        <v>OK</v>
      </c>
      <c r="C3" s="7">
        <v>48003</v>
      </c>
      <c r="D3" s="11" t="str">
        <f ca="1">VLOOKUP($C3,OFFSET([2]quests!$A$1,0,0,COUNTA([2]quests!$A:$A),MATCH(D$1,[2]quests!$1:$1,0)-MATCH($C$1,[2]quests!$1:$1,0)+1),MATCH(D$1,[2]quests!$1:$1,0)-MATCH($C$1,[2]quests!$1:$1,0)+1,FALSE)</f>
        <v>月下老人襲来！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台湾版降臨4</v>
      </c>
      <c r="F3" s="21">
        <v>1</v>
      </c>
      <c r="G3" s="23" t="str">
        <f t="shared" ref="G3:G11" si="1">C3&amp;"_"&amp;F3</f>
        <v>48003_1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【超絶級】月下老人襲来</v>
      </c>
      <c r="I3" s="21">
        <v>2</v>
      </c>
      <c r="J3" s="12">
        <v>35</v>
      </c>
      <c r="K3" s="12">
        <v>35</v>
      </c>
    </row>
    <row r="4" spans="1:11" ht="21" customHeight="1" x14ac:dyDescent="0.15">
      <c r="A4" s="16" t="str">
        <f t="shared" si="0"/>
        <v>48003_1-3</v>
      </c>
      <c r="B4" s="16" t="str">
        <f>IF(COUNTIF(enemy_habitats!$H:$H,A4),"OK","NG")</f>
        <v>OK</v>
      </c>
      <c r="C4" s="7">
        <v>48003</v>
      </c>
      <c r="D4" s="11" t="str">
        <f ca="1">VLOOKUP($C4,OFFSET([2]quests!$A$1,0,0,COUNTA([2]quests!$A:$A),MATCH(D$1,[2]quests!$1:$1,0)-MATCH($C$1,[2]quests!$1:$1,0)+1),MATCH(D$1,[2]quests!$1:$1,0)-MATCH($C$1,[2]quests!$1:$1,0)+1,FALSE)</f>
        <v>月下老人襲来！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台湾版降臨4</v>
      </c>
      <c r="F4" s="21">
        <v>1</v>
      </c>
      <c r="G4" s="23" t="str">
        <f t="shared" si="1"/>
        <v>48003_1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【超絶級】月下老人襲来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48003_1-4</v>
      </c>
      <c r="B5" s="16" t="str">
        <f>IF(COUNTIF(enemy_habitats!$H:$H,A5),"OK","NG")</f>
        <v>OK</v>
      </c>
      <c r="C5" s="7">
        <v>48003</v>
      </c>
      <c r="D5" s="11" t="str">
        <f ca="1">VLOOKUP($C5,OFFSET([2]quests!$A$1,0,0,COUNTA([2]quests!$A:$A),MATCH(D$1,[2]quests!$1:$1,0)-MATCH($C$1,[2]quests!$1:$1,0)+1),MATCH(D$1,[2]quests!$1:$1,0)-MATCH($C$1,[2]quests!$1:$1,0)+1,FALSE)</f>
        <v>月下老人襲来！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台湾版降臨4</v>
      </c>
      <c r="F5" s="21">
        <v>1</v>
      </c>
      <c r="G5" s="23" t="str">
        <f t="shared" si="1"/>
        <v>48003_1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【超絶級】月下老人襲来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48003_1-5</v>
      </c>
      <c r="B6" s="16" t="str">
        <f>IF(COUNTIF(enemy_habitats!$H:$H,A6),"OK","NG")</f>
        <v>OK</v>
      </c>
      <c r="C6" s="7">
        <v>48003</v>
      </c>
      <c r="D6" s="11" t="str">
        <f ca="1">VLOOKUP($C6,OFFSET([2]quests!$A$1,0,0,COUNTA([2]quests!$A:$A),MATCH(D$1,[2]quests!$1:$1,0)-MATCH($C$1,[2]quests!$1:$1,0)+1),MATCH(D$1,[2]quests!$1:$1,0)-MATCH($C$1,[2]quests!$1:$1,0)+1,FALSE)</f>
        <v>月下老人襲来！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台湾版降臨4</v>
      </c>
      <c r="F6" s="21">
        <v>1</v>
      </c>
      <c r="G6" s="23" t="str">
        <f t="shared" si="1"/>
        <v>48003_1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【超絶級】月下老人襲来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48003_2-1</v>
      </c>
      <c r="B7" s="16" t="str">
        <f>IF(COUNTIF(enemy_habitats!$H:$H,A7),"OK","NG")</f>
        <v>OK</v>
      </c>
      <c r="C7" s="7">
        <v>48003</v>
      </c>
      <c r="D7" s="11" t="str">
        <f ca="1">VLOOKUP($C7,OFFSET([2]quests!$A$1,0,0,COUNTA([2]quests!$A:$A),MATCH(D$1,[2]quests!$1:$1,0)-MATCH($C$1,[2]quests!$1:$1,0)+1),MATCH(D$1,[2]quests!$1:$1,0)-MATCH($C$1,[2]quests!$1:$1,0)+1,FALSE)</f>
        <v>月下老人襲来！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台湾版降臨4</v>
      </c>
      <c r="F7" s="21">
        <v>2</v>
      </c>
      <c r="G7" s="23" t="str">
        <f t="shared" si="1"/>
        <v>48003_2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【ウィザード級】月下老人襲来</v>
      </c>
      <c r="I7" s="21">
        <v>1</v>
      </c>
      <c r="J7" s="12">
        <v>45</v>
      </c>
      <c r="K7" s="12">
        <v>45</v>
      </c>
    </row>
    <row r="8" spans="1:11" ht="21" customHeight="1" x14ac:dyDescent="0.15">
      <c r="A8" s="16" t="str">
        <f t="shared" si="0"/>
        <v>48003_2-2</v>
      </c>
      <c r="B8" s="16" t="str">
        <f>IF(COUNTIF(enemy_habitats!$H:$H,A8),"OK","NG")</f>
        <v>OK</v>
      </c>
      <c r="C8" s="7">
        <v>48003</v>
      </c>
      <c r="D8" s="11" t="str">
        <f ca="1">VLOOKUP($C8,OFFSET([2]quests!$A$1,0,0,COUNTA([2]quests!$A:$A),MATCH(D$1,[2]quests!$1:$1,0)-MATCH($C$1,[2]quests!$1:$1,0)+1),MATCH(D$1,[2]quests!$1:$1,0)-MATCH($C$1,[2]quests!$1:$1,0)+1,FALSE)</f>
        <v>月下老人襲来！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台湾版降臨4</v>
      </c>
      <c r="F8" s="21">
        <v>2</v>
      </c>
      <c r="G8" s="23" t="str">
        <f t="shared" si="1"/>
        <v>48003_2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【ウィザード級】月下老人襲来</v>
      </c>
      <c r="I8" s="21">
        <v>2</v>
      </c>
      <c r="J8" s="12">
        <v>35</v>
      </c>
      <c r="K8" s="12">
        <v>35</v>
      </c>
    </row>
    <row r="9" spans="1:11" ht="21" customHeight="1" x14ac:dyDescent="0.15">
      <c r="A9" s="16" t="str">
        <f t="shared" si="0"/>
        <v>48003_2-3</v>
      </c>
      <c r="B9" s="16" t="str">
        <f>IF(COUNTIF(enemy_habitats!$H:$H,A9),"OK","NG")</f>
        <v>OK</v>
      </c>
      <c r="C9" s="7">
        <v>48003</v>
      </c>
      <c r="D9" s="11" t="str">
        <f ca="1">VLOOKUP($C9,OFFSET([2]quests!$A$1,0,0,COUNTA([2]quests!$A:$A),MATCH(D$1,[2]quests!$1:$1,0)-MATCH($C$1,[2]quests!$1:$1,0)+1),MATCH(D$1,[2]quests!$1:$1,0)-MATCH($C$1,[2]quests!$1:$1,0)+1,FALSE)</f>
        <v>月下老人襲来！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台湾版降臨4</v>
      </c>
      <c r="F9" s="21">
        <v>2</v>
      </c>
      <c r="G9" s="23" t="str">
        <f t="shared" si="1"/>
        <v>48003_2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【ウィザード級】月下老人襲来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48003_2-4</v>
      </c>
      <c r="B10" s="16" t="str">
        <f>IF(COUNTIF(enemy_habitats!$H:$H,A10),"OK","NG")</f>
        <v>OK</v>
      </c>
      <c r="C10" s="7">
        <v>48003</v>
      </c>
      <c r="D10" s="11" t="str">
        <f ca="1">VLOOKUP($C10,OFFSET([2]quests!$A$1,0,0,COUNTA([2]quests!$A:$A),MATCH(D$1,[2]quests!$1:$1,0)-MATCH($C$1,[2]quests!$1:$1,0)+1),MATCH(D$1,[2]quests!$1:$1,0)-MATCH($C$1,[2]quests!$1:$1,0)+1,FALSE)</f>
        <v>月下老人襲来！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台湾版降臨4</v>
      </c>
      <c r="F10" s="21">
        <v>2</v>
      </c>
      <c r="G10" s="23" t="str">
        <f t="shared" si="1"/>
        <v>48003_2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【ウィザード級】月下老人襲来</v>
      </c>
      <c r="I10" s="21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48003_2-5</v>
      </c>
      <c r="B11" s="16" t="str">
        <f>IF(COUNTIF(enemy_habitats!$H:$H,A11),"OK","NG")</f>
        <v>OK</v>
      </c>
      <c r="C11" s="7">
        <v>48003</v>
      </c>
      <c r="D11" s="11" t="str">
        <f ca="1">VLOOKUP($C11,OFFSET([2]quests!$A$1,0,0,COUNTA([2]quests!$A:$A),MATCH(D$1,[2]quests!$1:$1,0)-MATCH($C$1,[2]quests!$1:$1,0)+1),MATCH(D$1,[2]quests!$1:$1,0)-MATCH($C$1,[2]quests!$1:$1,0)+1,FALSE)</f>
        <v>月下老人襲来！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台湾版降臨4</v>
      </c>
      <c r="F11" s="21">
        <v>2</v>
      </c>
      <c r="G11" s="23" t="str">
        <f t="shared" si="1"/>
        <v>48003_2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【ウィザード級】月下老人襲来</v>
      </c>
      <c r="I11" s="21">
        <v>5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zoomScale="75" zoomScaleNormal="75" zoomScalePageLayoutView="75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L19" sqref="L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4.6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8" t="s">
        <v>247</v>
      </c>
      <c r="U1" s="26" t="s">
        <v>50</v>
      </c>
      <c r="V1" s="98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0" si="0">B2&amp;"_"&amp;C2&amp;"-"&amp;G2&amp;"/"&amp;L2&amp;"&lt;lv"&amp;R2&amp;"&gt;s"&amp;AC2</f>
        <v>48003_1-1/50&lt;lv50&gt;s1</v>
      </c>
      <c r="B2" s="22">
        <v>48003</v>
      </c>
      <c r="C2" s="21">
        <v>1</v>
      </c>
      <c r="D2" s="2" t="str">
        <f t="shared" ref="D2:D10" si="1">B2&amp;"_"&amp;C2</f>
        <v>48003_1</v>
      </c>
      <c r="E2" s="4" t="str">
        <f ca="1">VLOOKUP($B2,OFFSET([2]quests!$A$1,0,0,COUNTA([2]quests!$A:$A),MATCH(E$1,[2]quests!$1:$1,0)-MATCH($B$1,[2]quests!$1:$1,0)+1),MATCH(E$1,[2]quests!$1:$1,0)-MATCH($B$1,[2]quests!$1:$1,0)+1,FALSE)</f>
        <v>月下老人襲来！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【超絶級】月下老人襲来</v>
      </c>
      <c r="G2" s="21">
        <v>1</v>
      </c>
      <c r="H2" s="15" t="str">
        <f t="shared" ref="H2:H10" si="2">B2&amp;"_"&amp;C2&amp;"-"&amp;G2</f>
        <v>48003_1-1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50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炎銃のレジスタンス ヨシタカ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50</v>
      </c>
      <c r="S2" s="25">
        <v>1.2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55593.599999999999</v>
      </c>
      <c r="U2" s="25">
        <v>0.57999999999999996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2584.48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寺院にお参りしている</v>
      </c>
      <c r="Y2" s="61">
        <v>48003001</v>
      </c>
      <c r="Z2" s="6">
        <v>1</v>
      </c>
      <c r="AA2" s="6">
        <v>100</v>
      </c>
      <c r="AB2" s="6">
        <v>2</v>
      </c>
      <c r="AC2" s="17">
        <v>1</v>
      </c>
      <c r="AD2" s="24">
        <f t="shared" ref="AD2:AD10" si="3">L2</f>
        <v>50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48003_1-1/469&lt;lv50&gt;s1</v>
      </c>
      <c r="B3" s="22">
        <v>48003</v>
      </c>
      <c r="C3" s="21">
        <v>1</v>
      </c>
      <c r="D3" s="2" t="str">
        <f t="shared" si="1"/>
        <v>48003_1</v>
      </c>
      <c r="E3" s="4" t="str">
        <f ca="1">VLOOKUP($B3,OFFSET([2]quests!$A$1,0,0,COUNTA([2]quests!$A:$A),MATCH(E$1,[2]quests!$1:$1,0)-MATCH($B$1,[2]quests!$1:$1,0)+1),MATCH(E$1,[2]quests!$1:$1,0)-MATCH($B$1,[2]quests!$1:$1,0)+1,FALSE)</f>
        <v>月下老人襲来！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【超絶級】月下老人襲来</v>
      </c>
      <c r="G3" s="21">
        <v>1</v>
      </c>
      <c r="H3" s="15" t="str">
        <f t="shared" si="2"/>
        <v>48003_1-1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469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トリスタン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25</v>
      </c>
      <c r="R3" s="5">
        <v>50</v>
      </c>
      <c r="S3" s="25">
        <v>1.1000000000000001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62623.000000000007</v>
      </c>
      <c r="U3" s="25">
        <v>0.39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2604.42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トリスタンもお参りしている</v>
      </c>
      <c r="Y3" s="61">
        <v>48003002</v>
      </c>
      <c r="Z3" s="6">
        <v>1</v>
      </c>
      <c r="AA3" s="6">
        <v>100</v>
      </c>
      <c r="AB3" s="6">
        <v>1</v>
      </c>
      <c r="AC3" s="17">
        <v>1</v>
      </c>
      <c r="AD3" s="24">
        <f t="shared" si="3"/>
        <v>469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トリスタン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ref="AI3:AI19" ca="1" si="4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48003_1-2/50&lt;lv50&gt;s1</v>
      </c>
      <c r="B4" s="22">
        <v>48003</v>
      </c>
      <c r="C4" s="21">
        <v>1</v>
      </c>
      <c r="D4" s="2" t="str">
        <f t="shared" si="1"/>
        <v>48003_1</v>
      </c>
      <c r="E4" s="4" t="str">
        <f ca="1">VLOOKUP($B4,OFFSET([2]quests!$A$1,0,0,COUNTA([2]quests!$A:$A),MATCH(E$1,[2]quests!$1:$1,0)-MATCH($B$1,[2]quests!$1:$1,0)+1),MATCH(E$1,[2]quests!$1:$1,0)-MATCH($B$1,[2]quests!$1:$1,0)+1,FALSE)</f>
        <v>月下老人襲来！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【超絶級】月下老人襲来</v>
      </c>
      <c r="G4" s="21">
        <v>2</v>
      </c>
      <c r="H4" s="15" t="str">
        <f t="shared" si="2"/>
        <v>48003_1-2</v>
      </c>
      <c r="I4" s="4">
        <f ca="1">VLOOKUP($H4,OFFSET(floors!$A$1,0,0,COUNTA(floors!$A:$A),MATCH(I$1,floors!$1:$1,0)-MATCH($H$1,floors!$1:$1,0)+1),MATCH(I$1,floors!$1:$1,0)-MATCH($H$1,floors!$1:$1,0)+1,FALSE)</f>
        <v>35</v>
      </c>
      <c r="J4" s="4">
        <f ca="1">VLOOKUP($H4,OFFSET(floors!$A$1,0,0,COUNTA(floors!$A:$A),MATCH(J$1,floors!$1:$1,0)-MATCH($H$1,floors!$1:$1,0)+1),MATCH(J$1,floors!$1:$1,0)-MATCH($H$1,floors!$1:$1,0)+1,FALSE)</f>
        <v>35</v>
      </c>
      <c r="K4" s="38" t="s">
        <v>53</v>
      </c>
      <c r="L4" s="20">
        <v>50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炎銃のレジスタンス ヨシタカ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50</v>
      </c>
      <c r="S4" s="25">
        <v>1.5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69492</v>
      </c>
      <c r="U4" s="25">
        <v>0.75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3342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ヨシタカは困惑している</v>
      </c>
      <c r="Y4" s="61">
        <v>48003003</v>
      </c>
      <c r="Z4" s="6">
        <v>1</v>
      </c>
      <c r="AA4" s="6">
        <v>100</v>
      </c>
      <c r="AB4" s="6">
        <v>1</v>
      </c>
      <c r="AC4" s="17">
        <v>1</v>
      </c>
      <c r="AD4" s="24">
        <f t="shared" si="3"/>
        <v>50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v>2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48003_1-2/363&lt;lv50&gt;s1</v>
      </c>
      <c r="B5" s="22">
        <v>48003</v>
      </c>
      <c r="C5" s="21">
        <v>1</v>
      </c>
      <c r="D5" s="2" t="str">
        <f t="shared" si="1"/>
        <v>48003_1</v>
      </c>
      <c r="E5" s="4" t="str">
        <f ca="1">VLOOKUP($B5,OFFSET([2]quests!$A$1,0,0,COUNTA([2]quests!$A:$A),MATCH(E$1,[2]quests!$1:$1,0)-MATCH($B$1,[2]quests!$1:$1,0)+1),MATCH(E$1,[2]quests!$1:$1,0)-MATCH($B$1,[2]quests!$1:$1,0)+1,FALSE)</f>
        <v>月下老人襲来！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【超絶級】月下老人襲来</v>
      </c>
      <c r="G5" s="21">
        <v>2</v>
      </c>
      <c r="H5" s="15" t="str">
        <f t="shared" si="2"/>
        <v>48003_1-2</v>
      </c>
      <c r="I5" s="4">
        <f ca="1">VLOOKUP($H5,OFFSET(floors!$A$1,0,0,COUNTA(floors!$A:$A),MATCH(I$1,floors!$1:$1,0)-MATCH($H$1,floors!$1:$1,0)+1),MATCH(I$1,floors!$1:$1,0)-MATCH($H$1,floors!$1:$1,0)+1,FALSE)</f>
        <v>35</v>
      </c>
      <c r="J5" s="4">
        <f ca="1">VLOOKUP($H5,OFFSET(floors!$A$1,0,0,COUNTA(floors!$A:$A),MATCH(J$1,floors!$1:$1,0)-MATCH($H$1,floors!$1:$1,0)+1),MATCH(J$1,floors!$1:$1,0)-MATCH($H$1,floors!$1:$1,0)+1,FALSE)</f>
        <v>35</v>
      </c>
      <c r="K5" s="38" t="s">
        <v>53</v>
      </c>
      <c r="L5" s="20">
        <v>363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花咲く幼精 ゆらら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50</v>
      </c>
      <c r="S5" s="25">
        <v>6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56730</v>
      </c>
      <c r="U5" s="25">
        <v>0.83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2488.3399999999997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ゆららは怯えている</v>
      </c>
      <c r="Y5" s="61">
        <v>48003004</v>
      </c>
      <c r="Z5" s="6">
        <v>1</v>
      </c>
      <c r="AA5" s="6">
        <v>100</v>
      </c>
      <c r="AB5" s="6">
        <v>2</v>
      </c>
      <c r="AC5" s="17">
        <v>1</v>
      </c>
      <c r="AD5" s="24">
        <f t="shared" si="3"/>
        <v>363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花咲く幼精 ゆらら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v>2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48003_1-3/470&lt;lv50&gt;s1</v>
      </c>
      <c r="B6" s="22">
        <v>48003</v>
      </c>
      <c r="C6" s="21">
        <v>1</v>
      </c>
      <c r="D6" s="2" t="str">
        <f t="shared" si="1"/>
        <v>48003_1</v>
      </c>
      <c r="E6" s="4" t="str">
        <f ca="1">VLOOKUP($B6,OFFSET([2]quests!$A$1,0,0,COUNTA([2]quests!$A:$A),MATCH(E$1,[2]quests!$1:$1,0)-MATCH($B$1,[2]quests!$1:$1,0)+1),MATCH(E$1,[2]quests!$1:$1,0)-MATCH($B$1,[2]quests!$1:$1,0)+1,FALSE)</f>
        <v>月下老人襲来！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【超絶級】月下老人襲来</v>
      </c>
      <c r="G6" s="21">
        <v>3</v>
      </c>
      <c r="H6" s="15" t="str">
        <f t="shared" si="2"/>
        <v>48003_1-3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470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純心 トリスタン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50</v>
      </c>
      <c r="S6" s="25">
        <v>1.2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74008.800000000003</v>
      </c>
      <c r="U6" s="25">
        <v>0.39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2708.55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トリスタンは困惑している_x000D_【3ターン自身の防御力UP】</v>
      </c>
      <c r="Y6" s="61">
        <v>48003005</v>
      </c>
      <c r="Z6" s="6">
        <v>1</v>
      </c>
      <c r="AA6" s="6">
        <v>100</v>
      </c>
      <c r="AB6" s="6">
        <v>1</v>
      </c>
      <c r="AC6" s="17">
        <v>1</v>
      </c>
      <c r="AD6" s="24">
        <f t="shared" si="3"/>
        <v>470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純心 トリスタン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48003_1-3/482&lt;lv50&gt;s2</v>
      </c>
      <c r="B7" s="22">
        <v>48003</v>
      </c>
      <c r="C7" s="21">
        <v>1</v>
      </c>
      <c r="D7" s="2" t="str">
        <f t="shared" si="1"/>
        <v>48003_1</v>
      </c>
      <c r="E7" s="4" t="str">
        <f ca="1">VLOOKUP($B7,OFFSET([2]quests!$A$1,0,0,COUNTA([2]quests!$A:$A),MATCH(E$1,[2]quests!$1:$1,0)-MATCH($B$1,[2]quests!$1:$1,0)+1),MATCH(E$1,[2]quests!$1:$1,0)-MATCH($B$1,[2]quests!$1:$1,0)+1,FALSE)</f>
        <v>月下老人襲来！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【超絶級】月下老人襲来</v>
      </c>
      <c r="G7" s="21">
        <v>3</v>
      </c>
      <c r="H7" s="15" t="str">
        <f t="shared" si="2"/>
        <v>48003_1-3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482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魁僧 沢庵宗彭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50</v>
      </c>
      <c r="S7" s="25">
        <v>0.9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80485.2</v>
      </c>
      <c r="U7" s="25">
        <v>1.1299999999999999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5014.9399999999996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3ターン自身の攻撃力UP</v>
      </c>
      <c r="Y7" s="61">
        <v>48003006</v>
      </c>
      <c r="Z7" s="6">
        <v>1</v>
      </c>
      <c r="AA7" s="6">
        <v>100</v>
      </c>
      <c r="AB7" s="6">
        <v>2</v>
      </c>
      <c r="AC7" s="17">
        <v>2</v>
      </c>
      <c r="AD7" s="24">
        <f t="shared" si="3"/>
        <v>482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48003_1-4/141&lt;lv50&gt;s2</v>
      </c>
      <c r="B8" s="22">
        <v>48003</v>
      </c>
      <c r="C8" s="21">
        <v>1</v>
      </c>
      <c r="D8" s="2" t="str">
        <f t="shared" si="1"/>
        <v>48003_1</v>
      </c>
      <c r="E8" s="4" t="str">
        <f ca="1">VLOOKUP($B8,OFFSET([2]quests!$A$1,0,0,COUNTA([2]quests!$A:$A),MATCH(E$1,[2]quests!$1:$1,0)-MATCH($B$1,[2]quests!$1:$1,0)+1),MATCH(E$1,[2]quests!$1:$1,0)-MATCH($B$1,[2]quests!$1:$1,0)+1,FALSE)</f>
        <v>月下老人襲来！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【超絶級】月下老人襲来</v>
      </c>
      <c r="G8" s="21">
        <v>4</v>
      </c>
      <c r="H8" s="15" t="str">
        <f t="shared" si="2"/>
        <v>48003_1-4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141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妖狐演舞 タマモ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50</v>
      </c>
      <c r="S8" s="25">
        <v>1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98417</v>
      </c>
      <c r="U8" s="25">
        <v>1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4463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ランダムで黄パネルに5個変換</v>
      </c>
      <c r="Y8" s="61">
        <v>48003007</v>
      </c>
      <c r="Z8" s="6">
        <v>1</v>
      </c>
      <c r="AA8" s="6">
        <v>100</v>
      </c>
      <c r="AB8" s="6">
        <v>1</v>
      </c>
      <c r="AC8" s="17">
        <v>2</v>
      </c>
      <c r="AD8" s="24">
        <f t="shared" si="3"/>
        <v>141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妖狐演舞 タマモ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48003_1-4/666&lt;lv50&gt;s2</v>
      </c>
      <c r="B9" s="22">
        <v>48003</v>
      </c>
      <c r="C9" s="21">
        <v>1</v>
      </c>
      <c r="D9" s="2" t="str">
        <f t="shared" si="1"/>
        <v>48003_1</v>
      </c>
      <c r="E9" s="4" t="str">
        <f ca="1">VLOOKUP($B9,OFFSET([2]quests!$A$1,0,0,COUNTA([2]quests!$A:$A),MATCH(E$1,[2]quests!$1:$1,0)-MATCH($B$1,[2]quests!$1:$1,0)+1),MATCH(E$1,[2]quests!$1:$1,0)-MATCH($B$1,[2]quests!$1:$1,0)+1,FALSE)</f>
        <v>月下老人襲来！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【超絶級】月下老人襲来</v>
      </c>
      <c r="G9" s="21">
        <v>4</v>
      </c>
      <c r="H9" s="15" t="str">
        <f t="shared" si="2"/>
        <v>48003_1-4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666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拡散する幸福 テマリ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50</v>
      </c>
      <c r="S9" s="25">
        <v>1.3</v>
      </c>
      <c r="T9" s="9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85294.3</v>
      </c>
      <c r="U9" s="25">
        <v>0.63</v>
      </c>
      <c r="V9" s="9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3322.62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3ターン自身の攻撃頻度UP</v>
      </c>
      <c r="Y9" s="61">
        <v>48003008</v>
      </c>
      <c r="Z9" s="6">
        <v>1</v>
      </c>
      <c r="AA9" s="6">
        <v>100</v>
      </c>
      <c r="AB9" s="6">
        <v>2</v>
      </c>
      <c r="AC9" s="17">
        <v>2</v>
      </c>
      <c r="AD9" s="24">
        <f t="shared" si="3"/>
        <v>666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拡散する幸福 テマリ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48003_1-5/8011&lt;lv50&gt;s1</v>
      </c>
      <c r="B10" s="22">
        <v>48003</v>
      </c>
      <c r="C10" s="21">
        <v>1</v>
      </c>
      <c r="D10" s="2" t="str">
        <f t="shared" si="1"/>
        <v>48003_1</v>
      </c>
      <c r="E10" s="4" t="str">
        <f ca="1">VLOOKUP($B10,OFFSET([2]quests!$A$1,0,0,COUNTA([2]quests!$A:$A),MATCH(E$1,[2]quests!$1:$1,0)-MATCH($B$1,[2]quests!$1:$1,0)+1),MATCH(E$1,[2]quests!$1:$1,0)-MATCH($B$1,[2]quests!$1:$1,0)+1,FALSE)</f>
        <v>月下老人襲来！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【超絶級】月下老人襲来</v>
      </c>
      <c r="G10" s="21">
        <v>5</v>
      </c>
      <c r="H10" s="15" t="str">
        <f t="shared" si="2"/>
        <v>48003_1-5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8011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月下老人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50</v>
      </c>
      <c r="S10" s="25">
        <v>2.5</v>
      </c>
      <c r="T10" s="9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0</v>
      </c>
      <c r="U10" s="25">
        <v>1.08</v>
      </c>
      <c r="V10" s="9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自身の防御力UP+状態異常耐性</v>
      </c>
      <c r="Y10" s="61">
        <v>48003009</v>
      </c>
      <c r="Z10" s="6">
        <v>1</v>
      </c>
      <c r="AA10" s="6">
        <v>100</v>
      </c>
      <c r="AB10" s="6">
        <v>1</v>
      </c>
      <c r="AC10" s="17">
        <v>1</v>
      </c>
      <c r="AD10" s="24">
        <f t="shared" si="3"/>
        <v>8011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月下老人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ca="1" si="4"/>
        <v>5</v>
      </c>
      <c r="AJ10" s="8">
        <v>15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ref="A11:A19" si="5">B11&amp;"_"&amp;C11&amp;"-"&amp;G11&amp;"/"&amp;L11&amp;"&lt;lv"&amp;R11&amp;"&gt;s"&amp;AC11</f>
        <v>48003_2-1/50&lt;lv58&gt;s1</v>
      </c>
      <c r="B11" s="22">
        <v>48003</v>
      </c>
      <c r="C11" s="21">
        <v>2</v>
      </c>
      <c r="D11" s="2" t="str">
        <f t="shared" ref="D11:D19" si="6">B11&amp;"_"&amp;C11</f>
        <v>48003_2</v>
      </c>
      <c r="E11" s="4" t="str">
        <f ca="1">VLOOKUP($B11,OFFSET([2]quests!$A$1,0,0,COUNTA([2]quests!$A:$A),MATCH(E$1,[2]quests!$1:$1,0)-MATCH($B$1,[2]quests!$1:$1,0)+1),MATCH(E$1,[2]quests!$1:$1,0)-MATCH($B$1,[2]quests!$1:$1,0)+1,FALSE)</f>
        <v>月下老人襲来！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【ウィザード級】月下老人襲来</v>
      </c>
      <c r="G11" s="21">
        <v>1</v>
      </c>
      <c r="H11" s="15" t="str">
        <f t="shared" ref="H11:H19" si="7">B11&amp;"_"&amp;C11&amp;"-"&amp;G11</f>
        <v>48003_2-1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50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炎銃のレジスタンス ヨシタカ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58</v>
      </c>
      <c r="S11" s="25">
        <v>1.2</v>
      </c>
      <c r="T11" s="99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64230</v>
      </c>
      <c r="U11" s="25">
        <v>0.57999999999999996</v>
      </c>
      <c r="V11" s="99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2985.8399999999997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寺院にお参りしている</v>
      </c>
      <c r="Y11" s="61">
        <v>48003001</v>
      </c>
      <c r="Z11" s="6">
        <v>1</v>
      </c>
      <c r="AA11" s="6">
        <v>100</v>
      </c>
      <c r="AB11" s="6">
        <v>2</v>
      </c>
      <c r="AC11" s="17">
        <v>1</v>
      </c>
      <c r="AD11" s="24">
        <f t="shared" ref="AD11:AD19" si="8">L11</f>
        <v>50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4">
        <v>2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48003_2-1/469&lt;lv56&gt;s1</v>
      </c>
      <c r="B12" s="22">
        <v>48003</v>
      </c>
      <c r="C12" s="21">
        <v>2</v>
      </c>
      <c r="D12" s="2" t="str">
        <f t="shared" si="6"/>
        <v>48003_2</v>
      </c>
      <c r="E12" s="4" t="str">
        <f ca="1">VLOOKUP($B12,OFFSET([2]quests!$A$1,0,0,COUNTA([2]quests!$A:$A),MATCH(E$1,[2]quests!$1:$1,0)-MATCH($B$1,[2]quests!$1:$1,0)+1),MATCH(E$1,[2]quests!$1:$1,0)-MATCH($B$1,[2]quests!$1:$1,0)+1,FALSE)</f>
        <v>月下老人襲来！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【ウィザード級】月下老人襲来</v>
      </c>
      <c r="G12" s="21">
        <v>1</v>
      </c>
      <c r="H12" s="15" t="str">
        <f t="shared" si="7"/>
        <v>48003_2-1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469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トリスタン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25</v>
      </c>
      <c r="R12" s="5">
        <v>56</v>
      </c>
      <c r="S12" s="25">
        <v>1.1000000000000001</v>
      </c>
      <c r="T12" s="99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69919.3</v>
      </c>
      <c r="U12" s="25">
        <v>0.39</v>
      </c>
      <c r="V12" s="99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2907.84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トリスタンもお参りしている</v>
      </c>
      <c r="Y12" s="61">
        <v>48003002</v>
      </c>
      <c r="Z12" s="6">
        <v>1</v>
      </c>
      <c r="AA12" s="6">
        <v>100</v>
      </c>
      <c r="AB12" s="6">
        <v>1</v>
      </c>
      <c r="AC12" s="17">
        <v>1</v>
      </c>
      <c r="AD12" s="24">
        <f t="shared" si="8"/>
        <v>469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トリスタン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7">
        <v>1</v>
      </c>
      <c r="AI12" s="24">
        <f t="shared" ca="1" si="4"/>
        <v>3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5"/>
        <v>48003_2-2/50&lt;lv58&gt;s1</v>
      </c>
      <c r="B13" s="22">
        <v>48003</v>
      </c>
      <c r="C13" s="21">
        <v>2</v>
      </c>
      <c r="D13" s="2" t="str">
        <f t="shared" si="6"/>
        <v>48003_2</v>
      </c>
      <c r="E13" s="4" t="str">
        <f ca="1">VLOOKUP($B13,OFFSET([2]quests!$A$1,0,0,COUNTA([2]quests!$A:$A),MATCH(E$1,[2]quests!$1:$1,0)-MATCH($B$1,[2]quests!$1:$1,0)+1),MATCH(E$1,[2]quests!$1:$1,0)-MATCH($B$1,[2]quests!$1:$1,0)+1,FALSE)</f>
        <v>月下老人襲来！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【ウィザード級】月下老人襲来</v>
      </c>
      <c r="G13" s="21">
        <v>2</v>
      </c>
      <c r="H13" s="15" t="str">
        <f t="shared" si="7"/>
        <v>48003_2-2</v>
      </c>
      <c r="I13" s="4">
        <f ca="1">VLOOKUP($H13,OFFSET(floors!$A$1,0,0,COUNTA(floors!$A:$A),MATCH(I$1,floors!$1:$1,0)-MATCH($H$1,floors!$1:$1,0)+1),MATCH(I$1,floors!$1:$1,0)-MATCH($H$1,floors!$1:$1,0)+1,FALSE)</f>
        <v>35</v>
      </c>
      <c r="J13" s="4">
        <f ca="1">VLOOKUP($H13,OFFSET(floors!$A$1,0,0,COUNTA(floors!$A:$A),MATCH(J$1,floors!$1:$1,0)-MATCH($H$1,floors!$1:$1,0)+1),MATCH(J$1,floors!$1:$1,0)-MATCH($H$1,floors!$1:$1,0)+1,FALSE)</f>
        <v>35</v>
      </c>
      <c r="K13" s="38" t="s">
        <v>53</v>
      </c>
      <c r="L13" s="20">
        <v>50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炎銃のレジスタンス ヨシタカ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58</v>
      </c>
      <c r="S13" s="25">
        <v>1.5</v>
      </c>
      <c r="T13" s="99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80287.5</v>
      </c>
      <c r="U13" s="25">
        <v>0.75</v>
      </c>
      <c r="V13" s="99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3861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ヨシタカは困惑している</v>
      </c>
      <c r="Y13" s="61">
        <v>48003003</v>
      </c>
      <c r="Z13" s="6">
        <v>1</v>
      </c>
      <c r="AA13" s="6">
        <v>100</v>
      </c>
      <c r="AB13" s="6">
        <v>1</v>
      </c>
      <c r="AC13" s="17">
        <v>1</v>
      </c>
      <c r="AD13" s="24">
        <f t="shared" si="8"/>
        <v>50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v>2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si="5"/>
        <v>48003_2-2/363&lt;lv62&gt;s1</v>
      </c>
      <c r="B14" s="22">
        <v>48003</v>
      </c>
      <c r="C14" s="21">
        <v>2</v>
      </c>
      <c r="D14" s="2" t="str">
        <f t="shared" si="6"/>
        <v>48003_2</v>
      </c>
      <c r="E14" s="4" t="str">
        <f ca="1">VLOOKUP($B14,OFFSET([2]quests!$A$1,0,0,COUNTA([2]quests!$A:$A),MATCH(E$1,[2]quests!$1:$1,0)-MATCH($B$1,[2]quests!$1:$1,0)+1),MATCH(E$1,[2]quests!$1:$1,0)-MATCH($B$1,[2]quests!$1:$1,0)+1,FALSE)</f>
        <v>月下老人襲来！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【ウィザード級】月下老人襲来</v>
      </c>
      <c r="G14" s="21">
        <v>2</v>
      </c>
      <c r="H14" s="15" t="str">
        <f t="shared" si="7"/>
        <v>48003_2-2</v>
      </c>
      <c r="I14" s="4">
        <f ca="1">VLOOKUP($H14,OFFSET(floors!$A$1,0,0,COUNTA(floors!$A:$A),MATCH(I$1,floors!$1:$1,0)-MATCH($H$1,floors!$1:$1,0)+1),MATCH(I$1,floors!$1:$1,0)-MATCH($H$1,floors!$1:$1,0)+1,FALSE)</f>
        <v>35</v>
      </c>
      <c r="J14" s="4">
        <f ca="1">VLOOKUP($H14,OFFSET(floors!$A$1,0,0,COUNTA(floors!$A:$A),MATCH(J$1,floors!$1:$1,0)-MATCH($H$1,floors!$1:$1,0)+1),MATCH(J$1,floors!$1:$1,0)-MATCH($H$1,floors!$1:$1,0)+1,FALSE)</f>
        <v>35</v>
      </c>
      <c r="K14" s="38" t="s">
        <v>53</v>
      </c>
      <c r="L14" s="20">
        <v>363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花咲く幼精 ゆらら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62</v>
      </c>
      <c r="S14" s="25">
        <v>6</v>
      </c>
      <c r="T14" s="9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69954</v>
      </c>
      <c r="U14" s="25">
        <v>0.83</v>
      </c>
      <c r="V14" s="99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3067.68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ゆららは怯えている</v>
      </c>
      <c r="Y14" s="61">
        <v>48003004</v>
      </c>
      <c r="Z14" s="6">
        <v>1</v>
      </c>
      <c r="AA14" s="6">
        <v>100</v>
      </c>
      <c r="AB14" s="6">
        <v>2</v>
      </c>
      <c r="AC14" s="17">
        <v>1</v>
      </c>
      <c r="AD14" s="24">
        <f t="shared" si="8"/>
        <v>363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花咲く幼精 ゆらら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v>2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5"/>
        <v>48003_2-3/470&lt;lv56&gt;s1</v>
      </c>
      <c r="B15" s="22">
        <v>48003</v>
      </c>
      <c r="C15" s="21">
        <v>2</v>
      </c>
      <c r="D15" s="2" t="str">
        <f t="shared" si="6"/>
        <v>48003_2</v>
      </c>
      <c r="E15" s="4" t="str">
        <f ca="1">VLOOKUP($B15,OFFSET([2]quests!$A$1,0,0,COUNTA([2]quests!$A:$A),MATCH(E$1,[2]quests!$1:$1,0)-MATCH($B$1,[2]quests!$1:$1,0)+1),MATCH(E$1,[2]quests!$1:$1,0)-MATCH($B$1,[2]quests!$1:$1,0)+1,FALSE)</f>
        <v>月下老人襲来！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【ウィザード級】月下老人襲来</v>
      </c>
      <c r="G15" s="21">
        <v>3</v>
      </c>
      <c r="H15" s="15" t="str">
        <f t="shared" si="7"/>
        <v>48003_2-3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470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純心 トリスタン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56</v>
      </c>
      <c r="S15" s="25">
        <v>1.2</v>
      </c>
      <c r="T15" s="99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82632</v>
      </c>
      <c r="U15" s="25">
        <v>0.39</v>
      </c>
      <c r="V15" s="99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3024.06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トリスタンは困惑している_x000D_【3ターン自身の防御力UP】</v>
      </c>
      <c r="Y15" s="61">
        <v>48003005</v>
      </c>
      <c r="Z15" s="6">
        <v>1</v>
      </c>
      <c r="AA15" s="6">
        <v>100</v>
      </c>
      <c r="AB15" s="6">
        <v>1</v>
      </c>
      <c r="AC15" s="17">
        <v>1</v>
      </c>
      <c r="AD15" s="24">
        <f t="shared" si="8"/>
        <v>470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純心 トリスタン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4">
        <f t="shared" ca="1" si="4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5"/>
        <v>48003_2-3/482&lt;lv61&gt;s2</v>
      </c>
      <c r="B16" s="22">
        <v>48003</v>
      </c>
      <c r="C16" s="21">
        <v>2</v>
      </c>
      <c r="D16" s="2" t="str">
        <f t="shared" si="6"/>
        <v>48003_2</v>
      </c>
      <c r="E16" s="4" t="str">
        <f ca="1">VLOOKUP($B16,OFFSET([2]quests!$A$1,0,0,COUNTA([2]quests!$A:$A),MATCH(E$1,[2]quests!$1:$1,0)-MATCH($B$1,[2]quests!$1:$1,0)+1),MATCH(E$1,[2]quests!$1:$1,0)-MATCH($B$1,[2]quests!$1:$1,0)+1,FALSE)</f>
        <v>月下老人襲来！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【ウィザード級】月下老人襲来</v>
      </c>
      <c r="G16" s="21">
        <v>3</v>
      </c>
      <c r="H16" s="15" t="str">
        <f t="shared" si="7"/>
        <v>48003_2-3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482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魁僧 沢庵宗彭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61</v>
      </c>
      <c r="S16" s="25">
        <v>0.9</v>
      </c>
      <c r="T16" s="99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97676.1</v>
      </c>
      <c r="U16" s="25">
        <v>1.1299999999999999</v>
      </c>
      <c r="V16" s="99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6086.1799999999994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3ターン自身の攻撃力UP</v>
      </c>
      <c r="Y16" s="61">
        <v>48003006</v>
      </c>
      <c r="Z16" s="6">
        <v>1</v>
      </c>
      <c r="AA16" s="6">
        <v>100</v>
      </c>
      <c r="AB16" s="6">
        <v>2</v>
      </c>
      <c r="AC16" s="17">
        <v>2</v>
      </c>
      <c r="AD16" s="24">
        <f t="shared" si="8"/>
        <v>482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6" s="7">
        <v>1</v>
      </c>
      <c r="AI16" s="24">
        <f t="shared" ca="1" si="4"/>
        <v>4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si="5"/>
        <v>48003_2-4/141&lt;lv60&gt;s2</v>
      </c>
      <c r="B17" s="22">
        <v>48003</v>
      </c>
      <c r="C17" s="21">
        <v>2</v>
      </c>
      <c r="D17" s="2" t="str">
        <f t="shared" si="6"/>
        <v>48003_2</v>
      </c>
      <c r="E17" s="4" t="str">
        <f ca="1">VLOOKUP($B17,OFFSET([2]quests!$A$1,0,0,COUNTA([2]quests!$A:$A),MATCH(E$1,[2]quests!$1:$1,0)-MATCH($B$1,[2]quests!$1:$1,0)+1),MATCH(E$1,[2]quests!$1:$1,0)-MATCH($B$1,[2]quests!$1:$1,0)+1,FALSE)</f>
        <v>月下老人襲来！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【ウィザード級】月下老人襲来</v>
      </c>
      <c r="G17" s="21">
        <v>4</v>
      </c>
      <c r="H17" s="15" t="str">
        <f t="shared" si="7"/>
        <v>48003_2-4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141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妖狐演舞 タマモ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5">
        <v>1</v>
      </c>
      <c r="T17" s="99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117527</v>
      </c>
      <c r="U17" s="25">
        <v>1</v>
      </c>
      <c r="V17" s="99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5329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ランダムで黄パネルに5個変換</v>
      </c>
      <c r="Y17" s="61">
        <v>48003007</v>
      </c>
      <c r="Z17" s="6">
        <v>1</v>
      </c>
      <c r="AA17" s="6">
        <v>100</v>
      </c>
      <c r="AB17" s="6">
        <v>1</v>
      </c>
      <c r="AC17" s="17">
        <v>2</v>
      </c>
      <c r="AD17" s="24">
        <f t="shared" si="8"/>
        <v>141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妖狐演舞 タマモ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7" s="7">
        <v>1</v>
      </c>
      <c r="AI17" s="24">
        <f t="shared" ca="1" si="4"/>
        <v>4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si="5"/>
        <v>48003_2-4/666&lt;lv62&gt;s2</v>
      </c>
      <c r="B18" s="22">
        <v>48003</v>
      </c>
      <c r="C18" s="21">
        <v>2</v>
      </c>
      <c r="D18" s="2" t="str">
        <f t="shared" si="6"/>
        <v>48003_2</v>
      </c>
      <c r="E18" s="4" t="str">
        <f ca="1">VLOOKUP($B18,OFFSET([2]quests!$A$1,0,0,COUNTA([2]quests!$A:$A),MATCH(E$1,[2]quests!$1:$1,0)-MATCH($B$1,[2]quests!$1:$1,0)+1),MATCH(E$1,[2]quests!$1:$1,0)-MATCH($B$1,[2]quests!$1:$1,0)+1,FALSE)</f>
        <v>月下老人襲来！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【ウィザード級】月下老人襲来</v>
      </c>
      <c r="G18" s="21">
        <v>4</v>
      </c>
      <c r="H18" s="15" t="str">
        <f t="shared" si="7"/>
        <v>48003_2-4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666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拡散する幸福 テマリ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62</v>
      </c>
      <c r="S18" s="25">
        <v>1.3</v>
      </c>
      <c r="T18" s="99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105168.7</v>
      </c>
      <c r="U18" s="25">
        <v>0.63</v>
      </c>
      <c r="V18" s="99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4096.8900000000003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3ターン自身の攻撃頻度UP</v>
      </c>
      <c r="Y18" s="61">
        <v>48003008</v>
      </c>
      <c r="Z18" s="6">
        <v>1</v>
      </c>
      <c r="AA18" s="6">
        <v>100</v>
      </c>
      <c r="AB18" s="6">
        <v>2</v>
      </c>
      <c r="AC18" s="17">
        <v>2</v>
      </c>
      <c r="AD18" s="24">
        <f t="shared" si="8"/>
        <v>666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拡散する幸福 テマリ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8" s="7">
        <v>1</v>
      </c>
      <c r="AI18" s="24">
        <f t="shared" ca="1" si="4"/>
        <v>4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t="shared" si="5"/>
        <v>48003_2-5/8011&lt;lv60&gt;s1</v>
      </c>
      <c r="B19" s="22">
        <v>48003</v>
      </c>
      <c r="C19" s="21">
        <v>2</v>
      </c>
      <c r="D19" s="2" t="str">
        <f t="shared" si="6"/>
        <v>48003_2</v>
      </c>
      <c r="E19" s="4" t="str">
        <f ca="1">VLOOKUP($B19,OFFSET([2]quests!$A$1,0,0,COUNTA([2]quests!$A:$A),MATCH(E$1,[2]quests!$1:$1,0)-MATCH($B$1,[2]quests!$1:$1,0)+1),MATCH(E$1,[2]quests!$1:$1,0)-MATCH($B$1,[2]quests!$1:$1,0)+1,FALSE)</f>
        <v>月下老人襲来！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【ウィザード級】月下老人襲来</v>
      </c>
      <c r="G19" s="21">
        <v>5</v>
      </c>
      <c r="H19" s="15" t="str">
        <f t="shared" si="7"/>
        <v>48003_2-5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2</v>
      </c>
      <c r="L19" s="20">
        <v>8011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月下老人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god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5">
        <v>2.5</v>
      </c>
      <c r="T19" s="99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0</v>
      </c>
      <c r="U19" s="25">
        <v>1.08</v>
      </c>
      <c r="V19" s="99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0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自身の防御力UP+状態異常耐性</v>
      </c>
      <c r="Y19" s="61">
        <v>48003009</v>
      </c>
      <c r="Z19" s="6">
        <v>1</v>
      </c>
      <c r="AA19" s="6">
        <v>100</v>
      </c>
      <c r="AB19" s="6">
        <v>1</v>
      </c>
      <c r="AC19" s="17">
        <v>1</v>
      </c>
      <c r="AD19" s="24">
        <f t="shared" si="8"/>
        <v>8011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月下老人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24">
        <f t="shared" ca="1" si="4"/>
        <v>5</v>
      </c>
      <c r="AJ19" s="8">
        <v>30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5" sqref="T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8" t="s">
        <v>247</v>
      </c>
      <c r="V1" s="26" t="s">
        <v>50</v>
      </c>
      <c r="W1" s="98" t="s">
        <v>248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5" si="0">B2&amp;"_"&amp;C2&amp;"-"&amp;G2&amp;"/"&amp;M2&amp;"&lt;lv"&amp;S2&amp;"&gt;sq"&amp;K2&amp;"st"&amp;L2</f>
        <v>48003_1-5/8012&lt;lv50&gt;sq1st2</v>
      </c>
      <c r="B2" s="22">
        <v>48003</v>
      </c>
      <c r="C2" s="21">
        <v>1</v>
      </c>
      <c r="D2" s="2" t="str">
        <f t="shared" ref="D2:D5" si="1">B2&amp;"_"&amp;C2</f>
        <v>48003_1</v>
      </c>
      <c r="E2" s="4" t="str">
        <f ca="1">VLOOKUP($B2,OFFSET([2]quests!$A$1,0,0,COUNTA([2]quests!$A:$A),MATCH(E$1,[2]quests!$1:$1,0)-MATCH($B$1,[2]quests!$1:$1,0)+1),MATCH(E$1,[2]quests!$1:$1,0)-MATCH($B$1,[2]quests!$1:$1,0)+1,FALSE)</f>
        <v>月下老人襲来！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【超絶級】月下老人襲来</v>
      </c>
      <c r="G2" s="21">
        <v>5</v>
      </c>
      <c r="H2" s="15" t="str">
        <f t="shared" ref="H2:H5" si="2">B2&amp;"_"&amp;C2&amp;"-"&amp;G2</f>
        <v>48003_1-5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8012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破戀斬る縁剣 月下老人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2.8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5">
        <v>1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48003010</v>
      </c>
      <c r="AA2" s="70">
        <v>1</v>
      </c>
    </row>
    <row r="3" spans="1:27" ht="21" customHeight="1" x14ac:dyDescent="0.15">
      <c r="A3" s="16" t="str">
        <f t="shared" si="0"/>
        <v>48003_1-5/8012&lt;lv50&gt;sq1st3</v>
      </c>
      <c r="B3" s="22">
        <v>48003</v>
      </c>
      <c r="C3" s="21">
        <v>1</v>
      </c>
      <c r="D3" s="2" t="str">
        <f t="shared" si="1"/>
        <v>48003_1</v>
      </c>
      <c r="E3" s="4" t="str">
        <f ca="1">VLOOKUP($B3,OFFSET([2]quests!$A$1,0,0,COUNTA([2]quests!$A:$A),MATCH(E$1,[2]quests!$1:$1,0)-MATCH($B$1,[2]quests!$1:$1,0)+1),MATCH(E$1,[2]quests!$1:$1,0)-MATCH($B$1,[2]quests!$1:$1,0)+1,FALSE)</f>
        <v>月下老人襲来！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【超絶級】月下老人襲来</v>
      </c>
      <c r="G3" s="21">
        <v>5</v>
      </c>
      <c r="H3" s="15" t="str">
        <f t="shared" si="2"/>
        <v>48003_1-5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8012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破戀斬る縁剣 月下老人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3.3</v>
      </c>
      <c r="U3" s="9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5">
        <v>1</v>
      </c>
      <c r="W3" s="9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48003011</v>
      </c>
      <c r="AA3" s="70">
        <v>1</v>
      </c>
    </row>
    <row r="4" spans="1:27" ht="21" customHeight="1" x14ac:dyDescent="0.15">
      <c r="A4" s="16" t="str">
        <f t="shared" si="0"/>
        <v>48003_2-5/8012&lt;lv65&gt;sq2st2</v>
      </c>
      <c r="B4" s="22">
        <v>48003</v>
      </c>
      <c r="C4" s="21">
        <v>2</v>
      </c>
      <c r="D4" s="2" t="str">
        <f t="shared" si="1"/>
        <v>48003_2</v>
      </c>
      <c r="E4" s="4" t="str">
        <f ca="1">VLOOKUP($B4,OFFSET([2]quests!$A$1,0,0,COUNTA([2]quests!$A:$A),MATCH(E$1,[2]quests!$1:$1,0)-MATCH($B$1,[2]quests!$1:$1,0)+1),MATCH(E$1,[2]quests!$1:$1,0)-MATCH($B$1,[2]quests!$1:$1,0)+1,FALSE)</f>
        <v>月下老人襲来！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【ウィザード級】月下老人襲来</v>
      </c>
      <c r="G4" s="21">
        <v>5</v>
      </c>
      <c r="H4" s="15" t="str">
        <f t="shared" si="2"/>
        <v>48003_2-5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8012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破戀斬る縁剣 月下老人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65</v>
      </c>
      <c r="T4" s="25">
        <v>2.8</v>
      </c>
      <c r="U4" s="99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5">
        <v>1</v>
      </c>
      <c r="W4" s="99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48003010</v>
      </c>
      <c r="AA4" s="70">
        <v>1</v>
      </c>
    </row>
    <row r="5" spans="1:27" ht="21" customHeight="1" x14ac:dyDescent="0.15">
      <c r="A5" s="16" t="str">
        <f t="shared" si="0"/>
        <v>48003_2-5/8012&lt;lv65&gt;sq2st3</v>
      </c>
      <c r="B5" s="22">
        <v>48003</v>
      </c>
      <c r="C5" s="21">
        <v>2</v>
      </c>
      <c r="D5" s="2" t="str">
        <f t="shared" si="1"/>
        <v>48003_2</v>
      </c>
      <c r="E5" s="4" t="str">
        <f ca="1">VLOOKUP($B5,OFFSET([2]quests!$A$1,0,0,COUNTA([2]quests!$A:$A),MATCH(E$1,[2]quests!$1:$1,0)-MATCH($B$1,[2]quests!$1:$1,0)+1),MATCH(E$1,[2]quests!$1:$1,0)-MATCH($B$1,[2]quests!$1:$1,0)+1,FALSE)</f>
        <v>月下老人襲来！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【ウィザード級】月下老人襲来</v>
      </c>
      <c r="G5" s="21">
        <v>5</v>
      </c>
      <c r="H5" s="15" t="str">
        <f t="shared" si="2"/>
        <v>48003_2-5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8012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破戀斬る縁剣 月下老人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65</v>
      </c>
      <c r="T5" s="25">
        <v>3.3</v>
      </c>
      <c r="U5" s="99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5">
        <v>1</v>
      </c>
      <c r="W5" s="99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7">
        <v>48003011</v>
      </c>
      <c r="AA5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0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L14" sqref="L1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6.16406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48003001_48003001</v>
      </c>
      <c r="B2" s="47">
        <v>48003001</v>
      </c>
      <c r="C2" s="47">
        <v>48003001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縁結びの神様！_x000D_お願いします！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寺院にお参りしている</v>
      </c>
      <c r="F2" s="47">
        <v>48003001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2" si="1">B3&amp;"_"&amp;C3</f>
        <v>48003001_48003002</v>
      </c>
      <c r="B3" s="47">
        <v>48003001</v>
      </c>
      <c r="C3" s="47">
        <v>48003002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お賽銭マシンガン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48003002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48003001_48003003</v>
      </c>
      <c r="B4" s="47">
        <v>48003001</v>
      </c>
      <c r="C4" s="47">
        <v>48003003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なんだろう_x000D_赤い糸が見える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この糸がマイちゃんに繋がっている…？</v>
      </c>
      <c r="F4" s="47">
        <v>48003003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48003001_48003004</v>
      </c>
      <c r="B5" s="47">
        <v>48003001</v>
      </c>
      <c r="C5" s="47">
        <v>48003004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こうしちゃいられないな！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ヨシタカは赤い糸をたどって走り去った</v>
      </c>
      <c r="F5" s="47">
        <v>48003004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469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48003002_48003005</v>
      </c>
      <c r="B6" s="47">
        <v>48003002</v>
      </c>
      <c r="C6" s="47">
        <v>48003005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…年上のお姉さんがいいな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トリスタンもお参りしている</v>
      </c>
      <c r="F6" s="47">
        <v>48003005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48003002_48003006</v>
      </c>
      <c r="B7" s="47">
        <v>48003002</v>
      </c>
      <c r="C7" s="47">
        <v>48003006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お賽銭バズーカ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" s="47">
        <v>48003006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48003002_48003007</v>
      </c>
      <c r="B8" s="47">
        <v>48003002</v>
      </c>
      <c r="C8" s="47">
        <v>48003007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たどってみよう！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反対側はいったい誰につながってるんだろう</v>
      </c>
      <c r="F8" s="47">
        <v>48003007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48003002_48003008</v>
      </c>
      <c r="B9" s="47">
        <v>48003002</v>
      </c>
      <c r="C9" s="47">
        <v>48003008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それじゃあまたね！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トリスタンは赤い糸をたどって走り去った</v>
      </c>
      <c r="F9" s="47">
        <v>48003008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50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48003003_48003009</v>
      </c>
      <c r="B10" s="47">
        <v>48003003</v>
      </c>
      <c r="C10" s="47">
        <v>48003009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あれ…女の子型の…動物？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ヨシタカは困惑している</v>
      </c>
      <c r="F10" s="47">
        <v>48003009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48003003_48003010</v>
      </c>
      <c r="B11" s="47">
        <v>48003003</v>
      </c>
      <c r="C11" s="47">
        <v>48003010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お賽銭マシンガン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" s="47">
        <v>48003010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1"/>
        <v>48003003_48003011</v>
      </c>
      <c r="B12" s="47">
        <v>48003003</v>
      </c>
      <c r="C12" s="47">
        <v>48003011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マガジン全掃射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47">
        <v>48003011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48003003_48003012</v>
      </c>
      <c r="B13" s="47">
        <v>48003003</v>
      </c>
      <c r="C13" s="47">
        <v>48003012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愛迷バレット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1ターン暗闇</v>
      </c>
      <c r="F13" s="47">
        <v>48003012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48003003_48003013</v>
      </c>
      <c r="B14" s="47">
        <v>48003003</v>
      </c>
      <c r="C14" s="47">
        <v>48003013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えぇ…？こんなはずじゃ…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意気消沈している…</v>
      </c>
      <c r="F14" s="47">
        <v>48003013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48003004_48003014</v>
      </c>
      <c r="B15" s="47">
        <v>48003004</v>
      </c>
      <c r="C15" s="47">
        <v>48003014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ゆっ！？赤いにんげん！？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ゆららは怯えている</v>
      </c>
      <c r="F15" s="47">
        <v>48003014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48003004_48003015</v>
      </c>
      <c r="B16" s="47">
        <v>48003004</v>
      </c>
      <c r="C16" s="47">
        <v>48003015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アツいのはイヤなの！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16" s="47">
        <v>48003015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48003004_48003016</v>
      </c>
      <c r="B17" s="47">
        <v>48003004</v>
      </c>
      <c r="C17" s="47">
        <v>48003016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ゆるゆるいんひびっと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3ターン赤パネル無効</v>
      </c>
      <c r="F17" s="47">
        <v>48003016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48003005_48003017</v>
      </c>
      <c r="B18" s="47">
        <v>48003005</v>
      </c>
      <c r="C18" s="47">
        <v>48003017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年上の…おじさん！？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トリスタンは困惑している_x000D_【3ターン自身の防御力UP】</v>
      </c>
      <c r="F18" s="47">
        <v>48003017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48003005_48003018</v>
      </c>
      <c r="B19" s="47">
        <v>48003005</v>
      </c>
      <c r="C19" s="47">
        <v>48003018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お賽銭バズーカ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9" s="47">
        <v>48003018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7"/>
      <c r="Q19" s="47"/>
      <c r="R19" s="47"/>
    </row>
    <row r="20" spans="1:18" ht="21" customHeight="1" x14ac:dyDescent="0.15">
      <c r="A20" s="39" t="str">
        <f t="shared" si="1"/>
        <v>48003005_48003019</v>
      </c>
      <c r="B20" s="47">
        <v>48003005</v>
      </c>
      <c r="C20" s="47">
        <v>48003019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対城砲弾装填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次のターンにハートパネル吸収攻撃</v>
      </c>
      <c r="F20" s="47">
        <v>48003019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48003005_48003020</v>
      </c>
      <c r="B21" s="47">
        <v>48003005</v>
      </c>
      <c r="C21" s="47">
        <v>48003020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ファウストパトローネ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ハートパネルを吸収して全体攻撃(最大8個)</v>
      </c>
      <c r="F21" s="47">
        <v>48003020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48003005_48003021</v>
      </c>
      <c r="B22" s="47">
        <v>48003005</v>
      </c>
      <c r="C22" s="47">
        <v>48003021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ぐっ…　強すぎる…！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悔しそうにしている…</v>
      </c>
      <c r="F22" s="47">
        <v>48003021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48003006_48003022</v>
      </c>
      <c r="B23" s="47">
        <v>48003006</v>
      </c>
      <c r="C23" s="47">
        <v>48003022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小僧　問答の時間だ！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3ターン自身の攻撃力UP</v>
      </c>
      <c r="F23" s="47">
        <v>48003022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48003006_48003023</v>
      </c>
      <c r="B24" s="47">
        <v>48003006</v>
      </c>
      <c r="C24" s="47">
        <v>48003023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禅を説いてやろう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ランダムで黄の時限式ダメージパネルに3個変換+_x000D_単体攻撃</v>
      </c>
      <c r="F24" s="47">
        <v>48003023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48003006_48003024</v>
      </c>
      <c r="B25" s="47">
        <v>48003006</v>
      </c>
      <c r="C25" s="47">
        <v>48003024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喝ぁぁぁっ！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47">
        <v>48003024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7"/>
      <c r="Q25" s="47"/>
      <c r="R25" s="47"/>
    </row>
    <row r="26" spans="1:18" ht="21" customHeight="1" x14ac:dyDescent="0.15">
      <c r="A26" s="39" t="str">
        <f t="shared" si="1"/>
        <v>48003007_48003025</v>
      </c>
      <c r="B26" s="47">
        <v>48003007</v>
      </c>
      <c r="C26" s="47">
        <v>48003025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なにごとじゃ！ _x000D_祭りかの！？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ランダムで黄パネルに5個変換</v>
      </c>
      <c r="F26" s="47">
        <v>48003025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48003007_48003026</v>
      </c>
      <c r="B27" s="47">
        <v>48003007</v>
      </c>
      <c r="C27" s="47">
        <v>48003026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金遁の札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ランダムで黄パネルに2個変換+単体攻撃</v>
      </c>
      <c r="F27" s="47">
        <v>48003026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7" s="47"/>
      <c r="Q27" s="47"/>
      <c r="R27" s="47"/>
    </row>
    <row r="28" spans="1:18" ht="21" customHeight="1" x14ac:dyDescent="0.15">
      <c r="A28" s="39" t="str">
        <f t="shared" si="1"/>
        <v>48003008_48003027</v>
      </c>
      <c r="B28" s="47">
        <v>48003008</v>
      </c>
      <c r="C28" s="47">
        <v>48003027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私たちも楽しもう♪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3ターン自身の攻撃頻度UP</v>
      </c>
      <c r="F28" s="47">
        <v>48003027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48003008_48003028</v>
      </c>
      <c r="B29" s="47">
        <v>48003008</v>
      </c>
      <c r="C29" s="47">
        <v>48003028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手毬唄【風車】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9" s="47">
        <v>48003028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9" s="47"/>
      <c r="Q29" s="47"/>
      <c r="R29" s="47"/>
    </row>
    <row r="30" spans="1:18" ht="21" customHeight="1" x14ac:dyDescent="0.15">
      <c r="A30" s="39" t="str">
        <f t="shared" si="1"/>
        <v>48003008_48003029</v>
      </c>
      <c r="B30" s="47">
        <v>48003008</v>
      </c>
      <c r="C30" s="47">
        <v>48003029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手毬唄【幸福】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30" s="47">
        <v>48003029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48003009_48003030</v>
      </c>
      <c r="B31" s="47">
        <v>48003009</v>
      </c>
      <c r="C31" s="47">
        <v>48003030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参拝客か？良縁に恵まれたまえ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自身の防御力UP+状態異常耐性</v>
      </c>
      <c r="F31" s="47">
        <v>48003030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48003009_48003031</v>
      </c>
      <c r="B32" s="47">
        <v>48003009</v>
      </c>
      <c r="C32" s="47">
        <v>48003031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おお！これは良縁となるだろう！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ランダムでお邪魔パネルに6個変換+単体攻撃</v>
      </c>
      <c r="F32" s="47">
        <v>48003031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2" s="47"/>
      <c r="Q32" s="47"/>
      <c r="R32" s="47"/>
    </row>
    <row r="33" spans="1:18" ht="21" customHeight="1" x14ac:dyDescent="0.15">
      <c r="A33" s="39" t="str">
        <f t="shared" si="1"/>
        <v>48003009_48003032</v>
      </c>
      <c r="B33" s="47">
        <v>48003009</v>
      </c>
      <c r="C33" s="47">
        <v>48003032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ふむ…まあまあの縁となろう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ランダムでお邪魔パネルに5個変換+単体攻撃</v>
      </c>
      <c r="F33" s="47">
        <v>48003032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3" s="47"/>
      <c r="Q33" s="47"/>
      <c r="R33" s="47"/>
    </row>
    <row r="34" spans="1:18" ht="21" customHeight="1" x14ac:dyDescent="0.15">
      <c r="A34" s="39" t="str">
        <f t="shared" si="1"/>
        <v>48003009_48003033</v>
      </c>
      <c r="B34" s="47">
        <v>48003009</v>
      </c>
      <c r="C34" s="47">
        <v>48003033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吉凶は今後の行い次第だろう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ランダムで赤パネルに3個変換+_x000D_ランダムでお邪魔パネルに3個変換+単体攻撃</v>
      </c>
      <c r="F34" s="47">
        <v>48003033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x14ac:dyDescent="0.15">
      <c r="A35" s="39" t="str">
        <f t="shared" si="1"/>
        <v>48003009_48003034</v>
      </c>
      <c r="B35" s="47">
        <v>48003009</v>
      </c>
      <c r="C35" s="47">
        <v>48003034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今は座して待つのが吉とある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ランダムで赤パネルに2個変換+単体攻撃</v>
      </c>
      <c r="F35" s="47">
        <v>48003034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"/>
        <v>48003010_48003035</v>
      </c>
      <c r="B36" s="47">
        <v>48003010</v>
      </c>
      <c r="C36" s="47">
        <v>48003035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ふむ…おみくじを引かないか？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ランダムでお邪魔パネルに12個変換+状態異常耐性</v>
      </c>
      <c r="F36" s="47">
        <v>48003035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"/>
        <v>48003010_48003036</v>
      </c>
      <c r="B37" s="47">
        <v>48003010</v>
      </c>
      <c r="C37" s="47">
        <v>48003036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この縁通しは成功させてみせる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ユニットに赤い糸を結びつけて攻撃</v>
      </c>
      <c r="F37" s="47">
        <v>48003036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" s="47"/>
      <c r="Q37" s="47"/>
      <c r="R37" s="47"/>
    </row>
    <row r="38" spans="1:18" ht="21" customHeight="1" x14ac:dyDescent="0.15">
      <c r="A38" s="39" t="str">
        <f t="shared" si="1"/>
        <v>48003010_48003037</v>
      </c>
      <c r="B38" s="47">
        <v>48003010</v>
      </c>
      <c r="C38" s="47">
        <v>48003037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皆に合縁奇縁のあらんことを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8" s="47">
        <v>48003037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48003010_48003038</v>
      </c>
      <c r="B39" s="47">
        <v>48003010</v>
      </c>
      <c r="C39" s="47">
        <v>48003038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良縁祈願のお守りはどうだ？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赤い糸で結ばれたユニットは_x000D_1ターンスキルバインド</v>
      </c>
      <c r="F39" s="47">
        <v>48003038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48003010_48003039</v>
      </c>
      <c r="B40" s="47">
        <v>48003010</v>
      </c>
      <c r="C40" s="47">
        <v>48003039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君たちの良縁に祈祷しよう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3ターン自身の防御力UP</v>
      </c>
      <c r="F40" s="47">
        <v>48003039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"/>
        <v>48003011_48003040</v>
      </c>
      <c r="B41" s="47">
        <v>48003011</v>
      </c>
      <c r="C41" s="47">
        <v>48003040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幸福の赤い糸を授けようぞ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ランダムでお邪魔パネルに12個変換+_x000D_状態異常耐性</v>
      </c>
      <c r="F41" s="47">
        <v>48003040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"/>
        <v>48003011_48003041</v>
      </c>
      <c r="B42" s="47">
        <v>48003011</v>
      </c>
      <c r="C42" s="47">
        <v>48003041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君たちには赤い糸を結ぼう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2" s="47">
        <v>48003041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2" s="47"/>
      <c r="Q42" s="47"/>
      <c r="R42" s="47"/>
    </row>
    <row r="43" spans="1:18" ht="21" customHeight="1" x14ac:dyDescent="0.15">
      <c r="A43" s="39" t="str">
        <f t="shared" ref="A43:A45" si="2">B43&amp;"_"&amp;C43</f>
        <v>48003011_48003042</v>
      </c>
      <c r="B43" s="47">
        <v>48003011</v>
      </c>
      <c r="C43" s="47">
        <v>48003042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俺の仕事は良縁を結ぶことだ…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3" s="47">
        <v>48003042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3" s="47"/>
      <c r="Q43" s="47"/>
      <c r="R43" s="47"/>
    </row>
    <row r="44" spans="1:18" ht="21" customHeight="1" x14ac:dyDescent="0.15">
      <c r="A44" s="39" t="str">
        <f t="shared" si="2"/>
        <v>48003011_48003043</v>
      </c>
      <c r="B44" s="47">
        <v>48003011</v>
      </c>
      <c r="C44" s="47">
        <v>48003043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本気で良縁を手繰ってみせよう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44" s="47">
        <v>48003043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2"/>
        <v>48003011_48003044</v>
      </c>
      <c r="B45" s="47">
        <v>48003011</v>
      </c>
      <c r="C45" s="47">
        <v>48003044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数多の縁よ！全てに幸あれ！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お邪魔パネルを吸収して全体攻撃(最大30個)</v>
      </c>
      <c r="F45" s="47">
        <v>48003044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:A49" si="3">B46&amp;"_"&amp;C46</f>
        <v>48003011_48003045</v>
      </c>
      <c r="B46" s="144">
        <v>48003011</v>
      </c>
      <c r="C46" s="144">
        <v>48003045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むぅ…この皆の有様…_x000D_全て俺のせいだというのか…？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ええい！さあ集まるが良い皆の者！_x000D_もう一度縁通しのやり直しだ！</v>
      </c>
      <c r="F46" s="144">
        <v>48003045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3"/>
        <v>48003009_48003130</v>
      </c>
      <c r="B47" s="144">
        <v>48003009</v>
      </c>
      <c r="C47" s="144">
        <v>48003130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ほう…君がここに来るとは珍しい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自身の防御力UP+状態異常耐性</v>
      </c>
      <c r="F47" s="144">
        <v>48003130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8009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3"/>
        <v>48003011_48003145</v>
      </c>
      <c r="B48" s="144">
        <v>48003011</v>
      </c>
      <c r="C48" s="144">
        <v>48003145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そうか俺のために君は…_x000D_すまない、手を煩わせたな…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誰かを助けることは自らを助けることでもあるか…_x000D_これもまた縁だな…</v>
      </c>
      <c r="F48" s="144">
        <v>48003145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8009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3"/>
        <v>48003011_48003145</v>
      </c>
      <c r="B49" s="144">
        <v>48003011</v>
      </c>
      <c r="C49" s="144">
        <v>48003145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そうか俺のために君は…_x000D_すまない、手を煩わせたな…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誰かを助けることは自らを助けることでもあるか…_x000D_これもまた縁だな…</v>
      </c>
      <c r="F49" s="144">
        <v>48003146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8010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" si="4">B50&amp;"_"&amp;C50</f>
        <v>48003011_48003145</v>
      </c>
      <c r="B50" s="144">
        <v>48003011</v>
      </c>
      <c r="C50" s="144">
        <v>48003145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そうか俺のために君は…_x000D_すまない、手を煩わせたな…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誰かを助けることは自らを助けることでもあるか…_x000D_これもまた縁だな…</v>
      </c>
      <c r="F50" s="144">
        <v>48003147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8085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8"/>
  <sheetViews>
    <sheetView showGridLines="0" tabSelected="1" workbookViewId="0">
      <pane ySplit="1" topLeftCell="A2" activePane="bottomLeft" state="frozenSplit"/>
      <selection pane="bottomLeft" activeCell="B48" sqref="B48"/>
    </sheetView>
  </sheetViews>
  <sheetFormatPr baseColWidth="12" defaultColWidth="12.83203125" defaultRowHeight="40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40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40" customHeight="1" x14ac:dyDescent="0.15">
      <c r="A2" s="101">
        <v>48003001</v>
      </c>
      <c r="B2" s="148" t="s">
        <v>329</v>
      </c>
      <c r="C2" s="102">
        <v>3</v>
      </c>
      <c r="D2" s="102" t="s">
        <v>197</v>
      </c>
      <c r="E2" s="103" t="s">
        <v>330</v>
      </c>
      <c r="F2" s="103" t="s">
        <v>249</v>
      </c>
      <c r="G2" s="63" t="str">
        <f t="shared" ref="G2:G45" si="0">IFERROR(LEFT(B2,FIND("],",B2)),B2)</f>
        <v>[effect:enemy_message, val1:1.4, val2:1.2]</v>
      </c>
      <c r="H2" s="63">
        <f t="shared" ref="H2:H45" si="1">FIND("effect:",G2)+7</f>
        <v>9</v>
      </c>
      <c r="I2" s="63">
        <f t="shared" ref="I2:I45" si="2">IFERROR(FIND(",",G2),LEN(G2))</f>
        <v>22</v>
      </c>
      <c r="J2" s="63" t="e">
        <f t="shared" ref="J2:J45" si="3">FIND("target:",G2)+7</f>
        <v>#VALUE!</v>
      </c>
      <c r="K2" s="63">
        <f t="shared" ref="K2:K45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45" si="5">IFERROR(RIGHT(B2,LEN(B2)-FIND("],",B2)-1),"none")</f>
        <v>[effect:fix_speed, target:myself, turn:1]</v>
      </c>
      <c r="N2" s="48" t="str">
        <f>IFERROR(LEFT(M2,FIND("],",M2)+S14),M2)</f>
        <v>[effect:fix_speed, target:myself, turn:1]</v>
      </c>
      <c r="O2" s="63">
        <f t="shared" ref="O2:O45" si="6">FIND("effect:",N2)+7</f>
        <v>9</v>
      </c>
      <c r="P2" s="63">
        <f t="shared" ref="P2:P45" si="7">IFERROR(FIND(",",N2),LEN(N2))</f>
        <v>18</v>
      </c>
      <c r="Q2" s="63">
        <f t="shared" ref="Q2:Q45" si="8">FIND("target:",N2)+7</f>
        <v>27</v>
      </c>
      <c r="R2" s="63">
        <f t="shared" ref="R2:R45" si="9"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45" si="10">IFERROR(RIGHT(M2,LEN(M2)-FIND("],",M2)-1),"none")</f>
        <v>none</v>
      </c>
      <c r="U2" s="63" t="e">
        <f t="shared" ref="U2:U45" si="11">FIND("effect:",T2)+7</f>
        <v>#VALUE!</v>
      </c>
      <c r="V2" s="63">
        <f t="shared" ref="V2:V45" si="12">IFERROR(FIND(",",T2),LEN(T2))</f>
        <v>4</v>
      </c>
      <c r="W2" s="63" t="e">
        <f t="shared" ref="W2:W45" si="13">FIND("target:",T2)+7</f>
        <v>#VALUE!</v>
      </c>
      <c r="X2" s="63" t="e">
        <f t="shared" ref="X2:X45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40" customHeight="1" x14ac:dyDescent="0.15">
      <c r="A3" s="101">
        <v>48003002</v>
      </c>
      <c r="B3" s="148" t="s">
        <v>331</v>
      </c>
      <c r="C3" s="102">
        <v>3</v>
      </c>
      <c r="D3" s="102" t="s">
        <v>197</v>
      </c>
      <c r="E3" s="103" t="s">
        <v>332</v>
      </c>
      <c r="F3" s="103" t="s">
        <v>334</v>
      </c>
      <c r="G3" s="63" t="str">
        <f t="shared" si="0"/>
        <v>[effect:enemy_message, val1:1.2, val2:1.2]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si="5"/>
        <v xml:space="preserve">[effect:rush, count:3, val:0.27]    </v>
      </c>
      <c r="N3" s="48" t="str">
        <f>IFERROR(LEFT(M3,FIND("],",M3)+S15),M3)</f>
        <v xml:space="preserve">[effect:rush, count:3, val:0.27]    </v>
      </c>
      <c r="O3" s="63">
        <f t="shared" si="6"/>
        <v>9</v>
      </c>
      <c r="P3" s="63">
        <f t="shared" si="7"/>
        <v>13</v>
      </c>
      <c r="Q3" s="63" t="e">
        <f t="shared" si="8"/>
        <v>#VALUE!</v>
      </c>
      <c r="R3" s="63">
        <f t="shared" si="9"/>
        <v>22</v>
      </c>
      <c r="S3" s="63" t="str">
        <f>IFERROR(VLOOKUP(MID(N3,Q3,R3-Q3),[6]skilldef!$C:$D,2,FALSE),"-") &amp; " / " &amp; IFERROR(VLOOKUP(MID(N3,O3,P3-O3),[6]skilldef!$A:$B,2,FALSE),"-")</f>
        <v>- / 連続攻撃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40" customHeight="1" x14ac:dyDescent="0.15">
      <c r="A4" s="101">
        <v>48003003</v>
      </c>
      <c r="B4" s="148" t="s">
        <v>414</v>
      </c>
      <c r="C4" s="102">
        <v>3</v>
      </c>
      <c r="D4" s="102" t="s">
        <v>335</v>
      </c>
      <c r="E4" s="103" t="s">
        <v>336</v>
      </c>
      <c r="F4" s="103" t="s">
        <v>278</v>
      </c>
      <c r="G4" s="63" t="str">
        <f t="shared" si="0"/>
        <v>[effect:enemy_message, val1:1.2, val2:1.8]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 xml:space="preserve">[effect:suicide, val:1, dead_type:escape, target:myself]    </v>
      </c>
      <c r="N4" s="48" t="str">
        <f>IFERROR(LEFT(M4,FIND("],",M4)+S16),M4)</f>
        <v xml:space="preserve">[effect:suicide, val:1, dead_type:escape, target:myself]    </v>
      </c>
      <c r="O4" s="63">
        <f t="shared" si="6"/>
        <v>9</v>
      </c>
      <c r="P4" s="63">
        <f t="shared" si="7"/>
        <v>16</v>
      </c>
      <c r="Q4" s="63">
        <f t="shared" si="8"/>
        <v>50</v>
      </c>
      <c r="R4" s="63">
        <f t="shared" si="9"/>
        <v>23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40" customHeight="1" x14ac:dyDescent="0.15">
      <c r="A5" s="101">
        <v>48003004</v>
      </c>
      <c r="B5" s="148" t="s">
        <v>417</v>
      </c>
      <c r="C5" s="102">
        <v>3</v>
      </c>
      <c r="D5" s="102" t="s">
        <v>337</v>
      </c>
      <c r="E5" s="103" t="s">
        <v>338</v>
      </c>
      <c r="F5" s="103" t="s">
        <v>279</v>
      </c>
      <c r="G5" s="63"/>
      <c r="H5" s="63"/>
      <c r="I5" s="63"/>
      <c r="J5" s="63"/>
      <c r="K5" s="63"/>
      <c r="L5" s="63"/>
      <c r="M5" s="63"/>
      <c r="N5" s="48"/>
      <c r="O5" s="63"/>
      <c r="P5" s="63"/>
      <c r="Q5" s="63"/>
      <c r="R5" s="63"/>
      <c r="S5" s="63"/>
      <c r="T5" s="48"/>
      <c r="U5" s="63"/>
      <c r="V5" s="63"/>
      <c r="W5" s="63"/>
      <c r="X5" s="63"/>
      <c r="Y5" s="63"/>
      <c r="Z5" s="50"/>
      <c r="AA5" s="51"/>
      <c r="AB5" s="50"/>
    </row>
    <row r="6" spans="1:28" ht="40" customHeight="1" x14ac:dyDescent="0.15">
      <c r="A6" s="101">
        <v>48003005</v>
      </c>
      <c r="B6" s="148" t="s">
        <v>339</v>
      </c>
      <c r="C6" s="102">
        <v>3</v>
      </c>
      <c r="D6" s="102" t="s">
        <v>335</v>
      </c>
      <c r="E6" s="103" t="s">
        <v>340</v>
      </c>
      <c r="F6" s="103" t="s">
        <v>341</v>
      </c>
      <c r="G6" s="63" t="str">
        <f t="shared" si="0"/>
        <v>[effect:enemy_message, val1:1.2, val2:1.3]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[effect:fix_speed, target:myself, turn:1]</v>
      </c>
      <c r="N6" s="48" t="str">
        <f>IFERROR(LEFT(M6,FIND("],",M6)+S17),M6)</f>
        <v>[effect:fix_speed, target:myself, turn:1]</v>
      </c>
      <c r="O6" s="63">
        <f t="shared" si="6"/>
        <v>9</v>
      </c>
      <c r="P6" s="63">
        <f t="shared" si="7"/>
        <v>18</v>
      </c>
      <c r="Q6" s="63">
        <f t="shared" si="8"/>
        <v>27</v>
      </c>
      <c r="R6" s="63">
        <f t="shared" si="9"/>
        <v>33</v>
      </c>
      <c r="S6" s="63" t="str">
        <f>IFERROR(VLOOKUP(MID(N6,Q6,R6-Q6),[6]skilldef!$C:$D,2,FALSE),"-") &amp; " / " &amp; IFERROR(VLOOKUP(MID(N6,O6,P6-O6),[6]skilldef!$A:$B,2,FALSE),"-")</f>
        <v>自分自身に / 行動値設定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40" customHeight="1" x14ac:dyDescent="0.15">
      <c r="A7" s="101">
        <v>48003006</v>
      </c>
      <c r="B7" s="148" t="s">
        <v>342</v>
      </c>
      <c r="C7" s="102">
        <v>3</v>
      </c>
      <c r="D7" s="102" t="s">
        <v>335</v>
      </c>
      <c r="E7" s="103" t="s">
        <v>343</v>
      </c>
      <c r="F7" s="103" t="s">
        <v>344</v>
      </c>
      <c r="G7" s="63" t="str">
        <f t="shared" si="0"/>
        <v>[effect:enemy_message, val1:1.2, val2:1.2]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 xml:space="preserve">[effect:critical, val:1.1, animation:enemy_critical]    </v>
      </c>
      <c r="N7" s="48" t="str">
        <f>IFERROR(LEFT(M7,FIND("],",M7)+S18),M7)</f>
        <v xml:space="preserve">[effect:critical, val:1.1, animation:enemy_critical]    </v>
      </c>
      <c r="O7" s="63">
        <f t="shared" si="6"/>
        <v>9</v>
      </c>
      <c r="P7" s="63">
        <f t="shared" si="7"/>
        <v>17</v>
      </c>
      <c r="Q7" s="63" t="e">
        <f t="shared" si="8"/>
        <v>#VALUE!</v>
      </c>
      <c r="R7" s="63">
        <f t="shared" si="9"/>
        <v>26</v>
      </c>
      <c r="S7" s="63" t="str">
        <f>IFERROR(VLOOKUP(MID(N7,Q7,R7-Q7),[6]skilldef!$C:$D,2,FALSE),"-") &amp; " / " &amp; IFERROR(VLOOKUP(MID(N7,O7,P7-O7),[6]skilldef!$A:$B,2,FALSE),"-")</f>
        <v>- / 大攻撃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40" customHeight="1" x14ac:dyDescent="0.15">
      <c r="A8" s="101">
        <v>48003007</v>
      </c>
      <c r="B8" s="148" t="s">
        <v>415</v>
      </c>
      <c r="C8" s="102">
        <v>3</v>
      </c>
      <c r="D8" s="102" t="s">
        <v>345</v>
      </c>
      <c r="E8" s="103" t="s">
        <v>346</v>
      </c>
      <c r="F8" s="103" t="s">
        <v>281</v>
      </c>
      <c r="G8" s="63" t="str">
        <f t="shared" si="0"/>
        <v>[effect:enemy_message, val1:1.2, val2:2.0]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 xml:space="preserve">[effect:suicide, val:1, dead_type:escape, target:myself]    </v>
      </c>
      <c r="N8" s="48" t="str">
        <f>IFERROR(LEFT(M8,FIND("],",M8)+S19),M8)</f>
        <v xml:space="preserve">[effect:suicide, val:1, dead_type:escape, target:myself]    </v>
      </c>
      <c r="O8" s="63">
        <f t="shared" si="6"/>
        <v>9</v>
      </c>
      <c r="P8" s="63">
        <f t="shared" si="7"/>
        <v>16</v>
      </c>
      <c r="Q8" s="63">
        <f t="shared" si="8"/>
        <v>50</v>
      </c>
      <c r="R8" s="63">
        <f t="shared" si="9"/>
        <v>23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40" customHeight="1" x14ac:dyDescent="0.15">
      <c r="A9" s="101">
        <v>48003008</v>
      </c>
      <c r="B9" s="148" t="s">
        <v>418</v>
      </c>
      <c r="C9" s="102">
        <v>3</v>
      </c>
      <c r="D9" s="102" t="s">
        <v>197</v>
      </c>
      <c r="E9" s="103" t="s">
        <v>347</v>
      </c>
      <c r="F9" s="103" t="s">
        <v>280</v>
      </c>
      <c r="G9" s="63"/>
      <c r="H9" s="63"/>
      <c r="I9" s="63"/>
      <c r="J9" s="63"/>
      <c r="K9" s="63"/>
      <c r="L9" s="63"/>
      <c r="M9" s="63"/>
      <c r="N9" s="48"/>
      <c r="O9" s="63"/>
      <c r="P9" s="63"/>
      <c r="Q9" s="63"/>
      <c r="R9" s="63"/>
      <c r="S9" s="63"/>
      <c r="T9" s="48"/>
      <c r="U9" s="63"/>
      <c r="V9" s="63"/>
      <c r="W9" s="63"/>
      <c r="X9" s="63"/>
      <c r="Y9" s="63"/>
      <c r="Z9" s="50"/>
      <c r="AA9" s="51"/>
      <c r="AB9" s="50"/>
    </row>
    <row r="10" spans="1:28" ht="40" customHeight="1" x14ac:dyDescent="0.15">
      <c r="A10" s="101">
        <v>48003009</v>
      </c>
      <c r="B10" s="148" t="s">
        <v>348</v>
      </c>
      <c r="C10" s="102">
        <v>3</v>
      </c>
      <c r="D10" s="102" t="s">
        <v>197</v>
      </c>
      <c r="E10" s="103" t="s">
        <v>349</v>
      </c>
      <c r="F10" s="103" t="s">
        <v>251</v>
      </c>
      <c r="G10" s="63" t="str">
        <f t="shared" si="0"/>
        <v>[effect:enemy_message, val1:1.2, val2:1.2]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[effect:fix_speed, target:myself, turn:1]</v>
      </c>
      <c r="N10" s="48" t="str">
        <f t="shared" ref="N10:N45" si="15">IFERROR(LEFT(M10,FIND("],",M10)+S20),M10)</f>
        <v>[effect:fix_speed, target:myself, turn:1]</v>
      </c>
      <c r="O10" s="63">
        <f t="shared" si="6"/>
        <v>9</v>
      </c>
      <c r="P10" s="63">
        <f t="shared" si="7"/>
        <v>18</v>
      </c>
      <c r="Q10" s="63">
        <f t="shared" si="8"/>
        <v>27</v>
      </c>
      <c r="R10" s="63">
        <f t="shared" si="9"/>
        <v>33</v>
      </c>
      <c r="S10" s="63" t="str">
        <f>IFERROR(VLOOKUP(MID(N10,Q10,R10-Q10),[6]skilldef!$C:$D,2,FALSE),"-") &amp; " / " &amp; IFERROR(VLOOKUP(MID(N10,O10,P10-O10),[6]skilldef!$A:$B,2,FALSE),"-")</f>
        <v>自分自身に / 行動値設定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40" customHeight="1" x14ac:dyDescent="0.15">
      <c r="A11" s="101">
        <v>48003010</v>
      </c>
      <c r="B11" s="148" t="s">
        <v>350</v>
      </c>
      <c r="C11" s="102">
        <v>3</v>
      </c>
      <c r="D11" s="102" t="s">
        <v>197</v>
      </c>
      <c r="E11" s="103" t="s">
        <v>351</v>
      </c>
      <c r="F11" s="103" t="s">
        <v>333</v>
      </c>
      <c r="G11" s="63" t="str">
        <f t="shared" si="0"/>
        <v>[effect:enemy_message, val1:1.2, val2:1.2]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 xml:space="preserve">[effect:rush, count:3, val:0.3]    </v>
      </c>
      <c r="N11" s="48" t="str">
        <f t="shared" si="15"/>
        <v xml:space="preserve">[effect:rush, count:3, val:0.3]    </v>
      </c>
      <c r="O11" s="63">
        <f t="shared" si="6"/>
        <v>9</v>
      </c>
      <c r="P11" s="63">
        <f t="shared" si="7"/>
        <v>13</v>
      </c>
      <c r="Q11" s="63" t="e">
        <f t="shared" si="8"/>
        <v>#VALUE!</v>
      </c>
      <c r="R11" s="63">
        <f t="shared" si="9"/>
        <v>22</v>
      </c>
      <c r="S11" s="63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40" customHeight="1" x14ac:dyDescent="0.15">
      <c r="A12" s="101">
        <v>48003011</v>
      </c>
      <c r="B12" s="148" t="s">
        <v>352</v>
      </c>
      <c r="C12" s="102">
        <v>3</v>
      </c>
      <c r="D12" s="102" t="s">
        <v>197</v>
      </c>
      <c r="E12" s="103" t="s">
        <v>353</v>
      </c>
      <c r="F12" s="103" t="s">
        <v>252</v>
      </c>
      <c r="G12" s="63" t="str">
        <f t="shared" si="0"/>
        <v>[effect:enemy_message, val1:1.2, val2:1.2]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 xml:space="preserve">[effect:spread, val:0.3]    </v>
      </c>
      <c r="N12" s="48" t="str">
        <f t="shared" si="15"/>
        <v xml:space="preserve">[effect:spread, val:0.3]    </v>
      </c>
      <c r="O12" s="63">
        <f t="shared" si="6"/>
        <v>9</v>
      </c>
      <c r="P12" s="63">
        <f t="shared" si="7"/>
        <v>15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全体攻撃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40" customHeight="1" x14ac:dyDescent="0.15">
      <c r="A13" s="101">
        <v>48003012</v>
      </c>
      <c r="B13" s="148" t="s">
        <v>354</v>
      </c>
      <c r="C13" s="102">
        <v>3</v>
      </c>
      <c r="D13" s="102" t="s">
        <v>197</v>
      </c>
      <c r="E13" s="103" t="s">
        <v>253</v>
      </c>
      <c r="F13" s="103" t="s">
        <v>355</v>
      </c>
      <c r="G13" s="63" t="str">
        <f t="shared" si="0"/>
        <v>[effect:enemy_message, val1:1.2,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 xml:space="preserve">[effect:dark, target:unit_all, turn:1, animation:enemy_dark]    </v>
      </c>
      <c r="N13" s="48" t="str">
        <f t="shared" si="15"/>
        <v xml:space="preserve">[effect:dark, target:unit_all, turn:1, animation:enemy_dark]    </v>
      </c>
      <c r="O13" s="63">
        <f t="shared" si="6"/>
        <v>9</v>
      </c>
      <c r="P13" s="63">
        <f t="shared" si="7"/>
        <v>13</v>
      </c>
      <c r="Q13" s="63">
        <f t="shared" si="8"/>
        <v>22</v>
      </c>
      <c r="R13" s="63">
        <f t="shared" si="9"/>
        <v>30</v>
      </c>
      <c r="S13" s="63" t="str">
        <f>IFERROR(VLOOKUP(MID(N13,Q13,R13-Q13),[6]skilldef!$C:$D,2,FALSE),"-") &amp; " / " &amp; IFERROR(VLOOKUP(MID(N13,O13,P13-O13),[6]skilldef!$A:$B,2,FALSE),"-")</f>
        <v>味方全体に / 暗黒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40" customHeight="1" x14ac:dyDescent="0.15">
      <c r="A14" s="101">
        <v>48003013</v>
      </c>
      <c r="B14" s="148" t="s">
        <v>416</v>
      </c>
      <c r="C14" s="102">
        <v>3</v>
      </c>
      <c r="D14" s="102" t="s">
        <v>197</v>
      </c>
      <c r="E14" s="103" t="s">
        <v>356</v>
      </c>
      <c r="F14" s="103" t="s">
        <v>357</v>
      </c>
      <c r="G14" s="63" t="str">
        <f t="shared" si="0"/>
        <v>[effect:enemy_message, val1:1.2, val2:1.2]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none</v>
      </c>
      <c r="N14" s="48" t="str">
        <f t="shared" si="15"/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40" customHeight="1" x14ac:dyDescent="0.15">
      <c r="A15" s="101">
        <v>48003014</v>
      </c>
      <c r="B15" s="148" t="s">
        <v>348</v>
      </c>
      <c r="C15" s="102">
        <v>3</v>
      </c>
      <c r="D15" s="102" t="s">
        <v>197</v>
      </c>
      <c r="E15" s="103" t="s">
        <v>358</v>
      </c>
      <c r="F15" s="103" t="s">
        <v>255</v>
      </c>
      <c r="G15" s="63" t="str">
        <f t="shared" si="0"/>
        <v>[effect:enemy_message, val1:1.2, val2:1.2]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[effect:fix_speed, target:myself, turn:1]</v>
      </c>
      <c r="N15" s="48" t="str">
        <f t="shared" ref="N15:N24" si="16">IFERROR(LEFT(M15,FIND("],",M15)+S26),M15)</f>
        <v>[effect:fix_speed, target:myself, turn:1]</v>
      </c>
      <c r="O15" s="63">
        <f t="shared" si="6"/>
        <v>9</v>
      </c>
      <c r="P15" s="63">
        <f t="shared" si="7"/>
        <v>18</v>
      </c>
      <c r="Q15" s="63">
        <f t="shared" si="8"/>
        <v>27</v>
      </c>
      <c r="R15" s="63">
        <f t="shared" si="9"/>
        <v>33</v>
      </c>
      <c r="S15" s="63" t="str">
        <f>IFERROR(VLOOKUP(MID(N15,Q15,R15-Q15),[6]skilldef!$C:$D,2,FALSE),"-") &amp; " / " &amp; IFERROR(VLOOKUP(MID(N15,O15,P15-O15),[6]skilldef!$A:$B,2,FALSE),"-")</f>
        <v>自分自身に / 行動値設定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40" customHeight="1" x14ac:dyDescent="0.15">
      <c r="A16" s="101">
        <v>48003015</v>
      </c>
      <c r="B16" s="148" t="s">
        <v>359</v>
      </c>
      <c r="C16" s="102">
        <v>3</v>
      </c>
      <c r="D16" s="102" t="s">
        <v>197</v>
      </c>
      <c r="E16" s="103" t="s">
        <v>256</v>
      </c>
      <c r="F16" s="103" t="s">
        <v>360</v>
      </c>
      <c r="G16" s="63" t="str">
        <f t="shared" si="0"/>
        <v>[effect:enemy_message, val1:1.2, val2:1.9]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 xml:space="preserve">[effect:damage_anti_color, target:unit_all, color:red, val1:1.5, val2:0.2]    </v>
      </c>
      <c r="N16" s="48" t="str">
        <f t="shared" si="16"/>
        <v xml:space="preserve">[effect:damage_anti_color, target:unit_all, color:red, val1:1.5, val2:0.2]    </v>
      </c>
      <c r="O16" s="63">
        <f t="shared" si="6"/>
        <v>9</v>
      </c>
      <c r="P16" s="63">
        <f t="shared" si="7"/>
        <v>26</v>
      </c>
      <c r="Q16" s="63">
        <f t="shared" si="8"/>
        <v>35</v>
      </c>
      <c r="R16" s="63">
        <f t="shared" si="9"/>
        <v>43</v>
      </c>
      <c r="S16" s="63" t="str">
        <f>IFERROR(VLOOKUP(MID(N16,Q16,R16-Q16),[6]skilldef!$C:$D,2,FALSE),"-") &amp; " / " &amp; IFERROR(VLOOKUP(MID(N16,O16,P16-O16),[6]skilldef!$A:$B,2,FALSE),"-")</f>
        <v>味方全体に / 属性キラー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40" customHeight="1" x14ac:dyDescent="0.15">
      <c r="A17" s="101">
        <v>48003016</v>
      </c>
      <c r="B17" s="148" t="s">
        <v>361</v>
      </c>
      <c r="C17" s="102">
        <v>3</v>
      </c>
      <c r="D17" s="102" t="s">
        <v>197</v>
      </c>
      <c r="E17" s="103" t="s">
        <v>257</v>
      </c>
      <c r="F17" s="103" t="s">
        <v>258</v>
      </c>
      <c r="G17" s="63" t="str">
        <f t="shared" si="0"/>
        <v>[effect:enemy_message, val1:1.2, val2:1.2]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 xml:space="preserve">[effect:dis_panel, target:block_red, turn:3, animation:enemy_dis_red]    </v>
      </c>
      <c r="N17" s="48" t="str">
        <f t="shared" si="16"/>
        <v xml:space="preserve">[effect:dis_panel, target:block_red, turn:3, animation:enemy_dis_red]    </v>
      </c>
      <c r="O17" s="63">
        <f t="shared" si="6"/>
        <v>9</v>
      </c>
      <c r="P17" s="63">
        <f t="shared" si="7"/>
        <v>18</v>
      </c>
      <c r="Q17" s="63">
        <f t="shared" si="8"/>
        <v>27</v>
      </c>
      <c r="R17" s="63">
        <f t="shared" si="9"/>
        <v>36</v>
      </c>
      <c r="S17" s="63" t="str">
        <f>IFERROR(VLOOKUP(MID(N17,Q17,R17-Q17),[6]skilldef!$C:$D,2,FALSE),"-") &amp; " / " &amp; IFERROR(VLOOKUP(MID(N17,O17,P17-O17),[6]skilldef!$A:$B,2,FALSE),"-")</f>
        <v>赤パネルを / ディスパネル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40" customHeight="1" x14ac:dyDescent="0.15">
      <c r="A18" s="101">
        <v>48003017</v>
      </c>
      <c r="B18" s="148" t="s">
        <v>362</v>
      </c>
      <c r="C18" s="102">
        <v>3</v>
      </c>
      <c r="D18" s="102" t="s">
        <v>197</v>
      </c>
      <c r="E18" s="103" t="s">
        <v>363</v>
      </c>
      <c r="F18" s="103" t="s">
        <v>311</v>
      </c>
      <c r="G18" s="63" t="str">
        <f t="shared" si="0"/>
        <v>[effect:enemy_message, val1:1.2, val2:2.6]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[effect:enhance_enemy, target:myself, turn:3, status:defense, val:3000, calc:add, animation:enemy_enhance_defense],[effect:fix_speed, target:myself, turn:1]</v>
      </c>
      <c r="N18" s="48" t="str">
        <f t="shared" si="16"/>
        <v>[effect:enhance_enemy, target:myself, turn:3, status:defense, val:3000, calc:add, animation:enemy_enhance_defense],[effect:fix_speed, target:myself, turn:1]</v>
      </c>
      <c r="O18" s="63">
        <f t="shared" si="6"/>
        <v>9</v>
      </c>
      <c r="P18" s="63">
        <f t="shared" si="7"/>
        <v>22</v>
      </c>
      <c r="Q18" s="63">
        <f t="shared" si="8"/>
        <v>31</v>
      </c>
      <c r="R18" s="63">
        <f t="shared" si="9"/>
        <v>37</v>
      </c>
      <c r="S18" s="63" t="str">
        <f>IFERROR(VLOOKUP(MID(N18,Q18,R18-Q18),[6]skilldef!$C:$D,2,FALSE),"-") &amp; " / " &amp; IFERROR(VLOOKUP(MID(N18,O18,P18-O18),[6]skilldef!$A:$B,2,FALSE),"-")</f>
        <v>自分自身に / ステータス強化</v>
      </c>
      <c r="T18" s="48" t="str">
        <f t="shared" si="10"/>
        <v>[effect:fix_speed, target:myself, turn:1]</v>
      </c>
      <c r="U18" s="63">
        <f t="shared" si="11"/>
        <v>9</v>
      </c>
      <c r="V18" s="63">
        <f t="shared" si="12"/>
        <v>18</v>
      </c>
      <c r="W18" s="63">
        <f t="shared" si="13"/>
        <v>27</v>
      </c>
      <c r="X18" s="63">
        <f t="shared" si="14"/>
        <v>33</v>
      </c>
      <c r="Y18" s="63" t="str">
        <f>IFERROR(VLOOKUP(MID(T18,W18,X18-W18),[6]skilldef!$C:$D,2,FALSE),"-") &amp; " / " &amp; IFERROR(VLOOKUP(MID(T18,U18,V18-U18),[6]skilldef!$A:$B,2,FALSE),"-")</f>
        <v>自分自身に / 行動値設定</v>
      </c>
      <c r="Z18" s="50"/>
      <c r="AA18" s="51"/>
      <c r="AB18" s="50"/>
    </row>
    <row r="19" spans="1:28" ht="40" customHeight="1" x14ac:dyDescent="0.15">
      <c r="A19" s="101">
        <v>48003018</v>
      </c>
      <c r="B19" s="148" t="s">
        <v>364</v>
      </c>
      <c r="C19" s="102">
        <v>3</v>
      </c>
      <c r="D19" s="102" t="s">
        <v>197</v>
      </c>
      <c r="E19" s="103" t="s">
        <v>254</v>
      </c>
      <c r="F19" s="103" t="s">
        <v>250</v>
      </c>
      <c r="G19" s="63" t="str">
        <f t="shared" si="0"/>
        <v>[effect:enemy_message, val1:1.2, val2:1.2]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 xml:space="preserve">[effect:critical, val:1.2, animation:enemy_critical]    </v>
      </c>
      <c r="N19" s="48" t="str">
        <f t="shared" si="16"/>
        <v xml:space="preserve">[effect:critical, val:1.2, animation:enemy_critical]    </v>
      </c>
      <c r="O19" s="63">
        <f t="shared" si="6"/>
        <v>9</v>
      </c>
      <c r="P19" s="63">
        <f t="shared" si="7"/>
        <v>17</v>
      </c>
      <c r="Q19" s="63" t="e">
        <f t="shared" si="8"/>
        <v>#VALUE!</v>
      </c>
      <c r="R19" s="63">
        <f t="shared" si="9"/>
        <v>26</v>
      </c>
      <c r="S19" s="63" t="str">
        <f>IFERROR(VLOOKUP(MID(N19,Q19,R19-Q19),[6]skilldef!$C:$D,2,FALSE),"-") &amp; " / " &amp; IFERROR(VLOOKUP(MID(N19,O19,P19-O19),[6]skilldef!$A:$B,2,FALSE),"-")</f>
        <v>- / 大攻撃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40" customHeight="1" x14ac:dyDescent="0.15">
      <c r="A20" s="101">
        <v>48003019</v>
      </c>
      <c r="B20" s="148" t="s">
        <v>365</v>
      </c>
      <c r="C20" s="102">
        <v>3</v>
      </c>
      <c r="D20" s="102" t="s">
        <v>197</v>
      </c>
      <c r="E20" s="103" t="s">
        <v>366</v>
      </c>
      <c r="F20" s="103" t="s">
        <v>310</v>
      </c>
      <c r="G20" s="63" t="str">
        <f t="shared" si="0"/>
        <v>[effect:enemy_message, val1:1.2, val2:1.6]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8" t="str">
        <f t="shared" si="16"/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40" customHeight="1" x14ac:dyDescent="0.15">
      <c r="A21" s="101">
        <v>48003020</v>
      </c>
      <c r="B21" s="148" t="s">
        <v>367</v>
      </c>
      <c r="C21" s="102">
        <v>3</v>
      </c>
      <c r="D21" s="102" t="s">
        <v>197</v>
      </c>
      <c r="E21" s="103" t="s">
        <v>368</v>
      </c>
      <c r="F21" s="103" t="s">
        <v>369</v>
      </c>
      <c r="G21" s="63" t="str">
        <f t="shared" si="0"/>
        <v>[effect:enemy_message, val1:1.2, val2:2.1]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[effect:break_attack_fix, val:350, lowest_val:1200, count:8, block:block_heart, target:unit_all]</v>
      </c>
      <c r="N21" s="48" t="str">
        <f t="shared" si="16"/>
        <v>[effect:break_attack_fix, val:350, lowest_val:1200, count:8, block:block_heart, target:unit_all]</v>
      </c>
      <c r="O21" s="63">
        <f t="shared" si="6"/>
        <v>9</v>
      </c>
      <c r="P21" s="63">
        <f t="shared" si="7"/>
        <v>25</v>
      </c>
      <c r="Q21" s="63">
        <f t="shared" si="8"/>
        <v>88</v>
      </c>
      <c r="R21" s="63">
        <f t="shared" si="9"/>
        <v>34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40" customHeight="1" x14ac:dyDescent="0.15">
      <c r="A22" s="101">
        <v>48003021</v>
      </c>
      <c r="B22" s="148" t="s">
        <v>416</v>
      </c>
      <c r="C22" s="102">
        <v>3</v>
      </c>
      <c r="D22" s="102" t="s">
        <v>197</v>
      </c>
      <c r="E22" s="103" t="s">
        <v>370</v>
      </c>
      <c r="F22" s="103" t="s">
        <v>371</v>
      </c>
      <c r="G22" s="63" t="str">
        <f t="shared" si="0"/>
        <v>[effect:enemy_message, val1:1.2, val2:1.2]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none</v>
      </c>
      <c r="N22" s="48" t="str">
        <f t="shared" si="16"/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40" customHeight="1" x14ac:dyDescent="0.15">
      <c r="A23" s="101">
        <v>48003022</v>
      </c>
      <c r="B23" s="148" t="s">
        <v>372</v>
      </c>
      <c r="C23" s="102">
        <v>3</v>
      </c>
      <c r="D23" s="102" t="s">
        <v>197</v>
      </c>
      <c r="E23" s="103" t="s">
        <v>259</v>
      </c>
      <c r="F23" s="103" t="s">
        <v>260</v>
      </c>
      <c r="G23" s="63" t="str">
        <f t="shared" si="0"/>
        <v>[effect:enemy_message, val1:1.2, val2:1.2]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[effect:enhance_enemy, target:myself, turn:3, status:attack, val:3000, calc:add, animation:enemy_enhance_attack],[effect:fix_speed, target:myself, turn:2]</v>
      </c>
      <c r="N23" s="48" t="str">
        <f t="shared" si="16"/>
        <v>[effect:enhance_enemy, target:myself, turn:3, status:attack, val:3000, calc:add, animation:enemy_enhance_attack],[effect:fix_speed, target:myself, turn:2]</v>
      </c>
      <c r="O23" s="63">
        <f t="shared" si="6"/>
        <v>9</v>
      </c>
      <c r="P23" s="63">
        <f t="shared" si="7"/>
        <v>22</v>
      </c>
      <c r="Q23" s="63">
        <f t="shared" si="8"/>
        <v>31</v>
      </c>
      <c r="R23" s="63">
        <f t="shared" si="9"/>
        <v>37</v>
      </c>
      <c r="S23" s="63" t="str">
        <f>IFERROR(VLOOKUP(MID(N23,Q23,R23-Q23),[6]skilldef!$C:$D,2,FALSE),"-") &amp; " / " &amp; IFERROR(VLOOKUP(MID(N23,O23,P23-O23),[6]skilldef!$A:$B,2,FALSE),"-")</f>
        <v>自分自身に / ステータス強化</v>
      </c>
      <c r="T23" s="48" t="str">
        <f t="shared" si="10"/>
        <v>[effect:fix_speed, target:myself, turn:2]</v>
      </c>
      <c r="U23" s="63">
        <f t="shared" si="11"/>
        <v>9</v>
      </c>
      <c r="V23" s="63">
        <f t="shared" si="12"/>
        <v>18</v>
      </c>
      <c r="W23" s="63">
        <f t="shared" si="13"/>
        <v>27</v>
      </c>
      <c r="X23" s="63">
        <f t="shared" si="14"/>
        <v>33</v>
      </c>
      <c r="Y23" s="63" t="str">
        <f>IFERROR(VLOOKUP(MID(T23,W23,X23-W23),[6]skilldef!$C:$D,2,FALSE),"-") &amp; " / " &amp; IFERROR(VLOOKUP(MID(T23,U23,V23-U23),[6]skilldef!$A:$B,2,FALSE),"-")</f>
        <v>自分自身に / 行動値設定</v>
      </c>
      <c r="Z23" s="50"/>
      <c r="AA23" s="51"/>
      <c r="AB23" s="50"/>
    </row>
    <row r="24" spans="1:28" ht="40" customHeight="1" x14ac:dyDescent="0.15">
      <c r="A24" s="101">
        <v>48003023</v>
      </c>
      <c r="B24" s="148" t="s">
        <v>373</v>
      </c>
      <c r="C24" s="102">
        <v>3</v>
      </c>
      <c r="D24" s="102" t="s">
        <v>197</v>
      </c>
      <c r="E24" s="103" t="s">
        <v>261</v>
      </c>
      <c r="F24" s="103" t="s">
        <v>312</v>
      </c>
      <c r="G24" s="63" t="str">
        <f t="shared" si="0"/>
        <v>[effect:enemy_message, val1:1.2, val2:2.7]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 xml:space="preserve">[effect:force_change_block, new_block:time_bomb, target:block_all, ignore01:block_positive, ignore02:block_negative, count:3, val:0.2, min_time_count:3, max_time_count:3, animation:change_block],[effect:rush, count:1, val:0.5]        </v>
      </c>
      <c r="N24" s="48" t="str">
        <f t="shared" si="16"/>
        <v xml:space="preserve">[effect:force_change_block, new_block:time_bomb, target:block_all, ignore01:block_positive, ignore02:block_negative, count:3, val:0.2, min_time_count:3, max_time_count:3, animation:change_block],[effect:rush, count:1, val:0.5]        </v>
      </c>
      <c r="O24" s="63">
        <f t="shared" si="6"/>
        <v>9</v>
      </c>
      <c r="P24" s="63">
        <f t="shared" si="7"/>
        <v>27</v>
      </c>
      <c r="Q24" s="63">
        <f t="shared" si="8"/>
        <v>57</v>
      </c>
      <c r="R24" s="63">
        <f t="shared" si="9"/>
        <v>48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 xml:space="preserve">[effect:rush, count:1, val:0.5]        </v>
      </c>
      <c r="U24" s="63">
        <f t="shared" si="11"/>
        <v>9</v>
      </c>
      <c r="V24" s="63">
        <f t="shared" si="12"/>
        <v>13</v>
      </c>
      <c r="W24" s="63" t="e">
        <f t="shared" si="13"/>
        <v>#VALUE!</v>
      </c>
      <c r="X24" s="63">
        <f t="shared" si="14"/>
        <v>22</v>
      </c>
      <c r="Y24" s="63" t="str">
        <f>IFERROR(VLOOKUP(MID(T24,W24,X24-W24),[6]skilldef!$C:$D,2,FALSE),"-") &amp; " / " &amp; IFERROR(VLOOKUP(MID(T24,U24,V24-U24),[6]skilldef!$A:$B,2,FALSE),"-")</f>
        <v>- / 連続攻撃</v>
      </c>
      <c r="Z24" s="50"/>
      <c r="AA24" s="51"/>
      <c r="AB24" s="50"/>
    </row>
    <row r="25" spans="1:28" ht="40" customHeight="1" x14ac:dyDescent="0.15">
      <c r="A25" s="101">
        <v>48003024</v>
      </c>
      <c r="B25" s="148" t="s">
        <v>352</v>
      </c>
      <c r="C25" s="102">
        <v>3</v>
      </c>
      <c r="D25" s="102" t="s">
        <v>197</v>
      </c>
      <c r="E25" s="103" t="s">
        <v>272</v>
      </c>
      <c r="F25" s="103" t="s">
        <v>271</v>
      </c>
      <c r="G25" s="63"/>
      <c r="H25" s="63"/>
      <c r="I25" s="63"/>
      <c r="J25" s="63"/>
      <c r="K25" s="63"/>
      <c r="L25" s="63"/>
      <c r="M25" s="63"/>
      <c r="N25" s="48"/>
      <c r="O25" s="63"/>
      <c r="P25" s="63"/>
      <c r="Q25" s="63"/>
      <c r="R25" s="63"/>
      <c r="S25" s="63"/>
      <c r="T25" s="48"/>
      <c r="U25" s="63"/>
      <c r="V25" s="63"/>
      <c r="W25" s="63"/>
      <c r="X25" s="63"/>
      <c r="Y25" s="63"/>
      <c r="Z25" s="50"/>
      <c r="AA25" s="51"/>
      <c r="AB25" s="50"/>
    </row>
    <row r="26" spans="1:28" ht="40" customHeight="1" x14ac:dyDescent="0.15">
      <c r="A26" s="101">
        <v>48003025</v>
      </c>
      <c r="B26" s="148" t="s">
        <v>374</v>
      </c>
      <c r="C26" s="102">
        <v>3</v>
      </c>
      <c r="D26" s="102" t="s">
        <v>197</v>
      </c>
      <c r="E26" s="103" t="s">
        <v>375</v>
      </c>
      <c r="F26" s="103" t="s">
        <v>376</v>
      </c>
      <c r="G26" s="63" t="str">
        <f t="shared" si="0"/>
        <v>[effect:enemy_message, val1:1.4, val2:1.4]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[effect:force_change_block, new_block:block_yellow, target:block_all, ignore01:block_positive, ignore02:block_negative, count:5, val:0, animation:change_block],[effect:fix_speed, target:myself, turn:2]</v>
      </c>
      <c r="N26" s="48" t="str">
        <f t="shared" si="15"/>
        <v>[effect:force_change_block, new_block:block_yellow, target:block_all, ignore01:block_positive, ignore02:block_negative, count:5, val:0, animation:change_block],[effect:fix_speed, target:myself, turn:2]</v>
      </c>
      <c r="O26" s="63">
        <f t="shared" si="6"/>
        <v>9</v>
      </c>
      <c r="P26" s="63">
        <f t="shared" si="7"/>
        <v>27</v>
      </c>
      <c r="Q26" s="63">
        <f t="shared" si="8"/>
        <v>60</v>
      </c>
      <c r="R26" s="63">
        <f t="shared" si="9"/>
        <v>51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[effect:fix_speed, target:myself, turn:2]</v>
      </c>
      <c r="U26" s="63">
        <f t="shared" si="11"/>
        <v>9</v>
      </c>
      <c r="V26" s="63">
        <f t="shared" si="12"/>
        <v>18</v>
      </c>
      <c r="W26" s="63">
        <f t="shared" si="13"/>
        <v>27</v>
      </c>
      <c r="X26" s="63">
        <f t="shared" si="14"/>
        <v>33</v>
      </c>
      <c r="Y26" s="63" t="str">
        <f>IFERROR(VLOOKUP(MID(T26,W26,X26-W26),[6]skilldef!$C:$D,2,FALSE),"-") &amp; " / " &amp; IFERROR(VLOOKUP(MID(T26,U26,V26-U26),[6]skilldef!$A:$B,2,FALSE),"-")</f>
        <v>自分自身に / 行動値設定</v>
      </c>
      <c r="Z26" s="50"/>
      <c r="AA26" s="51"/>
      <c r="AB26" s="50"/>
    </row>
    <row r="27" spans="1:28" ht="40" customHeight="1" x14ac:dyDescent="0.15">
      <c r="A27" s="101">
        <v>48003026</v>
      </c>
      <c r="B27" s="148" t="s">
        <v>377</v>
      </c>
      <c r="C27" s="102">
        <v>3</v>
      </c>
      <c r="D27" s="102" t="s">
        <v>197</v>
      </c>
      <c r="E27" s="103" t="s">
        <v>262</v>
      </c>
      <c r="F27" s="103" t="s">
        <v>378</v>
      </c>
      <c r="G27" s="63" t="str">
        <f t="shared" si="0"/>
        <v>[effect:enemy_message, val1:1.2, val2:1.9]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 xml:space="preserve">[effect:force_change_block, new_block:block_yellow, target:block_all, ignore01:block_positive, ignore02:block_negative, count:2, val:0, animation:change_block],[effect:rush, count:1, val:0.6]       </v>
      </c>
      <c r="N27" s="48" t="str">
        <f t="shared" si="15"/>
        <v xml:space="preserve">[effect:force_change_block, new_block:block_yellow, target:block_all, ignore01:block_positive, ignore02:block_negative, count:2, val:0, animation:change_block],[effect:rush, count:1, val:0.6]       </v>
      </c>
      <c r="O27" s="63">
        <f t="shared" si="6"/>
        <v>9</v>
      </c>
      <c r="P27" s="63">
        <f t="shared" si="7"/>
        <v>27</v>
      </c>
      <c r="Q27" s="63">
        <f t="shared" si="8"/>
        <v>60</v>
      </c>
      <c r="R27" s="63">
        <f t="shared" si="9"/>
        <v>51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 xml:space="preserve">[effect:rush, count:1, val:0.6]       </v>
      </c>
      <c r="U27" s="63">
        <f t="shared" si="11"/>
        <v>9</v>
      </c>
      <c r="V27" s="63">
        <f t="shared" si="12"/>
        <v>13</v>
      </c>
      <c r="W27" s="63" t="e">
        <f t="shared" si="13"/>
        <v>#VALUE!</v>
      </c>
      <c r="X27" s="63">
        <f t="shared" si="14"/>
        <v>22</v>
      </c>
      <c r="Y27" s="63" t="str">
        <f>IFERROR(VLOOKUP(MID(T27,W27,X27-W27),[6]skilldef!$C:$D,2,FALSE),"-") &amp; " / " &amp; IFERROR(VLOOKUP(MID(T27,U27,V27-U27),[6]skilldef!$A:$B,2,FALSE),"-")</f>
        <v>- / 連続攻撃</v>
      </c>
      <c r="Z27" s="50"/>
      <c r="AA27" s="51"/>
      <c r="AB27" s="50"/>
    </row>
    <row r="28" spans="1:28" ht="40" customHeight="1" x14ac:dyDescent="0.15">
      <c r="A28" s="101">
        <v>48003027</v>
      </c>
      <c r="B28" s="148" t="s">
        <v>379</v>
      </c>
      <c r="C28" s="102">
        <v>3</v>
      </c>
      <c r="D28" s="102" t="s">
        <v>197</v>
      </c>
      <c r="E28" s="103" t="s">
        <v>380</v>
      </c>
      <c r="F28" s="103" t="s">
        <v>263</v>
      </c>
      <c r="G28" s="63" t="str">
        <f t="shared" si="0"/>
        <v>[effect:enemy_message, val1:1.2, val2:1.3]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5"/>
        <v xml:space="preserve">[effect:fix_speed, target:myself, turn:2],[effect:freq_turn, target:myself, turn:3, val:1, animation:enemy_freq_turn]    </v>
      </c>
      <c r="N28" s="48" t="str">
        <f t="shared" si="15"/>
        <v xml:space="preserve">[effect:fix_speed, target:myself, turn:2],[effect:freq_turn, target:myself, turn:3, val:1, animation:enemy_freq_turn]    </v>
      </c>
      <c r="O28" s="63">
        <f t="shared" si="6"/>
        <v>9</v>
      </c>
      <c r="P28" s="63">
        <f t="shared" si="7"/>
        <v>18</v>
      </c>
      <c r="Q28" s="63">
        <f t="shared" si="8"/>
        <v>27</v>
      </c>
      <c r="R28" s="63">
        <f t="shared" si="9"/>
        <v>33</v>
      </c>
      <c r="S28" s="63" t="str">
        <f>IFERROR(VLOOKUP(MID(N28,Q28,R28-Q28),[6]skilldef!$C:$D,2,FALSE),"-") &amp; " / " &amp; IFERROR(VLOOKUP(MID(N28,O28,P28-O28),[6]skilldef!$A:$B,2,FALSE),"-")</f>
        <v>自分自身に / 行動値設定</v>
      </c>
      <c r="T28" s="48" t="str">
        <f t="shared" si="10"/>
        <v xml:space="preserve">[effect:freq_turn, target:myself, turn:3, val:1, animation:enemy_freq_turn]    </v>
      </c>
      <c r="U28" s="63">
        <f t="shared" si="11"/>
        <v>9</v>
      </c>
      <c r="V28" s="63">
        <f t="shared" si="12"/>
        <v>18</v>
      </c>
      <c r="W28" s="63">
        <f t="shared" si="13"/>
        <v>27</v>
      </c>
      <c r="X28" s="63">
        <f t="shared" si="14"/>
        <v>33</v>
      </c>
      <c r="Y28" s="63" t="str">
        <f>IFERROR(VLOOKUP(MID(T28,W28,X28-W28),[6]skilldef!$C:$D,2,FALSE),"-") &amp; " / " &amp; IFERROR(VLOOKUP(MID(T28,U28,V28-U28),[6]skilldef!$A:$B,2,FALSE),"-")</f>
        <v>自分自身に / 攻撃頻度がUP</v>
      </c>
      <c r="Z28" s="50"/>
      <c r="AA28" s="51"/>
      <c r="AB28" s="50"/>
    </row>
    <row r="29" spans="1:28" ht="40" customHeight="1" x14ac:dyDescent="0.15">
      <c r="A29" s="101">
        <v>48003028</v>
      </c>
      <c r="B29" s="148" t="s">
        <v>381</v>
      </c>
      <c r="C29" s="102">
        <v>3</v>
      </c>
      <c r="D29" s="102" t="s">
        <v>197</v>
      </c>
      <c r="E29" s="103" t="s">
        <v>264</v>
      </c>
      <c r="F29" s="103" t="s">
        <v>265</v>
      </c>
      <c r="G29" s="63" t="str">
        <f t="shared" si="0"/>
        <v>[effect:enemy_message, val1:1.2, val2:1.2]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>
        <f t="shared" si="4"/>
        <v>32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si="5"/>
        <v xml:space="preserve">[effect:rush, count:2, val:0.6]    </v>
      </c>
      <c r="N29" s="48" t="str">
        <f t="shared" si="15"/>
        <v xml:space="preserve">[effect:rush, count:2, val:0.6]    </v>
      </c>
      <c r="O29" s="63">
        <f t="shared" si="6"/>
        <v>9</v>
      </c>
      <c r="P29" s="63">
        <f t="shared" si="7"/>
        <v>13</v>
      </c>
      <c r="Q29" s="63" t="e">
        <f t="shared" si="8"/>
        <v>#VALUE!</v>
      </c>
      <c r="R29" s="63">
        <f t="shared" si="9"/>
        <v>22</v>
      </c>
      <c r="S29" s="63" t="str">
        <f>IFERROR(VLOOKUP(MID(N29,Q29,R29-Q29),[6]skilldef!$C:$D,2,FALSE),"-") &amp; " / " &amp; IFERROR(VLOOKUP(MID(N29,O29,P29-O29),[6]skilldef!$A:$B,2,FALSE),"-")</f>
        <v>- / 連続攻撃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40" customHeight="1" x14ac:dyDescent="0.15">
      <c r="A30" s="101">
        <v>48003029</v>
      </c>
      <c r="B30" s="148" t="s">
        <v>382</v>
      </c>
      <c r="C30" s="102">
        <v>3</v>
      </c>
      <c r="D30" s="102" t="s">
        <v>197</v>
      </c>
      <c r="E30" s="103" t="s">
        <v>383</v>
      </c>
      <c r="F30" s="103" t="s">
        <v>384</v>
      </c>
      <c r="G30" s="63" t="str">
        <f t="shared" si="0"/>
        <v>[effect:enemy_message, val1:1.2, val2:1.3]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5"/>
        <v xml:space="preserve">[effect:enhance_enemy, target:enemy_all, turn:3, status:defense, val:2000, calc:add, animation:enemy_enhance_defense]    </v>
      </c>
      <c r="N30" s="48" t="str">
        <f t="shared" si="15"/>
        <v xml:space="preserve">[effect:enhance_enemy, target:enemy_all, turn:3, status:defense, val:2000, calc:add, animation:enemy_enhance_defense]    </v>
      </c>
      <c r="O30" s="63">
        <f t="shared" si="6"/>
        <v>9</v>
      </c>
      <c r="P30" s="63">
        <f t="shared" si="7"/>
        <v>22</v>
      </c>
      <c r="Q30" s="63">
        <f t="shared" si="8"/>
        <v>31</v>
      </c>
      <c r="R30" s="63">
        <f t="shared" si="9"/>
        <v>40</v>
      </c>
      <c r="S30" s="63" t="str">
        <f>IFERROR(VLOOKUP(MID(N30,Q30,R30-Q30),[6]skilldef!$C:$D,2,FALSE),"-") &amp; " / " &amp; IFERROR(VLOOKUP(MID(N30,O30,P30-O30),[6]skilldef!$A:$B,2,FALSE),"-")</f>
        <v>敵全体に / ステータス強化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</row>
    <row r="31" spans="1:28" ht="40" customHeight="1" x14ac:dyDescent="0.15">
      <c r="A31" s="101">
        <v>48003030</v>
      </c>
      <c r="B31" s="148" t="s">
        <v>385</v>
      </c>
      <c r="C31" s="102">
        <v>3</v>
      </c>
      <c r="D31" s="102" t="s">
        <v>197</v>
      </c>
      <c r="E31" s="103" t="s">
        <v>282</v>
      </c>
      <c r="F31" s="103" t="s">
        <v>317</v>
      </c>
      <c r="G31" s="63" t="str">
        <f t="shared" si="0"/>
        <v>[effect:enemy_message, val1:1.4, val2:1.5]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5"/>
        <v>[effect:enhance_enemy, target:myself, turn:-1, status:defense, val:3000, calc:add, animation:enemy_enhance_defense],[effect:tolerance, target:myself, turn:-1, tolerance_effect:all, count:-1, animation:enemy_tolerance],[effect:fix_speed, target:myself, turn:1]</v>
      </c>
      <c r="N31" s="48" t="str">
        <f t="shared" si="15"/>
        <v>[effect:enhance_enemy, target:myself, turn:-1, status:defense, val:3000, calc:add, animation:enemy_enhance_defense],[effect:tolerance, target:myself, turn:-1, tolerance_effect:all, count:-1, animation:enemy_tolerance],[effect:fix_speed, target:myself, turn:1]</v>
      </c>
      <c r="O31" s="63">
        <f t="shared" si="6"/>
        <v>9</v>
      </c>
      <c r="P31" s="63">
        <f t="shared" si="7"/>
        <v>22</v>
      </c>
      <c r="Q31" s="63">
        <f t="shared" si="8"/>
        <v>31</v>
      </c>
      <c r="R31" s="63">
        <f t="shared" si="9"/>
        <v>37</v>
      </c>
      <c r="S31" s="63" t="str">
        <f>IFERROR(VLOOKUP(MID(N31,Q31,R31-Q31),[6]skilldef!$C:$D,2,FALSE),"-") &amp; " / " &amp; IFERROR(VLOOKUP(MID(N31,O31,P31-O31),[6]skilldef!$A:$B,2,FALSE),"-")</f>
        <v>自分自身に / ステータス強化</v>
      </c>
      <c r="T31" s="48" t="str">
        <f t="shared" si="10"/>
        <v>[effect:tolerance, target:myself, turn:-1, tolerance_effect:all, count:-1, animation:enemy_tolerance],[effect:fix_speed, target:myself, turn:1]</v>
      </c>
      <c r="U31" s="63">
        <f t="shared" si="11"/>
        <v>9</v>
      </c>
      <c r="V31" s="63">
        <f t="shared" si="12"/>
        <v>18</v>
      </c>
      <c r="W31" s="63">
        <f t="shared" si="13"/>
        <v>27</v>
      </c>
      <c r="X31" s="63">
        <f t="shared" si="14"/>
        <v>33</v>
      </c>
      <c r="Y31" s="63" t="str">
        <f>IFERROR(VLOOKUP(MID(T31,W31,X31-W31),[6]skilldef!$C:$D,2,FALSE),"-") &amp; " / " &amp; IFERROR(VLOOKUP(MID(T31,U31,V31-U31),[6]skilldef!$A:$B,2,FALSE),"-")</f>
        <v>自分自身に / 状態異常耐性</v>
      </c>
      <c r="Z31" s="50"/>
      <c r="AA31" s="51"/>
      <c r="AB31" s="50"/>
    </row>
    <row r="32" spans="1:28" ht="40" customHeight="1" x14ac:dyDescent="0.15">
      <c r="A32" s="101">
        <v>48003031</v>
      </c>
      <c r="B32" s="148" t="s">
        <v>386</v>
      </c>
      <c r="C32" s="102">
        <v>3</v>
      </c>
      <c r="D32" s="102" t="s">
        <v>197</v>
      </c>
      <c r="E32" s="103" t="s">
        <v>323</v>
      </c>
      <c r="F32" s="103" t="s">
        <v>387</v>
      </c>
      <c r="G32" s="63" t="str">
        <f t="shared" si="0"/>
        <v>[effect:enemy_message, val1:1.5, val2:2.1]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5"/>
        <v xml:space="preserve">[effect:force_change_block, new_block:jammer, target:block_all, ignore01:block_positive, ignore02:block_negative, count:6, val:0, animation:change_block],[effect:rush, count:1, val:1.0]    </v>
      </c>
      <c r="N32" s="48" t="str">
        <f t="shared" si="15"/>
        <v xml:space="preserve">[effect:force_change_block, new_block:jammer, target:block_all, ignore01:block_positive, ignore02:block_negative, count:6, val:0, animation:change_block],[effect:rush, count:1, val:1.0]    </v>
      </c>
      <c r="O32" s="63">
        <f t="shared" si="6"/>
        <v>9</v>
      </c>
      <c r="P32" s="63">
        <f t="shared" si="7"/>
        <v>27</v>
      </c>
      <c r="Q32" s="63">
        <f t="shared" si="8"/>
        <v>54</v>
      </c>
      <c r="R32" s="63">
        <f t="shared" si="9"/>
        <v>45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0"/>
        <v xml:space="preserve">[effect:rush, count:1, val:1.0]    </v>
      </c>
      <c r="U32" s="63">
        <f t="shared" si="11"/>
        <v>9</v>
      </c>
      <c r="V32" s="63">
        <f t="shared" si="12"/>
        <v>13</v>
      </c>
      <c r="W32" s="63" t="e">
        <f t="shared" si="13"/>
        <v>#VALUE!</v>
      </c>
      <c r="X32" s="63">
        <f t="shared" si="14"/>
        <v>22</v>
      </c>
      <c r="Y32" s="63" t="str">
        <f>IFERROR(VLOOKUP(MID(T32,W32,X32-W32),[6]skilldef!$C:$D,2,FALSE),"-") &amp; " / " &amp; IFERROR(VLOOKUP(MID(T32,U32,V32-U32),[6]skilldef!$A:$B,2,FALSE),"-")</f>
        <v>- / 連続攻撃</v>
      </c>
      <c r="Z32" s="50"/>
      <c r="AA32" s="51"/>
      <c r="AB32" s="50"/>
    </row>
    <row r="33" spans="1:28" ht="40" customHeight="1" x14ac:dyDescent="0.15">
      <c r="A33" s="101">
        <v>48003032</v>
      </c>
      <c r="B33" s="148" t="s">
        <v>388</v>
      </c>
      <c r="C33" s="102">
        <v>3</v>
      </c>
      <c r="D33" s="102" t="s">
        <v>197</v>
      </c>
      <c r="E33" s="103" t="s">
        <v>298</v>
      </c>
      <c r="F33" s="103" t="s">
        <v>389</v>
      </c>
      <c r="G33" s="63" t="str">
        <f t="shared" si="0"/>
        <v>[effect:enemy_message, val1:1.3, val2:2.1]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5"/>
        <v xml:space="preserve">[effect:force_change_block, new_block:jammer, target:block_all, ignore01:block_positive, ignore02:block_negative, count:5, val:0, animation:change_block],[effect:rush, count:1, val:1.0]    </v>
      </c>
      <c r="N33" s="48" t="str">
        <f t="shared" si="15"/>
        <v xml:space="preserve">[effect:force_change_block, new_block:jammer, target:block_all, ignore01:block_positive, ignore02:block_negative, count:5, val:0, animation:change_block],[effect:rush, count:1, val:1.0]    </v>
      </c>
      <c r="O33" s="63">
        <f t="shared" si="6"/>
        <v>9</v>
      </c>
      <c r="P33" s="63">
        <f t="shared" si="7"/>
        <v>27</v>
      </c>
      <c r="Q33" s="63">
        <f t="shared" si="8"/>
        <v>54</v>
      </c>
      <c r="R33" s="63">
        <f t="shared" si="9"/>
        <v>45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0"/>
        <v xml:space="preserve">[effect:rush, count:1, val:1.0]    </v>
      </c>
      <c r="U33" s="63">
        <f t="shared" si="11"/>
        <v>9</v>
      </c>
      <c r="V33" s="63">
        <f t="shared" si="12"/>
        <v>13</v>
      </c>
      <c r="W33" s="63" t="e">
        <f t="shared" si="13"/>
        <v>#VALUE!</v>
      </c>
      <c r="X33" s="63">
        <f t="shared" si="14"/>
        <v>22</v>
      </c>
      <c r="Y33" s="63" t="str">
        <f>IFERROR(VLOOKUP(MID(T33,W33,X33-W33),[6]skilldef!$C:$D,2,FALSE),"-") &amp; " / " &amp; IFERROR(VLOOKUP(MID(T33,U33,V33-U33),[6]skilldef!$A:$B,2,FALSE),"-")</f>
        <v>- / 連続攻撃</v>
      </c>
      <c r="Z33" s="50"/>
      <c r="AA33" s="51"/>
      <c r="AB33" s="50"/>
    </row>
    <row r="34" spans="1:28" ht="40" customHeight="1" x14ac:dyDescent="0.15">
      <c r="A34" s="101">
        <v>48003033</v>
      </c>
      <c r="B34" s="148" t="s">
        <v>390</v>
      </c>
      <c r="C34" s="102">
        <v>3</v>
      </c>
      <c r="D34" s="102" t="s">
        <v>197</v>
      </c>
      <c r="E34" s="103" t="s">
        <v>283</v>
      </c>
      <c r="F34" s="103" t="s">
        <v>391</v>
      </c>
      <c r="G34" s="63" t="str">
        <f t="shared" si="0"/>
        <v>[effect:enemy_message, val1:1.3, val2:3.6]</v>
      </c>
      <c r="H34" s="63">
        <f t="shared" si="1"/>
        <v>9</v>
      </c>
      <c r="I34" s="63">
        <f t="shared" si="2"/>
        <v>22</v>
      </c>
      <c r="J34" s="63" t="e">
        <f t="shared" si="3"/>
        <v>#VALUE!</v>
      </c>
      <c r="K34" s="63">
        <f t="shared" si="4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5"/>
        <v xml:space="preserve">[effect:force_change_block, new_block:jammer, target:block_all, ignore01:block_positive, ignore02:block_negative, count:3, val:0, animation:change_block],[effect:force_change_block, new_block:block_red, target:block_all, ignore01:block_red, ignore02:block_positive, ignore03:block_negative, count:3, val:0, animation:change_block],[effect:rush, count:1, val:1.0]    </v>
      </c>
      <c r="N34" s="48" t="str">
        <f t="shared" si="15"/>
        <v xml:space="preserve">[effect:force_change_block, new_block:jammer, target:block_all, ignore01:block_positive, ignore02:block_negative, count:3, val:0, animation:change_block],[effect:force_change_block, new_block:block_red, target:block_all, ignore01:block_red, ignore02:block_positive, ignore03:block_negative, count:3, val:0, animation:change_block],[effect:rush, count:1, val:1.0]    </v>
      </c>
      <c r="O34" s="63">
        <f t="shared" si="6"/>
        <v>9</v>
      </c>
      <c r="P34" s="63">
        <f t="shared" si="7"/>
        <v>27</v>
      </c>
      <c r="Q34" s="63">
        <f t="shared" si="8"/>
        <v>54</v>
      </c>
      <c r="R34" s="63">
        <f t="shared" si="9"/>
        <v>45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0"/>
        <v xml:space="preserve">[effect:force_change_block, new_block:block_red, target:block_all, ignore01:block_red, ignore02:block_positive, ignore03:block_negative, count:3, val:0, animation:change_block],[effect:rush, count:1, val:1.0]    </v>
      </c>
      <c r="U34" s="63">
        <f t="shared" si="11"/>
        <v>9</v>
      </c>
      <c r="V34" s="63">
        <f t="shared" si="12"/>
        <v>27</v>
      </c>
      <c r="W34" s="63">
        <f t="shared" si="13"/>
        <v>57</v>
      </c>
      <c r="X34" s="63">
        <f t="shared" si="14"/>
        <v>48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40" customHeight="1" x14ac:dyDescent="0.15">
      <c r="A35" s="101">
        <v>48003034</v>
      </c>
      <c r="B35" s="148" t="s">
        <v>392</v>
      </c>
      <c r="C35" s="102">
        <v>3</v>
      </c>
      <c r="D35" s="102" t="s">
        <v>197</v>
      </c>
      <c r="E35" s="103" t="s">
        <v>284</v>
      </c>
      <c r="F35" s="103" t="s">
        <v>393</v>
      </c>
      <c r="G35" s="63" t="str">
        <f t="shared" si="0"/>
        <v>[effect:enemy_message, val1:1.3, val2:1.9]</v>
      </c>
      <c r="H35" s="63">
        <f t="shared" si="1"/>
        <v>9</v>
      </c>
      <c r="I35" s="63">
        <f t="shared" si="2"/>
        <v>22</v>
      </c>
      <c r="J35" s="63" t="e">
        <f t="shared" si="3"/>
        <v>#VALUE!</v>
      </c>
      <c r="K35" s="63">
        <f t="shared" si="4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5"/>
        <v xml:space="preserve">[effect:force_change_block, new_block:block_red, target:block_all, ignore01:block_red, ignore02:block_positive, ignore03:block_negative, count:2, val:0, animation:change_block],[effect:rush, count:1, val:1.0]    </v>
      </c>
      <c r="N35" s="48" t="str">
        <f t="shared" si="15"/>
        <v xml:space="preserve">[effect:force_change_block, new_block:block_red, target:block_all, ignore01:block_red, ignore02:block_positive, ignore03:block_negative, count:2, val:0, animation:change_block],[effect:rush, count:1, val:1.0]    </v>
      </c>
      <c r="O35" s="63">
        <f t="shared" si="6"/>
        <v>9</v>
      </c>
      <c r="P35" s="63">
        <f t="shared" si="7"/>
        <v>27</v>
      </c>
      <c r="Q35" s="63">
        <f t="shared" si="8"/>
        <v>57</v>
      </c>
      <c r="R35" s="63">
        <f t="shared" si="9"/>
        <v>48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0"/>
        <v xml:space="preserve">[effect:rush, count:1, val:1.0]    </v>
      </c>
      <c r="U35" s="63">
        <f t="shared" si="11"/>
        <v>9</v>
      </c>
      <c r="V35" s="63">
        <f t="shared" si="12"/>
        <v>13</v>
      </c>
      <c r="W35" s="63" t="e">
        <f t="shared" si="13"/>
        <v>#VALUE!</v>
      </c>
      <c r="X35" s="63">
        <f t="shared" si="14"/>
        <v>22</v>
      </c>
      <c r="Y35" s="63" t="str">
        <f>IFERROR(VLOOKUP(MID(T35,W35,X35-W35),[6]skilldef!$C:$D,2,FALSE),"-") &amp; " / " &amp; IFERROR(VLOOKUP(MID(T35,U35,V35-U35),[6]skilldef!$A:$B,2,FALSE),"-")</f>
        <v>- / 連続攻撃</v>
      </c>
      <c r="Z35" s="50"/>
      <c r="AA35" s="51"/>
      <c r="AB35" s="50"/>
    </row>
    <row r="36" spans="1:28" ht="40" customHeight="1" x14ac:dyDescent="0.15">
      <c r="A36" s="101">
        <v>48003035</v>
      </c>
      <c r="B36" s="148" t="s">
        <v>394</v>
      </c>
      <c r="C36" s="102">
        <v>3</v>
      </c>
      <c r="D36" s="102" t="s">
        <v>197</v>
      </c>
      <c r="E36" s="103" t="s">
        <v>299</v>
      </c>
      <c r="F36" s="103" t="s">
        <v>313</v>
      </c>
      <c r="G36" s="63" t="str">
        <f t="shared" si="0"/>
        <v>[effect:enemy_message, val1:1.4, val2:2.4]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5"/>
        <v>[effect:force_change_block, new_block:jammer, target:block_all, ignore01:block_positive, ignore02:block_negative, count:12, val:0, animation:change_block],[effect:tolerance, target:myself, turn:-1, tolerance_effect:all, count:-1, animation:enemy_tolerance],[effect:fix_speed, target:myself, turn:1]</v>
      </c>
      <c r="N36" s="48" t="str">
        <f t="shared" si="15"/>
        <v>[effect:force_change_block, new_block:jammer, target:block_all, ignore01:block_positive, ignore02:block_negative, count:12, val:0, animation:change_block],[effect:tolerance, target:myself, turn:-1, tolerance_effect:all, count:-1, animation:enemy_tolerance],[effect:fix_speed, target:myself, turn:1]</v>
      </c>
      <c r="O36" s="63">
        <f t="shared" si="6"/>
        <v>9</v>
      </c>
      <c r="P36" s="63">
        <f t="shared" si="7"/>
        <v>27</v>
      </c>
      <c r="Q36" s="63">
        <f t="shared" si="8"/>
        <v>54</v>
      </c>
      <c r="R36" s="63">
        <f t="shared" si="9"/>
        <v>45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0"/>
        <v>[effect:tolerance, target:myself, turn:-1, tolerance_effect:all, count:-1, animation:enemy_tolerance],[effect:fix_speed, target:myself, turn:1]</v>
      </c>
      <c r="U36" s="63">
        <f t="shared" si="11"/>
        <v>9</v>
      </c>
      <c r="V36" s="63">
        <f t="shared" si="12"/>
        <v>18</v>
      </c>
      <c r="W36" s="63">
        <f t="shared" si="13"/>
        <v>27</v>
      </c>
      <c r="X36" s="63">
        <f t="shared" si="14"/>
        <v>33</v>
      </c>
      <c r="Y36" s="63" t="str">
        <f>IFERROR(VLOOKUP(MID(T36,W36,X36-W36),[6]skilldef!$C:$D,2,FALSE),"-") &amp; " / " &amp; IFERROR(VLOOKUP(MID(T36,U36,V36-U36),[6]skilldef!$A:$B,2,FALSE),"-")</f>
        <v>自分自身に / 状態異常耐性</v>
      </c>
      <c r="Z36" s="50"/>
      <c r="AA36" s="51"/>
      <c r="AB36" s="50"/>
    </row>
    <row r="37" spans="1:28" ht="40" customHeight="1" x14ac:dyDescent="0.15">
      <c r="A37" s="101">
        <v>48003036</v>
      </c>
      <c r="B37" s="148" t="s">
        <v>395</v>
      </c>
      <c r="C37" s="102">
        <v>3</v>
      </c>
      <c r="D37" s="102" t="s">
        <v>197</v>
      </c>
      <c r="E37" s="103" t="s">
        <v>300</v>
      </c>
      <c r="F37" s="103" t="s">
        <v>303</v>
      </c>
      <c r="G37" s="63" t="str">
        <f t="shared" si="0"/>
        <v>[effect:enemy_message, val1:1.4, val2:1.6]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5"/>
        <v>[effect:damage_anti_abnormal, target:unit_both, target_effect01:sleep, val1:0.6, val2:0.6]</v>
      </c>
      <c r="N37" s="48" t="str">
        <f t="shared" si="15"/>
        <v>[effect:damage_anti_abnormal, target:unit_both, target_effect01:sleep, val1:0.6, val2:0.6]</v>
      </c>
      <c r="O37" s="63">
        <f t="shared" si="6"/>
        <v>9</v>
      </c>
      <c r="P37" s="63">
        <f t="shared" si="7"/>
        <v>29</v>
      </c>
      <c r="Q37" s="63">
        <f t="shared" si="8"/>
        <v>38</v>
      </c>
      <c r="R37" s="63">
        <f t="shared" si="9"/>
        <v>47</v>
      </c>
      <c r="S37" s="63" t="str">
        <f>IFERROR(VLOOKUP(MID(N37,Q37,R37-Q37),[6]skilldef!$C:$D,2,FALSE),"-") &amp; " / " &amp; IFERROR(VLOOKUP(MID(N37,O37,P37-O37),[6]skilldef!$A:$B,2,FALSE),"-")</f>
        <v>両方の味方に / -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40" customHeight="1" x14ac:dyDescent="0.15">
      <c r="A38" s="101">
        <v>48003037</v>
      </c>
      <c r="B38" s="148" t="s">
        <v>396</v>
      </c>
      <c r="C38" s="102">
        <v>3</v>
      </c>
      <c r="D38" s="102" t="s">
        <v>197</v>
      </c>
      <c r="E38" s="103" t="s">
        <v>266</v>
      </c>
      <c r="F38" s="103" t="s">
        <v>252</v>
      </c>
      <c r="G38" s="63" t="str">
        <f t="shared" si="0"/>
        <v>[effect:enemy_message, val1:1.3, val2:1.2]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5"/>
        <v xml:space="preserve">[effect:spread, val:0.3]    </v>
      </c>
      <c r="N38" s="48" t="str">
        <f t="shared" si="15"/>
        <v xml:space="preserve">[effect:spread, val:0.3]    </v>
      </c>
      <c r="O38" s="63">
        <f t="shared" si="6"/>
        <v>9</v>
      </c>
      <c r="P38" s="63">
        <f t="shared" si="7"/>
        <v>15</v>
      </c>
      <c r="Q38" s="63" t="e">
        <f t="shared" si="8"/>
        <v>#VALUE!</v>
      </c>
      <c r="R38" s="63" t="e">
        <f t="shared" si="9"/>
        <v>#VALUE!</v>
      </c>
      <c r="S38" s="63" t="str">
        <f>IFERROR(VLOOKUP(MID(N38,Q38,R38-Q38),[6]skilldef!$C:$D,2,FALSE),"-") &amp; " / " &amp; IFERROR(VLOOKUP(MID(N38,O38,P38-O38),[6]skilldef!$A:$B,2,FALSE),"-")</f>
        <v>- / 全体攻撃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40" customHeight="1" x14ac:dyDescent="0.15">
      <c r="A39" s="101">
        <v>48003038</v>
      </c>
      <c r="B39" s="148" t="s">
        <v>397</v>
      </c>
      <c r="C39" s="102">
        <v>3</v>
      </c>
      <c r="D39" s="102" t="s">
        <v>197</v>
      </c>
      <c r="E39" s="103" t="s">
        <v>398</v>
      </c>
      <c r="F39" s="103" t="s">
        <v>304</v>
      </c>
      <c r="G39" s="63" t="str">
        <f t="shared" si="0"/>
        <v>[effect:enemy_message, val1:1.3, val2:2.4]</v>
      </c>
      <c r="H39" s="63">
        <f t="shared" si="1"/>
        <v>9</v>
      </c>
      <c r="I39" s="63">
        <f t="shared" si="2"/>
        <v>22</v>
      </c>
      <c r="J39" s="63" t="e">
        <f t="shared" si="3"/>
        <v>#VALUE!</v>
      </c>
      <c r="K39" s="63">
        <f t="shared" si="4"/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5"/>
        <v>[effect:hungup, target:unit_both, turn:1, rate:1, animation:hungup01]</v>
      </c>
      <c r="N39" s="48" t="str">
        <f t="shared" si="15"/>
        <v>[effect:hungup, target:unit_both, turn:1, rate:1, animation:hungup01]</v>
      </c>
      <c r="O39" s="63">
        <f t="shared" si="6"/>
        <v>9</v>
      </c>
      <c r="P39" s="63">
        <f t="shared" si="7"/>
        <v>15</v>
      </c>
      <c r="Q39" s="63">
        <f t="shared" si="8"/>
        <v>24</v>
      </c>
      <c r="R39" s="63">
        <f t="shared" si="9"/>
        <v>33</v>
      </c>
      <c r="S39" s="63" t="str">
        <f>IFERROR(VLOOKUP(MID(N39,Q39,R39-Q39),[6]skilldef!$C:$D,2,FALSE),"-") &amp; " / " &amp; IFERROR(VLOOKUP(MID(N39,O39,P39-O39),[6]skilldef!$A:$B,2,FALSE),"-")</f>
        <v>両方の味方に / ハングアップ</v>
      </c>
      <c r="T39" s="48" t="str">
        <f t="shared" si="10"/>
        <v>none</v>
      </c>
      <c r="U39" s="63" t="e">
        <f t="shared" si="11"/>
        <v>#VALUE!</v>
      </c>
      <c r="V39" s="63">
        <f t="shared" si="12"/>
        <v>4</v>
      </c>
      <c r="W39" s="63" t="e">
        <f t="shared" si="13"/>
        <v>#VALUE!</v>
      </c>
      <c r="X39" s="63" t="e">
        <f t="shared" si="14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</row>
    <row r="40" spans="1:28" ht="40" customHeight="1" x14ac:dyDescent="0.15">
      <c r="A40" s="101">
        <v>48003039</v>
      </c>
      <c r="B40" s="148" t="s">
        <v>399</v>
      </c>
      <c r="C40" s="102">
        <v>3</v>
      </c>
      <c r="D40" s="102" t="s">
        <v>197</v>
      </c>
      <c r="E40" s="103" t="s">
        <v>301</v>
      </c>
      <c r="F40" s="103" t="s">
        <v>400</v>
      </c>
      <c r="G40" s="63" t="str">
        <f t="shared" si="0"/>
        <v>[effect:enemy_message, val1:1.2, val2:1.2]</v>
      </c>
      <c r="H40" s="63">
        <f t="shared" si="1"/>
        <v>9</v>
      </c>
      <c r="I40" s="63">
        <f t="shared" si="2"/>
        <v>22</v>
      </c>
      <c r="J40" s="63" t="e">
        <f t="shared" si="3"/>
        <v>#VALUE!</v>
      </c>
      <c r="K40" s="63">
        <f t="shared" si="4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5"/>
        <v xml:space="preserve">[effect:enhance_enemy, target:myself, turn:3, status:defense, val:3000, calc:add, animation:enemy_enhance_defense]    </v>
      </c>
      <c r="N40" s="48" t="str">
        <f t="shared" si="15"/>
        <v xml:space="preserve">[effect:enhance_enemy, target:myself, turn:3, status:defense, val:3000, calc:add, animation:enemy_enhance_defense]    </v>
      </c>
      <c r="O40" s="63">
        <f t="shared" si="6"/>
        <v>9</v>
      </c>
      <c r="P40" s="63">
        <f t="shared" si="7"/>
        <v>22</v>
      </c>
      <c r="Q40" s="63">
        <f t="shared" si="8"/>
        <v>31</v>
      </c>
      <c r="R40" s="63">
        <f t="shared" si="9"/>
        <v>37</v>
      </c>
      <c r="S40" s="63" t="str">
        <f>IFERROR(VLOOKUP(MID(N40,Q40,R40-Q40),[6]skilldef!$C:$D,2,FALSE),"-") &amp; " / " &amp; IFERROR(VLOOKUP(MID(N40,O40,P40-O40),[6]skilldef!$A:$B,2,FALSE),"-")</f>
        <v>自分自身に / ステータス強化</v>
      </c>
      <c r="T40" s="48" t="str">
        <f t="shared" si="10"/>
        <v>none</v>
      </c>
      <c r="U40" s="63" t="e">
        <f t="shared" si="11"/>
        <v>#VALUE!</v>
      </c>
      <c r="V40" s="63">
        <f t="shared" si="12"/>
        <v>4</v>
      </c>
      <c r="W40" s="63" t="e">
        <f t="shared" si="13"/>
        <v>#VALUE!</v>
      </c>
      <c r="X40" s="63" t="e">
        <f t="shared" si="14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40" customHeight="1" x14ac:dyDescent="0.15">
      <c r="A41" s="101">
        <v>48003040</v>
      </c>
      <c r="B41" s="148" t="s">
        <v>401</v>
      </c>
      <c r="C41" s="102">
        <v>3</v>
      </c>
      <c r="D41" s="102" t="s">
        <v>197</v>
      </c>
      <c r="E41" s="103" t="s">
        <v>402</v>
      </c>
      <c r="F41" s="103" t="s">
        <v>314</v>
      </c>
      <c r="G41" s="63" t="str">
        <f t="shared" si="0"/>
        <v>[effect:enemy_message, val1:1.2, val2:2.4]</v>
      </c>
      <c r="H41" s="63">
        <f t="shared" si="1"/>
        <v>9</v>
      </c>
      <c r="I41" s="63">
        <f t="shared" si="2"/>
        <v>22</v>
      </c>
      <c r="J41" s="63" t="e">
        <f t="shared" si="3"/>
        <v>#VALUE!</v>
      </c>
      <c r="K41" s="63">
        <f t="shared" si="4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5"/>
        <v>[effect:force_change_block, new_block:jammer, target:block_all, ignore01:block_positive, ignore02:block_negative, count:12, val:0, animation:change_block],[effect:tolerance, target:myself, turn:-1, tolerance_effect:all, count:-1, animation:enemy_tolerance],[effect:fix_speed, target:myself, turn:1]</v>
      </c>
      <c r="N41" s="48" t="str">
        <f t="shared" si="15"/>
        <v>[effect:force_change_block, new_block:jammer, target:block_all, ignore01:block_positive, ignore02:block_negative, count:12, val:0, animation:change_block]</v>
      </c>
      <c r="O41" s="63">
        <f t="shared" si="6"/>
        <v>9</v>
      </c>
      <c r="P41" s="63">
        <f t="shared" si="7"/>
        <v>27</v>
      </c>
      <c r="Q41" s="63">
        <f t="shared" si="8"/>
        <v>54</v>
      </c>
      <c r="R41" s="63">
        <f t="shared" si="9"/>
        <v>45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0"/>
        <v>[effect:tolerance, target:myself, turn:-1, tolerance_effect:all, count:-1, animation:enemy_tolerance],[effect:fix_speed, target:myself, turn:1]</v>
      </c>
      <c r="U41" s="63">
        <f t="shared" si="11"/>
        <v>9</v>
      </c>
      <c r="V41" s="63">
        <f t="shared" si="12"/>
        <v>18</v>
      </c>
      <c r="W41" s="63">
        <f t="shared" si="13"/>
        <v>27</v>
      </c>
      <c r="X41" s="63">
        <f t="shared" si="14"/>
        <v>33</v>
      </c>
      <c r="Y41" s="63" t="str">
        <f>IFERROR(VLOOKUP(MID(T41,W41,X41-W41),[6]skilldef!$C:$D,2,FALSE),"-") &amp; " / " &amp; IFERROR(VLOOKUP(MID(T41,U41,V41-U41),[6]skilldef!$A:$B,2,FALSE),"-")</f>
        <v>自分自身に / 状態異常耐性</v>
      </c>
      <c r="Z41" s="50"/>
      <c r="AA41" s="51"/>
      <c r="AB41" s="50"/>
    </row>
    <row r="42" spans="1:28" ht="40" customHeight="1" x14ac:dyDescent="0.15">
      <c r="A42" s="101">
        <v>48003041</v>
      </c>
      <c r="B42" s="148" t="s">
        <v>403</v>
      </c>
      <c r="C42" s="102">
        <v>3</v>
      </c>
      <c r="D42" s="102" t="s">
        <v>197</v>
      </c>
      <c r="E42" s="103" t="s">
        <v>302</v>
      </c>
      <c r="F42" s="103" t="s">
        <v>265</v>
      </c>
      <c r="G42" s="63" t="str">
        <f t="shared" si="0"/>
        <v>[effect:enemy_message, val1:1.2, val2:1.2]</v>
      </c>
      <c r="H42" s="63">
        <f t="shared" si="1"/>
        <v>9</v>
      </c>
      <c r="I42" s="63">
        <f t="shared" si="2"/>
        <v>22</v>
      </c>
      <c r="J42" s="63" t="e">
        <f t="shared" si="3"/>
        <v>#VALUE!</v>
      </c>
      <c r="K42" s="63">
        <f t="shared" si="4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5"/>
        <v>[effect:damage_anti_abnormal, target:unit_both, target_effect01:sleep, val1:0.6, val2:0.6]</v>
      </c>
      <c r="N42" s="48" t="str">
        <f t="shared" si="15"/>
        <v>[effect:damage_anti_abnormal, target:unit_both, target_effect01:sleep, val1:0.6, val2:0.6]</v>
      </c>
      <c r="O42" s="63">
        <f t="shared" si="6"/>
        <v>9</v>
      </c>
      <c r="P42" s="63">
        <f t="shared" si="7"/>
        <v>29</v>
      </c>
      <c r="Q42" s="63">
        <f t="shared" si="8"/>
        <v>38</v>
      </c>
      <c r="R42" s="63">
        <f t="shared" si="9"/>
        <v>47</v>
      </c>
      <c r="S42" s="63" t="str">
        <f>IFERROR(VLOOKUP(MID(N42,Q42,R42-Q42),[6]skilldef!$C:$D,2,FALSE),"-") &amp; " / " &amp; IFERROR(VLOOKUP(MID(N42,O42,P42-O42),[6]skilldef!$A:$B,2,FALSE),"-")</f>
        <v>両方の味方に / -</v>
      </c>
      <c r="T42" s="48" t="str">
        <f t="shared" si="10"/>
        <v>none</v>
      </c>
      <c r="U42" s="63" t="e">
        <f t="shared" si="11"/>
        <v>#VALUE!</v>
      </c>
      <c r="V42" s="63">
        <f t="shared" si="12"/>
        <v>4</v>
      </c>
      <c r="W42" s="63" t="e">
        <f t="shared" si="13"/>
        <v>#VALUE!</v>
      </c>
      <c r="X42" s="63" t="e">
        <f t="shared" si="14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40" customHeight="1" x14ac:dyDescent="0.15">
      <c r="A43" s="101">
        <v>48003042</v>
      </c>
      <c r="B43" s="148" t="s">
        <v>404</v>
      </c>
      <c r="C43" s="102">
        <v>3</v>
      </c>
      <c r="D43" s="102" t="s">
        <v>197</v>
      </c>
      <c r="E43" s="103" t="s">
        <v>405</v>
      </c>
      <c r="F43" s="103" t="s">
        <v>250</v>
      </c>
      <c r="G43" s="63" t="str">
        <f t="shared" si="0"/>
        <v>[effect:enemy_message, val1:1.4, val2:1.2]</v>
      </c>
      <c r="H43" s="63">
        <f t="shared" si="1"/>
        <v>9</v>
      </c>
      <c r="I43" s="63">
        <f t="shared" si="2"/>
        <v>22</v>
      </c>
      <c r="J43" s="63" t="e">
        <f t="shared" si="3"/>
        <v>#VALUE!</v>
      </c>
      <c r="K43" s="63">
        <f t="shared" si="4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5"/>
        <v xml:space="preserve">[effect:critical, val:1.5, animation:enemy_critical]    </v>
      </c>
      <c r="N43" s="48" t="str">
        <f t="shared" si="15"/>
        <v xml:space="preserve">[effect:critical, val:1.5, animation:enemy_critical]    </v>
      </c>
      <c r="O43" s="63">
        <f t="shared" si="6"/>
        <v>9</v>
      </c>
      <c r="P43" s="63">
        <f t="shared" si="7"/>
        <v>17</v>
      </c>
      <c r="Q43" s="63" t="e">
        <f t="shared" si="8"/>
        <v>#VALUE!</v>
      </c>
      <c r="R43" s="63">
        <f t="shared" si="9"/>
        <v>26</v>
      </c>
      <c r="S43" s="63" t="str">
        <f>IFERROR(VLOOKUP(MID(N43,Q43,R43-Q43),[6]skilldef!$C:$D,2,FALSE),"-") &amp; " / " &amp; IFERROR(VLOOKUP(MID(N43,O43,P43-O43),[6]skilldef!$A:$B,2,FALSE),"-")</f>
        <v>- / 大攻撃</v>
      </c>
      <c r="T43" s="48" t="str">
        <f t="shared" si="10"/>
        <v>none</v>
      </c>
      <c r="U43" s="63" t="e">
        <f t="shared" si="11"/>
        <v>#VALUE!</v>
      </c>
      <c r="V43" s="63">
        <f t="shared" si="12"/>
        <v>4</v>
      </c>
      <c r="W43" s="63" t="e">
        <f t="shared" si="13"/>
        <v>#VALUE!</v>
      </c>
      <c r="X43" s="63" t="e">
        <f t="shared" si="14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40" customHeight="1" x14ac:dyDescent="0.15">
      <c r="A44" s="101">
        <v>48003043</v>
      </c>
      <c r="B44" s="148" t="s">
        <v>406</v>
      </c>
      <c r="C44" s="102">
        <v>3</v>
      </c>
      <c r="D44" s="102" t="s">
        <v>197</v>
      </c>
      <c r="E44" s="103" t="s">
        <v>407</v>
      </c>
      <c r="F44" s="103" t="s">
        <v>267</v>
      </c>
      <c r="G44" s="63" t="str">
        <f t="shared" si="0"/>
        <v>[effect:enemy_message, val1:1.4, val2:1.2]</v>
      </c>
      <c r="H44" s="63">
        <f t="shared" si="1"/>
        <v>9</v>
      </c>
      <c r="I44" s="63">
        <f t="shared" si="2"/>
        <v>22</v>
      </c>
      <c r="J44" s="63" t="e">
        <f t="shared" si="3"/>
        <v>#VALUE!</v>
      </c>
      <c r="K44" s="63">
        <f t="shared" si="4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5"/>
        <v xml:space="preserve">[effect:charge, status:attack, val:1.9]    </v>
      </c>
      <c r="N44" s="48" t="str">
        <f t="shared" si="15"/>
        <v xml:space="preserve">[effect:charge, status:attack, val:1.9]    </v>
      </c>
      <c r="O44" s="63">
        <f t="shared" si="6"/>
        <v>9</v>
      </c>
      <c r="P44" s="63">
        <f t="shared" si="7"/>
        <v>15</v>
      </c>
      <c r="Q44" s="63" t="e">
        <f t="shared" si="8"/>
        <v>#VALUE!</v>
      </c>
      <c r="R44" s="63">
        <f t="shared" si="9"/>
        <v>30</v>
      </c>
      <c r="S44" s="63" t="str">
        <f>IFERROR(VLOOKUP(MID(N44,Q44,R44-Q44),[6]skilldef!$C:$D,2,FALSE),"-") &amp; " / " &amp; IFERROR(VLOOKUP(MID(N44,O44,P44-O44),[6]skilldef!$A:$B,2,FALSE),"-")</f>
        <v>- / 溜め</v>
      </c>
      <c r="T44" s="48" t="str">
        <f t="shared" si="10"/>
        <v>none</v>
      </c>
      <c r="U44" s="63" t="e">
        <f t="shared" si="11"/>
        <v>#VALUE!</v>
      </c>
      <c r="V44" s="63">
        <f t="shared" si="12"/>
        <v>4</v>
      </c>
      <c r="W44" s="63" t="e">
        <f t="shared" si="13"/>
        <v>#VALUE!</v>
      </c>
      <c r="X44" s="63" t="e">
        <f t="shared" si="14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</row>
    <row r="45" spans="1:28" ht="40" customHeight="1" x14ac:dyDescent="0.15">
      <c r="A45" s="101">
        <v>48003044</v>
      </c>
      <c r="B45" s="148" t="s">
        <v>408</v>
      </c>
      <c r="C45" s="102">
        <v>3</v>
      </c>
      <c r="D45" s="102" t="s">
        <v>197</v>
      </c>
      <c r="E45" s="103" t="s">
        <v>268</v>
      </c>
      <c r="F45" s="103" t="s">
        <v>315</v>
      </c>
      <c r="G45" s="63" t="str">
        <f t="shared" si="0"/>
        <v>[effect:enemy_message, val1:1.3, val2:2.2]</v>
      </c>
      <c r="H45" s="63">
        <f t="shared" si="1"/>
        <v>9</v>
      </c>
      <c r="I45" s="63">
        <f t="shared" si="2"/>
        <v>22</v>
      </c>
      <c r="J45" s="63" t="e">
        <f t="shared" si="3"/>
        <v>#VALUE!</v>
      </c>
      <c r="K45" s="63">
        <f t="shared" si="4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5"/>
        <v xml:space="preserve">[effect:break_attack_fix, val:235, lowest_val:1500, count:30, block:jammer, target:unit_all]    </v>
      </c>
      <c r="N45" s="48" t="str">
        <f t="shared" si="15"/>
        <v xml:space="preserve">[effect:break_attack_fix, val:235, lowest_val:1500, count:30, block:jammer, target:unit_all]    </v>
      </c>
      <c r="O45" s="63">
        <f t="shared" si="6"/>
        <v>9</v>
      </c>
      <c r="P45" s="63">
        <f t="shared" si="7"/>
        <v>25</v>
      </c>
      <c r="Q45" s="63">
        <f t="shared" si="8"/>
        <v>84</v>
      </c>
      <c r="R45" s="63">
        <f t="shared" si="9"/>
        <v>34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0"/>
        <v>none</v>
      </c>
      <c r="U45" s="63" t="e">
        <f t="shared" si="11"/>
        <v>#VALUE!</v>
      </c>
      <c r="V45" s="63">
        <f t="shared" si="12"/>
        <v>4</v>
      </c>
      <c r="W45" s="63" t="e">
        <f t="shared" si="13"/>
        <v>#VALUE!</v>
      </c>
      <c r="X45" s="63" t="e">
        <f t="shared" si="14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</row>
    <row r="46" spans="1:28" ht="40" customHeight="1" x14ac:dyDescent="0.15">
      <c r="A46" s="144">
        <v>48003045</v>
      </c>
      <c r="B46" s="149" t="s">
        <v>409</v>
      </c>
      <c r="C46" s="145">
        <v>3</v>
      </c>
      <c r="D46" s="145" t="s">
        <v>197</v>
      </c>
      <c r="E46" s="146" t="s">
        <v>318</v>
      </c>
      <c r="F46" s="146" t="s">
        <v>319</v>
      </c>
      <c r="G46" s="63" t="str">
        <f t="shared" ref="G46" si="17">IFERROR(LEFT(B46,FIND("],",B46)),B46)</f>
        <v xml:space="preserve">[effect:enemy_message, val1:2.9, val2:3.5]    </v>
      </c>
      <c r="H46" s="63">
        <f t="shared" ref="H46" si="18">FIND("effect:",G46)+7</f>
        <v>9</v>
      </c>
      <c r="I46" s="63">
        <f t="shared" ref="I46" si="19">IFERROR(FIND(",",G46),LEN(G46))</f>
        <v>22</v>
      </c>
      <c r="J46" s="63" t="e">
        <f t="shared" ref="J46" si="20">FIND("target:",G46)+7</f>
        <v>#VALUE!</v>
      </c>
      <c r="K46" s="63">
        <f t="shared" ref="K46" si="21">FIND(",",G46,I46+1)</f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ref="M46" si="22">IFERROR(RIGHT(B46,LEN(B46)-FIND("],",B46)-1),"none")</f>
        <v>none</v>
      </c>
      <c r="N46" s="48" t="str">
        <f t="shared" ref="N46" si="23">IFERROR(LEFT(M46,FIND("],",M46)+S56),M46)</f>
        <v>none</v>
      </c>
      <c r="O46" s="63" t="e">
        <f t="shared" ref="O46" si="24">FIND("effect:",N46)+7</f>
        <v>#VALUE!</v>
      </c>
      <c r="P46" s="63">
        <f t="shared" ref="P46" si="25">IFERROR(FIND(",",N46),LEN(N46))</f>
        <v>4</v>
      </c>
      <c r="Q46" s="63" t="e">
        <f t="shared" ref="Q46" si="26">FIND("target:",N46)+7</f>
        <v>#VALUE!</v>
      </c>
      <c r="R46" s="63" t="e">
        <f t="shared" ref="R46" si="27">FIND(",",N46,P46+1)</f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ref="T46" si="28">IFERROR(RIGHT(M46,LEN(M46)-FIND("],",M46)-1),"none")</f>
        <v>none</v>
      </c>
      <c r="U46" s="63" t="e">
        <f t="shared" ref="U46" si="29">FIND("effect:",T46)+7</f>
        <v>#VALUE!</v>
      </c>
      <c r="V46" s="63">
        <f t="shared" ref="V46" si="30">IFERROR(FIND(",",T46),LEN(T46))</f>
        <v>4</v>
      </c>
      <c r="W46" s="63" t="e">
        <f t="shared" ref="W46" si="31">FIND("target:",T46)+7</f>
        <v>#VALUE!</v>
      </c>
      <c r="X46" s="63" t="e">
        <f t="shared" ref="X46" si="32">FIND(",",T46,V46+1)</f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</row>
    <row r="47" spans="1:28" ht="40" customHeight="1" x14ac:dyDescent="0.15">
      <c r="A47" s="144">
        <v>48003130</v>
      </c>
      <c r="B47" s="149" t="s">
        <v>410</v>
      </c>
      <c r="C47" s="145">
        <v>3</v>
      </c>
      <c r="D47" s="145" t="s">
        <v>197</v>
      </c>
      <c r="E47" s="146" t="s">
        <v>411</v>
      </c>
      <c r="F47" s="146" t="s">
        <v>317</v>
      </c>
      <c r="G47" s="63" t="str">
        <f t="shared" ref="G47:G48" si="33">IFERROR(LEFT(B47,FIND("],",B47)),B47)</f>
        <v>[effect:enemy_message, val1:1.5, val2:1.5]</v>
      </c>
      <c r="H47" s="63">
        <f t="shared" ref="H47:H48" si="34">FIND("effect:",G47)+7</f>
        <v>9</v>
      </c>
      <c r="I47" s="63">
        <f t="shared" ref="I47:I48" si="35">IFERROR(FIND(",",G47),LEN(G47))</f>
        <v>22</v>
      </c>
      <c r="J47" s="63" t="e">
        <f t="shared" ref="J47:J48" si="36">FIND("target:",G47)+7</f>
        <v>#VALUE!</v>
      </c>
      <c r="K47" s="63">
        <f t="shared" ref="K47:K48" si="37">FIND(",",G47,I47+1)</f>
        <v>32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ref="M47:M48" si="38">IFERROR(RIGHT(B47,LEN(B47)-FIND("],",B47)-1),"none")</f>
        <v>[effect:enhance_enemy, target:myself, turn:-1, status:defense, val:3000, calc:add, animation:enemy_enhance_defense],[effect:tolerance, target:myself, turn:-1, tolerance_effect:all, count:-1, animation:enemy_tolerance],[effect:fix_speed, target:myself, turn:1]</v>
      </c>
      <c r="N47" s="48" t="str">
        <f t="shared" ref="N47:N48" si="39">IFERROR(LEFT(M47,FIND("],",M47)+S57),M47)</f>
        <v>[effect:enhance_enemy, target:myself, turn:-1, status:defense, val:3000, calc:add, animation:enemy_enhance_defense]</v>
      </c>
      <c r="O47" s="63">
        <f t="shared" ref="O47:O48" si="40">FIND("effect:",N47)+7</f>
        <v>9</v>
      </c>
      <c r="P47" s="63">
        <f t="shared" ref="P47:P48" si="41">IFERROR(FIND(",",N47),LEN(N47))</f>
        <v>22</v>
      </c>
      <c r="Q47" s="63">
        <f t="shared" ref="Q47:Q48" si="42">FIND("target:",N47)+7</f>
        <v>31</v>
      </c>
      <c r="R47" s="63">
        <f t="shared" ref="R47:R48" si="43">FIND(",",N47,P47+1)</f>
        <v>37</v>
      </c>
      <c r="S47" s="63" t="str">
        <f>IFERROR(VLOOKUP(MID(N47,Q47,R47-Q47),[6]skilldef!$C:$D,2,FALSE),"-") &amp; " / " &amp; IFERROR(VLOOKUP(MID(N47,O47,P47-O47),[6]skilldef!$A:$B,2,FALSE),"-")</f>
        <v>自分自身に / ステータス強化</v>
      </c>
      <c r="T47" s="48" t="str">
        <f t="shared" ref="T47:T48" si="44">IFERROR(RIGHT(M47,LEN(M47)-FIND("],",M47)-1),"none")</f>
        <v>[effect:tolerance, target:myself, turn:-1, tolerance_effect:all, count:-1, animation:enemy_tolerance],[effect:fix_speed, target:myself, turn:1]</v>
      </c>
      <c r="U47" s="63">
        <f t="shared" ref="U47:U48" si="45">FIND("effect:",T47)+7</f>
        <v>9</v>
      </c>
      <c r="V47" s="63">
        <f t="shared" ref="V47:V48" si="46">IFERROR(FIND(",",T47),LEN(T47))</f>
        <v>18</v>
      </c>
      <c r="W47" s="63">
        <f t="shared" ref="W47:W48" si="47">FIND("target:",T47)+7</f>
        <v>27</v>
      </c>
      <c r="X47" s="63">
        <f t="shared" ref="X47:X48" si="48">FIND(",",T47,V47+1)</f>
        <v>33</v>
      </c>
      <c r="Y47" s="63" t="str">
        <f>IFERROR(VLOOKUP(MID(T47,W47,X47-W47),[6]skilldef!$C:$D,2,FALSE),"-") &amp; " / " &amp; IFERROR(VLOOKUP(MID(T47,U47,V47-U47),[6]skilldef!$A:$B,2,FALSE),"-")</f>
        <v>自分自身に / 状態異常耐性</v>
      </c>
      <c r="Z47" s="50"/>
      <c r="AA47" s="51"/>
      <c r="AB47" s="50"/>
    </row>
    <row r="48" spans="1:28" ht="40" customHeight="1" x14ac:dyDescent="0.15">
      <c r="A48" s="144">
        <v>48003145</v>
      </c>
      <c r="B48" s="149" t="s">
        <v>412</v>
      </c>
      <c r="C48" s="145">
        <v>3</v>
      </c>
      <c r="D48" s="145" t="s">
        <v>197</v>
      </c>
      <c r="E48" s="146" t="s">
        <v>320</v>
      </c>
      <c r="F48" s="146" t="s">
        <v>413</v>
      </c>
      <c r="G48" s="63" t="str">
        <f t="shared" si="33"/>
        <v xml:space="preserve">[effect:enemy_message, val1:2.9, val2:3.7]    </v>
      </c>
      <c r="H48" s="63">
        <f t="shared" si="34"/>
        <v>9</v>
      </c>
      <c r="I48" s="63">
        <f t="shared" si="35"/>
        <v>22</v>
      </c>
      <c r="J48" s="63" t="e">
        <f t="shared" si="36"/>
        <v>#VALUE!</v>
      </c>
      <c r="K48" s="63">
        <f t="shared" si="37"/>
        <v>32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38"/>
        <v>none</v>
      </c>
      <c r="N48" s="48" t="str">
        <f t="shared" si="39"/>
        <v>none</v>
      </c>
      <c r="O48" s="63" t="e">
        <f t="shared" si="40"/>
        <v>#VALUE!</v>
      </c>
      <c r="P48" s="63">
        <f t="shared" si="41"/>
        <v>4</v>
      </c>
      <c r="Q48" s="63" t="e">
        <f t="shared" si="42"/>
        <v>#VALUE!</v>
      </c>
      <c r="R48" s="63" t="e">
        <f t="shared" si="43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44"/>
        <v>none</v>
      </c>
      <c r="U48" s="63" t="e">
        <f t="shared" si="45"/>
        <v>#VALUE!</v>
      </c>
      <c r="V48" s="63">
        <f t="shared" si="46"/>
        <v>4</v>
      </c>
      <c r="W48" s="63" t="e">
        <f t="shared" si="47"/>
        <v>#VALUE!</v>
      </c>
      <c r="X48" s="63" t="e">
        <f t="shared" si="48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1"/>
  <sheetViews>
    <sheetView showGridLines="0" zoomScale="75" zoomScaleNormal="75" zoomScalePageLayoutView="75" workbookViewId="0">
      <pane ySplit="1" topLeftCell="A17" activePane="bottomLeft" state="frozenSplit"/>
      <selection pane="bottomLeft" activeCell="M51" sqref="M5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thickBot="1" x14ac:dyDescent="0.2">
      <c r="A1" s="52" t="s">
        <v>84</v>
      </c>
      <c r="B1" s="52" t="s">
        <v>85</v>
      </c>
      <c r="C1" s="52" t="s">
        <v>86</v>
      </c>
      <c r="D1" s="52" t="s">
        <v>87</v>
      </c>
      <c r="E1" s="52" t="s">
        <v>70</v>
      </c>
      <c r="F1" s="52" t="s">
        <v>71</v>
      </c>
      <c r="G1" s="52" t="s">
        <v>72</v>
      </c>
      <c r="H1" s="52" t="s">
        <v>73</v>
      </c>
      <c r="I1" s="52" t="s">
        <v>74</v>
      </c>
      <c r="J1" s="52" t="s">
        <v>75</v>
      </c>
      <c r="K1" s="53" t="s">
        <v>88</v>
      </c>
    </row>
    <row r="2" spans="1:11" ht="21" customHeight="1" x14ac:dyDescent="0.15">
      <c r="A2" s="110">
        <v>48003001</v>
      </c>
      <c r="B2" s="111">
        <v>1</v>
      </c>
      <c r="C2" s="111" t="s">
        <v>89</v>
      </c>
      <c r="D2" s="111">
        <v>100</v>
      </c>
      <c r="E2" s="111" t="s">
        <v>53</v>
      </c>
      <c r="F2" s="111" t="s">
        <v>90</v>
      </c>
      <c r="G2" s="111">
        <v>1</v>
      </c>
      <c r="H2" s="111" t="s">
        <v>90</v>
      </c>
      <c r="I2" s="111" t="s">
        <v>90</v>
      </c>
      <c r="J2" s="112">
        <f t="shared" ref="J2" si="0">D2</f>
        <v>100</v>
      </c>
      <c r="K2" s="113"/>
    </row>
    <row r="3" spans="1:11" ht="21" customHeight="1" x14ac:dyDescent="0.15">
      <c r="A3" s="114">
        <v>48003002</v>
      </c>
      <c r="B3" s="101">
        <v>0</v>
      </c>
      <c r="C3" s="101">
        <v>99</v>
      </c>
      <c r="D3" s="101">
        <v>100</v>
      </c>
      <c r="E3" s="101" t="s">
        <v>53</v>
      </c>
      <c r="F3" s="101" t="s">
        <v>53</v>
      </c>
      <c r="G3" s="101" t="s">
        <v>269</v>
      </c>
      <c r="H3" s="101">
        <v>2</v>
      </c>
      <c r="I3" s="101" t="s">
        <v>53</v>
      </c>
      <c r="J3" s="48">
        <f t="shared" ref="J3:J42" si="1">D3</f>
        <v>100</v>
      </c>
      <c r="K3" s="115"/>
    </row>
    <row r="4" spans="1:11" ht="21" customHeight="1" x14ac:dyDescent="0.15">
      <c r="A4" s="114">
        <v>48003003</v>
      </c>
      <c r="B4" s="101">
        <v>0</v>
      </c>
      <c r="C4" s="101">
        <v>100</v>
      </c>
      <c r="D4" s="101">
        <v>100</v>
      </c>
      <c r="E4" s="101" t="s">
        <v>53</v>
      </c>
      <c r="F4" s="101" t="s">
        <v>53</v>
      </c>
      <c r="G4" s="101">
        <v>0</v>
      </c>
      <c r="H4" s="101" t="s">
        <v>325</v>
      </c>
      <c r="I4" s="101">
        <v>0</v>
      </c>
      <c r="J4" s="48">
        <f t="shared" si="1"/>
        <v>100</v>
      </c>
      <c r="K4" s="115"/>
    </row>
    <row r="5" spans="1:11" ht="21" customHeight="1" x14ac:dyDescent="0.15">
      <c r="A5" s="114">
        <v>48003004</v>
      </c>
      <c r="B5" s="101">
        <v>0</v>
      </c>
      <c r="C5" s="101" t="s">
        <v>53</v>
      </c>
      <c r="D5" s="101">
        <v>100</v>
      </c>
      <c r="E5" s="101" t="s">
        <v>53</v>
      </c>
      <c r="F5" s="101" t="s">
        <v>53</v>
      </c>
      <c r="G5" s="101">
        <v>1</v>
      </c>
      <c r="H5" s="101" t="s">
        <v>53</v>
      </c>
      <c r="I5" s="101">
        <v>469</v>
      </c>
      <c r="J5" s="48">
        <f t="shared" si="1"/>
        <v>100</v>
      </c>
      <c r="K5" s="115"/>
    </row>
    <row r="6" spans="1:11" ht="21" customHeight="1" x14ac:dyDescent="0.15">
      <c r="A6" s="116">
        <v>48003005</v>
      </c>
      <c r="B6" s="104">
        <v>1</v>
      </c>
      <c r="C6" s="104" t="s">
        <v>53</v>
      </c>
      <c r="D6" s="104">
        <v>100</v>
      </c>
      <c r="E6" s="104" t="s">
        <v>53</v>
      </c>
      <c r="F6" s="104" t="s">
        <v>53</v>
      </c>
      <c r="G6" s="104">
        <v>1</v>
      </c>
      <c r="H6" s="104" t="s">
        <v>53</v>
      </c>
      <c r="I6" s="104" t="s">
        <v>53</v>
      </c>
      <c r="J6" s="48">
        <f t="shared" si="1"/>
        <v>100</v>
      </c>
      <c r="K6" s="115"/>
    </row>
    <row r="7" spans="1:11" ht="21" customHeight="1" x14ac:dyDescent="0.15">
      <c r="A7" s="116">
        <v>48003006</v>
      </c>
      <c r="B7" s="104">
        <v>0</v>
      </c>
      <c r="C7" s="104">
        <v>99</v>
      </c>
      <c r="D7" s="104">
        <v>100</v>
      </c>
      <c r="E7" s="104" t="s">
        <v>53</v>
      </c>
      <c r="F7" s="104" t="s">
        <v>53</v>
      </c>
      <c r="G7" s="104" t="s">
        <v>269</v>
      </c>
      <c r="H7" s="104">
        <v>2</v>
      </c>
      <c r="I7" s="104" t="s">
        <v>53</v>
      </c>
      <c r="J7" s="48">
        <f t="shared" si="1"/>
        <v>100</v>
      </c>
      <c r="K7" s="115"/>
    </row>
    <row r="8" spans="1:11" ht="21" customHeight="1" x14ac:dyDescent="0.15">
      <c r="A8" s="116">
        <v>48003007</v>
      </c>
      <c r="B8" s="104">
        <v>0</v>
      </c>
      <c r="C8" s="104">
        <v>100</v>
      </c>
      <c r="D8" s="104">
        <v>100</v>
      </c>
      <c r="E8" s="104" t="s">
        <v>53</v>
      </c>
      <c r="F8" s="104" t="s">
        <v>53</v>
      </c>
      <c r="G8" s="104">
        <v>0</v>
      </c>
      <c r="H8" s="104" t="s">
        <v>326</v>
      </c>
      <c r="I8" s="104">
        <v>0</v>
      </c>
      <c r="J8" s="48">
        <f t="shared" si="1"/>
        <v>100</v>
      </c>
      <c r="K8" s="115"/>
    </row>
    <row r="9" spans="1:11" ht="21" customHeight="1" thickBot="1" x14ac:dyDescent="0.2">
      <c r="A9" s="117">
        <v>48003008</v>
      </c>
      <c r="B9" s="118">
        <v>0</v>
      </c>
      <c r="C9" s="118" t="s">
        <v>53</v>
      </c>
      <c r="D9" s="118">
        <v>100</v>
      </c>
      <c r="E9" s="118" t="s">
        <v>53</v>
      </c>
      <c r="F9" s="118" t="s">
        <v>53</v>
      </c>
      <c r="G9" s="118">
        <v>1</v>
      </c>
      <c r="H9" s="118" t="s">
        <v>53</v>
      </c>
      <c r="I9" s="118">
        <v>50</v>
      </c>
      <c r="J9" s="119">
        <f t="shared" si="1"/>
        <v>100</v>
      </c>
      <c r="K9" s="120"/>
    </row>
    <row r="10" spans="1:11" ht="21" customHeight="1" x14ac:dyDescent="0.15">
      <c r="A10" s="108">
        <v>48003009</v>
      </c>
      <c r="B10" s="108">
        <v>1</v>
      </c>
      <c r="C10" s="108" t="s">
        <v>53</v>
      </c>
      <c r="D10" s="108">
        <v>100</v>
      </c>
      <c r="E10" s="108" t="s">
        <v>53</v>
      </c>
      <c r="F10" s="108" t="s">
        <v>53</v>
      </c>
      <c r="G10" s="108">
        <v>1</v>
      </c>
      <c r="H10" s="108" t="s">
        <v>53</v>
      </c>
      <c r="I10" s="108" t="s">
        <v>53</v>
      </c>
      <c r="J10" s="109">
        <f t="shared" si="1"/>
        <v>100</v>
      </c>
    </row>
    <row r="11" spans="1:11" ht="21" customHeight="1" x14ac:dyDescent="0.15">
      <c r="A11" s="101">
        <v>48003010</v>
      </c>
      <c r="B11" s="101">
        <v>0</v>
      </c>
      <c r="C11" s="101">
        <v>99</v>
      </c>
      <c r="D11" s="101">
        <v>50</v>
      </c>
      <c r="E11" s="101" t="s">
        <v>53</v>
      </c>
      <c r="F11" s="101" t="s">
        <v>53</v>
      </c>
      <c r="G11" s="101" t="s">
        <v>53</v>
      </c>
      <c r="H11" s="101" t="s">
        <v>53</v>
      </c>
      <c r="I11" s="101" t="s">
        <v>53</v>
      </c>
      <c r="J11" s="48">
        <f t="shared" si="1"/>
        <v>50</v>
      </c>
    </row>
    <row r="12" spans="1:11" ht="21" customHeight="1" x14ac:dyDescent="0.15">
      <c r="A12" s="101">
        <v>48003011</v>
      </c>
      <c r="B12" s="101">
        <v>0</v>
      </c>
      <c r="C12" s="101">
        <v>98</v>
      </c>
      <c r="D12" s="101">
        <v>100</v>
      </c>
      <c r="E12" s="101" t="s">
        <v>53</v>
      </c>
      <c r="F12" s="101" t="s">
        <v>53</v>
      </c>
      <c r="G12" s="101" t="s">
        <v>53</v>
      </c>
      <c r="H12" s="101" t="s">
        <v>53</v>
      </c>
      <c r="I12" s="101" t="s">
        <v>53</v>
      </c>
      <c r="J12" s="48">
        <f t="shared" si="1"/>
        <v>100</v>
      </c>
    </row>
    <row r="13" spans="1:11" ht="21" customHeight="1" x14ac:dyDescent="0.15">
      <c r="A13" s="101">
        <v>48003012</v>
      </c>
      <c r="B13" s="101">
        <v>0</v>
      </c>
      <c r="C13" s="101">
        <v>100</v>
      </c>
      <c r="D13" s="101">
        <v>100</v>
      </c>
      <c r="E13" s="101">
        <v>30</v>
      </c>
      <c r="F13" s="101" t="s">
        <v>53</v>
      </c>
      <c r="G13" s="101">
        <v>1</v>
      </c>
      <c r="H13" s="101" t="s">
        <v>53</v>
      </c>
      <c r="I13" s="101" t="s">
        <v>53</v>
      </c>
      <c r="J13" s="48">
        <f t="shared" si="1"/>
        <v>100</v>
      </c>
    </row>
    <row r="14" spans="1:11" ht="21" customHeight="1" x14ac:dyDescent="0.15">
      <c r="A14" s="101">
        <v>48003013</v>
      </c>
      <c r="B14" s="101">
        <v>0</v>
      </c>
      <c r="C14" s="101" t="s">
        <v>53</v>
      </c>
      <c r="D14" s="101">
        <v>100</v>
      </c>
      <c r="E14" s="101" t="s">
        <v>53</v>
      </c>
      <c r="F14" s="101" t="s">
        <v>53</v>
      </c>
      <c r="G14" s="101">
        <v>0</v>
      </c>
      <c r="H14" s="101" t="s">
        <v>53</v>
      </c>
      <c r="I14" s="101">
        <v>0</v>
      </c>
      <c r="J14" s="48">
        <f t="shared" si="1"/>
        <v>100</v>
      </c>
    </row>
    <row r="15" spans="1:11" ht="21" customHeight="1" x14ac:dyDescent="0.15">
      <c r="A15" s="104">
        <v>48003014</v>
      </c>
      <c r="B15" s="104">
        <v>1</v>
      </c>
      <c r="C15" s="104" t="s">
        <v>53</v>
      </c>
      <c r="D15" s="104">
        <v>100</v>
      </c>
      <c r="E15" s="104" t="s">
        <v>53</v>
      </c>
      <c r="F15" s="104" t="s">
        <v>53</v>
      </c>
      <c r="G15" s="104">
        <v>1</v>
      </c>
      <c r="H15" s="104" t="s">
        <v>53</v>
      </c>
      <c r="I15" s="104" t="s">
        <v>53</v>
      </c>
      <c r="J15" s="48">
        <f t="shared" si="1"/>
        <v>100</v>
      </c>
    </row>
    <row r="16" spans="1:11" ht="21" customHeight="1" x14ac:dyDescent="0.15">
      <c r="A16" s="104">
        <v>48003015</v>
      </c>
      <c r="B16" s="104">
        <v>0</v>
      </c>
      <c r="C16" s="104">
        <v>99</v>
      </c>
      <c r="D16" s="104">
        <v>100</v>
      </c>
      <c r="E16" s="104" t="s">
        <v>53</v>
      </c>
      <c r="F16" s="104" t="s">
        <v>53</v>
      </c>
      <c r="G16" s="104" t="s">
        <v>53</v>
      </c>
      <c r="H16" s="104">
        <v>2</v>
      </c>
      <c r="I16" s="104" t="s">
        <v>53</v>
      </c>
      <c r="J16" s="48">
        <f t="shared" si="1"/>
        <v>100</v>
      </c>
    </row>
    <row r="17" spans="1:11" ht="21" customHeight="1" thickBot="1" x14ac:dyDescent="0.2">
      <c r="A17" s="118">
        <v>48003016</v>
      </c>
      <c r="B17" s="118">
        <v>0</v>
      </c>
      <c r="C17" s="118">
        <v>100</v>
      </c>
      <c r="D17" s="118">
        <v>100</v>
      </c>
      <c r="E17" s="118">
        <v>30</v>
      </c>
      <c r="F17" s="118" t="s">
        <v>53</v>
      </c>
      <c r="G17" s="118">
        <v>1</v>
      </c>
      <c r="H17" s="118">
        <v>1</v>
      </c>
      <c r="I17" s="118" t="s">
        <v>53</v>
      </c>
      <c r="J17" s="119">
        <f t="shared" si="1"/>
        <v>100</v>
      </c>
      <c r="K17" s="121"/>
    </row>
    <row r="18" spans="1:11" ht="21" customHeight="1" x14ac:dyDescent="0.15">
      <c r="A18" s="108">
        <v>48003017</v>
      </c>
      <c r="B18" s="108">
        <v>1</v>
      </c>
      <c r="C18" s="108" t="s">
        <v>53</v>
      </c>
      <c r="D18" s="108">
        <v>100</v>
      </c>
      <c r="E18" s="108" t="s">
        <v>53</v>
      </c>
      <c r="F18" s="108" t="s">
        <v>53</v>
      </c>
      <c r="G18" s="108">
        <v>1</v>
      </c>
      <c r="H18" s="108" t="s">
        <v>53</v>
      </c>
      <c r="I18" s="108" t="s">
        <v>53</v>
      </c>
      <c r="J18" s="109">
        <f t="shared" si="1"/>
        <v>100</v>
      </c>
    </row>
    <row r="19" spans="1:11" ht="21" customHeight="1" x14ac:dyDescent="0.15">
      <c r="A19" s="101">
        <v>48003018</v>
      </c>
      <c r="B19" s="101">
        <v>0</v>
      </c>
      <c r="C19" s="101">
        <v>98</v>
      </c>
      <c r="D19" s="101">
        <v>40</v>
      </c>
      <c r="E19" s="101" t="s">
        <v>53</v>
      </c>
      <c r="F19" s="101" t="s">
        <v>53</v>
      </c>
      <c r="G19" s="101" t="s">
        <v>270</v>
      </c>
      <c r="H19" s="101" t="s">
        <v>53</v>
      </c>
      <c r="I19" s="101" t="s">
        <v>53</v>
      </c>
      <c r="J19" s="48">
        <f t="shared" si="1"/>
        <v>40</v>
      </c>
    </row>
    <row r="20" spans="1:11" ht="21" customHeight="1" x14ac:dyDescent="0.15">
      <c r="A20" s="101">
        <v>48003019</v>
      </c>
      <c r="B20" s="101">
        <v>0</v>
      </c>
      <c r="C20" s="101">
        <v>100</v>
      </c>
      <c r="D20" s="101">
        <v>100</v>
      </c>
      <c r="E20" s="101">
        <v>50</v>
      </c>
      <c r="F20" s="101" t="s">
        <v>53</v>
      </c>
      <c r="G20" s="101">
        <v>1</v>
      </c>
      <c r="H20" s="101" t="s">
        <v>53</v>
      </c>
      <c r="I20" s="101" t="s">
        <v>53</v>
      </c>
      <c r="J20" s="48">
        <f t="shared" si="1"/>
        <v>100</v>
      </c>
    </row>
    <row r="21" spans="1:11" ht="21" customHeight="1" x14ac:dyDescent="0.15">
      <c r="A21" s="101">
        <v>48003020</v>
      </c>
      <c r="B21" s="101">
        <v>0</v>
      </c>
      <c r="C21" s="101">
        <v>99</v>
      </c>
      <c r="D21" s="101">
        <v>100</v>
      </c>
      <c r="E21" s="101">
        <v>50</v>
      </c>
      <c r="F21" s="101" t="s">
        <v>53</v>
      </c>
      <c r="G21" s="101">
        <v>1</v>
      </c>
      <c r="H21" s="101" t="s">
        <v>53</v>
      </c>
      <c r="I21" s="101" t="s">
        <v>53</v>
      </c>
      <c r="J21" s="48">
        <f t="shared" si="1"/>
        <v>100</v>
      </c>
    </row>
    <row r="22" spans="1:11" ht="21" customHeight="1" x14ac:dyDescent="0.15">
      <c r="A22" s="101">
        <v>48003021</v>
      </c>
      <c r="B22" s="101">
        <v>0</v>
      </c>
      <c r="C22" s="101" t="s">
        <v>53</v>
      </c>
      <c r="D22" s="101">
        <v>100</v>
      </c>
      <c r="E22" s="101" t="s">
        <v>53</v>
      </c>
      <c r="F22" s="101" t="s">
        <v>53</v>
      </c>
      <c r="G22" s="101">
        <v>0</v>
      </c>
      <c r="H22" s="101" t="s">
        <v>53</v>
      </c>
      <c r="I22" s="101">
        <v>0</v>
      </c>
      <c r="J22" s="48">
        <f t="shared" si="1"/>
        <v>100</v>
      </c>
    </row>
    <row r="23" spans="1:11" ht="21" customHeight="1" x14ac:dyDescent="0.15">
      <c r="A23" s="104">
        <v>48003022</v>
      </c>
      <c r="B23" s="104">
        <v>1</v>
      </c>
      <c r="C23" s="104" t="s">
        <v>53</v>
      </c>
      <c r="D23" s="104">
        <v>100</v>
      </c>
      <c r="E23" s="104" t="s">
        <v>53</v>
      </c>
      <c r="F23" s="104" t="s">
        <v>53</v>
      </c>
      <c r="G23" s="104">
        <v>1</v>
      </c>
      <c r="H23" s="104" t="s">
        <v>53</v>
      </c>
      <c r="I23" s="104" t="s">
        <v>53</v>
      </c>
      <c r="J23" s="48">
        <f t="shared" si="1"/>
        <v>100</v>
      </c>
    </row>
    <row r="24" spans="1:11" ht="21" customHeight="1" x14ac:dyDescent="0.15">
      <c r="A24" s="104">
        <v>48003023</v>
      </c>
      <c r="B24" s="104">
        <v>0</v>
      </c>
      <c r="C24" s="104">
        <v>100</v>
      </c>
      <c r="D24" s="104">
        <v>100</v>
      </c>
      <c r="E24" s="104" t="s">
        <v>53</v>
      </c>
      <c r="F24" s="104" t="s">
        <v>53</v>
      </c>
      <c r="G24" s="104" t="s">
        <v>53</v>
      </c>
      <c r="H24" s="104">
        <v>2</v>
      </c>
      <c r="I24" s="104" t="s">
        <v>53</v>
      </c>
      <c r="J24" s="48">
        <f t="shared" si="1"/>
        <v>100</v>
      </c>
    </row>
    <row r="25" spans="1:11" ht="21" customHeight="1" thickBot="1" x14ac:dyDescent="0.2">
      <c r="A25" s="118">
        <v>48003024</v>
      </c>
      <c r="B25" s="118">
        <v>0</v>
      </c>
      <c r="C25" s="118">
        <v>99</v>
      </c>
      <c r="D25" s="118">
        <v>50</v>
      </c>
      <c r="E25" s="118" t="s">
        <v>53</v>
      </c>
      <c r="F25" s="118" t="s">
        <v>53</v>
      </c>
      <c r="G25" s="118" t="s">
        <v>53</v>
      </c>
      <c r="H25" s="118" t="s">
        <v>53</v>
      </c>
      <c r="I25" s="118" t="s">
        <v>53</v>
      </c>
      <c r="J25" s="119">
        <f t="shared" si="1"/>
        <v>50</v>
      </c>
      <c r="K25" s="121"/>
    </row>
    <row r="26" spans="1:11" ht="21" customHeight="1" x14ac:dyDescent="0.15">
      <c r="A26" s="108">
        <v>48003025</v>
      </c>
      <c r="B26" s="108">
        <v>1</v>
      </c>
      <c r="C26" s="108" t="s">
        <v>53</v>
      </c>
      <c r="D26" s="108">
        <v>100</v>
      </c>
      <c r="E26" s="108" t="s">
        <v>53</v>
      </c>
      <c r="F26" s="108" t="s">
        <v>53</v>
      </c>
      <c r="G26" s="108">
        <v>1</v>
      </c>
      <c r="H26" s="108" t="s">
        <v>53</v>
      </c>
      <c r="I26" s="108" t="s">
        <v>53</v>
      </c>
      <c r="J26" s="109">
        <f t="shared" si="1"/>
        <v>100</v>
      </c>
    </row>
    <row r="27" spans="1:11" ht="21" customHeight="1" x14ac:dyDescent="0.15">
      <c r="A27" s="101">
        <v>48003026</v>
      </c>
      <c r="B27" s="101">
        <v>0</v>
      </c>
      <c r="C27" s="101">
        <v>100</v>
      </c>
      <c r="D27" s="101">
        <v>60</v>
      </c>
      <c r="E27" s="101" t="s">
        <v>53</v>
      </c>
      <c r="F27" s="101" t="s">
        <v>53</v>
      </c>
      <c r="G27" s="101" t="s">
        <v>274</v>
      </c>
      <c r="H27" s="101" t="s">
        <v>53</v>
      </c>
      <c r="I27" s="101" t="s">
        <v>53</v>
      </c>
      <c r="J27" s="48">
        <f t="shared" si="1"/>
        <v>60</v>
      </c>
    </row>
    <row r="28" spans="1:11" ht="21" customHeight="1" x14ac:dyDescent="0.15">
      <c r="A28" s="104">
        <v>48003027</v>
      </c>
      <c r="B28" s="104">
        <v>1</v>
      </c>
      <c r="C28" s="104" t="s">
        <v>53</v>
      </c>
      <c r="D28" s="104">
        <v>100</v>
      </c>
      <c r="E28" s="104" t="s">
        <v>53</v>
      </c>
      <c r="F28" s="104" t="s">
        <v>53</v>
      </c>
      <c r="G28" s="104">
        <v>1</v>
      </c>
      <c r="H28" s="104" t="s">
        <v>53</v>
      </c>
      <c r="I28" s="104" t="s">
        <v>53</v>
      </c>
      <c r="J28" s="48">
        <f t="shared" si="1"/>
        <v>100</v>
      </c>
    </row>
    <row r="29" spans="1:11" ht="21" customHeight="1" x14ac:dyDescent="0.15">
      <c r="A29" s="104">
        <v>48003028</v>
      </c>
      <c r="B29" s="104">
        <v>0</v>
      </c>
      <c r="C29" s="104" t="s">
        <v>53</v>
      </c>
      <c r="D29" s="104">
        <v>60</v>
      </c>
      <c r="E29" s="104" t="s">
        <v>53</v>
      </c>
      <c r="F29" s="104" t="s">
        <v>53</v>
      </c>
      <c r="G29" s="104" t="s">
        <v>273</v>
      </c>
      <c r="H29" s="104" t="s">
        <v>53</v>
      </c>
      <c r="I29" s="104" t="s">
        <v>53</v>
      </c>
      <c r="J29" s="48">
        <f t="shared" si="1"/>
        <v>60</v>
      </c>
    </row>
    <row r="30" spans="1:11" ht="21" customHeight="1" thickBot="1" x14ac:dyDescent="0.2">
      <c r="A30" s="118">
        <v>48003029</v>
      </c>
      <c r="B30" s="118">
        <v>0</v>
      </c>
      <c r="C30" s="118">
        <v>100</v>
      </c>
      <c r="D30" s="118">
        <v>100</v>
      </c>
      <c r="E30" s="118">
        <v>50</v>
      </c>
      <c r="F30" s="118" t="s">
        <v>53</v>
      </c>
      <c r="G30" s="118">
        <v>1</v>
      </c>
      <c r="H30" s="118" t="s">
        <v>53</v>
      </c>
      <c r="I30" s="118" t="s">
        <v>53</v>
      </c>
      <c r="J30" s="119">
        <f t="shared" si="1"/>
        <v>100</v>
      </c>
      <c r="K30" s="121"/>
    </row>
    <row r="31" spans="1:11" ht="21" customHeight="1" x14ac:dyDescent="0.15">
      <c r="A31" s="122">
        <v>48003030</v>
      </c>
      <c r="B31" s="122">
        <v>1</v>
      </c>
      <c r="C31" s="122">
        <v>200</v>
      </c>
      <c r="D31" s="122">
        <v>100</v>
      </c>
      <c r="E31" s="122" t="s">
        <v>53</v>
      </c>
      <c r="F31" s="122" t="s">
        <v>53</v>
      </c>
      <c r="G31" s="122">
        <v>1</v>
      </c>
      <c r="H31" s="122" t="s">
        <v>53</v>
      </c>
      <c r="I31" s="122" t="s">
        <v>53</v>
      </c>
      <c r="J31" s="109">
        <f t="shared" si="1"/>
        <v>100</v>
      </c>
    </row>
    <row r="32" spans="1:11" ht="21" customHeight="1" x14ac:dyDescent="0.15">
      <c r="A32" s="105">
        <v>48003031</v>
      </c>
      <c r="B32" s="105">
        <v>0</v>
      </c>
      <c r="C32" s="105">
        <v>100</v>
      </c>
      <c r="D32" s="105">
        <v>25</v>
      </c>
      <c r="E32" s="105" t="s">
        <v>53</v>
      </c>
      <c r="F32" s="105" t="s">
        <v>53</v>
      </c>
      <c r="G32" s="105" t="s">
        <v>275</v>
      </c>
      <c r="H32" s="105" t="s">
        <v>53</v>
      </c>
      <c r="I32" s="105" t="s">
        <v>53</v>
      </c>
      <c r="J32" s="48">
        <f t="shared" si="1"/>
        <v>25</v>
      </c>
    </row>
    <row r="33" spans="1:10" ht="21" customHeight="1" x14ac:dyDescent="0.15">
      <c r="A33" s="105">
        <v>48003032</v>
      </c>
      <c r="B33" s="105">
        <v>0</v>
      </c>
      <c r="C33" s="105">
        <v>99</v>
      </c>
      <c r="D33" s="105">
        <v>33</v>
      </c>
      <c r="E33" s="105" t="s">
        <v>53</v>
      </c>
      <c r="F33" s="105" t="s">
        <v>53</v>
      </c>
      <c r="G33" s="105" t="s">
        <v>275</v>
      </c>
      <c r="H33" s="105" t="s">
        <v>53</v>
      </c>
      <c r="I33" s="105" t="s">
        <v>53</v>
      </c>
      <c r="J33" s="48">
        <f t="shared" si="1"/>
        <v>33</v>
      </c>
    </row>
    <row r="34" spans="1:10" ht="21" customHeight="1" x14ac:dyDescent="0.15">
      <c r="A34" s="105">
        <v>48003033</v>
      </c>
      <c r="B34" s="105">
        <v>0</v>
      </c>
      <c r="C34" s="105">
        <v>98</v>
      </c>
      <c r="D34" s="105">
        <v>50</v>
      </c>
      <c r="E34" s="105" t="s">
        <v>53</v>
      </c>
      <c r="F34" s="105" t="s">
        <v>53</v>
      </c>
      <c r="G34" s="105" t="s">
        <v>275</v>
      </c>
      <c r="H34" s="105" t="s">
        <v>53</v>
      </c>
      <c r="I34" s="105" t="s">
        <v>53</v>
      </c>
      <c r="J34" s="48">
        <f t="shared" si="1"/>
        <v>50</v>
      </c>
    </row>
    <row r="35" spans="1:10" ht="21" customHeight="1" x14ac:dyDescent="0.15">
      <c r="A35" s="105">
        <v>48003034</v>
      </c>
      <c r="B35" s="105">
        <v>0</v>
      </c>
      <c r="C35" s="105">
        <v>97</v>
      </c>
      <c r="D35" s="105">
        <v>100</v>
      </c>
      <c r="E35" s="105" t="s">
        <v>53</v>
      </c>
      <c r="F35" s="105" t="s">
        <v>53</v>
      </c>
      <c r="G35" s="105" t="s">
        <v>275</v>
      </c>
      <c r="H35" s="105" t="s">
        <v>53</v>
      </c>
      <c r="I35" s="105" t="s">
        <v>53</v>
      </c>
      <c r="J35" s="48">
        <f t="shared" si="1"/>
        <v>100</v>
      </c>
    </row>
    <row r="36" spans="1:10" ht="21" customHeight="1" x14ac:dyDescent="0.15">
      <c r="A36" s="106">
        <v>48003035</v>
      </c>
      <c r="B36" s="106">
        <v>1</v>
      </c>
      <c r="C36" s="106" t="s">
        <v>53</v>
      </c>
      <c r="D36" s="106">
        <v>100</v>
      </c>
      <c r="E36" s="106" t="s">
        <v>53</v>
      </c>
      <c r="F36" s="106" t="s">
        <v>53</v>
      </c>
      <c r="G36" s="106">
        <v>1</v>
      </c>
      <c r="H36" s="106" t="s">
        <v>53</v>
      </c>
      <c r="I36" s="106" t="s">
        <v>53</v>
      </c>
      <c r="J36" s="48">
        <f t="shared" si="1"/>
        <v>100</v>
      </c>
    </row>
    <row r="37" spans="1:10" ht="21" customHeight="1" x14ac:dyDescent="0.15">
      <c r="A37" s="106">
        <v>48003036</v>
      </c>
      <c r="B37" s="106">
        <v>0</v>
      </c>
      <c r="C37" s="106">
        <v>98</v>
      </c>
      <c r="D37" s="106">
        <v>50</v>
      </c>
      <c r="E37" s="106" t="s">
        <v>53</v>
      </c>
      <c r="F37" s="106" t="s">
        <v>53</v>
      </c>
      <c r="G37" s="106" t="s">
        <v>53</v>
      </c>
      <c r="H37" s="106" t="s">
        <v>53</v>
      </c>
      <c r="I37" s="106" t="s">
        <v>53</v>
      </c>
      <c r="J37" s="48">
        <f t="shared" si="1"/>
        <v>50</v>
      </c>
    </row>
    <row r="38" spans="1:10" ht="21" customHeight="1" x14ac:dyDescent="0.15">
      <c r="A38" s="106">
        <v>48003037</v>
      </c>
      <c r="B38" s="106">
        <v>0</v>
      </c>
      <c r="C38" s="106">
        <v>97</v>
      </c>
      <c r="D38" s="106">
        <v>100</v>
      </c>
      <c r="E38" s="106" t="s">
        <v>53</v>
      </c>
      <c r="F38" s="106" t="s">
        <v>53</v>
      </c>
      <c r="G38" s="106" t="s">
        <v>53</v>
      </c>
      <c r="H38" s="106" t="s">
        <v>53</v>
      </c>
      <c r="I38" s="106" t="s">
        <v>53</v>
      </c>
      <c r="J38" s="48">
        <f t="shared" si="1"/>
        <v>100</v>
      </c>
    </row>
    <row r="39" spans="1:10" ht="21" customHeight="1" x14ac:dyDescent="0.15">
      <c r="A39" s="106">
        <v>48003038</v>
      </c>
      <c r="B39" s="106">
        <v>0</v>
      </c>
      <c r="C39" s="106">
        <v>99</v>
      </c>
      <c r="D39" s="106">
        <v>100</v>
      </c>
      <c r="E39" s="106" t="s">
        <v>53</v>
      </c>
      <c r="F39" s="106" t="s">
        <v>53</v>
      </c>
      <c r="G39" s="106" t="s">
        <v>53</v>
      </c>
      <c r="H39" s="106">
        <v>3</v>
      </c>
      <c r="I39" s="106" t="s">
        <v>53</v>
      </c>
      <c r="J39" s="48">
        <f t="shared" si="1"/>
        <v>100</v>
      </c>
    </row>
    <row r="40" spans="1:10" ht="21" customHeight="1" x14ac:dyDescent="0.15">
      <c r="A40" s="106">
        <v>48003039</v>
      </c>
      <c r="B40" s="106">
        <v>0</v>
      </c>
      <c r="C40" s="106">
        <v>100</v>
      </c>
      <c r="D40" s="106">
        <v>100</v>
      </c>
      <c r="E40" s="106">
        <v>50</v>
      </c>
      <c r="F40" s="106" t="s">
        <v>53</v>
      </c>
      <c r="G40" s="106">
        <v>1</v>
      </c>
      <c r="H40" s="106">
        <v>1</v>
      </c>
      <c r="I40" s="106" t="s">
        <v>53</v>
      </c>
      <c r="J40" s="48">
        <f t="shared" si="1"/>
        <v>100</v>
      </c>
    </row>
    <row r="41" spans="1:10" ht="21" customHeight="1" x14ac:dyDescent="0.15">
      <c r="A41" s="107">
        <v>48003040</v>
      </c>
      <c r="B41" s="107">
        <v>1</v>
      </c>
      <c r="C41" s="107" t="s">
        <v>53</v>
      </c>
      <c r="D41" s="107">
        <v>100</v>
      </c>
      <c r="E41" s="107" t="s">
        <v>53</v>
      </c>
      <c r="F41" s="107" t="s">
        <v>53</v>
      </c>
      <c r="G41" s="107">
        <v>1</v>
      </c>
      <c r="H41" s="107" t="s">
        <v>53</v>
      </c>
      <c r="I41" s="107" t="s">
        <v>53</v>
      </c>
      <c r="J41" s="48">
        <f t="shared" si="1"/>
        <v>100</v>
      </c>
    </row>
    <row r="42" spans="1:10" ht="21" customHeight="1" x14ac:dyDescent="0.15">
      <c r="A42" s="107">
        <v>48003041</v>
      </c>
      <c r="B42" s="107">
        <v>0</v>
      </c>
      <c r="C42" s="107">
        <v>98</v>
      </c>
      <c r="D42" s="107">
        <v>50</v>
      </c>
      <c r="E42" s="107" t="s">
        <v>53</v>
      </c>
      <c r="F42" s="107" t="s">
        <v>53</v>
      </c>
      <c r="G42" s="107" t="s">
        <v>276</v>
      </c>
      <c r="H42" s="107" t="s">
        <v>53</v>
      </c>
      <c r="I42" s="107" t="s">
        <v>53</v>
      </c>
      <c r="J42" s="48">
        <f t="shared" si="1"/>
        <v>50</v>
      </c>
    </row>
    <row r="43" spans="1:10" ht="21" customHeight="1" x14ac:dyDescent="0.15">
      <c r="A43" s="107">
        <v>48003042</v>
      </c>
      <c r="B43" s="107">
        <v>0</v>
      </c>
      <c r="C43" s="107">
        <v>97</v>
      </c>
      <c r="D43" s="107">
        <v>60</v>
      </c>
      <c r="E43" s="107" t="s">
        <v>53</v>
      </c>
      <c r="F43" s="107" t="s">
        <v>53</v>
      </c>
      <c r="G43" s="107" t="s">
        <v>53</v>
      </c>
      <c r="H43" s="107" t="s">
        <v>53</v>
      </c>
      <c r="I43" s="107" t="s">
        <v>53</v>
      </c>
      <c r="J43" s="48">
        <f t="shared" ref="J43:J44" si="2">D43</f>
        <v>60</v>
      </c>
    </row>
    <row r="44" spans="1:10" ht="21" customHeight="1" x14ac:dyDescent="0.15">
      <c r="A44" s="107">
        <v>48003043</v>
      </c>
      <c r="B44" s="107">
        <v>0</v>
      </c>
      <c r="C44" s="107">
        <v>100</v>
      </c>
      <c r="D44" s="107">
        <v>100</v>
      </c>
      <c r="E44" s="107">
        <v>30</v>
      </c>
      <c r="F44" s="107" t="s">
        <v>53</v>
      </c>
      <c r="G44" s="107">
        <v>1</v>
      </c>
      <c r="H44" s="107" t="s">
        <v>53</v>
      </c>
      <c r="I44" s="107" t="s">
        <v>53</v>
      </c>
      <c r="J44" s="48">
        <f t="shared" si="2"/>
        <v>100</v>
      </c>
    </row>
    <row r="45" spans="1:10" ht="21" customHeight="1" x14ac:dyDescent="0.15">
      <c r="A45" s="107">
        <v>48003044</v>
      </c>
      <c r="B45" s="107">
        <v>0</v>
      </c>
      <c r="C45" s="107">
        <v>99</v>
      </c>
      <c r="D45" s="107">
        <v>100</v>
      </c>
      <c r="E45" s="107">
        <v>30</v>
      </c>
      <c r="F45" s="107" t="s">
        <v>53</v>
      </c>
      <c r="G45" s="107">
        <v>1</v>
      </c>
      <c r="H45" s="107" t="s">
        <v>53</v>
      </c>
      <c r="I45" s="107" t="s">
        <v>53</v>
      </c>
      <c r="J45" s="48">
        <f t="shared" ref="J45" si="3">D45</f>
        <v>100</v>
      </c>
    </row>
    <row r="46" spans="1:10" ht="21" customHeight="1" x14ac:dyDescent="0.15">
      <c r="A46" s="144">
        <v>48003045</v>
      </c>
      <c r="B46" s="144">
        <v>0</v>
      </c>
      <c r="C46" s="144">
        <v>200</v>
      </c>
      <c r="D46" s="144">
        <v>100</v>
      </c>
      <c r="E46" s="144" t="s">
        <v>316</v>
      </c>
      <c r="F46" s="144" t="s">
        <v>53</v>
      </c>
      <c r="G46" s="144">
        <v>0</v>
      </c>
      <c r="H46" s="144">
        <v>1</v>
      </c>
      <c r="I46" s="144">
        <v>0</v>
      </c>
      <c r="J46" s="48">
        <f t="shared" ref="J46" si="4">D46</f>
        <v>100</v>
      </c>
    </row>
    <row r="47" spans="1:10" ht="21" customHeight="1" x14ac:dyDescent="0.15">
      <c r="A47" s="144">
        <v>48003130</v>
      </c>
      <c r="B47" s="144">
        <v>1</v>
      </c>
      <c r="C47" s="144">
        <v>201</v>
      </c>
      <c r="D47" s="144">
        <v>100</v>
      </c>
      <c r="E47" s="144" t="s">
        <v>316</v>
      </c>
      <c r="F47" s="144" t="s">
        <v>316</v>
      </c>
      <c r="G47" s="144">
        <v>1</v>
      </c>
      <c r="H47" s="144" t="s">
        <v>316</v>
      </c>
      <c r="I47" s="144">
        <v>8009</v>
      </c>
      <c r="J47" s="48">
        <v>100</v>
      </c>
    </row>
    <row r="48" spans="1:10" ht="21" customHeight="1" x14ac:dyDescent="0.15">
      <c r="A48" s="144">
        <v>48003131</v>
      </c>
      <c r="B48" s="144">
        <v>1</v>
      </c>
      <c r="C48" s="144">
        <v>202</v>
      </c>
      <c r="D48" s="144">
        <v>100</v>
      </c>
      <c r="E48" s="144" t="s">
        <v>316</v>
      </c>
      <c r="F48" s="144" t="s">
        <v>316</v>
      </c>
      <c r="G48" s="144">
        <v>1</v>
      </c>
      <c r="H48" s="144" t="s">
        <v>316</v>
      </c>
      <c r="I48" s="144">
        <v>8010</v>
      </c>
      <c r="J48" s="48">
        <v>100</v>
      </c>
    </row>
    <row r="49" spans="1:10" ht="21" customHeight="1" x14ac:dyDescent="0.15">
      <c r="A49" s="144">
        <v>48003145</v>
      </c>
      <c r="B49" s="144">
        <v>0</v>
      </c>
      <c r="C49" s="144">
        <v>201</v>
      </c>
      <c r="D49" s="144">
        <v>100</v>
      </c>
      <c r="E49" s="144" t="s">
        <v>316</v>
      </c>
      <c r="F49" s="144" t="s">
        <v>53</v>
      </c>
      <c r="G49" s="144">
        <v>0</v>
      </c>
      <c r="H49" s="144">
        <v>1</v>
      </c>
      <c r="I49" s="144">
        <v>8009</v>
      </c>
      <c r="J49" s="48">
        <f t="shared" ref="J49" si="5">D49</f>
        <v>100</v>
      </c>
    </row>
    <row r="50" spans="1:10" ht="21" customHeight="1" x14ac:dyDescent="0.15">
      <c r="A50" s="144">
        <v>48003146</v>
      </c>
      <c r="B50" s="144">
        <v>0</v>
      </c>
      <c r="C50" s="144">
        <v>202</v>
      </c>
      <c r="D50" s="144">
        <v>100</v>
      </c>
      <c r="E50" s="144" t="s">
        <v>316</v>
      </c>
      <c r="F50" s="144" t="s">
        <v>53</v>
      </c>
      <c r="G50" s="144">
        <v>0</v>
      </c>
      <c r="H50" s="144">
        <v>1</v>
      </c>
      <c r="I50" s="144">
        <v>8010</v>
      </c>
      <c r="J50" s="48">
        <f t="shared" ref="J50" si="6">D50</f>
        <v>100</v>
      </c>
    </row>
    <row r="51" spans="1:10" ht="21" customHeight="1" x14ac:dyDescent="0.15">
      <c r="A51" s="144">
        <v>48003147</v>
      </c>
      <c r="B51" s="144">
        <v>0</v>
      </c>
      <c r="C51" s="144">
        <v>203</v>
      </c>
      <c r="D51" s="144">
        <v>100</v>
      </c>
      <c r="E51" s="144" t="s">
        <v>316</v>
      </c>
      <c r="F51" s="144" t="s">
        <v>53</v>
      </c>
      <c r="G51" s="144">
        <v>0</v>
      </c>
      <c r="H51" s="144">
        <v>1</v>
      </c>
      <c r="I51" s="144">
        <v>8085</v>
      </c>
      <c r="J51" s="48">
        <f t="shared" ref="J51" si="7">D51</f>
        <v>100</v>
      </c>
    </row>
  </sheetData>
  <autoFilter ref="A1:G1"/>
  <phoneticPr fontId="5"/>
  <conditionalFormatting sqref="K52:K1048576 K1:K45">
    <cfRule type="duplicateValues" dxfId="6" priority="7"/>
  </conditionalFormatting>
  <conditionalFormatting sqref="K46">
    <cfRule type="duplicateValues" dxfId="5" priority="6"/>
  </conditionalFormatting>
  <conditionalFormatting sqref="K47">
    <cfRule type="duplicateValues" dxfId="4" priority="5"/>
  </conditionalFormatting>
  <conditionalFormatting sqref="K49">
    <cfRule type="duplicateValues" dxfId="3" priority="4"/>
  </conditionalFormatting>
  <conditionalFormatting sqref="K48">
    <cfRule type="duplicateValues" dxfId="2" priority="3"/>
  </conditionalFormatting>
  <conditionalFormatting sqref="K50">
    <cfRule type="duplicateValues" dxfId="1" priority="2"/>
  </conditionalFormatting>
  <conditionalFormatting sqref="K5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9"/>
  <sheetViews>
    <sheetView workbookViewId="0">
      <selection activeCell="D17" sqref="D1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6">
        <f>floors!C$2</f>
        <v>48003</v>
      </c>
      <c r="B2" s="56">
        <v>1</v>
      </c>
      <c r="C2" s="71" t="str">
        <f>A2&amp; "_"&amp;B2</f>
        <v>48003_1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168</v>
      </c>
      <c r="G2" s="56">
        <v>40000</v>
      </c>
      <c r="H2" s="56" t="s">
        <v>285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150</v>
      </c>
      <c r="Q2" s="56" t="s">
        <v>169</v>
      </c>
      <c r="R2" s="56" t="s">
        <v>170</v>
      </c>
    </row>
    <row r="3" spans="1:18" x14ac:dyDescent="0.15">
      <c r="A3" s="56">
        <f>floors!C$2</f>
        <v>48003</v>
      </c>
      <c r="B3" s="56">
        <v>1</v>
      </c>
      <c r="C3" s="71" t="str">
        <f t="shared" ref="C3:C15" si="0">A3&amp; "_"&amp;B3</f>
        <v>48003_1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286</v>
      </c>
      <c r="G3" s="56">
        <v>30</v>
      </c>
      <c r="H3" s="56" t="s">
        <v>285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150</v>
      </c>
      <c r="Q3" s="56" t="s">
        <v>169</v>
      </c>
      <c r="R3" s="56" t="s">
        <v>170</v>
      </c>
    </row>
    <row r="4" spans="1:18" x14ac:dyDescent="0.15">
      <c r="A4" s="56">
        <f>floors!C$2</f>
        <v>48003</v>
      </c>
      <c r="B4" s="56">
        <v>1</v>
      </c>
      <c r="C4" s="71" t="str">
        <f t="shared" si="0"/>
        <v>48003_1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287</v>
      </c>
      <c r="G4" s="56">
        <v>345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28</v>
      </c>
      <c r="Q4" s="56" t="s">
        <v>169</v>
      </c>
      <c r="R4" s="56" t="s">
        <v>170</v>
      </c>
    </row>
    <row r="5" spans="1:18" x14ac:dyDescent="0.15">
      <c r="A5" s="56">
        <f>floors!C$2</f>
        <v>48003</v>
      </c>
      <c r="B5" s="56">
        <v>1</v>
      </c>
      <c r="C5" s="71" t="str">
        <f t="shared" si="0"/>
        <v>48003_1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287</v>
      </c>
      <c r="G5" s="56">
        <v>346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112</v>
      </c>
      <c r="Q5" s="56" t="s">
        <v>169</v>
      </c>
      <c r="R5" s="56" t="s">
        <v>170</v>
      </c>
    </row>
    <row r="6" spans="1:18" x14ac:dyDescent="0.15">
      <c r="A6" s="56">
        <f>floors!C$2</f>
        <v>48003</v>
      </c>
      <c r="B6" s="56">
        <v>1</v>
      </c>
      <c r="C6" s="71" t="str">
        <f t="shared" si="0"/>
        <v>48003_1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287</v>
      </c>
      <c r="G6" s="56">
        <v>121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100</v>
      </c>
      <c r="Q6" s="56" t="s">
        <v>169</v>
      </c>
      <c r="R6" s="56" t="s">
        <v>170</v>
      </c>
    </row>
    <row r="7" spans="1:18" x14ac:dyDescent="0.15">
      <c r="A7" s="56">
        <f>floors!C$2</f>
        <v>48003</v>
      </c>
      <c r="B7" s="56">
        <v>1</v>
      </c>
      <c r="C7" s="71" t="str">
        <f t="shared" si="0"/>
        <v>48003_1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287</v>
      </c>
      <c r="G7" s="56">
        <v>122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100</v>
      </c>
      <c r="Q7" s="56" t="s">
        <v>169</v>
      </c>
      <c r="R7" s="56" t="s">
        <v>170</v>
      </c>
    </row>
    <row r="8" spans="1:18" x14ac:dyDescent="0.15">
      <c r="A8" s="56">
        <f>floors!C$2</f>
        <v>48003</v>
      </c>
      <c r="B8" s="56">
        <v>1</v>
      </c>
      <c r="C8" s="71" t="str">
        <f t="shared" si="0"/>
        <v>48003_1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287</v>
      </c>
      <c r="G8" s="56">
        <v>123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100</v>
      </c>
      <c r="Q8" s="56" t="s">
        <v>169</v>
      </c>
      <c r="R8" s="56" t="s">
        <v>170</v>
      </c>
    </row>
    <row r="9" spans="1:18" x14ac:dyDescent="0.15">
      <c r="A9" s="56">
        <f>floors!C$2</f>
        <v>48003</v>
      </c>
      <c r="B9" s="56">
        <v>1</v>
      </c>
      <c r="C9" s="71" t="str">
        <f t="shared" si="0"/>
        <v>48003_1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287</v>
      </c>
      <c r="G9" s="56">
        <v>125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10</v>
      </c>
      <c r="Q9" s="56" t="s">
        <v>169</v>
      </c>
      <c r="R9" s="56" t="s">
        <v>170</v>
      </c>
    </row>
    <row r="10" spans="1:18" x14ac:dyDescent="0.15">
      <c r="A10" s="56">
        <f>floors!C$2</f>
        <v>48003</v>
      </c>
      <c r="B10" s="56">
        <v>1</v>
      </c>
      <c r="C10" s="71" t="str">
        <f t="shared" si="0"/>
        <v>48003_1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287</v>
      </c>
      <c r="G10" s="56">
        <v>8011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100</v>
      </c>
      <c r="Q10" s="56" t="s">
        <v>169</v>
      </c>
      <c r="R10" s="56" t="s">
        <v>170</v>
      </c>
    </row>
    <row r="11" spans="1:18" s="136" customFormat="1" ht="16" thickBot="1" x14ac:dyDescent="0.2">
      <c r="A11" s="133">
        <f>floors!C$2</f>
        <v>48003</v>
      </c>
      <c r="B11" s="133">
        <v>1</v>
      </c>
      <c r="C11" s="134" t="str">
        <f t="shared" si="0"/>
        <v>48003_1</v>
      </c>
      <c r="D11" s="13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33">
        <v>10</v>
      </c>
      <c r="F11" s="133" t="s">
        <v>287</v>
      </c>
      <c r="G11" s="133">
        <v>354</v>
      </c>
      <c r="H11" s="133">
        <v>1</v>
      </c>
      <c r="I11" s="133">
        <v>1</v>
      </c>
      <c r="J11" s="133">
        <v>1</v>
      </c>
      <c r="K11" s="133">
        <v>0</v>
      </c>
      <c r="L11" s="133">
        <v>0</v>
      </c>
      <c r="M11" s="133">
        <v>0</v>
      </c>
      <c r="N11" s="133">
        <v>0</v>
      </c>
      <c r="O11" s="133">
        <v>1</v>
      </c>
      <c r="P11" s="133">
        <v>150</v>
      </c>
      <c r="Q11" s="133" t="s">
        <v>169</v>
      </c>
      <c r="R11" s="133" t="s">
        <v>170</v>
      </c>
    </row>
    <row r="12" spans="1:18" ht="16" thickTop="1" x14ac:dyDescent="0.15">
      <c r="A12" s="131">
        <f>floors!C$2</f>
        <v>48003</v>
      </c>
      <c r="B12" s="123">
        <v>2</v>
      </c>
      <c r="C12" s="126" t="str">
        <f t="shared" si="0"/>
        <v>48003_2</v>
      </c>
      <c r="D12" s="12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23">
        <v>12</v>
      </c>
      <c r="F12" s="123" t="s">
        <v>287</v>
      </c>
      <c r="G12" s="123">
        <v>346</v>
      </c>
      <c r="H12" s="123">
        <v>1</v>
      </c>
      <c r="I12" s="123">
        <v>1</v>
      </c>
      <c r="J12" s="123">
        <v>1</v>
      </c>
      <c r="K12" s="123">
        <v>0</v>
      </c>
      <c r="L12" s="123">
        <v>0</v>
      </c>
      <c r="M12" s="123">
        <v>0</v>
      </c>
      <c r="N12" s="123">
        <v>0</v>
      </c>
      <c r="O12" s="123">
        <v>1</v>
      </c>
      <c r="P12" s="128">
        <v>50</v>
      </c>
      <c r="Q12" s="123" t="s">
        <v>169</v>
      </c>
      <c r="R12" s="132" t="s">
        <v>170</v>
      </c>
    </row>
    <row r="13" spans="1:18" x14ac:dyDescent="0.15">
      <c r="A13" s="129">
        <f>floors!C$2</f>
        <v>48003</v>
      </c>
      <c r="B13" s="56">
        <v>2</v>
      </c>
      <c r="C13" s="71" t="str">
        <f t="shared" si="0"/>
        <v>48003_2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13</v>
      </c>
      <c r="F13" s="56" t="s">
        <v>287</v>
      </c>
      <c r="G13" s="56">
        <v>354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120</v>
      </c>
      <c r="Q13" s="56" t="s">
        <v>169</v>
      </c>
      <c r="R13" s="130" t="s">
        <v>170</v>
      </c>
    </row>
    <row r="14" spans="1:18" x14ac:dyDescent="0.15">
      <c r="A14" s="129">
        <f>floors!C$2</f>
        <v>48003</v>
      </c>
      <c r="B14" s="56">
        <v>2</v>
      </c>
      <c r="C14" s="71" t="str">
        <f t="shared" si="0"/>
        <v>48003_2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14</v>
      </c>
      <c r="F14" s="56" t="s">
        <v>287</v>
      </c>
      <c r="G14" s="56">
        <v>607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100</v>
      </c>
      <c r="Q14" s="56" t="s">
        <v>169</v>
      </c>
      <c r="R14" s="130" t="s">
        <v>170</v>
      </c>
    </row>
    <row r="15" spans="1:18" x14ac:dyDescent="0.15">
      <c r="A15" s="129">
        <f>floors!C$2</f>
        <v>48003</v>
      </c>
      <c r="B15" s="56">
        <v>2</v>
      </c>
      <c r="C15" s="71" t="str">
        <f t="shared" si="0"/>
        <v>48003_2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15</v>
      </c>
      <c r="F15" s="56" t="s">
        <v>287</v>
      </c>
      <c r="G15" s="56">
        <v>608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169</v>
      </c>
      <c r="R15" s="130" t="s">
        <v>170</v>
      </c>
    </row>
    <row r="16" spans="1:18" x14ac:dyDescent="0.15">
      <c r="A16" s="129">
        <f>floors!C$2</f>
        <v>48003</v>
      </c>
      <c r="B16" s="56">
        <v>2</v>
      </c>
      <c r="C16" s="71" t="str">
        <f t="shared" ref="C16:C18" si="1">A16&amp; "_"&amp;B16</f>
        <v>48003_2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16</v>
      </c>
      <c r="F16" s="56" t="s">
        <v>287</v>
      </c>
      <c r="G16" s="56">
        <v>609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100</v>
      </c>
      <c r="Q16" s="56" t="s">
        <v>169</v>
      </c>
      <c r="R16" s="130" t="s">
        <v>170</v>
      </c>
    </row>
    <row r="17" spans="1:18" x14ac:dyDescent="0.15">
      <c r="A17" s="129">
        <f>floors!C$2</f>
        <v>48003</v>
      </c>
      <c r="B17" s="56">
        <v>2</v>
      </c>
      <c r="C17" s="71" t="str">
        <f t="shared" si="1"/>
        <v>48003_2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17</v>
      </c>
      <c r="F17" s="56" t="s">
        <v>287</v>
      </c>
      <c r="G17" s="56">
        <v>125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30</v>
      </c>
      <c r="Q17" s="56" t="s">
        <v>169</v>
      </c>
      <c r="R17" s="130" t="s">
        <v>170</v>
      </c>
    </row>
    <row r="18" spans="1:18" s="136" customFormat="1" ht="16" thickBot="1" x14ac:dyDescent="0.2">
      <c r="A18" s="137">
        <f>floors!C$2</f>
        <v>48003</v>
      </c>
      <c r="B18" s="133">
        <v>2</v>
      </c>
      <c r="C18" s="134" t="str">
        <f t="shared" si="1"/>
        <v>48003_2</v>
      </c>
      <c r="D18" s="13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33">
        <v>18</v>
      </c>
      <c r="F18" s="133" t="s">
        <v>287</v>
      </c>
      <c r="G18" s="133">
        <v>8011</v>
      </c>
      <c r="H18" s="133">
        <v>1</v>
      </c>
      <c r="I18" s="133">
        <v>1</v>
      </c>
      <c r="J18" s="133">
        <v>1</v>
      </c>
      <c r="K18" s="133">
        <v>0</v>
      </c>
      <c r="L18" s="133">
        <v>0</v>
      </c>
      <c r="M18" s="133">
        <v>0</v>
      </c>
      <c r="N18" s="133">
        <v>0</v>
      </c>
      <c r="O18" s="133">
        <v>1</v>
      </c>
      <c r="P18" s="124">
        <v>500</v>
      </c>
      <c r="Q18" s="133" t="s">
        <v>169</v>
      </c>
      <c r="R18" s="138" t="s">
        <v>170</v>
      </c>
    </row>
    <row r="19" spans="1:18" ht="16" thickTop="1" x14ac:dyDescent="0.15"/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1" activePane="bottomLeft" state="frozen"/>
      <selection pane="bottomLeft" activeCell="L47" sqref="L4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127</v>
      </c>
      <c r="K1" s="78" t="s">
        <v>186</v>
      </c>
      <c r="L1" s="92" t="s">
        <v>185</v>
      </c>
      <c r="M1" s="80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9"/>
  <sheetViews>
    <sheetView showGridLines="0" workbookViewId="0">
      <pane ySplit="1" topLeftCell="A2" activePane="bottomLeft" state="frozen"/>
      <selection pane="bottomLeft" activeCell="L32" sqref="L3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187</v>
      </c>
      <c r="B1" s="73" t="s">
        <v>150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127</v>
      </c>
      <c r="L1" s="78" t="s">
        <v>186</v>
      </c>
      <c r="M1" s="92" t="s">
        <v>185</v>
      </c>
      <c r="N1" s="80" t="s">
        <v>195</v>
      </c>
    </row>
    <row r="2" spans="1:15" ht="42" x14ac:dyDescent="0.15">
      <c r="A2" s="81" t="s">
        <v>196</v>
      </c>
      <c r="B2" s="82">
        <f>floors!$C$2</f>
        <v>48003</v>
      </c>
      <c r="C2" s="83" t="str">
        <f ca="1">VLOOKUP($B2,OFFSET([2]quests!$A$1,0,0,COUNTA([2]quests!$A:$A),MATCH(C$1,[2]quests!$1:$1,0)-MATCH($B$1,[2]quests!$1:$1,0)+1),MATCH(C$1,[2]quests!$1:$1,0)-MATCH($B$1,[2]quests!$1:$1,0)+1,FALSE)</f>
        <v>月下老人襲来！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台湾版降臨4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【超絶級】月下老人襲来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台湾版降臨4</v>
      </c>
      <c r="H2" s="85">
        <v>1</v>
      </c>
      <c r="I2" s="90">
        <f>ROW()-1</f>
        <v>1</v>
      </c>
      <c r="J2" s="86" t="str">
        <f>B2&amp;TEXT(I2,"00")</f>
        <v>4800301</v>
      </c>
      <c r="K2" s="84" t="s">
        <v>197</v>
      </c>
      <c r="L2" s="87" t="s">
        <v>198</v>
      </c>
      <c r="M2" s="125" t="s">
        <v>295</v>
      </c>
      <c r="N2" s="56" t="s">
        <v>199</v>
      </c>
      <c r="O2">
        <f t="shared" ref="O2:O6" si="0">LEN(M2)</f>
        <v>44</v>
      </c>
    </row>
    <row r="3" spans="1:15" ht="28" x14ac:dyDescent="0.15">
      <c r="A3" s="81" t="s">
        <v>196</v>
      </c>
      <c r="B3" s="82">
        <f>floors!$C$2</f>
        <v>48003</v>
      </c>
      <c r="C3" s="83" t="str">
        <f ca="1">VLOOKUP($B3,OFFSET([2]quests!$A$1,0,0,COUNTA([2]quests!$A:$A),MATCH(C$1,[2]quests!$1:$1,0)-MATCH($B$1,[2]quests!$1:$1,0)+1),MATCH(C$1,[2]quests!$1:$1,0)-MATCH($B$1,[2]quests!$1:$1,0)+1,FALSE)</f>
        <v>月下老人襲来！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台湾版降臨4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【超絶級】月下老人襲来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台湾版降臨4</v>
      </c>
      <c r="H3" s="85">
        <v>2</v>
      </c>
      <c r="I3" s="90">
        <f t="shared" ref="I3:I19" si="1">ROW()-1</f>
        <v>2</v>
      </c>
      <c r="J3" s="86" t="str">
        <f t="shared" ref="J3:J4" si="2">B3&amp;TEXT(I3,"00")</f>
        <v>4800302</v>
      </c>
      <c r="K3" s="84" t="s">
        <v>197</v>
      </c>
      <c r="L3" s="87" t="s">
        <v>198</v>
      </c>
      <c r="M3" s="125" t="s">
        <v>327</v>
      </c>
      <c r="N3" s="56" t="s">
        <v>199</v>
      </c>
      <c r="O3">
        <f t="shared" si="0"/>
        <v>31</v>
      </c>
    </row>
    <row r="4" spans="1:15" ht="28" x14ac:dyDescent="0.15">
      <c r="A4" s="81" t="s">
        <v>196</v>
      </c>
      <c r="B4" s="82">
        <f>floors!$C$2</f>
        <v>48003</v>
      </c>
      <c r="C4" s="83" t="str">
        <f ca="1">VLOOKUP($B4,OFFSET([2]quests!$A$1,0,0,COUNTA([2]quests!$A:$A),MATCH(C$1,[2]quests!$1:$1,0)-MATCH($B$1,[2]quests!$1:$1,0)+1),MATCH(C$1,[2]quests!$1:$1,0)-MATCH($B$1,[2]quests!$1:$1,0)+1,FALSE)</f>
        <v>月下老人襲来！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台湾版降臨4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【超絶級】月下老人襲来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台湾版降臨4</v>
      </c>
      <c r="H4" s="85">
        <v>3</v>
      </c>
      <c r="I4" s="90">
        <f t="shared" si="1"/>
        <v>3</v>
      </c>
      <c r="J4" s="86" t="str">
        <f t="shared" si="2"/>
        <v>4800303</v>
      </c>
      <c r="K4" s="84" t="s">
        <v>197</v>
      </c>
      <c r="L4" s="87" t="s">
        <v>198</v>
      </c>
      <c r="M4" s="125" t="s">
        <v>328</v>
      </c>
      <c r="N4" s="56" t="s">
        <v>199</v>
      </c>
      <c r="O4">
        <f t="shared" si="0"/>
        <v>34</v>
      </c>
    </row>
    <row r="5" spans="1:15" ht="42" x14ac:dyDescent="0.15">
      <c r="A5" s="81" t="s">
        <v>196</v>
      </c>
      <c r="B5" s="82">
        <f>floors!$C$2</f>
        <v>48003</v>
      </c>
      <c r="C5" s="83" t="str">
        <f ca="1">VLOOKUP($B5,OFFSET([2]quests!$A$1,0,0,COUNTA([2]quests!$A:$A),MATCH(C$1,[2]quests!$1:$1,0)-MATCH($B$1,[2]quests!$1:$1,0)+1),MATCH(C$1,[2]quests!$1:$1,0)-MATCH($B$1,[2]quests!$1:$1,0)+1,FALSE)</f>
        <v>月下老人襲来！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台湾版降臨4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【超絶級】月下老人襲来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台湾版降臨4</v>
      </c>
      <c r="H5" s="85">
        <v>4</v>
      </c>
      <c r="I5" s="90">
        <f t="shared" si="1"/>
        <v>4</v>
      </c>
      <c r="J5" s="86" t="str">
        <f t="shared" ref="J5:J13" si="3">B5&amp;TEXT(I5,"00")</f>
        <v>4800304</v>
      </c>
      <c r="K5" s="84" t="s">
        <v>197</v>
      </c>
      <c r="L5" s="87" t="s">
        <v>198</v>
      </c>
      <c r="M5" s="125" t="s">
        <v>321</v>
      </c>
      <c r="N5" s="56" t="s">
        <v>199</v>
      </c>
      <c r="O5">
        <f t="shared" si="0"/>
        <v>47</v>
      </c>
    </row>
    <row r="6" spans="1:15" ht="42" x14ac:dyDescent="0.15">
      <c r="A6" s="81" t="s">
        <v>288</v>
      </c>
      <c r="B6" s="82">
        <f>floors!$C$2</f>
        <v>48003</v>
      </c>
      <c r="C6" s="83" t="str">
        <f ca="1">VLOOKUP($B6,OFFSET([2]quests!$A$1,0,0,COUNTA([2]quests!$A:$A),MATCH(C$1,[2]quests!$1:$1,0)-MATCH($B$1,[2]quests!$1:$1,0)+1),MATCH(C$1,[2]quests!$1:$1,0)-MATCH($B$1,[2]quests!$1:$1,0)+1,FALSE)</f>
        <v>月下老人襲来！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台湾版降臨4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【超絶級】月下老人襲来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台湾版降臨4</v>
      </c>
      <c r="H6" s="85">
        <v>5</v>
      </c>
      <c r="I6" s="90">
        <f t="shared" si="1"/>
        <v>5</v>
      </c>
      <c r="J6" s="86" t="str">
        <f t="shared" si="3"/>
        <v>4800305</v>
      </c>
      <c r="K6" s="84" t="s">
        <v>197</v>
      </c>
      <c r="L6" s="87" t="s">
        <v>198</v>
      </c>
      <c r="M6" s="125" t="s">
        <v>322</v>
      </c>
      <c r="N6" s="56" t="s">
        <v>199</v>
      </c>
      <c r="O6">
        <f t="shared" si="0"/>
        <v>50</v>
      </c>
    </row>
    <row r="7" spans="1:15" ht="42" x14ac:dyDescent="0.15">
      <c r="A7" s="81" t="s">
        <v>196</v>
      </c>
      <c r="B7" s="82">
        <f>floors!$C$2</f>
        <v>48003</v>
      </c>
      <c r="C7" s="83" t="str">
        <f ca="1">VLOOKUP($B7,OFFSET([2]quests!$A$1,0,0,COUNTA([2]quests!$A:$A),MATCH(C$1,[2]quests!$1:$1,0)-MATCH($B$1,[2]quests!$1:$1,0)+1),MATCH(C$1,[2]quests!$1:$1,0)-MATCH($B$1,[2]quests!$1:$1,0)+1,FALSE)</f>
        <v>月下老人襲来！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台湾版降臨4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台湾版降臨4</v>
      </c>
      <c r="H7" s="85">
        <v>1</v>
      </c>
      <c r="I7" s="90">
        <f>ROW()-1</f>
        <v>6</v>
      </c>
      <c r="J7" s="86" t="str">
        <f>B7&amp;TEXT(I7,"00")</f>
        <v>4800306</v>
      </c>
      <c r="K7" s="84" t="s">
        <v>197</v>
      </c>
      <c r="L7" s="87" t="s">
        <v>198</v>
      </c>
      <c r="M7" s="125" t="s">
        <v>295</v>
      </c>
      <c r="N7" s="56" t="s">
        <v>199</v>
      </c>
      <c r="O7">
        <f t="shared" ref="O7:O11" si="4">LEN(M7)</f>
        <v>44</v>
      </c>
    </row>
    <row r="8" spans="1:15" ht="28" x14ac:dyDescent="0.15">
      <c r="A8" s="81" t="s">
        <v>196</v>
      </c>
      <c r="B8" s="82">
        <f>floors!$C$2</f>
        <v>48003</v>
      </c>
      <c r="C8" s="83" t="str">
        <f ca="1">VLOOKUP($B8,OFFSET([2]quests!$A$1,0,0,COUNTA([2]quests!$A:$A),MATCH(C$1,[2]quests!$1:$1,0)-MATCH($B$1,[2]quests!$1:$1,0)+1),MATCH(C$1,[2]quests!$1:$1,0)-MATCH($B$1,[2]quests!$1:$1,0)+1,FALSE)</f>
        <v>月下老人襲来！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台湾版降臨4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台湾版降臨4</v>
      </c>
      <c r="H8" s="85">
        <v>2</v>
      </c>
      <c r="I8" s="90">
        <f t="shared" si="1"/>
        <v>7</v>
      </c>
      <c r="J8" s="86" t="str">
        <f t="shared" ref="J8:J11" si="5">B8&amp;TEXT(I8,"00")</f>
        <v>4800307</v>
      </c>
      <c r="K8" s="84" t="s">
        <v>197</v>
      </c>
      <c r="L8" s="87" t="s">
        <v>198</v>
      </c>
      <c r="M8" s="125" t="s">
        <v>327</v>
      </c>
      <c r="N8" s="56" t="s">
        <v>199</v>
      </c>
      <c r="O8">
        <f t="shared" si="4"/>
        <v>31</v>
      </c>
    </row>
    <row r="9" spans="1:15" ht="28" x14ac:dyDescent="0.15">
      <c r="A9" s="81" t="s">
        <v>196</v>
      </c>
      <c r="B9" s="82">
        <f>floors!$C$2</f>
        <v>48003</v>
      </c>
      <c r="C9" s="83" t="str">
        <f ca="1">VLOOKUP($B9,OFFSET([2]quests!$A$1,0,0,COUNTA([2]quests!$A:$A),MATCH(C$1,[2]quests!$1:$1,0)-MATCH($B$1,[2]quests!$1:$1,0)+1),MATCH(C$1,[2]quests!$1:$1,0)-MATCH($B$1,[2]quests!$1:$1,0)+1,FALSE)</f>
        <v>月下老人襲来！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台湾版降臨4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台湾版降臨4</v>
      </c>
      <c r="H9" s="85">
        <v>3</v>
      </c>
      <c r="I9" s="90">
        <f t="shared" si="1"/>
        <v>8</v>
      </c>
      <c r="J9" s="86" t="str">
        <f t="shared" si="5"/>
        <v>4800308</v>
      </c>
      <c r="K9" s="84" t="s">
        <v>197</v>
      </c>
      <c r="L9" s="87" t="s">
        <v>198</v>
      </c>
      <c r="M9" s="125" t="s">
        <v>328</v>
      </c>
      <c r="N9" s="56" t="s">
        <v>199</v>
      </c>
      <c r="O9">
        <f t="shared" si="4"/>
        <v>34</v>
      </c>
    </row>
    <row r="10" spans="1:15" ht="42" x14ac:dyDescent="0.15">
      <c r="A10" s="81" t="s">
        <v>196</v>
      </c>
      <c r="B10" s="82">
        <f>floors!$C$2</f>
        <v>48003</v>
      </c>
      <c r="C10" s="83" t="str">
        <f ca="1">VLOOKUP($B10,OFFSET([2]quests!$A$1,0,0,COUNTA([2]quests!$A:$A),MATCH(C$1,[2]quests!$1:$1,0)-MATCH($B$1,[2]quests!$1:$1,0)+1),MATCH(C$1,[2]quests!$1:$1,0)-MATCH($B$1,[2]quests!$1:$1,0)+1,FALSE)</f>
        <v>月下老人襲来！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台湾版降臨4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台湾版降臨4</v>
      </c>
      <c r="H10" s="85">
        <v>4</v>
      </c>
      <c r="I10" s="90">
        <f t="shared" si="1"/>
        <v>9</v>
      </c>
      <c r="J10" s="86" t="str">
        <f t="shared" si="5"/>
        <v>4800309</v>
      </c>
      <c r="K10" s="84" t="s">
        <v>197</v>
      </c>
      <c r="L10" s="87" t="s">
        <v>198</v>
      </c>
      <c r="M10" s="125" t="s">
        <v>321</v>
      </c>
      <c r="N10" s="56" t="s">
        <v>199</v>
      </c>
      <c r="O10">
        <f t="shared" si="4"/>
        <v>47</v>
      </c>
    </row>
    <row r="11" spans="1:15" ht="42" x14ac:dyDescent="0.15">
      <c r="A11" s="81" t="s">
        <v>288</v>
      </c>
      <c r="B11" s="82">
        <f>floors!$C$2</f>
        <v>48003</v>
      </c>
      <c r="C11" s="83" t="str">
        <f ca="1">VLOOKUP($B11,OFFSET([2]quests!$A$1,0,0,COUNTA([2]quests!$A:$A),MATCH(C$1,[2]quests!$1:$1,0)-MATCH($B$1,[2]quests!$1:$1,0)+1),MATCH(C$1,[2]quests!$1:$1,0)-MATCH($B$1,[2]quests!$1:$1,0)+1,FALSE)</f>
        <v>月下老人襲来！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台湾版降臨4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台湾版降臨4</v>
      </c>
      <c r="H11" s="85">
        <v>5</v>
      </c>
      <c r="I11" s="90">
        <f t="shared" si="1"/>
        <v>10</v>
      </c>
      <c r="J11" s="86" t="str">
        <f t="shared" si="5"/>
        <v>4800310</v>
      </c>
      <c r="K11" s="84" t="s">
        <v>197</v>
      </c>
      <c r="L11" s="87" t="s">
        <v>198</v>
      </c>
      <c r="M11" s="125" t="s">
        <v>322</v>
      </c>
      <c r="N11" s="56" t="s">
        <v>199</v>
      </c>
      <c r="O11">
        <f t="shared" si="4"/>
        <v>50</v>
      </c>
    </row>
    <row r="12" spans="1:15" ht="42" x14ac:dyDescent="0.15">
      <c r="A12" s="81" t="s">
        <v>200</v>
      </c>
      <c r="B12" s="82">
        <f>floors!$C$2</f>
        <v>48003</v>
      </c>
      <c r="C12" s="83" t="str">
        <f ca="1">VLOOKUP($B12,OFFSET([2]quests!$A$1,0,0,COUNTA([2]quests!$A:$A),MATCH(C$1,[2]quests!$1:$1,0)-MATCH($B$1,[2]quests!$1:$1,0)+1),MATCH(C$1,[2]quests!$1:$1,0)-MATCH($B$1,[2]quests!$1:$1,0)+1,FALSE)</f>
        <v>月下老人襲来！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台湾版降臨4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【超絶級】月下老人襲来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台湾版降臨4</v>
      </c>
      <c r="H12" s="85">
        <v>0</v>
      </c>
      <c r="I12" s="90">
        <f t="shared" si="1"/>
        <v>11</v>
      </c>
      <c r="J12" s="86" t="str">
        <f t="shared" si="3"/>
        <v>4800311</v>
      </c>
      <c r="K12" s="84" t="s">
        <v>197</v>
      </c>
      <c r="L12" s="87" t="s">
        <v>289</v>
      </c>
      <c r="M12" s="125" t="s">
        <v>290</v>
      </c>
      <c r="N12" s="56" t="s">
        <v>199</v>
      </c>
      <c r="O12">
        <f>LEN(M12)</f>
        <v>54</v>
      </c>
    </row>
    <row r="13" spans="1:15" ht="42" x14ac:dyDescent="0.15">
      <c r="A13" s="81" t="s">
        <v>200</v>
      </c>
      <c r="B13" s="82">
        <f>floors!$C$2</f>
        <v>48003</v>
      </c>
      <c r="C13" s="83" t="str">
        <f ca="1">VLOOKUP($B13,OFFSET([2]quests!$A$1,0,0,COUNTA([2]quests!$A:$A),MATCH(C$1,[2]quests!$1:$1,0)-MATCH($B$1,[2]quests!$1:$1,0)+1),MATCH(C$1,[2]quests!$1:$1,0)-MATCH($B$1,[2]quests!$1:$1,0)+1,FALSE)</f>
        <v>月下老人襲来！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台湾版降臨4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【超絶級】月下老人襲来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台湾版降臨4</v>
      </c>
      <c r="H13" s="85">
        <v>0</v>
      </c>
      <c r="I13" s="90">
        <f t="shared" si="1"/>
        <v>12</v>
      </c>
      <c r="J13" s="86" t="str">
        <f t="shared" si="3"/>
        <v>4800312</v>
      </c>
      <c r="K13" s="84" t="s">
        <v>197</v>
      </c>
      <c r="L13" s="87" t="s">
        <v>293</v>
      </c>
      <c r="M13" s="147" t="s">
        <v>297</v>
      </c>
      <c r="N13" s="56" t="s">
        <v>199</v>
      </c>
      <c r="O13">
        <f>LEN(M13)</f>
        <v>51</v>
      </c>
    </row>
    <row r="14" spans="1:15" ht="56" x14ac:dyDescent="0.15">
      <c r="A14" s="81" t="s">
        <v>200</v>
      </c>
      <c r="B14" s="82">
        <f>floors!$C$2</f>
        <v>48003</v>
      </c>
      <c r="C14" s="83" t="str">
        <f ca="1">VLOOKUP($B14,OFFSET([2]quests!$A$1,0,0,COUNTA([2]quests!$A:$A),MATCH(C$1,[2]quests!$1:$1,0)-MATCH($B$1,[2]quests!$1:$1,0)+1),MATCH(C$1,[2]quests!$1:$1,0)-MATCH($B$1,[2]quests!$1:$1,0)+1,FALSE)</f>
        <v>月下老人襲来！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台湾版降臨4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【超絶級】月下老人襲来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台湾版降臨4</v>
      </c>
      <c r="H14" s="85">
        <v>0</v>
      </c>
      <c r="I14" s="90">
        <f t="shared" si="1"/>
        <v>13</v>
      </c>
      <c r="J14" s="86" t="str">
        <f t="shared" ref="J14:J17" si="6">B14&amp;TEXT(I14,"00")</f>
        <v>4800313</v>
      </c>
      <c r="K14" s="84" t="s">
        <v>197</v>
      </c>
      <c r="L14" s="87" t="s">
        <v>291</v>
      </c>
      <c r="M14" s="125" t="s">
        <v>294</v>
      </c>
      <c r="N14" s="56" t="s">
        <v>199</v>
      </c>
      <c r="O14">
        <f t="shared" ref="O14:O15" si="7">LEN(M14)</f>
        <v>61</v>
      </c>
    </row>
    <row r="15" spans="1:15" ht="42" x14ac:dyDescent="0.15">
      <c r="A15" s="81" t="s">
        <v>200</v>
      </c>
      <c r="B15" s="82">
        <f>floors!$C$2</f>
        <v>48003</v>
      </c>
      <c r="C15" s="83" t="str">
        <f ca="1">VLOOKUP($B15,OFFSET([2]quests!$A$1,0,0,COUNTA([2]quests!$A:$A),MATCH(C$1,[2]quests!$1:$1,0)-MATCH($B$1,[2]quests!$1:$1,0)+1),MATCH(C$1,[2]quests!$1:$1,0)-MATCH($B$1,[2]quests!$1:$1,0)+1,FALSE)</f>
        <v>月下老人襲来！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台湾版降臨4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【超絶級】月下老人襲来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台湾版降臨4</v>
      </c>
      <c r="H15" s="85">
        <v>0</v>
      </c>
      <c r="I15" s="90">
        <f t="shared" si="1"/>
        <v>14</v>
      </c>
      <c r="J15" s="86" t="str">
        <f t="shared" si="6"/>
        <v>4800314</v>
      </c>
      <c r="K15" s="84" t="s">
        <v>197</v>
      </c>
      <c r="L15" s="87" t="s">
        <v>292</v>
      </c>
      <c r="M15" s="125" t="s">
        <v>296</v>
      </c>
      <c r="N15" s="56" t="s">
        <v>199</v>
      </c>
      <c r="O15">
        <f t="shared" si="7"/>
        <v>48</v>
      </c>
    </row>
    <row r="16" spans="1:15" ht="42" x14ac:dyDescent="0.15">
      <c r="A16" s="81" t="s">
        <v>200</v>
      </c>
      <c r="B16" s="82">
        <f>floors!$C$2</f>
        <v>48003</v>
      </c>
      <c r="C16" s="83" t="str">
        <f ca="1">VLOOKUP($B16,OFFSET([2]quests!$A$1,0,0,COUNTA([2]quests!$A:$A),MATCH(C$1,[2]quests!$1:$1,0)-MATCH($B$1,[2]quests!$1:$1,0)+1),MATCH(C$1,[2]quests!$1:$1,0)-MATCH($B$1,[2]quests!$1:$1,0)+1,FALSE)</f>
        <v>月下老人襲来！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台湾版降臨4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台湾版降臨4</v>
      </c>
      <c r="H16" s="85">
        <v>0</v>
      </c>
      <c r="I16" s="90">
        <f t="shared" si="1"/>
        <v>15</v>
      </c>
      <c r="J16" s="86" t="str">
        <f t="shared" si="6"/>
        <v>4800315</v>
      </c>
      <c r="K16" s="84" t="s">
        <v>197</v>
      </c>
      <c r="L16" s="87" t="s">
        <v>289</v>
      </c>
      <c r="M16" s="125" t="s">
        <v>290</v>
      </c>
      <c r="N16" s="56" t="s">
        <v>199</v>
      </c>
      <c r="O16">
        <f>LEN(M16)</f>
        <v>54</v>
      </c>
    </row>
    <row r="17" spans="1:15" ht="42" x14ac:dyDescent="0.15">
      <c r="A17" s="81" t="s">
        <v>200</v>
      </c>
      <c r="B17" s="82">
        <f>floors!$C$2</f>
        <v>48003</v>
      </c>
      <c r="C17" s="83" t="str">
        <f ca="1">VLOOKUP($B17,OFFSET([2]quests!$A$1,0,0,COUNTA([2]quests!$A:$A),MATCH(C$1,[2]quests!$1:$1,0)-MATCH($B$1,[2]quests!$1:$1,0)+1),MATCH(C$1,[2]quests!$1:$1,0)-MATCH($B$1,[2]quests!$1:$1,0)+1,FALSE)</f>
        <v>月下老人襲来！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台湾版降臨4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台湾版降臨4</v>
      </c>
      <c r="H17" s="85">
        <v>0</v>
      </c>
      <c r="I17" s="90">
        <f t="shared" si="1"/>
        <v>16</v>
      </c>
      <c r="J17" s="86" t="str">
        <f t="shared" si="6"/>
        <v>4800316</v>
      </c>
      <c r="K17" s="84" t="s">
        <v>197</v>
      </c>
      <c r="L17" s="87" t="s">
        <v>293</v>
      </c>
      <c r="M17" s="147" t="s">
        <v>297</v>
      </c>
      <c r="N17" s="56" t="s">
        <v>199</v>
      </c>
      <c r="O17">
        <f>LEN(M17)</f>
        <v>51</v>
      </c>
    </row>
    <row r="18" spans="1:15" ht="56" x14ac:dyDescent="0.15">
      <c r="A18" s="81" t="s">
        <v>200</v>
      </c>
      <c r="B18" s="82">
        <f>floors!$C$2</f>
        <v>48003</v>
      </c>
      <c r="C18" s="83" t="str">
        <f ca="1">VLOOKUP($B18,OFFSET([2]quests!$A$1,0,0,COUNTA([2]quests!$A:$A),MATCH(C$1,[2]quests!$1:$1,0)-MATCH($B$1,[2]quests!$1:$1,0)+1),MATCH(C$1,[2]quests!$1:$1,0)-MATCH($B$1,[2]quests!$1:$1,0)+1,FALSE)</f>
        <v>月下老人襲来！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台湾版降臨4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台湾版降臨4</v>
      </c>
      <c r="H18" s="85">
        <v>0</v>
      </c>
      <c r="I18" s="90">
        <f t="shared" si="1"/>
        <v>17</v>
      </c>
      <c r="J18" s="86" t="str">
        <f t="shared" ref="J18:J19" si="8">B18&amp;TEXT(I18,"00")</f>
        <v>4800317</v>
      </c>
      <c r="K18" s="84" t="s">
        <v>197</v>
      </c>
      <c r="L18" s="87" t="s">
        <v>291</v>
      </c>
      <c r="M18" s="125" t="s">
        <v>294</v>
      </c>
      <c r="N18" s="56" t="s">
        <v>199</v>
      </c>
      <c r="O18">
        <f t="shared" ref="O18:O19" si="9">LEN(M18)</f>
        <v>61</v>
      </c>
    </row>
    <row r="19" spans="1:15" ht="42" x14ac:dyDescent="0.15">
      <c r="A19" s="81" t="s">
        <v>200</v>
      </c>
      <c r="B19" s="82">
        <f>floors!$C$2</f>
        <v>48003</v>
      </c>
      <c r="C19" s="83" t="str">
        <f ca="1">VLOOKUP($B19,OFFSET([2]quests!$A$1,0,0,COUNTA([2]quests!$A:$A),MATCH(C$1,[2]quests!$1:$1,0)-MATCH($B$1,[2]quests!$1:$1,0)+1),MATCH(C$1,[2]quests!$1:$1,0)-MATCH($B$1,[2]quests!$1:$1,0)+1,FALSE)</f>
        <v>月下老人襲来！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台湾版降臨4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台湾版降臨4</v>
      </c>
      <c r="H19" s="85">
        <v>0</v>
      </c>
      <c r="I19" s="90">
        <f t="shared" si="1"/>
        <v>18</v>
      </c>
      <c r="J19" s="86" t="str">
        <f t="shared" si="8"/>
        <v>4800318</v>
      </c>
      <c r="K19" s="84" t="s">
        <v>197</v>
      </c>
      <c r="L19" s="87" t="s">
        <v>292</v>
      </c>
      <c r="M19" s="125" t="s">
        <v>296</v>
      </c>
      <c r="N19" s="56" t="s">
        <v>199</v>
      </c>
      <c r="O19">
        <f t="shared" si="9"/>
        <v>48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J2" sqref="J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7" t="s">
        <v>214</v>
      </c>
      <c r="D1" s="77" t="s">
        <v>33</v>
      </c>
      <c r="E1" s="95" t="s">
        <v>215</v>
      </c>
      <c r="F1" s="77" t="s">
        <v>216</v>
      </c>
      <c r="G1" s="77" t="s">
        <v>33</v>
      </c>
      <c r="H1" s="95" t="s">
        <v>217</v>
      </c>
      <c r="I1" s="95" t="s">
        <v>218</v>
      </c>
      <c r="J1" s="95" t="s">
        <v>219</v>
      </c>
      <c r="K1" s="73" t="s">
        <v>220</v>
      </c>
      <c r="L1" s="73" t="s">
        <v>221</v>
      </c>
      <c r="M1" s="73" t="s">
        <v>156</v>
      </c>
      <c r="N1" s="77" t="s">
        <v>16</v>
      </c>
      <c r="O1" s="73" t="s">
        <v>222</v>
      </c>
      <c r="P1" s="73" t="s">
        <v>57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139" t="str">
        <f>B2&amp;"_"&amp;E2&amp;"_"&amp;H2&amp;"_"&amp;I2&amp;"_"&amp;J2</f>
        <v>48003_2_everyone_no_continue_1</v>
      </c>
      <c r="B2" s="82">
        <v>48003</v>
      </c>
      <c r="C2" s="83" t="str">
        <f ca="1">VLOOKUP($B2,OFFSET([2]quests!$A$1,0,0,COUNTA([2]quests!$A:$A),MATCH(C$1,[2]quests!$1:$1,0)-MATCH($B$1,[2]quests!$1:$1,0)+1),MATCH(C$1,[2]quests!$1:$1,0)-MATCH($B$1,[2]quests!$1:$1,0)+1,FALSE)</f>
        <v>月下老人襲来！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台湾版降臨4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【ウィザード級】月下老人襲来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台湾版降臨4</v>
      </c>
      <c r="H2" s="85" t="s">
        <v>305</v>
      </c>
      <c r="I2" s="84" t="s">
        <v>306</v>
      </c>
      <c r="J2" s="84">
        <v>1</v>
      </c>
      <c r="K2" s="84">
        <v>100</v>
      </c>
      <c r="L2" s="84" t="s">
        <v>307</v>
      </c>
      <c r="M2" s="140">
        <v>8011</v>
      </c>
      <c r="N2" s="14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月下老人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42" t="s">
        <v>308</v>
      </c>
      <c r="X2" s="143" t="s">
        <v>309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2017-04-21T10:25:08Z</dcterms:modified>
</cp:coreProperties>
</file>