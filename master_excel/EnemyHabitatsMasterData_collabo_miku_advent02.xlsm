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820" yWindow="940" windowWidth="21040" windowHeight="1956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22" l="1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C3" i="18"/>
  <c r="D3" i="18"/>
  <c r="C10" i="18"/>
  <c r="D10" i="18"/>
  <c r="C11" i="18"/>
  <c r="D11" i="18"/>
  <c r="C9" i="18"/>
  <c r="D9" i="18"/>
  <c r="C8" i="18"/>
  <c r="D8" i="18"/>
  <c r="C7" i="18"/>
  <c r="D7" i="18"/>
  <c r="C6" i="18"/>
  <c r="D6" i="18"/>
  <c r="C5" i="18"/>
  <c r="D5" i="18"/>
  <c r="C4" i="18"/>
  <c r="D4" i="18"/>
  <c r="AC3" i="10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C36" i="10"/>
  <c r="AD36" i="10"/>
  <c r="AC37" i="10"/>
  <c r="AD37" i="10"/>
  <c r="AC38" i="10"/>
  <c r="AD38" i="10"/>
  <c r="AC39" i="10"/>
  <c r="AD39" i="10"/>
  <c r="AC40" i="10"/>
  <c r="AD40" i="10"/>
  <c r="AC41" i="10"/>
  <c r="AD41" i="10"/>
  <c r="AD2" i="10"/>
  <c r="AC2" i="10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54" i="9"/>
  <c r="D54" i="9"/>
  <c r="E54" i="9"/>
  <c r="G54" i="9"/>
  <c r="H54" i="9"/>
  <c r="I54" i="9"/>
  <c r="J54" i="9"/>
  <c r="K54" i="9"/>
  <c r="L54" i="9"/>
  <c r="M54" i="9"/>
  <c r="N54" i="9"/>
  <c r="J85" i="11"/>
  <c r="O54" i="9"/>
  <c r="A55" i="9"/>
  <c r="D55" i="9"/>
  <c r="E55" i="9"/>
  <c r="G55" i="9"/>
  <c r="H55" i="9"/>
  <c r="I55" i="9"/>
  <c r="J55" i="9"/>
  <c r="K55" i="9"/>
  <c r="L55" i="9"/>
  <c r="M55" i="9"/>
  <c r="N55" i="9"/>
  <c r="J86" i="11"/>
  <c r="O55" i="9"/>
  <c r="A56" i="9"/>
  <c r="D56" i="9"/>
  <c r="E56" i="9"/>
  <c r="G56" i="9"/>
  <c r="H56" i="9"/>
  <c r="I56" i="9"/>
  <c r="J56" i="9"/>
  <c r="K56" i="9"/>
  <c r="L56" i="9"/>
  <c r="M56" i="9"/>
  <c r="N56" i="9"/>
  <c r="J87" i="11"/>
  <c r="O56" i="9"/>
  <c r="A57" i="9"/>
  <c r="D57" i="9"/>
  <c r="E57" i="9"/>
  <c r="G57" i="9"/>
  <c r="H57" i="9"/>
  <c r="I57" i="9"/>
  <c r="J57" i="9"/>
  <c r="K57" i="9"/>
  <c r="L57" i="9"/>
  <c r="M57" i="9"/>
  <c r="N57" i="9"/>
  <c r="J88" i="11"/>
  <c r="O57" i="9"/>
  <c r="A58" i="9"/>
  <c r="D58" i="9"/>
  <c r="E58" i="9"/>
  <c r="G58" i="9"/>
  <c r="H58" i="9"/>
  <c r="I58" i="9"/>
  <c r="J58" i="9"/>
  <c r="K58" i="9"/>
  <c r="L58" i="9"/>
  <c r="M58" i="9"/>
  <c r="N58" i="9"/>
  <c r="J89" i="11"/>
  <c r="O58" i="9"/>
  <c r="A59" i="9"/>
  <c r="D59" i="9"/>
  <c r="E59" i="9"/>
  <c r="G59" i="9"/>
  <c r="H59" i="9"/>
  <c r="I59" i="9"/>
  <c r="J59" i="9"/>
  <c r="K59" i="9"/>
  <c r="L59" i="9"/>
  <c r="M59" i="9"/>
  <c r="N59" i="9"/>
  <c r="J90" i="11"/>
  <c r="O59" i="9"/>
  <c r="A60" i="9"/>
  <c r="D60" i="9"/>
  <c r="E60" i="9"/>
  <c r="G60" i="9"/>
  <c r="H60" i="9"/>
  <c r="I60" i="9"/>
  <c r="J60" i="9"/>
  <c r="K60" i="9"/>
  <c r="L60" i="9"/>
  <c r="M60" i="9"/>
  <c r="N60" i="9"/>
  <c r="J91" i="11"/>
  <c r="O60" i="9"/>
  <c r="A61" i="9"/>
  <c r="D61" i="9"/>
  <c r="E61" i="9"/>
  <c r="G61" i="9"/>
  <c r="H61" i="9"/>
  <c r="I61" i="9"/>
  <c r="J61" i="9"/>
  <c r="K61" i="9"/>
  <c r="L61" i="9"/>
  <c r="M61" i="9"/>
  <c r="N61" i="9"/>
  <c r="J92" i="11"/>
  <c r="O61" i="9"/>
  <c r="A62" i="9"/>
  <c r="D62" i="9"/>
  <c r="E62" i="9"/>
  <c r="G62" i="9"/>
  <c r="H62" i="9"/>
  <c r="I62" i="9"/>
  <c r="J62" i="9"/>
  <c r="K62" i="9"/>
  <c r="L62" i="9"/>
  <c r="M62" i="9"/>
  <c r="N62" i="9"/>
  <c r="J93" i="11"/>
  <c r="O62" i="9"/>
  <c r="A63" i="9"/>
  <c r="D63" i="9"/>
  <c r="E63" i="9"/>
  <c r="G63" i="9"/>
  <c r="H63" i="9"/>
  <c r="I63" i="9"/>
  <c r="J63" i="9"/>
  <c r="K63" i="9"/>
  <c r="L63" i="9"/>
  <c r="M63" i="9"/>
  <c r="N63" i="9"/>
  <c r="J94" i="11"/>
  <c r="O63" i="9"/>
  <c r="A64" i="9"/>
  <c r="D64" i="9"/>
  <c r="E64" i="9"/>
  <c r="G64" i="9"/>
  <c r="H64" i="9"/>
  <c r="I64" i="9"/>
  <c r="J64" i="9"/>
  <c r="K64" i="9"/>
  <c r="L64" i="9"/>
  <c r="M64" i="9"/>
  <c r="N64" i="9"/>
  <c r="J95" i="11"/>
  <c r="O64" i="9"/>
  <c r="A65" i="9"/>
  <c r="D65" i="9"/>
  <c r="E65" i="9"/>
  <c r="G65" i="9"/>
  <c r="H65" i="9"/>
  <c r="I65" i="9"/>
  <c r="J65" i="9"/>
  <c r="K65" i="9"/>
  <c r="L65" i="9"/>
  <c r="M65" i="9"/>
  <c r="N65" i="9"/>
  <c r="J96" i="11"/>
  <c r="O65" i="9"/>
  <c r="A66" i="9"/>
  <c r="D66" i="9"/>
  <c r="E66" i="9"/>
  <c r="G66" i="9"/>
  <c r="H66" i="9"/>
  <c r="I66" i="9"/>
  <c r="J66" i="9"/>
  <c r="K66" i="9"/>
  <c r="L66" i="9"/>
  <c r="M66" i="9"/>
  <c r="N66" i="9"/>
  <c r="J97" i="11"/>
  <c r="O66" i="9"/>
  <c r="A67" i="9"/>
  <c r="D67" i="9"/>
  <c r="E67" i="9"/>
  <c r="G67" i="9"/>
  <c r="H67" i="9"/>
  <c r="I67" i="9"/>
  <c r="J67" i="9"/>
  <c r="K67" i="9"/>
  <c r="L67" i="9"/>
  <c r="M67" i="9"/>
  <c r="N67" i="9"/>
  <c r="J98" i="11"/>
  <c r="O67" i="9"/>
  <c r="A68" i="9"/>
  <c r="D68" i="9"/>
  <c r="E68" i="9"/>
  <c r="G68" i="9"/>
  <c r="H68" i="9"/>
  <c r="I68" i="9"/>
  <c r="J68" i="9"/>
  <c r="K68" i="9"/>
  <c r="L68" i="9"/>
  <c r="M68" i="9"/>
  <c r="N68" i="9"/>
  <c r="J99" i="11"/>
  <c r="O68" i="9"/>
  <c r="A69" i="9"/>
  <c r="D69" i="9"/>
  <c r="E69" i="9"/>
  <c r="G69" i="9"/>
  <c r="H69" i="9"/>
  <c r="I69" i="9"/>
  <c r="J69" i="9"/>
  <c r="K69" i="9"/>
  <c r="L69" i="9"/>
  <c r="M69" i="9"/>
  <c r="N69" i="9"/>
  <c r="J100" i="11"/>
  <c r="O69" i="9"/>
  <c r="A70" i="9"/>
  <c r="D70" i="9"/>
  <c r="E70" i="9"/>
  <c r="G70" i="9"/>
  <c r="H70" i="9"/>
  <c r="I70" i="9"/>
  <c r="J70" i="9"/>
  <c r="K70" i="9"/>
  <c r="L70" i="9"/>
  <c r="M70" i="9"/>
  <c r="N70" i="9"/>
  <c r="J101" i="11"/>
  <c r="O70" i="9"/>
  <c r="A71" i="9"/>
  <c r="D71" i="9"/>
  <c r="E71" i="9"/>
  <c r="G71" i="9"/>
  <c r="H71" i="9"/>
  <c r="I71" i="9"/>
  <c r="J71" i="9"/>
  <c r="K71" i="9"/>
  <c r="L71" i="9"/>
  <c r="M71" i="9"/>
  <c r="N71" i="9"/>
  <c r="J102" i="11"/>
  <c r="O71" i="9"/>
  <c r="A72" i="9"/>
  <c r="D72" i="9"/>
  <c r="E72" i="9"/>
  <c r="G72" i="9"/>
  <c r="H72" i="9"/>
  <c r="I72" i="9"/>
  <c r="J72" i="9"/>
  <c r="K72" i="9"/>
  <c r="L72" i="9"/>
  <c r="M72" i="9"/>
  <c r="N72" i="9"/>
  <c r="J103" i="11"/>
  <c r="O72" i="9"/>
  <c r="A73" i="9"/>
  <c r="D73" i="9"/>
  <c r="E73" i="9"/>
  <c r="G73" i="9"/>
  <c r="H73" i="9"/>
  <c r="I73" i="9"/>
  <c r="J73" i="9"/>
  <c r="K73" i="9"/>
  <c r="L73" i="9"/>
  <c r="M73" i="9"/>
  <c r="N73" i="9"/>
  <c r="J104" i="11"/>
  <c r="O73" i="9"/>
  <c r="A74" i="9"/>
  <c r="D74" i="9"/>
  <c r="E74" i="9"/>
  <c r="G74" i="9"/>
  <c r="H74" i="9"/>
  <c r="I74" i="9"/>
  <c r="J74" i="9"/>
  <c r="K74" i="9"/>
  <c r="L74" i="9"/>
  <c r="M74" i="9"/>
  <c r="N74" i="9"/>
  <c r="J105" i="11"/>
  <c r="O74" i="9"/>
  <c r="A75" i="9"/>
  <c r="D75" i="9"/>
  <c r="E75" i="9"/>
  <c r="G75" i="9"/>
  <c r="H75" i="9"/>
  <c r="I75" i="9"/>
  <c r="J75" i="9"/>
  <c r="K75" i="9"/>
  <c r="L75" i="9"/>
  <c r="M75" i="9"/>
  <c r="N75" i="9"/>
  <c r="J106" i="11"/>
  <c r="O75" i="9"/>
  <c r="A76" i="9"/>
  <c r="D76" i="9"/>
  <c r="E76" i="9"/>
  <c r="G76" i="9"/>
  <c r="H76" i="9"/>
  <c r="I76" i="9"/>
  <c r="J76" i="9"/>
  <c r="K76" i="9"/>
  <c r="L76" i="9"/>
  <c r="M76" i="9"/>
  <c r="N76" i="9"/>
  <c r="J107" i="11"/>
  <c r="O76" i="9"/>
  <c r="A77" i="9"/>
  <c r="D77" i="9"/>
  <c r="E77" i="9"/>
  <c r="G77" i="9"/>
  <c r="H77" i="9"/>
  <c r="I77" i="9"/>
  <c r="J77" i="9"/>
  <c r="K77" i="9"/>
  <c r="L77" i="9"/>
  <c r="M77" i="9"/>
  <c r="N77" i="9"/>
  <c r="J108" i="11"/>
  <c r="O77" i="9"/>
  <c r="A78" i="9"/>
  <c r="D78" i="9"/>
  <c r="E78" i="9"/>
  <c r="G78" i="9"/>
  <c r="H78" i="9"/>
  <c r="I78" i="9"/>
  <c r="J78" i="9"/>
  <c r="K78" i="9"/>
  <c r="L78" i="9"/>
  <c r="M78" i="9"/>
  <c r="N78" i="9"/>
  <c r="J109" i="11"/>
  <c r="O78" i="9"/>
  <c r="A79" i="9"/>
  <c r="D79" i="9"/>
  <c r="E79" i="9"/>
  <c r="G79" i="9"/>
  <c r="H79" i="9"/>
  <c r="I79" i="9"/>
  <c r="J79" i="9"/>
  <c r="K79" i="9"/>
  <c r="L79" i="9"/>
  <c r="M79" i="9"/>
  <c r="N79" i="9"/>
  <c r="J110" i="11"/>
  <c r="O79" i="9"/>
  <c r="A80" i="9"/>
  <c r="D80" i="9"/>
  <c r="E80" i="9"/>
  <c r="G80" i="9"/>
  <c r="H80" i="9"/>
  <c r="I80" i="9"/>
  <c r="J80" i="9"/>
  <c r="K80" i="9"/>
  <c r="L80" i="9"/>
  <c r="M80" i="9"/>
  <c r="N80" i="9"/>
  <c r="J111" i="11"/>
  <c r="O80" i="9"/>
  <c r="A81" i="9"/>
  <c r="D81" i="9"/>
  <c r="E81" i="9"/>
  <c r="G81" i="9"/>
  <c r="H81" i="9"/>
  <c r="I81" i="9"/>
  <c r="J81" i="9"/>
  <c r="K81" i="9"/>
  <c r="L81" i="9"/>
  <c r="M81" i="9"/>
  <c r="N81" i="9"/>
  <c r="J112" i="11"/>
  <c r="O81" i="9"/>
  <c r="A82" i="9"/>
  <c r="D82" i="9"/>
  <c r="E82" i="9"/>
  <c r="G82" i="9"/>
  <c r="H82" i="9"/>
  <c r="I82" i="9"/>
  <c r="J82" i="9"/>
  <c r="K82" i="9"/>
  <c r="L82" i="9"/>
  <c r="M82" i="9"/>
  <c r="N82" i="9"/>
  <c r="J113" i="11"/>
  <c r="O82" i="9"/>
  <c r="A83" i="9"/>
  <c r="D83" i="9"/>
  <c r="E83" i="9"/>
  <c r="G83" i="9"/>
  <c r="H83" i="9"/>
  <c r="I83" i="9"/>
  <c r="J83" i="9"/>
  <c r="K83" i="9"/>
  <c r="L83" i="9"/>
  <c r="M83" i="9"/>
  <c r="N83" i="9"/>
  <c r="J114" i="11"/>
  <c r="O83" i="9"/>
  <c r="A84" i="9"/>
  <c r="D84" i="9"/>
  <c r="E84" i="9"/>
  <c r="G84" i="9"/>
  <c r="H84" i="9"/>
  <c r="I84" i="9"/>
  <c r="J84" i="9"/>
  <c r="K84" i="9"/>
  <c r="L84" i="9"/>
  <c r="M84" i="9"/>
  <c r="N84" i="9"/>
  <c r="J115" i="11"/>
  <c r="O84" i="9"/>
  <c r="A85" i="9"/>
  <c r="D85" i="9"/>
  <c r="E85" i="9"/>
  <c r="G85" i="9"/>
  <c r="H85" i="9"/>
  <c r="I85" i="9"/>
  <c r="J85" i="9"/>
  <c r="K85" i="9"/>
  <c r="L85" i="9"/>
  <c r="M85" i="9"/>
  <c r="N85" i="9"/>
  <c r="J116" i="11"/>
  <c r="O85" i="9"/>
  <c r="A86" i="9"/>
  <c r="D86" i="9"/>
  <c r="E86" i="9"/>
  <c r="G86" i="9"/>
  <c r="H86" i="9"/>
  <c r="I86" i="9"/>
  <c r="J86" i="9"/>
  <c r="K86" i="9"/>
  <c r="L86" i="9"/>
  <c r="M86" i="9"/>
  <c r="N86" i="9"/>
  <c r="J117" i="11"/>
  <c r="O86" i="9"/>
  <c r="A87" i="9"/>
  <c r="D87" i="9"/>
  <c r="E87" i="9"/>
  <c r="G87" i="9"/>
  <c r="H87" i="9"/>
  <c r="I87" i="9"/>
  <c r="J87" i="9"/>
  <c r="K87" i="9"/>
  <c r="L87" i="9"/>
  <c r="M87" i="9"/>
  <c r="N87" i="9"/>
  <c r="J118" i="11"/>
  <c r="O87" i="9"/>
  <c r="A88" i="9"/>
  <c r="D88" i="9"/>
  <c r="E88" i="9"/>
  <c r="G88" i="9"/>
  <c r="H88" i="9"/>
  <c r="I88" i="9"/>
  <c r="J88" i="9"/>
  <c r="K88" i="9"/>
  <c r="L88" i="9"/>
  <c r="M88" i="9"/>
  <c r="N88" i="9"/>
  <c r="J119" i="11"/>
  <c r="O88" i="9"/>
  <c r="A89" i="9"/>
  <c r="D89" i="9"/>
  <c r="E89" i="9"/>
  <c r="G89" i="9"/>
  <c r="H89" i="9"/>
  <c r="I89" i="9"/>
  <c r="J89" i="9"/>
  <c r="K89" i="9"/>
  <c r="L89" i="9"/>
  <c r="M89" i="9"/>
  <c r="N89" i="9"/>
  <c r="J120" i="11"/>
  <c r="O89" i="9"/>
  <c r="A90" i="9"/>
  <c r="D90" i="9"/>
  <c r="E90" i="9"/>
  <c r="G90" i="9"/>
  <c r="H90" i="9"/>
  <c r="I90" i="9"/>
  <c r="J90" i="9"/>
  <c r="K90" i="9"/>
  <c r="L90" i="9"/>
  <c r="M90" i="9"/>
  <c r="N90" i="9"/>
  <c r="J121" i="11"/>
  <c r="O90" i="9"/>
  <c r="A91" i="9"/>
  <c r="D91" i="9"/>
  <c r="E91" i="9"/>
  <c r="G91" i="9"/>
  <c r="H91" i="9"/>
  <c r="I91" i="9"/>
  <c r="J91" i="9"/>
  <c r="K91" i="9"/>
  <c r="L91" i="9"/>
  <c r="M91" i="9"/>
  <c r="N91" i="9"/>
  <c r="J122" i="11"/>
  <c r="O91" i="9"/>
  <c r="A92" i="9"/>
  <c r="D92" i="9"/>
  <c r="E92" i="9"/>
  <c r="G92" i="9"/>
  <c r="H92" i="9"/>
  <c r="I92" i="9"/>
  <c r="J92" i="9"/>
  <c r="K92" i="9"/>
  <c r="L92" i="9"/>
  <c r="M92" i="9"/>
  <c r="N92" i="9"/>
  <c r="J123" i="11"/>
  <c r="O92" i="9"/>
  <c r="A93" i="9"/>
  <c r="D93" i="9"/>
  <c r="E93" i="9"/>
  <c r="G93" i="9"/>
  <c r="H93" i="9"/>
  <c r="I93" i="9"/>
  <c r="J93" i="9"/>
  <c r="K93" i="9"/>
  <c r="L93" i="9"/>
  <c r="M93" i="9"/>
  <c r="N93" i="9"/>
  <c r="J124" i="11"/>
  <c r="O93" i="9"/>
  <c r="A94" i="9"/>
  <c r="D94" i="9"/>
  <c r="E94" i="9"/>
  <c r="G94" i="9"/>
  <c r="H94" i="9"/>
  <c r="I94" i="9"/>
  <c r="J94" i="9"/>
  <c r="K94" i="9"/>
  <c r="L94" i="9"/>
  <c r="M94" i="9"/>
  <c r="N94" i="9"/>
  <c r="J125" i="11"/>
  <c r="O94" i="9"/>
  <c r="A95" i="9"/>
  <c r="D95" i="9"/>
  <c r="E95" i="9"/>
  <c r="G95" i="9"/>
  <c r="H95" i="9"/>
  <c r="I95" i="9"/>
  <c r="J95" i="9"/>
  <c r="K95" i="9"/>
  <c r="L95" i="9"/>
  <c r="M95" i="9"/>
  <c r="N95" i="9"/>
  <c r="J126" i="11"/>
  <c r="O95" i="9"/>
  <c r="A96" i="9"/>
  <c r="D96" i="9"/>
  <c r="E96" i="9"/>
  <c r="G96" i="9"/>
  <c r="H96" i="9"/>
  <c r="I96" i="9"/>
  <c r="J96" i="9"/>
  <c r="K96" i="9"/>
  <c r="L96" i="9"/>
  <c r="M96" i="9"/>
  <c r="N96" i="9"/>
  <c r="J127" i="11"/>
  <c r="O96" i="9"/>
  <c r="A97" i="9"/>
  <c r="D97" i="9"/>
  <c r="E97" i="9"/>
  <c r="G97" i="9"/>
  <c r="H97" i="9"/>
  <c r="I97" i="9"/>
  <c r="J97" i="9"/>
  <c r="K97" i="9"/>
  <c r="L97" i="9"/>
  <c r="M97" i="9"/>
  <c r="N97" i="9"/>
  <c r="J128" i="11"/>
  <c r="O97" i="9"/>
  <c r="A98" i="9"/>
  <c r="D98" i="9"/>
  <c r="E98" i="9"/>
  <c r="G98" i="9"/>
  <c r="H98" i="9"/>
  <c r="I98" i="9"/>
  <c r="J98" i="9"/>
  <c r="K98" i="9"/>
  <c r="L98" i="9"/>
  <c r="M98" i="9"/>
  <c r="N98" i="9"/>
  <c r="J129" i="11"/>
  <c r="O98" i="9"/>
  <c r="A99" i="9"/>
  <c r="D99" i="9"/>
  <c r="E99" i="9"/>
  <c r="G99" i="9"/>
  <c r="H99" i="9"/>
  <c r="I99" i="9"/>
  <c r="J99" i="9"/>
  <c r="K99" i="9"/>
  <c r="L99" i="9"/>
  <c r="M99" i="9"/>
  <c r="N99" i="9"/>
  <c r="J130" i="11"/>
  <c r="O99" i="9"/>
  <c r="A100" i="9"/>
  <c r="D100" i="9"/>
  <c r="E100" i="9"/>
  <c r="G100" i="9"/>
  <c r="H100" i="9"/>
  <c r="I100" i="9"/>
  <c r="J100" i="9"/>
  <c r="K100" i="9"/>
  <c r="L100" i="9"/>
  <c r="M100" i="9"/>
  <c r="N100" i="9"/>
  <c r="J131" i="11"/>
  <c r="O100" i="9"/>
  <c r="A101" i="9"/>
  <c r="D101" i="9"/>
  <c r="E101" i="9"/>
  <c r="G101" i="9"/>
  <c r="H101" i="9"/>
  <c r="I101" i="9"/>
  <c r="J101" i="9"/>
  <c r="K101" i="9"/>
  <c r="L101" i="9"/>
  <c r="M101" i="9"/>
  <c r="N101" i="9"/>
  <c r="J132" i="11"/>
  <c r="O101" i="9"/>
  <c r="A102" i="9"/>
  <c r="D102" i="9"/>
  <c r="E102" i="9"/>
  <c r="G102" i="9"/>
  <c r="H102" i="9"/>
  <c r="I102" i="9"/>
  <c r="J102" i="9"/>
  <c r="K102" i="9"/>
  <c r="L102" i="9"/>
  <c r="M102" i="9"/>
  <c r="N102" i="9"/>
  <c r="J133" i="11"/>
  <c r="O102" i="9"/>
  <c r="A103" i="9"/>
  <c r="D103" i="9"/>
  <c r="E103" i="9"/>
  <c r="G103" i="9"/>
  <c r="H103" i="9"/>
  <c r="I103" i="9"/>
  <c r="J103" i="9"/>
  <c r="K103" i="9"/>
  <c r="L103" i="9"/>
  <c r="M103" i="9"/>
  <c r="N103" i="9"/>
  <c r="J134" i="11"/>
  <c r="O103" i="9"/>
  <c r="A104" i="9"/>
  <c r="D104" i="9"/>
  <c r="E104" i="9"/>
  <c r="G104" i="9"/>
  <c r="H104" i="9"/>
  <c r="I104" i="9"/>
  <c r="J104" i="9"/>
  <c r="K104" i="9"/>
  <c r="L104" i="9"/>
  <c r="M104" i="9"/>
  <c r="N104" i="9"/>
  <c r="J135" i="11"/>
  <c r="O104" i="9"/>
  <c r="A105" i="9"/>
  <c r="D105" i="9"/>
  <c r="E105" i="9"/>
  <c r="G105" i="9"/>
  <c r="H105" i="9"/>
  <c r="I105" i="9"/>
  <c r="J105" i="9"/>
  <c r="K105" i="9"/>
  <c r="L105" i="9"/>
  <c r="M105" i="9"/>
  <c r="N105" i="9"/>
  <c r="J136" i="11"/>
  <c r="O105" i="9"/>
  <c r="A106" i="9"/>
  <c r="D106" i="9"/>
  <c r="E106" i="9"/>
  <c r="G106" i="9"/>
  <c r="H106" i="9"/>
  <c r="I106" i="9"/>
  <c r="J106" i="9"/>
  <c r="K106" i="9"/>
  <c r="L106" i="9"/>
  <c r="M106" i="9"/>
  <c r="N106" i="9"/>
  <c r="J137" i="11"/>
  <c r="O106" i="9"/>
  <c r="A107" i="9"/>
  <c r="D107" i="9"/>
  <c r="E107" i="9"/>
  <c r="G107" i="9"/>
  <c r="H107" i="9"/>
  <c r="I107" i="9"/>
  <c r="J107" i="9"/>
  <c r="K107" i="9"/>
  <c r="L107" i="9"/>
  <c r="M107" i="9"/>
  <c r="N107" i="9"/>
  <c r="J138" i="11"/>
  <c r="O107" i="9"/>
  <c r="J71" i="11"/>
  <c r="J70" i="11"/>
  <c r="O40" i="9"/>
  <c r="N40" i="9"/>
  <c r="M40" i="9"/>
  <c r="L40" i="9"/>
  <c r="K40" i="9"/>
  <c r="J40" i="9"/>
  <c r="I40" i="9"/>
  <c r="H40" i="9"/>
  <c r="G40" i="9"/>
  <c r="E40" i="9"/>
  <c r="D40" i="9"/>
  <c r="A40" i="9"/>
  <c r="J69" i="11"/>
  <c r="J68" i="11"/>
  <c r="O39" i="9"/>
  <c r="N39" i="9"/>
  <c r="M39" i="9"/>
  <c r="L39" i="9"/>
  <c r="K39" i="9"/>
  <c r="J39" i="9"/>
  <c r="I39" i="9"/>
  <c r="H39" i="9"/>
  <c r="G39" i="9"/>
  <c r="E39" i="9"/>
  <c r="D39" i="9"/>
  <c r="A39" i="9"/>
  <c r="J67" i="11"/>
  <c r="J66" i="11"/>
  <c r="O38" i="9"/>
  <c r="N38" i="9"/>
  <c r="M38" i="9"/>
  <c r="L38" i="9"/>
  <c r="K38" i="9"/>
  <c r="J38" i="9"/>
  <c r="I38" i="9"/>
  <c r="H38" i="9"/>
  <c r="G38" i="9"/>
  <c r="E38" i="9"/>
  <c r="D38" i="9"/>
  <c r="A38" i="9"/>
  <c r="J65" i="11"/>
  <c r="J64" i="11"/>
  <c r="O37" i="9"/>
  <c r="N37" i="9"/>
  <c r="M37" i="9"/>
  <c r="L37" i="9"/>
  <c r="K37" i="9"/>
  <c r="J37" i="9"/>
  <c r="I37" i="9"/>
  <c r="H37" i="9"/>
  <c r="G37" i="9"/>
  <c r="E37" i="9"/>
  <c r="D37" i="9"/>
  <c r="A37" i="9"/>
  <c r="J63" i="11"/>
  <c r="J62" i="11"/>
  <c r="J61" i="11"/>
  <c r="J60" i="11"/>
  <c r="J59" i="11"/>
  <c r="J58" i="11"/>
  <c r="J57" i="11"/>
  <c r="J56" i="11"/>
  <c r="J55" i="11"/>
  <c r="J54" i="11"/>
  <c r="O36" i="9"/>
  <c r="N36" i="9"/>
  <c r="M36" i="9"/>
  <c r="L36" i="9"/>
  <c r="K36" i="9"/>
  <c r="J36" i="9"/>
  <c r="I36" i="9"/>
  <c r="H36" i="9"/>
  <c r="G36" i="9"/>
  <c r="E36" i="9"/>
  <c r="D36" i="9"/>
  <c r="A36" i="9"/>
  <c r="J53" i="11"/>
  <c r="J52" i="11"/>
  <c r="O35" i="9"/>
  <c r="N35" i="9"/>
  <c r="M35" i="9"/>
  <c r="L35" i="9"/>
  <c r="K35" i="9"/>
  <c r="J35" i="9"/>
  <c r="I35" i="9"/>
  <c r="H35" i="9"/>
  <c r="G35" i="9"/>
  <c r="E35" i="9"/>
  <c r="D35" i="9"/>
  <c r="A35" i="9"/>
  <c r="J51" i="11"/>
  <c r="J50" i="11"/>
  <c r="O34" i="9"/>
  <c r="N34" i="9"/>
  <c r="M34" i="9"/>
  <c r="L34" i="9"/>
  <c r="K34" i="9"/>
  <c r="J34" i="9"/>
  <c r="I34" i="9"/>
  <c r="H34" i="9"/>
  <c r="G34" i="9"/>
  <c r="E34" i="9"/>
  <c r="D34" i="9"/>
  <c r="A34" i="9"/>
  <c r="J49" i="11"/>
  <c r="J48" i="11"/>
  <c r="O33" i="9"/>
  <c r="N33" i="9"/>
  <c r="M33" i="9"/>
  <c r="L33" i="9"/>
  <c r="K33" i="9"/>
  <c r="J33" i="9"/>
  <c r="I33" i="9"/>
  <c r="H33" i="9"/>
  <c r="G33" i="9"/>
  <c r="E33" i="9"/>
  <c r="D33" i="9"/>
  <c r="A33" i="9"/>
  <c r="J47" i="11"/>
  <c r="J46" i="11"/>
  <c r="J45" i="11"/>
  <c r="O32" i="9"/>
  <c r="N32" i="9"/>
  <c r="M32" i="9"/>
  <c r="L32" i="9"/>
  <c r="K32" i="9"/>
  <c r="J32" i="9"/>
  <c r="I32" i="9"/>
  <c r="H32" i="9"/>
  <c r="G32" i="9"/>
  <c r="E32" i="9"/>
  <c r="D32" i="9"/>
  <c r="A32" i="9"/>
  <c r="J44" i="11"/>
  <c r="J43" i="11"/>
  <c r="O31" i="9"/>
  <c r="N31" i="9"/>
  <c r="M31" i="9"/>
  <c r="L31" i="9"/>
  <c r="K31" i="9"/>
  <c r="J31" i="9"/>
  <c r="I31" i="9"/>
  <c r="H31" i="9"/>
  <c r="G31" i="9"/>
  <c r="E31" i="9"/>
  <c r="D31" i="9"/>
  <c r="A31" i="9"/>
  <c r="J42" i="11"/>
  <c r="J41" i="11"/>
  <c r="J40" i="11"/>
  <c r="O30" i="9"/>
  <c r="N30" i="9"/>
  <c r="M30" i="9"/>
  <c r="L30" i="9"/>
  <c r="K30" i="9"/>
  <c r="J30" i="9"/>
  <c r="I30" i="9"/>
  <c r="H30" i="9"/>
  <c r="G30" i="9"/>
  <c r="E30" i="9"/>
  <c r="D30" i="9"/>
  <c r="A30" i="9"/>
  <c r="J39" i="11"/>
  <c r="J38" i="11"/>
  <c r="O29" i="9"/>
  <c r="N29" i="9"/>
  <c r="M29" i="9"/>
  <c r="L29" i="9"/>
  <c r="K29" i="9"/>
  <c r="J29" i="9"/>
  <c r="I29" i="9"/>
  <c r="H29" i="9"/>
  <c r="G29" i="9"/>
  <c r="E29" i="9"/>
  <c r="D29" i="9"/>
  <c r="A29" i="9"/>
  <c r="J37" i="11"/>
  <c r="J36" i="11"/>
  <c r="O28" i="9"/>
  <c r="N28" i="9"/>
  <c r="M28" i="9"/>
  <c r="L28" i="9"/>
  <c r="K28" i="9"/>
  <c r="J28" i="9"/>
  <c r="I28" i="9"/>
  <c r="H28" i="9"/>
  <c r="G28" i="9"/>
  <c r="E28" i="9"/>
  <c r="D28" i="9"/>
  <c r="A28" i="9"/>
  <c r="J35" i="11"/>
  <c r="J34" i="11"/>
  <c r="O27" i="9"/>
  <c r="N27" i="9"/>
  <c r="M27" i="9"/>
  <c r="L27" i="9"/>
  <c r="K27" i="9"/>
  <c r="J27" i="9"/>
  <c r="I27" i="9"/>
  <c r="H27" i="9"/>
  <c r="G27" i="9"/>
  <c r="E27" i="9"/>
  <c r="D27" i="9"/>
  <c r="A27" i="9"/>
  <c r="J33" i="11"/>
  <c r="J32" i="11"/>
  <c r="O26" i="9"/>
  <c r="N26" i="9"/>
  <c r="M26" i="9"/>
  <c r="L26" i="9"/>
  <c r="K26" i="9"/>
  <c r="J26" i="9"/>
  <c r="I26" i="9"/>
  <c r="H26" i="9"/>
  <c r="G26" i="9"/>
  <c r="E26" i="9"/>
  <c r="D26" i="9"/>
  <c r="A26" i="9"/>
  <c r="J31" i="11"/>
  <c r="J30" i="11"/>
  <c r="O25" i="9"/>
  <c r="N25" i="9"/>
  <c r="M25" i="9"/>
  <c r="L25" i="9"/>
  <c r="K25" i="9"/>
  <c r="J25" i="9"/>
  <c r="I25" i="9"/>
  <c r="H25" i="9"/>
  <c r="G25" i="9"/>
  <c r="E25" i="9"/>
  <c r="D25" i="9"/>
  <c r="A25" i="9"/>
  <c r="J29" i="11"/>
  <c r="J28" i="11"/>
  <c r="O24" i="9"/>
  <c r="N24" i="9"/>
  <c r="M24" i="9"/>
  <c r="L24" i="9"/>
  <c r="K24" i="9"/>
  <c r="J24" i="9"/>
  <c r="I24" i="9"/>
  <c r="H24" i="9"/>
  <c r="G24" i="9"/>
  <c r="E24" i="9"/>
  <c r="D24" i="9"/>
  <c r="A24" i="9"/>
  <c r="J27" i="11"/>
  <c r="J26" i="11"/>
  <c r="O23" i="9"/>
  <c r="N23" i="9"/>
  <c r="M23" i="9"/>
  <c r="L23" i="9"/>
  <c r="K23" i="9"/>
  <c r="J23" i="9"/>
  <c r="I23" i="9"/>
  <c r="H23" i="9"/>
  <c r="G23" i="9"/>
  <c r="E23" i="9"/>
  <c r="D23" i="9"/>
  <c r="A23" i="9"/>
  <c r="J25" i="11"/>
  <c r="J24" i="11"/>
  <c r="O22" i="9"/>
  <c r="N22" i="9"/>
  <c r="M22" i="9"/>
  <c r="L22" i="9"/>
  <c r="K22" i="9"/>
  <c r="J22" i="9"/>
  <c r="I22" i="9"/>
  <c r="H22" i="9"/>
  <c r="G22" i="9"/>
  <c r="E22" i="9"/>
  <c r="D22" i="9"/>
  <c r="A22" i="9"/>
  <c r="J23" i="11"/>
  <c r="J22" i="11"/>
  <c r="O21" i="9"/>
  <c r="N21" i="9"/>
  <c r="M21" i="9"/>
  <c r="L21" i="9"/>
  <c r="K21" i="9"/>
  <c r="J21" i="9"/>
  <c r="I21" i="9"/>
  <c r="H21" i="9"/>
  <c r="G21" i="9"/>
  <c r="E21" i="9"/>
  <c r="D21" i="9"/>
  <c r="A21" i="9"/>
  <c r="J21" i="11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84" i="11"/>
  <c r="O53" i="9"/>
  <c r="N53" i="9"/>
  <c r="M53" i="9"/>
  <c r="L53" i="9"/>
  <c r="K53" i="9"/>
  <c r="J53" i="9"/>
  <c r="I53" i="9"/>
  <c r="H53" i="9"/>
  <c r="G53" i="9"/>
  <c r="E53" i="9"/>
  <c r="D53" i="9"/>
  <c r="A53" i="9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J78" i="11"/>
  <c r="O47" i="9"/>
  <c r="N47" i="9"/>
  <c r="M47" i="9"/>
  <c r="L47" i="9"/>
  <c r="K47" i="9"/>
  <c r="J47" i="9"/>
  <c r="I47" i="9"/>
  <c r="H47" i="9"/>
  <c r="G47" i="9"/>
  <c r="E47" i="9"/>
  <c r="D47" i="9"/>
  <c r="A47" i="9"/>
  <c r="J77" i="11"/>
  <c r="O46" i="9"/>
  <c r="N46" i="9"/>
  <c r="M46" i="9"/>
  <c r="L46" i="9"/>
  <c r="K46" i="9"/>
  <c r="J46" i="9"/>
  <c r="I46" i="9"/>
  <c r="H46" i="9"/>
  <c r="G46" i="9"/>
  <c r="E46" i="9"/>
  <c r="D46" i="9"/>
  <c r="A46" i="9"/>
  <c r="J75" i="11"/>
  <c r="J74" i="11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M15" i="10"/>
  <c r="T15" i="10"/>
  <c r="W15" i="10"/>
  <c r="V15" i="10"/>
  <c r="X15" i="10"/>
  <c r="U15" i="10"/>
  <c r="Y15" i="10"/>
  <c r="M37" i="10"/>
  <c r="N37" i="10"/>
  <c r="Q37" i="10"/>
  <c r="P37" i="10"/>
  <c r="R37" i="10"/>
  <c r="O37" i="10"/>
  <c r="S37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J9" i="11"/>
  <c r="O9" i="9"/>
  <c r="N9" i="9"/>
  <c r="M9" i="9"/>
  <c r="L9" i="9"/>
  <c r="K9" i="9"/>
  <c r="J9" i="9"/>
  <c r="I9" i="9"/>
  <c r="H9" i="9"/>
  <c r="G9" i="9"/>
  <c r="E9" i="9"/>
  <c r="D9" i="9"/>
  <c r="A9" i="9"/>
  <c r="J6" i="11"/>
  <c r="M6" i="10"/>
  <c r="T6" i="10"/>
  <c r="W6" i="10"/>
  <c r="V6" i="10"/>
  <c r="X6" i="10"/>
  <c r="U6" i="10"/>
  <c r="Y6" i="10"/>
  <c r="M17" i="10"/>
  <c r="M38" i="10"/>
  <c r="N38" i="10"/>
  <c r="Q38" i="10"/>
  <c r="P38" i="10"/>
  <c r="R38" i="10"/>
  <c r="O38" i="10"/>
  <c r="S38" i="10"/>
  <c r="N17" i="10"/>
  <c r="Q17" i="10"/>
  <c r="P17" i="10"/>
  <c r="R17" i="10"/>
  <c r="O17" i="10"/>
  <c r="S17" i="10"/>
  <c r="N6" i="10"/>
  <c r="Q6" i="10"/>
  <c r="P6" i="10"/>
  <c r="R6" i="10"/>
  <c r="O6" i="10"/>
  <c r="S6" i="10"/>
  <c r="G6" i="10"/>
  <c r="J6" i="10"/>
  <c r="I6" i="10"/>
  <c r="K6" i="10"/>
  <c r="H6" i="10"/>
  <c r="L6" i="10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7" i="11"/>
  <c r="O6" i="9"/>
  <c r="G7" i="9"/>
  <c r="H7" i="9"/>
  <c r="I7" i="9"/>
  <c r="J7" i="9"/>
  <c r="K7" i="9"/>
  <c r="L7" i="9"/>
  <c r="M7" i="9"/>
  <c r="N7" i="9"/>
  <c r="J8" i="11"/>
  <c r="O7" i="9"/>
  <c r="G8" i="9"/>
  <c r="H8" i="9"/>
  <c r="I8" i="9"/>
  <c r="J8" i="9"/>
  <c r="K8" i="9"/>
  <c r="L8" i="9"/>
  <c r="M8" i="9"/>
  <c r="N8" i="9"/>
  <c r="O8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6" i="11"/>
  <c r="O15" i="9"/>
  <c r="G16" i="9"/>
  <c r="H16" i="9"/>
  <c r="I16" i="9"/>
  <c r="J16" i="9"/>
  <c r="K16" i="9"/>
  <c r="L16" i="9"/>
  <c r="M16" i="9"/>
  <c r="N16" i="9"/>
  <c r="O16" i="9"/>
  <c r="G41" i="9"/>
  <c r="H41" i="9"/>
  <c r="I41" i="9"/>
  <c r="J41" i="9"/>
  <c r="K41" i="9"/>
  <c r="L41" i="9"/>
  <c r="M41" i="9"/>
  <c r="N41" i="9"/>
  <c r="J72" i="11"/>
  <c r="O41" i="9"/>
  <c r="G42" i="9"/>
  <c r="H42" i="9"/>
  <c r="I42" i="9"/>
  <c r="J42" i="9"/>
  <c r="K42" i="9"/>
  <c r="L42" i="9"/>
  <c r="M42" i="9"/>
  <c r="N42" i="9"/>
  <c r="J73" i="11"/>
  <c r="O42" i="9"/>
  <c r="G43" i="9"/>
  <c r="H43" i="9"/>
  <c r="I43" i="9"/>
  <c r="J43" i="9"/>
  <c r="K43" i="9"/>
  <c r="L43" i="9"/>
  <c r="M43" i="9"/>
  <c r="N43" i="9"/>
  <c r="J76" i="11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8" i="9"/>
  <c r="H48" i="9"/>
  <c r="I48" i="9"/>
  <c r="J48" i="9"/>
  <c r="K48" i="9"/>
  <c r="L48" i="9"/>
  <c r="M48" i="9"/>
  <c r="N48" i="9"/>
  <c r="J79" i="11"/>
  <c r="O48" i="9"/>
  <c r="G49" i="9"/>
  <c r="H49" i="9"/>
  <c r="I49" i="9"/>
  <c r="J49" i="9"/>
  <c r="K49" i="9"/>
  <c r="L49" i="9"/>
  <c r="M49" i="9"/>
  <c r="N49" i="9"/>
  <c r="J80" i="11"/>
  <c r="O49" i="9"/>
  <c r="G50" i="9"/>
  <c r="H50" i="9"/>
  <c r="I50" i="9"/>
  <c r="J50" i="9"/>
  <c r="K50" i="9"/>
  <c r="L50" i="9"/>
  <c r="M50" i="9"/>
  <c r="N50" i="9"/>
  <c r="J81" i="11"/>
  <c r="O50" i="9"/>
  <c r="G51" i="9"/>
  <c r="H51" i="9"/>
  <c r="I51" i="9"/>
  <c r="J51" i="9"/>
  <c r="K51" i="9"/>
  <c r="L51" i="9"/>
  <c r="M51" i="9"/>
  <c r="N51" i="9"/>
  <c r="J82" i="11"/>
  <c r="O51" i="9"/>
  <c r="G52" i="9"/>
  <c r="H52" i="9"/>
  <c r="I52" i="9"/>
  <c r="J52" i="9"/>
  <c r="K52" i="9"/>
  <c r="L52" i="9"/>
  <c r="M52" i="9"/>
  <c r="N52" i="9"/>
  <c r="J83" i="11"/>
  <c r="O52" i="9"/>
  <c r="D3" i="9"/>
  <c r="E3" i="9"/>
  <c r="D4" i="9"/>
  <c r="E4" i="9"/>
  <c r="D5" i="9"/>
  <c r="E5" i="9"/>
  <c r="D6" i="9"/>
  <c r="E6" i="9"/>
  <c r="D7" i="9"/>
  <c r="E7" i="9"/>
  <c r="D8" i="9"/>
  <c r="E8" i="9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D41" i="9"/>
  <c r="E41" i="9"/>
  <c r="D42" i="9"/>
  <c r="E42" i="9"/>
  <c r="D43" i="9"/>
  <c r="E43" i="9"/>
  <c r="D44" i="9"/>
  <c r="E44" i="9"/>
  <c r="D45" i="9"/>
  <c r="E45" i="9"/>
  <c r="D48" i="9"/>
  <c r="E48" i="9"/>
  <c r="D49" i="9"/>
  <c r="E49" i="9"/>
  <c r="D50" i="9"/>
  <c r="E50" i="9"/>
  <c r="D51" i="9"/>
  <c r="E51" i="9"/>
  <c r="D52" i="9"/>
  <c r="E52" i="9"/>
  <c r="A3" i="9"/>
  <c r="A4" i="9"/>
  <c r="A5" i="9"/>
  <c r="A6" i="9"/>
  <c r="A7" i="9"/>
  <c r="A8" i="9"/>
  <c r="A10" i="9"/>
  <c r="A11" i="9"/>
  <c r="A12" i="9"/>
  <c r="A13" i="9"/>
  <c r="A14" i="9"/>
  <c r="A15" i="9"/>
  <c r="A16" i="9"/>
  <c r="A41" i="9"/>
  <c r="A42" i="9"/>
  <c r="A43" i="9"/>
  <c r="A44" i="9"/>
  <c r="A45" i="9"/>
  <c r="A48" i="9"/>
  <c r="A49" i="9"/>
  <c r="A50" i="9"/>
  <c r="A51" i="9"/>
  <c r="A52" i="9"/>
  <c r="T38" i="10"/>
  <c r="W38" i="10"/>
  <c r="V38" i="10"/>
  <c r="X38" i="10"/>
  <c r="U38" i="10"/>
  <c r="Y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J3" i="7"/>
  <c r="I3" i="7"/>
  <c r="D3" i="7"/>
  <c r="F3" i="7"/>
  <c r="E3" i="7"/>
  <c r="A3" i="7"/>
  <c r="AD7" i="1"/>
  <c r="AF7" i="1"/>
  <c r="AI7" i="1"/>
  <c r="AG7" i="1"/>
  <c r="AE7" i="1"/>
  <c r="E2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H2" i="1"/>
  <c r="H3" i="1"/>
  <c r="B4" i="2"/>
  <c r="H3" i="2"/>
  <c r="E3" i="2"/>
  <c r="D3" i="2"/>
  <c r="B3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<sst xmlns="http://schemas.openxmlformats.org/spreadsheetml/2006/main" count="1075" uniqueCount="379">
  <si>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</si>
  <si>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</si>
  <si>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</si>
  <si>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</si>
  <si>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</si>
  <si>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</si>
  <si>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</si>
  <si>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</si>
  <si>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</si>
  <si>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</si>
  <si>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</si>
  <si>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</si>
  <si>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</si>
  <si>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</si>
  <si>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</si>
  <si>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</si>
  <si>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</si>
  <si>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</si>
  <si>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</si>
  <si>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</si>
  <si>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</si>
  <si>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</si>
  <si>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</si>
  <si>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</si>
  <si>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</si>
  <si>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</si>
  <si>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</si>
  <si>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</si>
  <si>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</si>
  <si>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</si>
  <si>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</si>
  <si>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</si>
  <si>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</si>
  <si>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</si>
  <si>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</si>
  <si>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</si>
  <si>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</si>
  <si>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</si>
  <si>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</si>
  <si>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</si>
  <si>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</si>
  <si>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</si>
  <si>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</si>
  <si>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</si>
  <si>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</si>
  <si>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</si>
  <si>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</si>
  <si>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</si>
  <si>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</si>
  <si>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</si>
  <si>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</si>
  <si>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</si>
  <si>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</si>
  <si>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</si>
  <si>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</si>
  <si>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</si>
  <si>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</si>
  <si>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</si>
  <si>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</si>
  <si>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</si>
  <si>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</si>
  <si>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</si>
  <si>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</si>
  <si>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</si>
  <si>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</si>
  <si>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</si>
  <si>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</si>
  <si>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</si>
  <si>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</si>
  <si>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</si>
  <si>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</si>
  <si>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</si>
  <si>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</si>
  <si>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</si>
  <si>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</si>
  <si>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</si>
  <si>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</si>
  <si>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</si>
  <si>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</si>
  <si>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</si>
  <si>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</si>
  <si>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</si>
  <si>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</si>
  <si>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</si>
  <si>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</si>
  <si>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</si>
  <si>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</si>
  <si>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</si>
  <si>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</si>
  <si>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</si>
  <si>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</si>
  <si>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</si>
  <si>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</si>
  <si>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</si>
  <si>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</si>
  <si>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</si>
  <si>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</si>
  <si>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</si>
  <si>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</si>
  <si>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</si>
  <si>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</si>
  <si>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</si>
  <si>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</si>
  <si>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</si>
  <si>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</si>
  <si>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</si>
  <si>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</si>
  <si>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</si>
  <si>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</si>
  <si>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</si>
  <si>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</si>
  <si>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</si>
  <si>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</si>
  <si>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</si>
  <si>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</si>
  <si>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</si>
  <si>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</si>
  <si>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</si>
  <si>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</si>
  <si>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</si>
  <si>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</si>
  <si>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</si>
  <si>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</si>
  <si>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</si>
  <si>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</si>
  <si>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</si>
  <si>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</si>
  <si>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</si>
  <si>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</si>
  <si>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</si>
  <si>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</si>
  <si>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</si>
  <si>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</si>
  <si>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</si>
  <si>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</si>
  <si>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</si>
  <si>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</si>
  <si>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</si>
  <si>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</si>
  <si>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</si>
  <si>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</si>
  <si>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</si>
  <si>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</si>
  <si>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</si>
  <si>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</si>
  <si>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</si>
  <si>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</si>
  <si>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</si>
  <si>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</si>
  <si>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</si>
  <si>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</si>
  <si>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</si>
  <si>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</si>
  <si>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</si>
  <si>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</si>
  <si>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</si>
  <si>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</si>
  <si>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</si>
  <si>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</si>
  <si>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</si>
  <si>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</si>
  <si>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</si>
  <si>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</si>
  <si>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</si>
  <si>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</si>
  <si>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</si>
  <si>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</si>
  <si>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</si>
  <si>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</si>
  <si>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</si>
  <si>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</si>
  <si>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</si>
  <si>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</si>
  <si>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</si>
  <si>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</si>
  <si>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</si>
  <si>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</si>
  <si>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</si>
  <si>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</si>
  <si>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</si>
  <si>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</si>
  <si>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</si>
  <si>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</si>
  <si>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</si>
  <si>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</si>
  <si>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</si>
  <si>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</si>
  <si>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</si>
  <si>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</si>
  <si>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</si>
  <si>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</si>
  <si>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</si>
  <si>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</si>
  <si>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</si>
  <si>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</si>
  <si>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</si>
  <si>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</si>
  <si>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</si>
  <si>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</si>
  <si>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</si>
  <si>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</si>
  <si>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</si>
  <si>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</si>
  <si>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</si>
  <si>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</si>
  <si>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</si>
  <si>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</si>
  <si>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</si>
  <si>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</si>
  <si>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</si>
  <si>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</si>
  <si>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</si>
  <si>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</si>
  <si>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</si>
  <si>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</si>
  <si>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</si>
  <si>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</si>
  <si>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</si>
  <si>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</si>
  <si>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</si>
  <si>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</si>
  <si>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</si>
  <si>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</si>
  <si>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</si>
  <si>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</si>
  <si>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</si>
  <si>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</si>
  <si>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</si>
  <si>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</si>
  <si>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</si>
  <si>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</si>
  <si>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</si>
  <si>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</si>
  <si>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</si>
  <si>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</si>
  <si>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</si>
  <si>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</si>
  <si>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</si>
  <si>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</si>
  <si>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</si>
  <si>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</si>
  <si>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</si>
  <si>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</si>
  <si>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</si>
  <si>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</si>
  <si>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</si>
  <si>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</si>
  <si>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</si>
  <si>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</si>
  <si>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</si>
  <si>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</si>
  <si>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</si>
  <si>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</si>
  <si>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</si>
  <si>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</si>
  <si>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</si>
  <si>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</si>
  <si>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1ターン赤パネル無効+単体攻撃</t>
    <rPh sb="4" eb="5">
      <t>アカパネル</t>
    </rPh>
    <rPh sb="8" eb="10">
      <t>ムコウ</t>
    </rPh>
    <rPh sb="11" eb="15">
      <t>タンタイコウゲキ</t>
    </rPh>
    <phoneticPr fontId="5"/>
  </si>
  <si>
    <t>自爆攻撃</t>
    <rPh sb="0" eb="2">
      <t>ジバク</t>
    </rPh>
    <rPh sb="2" eb="4">
      <t>コウゲキ</t>
    </rPh>
    <phoneticPr fontId="5"/>
  </si>
  <si>
    <t>3ターン青パネル無効</t>
    <rPh sb="4" eb="5">
      <t>アオパネル</t>
    </rPh>
    <rPh sb="8" eb="10">
      <t>ムコウ</t>
    </rPh>
    <phoneticPr fontId="5"/>
  </si>
  <si>
    <t>青パネルを吸収して攻撃</t>
    <rPh sb="0" eb="1">
      <t>アオパネルヲ</t>
    </rPh>
    <rPh sb="5" eb="7">
      <t>キュウシュウシテ</t>
    </rPh>
    <rPh sb="9" eb="11">
      <t>コウゲキ</t>
    </rPh>
    <phoneticPr fontId="5"/>
  </si>
  <si>
    <t>お邪魔パネルを吸収して攻撃</t>
    <rPh sb="7" eb="9">
      <t>キュウシュウシテ</t>
    </rPh>
    <rPh sb="11" eb="13">
      <t>コウゲキ</t>
    </rPh>
    <phoneticPr fontId="5"/>
  </si>
  <si>
    <t>5ターン攻撃力50%DOWN+クリティカル！</t>
    <rPh sb="4" eb="7">
      <t>コウゲキリョク</t>
    </rPh>
    <phoneticPr fontId="5"/>
  </si>
  <si>
    <t>10ターン青パネル無効+青パネルドロップ率UP</t>
    <rPh sb="5" eb="6">
      <t>アオパネル</t>
    </rPh>
    <rPh sb="9" eb="11">
      <t>ムコウ</t>
    </rPh>
    <rPh sb="12" eb="13">
      <t>アオパネル</t>
    </rPh>
    <rPh sb="20" eb="21">
      <t>シュツゲンリツ</t>
    </rPh>
    <phoneticPr fontId="5"/>
  </si>
  <si>
    <t>赤パネルを吸収して攻撃</t>
    <rPh sb="0" eb="1">
      <t>アカパネル</t>
    </rPh>
    <rPh sb="5" eb="7">
      <t>キュウシュウシテ</t>
    </rPh>
    <rPh sb="9" eb="11">
      <t>コウゲキ</t>
    </rPh>
    <phoneticPr fontId="5"/>
  </si>
  <si>
    <t>10ターン赤パネル無効+赤パネル出現率UP</t>
    <rPh sb="5" eb="6">
      <t>アカ</t>
    </rPh>
    <rPh sb="9" eb="11">
      <t>ムコウ</t>
    </rPh>
    <rPh sb="12" eb="13">
      <t>アカパネル</t>
    </rPh>
    <rPh sb="16" eb="19">
      <t>シュツゲン</t>
    </rPh>
    <phoneticPr fontId="5"/>
  </si>
  <si>
    <t>ハートパネルを吸収して攻撃</t>
    <rPh sb="7" eb="9">
      <t>キュウシュウシテ</t>
    </rPh>
    <rPh sb="11" eb="13">
      <t>コウゲキ</t>
    </rPh>
    <phoneticPr fontId="5"/>
  </si>
  <si>
    <t>お邪魔パネルを吸収して攻撃</t>
    <rPh sb="7" eb="9">
      <t>キュウシュウシテコウゲキ</t>
    </rPh>
    <phoneticPr fontId="5"/>
  </si>
  <si>
    <t>null</t>
    <phoneticPr fontId="5"/>
  </si>
  <si>
    <t>null</t>
    <phoneticPr fontId="5"/>
  </si>
  <si>
    <t>null</t>
    <phoneticPr fontId="5"/>
  </si>
  <si>
    <t>full_member</t>
    <phoneticPr fontId="5"/>
  </si>
  <si>
    <t>old</t>
    <phoneticPr fontId="5"/>
  </si>
  <si>
    <t>防壁展開</t>
    <phoneticPr fontId="5"/>
  </si>
  <si>
    <t>妨害データ生成</t>
    <phoneticPr fontId="5"/>
  </si>
  <si>
    <t>緊急逮捕</t>
    <phoneticPr fontId="5"/>
  </si>
  <si>
    <t>自爆</t>
    <phoneticPr fontId="5"/>
  </si>
  <si>
    <t>表示しない</t>
    <rPh sb="0" eb="2">
      <t>ヒョウジ</t>
    </rPh>
    <phoneticPr fontId="5"/>
  </si>
  <si>
    <t>強行突破するわ！</t>
    <phoneticPr fontId="5"/>
  </si>
  <si>
    <t>待ってよロビン！！</t>
    <phoneticPr fontId="5"/>
  </si>
  <si>
    <t>ダウナーショット</t>
    <phoneticPr fontId="5"/>
  </si>
  <si>
    <t>ブルージャミング</t>
    <phoneticPr fontId="5"/>
  </si>
  <si>
    <t>ふふ…今日の新作…どれも素晴らしいわ…！</t>
    <phoneticPr fontId="5"/>
  </si>
  <si>
    <t>えっ…にやけてた？そそそそんなバカな！</t>
    <phoneticPr fontId="5"/>
  </si>
  <si>
    <t>妄想ドレイン！</t>
    <phoneticPr fontId="5"/>
  </si>
  <si>
    <t>新作は全部いただくわ！</t>
    <phoneticPr fontId="5"/>
  </si>
  <si>
    <t>これは…ヘタレ属性！尊い！</t>
    <phoneticPr fontId="5"/>
  </si>
  <si>
    <t>えっ！？紫式部！？違います！人違いですっ！！</t>
    <phoneticPr fontId="5"/>
  </si>
  <si>
    <t>人違いだってば！！撮っちゃダメ！！</t>
    <phoneticPr fontId="5"/>
  </si>
  <si>
    <t>スキありっ！限定グッズもいただきよっ！</t>
    <phoneticPr fontId="5"/>
  </si>
  <si>
    <t>あ！新作ハッケーン！いただきー！</t>
    <phoneticPr fontId="5"/>
  </si>
  <si>
    <t>くっ…バレてしまっては仕方ない…いくわよー！</t>
    <phoneticPr fontId="5"/>
  </si>
  <si>
    <t>妄想バースト！</t>
    <phoneticPr fontId="5"/>
  </si>
  <si>
    <t>既刊も全部いただきっ！</t>
    <phoneticPr fontId="5"/>
  </si>
  <si>
    <t>みっく式！新刊回収攻撃！！</t>
    <phoneticPr fontId="5"/>
  </si>
  <si>
    <t>ラストスパート…いくわよっ！</t>
    <phoneticPr fontId="5"/>
  </si>
  <si>
    <t>さて…帰って戦利品を楽しむわよ…ふふふ…！</t>
    <phoneticPr fontId="5"/>
  </si>
  <si>
    <t>表示しない</t>
    <rPh sb="0" eb="2">
      <t>ヒョウ</t>
    </rPh>
    <phoneticPr fontId="5"/>
  </si>
  <si>
    <t>おおおお願いだから撮らないで！晒さないでっ！！</t>
    <phoneticPr fontId="5"/>
  </si>
  <si>
    <t>お邪魔パネルを吸収して回復(最大10個)</t>
    <rPh sb="7" eb="9">
      <t>キュウ</t>
    </rPh>
    <rPh sb="11" eb="13">
      <t>カイフク</t>
    </rPh>
    <rPh sb="14" eb="16">
      <t>サイダイ</t>
    </rPh>
    <phoneticPr fontId="5"/>
  </si>
  <si>
    <t>すごい人混みね…</t>
    <phoneticPr fontId="5"/>
  </si>
  <si>
    <t>大混雑バレッジ</t>
    <phoneticPr fontId="5"/>
  </si>
  <si>
    <t>オセ…はぐれちゃった…？</t>
    <phoneticPr fontId="5"/>
  </si>
  <si>
    <t>み、ミクです！！私ミクです！ぅぅ…</t>
    <phoneticPr fontId="5"/>
  </si>
  <si>
    <t>お邪魔パネルを吸収して攻撃</t>
    <phoneticPr fontId="5"/>
  </si>
  <si>
    <t>わ、わ、ミクさんだ！サインくださいっ！！！</t>
    <phoneticPr fontId="5"/>
  </si>
  <si>
    <t>わ、わ、雪ミクさんだ！サインくださいっ！！！</t>
    <rPh sb="4" eb="5">
      <t>ユキミク</t>
    </rPh>
    <phoneticPr fontId="5"/>
  </si>
  <si>
    <t>わ、わ、ルカさんだ！サインくださいっ！！！</t>
    <phoneticPr fontId="5"/>
  </si>
  <si>
    <t>わ、わ、リンちゃんだ！サインくださいっ！！！</t>
    <phoneticPr fontId="5"/>
  </si>
  <si>
    <t>わ、わ、レンきゅんだ！サインくださいっ！！！</t>
    <phoneticPr fontId="5"/>
  </si>
  <si>
    <t>わ、わ、MEIKOさんだ！サインくださいっ！！！</t>
    <phoneticPr fontId="5"/>
  </si>
  <si>
    <t>わ、わ、KAITOさんだ！サインくださいっ！！！</t>
    <phoneticPr fontId="5"/>
  </si>
  <si>
    <t>あなたのコスプレ…うん…いいわね！！</t>
    <phoneticPr fontId="5"/>
  </si>
  <si>
    <t>あっありがとうございましたっ！あ、サインくだs…！</t>
    <phoneticPr fontId="5"/>
  </si>
  <si>
    <t>ボカロレイヤーさん最高でしたっ！また会いましょう！</t>
    <phoneticPr fontId="5"/>
  </si>
  <si>
    <t>1ターンお邪魔パネルを吸収して攻撃力UP(最大10個)</t>
    <rPh sb="11" eb="13">
      <t>キュウシュウシテコウゲキ</t>
    </rPh>
    <rPh sb="17" eb="18">
      <t>リョク</t>
    </rPh>
    <rPh sb="21" eb="23">
      <t>サイダイ</t>
    </rPh>
    <phoneticPr fontId="5"/>
  </si>
  <si>
    <t>ランダムでお邪魔パネルに4個変換</t>
    <phoneticPr fontId="5"/>
  </si>
  <si>
    <t>ランダムでお邪魔パネルに5個変換+4回連続攻撃</t>
    <rPh sb="21" eb="23">
      <t>コウゲキ</t>
    </rPh>
    <phoneticPr fontId="5"/>
  </si>
  <si>
    <t>ランダムで青パネルに5個変換+単体攻撃</t>
    <rPh sb="5" eb="6">
      <t>アオ</t>
    </rPh>
    <rPh sb="12" eb="14">
      <t>ヘンカン</t>
    </rPh>
    <rPh sb="15" eb="19">
      <t>タンタイコウゲキ</t>
    </rPh>
    <phoneticPr fontId="5"/>
  </si>
  <si>
    <t>ランダムで赤パネルに5個変換+単体攻撃</t>
    <rPh sb="5" eb="6">
      <t>アカ</t>
    </rPh>
    <rPh sb="12" eb="14">
      <t>ヘンカン</t>
    </rPh>
    <rPh sb="15" eb="19">
      <t>タンタイ</t>
    </rPh>
    <phoneticPr fontId="5"/>
  </si>
  <si>
    <t>3ターン全属性ダメージ50%軽減</t>
    <rPh sb="4" eb="7">
      <t>ゼンゾクセイ</t>
    </rPh>
    <rPh sb="14" eb="16">
      <t>ケイゲン</t>
    </rPh>
    <phoneticPr fontId="5"/>
  </si>
  <si>
    <t>1ターン全ユニットの攻撃力20%DOWN+4回連続攻撃</t>
    <rPh sb="4" eb="5">
      <t>ゼンユニット</t>
    </rPh>
    <rPh sb="10" eb="13">
      <t>コウゲキ</t>
    </rPh>
    <rPh sb="25" eb="27">
      <t>コウゲキ</t>
    </rPh>
    <phoneticPr fontId="5"/>
  </si>
  <si>
    <t>F2は3ターン目に自爆攻撃を使用します
自爆攻撃の威力は強力なため
優先的に狙いましょう</t>
    <phoneticPr fontId="5"/>
  </si>
  <si>
    <t>オセとロビンフッドはどちらかが倒れると
残った一人の行動が速くなります
油断は禁物です</t>
    <phoneticPr fontId="5"/>
  </si>
  <si>
    <t>紫式部はパネルをランダムに
お邪魔パネルに変換して
ドロップさせるスキルを使用します
スキルやフィーバーで対処しましょう</t>
    <phoneticPr fontId="5"/>
  </si>
  <si>
    <t>紫式部は3ゲージ目に移行すると
ハートパネルを吸収して攻撃してきます
回復のタイミングには気をつけましょう</t>
    <phoneticPr fontId="5"/>
  </si>
  <si>
    <t>紫式部は2ゲージ目に青パネル無効
3ゲージ目に赤パネル無効を使用します
スキルやアビリティで対処しましょう</t>
    <phoneticPr fontId="5"/>
  </si>
  <si>
    <t>紫式部</t>
    <phoneticPr fontId="5"/>
  </si>
  <si>
    <t>人気作家として活躍している紫式部は
イベントで正体がバレることを恐れ
変装して参加していたようです</t>
    <phoneticPr fontId="5"/>
  </si>
  <si>
    <t>初音ミク</t>
    <phoneticPr fontId="5"/>
  </si>
  <si>
    <t>紫式部が変装のために着用しているのは
初音ミクのコスプレ衣装です
しかしかえって目立ってしまい
人々の注目を集めていました</t>
    <phoneticPr fontId="5"/>
  </si>
  <si>
    <t>コスプレイベント</t>
    <phoneticPr fontId="5"/>
  </si>
  <si>
    <t>雪まつり同時開催のコスプレイベントでは
ボーカロイドを題材とした作品の販売や
コスプレ撮影会が行われました</t>
    <phoneticPr fontId="5"/>
  </si>
  <si>
    <t>old</t>
  </si>
  <si>
    <t>old</t>
    <phoneticPr fontId="7"/>
  </si>
  <si>
    <t>[effect:reduction, target:myself, color:all, turn:3, val:0.5, animation:reduction_one01],[effect:fix_speed, target:myself, turn:2],[effect:enemy_message, val1:1.2, val2:1.6]</t>
    <phoneticPr fontId="5"/>
  </si>
  <si>
    <t>[effect:break_attack, target:unit_one, val:0.05, lowest_val:7000, count:-1, color:green, block01:jammer],[effect:enemy_message, val1:1.2, val2:1.3]</t>
    <phoneticPr fontId="5"/>
  </si>
  <si>
    <t>[effect:freq_turn, target:myself, turn:-1, val:1, animation:enemy_freq_turn],[effect:enemy_message, val1:1.2, val2:1.2]</t>
    <phoneticPr fontId="5"/>
  </si>
  <si>
    <t>[effect:degrade_unit, target:unit_all, turn:1, status:attack, val:0.2, calc:mul],[effect:rush, count:4, val:0.25],[effect:enemy_message, val1:1.2, val2:2.7]</t>
    <phoneticPr fontId="5"/>
  </si>
  <si>
    <t>[effect:dis_panel, target:block_blue, turn:3, animation:enemy_dis_blue],[effect:enemy_message, val1:1.2, val2:1.2]</t>
    <phoneticPr fontId="5"/>
  </si>
  <si>
    <t>[effect:break_attack, target:unit_one, val:0.06, lowest_val:10000, count:-1, color:green, block01:block_blue],[effect:enemy_message, val1:1.9, val2:1.2]</t>
    <phoneticPr fontId="5"/>
  </si>
  <si>
    <t>[effect:break_attack, target:unit_one, val:0.06, lowest_val:10000, count:-1, color:green, block01:block_blue],[effect:enemy_message, val1:1.2, val2:1.2]</t>
    <phoneticPr fontId="5"/>
  </si>
  <si>
    <t>[effect:break_attack, target:unit_one, val:0.06, lowest_val:10000, count:-1, color:green, block01:jammer],[effect:enemy_message, val1:1.2, val2:1.3]</t>
    <phoneticPr fontId="5"/>
  </si>
  <si>
    <t>[effect:degrade_unit, target:unit_all, turn:5, status:attack, val:0.5, calc:mul],[effect:critical, val:1.4, animation:enemy_critical],[effect:enemy_message, val1:1.3, val2:2.2]</t>
    <phoneticPr fontId="5"/>
  </si>
  <si>
    <t>[effect:dis_panel, target:block_blue, turn:10, animation:enemy_dis_blue],[effect:change_panel_ratio, turn:10, block_type:blue, val:0.35, animation:block_incidence04],[effect:fix_speed, target:myself, turn:1],[effect:enemy_message, val1:2.2, val2:2.3]</t>
    <phoneticPr fontId="5"/>
  </si>
  <si>
    <t>[effect:break_attack, target:unit_one, val:0.06, lowest_val:10000, count:-1, color:green, block01:block_red],[effect:enemy_message, val1:1.9, val2:1.2]</t>
    <phoneticPr fontId="5"/>
  </si>
  <si>
    <t>[effect:break_attack, target:unit_one, val:0.06, lowest_val:10000, count:-1, color:green, block01:jammer],[effect:enemy_message, val1:1.6, val2:1.2]</t>
    <phoneticPr fontId="5"/>
  </si>
  <si>
    <t>[effect:break_heal_fix, target:myself, val:10000, lowest_val:30000, count:10, block01:jammer, animation:enemy_heal],[effect:enemy_message, val1:2.4, val2:2.0]</t>
    <phoneticPr fontId="5"/>
  </si>
  <si>
    <t>[effect:dis_panel, target:block_red, turn:10, animation:enemy_dis_red],[effect:change_panel_ratio, turn:10, block_type:red, val:0.35, animation:block_incidence04],[effect:fix_speed, target:myself, turn:1],[effect:enemy_message, val1:2.2, val2:2.1]</t>
    <phoneticPr fontId="5"/>
  </si>
  <si>
    <t>[effect:break_enchance_enemy, target:myself, val:0.1, lowest_val:0.01, count:10, status:attack, turn:1, block01:jammer, calc:mul, animation:enemy_enhance_attack],[effect:enemy_message, val1:1.4, val2:2.7]</t>
    <phoneticPr fontId="5"/>
  </si>
  <si>
    <t>[effect:break_attack, target:unit_one, val:0.06, lowest_val:10000, count:-1, color:green, block01:jammer],[effect:enemy_message, val1:1.3, val2:1.3]</t>
    <phoneticPr fontId="5"/>
  </si>
  <si>
    <t>全ての効果を解除+
確率でお邪魔パネルがドロップ+
黄パネルが出現しない</t>
    <rPh sb="0" eb="1">
      <t>スベテノコウカヲ</t>
    </rPh>
    <rPh sb="6" eb="8">
      <t>カイジョ</t>
    </rPh>
    <rPh sb="10" eb="12">
      <t>カクリツ</t>
    </rPh>
    <rPh sb="26" eb="27">
      <t>キ</t>
    </rPh>
    <rPh sb="31" eb="33">
      <t>シュツゲンシナイ</t>
    </rPh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</si>
  <si>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val1:2.0, val2:3.4]</t>
    <phoneticPr fontId="5"/>
  </si>
  <si>
    <t xml:space="preserve">[effect:enemy_message, val1:2.1, val2:0, dead_type:escape]    </t>
    <phoneticPr fontId="5"/>
  </si>
  <si>
    <t>[effect:enemy_message, val1:2.5, val2:0, dead_type:escape]</t>
    <phoneticPr fontId="5"/>
  </si>
  <si>
    <t>[effect:enemy_message, val1:2.5, val2:0, dead_type:escape]</t>
    <phoneticPr fontId="5"/>
  </si>
  <si>
    <t>unit</t>
  </si>
  <si>
    <t>old</t>
    <phoneticPr fontId="7"/>
  </si>
  <si>
    <t>null</t>
    <phoneticPr fontId="5"/>
  </si>
  <si>
    <t>clear</t>
    <phoneticPr fontId="5"/>
  </si>
  <si>
    <t>[effect:dis_panel, target:block_red, turn:1, animation:enemy_dis_red],[effect:rush, count:1, val:1.0],[effect:enemy_message, val1:1.2, val2:1.5]</t>
    <phoneticPr fontId="5"/>
  </si>
  <si>
    <t>[effect:kamikaze, val:1],[effect:enemy_message, val1:1.2, val2:1.2]</t>
    <phoneticPr fontId="5"/>
  </si>
  <si>
    <t>[effect:fix_speed, target:enemy_all, turn:2],[effect:enemy_message, val1:1.2, val2:0]</t>
    <phoneticPr fontId="5"/>
  </si>
  <si>
    <t>(それにしても今回のイベント…妄想が捗るわね…)</t>
    <phoneticPr fontId="5"/>
  </si>
  <si>
    <t>攻撃頻度UP</t>
    <rPh sb="0" eb="2">
      <t>コウゲキ</t>
    </rPh>
    <rPh sb="2" eb="4">
      <t>コウドウヒンド</t>
    </rPh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</si>
  <si>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val1:2.2, val2:3.4]</t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</si>
  <si>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val1:2.2, val2:3.4]</t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</si>
  <si>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val1:2.1, val2:3.4]</t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</si>
  <si>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val1:2.1, val2:3.4]</t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</si>
  <si>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val1:2.4, val2:3.4]</t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</si>
  <si>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val1:1.8, val2:3.4]</t>
    <phoneticPr fontId="5"/>
  </si>
  <si>
    <t>わ、わ、ユキネちゃんだ！サインくださいっ！！！</t>
    <phoneticPr fontId="5"/>
  </si>
  <si>
    <t>[effect:remove_enhancement, target:unit_all, target_effect:all, animation:frozen_wave],[effect:drop_block, block_type:jammer, color:block_all, val:0, rate:0.07, turn:-1, animation:jammer_influence04],[effect:change_panel_ratio, turn:-1, block_type:yellow, val:0, animation:block_incidence04],[effect:fix_speed, target:myself, turn:2],[effect:enemy_message, val1:2.3, val2:3.4]</t>
    <phoneticPr fontId="5"/>
  </si>
  <si>
    <t>[effect:force_change_block, new_block:block_blue, target:block_all, ignore01:crash, ignore02:crack_bomb, ignore03:jammer, ignore04:color_break, ignore05:block_blue, ignore06:magnet, count:5, val:0, animation:change_block],[effect:rush, count:1, val:1.0],[effect:enemy_message, val1:2.3, val2:1.9]</t>
    <phoneticPr fontId="5"/>
  </si>
  <si>
    <t>[effect:force_change_block, new_block:block_blue, target:block_all, ignore01:crash, ignore02:crack_bomb, ignore03:jammer, ignore04:color_break, ignore05:block_blue, ignore06:magnet, count:5, val:0, animation:change_block],[effect:rush, count:1, val:1.0],[effect:enemy_message, val1:1.7, val2:1.9]</t>
    <phoneticPr fontId="5"/>
  </si>
  <si>
    <t>[effect:force_change_block, new_block:block_red, target:block_all, ignore01:crash, ignore02:crack_bomb, ignore03:jammer, ignore04:color_break, ignore05:block_red, ignore06:magnet, count:5, val:0, animation:change_block],[effect:rush, count:1, val:1.0],[effect:enemy_message, val1:1.2, val2:1.9]</t>
    <phoneticPr fontId="5"/>
  </si>
  <si>
    <t>[effect:force_change_block, new_block:jammer, target:block_all, ignore01:jammer, ignore02:crash, ignore03:crack_bomb, ignore04:color_break, ignore05:magnet, count:5, val:0, animation:change_block],[effect:rush, count:4, val:0.25],[effect:enemy_message, val1:1.2, val2:2.3]</t>
    <phoneticPr fontId="5"/>
  </si>
  <si>
    <t>[effect:force_change_block, new_block:jammer, target:block_all, ignore01:jammer, ignore02:crash, ignore03:crack_bomb, ignore04:color_break, ignore05:magnet, count:4, val:0, animation:change_block],[effect:enemy_message, val1:1.2, val2:1.6]</t>
    <phoneticPr fontId="5"/>
  </si>
  <si>
    <t>[effect:break_attack, target:unit_one, val:0.06, lowest_val:7000, count:-1, color:green, block01:block_heart],[effect:enemy_message, val1:1.2, val2:1.3]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</si>
</sst>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16" fillId="30" borderId="7" xfId="0" applyFont="1" applyFill="1" applyBorder="1" applyAlignment="1">
      <alignment vertical="center"/>
    </xf>
    <xf numFmtId="0" fontId="16" fillId="30" borderId="7" xfId="0" applyFont="1" applyFill="1" applyBorder="1" applyAlignment="1">
      <alignment horizontal="left" vertical="center"/>
    </xf>
    <xf numFmtId="0" fontId="16" fillId="30" borderId="7" xfId="0" applyFont="1" applyFill="1" applyBorder="1" applyAlignment="1">
      <alignment horizontal="left" vertical="center" wrapText="1"/>
    </xf>
    <xf numFmtId="14" fontId="16" fillId="30" borderId="7" xfId="0" applyNumberFormat="1" applyFont="1" applyFill="1" applyBorder="1" applyAlignment="1">
      <alignment horizontal="left" vertical="center"/>
    </xf>
    <xf numFmtId="0" fontId="16" fillId="30" borderId="0" xfId="0" applyFont="1" applyFill="1" applyAlignment="1">
      <alignment vertical="center"/>
    </xf>
    <xf numFmtId="0" fontId="14" fillId="30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8087</v>
          </cell>
        </row>
        <row r="1482">
          <cell r="A1482">
            <v>8088</v>
          </cell>
        </row>
        <row r="1483">
          <cell r="A1483">
            <v>8089</v>
          </cell>
        </row>
        <row r="1484">
          <cell r="A1484">
            <v>8090</v>
          </cell>
        </row>
        <row r="1485">
          <cell r="A1485">
            <v>8095</v>
          </cell>
        </row>
        <row r="1486">
          <cell r="A1486">
            <v>8096</v>
          </cell>
        </row>
        <row r="1487">
          <cell r="A1487">
            <v>8097</v>
          </cell>
        </row>
        <row r="1488">
          <cell r="A1488">
            <v>8098</v>
          </cell>
        </row>
        <row r="1489">
          <cell r="A1489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0" sqref="A10"/>
    </sheetView>
  </sheetViews>
  <sheetFormatPr baseColWidth="12" defaultRowHeight="15" x14ac:dyDescent="0.15"/>
  <cols>
    <col min="2" max="2" width="19.6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272</v>
      </c>
      <c r="B2" s="56" t="s">
        <v>107</v>
      </c>
      <c r="C2" s="61">
        <v>49011</v>
      </c>
      <c r="D2" s="56" t="s">
        <v>108</v>
      </c>
      <c r="E2" s="55" t="str">
        <f>B2&amp;C2&amp;D2</f>
        <v>floors_49011.tmp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272</v>
      </c>
      <c r="B3" s="56" t="s">
        <v>110</v>
      </c>
      <c r="C3" s="61">
        <v>49011</v>
      </c>
      <c r="D3" s="56" t="s">
        <v>108</v>
      </c>
      <c r="E3" s="55" t="str">
        <f>B3&amp;C3&amp;D3</f>
        <v>enemy_habitats_49011.tmp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272</v>
      </c>
      <c r="B4" s="56" t="s">
        <v>112</v>
      </c>
      <c r="C4" s="61">
        <v>49011</v>
      </c>
      <c r="D4" s="56" t="s">
        <v>108</v>
      </c>
      <c r="E4" s="55" t="str">
        <f>B4&amp;C4&amp;D4</f>
        <v>enemy_habitat_S_49011.tmp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272</v>
      </c>
      <c r="B5" s="56" t="s">
        <v>114</v>
      </c>
      <c r="C5" s="61">
        <v>49011</v>
      </c>
      <c r="D5" s="56" t="s">
        <v>108</v>
      </c>
      <c r="E5" s="55" t="str">
        <f>B5&amp;C5&amp;D5</f>
        <v>enemy_skill_sets_49011.tmp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272</v>
      </c>
      <c r="B6" s="56" t="s">
        <v>116</v>
      </c>
      <c r="C6" s="61">
        <v>49011</v>
      </c>
      <c r="D6" s="56" t="s">
        <v>117</v>
      </c>
      <c r="E6" s="55" t="str">
        <f t="shared" ref="E6:E10" si="0">B6&amp;C6&amp;D6</f>
        <v>enemy_skills_tmp_49011.tmp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272</v>
      </c>
      <c r="B7" s="56" t="s">
        <v>118</v>
      </c>
      <c r="C7" s="61">
        <v>49011</v>
      </c>
      <c r="D7" s="56" t="s">
        <v>108</v>
      </c>
      <c r="E7" s="55" t="str">
        <f>B7&amp;C7&amp;D7</f>
        <v>enemy_skills_i18n_49011.tmp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272</v>
      </c>
      <c r="B8" s="56" t="s">
        <v>120</v>
      </c>
      <c r="C8" s="61">
        <v>49011</v>
      </c>
      <c r="D8" s="56" t="s">
        <v>121</v>
      </c>
      <c r="E8" s="55" t="str">
        <f t="shared" si="0"/>
        <v>enemy_skill_triggers_49011.tmp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272</v>
      </c>
      <c r="B9" s="66" t="s">
        <v>178</v>
      </c>
      <c r="C9" s="61">
        <v>49011</v>
      </c>
      <c r="D9" s="66" t="s">
        <v>172</v>
      </c>
      <c r="E9" s="67" t="str">
        <f t="shared" si="0"/>
        <v>stage_bug_bonuses_49011.tmp</v>
      </c>
      <c r="F9" s="66" t="s">
        <v>173</v>
      </c>
      <c r="G9" s="63" t="s">
        <v>151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188</v>
      </c>
      <c r="B10" s="66" t="s">
        <v>203</v>
      </c>
      <c r="C10" s="61">
        <v>49011</v>
      </c>
      <c r="D10" s="66" t="s">
        <v>181</v>
      </c>
      <c r="E10" s="67" t="str">
        <f t="shared" si="0"/>
        <v>stage_hints_data_c_49011.tmp</v>
      </c>
      <c r="F10" s="66" t="s">
        <v>211</v>
      </c>
      <c r="G10" s="72" t="s">
        <v>182</v>
      </c>
      <c r="H10" s="72" t="s">
        <v>174</v>
      </c>
      <c r="I10" s="73" t="s">
        <v>183</v>
      </c>
      <c r="J10" s="65" t="s">
        <v>184</v>
      </c>
      <c r="K10" s="65" t="s">
        <v>185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0" t="s">
        <v>333</v>
      </c>
      <c r="B11" s="66" t="s">
        <v>204</v>
      </c>
      <c r="C11" s="61">
        <v>49011</v>
      </c>
      <c r="D11" s="66" t="s">
        <v>172</v>
      </c>
      <c r="E11" s="67" t="str">
        <f t="shared" ref="E11:E13" si="1">B11&amp;C11&amp;D11</f>
        <v>stage_hints_data_f_49011.tmp</v>
      </c>
      <c r="F11" s="66" t="s">
        <v>212</v>
      </c>
      <c r="G11" s="72" t="s">
        <v>182</v>
      </c>
      <c r="H11" s="72" t="s">
        <v>174</v>
      </c>
      <c r="I11" s="73" t="s">
        <v>183</v>
      </c>
      <c r="J11" s="65" t="s">
        <v>184</v>
      </c>
      <c r="K11" s="65" t="s">
        <v>185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6" t="s">
        <v>334</v>
      </c>
      <c r="B12" s="66" t="s">
        <v>205</v>
      </c>
      <c r="C12" s="61">
        <v>49011</v>
      </c>
      <c r="D12" s="66" t="s">
        <v>172</v>
      </c>
      <c r="E12" s="67" t="str">
        <f t="shared" si="1"/>
        <v>stage_hints_i18n_49011.tmp</v>
      </c>
      <c r="F12" s="66" t="s">
        <v>213</v>
      </c>
      <c r="G12" s="73" t="s">
        <v>206</v>
      </c>
      <c r="H12" s="92" t="s">
        <v>207</v>
      </c>
      <c r="I12" s="72" t="s">
        <v>208</v>
      </c>
      <c r="J12" s="100" t="s">
        <v>209</v>
      </c>
      <c r="K12" s="65" t="s">
        <v>210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6" t="s">
        <v>357</v>
      </c>
      <c r="B13" s="66" t="s">
        <v>253</v>
      </c>
      <c r="C13" s="61">
        <v>49011</v>
      </c>
      <c r="D13" s="66" t="s">
        <v>234</v>
      </c>
      <c r="E13" s="67" t="str">
        <f t="shared" si="1"/>
        <v>stage_bonuses_49011.tmp</v>
      </c>
      <c r="F13" s="66" t="s">
        <v>233</v>
      </c>
      <c r="G13" s="72" t="s">
        <v>235</v>
      </c>
      <c r="H13" s="72" t="s">
        <v>236</v>
      </c>
      <c r="I13" s="72" t="s">
        <v>237</v>
      </c>
      <c r="J13" s="72" t="s">
        <v>238</v>
      </c>
      <c r="K13" s="72" t="s">
        <v>239</v>
      </c>
      <c r="L13" s="72" t="s">
        <v>240</v>
      </c>
      <c r="M13" s="72" t="s">
        <v>241</v>
      </c>
      <c r="N13" s="72" t="s">
        <v>242</v>
      </c>
      <c r="O13" s="72" t="s">
        <v>243</v>
      </c>
      <c r="P13" s="72" t="s">
        <v>244</v>
      </c>
      <c r="Q13" s="72" t="s">
        <v>245</v>
      </c>
      <c r="R13" s="72" t="s">
        <v>246</v>
      </c>
      <c r="S13" s="72" t="s">
        <v>247</v>
      </c>
      <c r="T13" s="72" t="s">
        <v>248</v>
      </c>
      <c r="U13" s="72" t="s">
        <v>249</v>
      </c>
      <c r="V13" s="72" t="s">
        <v>250</v>
      </c>
      <c r="W13" s="72" t="s">
        <v>251</v>
      </c>
      <c r="X13" s="72" t="s">
        <v>252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J8" sqref="J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49011_1-1</v>
      </c>
      <c r="B2" s="16" t="str">
        <f>IF(COUNTIF(enemy_habitats!$H:$H,A2),"OK","NG")</f>
        <v>OK</v>
      </c>
      <c r="C2" s="7">
        <v>49011</v>
      </c>
      <c r="D2" s="11" t="str">
        <f ca="1">VLOOKUP($C2,OFFSET([2]quests!$A$1,0,0,COUNTA([2]quests!$A:$A),MATCH(D$1,[2]quests!$1:$1,0)-MATCH($C$1,[2]quests!$1:$1,0)+1),MATCH(D$1,[2]quests!$1:$1,0)-MATCH($C$1,[2]quests!$1:$1,0)+1,FALSE)</f>
        <v>秘密のイベント潜入作戦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コラボ降臨9</v>
      </c>
      <c r="F2" s="21">
        <v>1</v>
      </c>
      <c r="G2" s="23" t="str">
        <f>C2&amp;"_"&amp;F2</f>
        <v>49011_1</v>
      </c>
      <c r="H2" s="15" t="str">
        <f ca="1">VLOOKUP($G2,OFFSET([2]stages!$A$1,0,0,COUNTA([2]stages!$A:$A),MATCH(H$1,[2]stages!$2:$2,0)-MATCH($G$1,[2]stages!$2:$2,0)+1),MATCH(H$1,[2]stages!$2:$2,0)-MATCH($G$1,[2]stages!$2:$2,0)+1,FALSE)</f>
        <v>【ｳｨｻﾞ】秘密のイベント潜入作戦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49011_1-2</v>
      </c>
      <c r="B3" s="16" t="str">
        <f>IF(COUNTIF(enemy_habitats!$H:$H,A3),"OK","NG")</f>
        <v>OK</v>
      </c>
      <c r="C3" s="7">
        <v>49011</v>
      </c>
      <c r="D3" s="11" t="str">
        <f ca="1">VLOOKUP($C3,OFFSET([2]quests!$A$1,0,0,COUNTA([2]quests!$A:$A),MATCH(D$1,[2]quests!$1:$1,0)-MATCH($C$1,[2]quests!$1:$1,0)+1),MATCH(D$1,[2]quests!$1:$1,0)-MATCH($C$1,[2]quests!$1:$1,0)+1,FALSE)</f>
        <v>秘密のイベント潜入作戦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コラボ降臨9</v>
      </c>
      <c r="F3" s="21">
        <v>1</v>
      </c>
      <c r="G3" s="23" t="str">
        <f>C3&amp;"_"&amp;F3</f>
        <v>49011_1</v>
      </c>
      <c r="H3" s="15" t="str">
        <f ca="1">VLOOKUP($G3,OFFSET([2]stages!$A$1,0,0,COUNTA([2]stages!$A:$A),MATCH(H$1,[2]stages!$2:$2,0)-MATCH($G$1,[2]stages!$2:$2,0)+1),MATCH(H$1,[2]stages!$2:$2,0)-MATCH($G$1,[2]stages!$2:$2,0)+1,FALSE)</f>
        <v>【ｳｨｻﾞ】秘密のイベント潜入作戦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49011_1-3</v>
      </c>
      <c r="B4" s="16" t="str">
        <f>IF(COUNTIF(enemy_habitats!$H:$H,A4),"OK","NG")</f>
        <v>OK</v>
      </c>
      <c r="C4" s="7">
        <v>49011</v>
      </c>
      <c r="D4" s="11" t="str">
        <f ca="1">VLOOKUP($C4,OFFSET([2]quests!$A$1,0,0,COUNTA([2]quests!$A:$A),MATCH(D$1,[2]quests!$1:$1,0)-MATCH($C$1,[2]quests!$1:$1,0)+1),MATCH(D$1,[2]quests!$1:$1,0)-MATCH($C$1,[2]quests!$1:$1,0)+1,FALSE)</f>
        <v>秘密のイベント潜入作戦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コラボ降臨9</v>
      </c>
      <c r="F4" s="21">
        <v>1</v>
      </c>
      <c r="G4" s="23" t="str">
        <f>C4&amp;"_"&amp;F4</f>
        <v>49011_1</v>
      </c>
      <c r="H4" s="15" t="str">
        <f ca="1">VLOOKUP($G4,OFFSET([2]stages!$A$1,0,0,COUNTA([2]stages!$A:$A),MATCH(H$1,[2]stages!$2:$2,0)-MATCH($G$1,[2]stages!$2:$2,0)+1),MATCH(H$1,[2]stages!$2:$2,0)-MATCH($G$1,[2]stages!$2:$2,0)+1,FALSE)</f>
        <v>【ｳｨｻﾞ】秘密のイベント潜入作戦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7" sqref="U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254</v>
      </c>
      <c r="U1" s="26" t="s">
        <v>50</v>
      </c>
      <c r="V1" s="101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49011_1-1/70&lt;lv80&gt;s1</v>
      </c>
      <c r="B2" s="22">
        <v>49011</v>
      </c>
      <c r="C2" s="21">
        <v>1</v>
      </c>
      <c r="D2" s="2" t="str">
        <f t="shared" ref="D2:D7" si="1">B2&amp;"_"&amp;C2</f>
        <v>49011_1</v>
      </c>
      <c r="E2" s="4" t="str">
        <f ca="1">VLOOKUP($B2,OFFSET([2]quests!$A$1,0,0,COUNTA([2]quests!$A:$A),MATCH(E$1,[2]quests!$1:$1,0)-MATCH($B$1,[2]quests!$1:$1,0)+1),MATCH(E$1,[2]quests!$1:$1,0)-MATCH($B$1,[2]quests!$1:$1,0)+1,FALSE)</f>
        <v>秘密のイベント潜入作戦</v>
      </c>
      <c r="F2" s="4" t="str">
        <f ca="1">VLOOKUP($D2,OFFSET([2]stages!$A$1,0,0,COUNTA([2]stages!$A:$A),MATCH(F$1,[2]stages!$2:$2,0)-MATCH($D$1,[2]stages!$2:$2,0)+1),MATCH(F$1,[2]stages!$2:$2,0)-MATCH($D$1,[2]stages!$2:$2,0)+1,FALSE)</f>
        <v>【ｳｨｻﾞ】秘密のイベント潜入作戦</v>
      </c>
      <c r="G2" s="21">
        <v>1</v>
      </c>
      <c r="H2" s="15" t="str">
        <f t="shared" ref="H2:H7" si="2">B2&amp;"_"&amp;C2&amp;"-"&amp;G2</f>
        <v>49011_1-1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自由の思想家 ストール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0.4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62680</v>
      </c>
      <c r="U2" s="25">
        <v>0.5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3786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49011000</v>
      </c>
      <c r="Z2" s="6">
        <v>1</v>
      </c>
      <c r="AA2" s="6">
        <v>100</v>
      </c>
      <c r="AB2" s="6">
        <v>1</v>
      </c>
      <c r="AC2" s="17">
        <v>1</v>
      </c>
      <c r="AD2" s="24">
        <f t="shared" ref="AD2:AD7" si="3">L2</f>
        <v>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自由の思想家 ストール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49011_1-1/27&lt;lv80&gt;s2</v>
      </c>
      <c r="B3" s="22">
        <v>49011</v>
      </c>
      <c r="C3" s="21">
        <v>1</v>
      </c>
      <c r="D3" s="2" t="str">
        <f t="shared" si="1"/>
        <v>49011_1</v>
      </c>
      <c r="E3" s="4" t="str">
        <f ca="1">VLOOKUP($B3,OFFSET([2]quests!$A$1,0,0,COUNTA([2]quests!$A:$A),MATCH(E$1,[2]quests!$1:$1,0)-MATCH($B$1,[2]quests!$1:$1,0)+1),MATCH(E$1,[2]quests!$1:$1,0)-MATCH($B$1,[2]quests!$1:$1,0)+1,FALSE)</f>
        <v>秘密のイベント潜入作戦</v>
      </c>
      <c r="F3" s="4" t="str">
        <f ca="1">VLOOKUP($D3,OFFSET([2]stages!$A$1,0,0,COUNTA([2]stages!$A:$A),MATCH(F$1,[2]stages!$2:$2,0)-MATCH($D$1,[2]stages!$2:$2,0)+1),MATCH(F$1,[2]stages!$2:$2,0)-MATCH($D$1,[2]stages!$2:$2,0)+1,FALSE)</f>
        <v>【ｳｨｻﾞ】秘密のイベント潜入作戦</v>
      </c>
      <c r="G3" s="21">
        <v>1</v>
      </c>
      <c r="H3" s="15" t="str">
        <f t="shared" si="2"/>
        <v>49011_1-1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256</v>
      </c>
      <c r="L3" s="20">
        <v>27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パトライン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2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26602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3738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1ターン赤パネル無効+単体攻撃</v>
      </c>
      <c r="Y3" s="4">
        <v>49011100</v>
      </c>
      <c r="Z3" s="6">
        <v>1</v>
      </c>
      <c r="AA3" s="6">
        <v>100</v>
      </c>
      <c r="AB3" s="6">
        <v>0</v>
      </c>
      <c r="AC3" s="17">
        <v>2</v>
      </c>
      <c r="AD3" s="24">
        <f t="shared" si="3"/>
        <v>27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49011_1-1/35&lt;lv80&gt;s1</v>
      </c>
      <c r="B4" s="22">
        <v>49011</v>
      </c>
      <c r="C4" s="21">
        <v>1</v>
      </c>
      <c r="D4" s="2" t="str">
        <f t="shared" si="1"/>
        <v>49011_1</v>
      </c>
      <c r="E4" s="4" t="str">
        <f ca="1">VLOOKUP($B4,OFFSET([2]quests!$A$1,0,0,COUNTA([2]quests!$A:$A),MATCH(E$1,[2]quests!$1:$1,0)-MATCH($B$1,[2]quests!$1:$1,0)+1),MATCH(E$1,[2]quests!$1:$1,0)-MATCH($B$1,[2]quests!$1:$1,0)+1,FALSE)</f>
        <v>秘密のイベント潜入作戦</v>
      </c>
      <c r="F4" s="4" t="str">
        <f ca="1">VLOOKUP($D4,OFFSET([2]stages!$A$1,0,0,COUNTA([2]stages!$A:$A),MATCH(F$1,[2]stages!$2:$2,0)-MATCH($D$1,[2]stages!$2:$2,0)+1),MATCH(F$1,[2]stages!$2:$2,0)-MATCH($D$1,[2]stages!$2:$2,0)+1,FALSE)</f>
        <v>【ｳｨｻﾞ】秘密のイベント潜入作戦</v>
      </c>
      <c r="G4" s="21">
        <v>1</v>
      </c>
      <c r="H4" s="15" t="str">
        <f t="shared" si="2"/>
        <v>49011_1-1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256</v>
      </c>
      <c r="L4" s="20">
        <v>35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F2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2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29926</v>
      </c>
      <c r="U4" s="25">
        <v>0.4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1725.2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自爆攻撃</v>
      </c>
      <c r="Y4" s="4">
        <v>49011200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35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F2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49011_1-2/170&lt;lv80&gt;s2</v>
      </c>
      <c r="B5" s="22">
        <v>49011</v>
      </c>
      <c r="C5" s="21">
        <v>1</v>
      </c>
      <c r="D5" s="2" t="str">
        <f t="shared" si="1"/>
        <v>49011_1</v>
      </c>
      <c r="E5" s="4" t="str">
        <f ca="1">VLOOKUP($B5,OFFSET([2]quests!$A$1,0,0,COUNTA([2]quests!$A:$A),MATCH(E$1,[2]quests!$1:$1,0)-MATCH($B$1,[2]quests!$1:$1,0)+1),MATCH(E$1,[2]quests!$1:$1,0)-MATCH($B$1,[2]quests!$1:$1,0)+1,FALSE)</f>
        <v>秘密のイベント潜入作戦</v>
      </c>
      <c r="F5" s="4" t="str">
        <f ca="1">VLOOKUP($D5,OFFSET([2]stages!$A$1,0,0,COUNTA([2]stages!$A:$A),MATCH(F$1,[2]stages!$2:$2,0)-MATCH($D$1,[2]stages!$2:$2,0)+1),MATCH(F$1,[2]stages!$2:$2,0)-MATCH($D$1,[2]stages!$2:$2,0)+1,FALSE)</f>
        <v>【ｳｨｻﾞ】秘密のイベント潜入作戦</v>
      </c>
      <c r="G5" s="21">
        <v>2</v>
      </c>
      <c r="H5" s="15" t="str">
        <f t="shared" si="2"/>
        <v>49011_1-2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256</v>
      </c>
      <c r="L5" s="20">
        <v>170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識徒 オセ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2.2000000000000002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228241.2</v>
      </c>
      <c r="U5" s="25">
        <v>0.9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9888.3000000000011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5" s="4">
        <v>49011300</v>
      </c>
      <c r="Z5" s="6">
        <v>1</v>
      </c>
      <c r="AA5" s="6">
        <v>100</v>
      </c>
      <c r="AB5" s="6">
        <v>0</v>
      </c>
      <c r="AC5" s="17">
        <v>2</v>
      </c>
      <c r="AD5" s="24">
        <f t="shared" si="3"/>
        <v>170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識徒 オセ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49011_1-2/194&lt;lv80&gt;s2</v>
      </c>
      <c r="B6" s="22">
        <v>49011</v>
      </c>
      <c r="C6" s="21">
        <v>1</v>
      </c>
      <c r="D6" s="2" t="str">
        <f t="shared" si="1"/>
        <v>49011_1</v>
      </c>
      <c r="E6" s="4" t="str">
        <f ca="1">VLOOKUP($B6,OFFSET([2]quests!$A$1,0,0,COUNTA([2]quests!$A:$A),MATCH(E$1,[2]quests!$1:$1,0)-MATCH($B$1,[2]quests!$1:$1,0)+1),MATCH(E$1,[2]quests!$1:$1,0)-MATCH($B$1,[2]quests!$1:$1,0)+1,FALSE)</f>
        <v>秘密のイベント潜入作戦</v>
      </c>
      <c r="F6" s="4" t="str">
        <f ca="1">VLOOKUP($D6,OFFSET([2]stages!$A$1,0,0,COUNTA([2]stages!$A:$A),MATCH(F$1,[2]stages!$2:$2,0)-MATCH($D$1,[2]stages!$2:$2,0)+1),MATCH(F$1,[2]stages!$2:$2,0)-MATCH($D$1,[2]stages!$2:$2,0)+1,FALSE)</f>
        <v>【ｳｨｻﾞ】秘密のイベント潜入作戦</v>
      </c>
      <c r="G6" s="21">
        <v>2</v>
      </c>
      <c r="H6" s="15" t="str">
        <f t="shared" si="2"/>
        <v>49011_1-2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256</v>
      </c>
      <c r="L6" s="20">
        <v>194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スナイパー ロビンフッド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2.2000000000000002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223487.00000000003</v>
      </c>
      <c r="U6" s="25">
        <v>0.9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7216.2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1ターン全ユニットの攻撃力20%DOWN+4回連続攻撃</v>
      </c>
      <c r="Y6" s="4">
        <v>49011400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194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スナイパー ロビンフッド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49011_1-3/1300&lt;lv80&gt;s2</v>
      </c>
      <c r="B7" s="22">
        <v>49011</v>
      </c>
      <c r="C7" s="21">
        <v>1</v>
      </c>
      <c r="D7" s="2" t="str">
        <f t="shared" si="1"/>
        <v>49011_1</v>
      </c>
      <c r="E7" s="4" t="str">
        <f ca="1">VLOOKUP($B7,OFFSET([2]quests!$A$1,0,0,COUNTA([2]quests!$A:$A),MATCH(E$1,[2]quests!$1:$1,0)-MATCH($B$1,[2]quests!$1:$1,0)+1),MATCH(E$1,[2]quests!$1:$1,0)-MATCH($B$1,[2]quests!$1:$1,0)+1,FALSE)</f>
        <v>秘密のイベント潜入作戦</v>
      </c>
      <c r="F7" s="4" t="str">
        <f ca="1">VLOOKUP($D7,OFFSET([2]stages!$A$1,0,0,COUNTA([2]stages!$A:$A),MATCH(F$1,[2]stages!$2:$2,0)-MATCH($D$1,[2]stages!$2:$2,0)+1),MATCH(F$1,[2]stages!$2:$2,0)-MATCH($D$1,[2]stages!$2:$2,0)+1,FALSE)</f>
        <v>【ｳｨｻﾞ】秘密のイベント潜入作戦</v>
      </c>
      <c r="G7" s="21">
        <v>3</v>
      </c>
      <c r="H7" s="15" t="str">
        <f t="shared" si="2"/>
        <v>49011_1-3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1300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歌装の彩唱 紫式部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3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407337</v>
      </c>
      <c r="U7" s="25">
        <v>1.3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11685.7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全ての効果を解除+_x000D_確率でお邪魔パネルがドロップ+_x000D_黄パネルが出現しない</v>
      </c>
      <c r="Y7" s="4">
        <v>49011500</v>
      </c>
      <c r="Z7" s="6">
        <v>1</v>
      </c>
      <c r="AA7" s="6">
        <v>100</v>
      </c>
      <c r="AB7" s="6">
        <v>1</v>
      </c>
      <c r="AC7" s="17">
        <v>2</v>
      </c>
      <c r="AD7" s="24">
        <f t="shared" si="3"/>
        <v>1300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歌装の彩唱 紫式部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tabSelected="1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4" sqref="V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254</v>
      </c>
      <c r="V1" s="26" t="s">
        <v>50</v>
      </c>
      <c r="W1" s="101" t="s">
        <v>255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49011_1-3/1301&lt;lv80&gt;sq1st2</v>
      </c>
      <c r="B2" s="22">
        <v>49011</v>
      </c>
      <c r="C2" s="21">
        <v>1</v>
      </c>
      <c r="D2" s="2" t="str">
        <f>B2&amp;"_"&amp;C2</f>
        <v>49011_1</v>
      </c>
      <c r="E2" s="4" t="str">
        <f ca="1">VLOOKUP($B2,OFFSET([2]quests!$A$1,0,0,COUNTA([2]quests!$A:$A),MATCH(E$1,[2]quests!$1:$1,0)-MATCH($B$1,[2]quests!$1:$1,0)+1),MATCH(E$1,[2]quests!$1:$1,0)-MATCH($B$1,[2]quests!$1:$1,0)+1,FALSE)</f>
        <v>秘密のイベント潜入作戦</v>
      </c>
      <c r="F2" s="4" t="str">
        <f ca="1">VLOOKUP($D2,OFFSET([2]stages!$A$1,0,0,COUNTA([2]stages!$A:$A),MATCH(F$1,[2]stages!$2:$2,0)-MATCH($D$1,[2]stages!$2:$2,0)+1),MATCH(F$1,[2]stages!$2:$2,0)-MATCH($D$1,[2]stages!$2:$2,0)+1,FALSE)</f>
        <v>【ｳｨｻﾞ】秘密のイベント潜入作戦</v>
      </c>
      <c r="G2" s="21">
        <v>3</v>
      </c>
      <c r="H2" s="15" t="str">
        <f>B2&amp;"_"&amp;C2&amp;"-"&amp;G2</f>
        <v>49011_1-3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1301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歌装の萌響女 紫式部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4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543116</v>
      </c>
      <c r="V2" s="25">
        <v>1.2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10786.8</v>
      </c>
      <c r="X2" s="5">
        <v>0</v>
      </c>
      <c r="Y2" s="4"/>
      <c r="Z2" s="4">
        <v>49011600</v>
      </c>
      <c r="AA2" s="69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49011_1-3/1301&lt;lv80&gt;sq1st3</v>
      </c>
      <c r="B3" s="22">
        <v>49011</v>
      </c>
      <c r="C3" s="21">
        <v>1</v>
      </c>
      <c r="D3" s="2" t="str">
        <f>B3&amp;"_"&amp;C3</f>
        <v>49011_1</v>
      </c>
      <c r="E3" s="4" t="str">
        <f ca="1">VLOOKUP($B3,OFFSET([2]quests!$A$1,0,0,COUNTA([2]quests!$A:$A),MATCH(E$1,[2]quests!$1:$1,0)-MATCH($B$1,[2]quests!$1:$1,0)+1),MATCH(E$1,[2]quests!$1:$1,0)-MATCH($B$1,[2]quests!$1:$1,0)+1,FALSE)</f>
        <v>秘密のイベント潜入作戦</v>
      </c>
      <c r="F3" s="4" t="str">
        <f ca="1">VLOOKUP($D3,OFFSET([2]stages!$A$1,0,0,COUNTA([2]stages!$A:$A),MATCH(F$1,[2]stages!$2:$2,0)-MATCH($D$1,[2]stages!$2:$2,0)+1),MATCH(F$1,[2]stages!$2:$2,0)-MATCH($D$1,[2]stages!$2:$2,0)+1,FALSE)</f>
        <v>【ｳｨｻﾞ】秘密のイベント潜入作戦</v>
      </c>
      <c r="G3" s="21">
        <v>3</v>
      </c>
      <c r="H3" s="15" t="str">
        <f>B3&amp;"_"&amp;C3&amp;"-"&amp;G3</f>
        <v>49011_1-3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1301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歌装の萌響女 紫式部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4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543116</v>
      </c>
      <c r="V3" s="25">
        <v>1.3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11685.7</v>
      </c>
      <c r="X3" s="5">
        <v>0</v>
      </c>
      <c r="Y3" s="4"/>
      <c r="Z3" s="4">
        <v>49011700</v>
      </c>
      <c r="AA3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7"/>
  <sheetViews>
    <sheetView showGridLines="0" workbookViewId="0">
      <pane xSplit="5" ySplit="1" topLeftCell="F17" activePane="bottomRight" state="frozen"/>
      <selection pane="topRight"/>
      <selection pane="bottomLeft"/>
      <selection pane="bottomRight" activeCell="C33" sqref="C3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9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49011000_49011000</v>
      </c>
      <c r="B2" s="104">
        <v>49011000</v>
      </c>
      <c r="C2" s="104">
        <v>49011000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防壁展開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3ターン全属性ダメージ50%軽減</v>
      </c>
      <c r="F2" s="104">
        <v>49011000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2" si="1">B3&amp;"_"&amp;C3</f>
        <v>49011000_49011001</v>
      </c>
      <c r="B3" s="104">
        <v>49011000</v>
      </c>
      <c r="C3" s="104">
        <v>49011001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妨害データ生成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ランダムでお邪魔パネルに4個変換</v>
      </c>
      <c r="F3" s="104">
        <v>49011001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49011100_49011100</v>
      </c>
      <c r="B4" s="107">
        <v>49011100</v>
      </c>
      <c r="C4" s="107">
        <v>49011100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緊急逮捕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1ターン赤パネル無効+単体攻撃</v>
      </c>
      <c r="F4" s="107">
        <v>49011100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49011200_49011200</v>
      </c>
      <c r="B5" s="110">
        <v>49011200</v>
      </c>
      <c r="C5" s="110">
        <v>49011200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自爆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自爆攻撃</v>
      </c>
      <c r="F5" s="110">
        <v>49011200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49011300_49011300</v>
      </c>
      <c r="B6" s="113">
        <v>49011300</v>
      </c>
      <c r="C6" s="113">
        <v>49011300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すごい人混みね…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" s="113">
        <v>49011300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49011300_49011301</v>
      </c>
      <c r="B7" s="113">
        <v>49011300</v>
      </c>
      <c r="C7" s="113">
        <v>49011301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大混雑バレッジ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ランダムでお邪魔パネルに5個変換+4回連続攻撃</v>
      </c>
      <c r="F7" s="113">
        <v>49011301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49011300_49011302</v>
      </c>
      <c r="B8" s="113">
        <v>49011300</v>
      </c>
      <c r="C8" s="113">
        <v>49011302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強行突破するわ！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8" s="113">
        <v>49011302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2">B9&amp;"_"&amp;C9</f>
        <v>49011300_49011303</v>
      </c>
      <c r="B9" s="113">
        <v>49011300</v>
      </c>
      <c r="C9" s="113">
        <v>49011303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待ってよロビン！！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9" s="113">
        <v>49011303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194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49011400_49011400</v>
      </c>
      <c r="B10" s="116">
        <v>49011400</v>
      </c>
      <c r="C10" s="116">
        <v>49011400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ダウナーショット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1ターン全ユニットの攻撃力20%DOWN+4回連続攻撃</v>
      </c>
      <c r="F10" s="116">
        <v>49011400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49011400_49011401</v>
      </c>
      <c r="B11" s="116">
        <v>49011400</v>
      </c>
      <c r="C11" s="116">
        <v>49011401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ブルージャミング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3ターン青パネル無効</v>
      </c>
      <c r="F11" s="116">
        <v>49011401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49011400_49011402</v>
      </c>
      <c r="B12" s="116">
        <v>49011400</v>
      </c>
      <c r="C12" s="116">
        <v>49011402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オセ…はぐれちゃった…？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2" s="116">
        <v>49011402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170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49011500_49011500</v>
      </c>
      <c r="B13" s="104">
        <v>49011500</v>
      </c>
      <c r="C13" s="104">
        <v>49011500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ふふ…今日の新作…どれも素晴らしいわ…！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13" s="104">
        <v>49011500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49011500_49011501</v>
      </c>
      <c r="B14" s="104">
        <v>49011500</v>
      </c>
      <c r="C14" s="104">
        <v>49011501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えっ…にやけてた？そそそそんなバカな！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14" s="104">
        <v>49011501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49011500_49011502</v>
      </c>
      <c r="B15" s="104">
        <v>49011500</v>
      </c>
      <c r="C15" s="104">
        <v>49011502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妄想ドレイン！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15" s="104">
        <v>49011502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49011500_49011503</v>
      </c>
      <c r="B16" s="104">
        <v>49011500</v>
      </c>
      <c r="C16" s="104">
        <v>49011503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新作は全部いただくわ！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16" s="104">
        <v>49011503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20" si="3">B17&amp;"_"&amp;C17</f>
        <v>49011500_49011504</v>
      </c>
      <c r="B17" s="104">
        <v>49011500</v>
      </c>
      <c r="C17" s="104">
        <v>49011504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これは…ヘタレ属性！尊い！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5ターン攻撃力50%DOWN+クリティカル！</v>
      </c>
      <c r="F17" s="104">
        <v>49011504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49011500_49011505</v>
      </c>
      <c r="B18" s="104">
        <v>49011500</v>
      </c>
      <c r="C18" s="104">
        <v>49011505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18" s="104">
        <v>49011505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49011500_49011505</v>
      </c>
      <c r="B19" s="104">
        <v>49011500</v>
      </c>
      <c r="C19" s="104">
        <v>49011505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19" s="104">
        <v>49011506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49011500_49011505</v>
      </c>
      <c r="B20" s="104">
        <v>49011500</v>
      </c>
      <c r="C20" s="104">
        <v>49011505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0" s="104">
        <v>49011507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25" si="4">B21&amp;"_"&amp;C21</f>
        <v>49011500_49011505</v>
      </c>
      <c r="B21" s="104">
        <v>49011500</v>
      </c>
      <c r="C21" s="104">
        <v>49011505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1" s="104">
        <v>49011509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4"/>
        <v>49011500_49011505</v>
      </c>
      <c r="B22" s="104">
        <v>49011500</v>
      </c>
      <c r="C22" s="104">
        <v>49011505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2" s="104">
        <v>49011511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49011500_49011508</v>
      </c>
      <c r="B23" s="104">
        <v>49011500</v>
      </c>
      <c r="C23" s="104">
        <v>49011508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わ、わ、リンちゃんだ！サインくださいっ！！！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3" s="104">
        <v>49011513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49011500_49011509</v>
      </c>
      <c r="B24" s="104">
        <v>49011500</v>
      </c>
      <c r="C24" s="104">
        <v>49011509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わ、わ、レンきゅんだ！サインくださいっ！！！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4" s="104">
        <v>49011515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49011500_49011507</v>
      </c>
      <c r="B25" s="104">
        <v>49011500</v>
      </c>
      <c r="C25" s="104">
        <v>49011507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わ、わ、ルカさんだ！サインくださいっ！！！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5" s="104">
        <v>49011517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34" si="5">B26&amp;"_"&amp;C26</f>
        <v>49011500_49011510</v>
      </c>
      <c r="B26" s="104">
        <v>49011500</v>
      </c>
      <c r="C26" s="104">
        <v>49011510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わ、わ、MEIKOさんだ！サインくださいっ！！！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6" s="104">
        <v>49011519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5"/>
        <v>49011500_49011511</v>
      </c>
      <c r="B27" s="104">
        <v>49011500</v>
      </c>
      <c r="C27" s="104">
        <v>49011511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わ、わ、KAITOさんだ！サインくださいっ！！！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7" s="104">
        <v>49011521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5"/>
        <v>49011500_49011505</v>
      </c>
      <c r="B28" s="104">
        <v>49011500</v>
      </c>
      <c r="C28" s="104">
        <v>49011505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8" s="104">
        <v>49011523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5"/>
        <v>49011500_49011505</v>
      </c>
      <c r="B29" s="104">
        <v>49011500</v>
      </c>
      <c r="C29" s="104">
        <v>49011505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29" s="104">
        <v>49011525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340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5"/>
        <v>49011500_49011512</v>
      </c>
      <c r="B30" s="104">
        <v>49011500</v>
      </c>
      <c r="C30" s="104">
        <v>49011512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わ、わ、ユキネちゃんだ！サインくださいっ！！！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0" s="104">
        <v>49011527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5"/>
        <v>49011500_49011512</v>
      </c>
      <c r="B31" s="104">
        <v>49011500</v>
      </c>
      <c r="C31" s="104">
        <v>49011512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わ、わ、ユキネちゃんだ！サインくださいっ！！！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1" s="104">
        <v>49011530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5"/>
        <v>49011500_49011505</v>
      </c>
      <c r="B32" s="104">
        <v>49011500</v>
      </c>
      <c r="C32" s="104">
        <v>49011505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2" s="104">
        <v>49011532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5"/>
        <v>49011500_49011513</v>
      </c>
      <c r="B33" s="104">
        <v>49011500</v>
      </c>
      <c r="C33" s="104">
        <v>49011513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あなたのコスプレ…うん…いいわね！！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3" s="104">
        <v>49011535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5"/>
        <v>49011500_49011513</v>
      </c>
      <c r="B34" s="104">
        <v>49011500</v>
      </c>
      <c r="C34" s="104">
        <v>49011513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あなたのコスプレ…うん…いいわね！！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4" s="104">
        <v>49011537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:A40" si="6">B35&amp;"_"&amp;C35</f>
        <v>49011500_49011513</v>
      </c>
      <c r="B35" s="104">
        <v>49011500</v>
      </c>
      <c r="C35" s="104">
        <v>49011513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あなたのコスプレ…うん…いいわね！！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5" s="104">
        <v>49011539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6"/>
        <v>49011500_49011513</v>
      </c>
      <c r="B36" s="104">
        <v>49011500</v>
      </c>
      <c r="C36" s="104">
        <v>49011513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あなたのコスプレ…うん…いいわね！！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6" s="104">
        <v>49011541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6"/>
        <v>49011500_49011505</v>
      </c>
      <c r="B37" s="104">
        <v>49011500</v>
      </c>
      <c r="C37" s="104">
        <v>49011505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わ、わ、ミクさんだ！サインくださいっ！！！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7" s="104">
        <v>49011551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49011500_49011508</v>
      </c>
      <c r="B38" s="104">
        <v>49011500</v>
      </c>
      <c r="C38" s="104">
        <v>49011508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わ、わ、リンちゃんだ！サインくださいっ！！！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8" s="104">
        <v>49011553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49011500_49011509</v>
      </c>
      <c r="B39" s="104">
        <v>49011500</v>
      </c>
      <c r="C39" s="104">
        <v>49011509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わ、わ、レンきゅんだ！サインくださいっ！！！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39" s="104">
        <v>49011555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6"/>
        <v>49011500_49011507</v>
      </c>
      <c r="B40" s="104">
        <v>49011500</v>
      </c>
      <c r="C40" s="104">
        <v>49011507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わ、わ、ルカさんだ！サインくださいっ！！！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全ての効果を解除+_x000D_確率でお邪魔パネルがドロップ+_x000D_黄パネルが出現しない</v>
      </c>
      <c r="F40" s="104">
        <v>49011557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49011600_49011600</v>
      </c>
      <c r="B41" s="119">
        <v>49011600</v>
      </c>
      <c r="C41" s="119">
        <v>49011600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えっ！？紫式部！？違います！人違いですっ！！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10ターン青パネル無効+青パネルドロップ率UP</v>
      </c>
      <c r="F41" s="119">
        <v>49011600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49011600_49011601</v>
      </c>
      <c r="B42" s="119">
        <v>49011600</v>
      </c>
      <c r="C42" s="119">
        <v>49011601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おおおお願いだから撮らないで！晒さないでっ！！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ランダムで青パネルに5個変換+単体攻撃</v>
      </c>
      <c r="F42" s="119">
        <v>49011601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49011600_49011602</v>
      </c>
      <c r="B43" s="119">
        <v>49011600</v>
      </c>
      <c r="C43" s="119">
        <v>49011602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人違いだってば！！撮っちゃダメ！！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ランダムで青パネルに5個変換+単体攻撃</v>
      </c>
      <c r="F43" s="119">
        <v>49011602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7"/>
      <c r="Q43" s="47"/>
      <c r="R43" s="47"/>
    </row>
    <row r="44" spans="1:18" ht="21" customHeight="1" x14ac:dyDescent="0.15">
      <c r="A44" s="39" t="str">
        <f t="shared" si="1"/>
        <v>49011600_49011603</v>
      </c>
      <c r="B44" s="119">
        <v>49011600</v>
      </c>
      <c r="C44" s="119">
        <v>49011603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み、ミクです！！私ミクです！ぅぅ…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ランダムで青パネルに5個変換+単体攻撃</v>
      </c>
      <c r="F44" s="119">
        <v>49011603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49011600_49011604</v>
      </c>
      <c r="B45" s="119">
        <v>49011600</v>
      </c>
      <c r="C45" s="119">
        <v>49011604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スキありっ！限定グッズもいただきよっ！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45" s="119">
        <v>49011604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" si="7">B46&amp;"_"&amp;C46</f>
        <v>49011600_49011605</v>
      </c>
      <c r="B46" s="119">
        <v>49011600</v>
      </c>
      <c r="C46" s="119">
        <v>49011605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あ！新作ハッケーン！いただきー！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46" s="119">
        <v>49011605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" si="8">B47&amp;"_"&amp;C47</f>
        <v>49011600_49011606</v>
      </c>
      <c r="B47" s="119">
        <v>49011600</v>
      </c>
      <c r="C47" s="119">
        <v>49011606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(それにしても今回のイベント…妄想が捗るわね…)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お邪魔パネルを吸収して回復(最大10個)</v>
      </c>
      <c r="F47" s="119">
        <v>49011606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49011700_49011700</v>
      </c>
      <c r="B48" s="122">
        <v>49011700</v>
      </c>
      <c r="C48" s="122">
        <v>49011700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くっ…バレてしまっては仕方ない…いくわよー！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10ターン赤パネル無効+赤パネル出現率UP</v>
      </c>
      <c r="F48" s="122">
        <v>49011700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49011700_49011701</v>
      </c>
      <c r="B49" s="122">
        <v>49011700</v>
      </c>
      <c r="C49" s="122">
        <v>49011701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妄想バースト！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ランダムで赤パネルに5個変換+単体攻撃</v>
      </c>
      <c r="F49" s="122">
        <v>49011701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"/>
        <v>49011700_49011702</v>
      </c>
      <c r="B50" s="122">
        <v>49011700</v>
      </c>
      <c r="C50" s="122">
        <v>49011702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既刊も全部いただきっ！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50" s="122">
        <v>49011702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"/>
        <v>49011700_49011703</v>
      </c>
      <c r="B51" s="122">
        <v>49011700</v>
      </c>
      <c r="C51" s="122">
        <v>49011703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みっく式！新刊回収攻撃！！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51" s="122">
        <v>49011703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"/>
        <v>49011700_49011704</v>
      </c>
      <c r="B52" s="122">
        <v>49011700</v>
      </c>
      <c r="C52" s="122">
        <v>49011704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ラストスパート…いくわよっ！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1ターンお邪魔パネルを吸収して攻撃力UP(最大10個)</v>
      </c>
      <c r="F52" s="122">
        <v>49011704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" si="9">B53&amp;"_"&amp;C53</f>
        <v>49011700_49011705</v>
      </c>
      <c r="B53" s="122">
        <v>49011700</v>
      </c>
      <c r="C53" s="122">
        <v>49011705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さて…帰って戦利品を楽しむわよ…ふふふ…！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3" s="122">
        <v>49011705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:A107" si="10">B54&amp;"_"&amp;C54</f>
        <v>49011700_49011706</v>
      </c>
      <c r="B54" s="122">
        <v>49011700</v>
      </c>
      <c r="C54" s="122">
        <v>49011706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4" s="122">
        <v>49011706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0"/>
        <v>49011700_49011706</v>
      </c>
      <c r="B55" s="122">
        <v>49011700</v>
      </c>
      <c r="C55" s="122">
        <v>49011706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5" s="122">
        <v>49011707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0"/>
        <v>49011700_49011706</v>
      </c>
      <c r="B56" s="122">
        <v>49011700</v>
      </c>
      <c r="C56" s="122">
        <v>49011706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6" s="122">
        <v>49011708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432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0"/>
        <v>49011700_49011706</v>
      </c>
      <c r="B57" s="122">
        <v>49011700</v>
      </c>
      <c r="C57" s="122">
        <v>49011706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7" s="122">
        <v>49011709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431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0"/>
        <v>49011700_49011706</v>
      </c>
      <c r="B58" s="122">
        <v>49011700</v>
      </c>
      <c r="C58" s="122">
        <v>49011706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8" s="122">
        <v>49011710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223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0"/>
        <v>49011700_49011706</v>
      </c>
      <c r="B59" s="122">
        <v>49011700</v>
      </c>
      <c r="C59" s="122">
        <v>49011706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9" s="122">
        <v>49011711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0"/>
        <v>49011700_49011706</v>
      </c>
      <c r="B60" s="122">
        <v>49011700</v>
      </c>
      <c r="C60" s="122">
        <v>49011706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0" s="122">
        <v>49011712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0"/>
        <v>49011700_49011706</v>
      </c>
      <c r="B61" s="122">
        <v>49011700</v>
      </c>
      <c r="C61" s="122">
        <v>49011706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1" s="122">
        <v>49011713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0"/>
        <v>49011700_49011706</v>
      </c>
      <c r="B62" s="122">
        <v>49011700</v>
      </c>
      <c r="C62" s="122">
        <v>49011706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2" s="122">
        <v>49011714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452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0"/>
        <v>49011700_49011706</v>
      </c>
      <c r="B63" s="122">
        <v>49011700</v>
      </c>
      <c r="C63" s="122">
        <v>49011706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3" s="122">
        <v>49011715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451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0"/>
        <v>49011700_49011706</v>
      </c>
      <c r="B64" s="122">
        <v>49011700</v>
      </c>
      <c r="C64" s="122">
        <v>49011706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4" s="122">
        <v>49011716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462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0"/>
        <v>49011700_49011706</v>
      </c>
      <c r="B65" s="122">
        <v>49011700</v>
      </c>
      <c r="C65" s="122">
        <v>49011706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5" s="122">
        <v>49011717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461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0"/>
        <v>49011700_49011706</v>
      </c>
      <c r="B66" s="122">
        <v>49011700</v>
      </c>
      <c r="C66" s="122">
        <v>49011706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6" s="122">
        <v>49011718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0"/>
        <v>49011700_49011706</v>
      </c>
      <c r="B67" s="122">
        <v>49011700</v>
      </c>
      <c r="C67" s="122">
        <v>49011706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7" s="122">
        <v>49011719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0"/>
        <v>49011700_49011706</v>
      </c>
      <c r="B68" s="122">
        <v>49011700</v>
      </c>
      <c r="C68" s="122">
        <v>49011706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8" s="122">
        <v>49011720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0"/>
        <v>49011700_49011706</v>
      </c>
      <c r="B69" s="122">
        <v>49011700</v>
      </c>
      <c r="C69" s="122">
        <v>49011706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9" s="122">
        <v>49011721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0"/>
        <v>49011700_49011706</v>
      </c>
      <c r="B70" s="122">
        <v>49011700</v>
      </c>
      <c r="C70" s="122">
        <v>49011706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0" s="122">
        <v>49011722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322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0"/>
        <v>49011700_49011706</v>
      </c>
      <c r="B71" s="122">
        <v>49011700</v>
      </c>
      <c r="C71" s="122">
        <v>49011706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1" s="122">
        <v>49011723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321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0"/>
        <v>49011700_49011706</v>
      </c>
      <c r="B72" s="122">
        <v>49011700</v>
      </c>
      <c r="C72" s="122">
        <v>49011706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2" s="122">
        <v>49011724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331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0"/>
        <v>49011700_49011706</v>
      </c>
      <c r="B73" s="122">
        <v>49011700</v>
      </c>
      <c r="C73" s="122">
        <v>49011706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3" s="122">
        <v>49011725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330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0"/>
        <v>49011700_49011706</v>
      </c>
      <c r="B74" s="122">
        <v>49011700</v>
      </c>
      <c r="C74" s="122">
        <v>49011706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4" s="122">
        <v>49011726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341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0"/>
        <v>49011700_49011706</v>
      </c>
      <c r="B75" s="122">
        <v>49011700</v>
      </c>
      <c r="C75" s="122">
        <v>49011706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5" s="122">
        <v>49011727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340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0"/>
        <v>49011700_49011706</v>
      </c>
      <c r="B76" s="122">
        <v>49011700</v>
      </c>
      <c r="C76" s="122">
        <v>49011706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6" s="122">
        <v>49011728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372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0"/>
        <v>49011700_49011706</v>
      </c>
      <c r="B77" s="122">
        <v>49011700</v>
      </c>
      <c r="C77" s="122">
        <v>49011706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7" s="122">
        <v>49011729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371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0"/>
        <v>49011700_49011706</v>
      </c>
      <c r="B78" s="122">
        <v>49011700</v>
      </c>
      <c r="C78" s="122">
        <v>49011706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8" s="122">
        <v>49011730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0"/>
        <v>49011700_49011706</v>
      </c>
      <c r="B79" s="122">
        <v>49011700</v>
      </c>
      <c r="C79" s="122">
        <v>49011706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9" s="122">
        <v>49011731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311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0"/>
        <v>49011700_49011706</v>
      </c>
      <c r="B80" s="122">
        <v>49011700</v>
      </c>
      <c r="C80" s="122">
        <v>49011706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0" s="122">
        <v>49011732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0"/>
        <v>49011700_49011706</v>
      </c>
      <c r="B81" s="122">
        <v>49011700</v>
      </c>
      <c r="C81" s="122">
        <v>49011706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1" s="122">
        <v>49011733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0"/>
        <v>49011700_49011706</v>
      </c>
      <c r="B82" s="122">
        <v>49011700</v>
      </c>
      <c r="C82" s="122">
        <v>49011706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2" s="122">
        <v>49011734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0"/>
        <v>49011700_49011706</v>
      </c>
      <c r="B83" s="122">
        <v>49011700</v>
      </c>
      <c r="C83" s="122">
        <v>49011706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3" s="122">
        <v>49011735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0"/>
        <v>49011700_49011707</v>
      </c>
      <c r="B84" s="122">
        <v>49011700</v>
      </c>
      <c r="C84" s="122">
        <v>49011707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4" s="122">
        <v>49011736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0"/>
        <v>49011700_49011707</v>
      </c>
      <c r="B85" s="122">
        <v>49011700</v>
      </c>
      <c r="C85" s="122">
        <v>49011707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5" s="122">
        <v>49011737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0"/>
        <v>49011700_49011707</v>
      </c>
      <c r="B86" s="122">
        <v>49011700</v>
      </c>
      <c r="C86" s="122">
        <v>49011707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6" s="122">
        <v>49011738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441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0"/>
        <v>49011700_49011707</v>
      </c>
      <c r="B87" s="122">
        <v>49011700</v>
      </c>
      <c r="C87" s="122">
        <v>49011707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7" s="122">
        <v>49011739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0"/>
        <v>49011700_49011707</v>
      </c>
      <c r="B88" s="122">
        <v>49011700</v>
      </c>
      <c r="C88" s="122">
        <v>49011707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8" s="122">
        <v>49011740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0"/>
        <v>49011700_49011707</v>
      </c>
      <c r="B89" s="122">
        <v>49011700</v>
      </c>
      <c r="C89" s="122">
        <v>49011707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9" s="122">
        <v>49011741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0"/>
        <v>49011700_49011707</v>
      </c>
      <c r="B90" s="122">
        <v>49011700</v>
      </c>
      <c r="C90" s="122">
        <v>49011707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0" s="122">
        <v>49011742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0"/>
        <v>49011700_49011707</v>
      </c>
      <c r="B91" s="122">
        <v>49011700</v>
      </c>
      <c r="C91" s="122">
        <v>49011707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ボカロレイヤーさん最高でしたっ！また会いましょう！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1" s="122">
        <v>49011743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0"/>
        <v>49011700_49011706</v>
      </c>
      <c r="B92" s="122">
        <v>49011700</v>
      </c>
      <c r="C92" s="122">
        <v>49011706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2" s="122">
        <v>49011744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0"/>
        <v>49011700_49011706</v>
      </c>
      <c r="B93" s="122">
        <v>49011700</v>
      </c>
      <c r="C93" s="122">
        <v>49011706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3" s="122">
        <v>49011745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0"/>
        <v>49011700_49011706</v>
      </c>
      <c r="B94" s="122">
        <v>49011700</v>
      </c>
      <c r="C94" s="122">
        <v>49011706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4" s="122">
        <v>49011746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0"/>
        <v>49011700_49011706</v>
      </c>
      <c r="B95" s="122">
        <v>49011700</v>
      </c>
      <c r="C95" s="122">
        <v>49011706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5" s="122">
        <v>49011747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0"/>
        <v>49011700_49011706</v>
      </c>
      <c r="B96" s="122">
        <v>49011700</v>
      </c>
      <c r="C96" s="122">
        <v>49011706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6" s="122">
        <v>49011748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0"/>
        <v>49011700_49011706</v>
      </c>
      <c r="B97" s="122">
        <v>49011700</v>
      </c>
      <c r="C97" s="122">
        <v>49011706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7" s="122">
        <v>49011749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0"/>
        <v>49011700_49011706</v>
      </c>
      <c r="B98" s="122">
        <v>49011700</v>
      </c>
      <c r="C98" s="122">
        <v>49011706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8" s="122">
        <v>49011750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0"/>
        <v>49011700_49011706</v>
      </c>
      <c r="B99" s="122">
        <v>49011700</v>
      </c>
      <c r="C99" s="122">
        <v>49011706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9" s="122">
        <v>49011751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0"/>
        <v>49011700_49011706</v>
      </c>
      <c r="B100" s="122">
        <v>49011700</v>
      </c>
      <c r="C100" s="122">
        <v>49011706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0" s="122">
        <v>49011752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0"/>
        <v>49011700_49011706</v>
      </c>
      <c r="B101" s="122">
        <v>49011700</v>
      </c>
      <c r="C101" s="122">
        <v>49011706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1" s="122">
        <v>49011753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0"/>
        <v>49011700_49011706</v>
      </c>
      <c r="B102" s="122">
        <v>49011700</v>
      </c>
      <c r="C102" s="122">
        <v>49011706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2" s="122">
        <v>49011754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411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0"/>
        <v>49011700_49011706</v>
      </c>
      <c r="B103" s="122">
        <v>49011700</v>
      </c>
      <c r="C103" s="122">
        <v>49011706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3" s="122">
        <v>49011755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0"/>
        <v>49011700_49011706</v>
      </c>
      <c r="B104" s="122">
        <v>49011700</v>
      </c>
      <c r="C104" s="122">
        <v>49011706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4" s="122">
        <v>49011756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421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0"/>
        <v>49011700_49011706</v>
      </c>
      <c r="B105" s="122">
        <v>49011700</v>
      </c>
      <c r="C105" s="122">
        <v>49011706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5" s="122">
        <v>49011757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0"/>
        <v>49011700_49011706</v>
      </c>
      <c r="B106" s="122">
        <v>49011700</v>
      </c>
      <c r="C106" s="122">
        <v>49011706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6" s="122">
        <v>49011758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0"/>
        <v>49011700_49011706</v>
      </c>
      <c r="B107" s="122">
        <v>49011700</v>
      </c>
      <c r="C107" s="122">
        <v>49011706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あっありがとうございましたっ！あ、サインくだs…！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7" s="122">
        <v>49011759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41"/>
  <sheetViews>
    <sheetView showGridLines="0" zoomScaleNormal="75" zoomScalePageLayoutView="75" workbookViewId="0">
      <pane ySplit="1" topLeftCell="A13" activePane="bottomLeft" state="frozenSplit"/>
      <selection pane="bottomLeft" activeCell="B19" sqref="B1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83203125" style="49" customWidth="1"/>
    <col min="3" max="3" width="4.83203125" style="49" customWidth="1"/>
    <col min="4" max="4" width="5.1640625" style="49" customWidth="1"/>
    <col min="5" max="5" width="20.83203125" style="49" customWidth="1"/>
    <col min="6" max="6" width="43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4.1640625" style="49" customWidth="1" collapsed="1"/>
    <col min="13" max="18" width="23.6640625" style="49" hidden="1" customWidth="1" outlineLevel="1"/>
    <col min="19" max="19" width="9.6640625" style="49" customWidth="1" collapsed="1"/>
    <col min="20" max="24" width="23.6640625" style="49" hidden="1" customWidth="1" outlineLevel="1"/>
    <col min="25" max="25" width="7.5" style="49" customWidth="1" collapsed="1"/>
    <col min="26" max="26" width="5.83203125" style="49" customWidth="1"/>
    <col min="27" max="27" width="5.5" style="49" customWidth="1"/>
    <col min="28" max="28" width="5.6640625" style="49" customWidth="1"/>
    <col min="29" max="16384" width="12.83203125" style="49"/>
  </cols>
  <sheetData>
    <row r="1" spans="1:30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30" ht="21" customHeight="1" x14ac:dyDescent="0.15">
      <c r="A2" s="104">
        <v>49011000</v>
      </c>
      <c r="B2" s="104" t="s">
        <v>335</v>
      </c>
      <c r="C2" s="105">
        <v>3</v>
      </c>
      <c r="D2" s="105" t="s">
        <v>128</v>
      </c>
      <c r="E2" s="106" t="s">
        <v>273</v>
      </c>
      <c r="F2" s="106" t="s">
        <v>320</v>
      </c>
      <c r="G2" s="62" t="str">
        <f t="shared" ref="G2:G38" si="0">IFERROR(LEFT(B2,FIND("],",B2)),B2)</f>
        <v>[effect:reduction, target:myself, color:all, turn:3, val:0.5, animation:reduction_one01]</v>
      </c>
      <c r="H2" s="62">
        <f t="shared" ref="H2:H38" si="1">FIND("effect:",G2)+7</f>
        <v>9</v>
      </c>
      <c r="I2" s="62">
        <f t="shared" ref="I2:I38" si="2">IFERROR(FIND(",",G2),LEN(G2))</f>
        <v>18</v>
      </c>
      <c r="J2" s="62">
        <f t="shared" ref="J2:J38" si="3">FIND("target:",G2)+7</f>
        <v>27</v>
      </c>
      <c r="K2" s="62">
        <f t="shared" ref="K2:K38" si="4">FIND(",",G2,I2+1)</f>
        <v>33</v>
      </c>
      <c r="L2" s="62" t="str">
        <f>IFERROR(VLOOKUP(MID(G2,J2,K2-J2),[6]skilldef!$C:$D,2,FALSE),"-") &amp; " / " &amp; IFERROR(VLOOKUP(MID(G2,H2,I2-H2),[6]skilldef!$A:$B,2,FALSE),"-")</f>
        <v>自分自身に / -</v>
      </c>
      <c r="M2" s="62" t="str">
        <f t="shared" ref="M2:M38" si="5">IFERROR(RIGHT(B2,LEN(B2)-FIND("],",B2)-1),"none")</f>
        <v>[effect:fix_speed, target:myself, turn:2],[effect:enemy_message, val1:1.2, val2:1.6]</v>
      </c>
      <c r="N2" s="48" t="str">
        <f>IFERROR(LEFT(M2,FIND("],",M2)+S13),M2)</f>
        <v>[effect:fix_speed, target:myself, turn:2],[effect:enemy_message, val1:1.2, val2:1.6]</v>
      </c>
      <c r="O2" s="62">
        <f t="shared" ref="O2:O38" si="6">FIND("effect:",N2)+7</f>
        <v>9</v>
      </c>
      <c r="P2" s="62">
        <f t="shared" ref="P2:P38" si="7">IFERROR(FIND(",",N2),LEN(N2))</f>
        <v>18</v>
      </c>
      <c r="Q2" s="62">
        <f t="shared" ref="Q2:Q38" si="8">FIND("target:",N2)+7</f>
        <v>27</v>
      </c>
      <c r="R2" s="62">
        <f t="shared" ref="R2:R38" si="9">FIND(",",N2,P2+1)</f>
        <v>33</v>
      </c>
      <c r="S2" s="62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38" si="10">IFERROR(RIGHT(M2,LEN(M2)-FIND("],",M2)-1),"none")</f>
        <v>[effect:enemy_message, val1:1.2, val2:1.6]</v>
      </c>
      <c r="U2" s="62">
        <f t="shared" ref="U2:U38" si="11">FIND("effect:",T2)+7</f>
        <v>9</v>
      </c>
      <c r="V2" s="62">
        <f t="shared" ref="V2:V38" si="12">IFERROR(FIND(",",T2),LEN(T2))</f>
        <v>22</v>
      </c>
      <c r="W2" s="62" t="e">
        <f t="shared" ref="W2:W38" si="13">FIND("target:",T2)+7</f>
        <v>#VALUE!</v>
      </c>
      <c r="X2" s="62">
        <f t="shared" ref="X2:X38" si="14">FIND(",",T2,V2+1)</f>
        <v>32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  <c r="AC2" s="49">
        <f>LEN(E2)</f>
        <v>4</v>
      </c>
      <c r="AD2" s="49">
        <f>LEN(F2)</f>
        <v>16</v>
      </c>
    </row>
    <row r="3" spans="1:30" ht="21" customHeight="1" x14ac:dyDescent="0.15">
      <c r="A3" s="104">
        <v>49011001</v>
      </c>
      <c r="B3" s="104" t="s">
        <v>377</v>
      </c>
      <c r="C3" s="105">
        <v>3</v>
      </c>
      <c r="D3" s="105" t="s">
        <v>128</v>
      </c>
      <c r="E3" s="106" t="s">
        <v>274</v>
      </c>
      <c r="F3" s="106" t="s">
        <v>316</v>
      </c>
      <c r="G3" s="62" t="str">
        <f t="shared" si="0"/>
        <v>[effect:force_change_block, new_block:jammer, target:block_all, ignore01:jammer, ignore02:crash, ignore03:crack_bomb, ignore04:color_break, ignore05:magnet, count:4, val:0, animation:change_block]</v>
      </c>
      <c r="H3" s="62">
        <f t="shared" si="1"/>
        <v>9</v>
      </c>
      <c r="I3" s="62">
        <f t="shared" si="2"/>
        <v>27</v>
      </c>
      <c r="J3" s="62">
        <f t="shared" si="3"/>
        <v>54</v>
      </c>
      <c r="K3" s="62">
        <f t="shared" si="4"/>
        <v>45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si="5"/>
        <v>[effect:enemy_message, val1:1.2, val2:1.6]</v>
      </c>
      <c r="N3" s="48" t="str">
        <f>IFERROR(LEFT(M3,FIND("],",M3)+S14),M3)</f>
        <v>[effect:enemy_message, val1:1.2, val2:1.6]</v>
      </c>
      <c r="O3" s="62">
        <f t="shared" si="6"/>
        <v>9</v>
      </c>
      <c r="P3" s="62">
        <f t="shared" si="7"/>
        <v>22</v>
      </c>
      <c r="Q3" s="62" t="e">
        <f t="shared" si="8"/>
        <v>#VALUE!</v>
      </c>
      <c r="R3" s="62">
        <f t="shared" si="9"/>
        <v>32</v>
      </c>
      <c r="S3" s="62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2" t="e">
        <f t="shared" si="11"/>
        <v>#VALUE!</v>
      </c>
      <c r="V3" s="62">
        <f t="shared" si="12"/>
        <v>4</v>
      </c>
      <c r="W3" s="62" t="e">
        <f t="shared" si="13"/>
        <v>#VALUE!</v>
      </c>
      <c r="X3" s="62" t="e">
        <f t="shared" si="14"/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  <c r="AC3" s="49">
        <f t="shared" ref="AC3:AC41" si="15">LEN(E3)</f>
        <v>7</v>
      </c>
      <c r="AD3" s="49">
        <f t="shared" ref="AD3:AD41" si="16">LEN(F3)</f>
        <v>16</v>
      </c>
    </row>
    <row r="4" spans="1:30" ht="21" customHeight="1" x14ac:dyDescent="0.15">
      <c r="A4" s="107">
        <v>49011100</v>
      </c>
      <c r="B4" s="107" t="s">
        <v>360</v>
      </c>
      <c r="C4" s="108">
        <v>3</v>
      </c>
      <c r="D4" s="108" t="s">
        <v>128</v>
      </c>
      <c r="E4" s="109" t="s">
        <v>275</v>
      </c>
      <c r="F4" s="109" t="s">
        <v>257</v>
      </c>
      <c r="G4" s="62" t="str">
        <f t="shared" si="0"/>
        <v>[effect:dis_panel, target:block_red, turn:1, animation:enemy_dis_red]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36</v>
      </c>
      <c r="L4" s="62" t="str">
        <f>IFERROR(VLOOKUP(MID(G4,J4,K4-J4),[6]skilldef!$C:$D,2,FALSE),"-") &amp; " / " &amp; IFERROR(VLOOKUP(MID(G4,H4,I4-H4),[6]skilldef!$A:$B,2,FALSE),"-")</f>
        <v>赤パネルを / ディスパネル</v>
      </c>
      <c r="M4" s="62" t="str">
        <f t="shared" si="5"/>
        <v>[effect:rush, count:1, val:1.0],[effect:enemy_message, val1:1.2, val2:1.5]</v>
      </c>
      <c r="N4" s="48" t="str">
        <f>IFERROR(LEFT(M4,FIND("],",M4)+S16),M4)</f>
        <v>[effect:rush, count:1, val:1.0],[effect:enemy_message, val1:1.2, val2:1.5]</v>
      </c>
      <c r="O4" s="62">
        <f t="shared" si="6"/>
        <v>9</v>
      </c>
      <c r="P4" s="62">
        <f t="shared" si="7"/>
        <v>13</v>
      </c>
      <c r="Q4" s="62" t="e">
        <f t="shared" si="8"/>
        <v>#VALUE!</v>
      </c>
      <c r="R4" s="62">
        <f t="shared" si="9"/>
        <v>22</v>
      </c>
      <c r="S4" s="62" t="str">
        <f>IFERROR(VLOOKUP(MID(N4,Q4,R4-Q4),[6]skilldef!$C:$D,2,FALSE),"-") &amp; " / " &amp; IFERROR(VLOOKUP(MID(N4,O4,P4-O4),[6]skilldef!$A:$B,2,FALSE),"-")</f>
        <v>- / 連続攻撃</v>
      </c>
      <c r="T4" s="48" t="str">
        <f t="shared" si="10"/>
        <v>[effect:enemy_message, val1:1.2, val2:1.5]</v>
      </c>
      <c r="U4" s="62">
        <f t="shared" si="11"/>
        <v>9</v>
      </c>
      <c r="V4" s="62">
        <f t="shared" si="12"/>
        <v>22</v>
      </c>
      <c r="W4" s="62" t="e">
        <f t="shared" si="13"/>
        <v>#VALUE!</v>
      </c>
      <c r="X4" s="62">
        <f t="shared" si="14"/>
        <v>32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  <c r="AC4" s="49">
        <f t="shared" si="15"/>
        <v>4</v>
      </c>
      <c r="AD4" s="49">
        <f t="shared" si="16"/>
        <v>15</v>
      </c>
    </row>
    <row r="5" spans="1:30" ht="21" customHeight="1" x14ac:dyDescent="0.15">
      <c r="A5" s="110">
        <v>49011200</v>
      </c>
      <c r="B5" s="110" t="s">
        <v>361</v>
      </c>
      <c r="C5" s="111">
        <v>3</v>
      </c>
      <c r="D5" s="111" t="s">
        <v>128</v>
      </c>
      <c r="E5" s="112" t="s">
        <v>276</v>
      </c>
      <c r="F5" s="112" t="s">
        <v>258</v>
      </c>
      <c r="G5" s="62" t="str">
        <f t="shared" si="0"/>
        <v>[effect:kamikaze, val:1]</v>
      </c>
      <c r="H5" s="62">
        <f t="shared" si="1"/>
        <v>9</v>
      </c>
      <c r="I5" s="62">
        <f t="shared" si="2"/>
        <v>17</v>
      </c>
      <c r="J5" s="62" t="e">
        <f t="shared" si="3"/>
        <v>#VALUE!</v>
      </c>
      <c r="K5" s="62" t="e">
        <f t="shared" si="4"/>
        <v>#VALUE!</v>
      </c>
      <c r="L5" s="62" t="str">
        <f>IFERROR(VLOOKUP(MID(G5,J5,K5-J5),[6]skilldef!$C:$D,2,FALSE),"-") &amp; " / " &amp; IFERROR(VLOOKUP(MID(G5,H5,I5-H5),[6]skilldef!$A:$B,2,FALSE),"-")</f>
        <v>- / 自爆</v>
      </c>
      <c r="M5" s="62" t="str">
        <f t="shared" si="5"/>
        <v>[effect:enemy_message, val1:1.2, val2:1.2]</v>
      </c>
      <c r="N5" s="48" t="str">
        <f>IFERROR(LEFT(M5,FIND("],",M5)+S17),M5)</f>
        <v>[effect:enemy_message, val1:1.2, val2:1.2]</v>
      </c>
      <c r="O5" s="62">
        <f t="shared" si="6"/>
        <v>9</v>
      </c>
      <c r="P5" s="62">
        <f t="shared" si="7"/>
        <v>22</v>
      </c>
      <c r="Q5" s="62" t="e">
        <f t="shared" si="8"/>
        <v>#VALUE!</v>
      </c>
      <c r="R5" s="62">
        <f t="shared" si="9"/>
        <v>32</v>
      </c>
      <c r="S5" s="62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  <c r="AC5" s="49">
        <f t="shared" si="15"/>
        <v>2</v>
      </c>
      <c r="AD5" s="49">
        <f t="shared" si="16"/>
        <v>4</v>
      </c>
    </row>
    <row r="6" spans="1:30" ht="54" customHeight="1" x14ac:dyDescent="0.15">
      <c r="A6" s="113">
        <v>49011300</v>
      </c>
      <c r="B6" s="113" t="s">
        <v>362</v>
      </c>
      <c r="C6" s="114">
        <v>3</v>
      </c>
      <c r="D6" s="114" t="s">
        <v>128</v>
      </c>
      <c r="E6" s="115" t="s">
        <v>300</v>
      </c>
      <c r="F6" s="115" t="s">
        <v>277</v>
      </c>
      <c r="G6" s="62" t="str">
        <f t="shared" ref="G6" si="17">IFERROR(LEFT(B6,FIND("],",B6)),B6)</f>
        <v>[effect:fix_speed, target:enemy_all, turn:2]</v>
      </c>
      <c r="H6" s="62">
        <f t="shared" ref="H6" si="18">FIND("effect:",G6)+7</f>
        <v>9</v>
      </c>
      <c r="I6" s="62">
        <f t="shared" ref="I6" si="19">IFERROR(FIND(",",G6),LEN(G6))</f>
        <v>18</v>
      </c>
      <c r="J6" s="62">
        <f t="shared" ref="J6" si="20">FIND("target:",G6)+7</f>
        <v>27</v>
      </c>
      <c r="K6" s="62">
        <f t="shared" ref="K6" si="21">FIND(",",G6,I6+1)</f>
        <v>36</v>
      </c>
      <c r="L6" s="62" t="str">
        <f>IFERROR(VLOOKUP(MID(G6,J6,K6-J6),[6]skilldef!$C:$D,2,FALSE),"-") &amp; " / " &amp; IFERROR(VLOOKUP(MID(G6,H6,I6-H6),[6]skilldef!$A:$B,2,FALSE),"-")</f>
        <v>敵全体に / 行動値設定</v>
      </c>
      <c r="M6" s="62" t="str">
        <f t="shared" ref="M6" si="22">IFERROR(RIGHT(B6,LEN(B6)-FIND("],",B6)-1),"none")</f>
        <v>[effect:enemy_message, val1:1.2, val2:0]</v>
      </c>
      <c r="N6" s="48" t="str">
        <f t="shared" ref="N6" si="23">IFERROR(LEFT(M6,FIND("],",M6)+S17),M6)</f>
        <v>[effect:enemy_message, val1:1.2, val2:0]</v>
      </c>
      <c r="O6" s="62">
        <f t="shared" ref="O6" si="24">FIND("effect:",N6)+7</f>
        <v>9</v>
      </c>
      <c r="P6" s="62">
        <f t="shared" ref="P6" si="25">IFERROR(FIND(",",N6),LEN(N6))</f>
        <v>22</v>
      </c>
      <c r="Q6" s="62" t="e">
        <f t="shared" ref="Q6" si="26">FIND("target:",N6)+7</f>
        <v>#VALUE!</v>
      </c>
      <c r="R6" s="62">
        <f t="shared" ref="R6" si="27">FIND(",",N6,P6+1)</f>
        <v>32</v>
      </c>
      <c r="S6" s="62" t="str">
        <f>IFERROR(VLOOKUP(MID(N6,Q6,R6-Q6),[6]skilldef!$C:$D,2,FALSE),"-") &amp; " / " &amp; IFERROR(VLOOKUP(MID(N6,O6,P6-O6),[6]skilldef!$A:$B,2,FALSE),"-")</f>
        <v>- / -</v>
      </c>
      <c r="T6" s="48" t="str">
        <f t="shared" ref="T6" si="28">IFERROR(RIGHT(M6,LEN(M6)-FIND("],",M6)-1),"none")</f>
        <v>none</v>
      </c>
      <c r="U6" s="62" t="e">
        <f t="shared" ref="U6" si="29">FIND("effect:",T6)+7</f>
        <v>#VALUE!</v>
      </c>
      <c r="V6" s="62">
        <f t="shared" ref="V6" si="30">IFERROR(FIND(",",T6),LEN(T6))</f>
        <v>4</v>
      </c>
      <c r="W6" s="62" t="e">
        <f t="shared" ref="W6" si="31">FIND("target:",T6)+7</f>
        <v>#VALUE!</v>
      </c>
      <c r="X6" s="62" t="e">
        <f t="shared" ref="X6" si="32">FIND(",",T6,V6+1)</f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  <c r="AC6" s="49">
        <f t="shared" si="15"/>
        <v>8</v>
      </c>
      <c r="AD6" s="49">
        <f t="shared" si="16"/>
        <v>5</v>
      </c>
    </row>
    <row r="7" spans="1:30" ht="54" customHeight="1" x14ac:dyDescent="0.15">
      <c r="A7" s="113">
        <v>49011301</v>
      </c>
      <c r="B7" s="113" t="s">
        <v>376</v>
      </c>
      <c r="C7" s="114">
        <v>3</v>
      </c>
      <c r="D7" s="114" t="s">
        <v>128</v>
      </c>
      <c r="E7" s="115" t="s">
        <v>301</v>
      </c>
      <c r="F7" s="115" t="s">
        <v>317</v>
      </c>
      <c r="G7" s="62" t="str">
        <f t="shared" si="0"/>
        <v>[effect:force_change_block, new_block:jammer, target:block_all, ignore01:jammer, ignore02:crash, ignore03:crack_bomb, ignore04:color_break, ignore05:magnet, count:5, val:0, animation:change_block]</v>
      </c>
      <c r="H7" s="62">
        <f t="shared" si="1"/>
        <v>9</v>
      </c>
      <c r="I7" s="62">
        <f t="shared" si="2"/>
        <v>27</v>
      </c>
      <c r="J7" s="62">
        <f t="shared" si="3"/>
        <v>54</v>
      </c>
      <c r="K7" s="62">
        <f t="shared" si="4"/>
        <v>45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[effect:rush, count:4, val:0.25],[effect:enemy_message, val1:1.2, val2:2.3]</v>
      </c>
      <c r="N7" s="48" t="str">
        <f>IFERROR(LEFT(M7,FIND("],",M7)+S27),M7)</f>
        <v>[effect:rush, count:4, val:0.25],[effect:enemy_message, val1:1.2, val2:2.3]</v>
      </c>
      <c r="O7" s="62">
        <f t="shared" si="6"/>
        <v>9</v>
      </c>
      <c r="P7" s="62">
        <f t="shared" si="7"/>
        <v>13</v>
      </c>
      <c r="Q7" s="62" t="e">
        <f t="shared" si="8"/>
        <v>#VALUE!</v>
      </c>
      <c r="R7" s="62">
        <f t="shared" si="9"/>
        <v>22</v>
      </c>
      <c r="S7" s="62" t="str">
        <f>IFERROR(VLOOKUP(MID(N7,Q7,R7-Q7),[6]skilldef!$C:$D,2,FALSE),"-") &amp; " / " &amp; IFERROR(VLOOKUP(MID(N7,O7,P7-O7),[6]skilldef!$A:$B,2,FALSE),"-")</f>
        <v>- / 連続攻撃</v>
      </c>
      <c r="T7" s="48" t="str">
        <f t="shared" si="10"/>
        <v>[effect:enemy_message, val1:1.2, val2:2.3]</v>
      </c>
      <c r="U7" s="62">
        <f t="shared" si="11"/>
        <v>9</v>
      </c>
      <c r="V7" s="62">
        <f t="shared" si="12"/>
        <v>22</v>
      </c>
      <c r="W7" s="62" t="e">
        <f t="shared" si="13"/>
        <v>#VALUE!</v>
      </c>
      <c r="X7" s="62">
        <f t="shared" si="14"/>
        <v>32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  <c r="AC7" s="49">
        <f t="shared" si="15"/>
        <v>7</v>
      </c>
      <c r="AD7" s="49">
        <f t="shared" si="16"/>
        <v>23</v>
      </c>
    </row>
    <row r="8" spans="1:30" ht="41" customHeight="1" x14ac:dyDescent="0.15">
      <c r="A8" s="113">
        <v>49011302</v>
      </c>
      <c r="B8" s="113" t="s">
        <v>336</v>
      </c>
      <c r="C8" s="114">
        <v>3</v>
      </c>
      <c r="D8" s="114" t="s">
        <v>128</v>
      </c>
      <c r="E8" s="115" t="s">
        <v>278</v>
      </c>
      <c r="F8" s="115" t="s">
        <v>304</v>
      </c>
      <c r="G8" s="62" t="str">
        <f t="shared" si="0"/>
        <v>[effect:break_attack, target:unit_one, val:0.05, lowest_val:7000, count:-1, color:green, block01:jammer]</v>
      </c>
      <c r="H8" s="62">
        <f t="shared" si="1"/>
        <v>9</v>
      </c>
      <c r="I8" s="62">
        <f t="shared" si="2"/>
        <v>21</v>
      </c>
      <c r="J8" s="62">
        <f t="shared" si="3"/>
        <v>30</v>
      </c>
      <c r="K8" s="62">
        <f t="shared" si="4"/>
        <v>38</v>
      </c>
      <c r="L8" s="62" t="str">
        <f>IFERROR(VLOOKUP(MID(G8,J8,K8-J8),[6]skilldef!$C:$D,2,FALSE),"-") &amp; " / " &amp; IFERROR(VLOOKUP(MID(G8,H8,I8-H8),[6]skilldef!$A:$B,2,FALSE),"-")</f>
        <v>味方単体に / -</v>
      </c>
      <c r="M8" s="62" t="str">
        <f t="shared" si="5"/>
        <v>[effect:enemy_message, val1:1.2, val2:1.3]</v>
      </c>
      <c r="N8" s="48" t="str">
        <f>IFERROR(LEFT(M8,FIND("],",M8)+S28),M8)</f>
        <v>[effect:enemy_message, val1:1.2, val2:1.3]</v>
      </c>
      <c r="O8" s="62">
        <f t="shared" si="6"/>
        <v>9</v>
      </c>
      <c r="P8" s="62">
        <f t="shared" si="7"/>
        <v>22</v>
      </c>
      <c r="Q8" s="62" t="e">
        <f t="shared" si="8"/>
        <v>#VALUE!</v>
      </c>
      <c r="R8" s="62">
        <f t="shared" si="9"/>
        <v>32</v>
      </c>
      <c r="S8" s="62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  <c r="AC8" s="49">
        <f t="shared" si="15"/>
        <v>8</v>
      </c>
      <c r="AD8" s="49">
        <f t="shared" si="16"/>
        <v>13</v>
      </c>
    </row>
    <row r="9" spans="1:30" ht="21" customHeight="1" x14ac:dyDescent="0.15">
      <c r="A9" s="113">
        <v>49011303</v>
      </c>
      <c r="B9" s="113" t="s">
        <v>337</v>
      </c>
      <c r="C9" s="114">
        <v>3</v>
      </c>
      <c r="D9" s="114" t="s">
        <v>128</v>
      </c>
      <c r="E9" s="115" t="s">
        <v>279</v>
      </c>
      <c r="F9" s="115" t="s">
        <v>364</v>
      </c>
      <c r="G9" s="62" t="str">
        <f t="shared" si="0"/>
        <v>[effect:freq_turn, target:myself, turn:-1, val:1, animation:enemy_freq_turn]</v>
      </c>
      <c r="H9" s="62">
        <f t="shared" si="1"/>
        <v>9</v>
      </c>
      <c r="I9" s="62">
        <f t="shared" si="2"/>
        <v>18</v>
      </c>
      <c r="J9" s="62">
        <f t="shared" si="3"/>
        <v>27</v>
      </c>
      <c r="K9" s="62">
        <f t="shared" si="4"/>
        <v>33</v>
      </c>
      <c r="L9" s="62" t="str">
        <f>IFERROR(VLOOKUP(MID(G9,J9,K9-J9),[6]skilldef!$C:$D,2,FALSE),"-") &amp; " / " &amp; IFERROR(VLOOKUP(MID(G9,H9,I9-H9),[6]skilldef!$A:$B,2,FALSE),"-")</f>
        <v>自分自身に / 攻撃頻度がUP</v>
      </c>
      <c r="M9" s="62" t="str">
        <f t="shared" si="5"/>
        <v>[effect:enemy_message, val1:1.2, val2:1.2]</v>
      </c>
      <c r="N9" s="48" t="str">
        <f t="shared" ref="N9:N15" si="33">IFERROR(LEFT(M9,FIND("],",M9)+S31),M9)</f>
        <v>[effect:enemy_message, val1:1.2, val2:1.2]</v>
      </c>
      <c r="O9" s="62">
        <f t="shared" si="6"/>
        <v>9</v>
      </c>
      <c r="P9" s="62">
        <f t="shared" si="7"/>
        <v>22</v>
      </c>
      <c r="Q9" s="62" t="e">
        <f t="shared" si="8"/>
        <v>#VALUE!</v>
      </c>
      <c r="R9" s="62">
        <f t="shared" si="9"/>
        <v>32</v>
      </c>
      <c r="S9" s="62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  <c r="AC9" s="49">
        <f t="shared" si="15"/>
        <v>9</v>
      </c>
      <c r="AD9" s="49">
        <f t="shared" si="16"/>
        <v>6</v>
      </c>
    </row>
    <row r="10" spans="1:30" ht="21" customHeight="1" x14ac:dyDescent="0.15">
      <c r="A10" s="116">
        <v>49011400</v>
      </c>
      <c r="B10" s="116" t="s">
        <v>338</v>
      </c>
      <c r="C10" s="117">
        <v>3</v>
      </c>
      <c r="D10" s="117" t="s">
        <v>128</v>
      </c>
      <c r="E10" s="118" t="s">
        <v>280</v>
      </c>
      <c r="F10" s="118" t="s">
        <v>321</v>
      </c>
      <c r="G10" s="62" t="str">
        <f t="shared" si="0"/>
        <v>[effect:degrade_unit, target:unit_all, turn:1, status:attack, val:0.2, calc:mul]</v>
      </c>
      <c r="H10" s="62">
        <f t="shared" si="1"/>
        <v>9</v>
      </c>
      <c r="I10" s="62">
        <f t="shared" si="2"/>
        <v>21</v>
      </c>
      <c r="J10" s="62">
        <f t="shared" si="3"/>
        <v>30</v>
      </c>
      <c r="K10" s="62">
        <f t="shared" si="4"/>
        <v>38</v>
      </c>
      <c r="L10" s="62" t="str">
        <f>IFERROR(VLOOKUP(MID(G10,J10,K10-J10),[6]skilldef!$C:$D,2,FALSE),"-") &amp; " / " &amp; IFERROR(VLOOKUP(MID(G10,H10,I10-H10),[6]skilldef!$A:$B,2,FALSE),"-")</f>
        <v>味方全体に / ステータスDOWN</v>
      </c>
      <c r="M10" s="62" t="str">
        <f t="shared" si="5"/>
        <v>[effect:rush, count:4, val:0.25],[effect:enemy_message, val1:1.2, val2:2.7]</v>
      </c>
      <c r="N10" s="48" t="str">
        <f t="shared" si="33"/>
        <v>[effect:rush, count:4, val:0.25],[effect:enemy_message, val1:1.2, val2:2.7]</v>
      </c>
      <c r="O10" s="62">
        <f t="shared" si="6"/>
        <v>9</v>
      </c>
      <c r="P10" s="62">
        <f t="shared" si="7"/>
        <v>13</v>
      </c>
      <c r="Q10" s="62" t="e">
        <f t="shared" si="8"/>
        <v>#VALUE!</v>
      </c>
      <c r="R10" s="62">
        <f t="shared" si="9"/>
        <v>22</v>
      </c>
      <c r="S10" s="62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si="10"/>
        <v>[effect:enemy_message, val1:1.2, val2:2.7]</v>
      </c>
      <c r="U10" s="62">
        <f t="shared" si="11"/>
        <v>9</v>
      </c>
      <c r="V10" s="62">
        <f t="shared" si="12"/>
        <v>22</v>
      </c>
      <c r="W10" s="62" t="e">
        <f t="shared" si="13"/>
        <v>#VALUE!</v>
      </c>
      <c r="X10" s="62">
        <f t="shared" si="14"/>
        <v>32</v>
      </c>
      <c r="Y10" s="62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  <c r="AC10" s="49">
        <f t="shared" si="15"/>
        <v>8</v>
      </c>
      <c r="AD10" s="49">
        <f t="shared" si="16"/>
        <v>27</v>
      </c>
    </row>
    <row r="11" spans="1:30" ht="21" customHeight="1" x14ac:dyDescent="0.15">
      <c r="A11" s="116">
        <v>49011401</v>
      </c>
      <c r="B11" s="116" t="s">
        <v>339</v>
      </c>
      <c r="C11" s="117">
        <v>3</v>
      </c>
      <c r="D11" s="117" t="s">
        <v>128</v>
      </c>
      <c r="E11" s="118" t="s">
        <v>281</v>
      </c>
      <c r="F11" s="118" t="s">
        <v>259</v>
      </c>
      <c r="G11" s="62" t="str">
        <f t="shared" si="0"/>
        <v>[effect:dis_panel, target:block_blue, turn:3, animation:enemy_dis_blue]</v>
      </c>
      <c r="H11" s="62">
        <f t="shared" si="1"/>
        <v>9</v>
      </c>
      <c r="I11" s="62">
        <f t="shared" si="2"/>
        <v>18</v>
      </c>
      <c r="J11" s="62">
        <f t="shared" si="3"/>
        <v>27</v>
      </c>
      <c r="K11" s="62">
        <f t="shared" si="4"/>
        <v>37</v>
      </c>
      <c r="L11" s="62" t="str">
        <f>IFERROR(VLOOKUP(MID(G11,J11,K11-J11),[6]skilldef!$C:$D,2,FALSE),"-") &amp; " / " &amp; IFERROR(VLOOKUP(MID(G11,H11,I11-H11),[6]skilldef!$A:$B,2,FALSE),"-")</f>
        <v>青パネルを / ディスパネル</v>
      </c>
      <c r="M11" s="62" t="str">
        <f t="shared" si="5"/>
        <v>[effect:enemy_message, val1:1.2, val2:1.2]</v>
      </c>
      <c r="N11" s="48" t="str">
        <f t="shared" si="33"/>
        <v>[effect:enemy_message, val1:1.2, val2:1.2]</v>
      </c>
      <c r="O11" s="62">
        <f t="shared" si="6"/>
        <v>9</v>
      </c>
      <c r="P11" s="62">
        <f t="shared" si="7"/>
        <v>22</v>
      </c>
      <c r="Q11" s="62" t="e">
        <f t="shared" si="8"/>
        <v>#VALUE!</v>
      </c>
      <c r="R11" s="62">
        <f t="shared" si="9"/>
        <v>32</v>
      </c>
      <c r="S11" s="62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  <c r="AC11" s="49">
        <f t="shared" si="15"/>
        <v>8</v>
      </c>
      <c r="AD11" s="49">
        <f t="shared" si="16"/>
        <v>10</v>
      </c>
    </row>
    <row r="12" spans="1:30" ht="21" customHeight="1" x14ac:dyDescent="0.15">
      <c r="A12" s="116">
        <v>49011402</v>
      </c>
      <c r="B12" s="116" t="s">
        <v>337</v>
      </c>
      <c r="C12" s="117">
        <v>3</v>
      </c>
      <c r="D12" s="117" t="s">
        <v>128</v>
      </c>
      <c r="E12" s="118" t="s">
        <v>302</v>
      </c>
      <c r="F12" s="118" t="s">
        <v>364</v>
      </c>
      <c r="G12" s="62" t="str">
        <f t="shared" si="0"/>
        <v>[effect:freq_turn, target:myself, turn:-1, val:1, animation:enemy_freq_turn]</v>
      </c>
      <c r="H12" s="62">
        <f t="shared" si="1"/>
        <v>9</v>
      </c>
      <c r="I12" s="62">
        <f t="shared" si="2"/>
        <v>18</v>
      </c>
      <c r="J12" s="62">
        <f t="shared" si="3"/>
        <v>27</v>
      </c>
      <c r="K12" s="62">
        <f t="shared" si="4"/>
        <v>33</v>
      </c>
      <c r="L12" s="62" t="str">
        <f>IFERROR(VLOOKUP(MID(G12,J12,K12-J12),[6]skilldef!$C:$D,2,FALSE),"-") &amp; " / " &amp; IFERROR(VLOOKUP(MID(G12,H12,I12-H12),[6]skilldef!$A:$B,2,FALSE),"-")</f>
        <v>自分自身に / 攻撃頻度がUP</v>
      </c>
      <c r="M12" s="62" t="str">
        <f t="shared" si="5"/>
        <v>[effect:enemy_message, val1:1.2, val2:1.2]</v>
      </c>
      <c r="N12" s="48" t="str">
        <f t="shared" si="33"/>
        <v>[effect:enemy_message, val1:1.2, val2:1.2]</v>
      </c>
      <c r="O12" s="62">
        <f t="shared" si="6"/>
        <v>9</v>
      </c>
      <c r="P12" s="62">
        <f t="shared" si="7"/>
        <v>22</v>
      </c>
      <c r="Q12" s="62" t="e">
        <f t="shared" si="8"/>
        <v>#VALUE!</v>
      </c>
      <c r="R12" s="62">
        <f t="shared" si="9"/>
        <v>32</v>
      </c>
      <c r="S12" s="62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  <c r="AC12" s="49">
        <f t="shared" si="15"/>
        <v>12</v>
      </c>
      <c r="AD12" s="49">
        <f t="shared" si="16"/>
        <v>6</v>
      </c>
    </row>
    <row r="13" spans="1:30" ht="58" customHeight="1" x14ac:dyDescent="0.15">
      <c r="A13" s="104">
        <v>49011500</v>
      </c>
      <c r="B13" s="104" t="s">
        <v>352</v>
      </c>
      <c r="C13" s="105">
        <v>3</v>
      </c>
      <c r="D13" s="105" t="s">
        <v>128</v>
      </c>
      <c r="E13" s="106" t="s">
        <v>282</v>
      </c>
      <c r="F13" s="106" t="s">
        <v>351</v>
      </c>
      <c r="G13" s="62" t="str">
        <f t="shared" si="0"/>
        <v>[effect:remove_enhancement, target:unit_all, target_effect:all, animation:frozen_wave]</v>
      </c>
      <c r="H13" s="62">
        <f t="shared" si="1"/>
        <v>9</v>
      </c>
      <c r="I13" s="62">
        <f t="shared" si="2"/>
        <v>27</v>
      </c>
      <c r="J13" s="62">
        <f t="shared" si="3"/>
        <v>36</v>
      </c>
      <c r="K13" s="62">
        <f t="shared" si="4"/>
        <v>44</v>
      </c>
      <c r="L13" s="62" t="str">
        <f>IFERROR(VLOOKUP(MID(G13,J13,K13-J13),[6]skilldef!$C:$D,2,FALSE),"-") &amp; " / " &amp; IFERROR(VLOOKUP(MID(G13,H13,I13-H13),[6]skilldef!$A:$B,2,FALSE),"-")</f>
        <v>味方全体に / -</v>
      </c>
      <c r="M13" s="62" t="str">
        <f t="shared" si="5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val1:2.0, val2:3.4]</v>
      </c>
      <c r="N13" s="48" t="str">
        <f t="shared" si="33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val1:2.0, val2:3.4]</v>
      </c>
      <c r="O13" s="62">
        <f t="shared" si="6"/>
        <v>9</v>
      </c>
      <c r="P13" s="62">
        <f t="shared" si="7"/>
        <v>19</v>
      </c>
      <c r="Q13" s="62">
        <f t="shared" si="8"/>
        <v>232</v>
      </c>
      <c r="R13" s="62">
        <f t="shared" si="9"/>
        <v>38</v>
      </c>
      <c r="S13" s="62" t="str">
        <f>IFERROR(VLOOKUP(MID(N13,Q13,R13-Q13),[6]skilldef!$C:$D,2,FALSE),"-") &amp; " / " &amp; IFERROR(VLOOKUP(MID(N13,O13,P13-O13),[6]skilldef!$A:$B,2,FALSE),"-")</f>
        <v>- / 特定ブロックの割合ドロップ</v>
      </c>
      <c r="T13" s="48" t="str">
        <f t="shared" si="10"/>
        <v>[effect:change_panel_ratio, turn:-1, block_type:yellow, val:0, animation:block_incidence04],[effect:fix_speed, target:myself, turn:2],[effect:enemy_message, val1:2.0, val2:3.4]</v>
      </c>
      <c r="U13" s="62">
        <f t="shared" si="11"/>
        <v>9</v>
      </c>
      <c r="V13" s="62">
        <f t="shared" si="12"/>
        <v>27</v>
      </c>
      <c r="W13" s="62">
        <f t="shared" si="13"/>
        <v>119</v>
      </c>
      <c r="X13" s="62">
        <f t="shared" si="14"/>
        <v>36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  <c r="AC13" s="49">
        <f t="shared" si="15"/>
        <v>20</v>
      </c>
      <c r="AD13" s="49">
        <f t="shared" si="16"/>
        <v>36</v>
      </c>
    </row>
    <row r="14" spans="1:30" ht="57" customHeight="1" x14ac:dyDescent="0.15">
      <c r="A14" s="104">
        <v>49011501</v>
      </c>
      <c r="B14" s="104" t="s">
        <v>340</v>
      </c>
      <c r="C14" s="105">
        <v>3</v>
      </c>
      <c r="D14" s="105" t="s">
        <v>128</v>
      </c>
      <c r="E14" s="106" t="s">
        <v>283</v>
      </c>
      <c r="F14" s="106" t="s">
        <v>260</v>
      </c>
      <c r="G14" s="62" t="str">
        <f t="shared" si="0"/>
        <v>[effect:break_attack, target:unit_one, val:0.06, lowest_val:10000, count:-1, color:green, block01:block_blue]</v>
      </c>
      <c r="H14" s="62">
        <f t="shared" si="1"/>
        <v>9</v>
      </c>
      <c r="I14" s="62">
        <f t="shared" si="2"/>
        <v>21</v>
      </c>
      <c r="J14" s="62">
        <f t="shared" si="3"/>
        <v>30</v>
      </c>
      <c r="K14" s="62">
        <f t="shared" si="4"/>
        <v>38</v>
      </c>
      <c r="L14" s="62" t="str">
        <f>IFERROR(VLOOKUP(MID(G14,J14,K14-J14),[6]skilldef!$C:$D,2,FALSE),"-") &amp; " / " &amp; IFERROR(VLOOKUP(MID(G14,H14,I14-H14),[6]skilldef!$A:$B,2,FALSE),"-")</f>
        <v>味方単体に / -</v>
      </c>
      <c r="M14" s="62" t="str">
        <f t="shared" si="5"/>
        <v>[effect:enemy_message, val1:1.9, val2:1.2]</v>
      </c>
      <c r="N14" s="48" t="str">
        <f t="shared" si="33"/>
        <v>[effect:enemy_message, val1:1.9, val2:1.2]</v>
      </c>
      <c r="O14" s="62">
        <f t="shared" si="6"/>
        <v>9</v>
      </c>
      <c r="P14" s="62">
        <f t="shared" si="7"/>
        <v>22</v>
      </c>
      <c r="Q14" s="62" t="e">
        <f t="shared" si="8"/>
        <v>#VALUE!</v>
      </c>
      <c r="R14" s="62">
        <f t="shared" si="9"/>
        <v>32</v>
      </c>
      <c r="S14" s="62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  <c r="AC14" s="49">
        <f t="shared" si="15"/>
        <v>19</v>
      </c>
      <c r="AD14" s="49">
        <f t="shared" si="16"/>
        <v>11</v>
      </c>
    </row>
    <row r="15" spans="1:30" ht="57" customHeight="1" x14ac:dyDescent="0.15">
      <c r="A15" s="104">
        <v>49011502</v>
      </c>
      <c r="B15" s="104" t="s">
        <v>341</v>
      </c>
      <c r="C15" s="105">
        <v>3</v>
      </c>
      <c r="D15" s="105" t="s">
        <v>128</v>
      </c>
      <c r="E15" s="106" t="s">
        <v>284</v>
      </c>
      <c r="F15" s="106" t="s">
        <v>260</v>
      </c>
      <c r="G15" s="62" t="str">
        <f t="shared" ref="G15" si="34">IFERROR(LEFT(B15,FIND("],",B15)),B15)</f>
        <v>[effect:break_attack, target:unit_one, val:0.06, lowest_val:10000, count:-1, color:green, block01:block_blue]</v>
      </c>
      <c r="H15" s="62">
        <f t="shared" ref="H15" si="35">FIND("effect:",G15)+7</f>
        <v>9</v>
      </c>
      <c r="I15" s="62">
        <f t="shared" ref="I15" si="36">IFERROR(FIND(",",G15),LEN(G15))</f>
        <v>21</v>
      </c>
      <c r="J15" s="62">
        <f t="shared" ref="J15" si="37">FIND("target:",G15)+7</f>
        <v>30</v>
      </c>
      <c r="K15" s="62">
        <f t="shared" ref="K15" si="38">FIND(",",G15,I15+1)</f>
        <v>38</v>
      </c>
      <c r="L15" s="62" t="str">
        <f>IFERROR(VLOOKUP(MID(G15,J15,K15-J15),[6]skilldef!$C:$D,2,FALSE),"-") &amp; " / " &amp; IFERROR(VLOOKUP(MID(G15,H15,I15-H15),[6]skilldef!$A:$B,2,FALSE),"-")</f>
        <v>味方単体に / -</v>
      </c>
      <c r="M15" s="62" t="str">
        <f t="shared" ref="M15" si="39">IFERROR(RIGHT(B15,LEN(B15)-FIND("],",B15)-1),"none")</f>
        <v>[effect:enemy_message, val1:1.2, val2:1.2]</v>
      </c>
      <c r="N15" s="48" t="str">
        <f t="shared" si="33"/>
        <v>[effect:enemy_message, val1:1.2, val2:1.2]</v>
      </c>
      <c r="O15" s="62">
        <f t="shared" ref="O15" si="40">FIND("effect:",N15)+7</f>
        <v>9</v>
      </c>
      <c r="P15" s="62">
        <f t="shared" ref="P15" si="41">IFERROR(FIND(",",N15),LEN(N15))</f>
        <v>22</v>
      </c>
      <c r="Q15" s="62" t="e">
        <f t="shared" ref="Q15" si="42">FIND("target:",N15)+7</f>
        <v>#VALUE!</v>
      </c>
      <c r="R15" s="62">
        <f t="shared" ref="R15" si="43">FIND(",",N15,P15+1)</f>
        <v>32</v>
      </c>
      <c r="S15" s="62" t="str">
        <f>IFERROR(VLOOKUP(MID(N15,Q15,R15-Q15),[6]skilldef!$C:$D,2,FALSE),"-") &amp; " / " &amp; IFERROR(VLOOKUP(MID(N15,O15,P15-O15),[6]skilldef!$A:$B,2,FALSE),"-")</f>
        <v>- / -</v>
      </c>
      <c r="T15" s="48" t="str">
        <f t="shared" ref="T15" si="44">IFERROR(RIGHT(M15,LEN(M15)-FIND("],",M15)-1),"none")</f>
        <v>none</v>
      </c>
      <c r="U15" s="62" t="e">
        <f t="shared" ref="U15" si="45">FIND("effect:",T15)+7</f>
        <v>#VALUE!</v>
      </c>
      <c r="V15" s="62">
        <f t="shared" ref="V15" si="46">IFERROR(FIND(",",T15),LEN(T15))</f>
        <v>4</v>
      </c>
      <c r="W15" s="62" t="e">
        <f t="shared" ref="W15" si="47">FIND("target:",T15)+7</f>
        <v>#VALUE!</v>
      </c>
      <c r="X15" s="62" t="e">
        <f t="shared" ref="X15" si="48">FIND(",",T15,V15+1)</f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  <c r="AC15" s="49">
        <f t="shared" si="15"/>
        <v>7</v>
      </c>
      <c r="AD15" s="49">
        <f t="shared" si="16"/>
        <v>11</v>
      </c>
    </row>
    <row r="16" spans="1:30" ht="46" customHeight="1" x14ac:dyDescent="0.15">
      <c r="A16" s="104">
        <v>49011503</v>
      </c>
      <c r="B16" s="104" t="s">
        <v>342</v>
      </c>
      <c r="C16" s="105">
        <v>3</v>
      </c>
      <c r="D16" s="105" t="s">
        <v>128</v>
      </c>
      <c r="E16" s="106" t="s">
        <v>285</v>
      </c>
      <c r="F16" s="106" t="s">
        <v>261</v>
      </c>
      <c r="G16" s="62" t="str">
        <f t="shared" si="0"/>
        <v>[effect:break_attack, target:unit_one, val:0.06, lowest_val:10000, count:-1, color:green, block01:jammer]</v>
      </c>
      <c r="H16" s="62">
        <f t="shared" si="1"/>
        <v>9</v>
      </c>
      <c r="I16" s="62">
        <f t="shared" si="2"/>
        <v>21</v>
      </c>
      <c r="J16" s="62">
        <f t="shared" si="3"/>
        <v>30</v>
      </c>
      <c r="K16" s="62">
        <f t="shared" si="4"/>
        <v>38</v>
      </c>
      <c r="L16" s="62" t="str">
        <f>IFERROR(VLOOKUP(MID(G16,J16,K16-J16),[6]skilldef!$C:$D,2,FALSE),"-") &amp; " / " &amp; IFERROR(VLOOKUP(MID(G16,H16,I16-H16),[6]skilldef!$A:$B,2,FALSE),"-")</f>
        <v>味方単体に / -</v>
      </c>
      <c r="M16" s="62" t="str">
        <f t="shared" si="5"/>
        <v>[effect:enemy_message, val1:1.2, val2:1.3]</v>
      </c>
      <c r="N16" s="48" t="str">
        <f>IFERROR(LEFT(M16,FIND("],",M16)+S37),M16)</f>
        <v>[effect:enemy_message, val1:1.2, val2:1.3]</v>
      </c>
      <c r="O16" s="62">
        <f t="shared" si="6"/>
        <v>9</v>
      </c>
      <c r="P16" s="62">
        <f t="shared" si="7"/>
        <v>22</v>
      </c>
      <c r="Q16" s="62" t="e">
        <f t="shared" si="8"/>
        <v>#VALUE!</v>
      </c>
      <c r="R16" s="62">
        <f t="shared" si="9"/>
        <v>32</v>
      </c>
      <c r="S16" s="62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  <c r="AC16" s="49">
        <f t="shared" si="15"/>
        <v>11</v>
      </c>
      <c r="AD16" s="49">
        <f t="shared" si="16"/>
        <v>13</v>
      </c>
    </row>
    <row r="17" spans="1:30" ht="40" customHeight="1" x14ac:dyDescent="0.15">
      <c r="A17" s="104">
        <v>49011504</v>
      </c>
      <c r="B17" s="104" t="s">
        <v>343</v>
      </c>
      <c r="C17" s="105">
        <v>3</v>
      </c>
      <c r="D17" s="105" t="s">
        <v>128</v>
      </c>
      <c r="E17" s="106" t="s">
        <v>286</v>
      </c>
      <c r="F17" s="106" t="s">
        <v>262</v>
      </c>
      <c r="G17" s="62" t="str">
        <f t="shared" si="0"/>
        <v>[effect:degrade_unit, target:unit_all, turn:5, status:attack, val:0.5, calc:mul]</v>
      </c>
      <c r="H17" s="62">
        <f t="shared" si="1"/>
        <v>9</v>
      </c>
      <c r="I17" s="62">
        <f t="shared" si="2"/>
        <v>21</v>
      </c>
      <c r="J17" s="62">
        <f t="shared" si="3"/>
        <v>30</v>
      </c>
      <c r="K17" s="62">
        <f t="shared" si="4"/>
        <v>38</v>
      </c>
      <c r="L17" s="62" t="str">
        <f>IFERROR(VLOOKUP(MID(G17,J17,K17-J17),[6]skilldef!$C:$D,2,FALSE),"-") &amp; " / " &amp; IFERROR(VLOOKUP(MID(G17,H17,I17-H17),[6]skilldef!$A:$B,2,FALSE),"-")</f>
        <v>味方全体に / ステータスDOWN</v>
      </c>
      <c r="M17" s="62" t="str">
        <f t="shared" si="5"/>
        <v>[effect:critical, val:1.4, animation:enemy_critical],[effect:enemy_message, val1:1.3, val2:2.2]</v>
      </c>
      <c r="N17" s="48" t="str">
        <f>IFERROR(LEFT(M17,FIND("],",M17)+S38),M17)</f>
        <v>[effect:critical, val:1.4, animation:enemy_critical],[effect:enemy_message, val1:1.3, val2:2.2]</v>
      </c>
      <c r="O17" s="62">
        <f t="shared" si="6"/>
        <v>9</v>
      </c>
      <c r="P17" s="62">
        <f t="shared" si="7"/>
        <v>17</v>
      </c>
      <c r="Q17" s="62" t="e">
        <f t="shared" si="8"/>
        <v>#VALUE!</v>
      </c>
      <c r="R17" s="62">
        <f t="shared" si="9"/>
        <v>26</v>
      </c>
      <c r="S17" s="62" t="str">
        <f>IFERROR(VLOOKUP(MID(N17,Q17,R17-Q17),[6]skilldef!$C:$D,2,FALSE),"-") &amp; " / " &amp; IFERROR(VLOOKUP(MID(N17,O17,P17-O17),[6]skilldef!$A:$B,2,FALSE),"-")</f>
        <v>- / 大攻撃</v>
      </c>
      <c r="T17" s="48" t="str">
        <f t="shared" si="10"/>
        <v>[effect:enemy_message, val1:1.3, val2:2.2]</v>
      </c>
      <c r="U17" s="62">
        <f t="shared" si="11"/>
        <v>9</v>
      </c>
      <c r="V17" s="62">
        <f t="shared" si="12"/>
        <v>22</v>
      </c>
      <c r="W17" s="62" t="e">
        <f t="shared" si="13"/>
        <v>#VALUE!</v>
      </c>
      <c r="X17" s="62">
        <f t="shared" si="14"/>
        <v>32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  <c r="AC17" s="49">
        <f t="shared" si="15"/>
        <v>13</v>
      </c>
      <c r="AD17" s="49">
        <f t="shared" si="16"/>
        <v>22</v>
      </c>
    </row>
    <row r="18" spans="1:30" ht="58" customHeight="1" x14ac:dyDescent="0.15">
      <c r="A18" s="104">
        <v>49011505</v>
      </c>
      <c r="B18" s="104" t="s">
        <v>367</v>
      </c>
      <c r="C18" s="105">
        <v>3</v>
      </c>
      <c r="D18" s="105" t="s">
        <v>128</v>
      </c>
      <c r="E18" s="106" t="s">
        <v>305</v>
      </c>
      <c r="F18" s="106" t="s">
        <v>351</v>
      </c>
      <c r="G18" s="62" t="str">
        <f t="shared" ref="G18:G26" si="49">IFERROR(LEFT(B18,FIND("],",B18)),B18)</f>
        <v>[effect:remove_enhancement, target:unit_all, target_effect:all, animation:frozen_wave]</v>
      </c>
      <c r="H18" s="62">
        <f t="shared" ref="H18:H26" si="50">FIND("effect:",G18)+7</f>
        <v>9</v>
      </c>
      <c r="I18" s="62">
        <f t="shared" ref="I18:I26" si="51">IFERROR(FIND(",",G18),LEN(G18))</f>
        <v>27</v>
      </c>
      <c r="J18" s="62">
        <f t="shared" ref="J18:J26" si="52">FIND("target:",G18)+7</f>
        <v>36</v>
      </c>
      <c r="K18" s="62">
        <f t="shared" ref="K18:K26" si="53">FIND(",",G18,I18+1)</f>
        <v>44</v>
      </c>
      <c r="L18" s="62" t="str">
        <f>IFERROR(VLOOKUP(MID(G18,J18,K18-J18),[6]skilldef!$C:$D,2,FALSE),"-") &amp; " / " &amp; IFERROR(VLOOKUP(MID(G18,H18,I18-H18),[6]skilldef!$A:$B,2,FALSE),"-")</f>
        <v>味方全体に / -</v>
      </c>
      <c r="M18" s="62" t="str">
        <f t="shared" ref="M18:M26" si="54">IFERROR(RIGHT(B18,LEN(B18)-FIND("],",B18)-1),"none")</f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val1:2.1, val2:3.4]</v>
      </c>
      <c r="N18" s="48" t="str">
        <f t="shared" ref="N18:N26" si="55">IFERROR(LEFT(M18,FIND("],",M18)+S40),M18)</f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val1:2.1, val2:3.4]</v>
      </c>
      <c r="O18" s="62">
        <f t="shared" ref="O18:O26" si="56">FIND("effect:",N18)+7</f>
        <v>9</v>
      </c>
      <c r="P18" s="62">
        <f t="shared" ref="P18:P26" si="57">IFERROR(FIND(",",N18),LEN(N18))</f>
        <v>19</v>
      </c>
      <c r="Q18" s="62">
        <f t="shared" ref="Q18:Q26" si="58">FIND("target:",N18)+7</f>
        <v>232</v>
      </c>
      <c r="R18" s="62">
        <f t="shared" ref="R18:R26" si="59">FIND(",",N18,P18+1)</f>
        <v>38</v>
      </c>
      <c r="S18" s="62" t="str">
        <f>IFERROR(VLOOKUP(MID(N18,Q18,R18-Q18),[6]skilldef!$C:$D,2,FALSE),"-") &amp; " / " &amp; IFERROR(VLOOKUP(MID(N18,O18,P18-O18),[6]skilldef!$A:$B,2,FALSE),"-")</f>
        <v>- / 特定ブロックの割合ドロップ</v>
      </c>
      <c r="T18" s="48" t="str">
        <f t="shared" ref="T18:T26" si="60">IFERROR(RIGHT(M18,LEN(M18)-FIND("],",M18)-1),"none")</f>
        <v>[effect:change_panel_ratio, turn:-1, block_type:yellow, val:0, animation:block_incidence04],[effect:fix_speed, target:myself, turn:2],[effect:enemy_message, val1:2.1, val2:3.4]</v>
      </c>
      <c r="U18" s="62">
        <f t="shared" ref="U18:U26" si="61">FIND("effect:",T18)+7</f>
        <v>9</v>
      </c>
      <c r="V18" s="62">
        <f t="shared" ref="V18:V26" si="62">IFERROR(FIND(",",T18),LEN(T18))</f>
        <v>27</v>
      </c>
      <c r="W18" s="62">
        <f t="shared" ref="W18:W26" si="63">FIND("target:",T18)+7</f>
        <v>119</v>
      </c>
      <c r="X18" s="62">
        <f t="shared" ref="X18:X26" si="64">FIND(",",T18,V18+1)</f>
        <v>36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  <c r="AC18" s="49">
        <f t="shared" si="15"/>
        <v>21</v>
      </c>
      <c r="AD18" s="49">
        <f t="shared" si="16"/>
        <v>36</v>
      </c>
    </row>
    <row r="19" spans="1:30" s="130" customFormat="1" ht="58" customHeight="1" x14ac:dyDescent="0.15">
      <c r="A19" s="126">
        <v>49011506</v>
      </c>
      <c r="B19" s="126" t="s">
        <v>366</v>
      </c>
      <c r="C19" s="127">
        <v>1</v>
      </c>
      <c r="D19" s="127" t="s">
        <v>128</v>
      </c>
      <c r="E19" s="128" t="s">
        <v>306</v>
      </c>
      <c r="F19" s="128" t="s">
        <v>351</v>
      </c>
      <c r="G19" s="128" t="str">
        <f t="shared" si="49"/>
        <v>[effect:remove_enhancement, target:unit_all, target_effect:all, animation:frozen_wave]</v>
      </c>
      <c r="H19" s="128">
        <f t="shared" si="50"/>
        <v>9</v>
      </c>
      <c r="I19" s="128">
        <f t="shared" si="51"/>
        <v>27</v>
      </c>
      <c r="J19" s="128">
        <f t="shared" si="52"/>
        <v>36</v>
      </c>
      <c r="K19" s="128">
        <f t="shared" si="53"/>
        <v>44</v>
      </c>
      <c r="L19" s="128" t="str">
        <f>IFERROR(VLOOKUP(MID(G19,J19,K19-J19),[6]skilldef!$C:$D,2,FALSE),"-") &amp; " / " &amp; IFERROR(VLOOKUP(MID(G19,H19,I19-H19),[6]skilldef!$A:$B,2,FALSE),"-")</f>
        <v>味方全体に / -</v>
      </c>
      <c r="M19" s="128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val1:2.2, val2:3.4]</v>
      </c>
      <c r="N19" s="126" t="str">
        <f t="shared" si="55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val1:2.2, val2:3.4]</v>
      </c>
      <c r="O19" s="128">
        <f t="shared" si="56"/>
        <v>9</v>
      </c>
      <c r="P19" s="128">
        <f t="shared" si="57"/>
        <v>19</v>
      </c>
      <c r="Q19" s="128">
        <f t="shared" si="58"/>
        <v>232</v>
      </c>
      <c r="R19" s="128">
        <f t="shared" si="59"/>
        <v>38</v>
      </c>
      <c r="S19" s="128" t="str">
        <f>IFERROR(VLOOKUP(MID(N19,Q19,R19-Q19),[6]skilldef!$C:$D,2,FALSE),"-") &amp; " / " &amp; IFERROR(VLOOKUP(MID(N19,O19,P19-O19),[6]skilldef!$A:$B,2,FALSE),"-")</f>
        <v>- / 特定ブロックの割合ドロップ</v>
      </c>
      <c r="T19" s="126" t="str">
        <f t="shared" si="60"/>
        <v>[effect:change_panel_ratio, turn:-1, block_type:yellow, val:0, animation:block_incidence04],[effect:fix_speed, target:myself, turn:2],[effect:enemy_message, val1:2.2, val2:3.4]</v>
      </c>
      <c r="U19" s="128">
        <f t="shared" si="61"/>
        <v>9</v>
      </c>
      <c r="V19" s="128">
        <f t="shared" si="62"/>
        <v>27</v>
      </c>
      <c r="W19" s="128">
        <f t="shared" si="63"/>
        <v>119</v>
      </c>
      <c r="X19" s="128">
        <f t="shared" si="64"/>
        <v>36</v>
      </c>
      <c r="Y19" s="128" t="str">
        <f>IFERROR(VLOOKUP(MID(T19,W19,X19-W19),[6]skilldef!$C:$D,2,FALSE),"-") &amp; " / " &amp; IFERROR(VLOOKUP(MID(T19,U19,V19-U19),[6]skilldef!$A:$B,2,FALSE),"-")</f>
        <v>- / -</v>
      </c>
      <c r="Z19" s="127"/>
      <c r="AA19" s="129"/>
      <c r="AB19" s="127"/>
      <c r="AC19" s="130">
        <f t="shared" si="15"/>
        <v>22</v>
      </c>
      <c r="AD19" s="130">
        <f t="shared" si="16"/>
        <v>36</v>
      </c>
    </row>
    <row r="20" spans="1:30" ht="58" customHeight="1" x14ac:dyDescent="0.15">
      <c r="A20" s="104">
        <v>49011507</v>
      </c>
      <c r="B20" s="104" t="s">
        <v>368</v>
      </c>
      <c r="C20" s="105">
        <v>3</v>
      </c>
      <c r="D20" s="105" t="s">
        <v>128</v>
      </c>
      <c r="E20" s="106" t="s">
        <v>307</v>
      </c>
      <c r="F20" s="106" t="s">
        <v>351</v>
      </c>
      <c r="G20" s="62" t="str">
        <f t="shared" si="49"/>
        <v>[effect:remove_enhancement, target:unit_all, target_effect:all, animation:frozen_wave]</v>
      </c>
      <c r="H20" s="62">
        <f t="shared" si="50"/>
        <v>9</v>
      </c>
      <c r="I20" s="62">
        <f t="shared" si="51"/>
        <v>27</v>
      </c>
      <c r="J20" s="62">
        <f t="shared" si="52"/>
        <v>36</v>
      </c>
      <c r="K20" s="62">
        <f t="shared" si="53"/>
        <v>44</v>
      </c>
      <c r="L20" s="62" t="str">
        <f>IFERROR(VLOOKUP(MID(G20,J20,K20-J20),[6]skilldef!$C:$D,2,FALSE),"-") &amp; " / " &amp; IFERROR(VLOOKUP(MID(G20,H20,I20-H20),[6]skilldef!$A:$B,2,FALSE),"-")</f>
        <v>味方全体に / -</v>
      </c>
      <c r="M20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val1:2.1, val2:3.4]</v>
      </c>
      <c r="N20" s="48" t="str">
        <f t="shared" si="55"/>
        <v>[effect:drop_block, block_type:jammer, color:block_all, val:0, rate:0.07, turn:-1, animation:jammer_influence04]</v>
      </c>
      <c r="O20" s="62">
        <f t="shared" si="56"/>
        <v>9</v>
      </c>
      <c r="P20" s="62">
        <f t="shared" si="57"/>
        <v>19</v>
      </c>
      <c r="Q20" s="62" t="e">
        <f t="shared" si="58"/>
        <v>#VALUE!</v>
      </c>
      <c r="R20" s="62">
        <f t="shared" si="59"/>
        <v>38</v>
      </c>
      <c r="S20" s="62" t="str">
        <f>IFERROR(VLOOKUP(MID(N20,Q20,R20-Q20),[6]skilldef!$C:$D,2,FALSE),"-") &amp; " / " &amp; IFERROR(VLOOKUP(MID(N20,O20,P20-O20),[6]skilldef!$A:$B,2,FALSE),"-")</f>
        <v>- / 特定ブロックの割合ドロップ</v>
      </c>
      <c r="T20" s="48" t="str">
        <f t="shared" si="60"/>
        <v>[effect:change_panel_ratio, turn:-1, block_type:yellow, val:0, animation:block_incidence04],[effect:fix_speed, target:myself, turn:2],[effect:enemy_message, val1:2.1, val2:3.4]</v>
      </c>
      <c r="U20" s="62">
        <f t="shared" si="61"/>
        <v>9</v>
      </c>
      <c r="V20" s="62">
        <f t="shared" si="62"/>
        <v>27</v>
      </c>
      <c r="W20" s="62">
        <f t="shared" si="63"/>
        <v>119</v>
      </c>
      <c r="X20" s="62">
        <f t="shared" si="64"/>
        <v>36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  <c r="AC20" s="49">
        <f t="shared" si="15"/>
        <v>21</v>
      </c>
      <c r="AD20" s="49">
        <f t="shared" si="16"/>
        <v>36</v>
      </c>
    </row>
    <row r="21" spans="1:30" ht="58" customHeight="1" x14ac:dyDescent="0.15">
      <c r="A21" s="104">
        <v>49011508</v>
      </c>
      <c r="B21" s="104" t="s">
        <v>365</v>
      </c>
      <c r="C21" s="105">
        <v>3</v>
      </c>
      <c r="D21" s="105" t="s">
        <v>128</v>
      </c>
      <c r="E21" s="106" t="s">
        <v>308</v>
      </c>
      <c r="F21" s="106" t="s">
        <v>351</v>
      </c>
      <c r="G21" s="62" t="str">
        <f t="shared" si="49"/>
        <v>[effect:remove_enhancement, target:unit_all, target_effect:all, animation:frozen_wave]</v>
      </c>
      <c r="H21" s="62">
        <f t="shared" si="50"/>
        <v>9</v>
      </c>
      <c r="I21" s="62">
        <f t="shared" si="51"/>
        <v>27</v>
      </c>
      <c r="J21" s="62">
        <f t="shared" si="52"/>
        <v>36</v>
      </c>
      <c r="K21" s="62">
        <f t="shared" si="53"/>
        <v>44</v>
      </c>
      <c r="L21" s="62" t="str">
        <f>IFERROR(VLOOKUP(MID(G21,J21,K21-J21),[6]skilldef!$C:$D,2,FALSE),"-") &amp; " / " &amp; IFERROR(VLOOKUP(MID(G21,H21,I21-H21),[6]skilldef!$A:$B,2,FALSE),"-")</f>
        <v>味方全体に / -</v>
      </c>
      <c r="M21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val1:2.2, val2:3.4]</v>
      </c>
      <c r="N21" s="48" t="str">
        <f t="shared" si="55"/>
        <v>[effect:drop_block, block_type:jammer, color:block_all, val:0, rate:0.07, turn:-1, animation:jammer_influence04]</v>
      </c>
      <c r="O21" s="62">
        <f t="shared" si="56"/>
        <v>9</v>
      </c>
      <c r="P21" s="62">
        <f t="shared" si="57"/>
        <v>19</v>
      </c>
      <c r="Q21" s="62" t="e">
        <f t="shared" si="58"/>
        <v>#VALUE!</v>
      </c>
      <c r="R21" s="62">
        <f t="shared" si="59"/>
        <v>38</v>
      </c>
      <c r="S21" s="62" t="str">
        <f>IFERROR(VLOOKUP(MID(N21,Q21,R21-Q21),[6]skilldef!$C:$D,2,FALSE),"-") &amp; " / " &amp; IFERROR(VLOOKUP(MID(N21,O21,P21-O21),[6]skilldef!$A:$B,2,FALSE),"-")</f>
        <v>- / 特定ブロックの割合ドロップ</v>
      </c>
      <c r="T21" s="48" t="str">
        <f t="shared" si="60"/>
        <v>[effect:change_panel_ratio, turn:-1, block_type:yellow, val:0, animation:block_incidence04],[effect:fix_speed, target:myself, turn:2],[effect:enemy_message, val1:2.2, val2:3.4]</v>
      </c>
      <c r="U21" s="62">
        <f t="shared" si="61"/>
        <v>9</v>
      </c>
      <c r="V21" s="62">
        <f t="shared" si="62"/>
        <v>27</v>
      </c>
      <c r="W21" s="62">
        <f t="shared" si="63"/>
        <v>119</v>
      </c>
      <c r="X21" s="62">
        <f t="shared" si="64"/>
        <v>36</v>
      </c>
      <c r="Y21" s="62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  <c r="AC21" s="49">
        <f t="shared" si="15"/>
        <v>22</v>
      </c>
      <c r="AD21" s="49">
        <f t="shared" si="16"/>
        <v>36</v>
      </c>
    </row>
    <row r="22" spans="1:30" ht="58" customHeight="1" x14ac:dyDescent="0.15">
      <c r="A22" s="104">
        <v>49011509</v>
      </c>
      <c r="B22" s="104" t="s">
        <v>366</v>
      </c>
      <c r="C22" s="105">
        <v>3</v>
      </c>
      <c r="D22" s="105" t="s">
        <v>128</v>
      </c>
      <c r="E22" s="106" t="s">
        <v>309</v>
      </c>
      <c r="F22" s="106" t="s">
        <v>351</v>
      </c>
      <c r="G22" s="62" t="str">
        <f t="shared" si="49"/>
        <v>[effect:remove_enhancement, target:unit_all, target_effect:all, animation:frozen_wave]</v>
      </c>
      <c r="H22" s="62">
        <f t="shared" si="50"/>
        <v>9</v>
      </c>
      <c r="I22" s="62">
        <f t="shared" si="51"/>
        <v>27</v>
      </c>
      <c r="J22" s="62">
        <f t="shared" si="52"/>
        <v>36</v>
      </c>
      <c r="K22" s="62">
        <f t="shared" si="53"/>
        <v>44</v>
      </c>
      <c r="L22" s="62" t="str">
        <f>IFERROR(VLOOKUP(MID(G22,J22,K22-J22),[6]skilldef!$C:$D,2,FALSE),"-") &amp; " / " &amp; IFERROR(VLOOKUP(MID(G22,H22,I22-H22),[6]skilldef!$A:$B,2,FALSE),"-")</f>
        <v>味方全体に / -</v>
      </c>
      <c r="M22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val1:2.2, val2:3.4]</v>
      </c>
      <c r="N22" s="48" t="str">
        <f t="shared" si="55"/>
        <v>[effect:drop_block, block_type:jammer, color:block_all, val:0, rate:0.07, turn:-1, animation:jammer_influence04]</v>
      </c>
      <c r="O22" s="62">
        <f t="shared" si="56"/>
        <v>9</v>
      </c>
      <c r="P22" s="62">
        <f t="shared" si="57"/>
        <v>19</v>
      </c>
      <c r="Q22" s="62" t="e">
        <f t="shared" si="58"/>
        <v>#VALUE!</v>
      </c>
      <c r="R22" s="62">
        <f t="shared" si="59"/>
        <v>38</v>
      </c>
      <c r="S22" s="62" t="str">
        <f>IFERROR(VLOOKUP(MID(N22,Q22,R22-Q22),[6]skilldef!$C:$D,2,FALSE),"-") &amp; " / " &amp; IFERROR(VLOOKUP(MID(N22,O22,P22-O22),[6]skilldef!$A:$B,2,FALSE),"-")</f>
        <v>- / 特定ブロックの割合ドロップ</v>
      </c>
      <c r="T22" s="48" t="str">
        <f t="shared" si="60"/>
        <v>[effect:change_panel_ratio, turn:-1, block_type:yellow, val:0, animation:block_incidence04],[effect:fix_speed, target:myself, turn:2],[effect:enemy_message, val1:2.2, val2:3.4]</v>
      </c>
      <c r="U22" s="62">
        <f t="shared" si="61"/>
        <v>9</v>
      </c>
      <c r="V22" s="62">
        <f t="shared" si="62"/>
        <v>27</v>
      </c>
      <c r="W22" s="62">
        <f t="shared" si="63"/>
        <v>119</v>
      </c>
      <c r="X22" s="62">
        <f t="shared" si="64"/>
        <v>36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  <c r="AC22" s="49">
        <f t="shared" si="15"/>
        <v>22</v>
      </c>
      <c r="AD22" s="49">
        <f t="shared" si="16"/>
        <v>36</v>
      </c>
    </row>
    <row r="23" spans="1:30" ht="58" customHeight="1" x14ac:dyDescent="0.15">
      <c r="A23" s="104">
        <v>49011510</v>
      </c>
      <c r="B23" s="104" t="s">
        <v>369</v>
      </c>
      <c r="C23" s="105">
        <v>3</v>
      </c>
      <c r="D23" s="105" t="s">
        <v>128</v>
      </c>
      <c r="E23" s="106" t="s">
        <v>310</v>
      </c>
      <c r="F23" s="106" t="s">
        <v>351</v>
      </c>
      <c r="G23" s="62" t="str">
        <f t="shared" si="49"/>
        <v>[effect:remove_enhancement, target:unit_all, target_effect:all, animation:frozen_wave]</v>
      </c>
      <c r="H23" s="62">
        <f t="shared" si="50"/>
        <v>9</v>
      </c>
      <c r="I23" s="62">
        <f t="shared" si="51"/>
        <v>27</v>
      </c>
      <c r="J23" s="62">
        <f t="shared" si="52"/>
        <v>36</v>
      </c>
      <c r="K23" s="62">
        <f t="shared" si="53"/>
        <v>44</v>
      </c>
      <c r="L23" s="62" t="str">
        <f>IFERROR(VLOOKUP(MID(G23,J23,K23-J23),[6]skilldef!$C:$D,2,FALSE),"-") &amp; " / " &amp; IFERROR(VLOOKUP(MID(G23,H23,I23-H23),[6]skilldef!$A:$B,2,FALSE),"-")</f>
        <v>味方全体に / -</v>
      </c>
      <c r="M23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val1:2.4, val2:3.4]</v>
      </c>
      <c r="N23" s="48" t="str">
        <f t="shared" si="55"/>
        <v>[effect:drop_block, block_type:jammer, color:block_all, val:0, rate:0.07, turn:-1, animation:jammer_influence04]</v>
      </c>
      <c r="O23" s="62">
        <f t="shared" si="56"/>
        <v>9</v>
      </c>
      <c r="P23" s="62">
        <f t="shared" si="57"/>
        <v>19</v>
      </c>
      <c r="Q23" s="62" t="e">
        <f t="shared" si="58"/>
        <v>#VALUE!</v>
      </c>
      <c r="R23" s="62">
        <f t="shared" si="59"/>
        <v>38</v>
      </c>
      <c r="S23" s="62" t="str">
        <f>IFERROR(VLOOKUP(MID(N23,Q23,R23-Q23),[6]skilldef!$C:$D,2,FALSE),"-") &amp; " / " &amp; IFERROR(VLOOKUP(MID(N23,O23,P23-O23),[6]skilldef!$A:$B,2,FALSE),"-")</f>
        <v>- / 特定ブロックの割合ドロップ</v>
      </c>
      <c r="T23" s="48" t="str">
        <f t="shared" si="60"/>
        <v>[effect:change_panel_ratio, turn:-1, block_type:yellow, val:0, animation:block_incidence04],[effect:fix_speed, target:myself, turn:2],[effect:enemy_message, val1:2.4, val2:3.4]</v>
      </c>
      <c r="U23" s="62">
        <f t="shared" si="61"/>
        <v>9</v>
      </c>
      <c r="V23" s="62">
        <f t="shared" si="62"/>
        <v>27</v>
      </c>
      <c r="W23" s="62">
        <f t="shared" si="63"/>
        <v>119</v>
      </c>
      <c r="X23" s="62">
        <f t="shared" si="64"/>
        <v>36</v>
      </c>
      <c r="Y23" s="62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  <c r="AC23" s="49">
        <f t="shared" si="15"/>
        <v>24</v>
      </c>
      <c r="AD23" s="49">
        <f t="shared" si="16"/>
        <v>36</v>
      </c>
    </row>
    <row r="24" spans="1:30" ht="58" customHeight="1" x14ac:dyDescent="0.15">
      <c r="A24" s="104">
        <v>49011511</v>
      </c>
      <c r="B24" s="104" t="s">
        <v>369</v>
      </c>
      <c r="C24" s="105">
        <v>3</v>
      </c>
      <c r="D24" s="105" t="s">
        <v>128</v>
      </c>
      <c r="E24" s="106" t="s">
        <v>311</v>
      </c>
      <c r="F24" s="106" t="s">
        <v>351</v>
      </c>
      <c r="G24" s="62" t="str">
        <f t="shared" si="49"/>
        <v>[effect:remove_enhancement, target:unit_all, target_effect:all, animation:frozen_wave]</v>
      </c>
      <c r="H24" s="62">
        <f t="shared" si="50"/>
        <v>9</v>
      </c>
      <c r="I24" s="62">
        <f t="shared" si="51"/>
        <v>27</v>
      </c>
      <c r="J24" s="62">
        <f t="shared" si="52"/>
        <v>36</v>
      </c>
      <c r="K24" s="62">
        <f t="shared" si="53"/>
        <v>44</v>
      </c>
      <c r="L24" s="62" t="str">
        <f>IFERROR(VLOOKUP(MID(G24,J24,K24-J24),[6]skilldef!$C:$D,2,FALSE),"-") &amp; " / " &amp; IFERROR(VLOOKUP(MID(G24,H24,I24-H24),[6]skilldef!$A:$B,2,FALSE),"-")</f>
        <v>味方全体に / -</v>
      </c>
      <c r="M24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val1:2.4, val2:3.4]</v>
      </c>
      <c r="N24" s="48" t="str">
        <f t="shared" si="55"/>
        <v>[effect:drop_block, block_type:jammer, color:block_all, val:0, rate:0.07, turn:-1, animation:jammer_influence04]</v>
      </c>
      <c r="O24" s="62">
        <f t="shared" si="56"/>
        <v>9</v>
      </c>
      <c r="P24" s="62">
        <f t="shared" si="57"/>
        <v>19</v>
      </c>
      <c r="Q24" s="62" t="e">
        <f t="shared" si="58"/>
        <v>#VALUE!</v>
      </c>
      <c r="R24" s="62">
        <f t="shared" si="59"/>
        <v>38</v>
      </c>
      <c r="S24" s="62" t="str">
        <f>IFERROR(VLOOKUP(MID(N24,Q24,R24-Q24),[6]skilldef!$C:$D,2,FALSE),"-") &amp; " / " &amp; IFERROR(VLOOKUP(MID(N24,O24,P24-O24),[6]skilldef!$A:$B,2,FALSE),"-")</f>
        <v>- / 特定ブロックの割合ドロップ</v>
      </c>
      <c r="T24" s="48" t="str">
        <f t="shared" si="60"/>
        <v>[effect:change_panel_ratio, turn:-1, block_type:yellow, val:0, animation:block_incidence04],[effect:fix_speed, target:myself, turn:2],[effect:enemy_message, val1:2.4, val2:3.4]</v>
      </c>
      <c r="U24" s="62">
        <f t="shared" si="61"/>
        <v>9</v>
      </c>
      <c r="V24" s="62">
        <f t="shared" si="62"/>
        <v>27</v>
      </c>
      <c r="W24" s="62">
        <f t="shared" si="63"/>
        <v>119</v>
      </c>
      <c r="X24" s="62">
        <f t="shared" si="64"/>
        <v>36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  <c r="AC24" s="49">
        <f t="shared" si="15"/>
        <v>24</v>
      </c>
      <c r="AD24" s="49">
        <f t="shared" si="16"/>
        <v>36</v>
      </c>
    </row>
    <row r="25" spans="1:30" ht="58" customHeight="1" x14ac:dyDescent="0.15">
      <c r="A25" s="104">
        <v>49011512</v>
      </c>
      <c r="B25" s="104" t="s">
        <v>372</v>
      </c>
      <c r="C25" s="105">
        <v>3</v>
      </c>
      <c r="D25" s="105" t="s">
        <v>128</v>
      </c>
      <c r="E25" s="106" t="s">
        <v>371</v>
      </c>
      <c r="F25" s="106" t="s">
        <v>351</v>
      </c>
      <c r="G25" s="62" t="str">
        <f t="shared" si="49"/>
        <v>[effect:remove_enhancement, target:unit_all, target_effect:all, animation:frozen_wave]</v>
      </c>
      <c r="H25" s="62">
        <f t="shared" si="50"/>
        <v>9</v>
      </c>
      <c r="I25" s="62">
        <f t="shared" si="51"/>
        <v>27</v>
      </c>
      <c r="J25" s="62">
        <f t="shared" si="52"/>
        <v>36</v>
      </c>
      <c r="K25" s="62">
        <f t="shared" si="53"/>
        <v>44</v>
      </c>
      <c r="L25" s="62" t="str">
        <f>IFERROR(VLOOKUP(MID(G25,J25,K25-J25),[6]skilldef!$C:$D,2,FALSE),"-") &amp; " / " &amp; IFERROR(VLOOKUP(MID(G25,H25,I25-H25),[6]skilldef!$A:$B,2,FALSE),"-")</f>
        <v>味方全体に / -</v>
      </c>
      <c r="M25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val1:2.3, val2:3.4]</v>
      </c>
      <c r="N25" s="48" t="str">
        <f t="shared" si="55"/>
        <v>[effect:drop_block, block_type:jammer, color:block_all, val:0, rate:0.07, turn:-1, animation:jammer_influence04]</v>
      </c>
      <c r="O25" s="62">
        <f t="shared" si="56"/>
        <v>9</v>
      </c>
      <c r="P25" s="62">
        <f t="shared" si="57"/>
        <v>19</v>
      </c>
      <c r="Q25" s="62" t="e">
        <f t="shared" si="58"/>
        <v>#VALUE!</v>
      </c>
      <c r="R25" s="62">
        <f t="shared" si="59"/>
        <v>38</v>
      </c>
      <c r="S25" s="62" t="str">
        <f>IFERROR(VLOOKUP(MID(N25,Q25,R25-Q25),[6]skilldef!$C:$D,2,FALSE),"-") &amp; " / " &amp; IFERROR(VLOOKUP(MID(N25,O25,P25-O25),[6]skilldef!$A:$B,2,FALSE),"-")</f>
        <v>- / 特定ブロックの割合ドロップ</v>
      </c>
      <c r="T25" s="48" t="str">
        <f t="shared" si="60"/>
        <v>[effect:change_panel_ratio, turn:-1, block_type:yellow, val:0, animation:block_incidence04],[effect:fix_speed, target:myself, turn:2],[effect:enemy_message, val1:2.3, val2:3.4]</v>
      </c>
      <c r="U25" s="62">
        <f t="shared" si="61"/>
        <v>9</v>
      </c>
      <c r="V25" s="62">
        <f t="shared" si="62"/>
        <v>27</v>
      </c>
      <c r="W25" s="62">
        <f t="shared" si="63"/>
        <v>119</v>
      </c>
      <c r="X25" s="62">
        <f t="shared" si="64"/>
        <v>36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  <c r="AC25" s="49">
        <f t="shared" si="15"/>
        <v>23</v>
      </c>
      <c r="AD25" s="49">
        <f t="shared" si="16"/>
        <v>36</v>
      </c>
    </row>
    <row r="26" spans="1:30" ht="58" customHeight="1" x14ac:dyDescent="0.15">
      <c r="A26" s="104">
        <v>49011513</v>
      </c>
      <c r="B26" s="104" t="s">
        <v>370</v>
      </c>
      <c r="C26" s="105">
        <v>3</v>
      </c>
      <c r="D26" s="105" t="s">
        <v>128</v>
      </c>
      <c r="E26" s="106" t="s">
        <v>312</v>
      </c>
      <c r="F26" s="106" t="s">
        <v>351</v>
      </c>
      <c r="G26" s="62" t="str">
        <f t="shared" si="49"/>
        <v>[effect:remove_enhancement, target:unit_all, target_effect:all, animation:frozen_wave]</v>
      </c>
      <c r="H26" s="62">
        <f t="shared" si="50"/>
        <v>9</v>
      </c>
      <c r="I26" s="62">
        <f t="shared" si="51"/>
        <v>27</v>
      </c>
      <c r="J26" s="62">
        <f t="shared" si="52"/>
        <v>36</v>
      </c>
      <c r="K26" s="62">
        <f t="shared" si="53"/>
        <v>44</v>
      </c>
      <c r="L26" s="62" t="str">
        <f>IFERROR(VLOOKUP(MID(G26,J26,K26-J26),[6]skilldef!$C:$D,2,FALSE),"-") &amp; " / " &amp; IFERROR(VLOOKUP(MID(G26,H26,I26-H26),[6]skilldef!$A:$B,2,FALSE),"-")</f>
        <v>味方全体に / -</v>
      </c>
      <c r="M26" s="62" t="str">
        <f t="shared" si="54"/>
        <v>[effect:drop_block, block_type:jammer, color:block_all, val:0, rate:0.07, turn:-1, animation:jammer_influence04],[effect:change_panel_ratio, turn:-1, block_type:yellow, val:0, animation:block_incidence04],[effect:fix_speed, target:myself, turn:2],[effect:enemy_message, val1:1.8, val2:3.4]</v>
      </c>
      <c r="N26" s="48" t="str">
        <f t="shared" si="55"/>
        <v>[effect:drop_block, block_type:jammer, color:block_all, val:0, rate:0.07, turn:-1, animation:jammer_influence04]</v>
      </c>
      <c r="O26" s="62">
        <f t="shared" si="56"/>
        <v>9</v>
      </c>
      <c r="P26" s="62">
        <f t="shared" si="57"/>
        <v>19</v>
      </c>
      <c r="Q26" s="62" t="e">
        <f t="shared" si="58"/>
        <v>#VALUE!</v>
      </c>
      <c r="R26" s="62">
        <f t="shared" si="59"/>
        <v>38</v>
      </c>
      <c r="S26" s="62" t="str">
        <f>IFERROR(VLOOKUP(MID(N26,Q26,R26-Q26),[6]skilldef!$C:$D,2,FALSE),"-") &amp; " / " &amp; IFERROR(VLOOKUP(MID(N26,O26,P26-O26),[6]skilldef!$A:$B,2,FALSE),"-")</f>
        <v>- / 特定ブロックの割合ドロップ</v>
      </c>
      <c r="T26" s="48" t="str">
        <f t="shared" si="60"/>
        <v>[effect:change_panel_ratio, turn:-1, block_type:yellow, val:0, animation:block_incidence04],[effect:fix_speed, target:myself, turn:2],[effect:enemy_message, val1:1.8, val2:3.4]</v>
      </c>
      <c r="U26" s="62">
        <f t="shared" si="61"/>
        <v>9</v>
      </c>
      <c r="V26" s="62">
        <f t="shared" si="62"/>
        <v>27</v>
      </c>
      <c r="W26" s="62">
        <f t="shared" si="63"/>
        <v>119</v>
      </c>
      <c r="X26" s="62">
        <f t="shared" si="64"/>
        <v>36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  <c r="AC26" s="49">
        <f t="shared" si="15"/>
        <v>18</v>
      </c>
      <c r="AD26" s="49">
        <f t="shared" si="16"/>
        <v>36</v>
      </c>
    </row>
    <row r="27" spans="1:30" ht="42" customHeight="1" x14ac:dyDescent="0.15">
      <c r="A27" s="119">
        <v>49011600</v>
      </c>
      <c r="B27" s="119" t="s">
        <v>344</v>
      </c>
      <c r="C27" s="120">
        <v>3</v>
      </c>
      <c r="D27" s="120" t="s">
        <v>128</v>
      </c>
      <c r="E27" s="121" t="s">
        <v>287</v>
      </c>
      <c r="F27" s="121" t="s">
        <v>263</v>
      </c>
      <c r="G27" s="62" t="str">
        <f t="shared" si="0"/>
        <v>[effect:dis_panel, target:block_blue, turn:10, animation:enemy_dis_blue]</v>
      </c>
      <c r="H27" s="62">
        <f t="shared" si="1"/>
        <v>9</v>
      </c>
      <c r="I27" s="62">
        <f t="shared" si="2"/>
        <v>18</v>
      </c>
      <c r="J27" s="62">
        <f t="shared" si="3"/>
        <v>27</v>
      </c>
      <c r="K27" s="62">
        <f t="shared" si="4"/>
        <v>37</v>
      </c>
      <c r="L27" s="62" t="str">
        <f>IFERROR(VLOOKUP(MID(G27,J27,K27-J27),[6]skilldef!$C:$D,2,FALSE),"-") &amp; " / " &amp; IFERROR(VLOOKUP(MID(G27,H27,I27-H27),[6]skilldef!$A:$B,2,FALSE),"-")</f>
        <v>青パネルを / ディスパネル</v>
      </c>
      <c r="M27" s="62" t="str">
        <f t="shared" si="5"/>
        <v>[effect:change_panel_ratio, turn:10, block_type:blue, val:0.35, animation:block_incidence04],[effect:fix_speed, target:myself, turn:1],[effect:enemy_message, val1:2.2, val2:2.3]</v>
      </c>
      <c r="N27" s="48" t="str">
        <f t="shared" ref="N27:N30" si="65">IFERROR(LEFT(M27,FIND("],",M27)+S39),M27)</f>
        <v>[effect:change_panel_ratio, turn:10, block_type:blue, val:0.35, animation:block_incidence04],[effect:fix_speed, target:myself, turn:1],[effect:enemy_message, val1:2.2, val2:2.3]</v>
      </c>
      <c r="O27" s="62">
        <f t="shared" si="6"/>
        <v>9</v>
      </c>
      <c r="P27" s="62">
        <f t="shared" si="7"/>
        <v>27</v>
      </c>
      <c r="Q27" s="62">
        <f t="shared" si="8"/>
        <v>120</v>
      </c>
      <c r="R27" s="62">
        <f t="shared" si="9"/>
        <v>36</v>
      </c>
      <c r="S27" s="62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[effect:fix_speed, target:myself, turn:1],[effect:enemy_message, val1:2.2, val2:2.3]</v>
      </c>
      <c r="U27" s="62">
        <f t="shared" si="11"/>
        <v>9</v>
      </c>
      <c r="V27" s="62">
        <f t="shared" si="12"/>
        <v>18</v>
      </c>
      <c r="W27" s="62">
        <f t="shared" si="13"/>
        <v>27</v>
      </c>
      <c r="X27" s="62">
        <f t="shared" si="14"/>
        <v>33</v>
      </c>
      <c r="Y27" s="62" t="str">
        <f>IFERROR(VLOOKUP(MID(T27,W27,X27-W27),[6]skilldef!$C:$D,2,FALSE),"-") &amp; " / " &amp; IFERROR(VLOOKUP(MID(T27,U27,V27-U27),[6]skilldef!$A:$B,2,FALSE),"-")</f>
        <v>自分自身に / 行動値設定</v>
      </c>
      <c r="Z27" s="50"/>
      <c r="AA27" s="51"/>
      <c r="AB27" s="50"/>
      <c r="AC27" s="49">
        <f t="shared" si="15"/>
        <v>22</v>
      </c>
      <c r="AD27" s="49">
        <f t="shared" si="16"/>
        <v>23</v>
      </c>
    </row>
    <row r="28" spans="1:30" ht="40" customHeight="1" x14ac:dyDescent="0.15">
      <c r="A28" s="119">
        <v>49011601</v>
      </c>
      <c r="B28" s="119" t="s">
        <v>373</v>
      </c>
      <c r="C28" s="120">
        <v>3</v>
      </c>
      <c r="D28" s="120" t="s">
        <v>128</v>
      </c>
      <c r="E28" s="121" t="s">
        <v>298</v>
      </c>
      <c r="F28" s="121" t="s">
        <v>318</v>
      </c>
      <c r="G28" s="62" t="str">
        <f t="shared" si="0"/>
        <v>[effect:force_change_block, new_block:block_blue, target:block_all, ignore01:crash, ignore02:crack_bomb, ignore03:jammer, ignore04:color_break, ignore05:block_blue, ignore06:magnet, count:5, val:0, animation:change_block]</v>
      </c>
      <c r="H28" s="62">
        <f t="shared" si="1"/>
        <v>9</v>
      </c>
      <c r="I28" s="62">
        <f t="shared" si="2"/>
        <v>27</v>
      </c>
      <c r="J28" s="62">
        <f t="shared" si="3"/>
        <v>58</v>
      </c>
      <c r="K28" s="62">
        <f t="shared" si="4"/>
        <v>49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[effect:rush, count:1, val:1.0],[effect:enemy_message, val1:2.3, val2:1.9]</v>
      </c>
      <c r="N28" s="48" t="str">
        <f t="shared" si="65"/>
        <v>[effect:rush, count:1, val:1.0],[effect:enemy_message, val1:2.3, val2:1.9]</v>
      </c>
      <c r="O28" s="62">
        <f t="shared" si="6"/>
        <v>9</v>
      </c>
      <c r="P28" s="62">
        <f t="shared" si="7"/>
        <v>13</v>
      </c>
      <c r="Q28" s="62" t="e">
        <f t="shared" si="8"/>
        <v>#VALUE!</v>
      </c>
      <c r="R28" s="62">
        <f t="shared" si="9"/>
        <v>22</v>
      </c>
      <c r="S28" s="62" t="str">
        <f>IFERROR(VLOOKUP(MID(N28,Q28,R28-Q28),[6]skilldef!$C:$D,2,FALSE),"-") &amp; " / " &amp; IFERROR(VLOOKUP(MID(N28,O28,P28-O28),[6]skilldef!$A:$B,2,FALSE),"-")</f>
        <v>- / 連続攻撃</v>
      </c>
      <c r="T28" s="48" t="str">
        <f t="shared" si="10"/>
        <v>[effect:enemy_message, val1:2.3, val2:1.9]</v>
      </c>
      <c r="U28" s="62">
        <f t="shared" si="11"/>
        <v>9</v>
      </c>
      <c r="V28" s="62">
        <f t="shared" si="12"/>
        <v>22</v>
      </c>
      <c r="W28" s="62" t="e">
        <f t="shared" si="13"/>
        <v>#VALUE!</v>
      </c>
      <c r="X28" s="62">
        <f t="shared" si="14"/>
        <v>32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  <c r="AC28" s="49">
        <f t="shared" si="15"/>
        <v>23</v>
      </c>
      <c r="AD28" s="49">
        <f t="shared" si="16"/>
        <v>19</v>
      </c>
    </row>
    <row r="29" spans="1:30" ht="40" customHeight="1" x14ac:dyDescent="0.15">
      <c r="A29" s="119">
        <v>49011602</v>
      </c>
      <c r="B29" s="119" t="s">
        <v>374</v>
      </c>
      <c r="C29" s="120">
        <v>3</v>
      </c>
      <c r="D29" s="120" t="s">
        <v>128</v>
      </c>
      <c r="E29" s="121" t="s">
        <v>288</v>
      </c>
      <c r="F29" s="121" t="s">
        <v>318</v>
      </c>
      <c r="G29" s="62" t="str">
        <f t="shared" ref="G29" si="66">IFERROR(LEFT(B29,FIND("],",B29)),B29)</f>
        <v>[effect:force_change_block, new_block:block_blue, target:block_all, ignore01:crash, ignore02:crack_bomb, ignore03:jammer, ignore04:color_break, ignore05:block_blue, ignore06:magnet, count:5, val:0, animation:change_block]</v>
      </c>
      <c r="H29" s="62">
        <f t="shared" ref="H29" si="67">FIND("effect:",G29)+7</f>
        <v>9</v>
      </c>
      <c r="I29" s="62">
        <f t="shared" ref="I29" si="68">IFERROR(FIND(",",G29),LEN(G29))</f>
        <v>27</v>
      </c>
      <c r="J29" s="62">
        <f t="shared" ref="J29" si="69">FIND("target:",G29)+7</f>
        <v>58</v>
      </c>
      <c r="K29" s="62">
        <f t="shared" ref="K29" si="70">FIND(",",G29,I29+1)</f>
        <v>49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ref="M29" si="71">IFERROR(RIGHT(B29,LEN(B29)-FIND("],",B29)-1),"none")</f>
        <v>[effect:rush, count:1, val:1.0],[effect:enemy_message, val1:1.7, val2:1.9]</v>
      </c>
      <c r="N29" s="48" t="str">
        <f t="shared" si="65"/>
        <v>[effect:rush, count:1, val:1.0],[effect:enemy_message, val1:1.7, val2:1.9]</v>
      </c>
      <c r="O29" s="62">
        <f t="shared" ref="O29" si="72">FIND("effect:",N29)+7</f>
        <v>9</v>
      </c>
      <c r="P29" s="62">
        <f t="shared" ref="P29" si="73">IFERROR(FIND(",",N29),LEN(N29))</f>
        <v>13</v>
      </c>
      <c r="Q29" s="62" t="e">
        <f t="shared" ref="Q29" si="74">FIND("target:",N29)+7</f>
        <v>#VALUE!</v>
      </c>
      <c r="R29" s="62">
        <f t="shared" ref="R29" si="75">FIND(",",N29,P29+1)</f>
        <v>22</v>
      </c>
      <c r="S29" s="62" t="str">
        <f>IFERROR(VLOOKUP(MID(N29,Q29,R29-Q29),[6]skilldef!$C:$D,2,FALSE),"-") &amp; " / " &amp; IFERROR(VLOOKUP(MID(N29,O29,P29-O29),[6]skilldef!$A:$B,2,FALSE),"-")</f>
        <v>- / 連続攻撃</v>
      </c>
      <c r="T29" s="48" t="str">
        <f t="shared" ref="T29" si="76">IFERROR(RIGHT(M29,LEN(M29)-FIND("],",M29)-1),"none")</f>
        <v>[effect:enemy_message, val1:1.7, val2:1.9]</v>
      </c>
      <c r="U29" s="62">
        <f t="shared" ref="U29" si="77">FIND("effect:",T29)+7</f>
        <v>9</v>
      </c>
      <c r="V29" s="62">
        <f t="shared" ref="V29" si="78">IFERROR(FIND(",",T29),LEN(T29))</f>
        <v>22</v>
      </c>
      <c r="W29" s="62" t="e">
        <f t="shared" ref="W29" si="79">FIND("target:",T29)+7</f>
        <v>#VALUE!</v>
      </c>
      <c r="X29" s="62">
        <f t="shared" ref="X29" si="80">FIND(",",T29,V29+1)</f>
        <v>32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  <c r="AC29" s="49">
        <f t="shared" si="15"/>
        <v>17</v>
      </c>
      <c r="AD29" s="49">
        <f t="shared" si="16"/>
        <v>19</v>
      </c>
    </row>
    <row r="30" spans="1:30" ht="49" customHeight="1" x14ac:dyDescent="0.15">
      <c r="A30" s="119">
        <v>49011603</v>
      </c>
      <c r="B30" s="119" t="s">
        <v>374</v>
      </c>
      <c r="C30" s="120">
        <v>3</v>
      </c>
      <c r="D30" s="120" t="s">
        <v>128</v>
      </c>
      <c r="E30" s="121" t="s">
        <v>303</v>
      </c>
      <c r="F30" s="121" t="s">
        <v>318</v>
      </c>
      <c r="G30" s="62" t="str">
        <f t="shared" ref="G30" si="81">IFERROR(LEFT(B30,FIND("],",B30)),B30)</f>
        <v>[effect:force_change_block, new_block:block_blue, target:block_all, ignore01:crash, ignore02:crack_bomb, ignore03:jammer, ignore04:color_break, ignore05:block_blue, ignore06:magnet, count:5, val:0, animation:change_block]</v>
      </c>
      <c r="H30" s="62">
        <f t="shared" ref="H30" si="82">FIND("effect:",G30)+7</f>
        <v>9</v>
      </c>
      <c r="I30" s="62">
        <f t="shared" ref="I30" si="83">IFERROR(FIND(",",G30),LEN(G30))</f>
        <v>27</v>
      </c>
      <c r="J30" s="62">
        <f t="shared" ref="J30" si="84">FIND("target:",G30)+7</f>
        <v>58</v>
      </c>
      <c r="K30" s="62">
        <f t="shared" ref="K30" si="85">FIND(",",G30,I30+1)</f>
        <v>49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ref="M30" si="86">IFERROR(RIGHT(B30,LEN(B30)-FIND("],",B30)-1),"none")</f>
        <v>[effect:rush, count:1, val:1.0],[effect:enemy_message, val1:1.7, val2:1.9]</v>
      </c>
      <c r="N30" s="48" t="str">
        <f t="shared" si="65"/>
        <v>[effect:rush, count:1, val:1.0]</v>
      </c>
      <c r="O30" s="62">
        <f t="shared" ref="O30" si="87">FIND("effect:",N30)+7</f>
        <v>9</v>
      </c>
      <c r="P30" s="62">
        <f t="shared" ref="P30" si="88">IFERROR(FIND(",",N30),LEN(N30))</f>
        <v>13</v>
      </c>
      <c r="Q30" s="62" t="e">
        <f t="shared" ref="Q30" si="89">FIND("target:",N30)+7</f>
        <v>#VALUE!</v>
      </c>
      <c r="R30" s="62">
        <f t="shared" ref="R30" si="90">FIND(",",N30,P30+1)</f>
        <v>22</v>
      </c>
      <c r="S30" s="62" t="str">
        <f>IFERROR(VLOOKUP(MID(N30,Q30,R30-Q30),[6]skilldef!$C:$D,2,FALSE),"-") &amp; " / " &amp; IFERROR(VLOOKUP(MID(N30,O30,P30-O30),[6]skilldef!$A:$B,2,FALSE),"-")</f>
        <v>- / 連続攻撃</v>
      </c>
      <c r="T30" s="48" t="str">
        <f t="shared" ref="T30" si="91">IFERROR(RIGHT(M30,LEN(M30)-FIND("],",M30)-1),"none")</f>
        <v>[effect:enemy_message, val1:1.7, val2:1.9]</v>
      </c>
      <c r="U30" s="62">
        <f t="shared" ref="U30" si="92">FIND("effect:",T30)+7</f>
        <v>9</v>
      </c>
      <c r="V30" s="62">
        <f t="shared" ref="V30" si="93">IFERROR(FIND(",",T30),LEN(T30))</f>
        <v>22</v>
      </c>
      <c r="W30" s="62" t="e">
        <f t="shared" ref="W30" si="94">FIND("target:",T30)+7</f>
        <v>#VALUE!</v>
      </c>
      <c r="X30" s="62">
        <f t="shared" ref="X30" si="95">FIND(",",T30,V30+1)</f>
        <v>32</v>
      </c>
      <c r="Y30" s="62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  <c r="AC30" s="49">
        <f t="shared" si="15"/>
        <v>17</v>
      </c>
      <c r="AD30" s="49">
        <f t="shared" si="16"/>
        <v>19</v>
      </c>
    </row>
    <row r="31" spans="1:30" ht="30" customHeight="1" x14ac:dyDescent="0.15">
      <c r="A31" s="119">
        <v>49011604</v>
      </c>
      <c r="B31" s="119" t="s">
        <v>345</v>
      </c>
      <c r="C31" s="120">
        <v>3</v>
      </c>
      <c r="D31" s="120" t="s">
        <v>128</v>
      </c>
      <c r="E31" s="121" t="s">
        <v>289</v>
      </c>
      <c r="F31" s="121" t="s">
        <v>264</v>
      </c>
      <c r="G31" s="62" t="str">
        <f t="shared" si="0"/>
        <v>[effect:break_attack, target:unit_one, val:0.06, lowest_val:10000, count:-1, color:green, block01:block_red]</v>
      </c>
      <c r="H31" s="62">
        <f t="shared" si="1"/>
        <v>9</v>
      </c>
      <c r="I31" s="62">
        <f t="shared" si="2"/>
        <v>21</v>
      </c>
      <c r="J31" s="62">
        <f t="shared" si="3"/>
        <v>30</v>
      </c>
      <c r="K31" s="62">
        <f t="shared" si="4"/>
        <v>38</v>
      </c>
      <c r="L31" s="62" t="str">
        <f>IFERROR(VLOOKUP(MID(G31,J31,K31-J31),[6]skilldef!$C:$D,2,FALSE),"-") &amp; " / " &amp; IFERROR(VLOOKUP(MID(G31,H31,I31-H31),[6]skilldef!$A:$B,2,FALSE),"-")</f>
        <v>味方単体に / -</v>
      </c>
      <c r="M31" s="62" t="str">
        <f t="shared" si="5"/>
        <v>[effect:enemy_message, val1:1.9, val2:1.2]</v>
      </c>
      <c r="N31" s="48" t="str">
        <f t="shared" ref="N31:N38" si="96">IFERROR(LEFT(M31,FIND("],",M31)+S41),M31)</f>
        <v>[effect:enemy_message, val1:1.9, val2:1.2]</v>
      </c>
      <c r="O31" s="62">
        <f t="shared" si="6"/>
        <v>9</v>
      </c>
      <c r="P31" s="62">
        <f t="shared" si="7"/>
        <v>22</v>
      </c>
      <c r="Q31" s="62" t="e">
        <f t="shared" si="8"/>
        <v>#VALUE!</v>
      </c>
      <c r="R31" s="62">
        <f t="shared" si="9"/>
        <v>32</v>
      </c>
      <c r="S31" s="62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2" t="e">
        <f t="shared" si="11"/>
        <v>#VALUE!</v>
      </c>
      <c r="V31" s="62">
        <f t="shared" si="12"/>
        <v>4</v>
      </c>
      <c r="W31" s="62" t="e">
        <f t="shared" si="13"/>
        <v>#VALUE!</v>
      </c>
      <c r="X31" s="62" t="e">
        <f t="shared" si="14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  <c r="AC31" s="49">
        <f t="shared" si="15"/>
        <v>19</v>
      </c>
      <c r="AD31" s="49">
        <f t="shared" si="16"/>
        <v>11</v>
      </c>
    </row>
    <row r="32" spans="1:30" ht="30" customHeight="1" x14ac:dyDescent="0.15">
      <c r="A32" s="119">
        <v>49011605</v>
      </c>
      <c r="B32" s="119" t="s">
        <v>346</v>
      </c>
      <c r="C32" s="120">
        <v>3</v>
      </c>
      <c r="D32" s="120" t="s">
        <v>128</v>
      </c>
      <c r="E32" s="121" t="s">
        <v>290</v>
      </c>
      <c r="F32" s="121" t="s">
        <v>261</v>
      </c>
      <c r="G32" s="62" t="str">
        <f t="shared" si="0"/>
        <v>[effect:break_attack, target:unit_one, val:0.06, lowest_val:10000, count:-1, color:green, block01:jammer]</v>
      </c>
      <c r="H32" s="62">
        <f t="shared" si="1"/>
        <v>9</v>
      </c>
      <c r="I32" s="62">
        <f t="shared" si="2"/>
        <v>21</v>
      </c>
      <c r="J32" s="62">
        <f t="shared" si="3"/>
        <v>30</v>
      </c>
      <c r="K32" s="62">
        <f t="shared" si="4"/>
        <v>38</v>
      </c>
      <c r="L32" s="62" t="str">
        <f>IFERROR(VLOOKUP(MID(G32,J32,K32-J32),[6]skilldef!$C:$D,2,FALSE),"-") &amp; " / " &amp; IFERROR(VLOOKUP(MID(G32,H32,I32-H32),[6]skilldef!$A:$B,2,FALSE),"-")</f>
        <v>味方単体に / -</v>
      </c>
      <c r="M32" s="62" t="str">
        <f t="shared" si="5"/>
        <v>[effect:enemy_message, val1:1.6, val2:1.2]</v>
      </c>
      <c r="N32" s="48" t="str">
        <f t="shared" si="96"/>
        <v>[effect:enemy_message, val1:1.6, val2:1.2]</v>
      </c>
      <c r="O32" s="62">
        <f t="shared" si="6"/>
        <v>9</v>
      </c>
      <c r="P32" s="62">
        <f t="shared" si="7"/>
        <v>22</v>
      </c>
      <c r="Q32" s="62" t="e">
        <f t="shared" si="8"/>
        <v>#VALUE!</v>
      </c>
      <c r="R32" s="62">
        <f t="shared" si="9"/>
        <v>32</v>
      </c>
      <c r="S32" s="62" t="str">
        <f>IFERROR(VLOOKUP(MID(N32,Q32,R32-Q32),[6]skilldef!$C:$D,2,FALSE),"-") &amp; " / " &amp; IFERROR(VLOOKUP(MID(N32,O32,P32-O32),[6]skilldef!$A:$B,2,FALSE),"-")</f>
        <v>- / -</v>
      </c>
      <c r="T32" s="48" t="str">
        <f t="shared" si="10"/>
        <v>none</v>
      </c>
      <c r="U32" s="62" t="e">
        <f t="shared" si="11"/>
        <v>#VALUE!</v>
      </c>
      <c r="V32" s="62">
        <f t="shared" si="12"/>
        <v>4</v>
      </c>
      <c r="W32" s="62" t="e">
        <f t="shared" si="13"/>
        <v>#VALUE!</v>
      </c>
      <c r="X32" s="62" t="e">
        <f t="shared" si="14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  <c r="AC32" s="49">
        <f t="shared" si="15"/>
        <v>16</v>
      </c>
      <c r="AD32" s="49">
        <f t="shared" si="16"/>
        <v>13</v>
      </c>
    </row>
    <row r="33" spans="1:30" ht="41" customHeight="1" x14ac:dyDescent="0.15">
      <c r="A33" s="119">
        <v>49011606</v>
      </c>
      <c r="B33" s="119" t="s">
        <v>347</v>
      </c>
      <c r="C33" s="120">
        <v>3</v>
      </c>
      <c r="D33" s="120" t="s">
        <v>128</v>
      </c>
      <c r="E33" s="121" t="s">
        <v>363</v>
      </c>
      <c r="F33" s="121" t="s">
        <v>299</v>
      </c>
      <c r="G33" s="62" t="str">
        <f t="shared" si="0"/>
        <v>[effect:break_heal_fix, target:myself, val:10000, lowest_val:30000, count:10, block01:jammer, animation:enemy_heal]</v>
      </c>
      <c r="H33" s="62">
        <f t="shared" si="1"/>
        <v>9</v>
      </c>
      <c r="I33" s="62">
        <f t="shared" si="2"/>
        <v>23</v>
      </c>
      <c r="J33" s="62">
        <f t="shared" si="3"/>
        <v>32</v>
      </c>
      <c r="K33" s="62">
        <f t="shared" si="4"/>
        <v>38</v>
      </c>
      <c r="L33" s="62" t="str">
        <f>IFERROR(VLOOKUP(MID(G33,J33,K33-J33),[6]skilldef!$C:$D,2,FALSE),"-") &amp; " / " &amp; IFERROR(VLOOKUP(MID(G33,H33,I33-H33),[6]skilldef!$A:$B,2,FALSE),"-")</f>
        <v>自分自身に / -</v>
      </c>
      <c r="M33" s="62" t="str">
        <f t="shared" si="5"/>
        <v>[effect:enemy_message, val1:2.4, val2:2.0]</v>
      </c>
      <c r="N33" s="48" t="str">
        <f t="shared" si="96"/>
        <v>[effect:enemy_message, val1:2.4, val2:2.0]</v>
      </c>
      <c r="O33" s="62">
        <f t="shared" si="6"/>
        <v>9</v>
      </c>
      <c r="P33" s="62">
        <f t="shared" si="7"/>
        <v>22</v>
      </c>
      <c r="Q33" s="62" t="e">
        <f t="shared" si="8"/>
        <v>#VALUE!</v>
      </c>
      <c r="R33" s="62">
        <f t="shared" si="9"/>
        <v>32</v>
      </c>
      <c r="S33" s="62" t="str">
        <f>IFERROR(VLOOKUP(MID(N33,Q33,R33-Q33),[6]skilldef!$C:$D,2,FALSE),"-") &amp; " / " &amp; IFERROR(VLOOKUP(MID(N33,O33,P33-O33),[6]skilldef!$A:$B,2,FALSE),"-")</f>
        <v>- / -</v>
      </c>
      <c r="T33" s="48" t="str">
        <f t="shared" si="10"/>
        <v>none</v>
      </c>
      <c r="U33" s="62" t="e">
        <f t="shared" si="11"/>
        <v>#VALUE!</v>
      </c>
      <c r="V33" s="62">
        <f t="shared" si="12"/>
        <v>4</v>
      </c>
      <c r="W33" s="62" t="e">
        <f t="shared" si="13"/>
        <v>#VALUE!</v>
      </c>
      <c r="X33" s="62" t="e">
        <f t="shared" si="14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  <c r="AC33" s="49">
        <f t="shared" si="15"/>
        <v>24</v>
      </c>
      <c r="AD33" s="49">
        <f t="shared" si="16"/>
        <v>20</v>
      </c>
    </row>
    <row r="34" spans="1:30" ht="45" customHeight="1" x14ac:dyDescent="0.15">
      <c r="A34" s="122">
        <v>49011700</v>
      </c>
      <c r="B34" s="122" t="s">
        <v>348</v>
      </c>
      <c r="C34" s="123">
        <v>3</v>
      </c>
      <c r="D34" s="123" t="s">
        <v>128</v>
      </c>
      <c r="E34" s="124" t="s">
        <v>291</v>
      </c>
      <c r="F34" s="124" t="s">
        <v>265</v>
      </c>
      <c r="G34" s="62" t="str">
        <f t="shared" si="0"/>
        <v>[effect:dis_panel, target:block_red, turn:10, animation:enemy_dis_red]</v>
      </c>
      <c r="H34" s="62">
        <f t="shared" si="1"/>
        <v>9</v>
      </c>
      <c r="I34" s="62">
        <f t="shared" si="2"/>
        <v>18</v>
      </c>
      <c r="J34" s="62">
        <f t="shared" si="3"/>
        <v>27</v>
      </c>
      <c r="K34" s="62">
        <f t="shared" si="4"/>
        <v>36</v>
      </c>
      <c r="L34" s="62" t="str">
        <f>IFERROR(VLOOKUP(MID(G34,J34,K34-J34),[6]skilldef!$C:$D,2,FALSE),"-") &amp; " / " &amp; IFERROR(VLOOKUP(MID(G34,H34,I34-H34),[6]skilldef!$A:$B,2,FALSE),"-")</f>
        <v>赤パネルを / ディスパネル</v>
      </c>
      <c r="M34" s="62" t="str">
        <f t="shared" si="5"/>
        <v>[effect:change_panel_ratio, turn:10, block_type:red, val:0.35, animation:block_incidence04],[effect:fix_speed, target:myself, turn:1],[effect:enemy_message, val1:2.2, val2:2.1]</v>
      </c>
      <c r="N34" s="48" t="str">
        <f t="shared" si="96"/>
        <v>[effect:change_panel_ratio, turn:10, block_type:red, val:0.35, animation:block_incidence04]</v>
      </c>
      <c r="O34" s="62">
        <f t="shared" si="6"/>
        <v>9</v>
      </c>
      <c r="P34" s="62">
        <f t="shared" si="7"/>
        <v>27</v>
      </c>
      <c r="Q34" s="62" t="e">
        <f t="shared" si="8"/>
        <v>#VALUE!</v>
      </c>
      <c r="R34" s="62">
        <f t="shared" si="9"/>
        <v>36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>[effect:fix_speed, target:myself, turn:1],[effect:enemy_message, val1:2.2, val2:2.1]</v>
      </c>
      <c r="U34" s="62">
        <f t="shared" si="11"/>
        <v>9</v>
      </c>
      <c r="V34" s="62">
        <f t="shared" si="12"/>
        <v>18</v>
      </c>
      <c r="W34" s="62">
        <f t="shared" si="13"/>
        <v>27</v>
      </c>
      <c r="X34" s="62">
        <f t="shared" si="14"/>
        <v>33</v>
      </c>
      <c r="Y34" s="62" t="str">
        <f>IFERROR(VLOOKUP(MID(T34,W34,X34-W34),[6]skilldef!$C:$D,2,FALSE),"-") &amp; " / " &amp; IFERROR(VLOOKUP(MID(T34,U34,V34-U34),[6]skilldef!$A:$B,2,FALSE),"-")</f>
        <v>自分自身に / 行動値設定</v>
      </c>
      <c r="Z34" s="50"/>
      <c r="AA34" s="51"/>
      <c r="AB34" s="50"/>
      <c r="AC34" s="49">
        <f t="shared" si="15"/>
        <v>22</v>
      </c>
      <c r="AD34" s="49">
        <f t="shared" si="16"/>
        <v>21</v>
      </c>
    </row>
    <row r="35" spans="1:30" ht="21" customHeight="1" x14ac:dyDescent="0.15">
      <c r="A35" s="122">
        <v>49011701</v>
      </c>
      <c r="B35" s="122" t="s">
        <v>375</v>
      </c>
      <c r="C35" s="123">
        <v>3</v>
      </c>
      <c r="D35" s="123" t="s">
        <v>128</v>
      </c>
      <c r="E35" s="124" t="s">
        <v>292</v>
      </c>
      <c r="F35" s="124" t="s">
        <v>319</v>
      </c>
      <c r="G35" s="62" t="str">
        <f t="shared" si="0"/>
        <v>[effect:force_change_block, new_block:block_red, target:block_all, ignore01:crash, ignore02:crack_bomb, ignore03:jammer, ignore04:color_break, ignore05:block_red, ignore06:magnet, count:5, val:0, animation:change_block]</v>
      </c>
      <c r="H35" s="62">
        <f t="shared" si="1"/>
        <v>9</v>
      </c>
      <c r="I35" s="62">
        <f t="shared" si="2"/>
        <v>27</v>
      </c>
      <c r="J35" s="62">
        <f t="shared" si="3"/>
        <v>57</v>
      </c>
      <c r="K35" s="62">
        <f t="shared" si="4"/>
        <v>48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[effect:rush, count:1, val:1.0],[effect:enemy_message, val1:1.2, val2:1.9]</v>
      </c>
      <c r="N35" s="48" t="str">
        <f t="shared" si="96"/>
        <v>[effect:rush, count:1, val:1.0]</v>
      </c>
      <c r="O35" s="62">
        <f t="shared" si="6"/>
        <v>9</v>
      </c>
      <c r="P35" s="62">
        <f t="shared" si="7"/>
        <v>13</v>
      </c>
      <c r="Q35" s="62" t="e">
        <f t="shared" si="8"/>
        <v>#VALUE!</v>
      </c>
      <c r="R35" s="62">
        <f t="shared" si="9"/>
        <v>22</v>
      </c>
      <c r="S35" s="62" t="str">
        <f>IFERROR(VLOOKUP(MID(N35,Q35,R35-Q35),[6]skilldef!$C:$D,2,FALSE),"-") &amp; " / " &amp; IFERROR(VLOOKUP(MID(N35,O35,P35-O35),[6]skilldef!$A:$B,2,FALSE),"-")</f>
        <v>- / 連続攻撃</v>
      </c>
      <c r="T35" s="48" t="str">
        <f t="shared" si="10"/>
        <v>[effect:enemy_message, val1:1.2, val2:1.9]</v>
      </c>
      <c r="U35" s="62">
        <f t="shared" si="11"/>
        <v>9</v>
      </c>
      <c r="V35" s="62">
        <f t="shared" si="12"/>
        <v>22</v>
      </c>
      <c r="W35" s="62" t="e">
        <f t="shared" si="13"/>
        <v>#VALUE!</v>
      </c>
      <c r="X35" s="62">
        <f t="shared" si="14"/>
        <v>32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  <c r="AC35" s="49">
        <f t="shared" si="15"/>
        <v>7</v>
      </c>
      <c r="AD35" s="49">
        <f t="shared" si="16"/>
        <v>19</v>
      </c>
    </row>
    <row r="36" spans="1:30" ht="21" customHeight="1" x14ac:dyDescent="0.15">
      <c r="A36" s="122">
        <v>49011702</v>
      </c>
      <c r="B36" s="122" t="s">
        <v>378</v>
      </c>
      <c r="C36" s="123">
        <v>3</v>
      </c>
      <c r="D36" s="123" t="s">
        <v>128</v>
      </c>
      <c r="E36" s="124" t="s">
        <v>293</v>
      </c>
      <c r="F36" s="124" t="s">
        <v>266</v>
      </c>
      <c r="G36" s="62" t="str">
        <f t="shared" si="0"/>
        <v>[effect:break_attack, target:unit_one, val:0.06, lowest_val:7000, count:-1, color:green, block01:block_heart]</v>
      </c>
      <c r="H36" s="62">
        <f t="shared" si="1"/>
        <v>9</v>
      </c>
      <c r="I36" s="62">
        <f t="shared" si="2"/>
        <v>21</v>
      </c>
      <c r="J36" s="62">
        <f t="shared" si="3"/>
        <v>30</v>
      </c>
      <c r="K36" s="62">
        <f t="shared" si="4"/>
        <v>38</v>
      </c>
      <c r="L36" s="62" t="str">
        <f>IFERROR(VLOOKUP(MID(G36,J36,K36-J36),[6]skilldef!$C:$D,2,FALSE),"-") &amp; " / " &amp; IFERROR(VLOOKUP(MID(G36,H36,I36-H36),[6]skilldef!$A:$B,2,FALSE),"-")</f>
        <v>味方単体に / -</v>
      </c>
      <c r="M36" s="62" t="str">
        <f t="shared" si="5"/>
        <v>[effect:enemy_message, val1:1.2, val2:1.3]</v>
      </c>
      <c r="N36" s="48" t="str">
        <f t="shared" si="96"/>
        <v>[effect:enemy_message, val1:1.2, val2:1.3]</v>
      </c>
      <c r="O36" s="62">
        <f t="shared" si="6"/>
        <v>9</v>
      </c>
      <c r="P36" s="62">
        <f t="shared" si="7"/>
        <v>22</v>
      </c>
      <c r="Q36" s="62" t="e">
        <f t="shared" si="8"/>
        <v>#VALUE!</v>
      </c>
      <c r="R36" s="62">
        <f t="shared" si="9"/>
        <v>32</v>
      </c>
      <c r="S36" s="62" t="str">
        <f>IFERROR(VLOOKUP(MID(N36,Q36,R36-Q36),[6]skilldef!$C:$D,2,FALSE),"-") &amp; " / " &amp; IFERROR(VLOOKUP(MID(N36,O36,P36-O36),[6]skilldef!$A:$B,2,FALSE),"-")</f>
        <v>- / -</v>
      </c>
      <c r="T36" s="48" t="str">
        <f t="shared" si="10"/>
        <v>none</v>
      </c>
      <c r="U36" s="62" t="e">
        <f t="shared" si="11"/>
        <v>#VALUE!</v>
      </c>
      <c r="V36" s="62">
        <f t="shared" si="12"/>
        <v>4</v>
      </c>
      <c r="W36" s="62" t="e">
        <f t="shared" si="13"/>
        <v>#VALUE!</v>
      </c>
      <c r="X36" s="62" t="e">
        <f t="shared" si="14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  <c r="AC36" s="49">
        <f t="shared" si="15"/>
        <v>11</v>
      </c>
      <c r="AD36" s="49">
        <f t="shared" si="16"/>
        <v>13</v>
      </c>
    </row>
    <row r="37" spans="1:30" ht="21" customHeight="1" x14ac:dyDescent="0.15">
      <c r="A37" s="122">
        <v>49011703</v>
      </c>
      <c r="B37" s="122" t="s">
        <v>350</v>
      </c>
      <c r="C37" s="123">
        <v>3</v>
      </c>
      <c r="D37" s="123" t="s">
        <v>128</v>
      </c>
      <c r="E37" s="124" t="s">
        <v>294</v>
      </c>
      <c r="F37" s="124" t="s">
        <v>267</v>
      </c>
      <c r="G37" s="62" t="str">
        <f t="shared" si="0"/>
        <v>[effect:break_attack, target:unit_one, val:0.06, lowest_val:10000, count:-1, color:green, block01:jammer]</v>
      </c>
      <c r="H37" s="62">
        <f t="shared" si="1"/>
        <v>9</v>
      </c>
      <c r="I37" s="62">
        <f t="shared" si="2"/>
        <v>21</v>
      </c>
      <c r="J37" s="62">
        <f t="shared" si="3"/>
        <v>30</v>
      </c>
      <c r="K37" s="62">
        <f t="shared" si="4"/>
        <v>38</v>
      </c>
      <c r="L37" s="62" t="str">
        <f>IFERROR(VLOOKUP(MID(G37,J37,K37-J37),[6]skilldef!$C:$D,2,FALSE),"-") &amp; " / " &amp; IFERROR(VLOOKUP(MID(G37,H37,I37-H37),[6]skilldef!$A:$B,2,FALSE),"-")</f>
        <v>味方単体に / -</v>
      </c>
      <c r="M37" s="62" t="str">
        <f t="shared" si="5"/>
        <v>[effect:enemy_message, val1:1.3, val2:1.3]</v>
      </c>
      <c r="N37" s="48" t="str">
        <f t="shared" si="96"/>
        <v>[effect:enemy_message, val1:1.3, val2:1.3]</v>
      </c>
      <c r="O37" s="62">
        <f t="shared" si="6"/>
        <v>9</v>
      </c>
      <c r="P37" s="62">
        <f t="shared" si="7"/>
        <v>22</v>
      </c>
      <c r="Q37" s="62" t="e">
        <f t="shared" si="8"/>
        <v>#VALUE!</v>
      </c>
      <c r="R37" s="62">
        <f t="shared" si="9"/>
        <v>32</v>
      </c>
      <c r="S37" s="62" t="str">
        <f>IFERROR(VLOOKUP(MID(N37,Q37,R37-Q37),[6]skilldef!$C:$D,2,FALSE),"-") &amp; " / " &amp; IFERROR(VLOOKUP(MID(N37,O37,P37-O37),[6]skilldef!$A:$B,2,FALSE),"-")</f>
        <v>- / -</v>
      </c>
      <c r="T37" s="48" t="str">
        <f t="shared" si="10"/>
        <v>none</v>
      </c>
      <c r="U37" s="62" t="e">
        <f t="shared" si="11"/>
        <v>#VALUE!</v>
      </c>
      <c r="V37" s="62">
        <f t="shared" si="12"/>
        <v>4</v>
      </c>
      <c r="W37" s="62" t="e">
        <f t="shared" si="13"/>
        <v>#VALUE!</v>
      </c>
      <c r="X37" s="62" t="e">
        <f t="shared" si="14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  <c r="AC37" s="49">
        <f t="shared" si="15"/>
        <v>13</v>
      </c>
      <c r="AD37" s="49">
        <f t="shared" si="16"/>
        <v>13</v>
      </c>
    </row>
    <row r="38" spans="1:30" ht="21" customHeight="1" x14ac:dyDescent="0.15">
      <c r="A38" s="122">
        <v>49011704</v>
      </c>
      <c r="B38" s="122" t="s">
        <v>349</v>
      </c>
      <c r="C38" s="123">
        <v>3</v>
      </c>
      <c r="D38" s="123" t="s">
        <v>128</v>
      </c>
      <c r="E38" s="124" t="s">
        <v>295</v>
      </c>
      <c r="F38" s="124" t="s">
        <v>315</v>
      </c>
      <c r="G38" s="62" t="str">
        <f t="shared" si="0"/>
        <v>[effect:break_enchance_enemy, target:myself, val:0.1, lowest_val:0.01, count:10, status:attack, turn:1, block01:jammer, calc:mul, animation:enemy_enhance_attack]</v>
      </c>
      <c r="H38" s="62">
        <f t="shared" si="1"/>
        <v>9</v>
      </c>
      <c r="I38" s="62">
        <f t="shared" si="2"/>
        <v>29</v>
      </c>
      <c r="J38" s="62">
        <f t="shared" si="3"/>
        <v>38</v>
      </c>
      <c r="K38" s="62">
        <f t="shared" si="4"/>
        <v>44</v>
      </c>
      <c r="L38" s="62" t="str">
        <f>IFERROR(VLOOKUP(MID(G38,J38,K38-J38),[6]skilldef!$C:$D,2,FALSE),"-") &amp; " / " &amp; IFERROR(VLOOKUP(MID(G38,H38,I38-H38),[6]skilldef!$A:$B,2,FALSE),"-")</f>
        <v>自分自身に / -</v>
      </c>
      <c r="M38" s="62" t="str">
        <f t="shared" si="5"/>
        <v>[effect:enemy_message, val1:1.4, val2:2.7]</v>
      </c>
      <c r="N38" s="48" t="str">
        <f t="shared" si="96"/>
        <v>[effect:enemy_message, val1:1.4, val2:2.7]</v>
      </c>
      <c r="O38" s="62">
        <f t="shared" si="6"/>
        <v>9</v>
      </c>
      <c r="P38" s="62">
        <f t="shared" si="7"/>
        <v>22</v>
      </c>
      <c r="Q38" s="62" t="e">
        <f t="shared" si="8"/>
        <v>#VALUE!</v>
      </c>
      <c r="R38" s="62">
        <f t="shared" si="9"/>
        <v>32</v>
      </c>
      <c r="S38" s="62" t="str">
        <f>IFERROR(VLOOKUP(MID(N38,Q38,R38-Q38),[6]skilldef!$C:$D,2,FALSE),"-") &amp; " / " &amp; IFERROR(VLOOKUP(MID(N38,O38,P38-O38),[6]skilldef!$A:$B,2,FALSE),"-")</f>
        <v>- / -</v>
      </c>
      <c r="T38" s="48" t="str">
        <f t="shared" si="10"/>
        <v>none</v>
      </c>
      <c r="U38" s="62" t="e">
        <f t="shared" si="11"/>
        <v>#VALUE!</v>
      </c>
      <c r="V38" s="62">
        <f t="shared" si="12"/>
        <v>4</v>
      </c>
      <c r="W38" s="62" t="e">
        <f t="shared" si="13"/>
        <v>#VALUE!</v>
      </c>
      <c r="X38" s="62" t="e">
        <f t="shared" si="14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  <c r="AC38" s="49">
        <f t="shared" si="15"/>
        <v>14</v>
      </c>
      <c r="AD38" s="49">
        <f t="shared" si="16"/>
        <v>27</v>
      </c>
    </row>
    <row r="39" spans="1:30" ht="21" customHeight="1" x14ac:dyDescent="0.15">
      <c r="A39" s="122">
        <v>49011705</v>
      </c>
      <c r="B39" s="122" t="s">
        <v>353</v>
      </c>
      <c r="C39" s="123">
        <v>3</v>
      </c>
      <c r="D39" s="123" t="s">
        <v>128</v>
      </c>
      <c r="E39" s="124" t="s">
        <v>296</v>
      </c>
      <c r="F39" s="124" t="s">
        <v>297</v>
      </c>
      <c r="G39" s="62" t="str">
        <f t="shared" ref="G39" si="97">IFERROR(LEFT(B39,FIND("],",B39)),B39)</f>
        <v xml:space="preserve">[effect:enemy_message, val1:2.1, val2:0, dead_type:escape]    </v>
      </c>
      <c r="H39" s="62">
        <f t="shared" ref="H39" si="98">FIND("effect:",G39)+7</f>
        <v>9</v>
      </c>
      <c r="I39" s="62">
        <f t="shared" ref="I39" si="99">IFERROR(FIND(",",G39),LEN(G39))</f>
        <v>22</v>
      </c>
      <c r="J39" s="62" t="e">
        <f t="shared" ref="J39" si="100">FIND("target:",G39)+7</f>
        <v>#VALUE!</v>
      </c>
      <c r="K39" s="62">
        <f t="shared" ref="K39" si="101">FIND(",",G39,I39+1)</f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ref="M39" si="102">IFERROR(RIGHT(B39,LEN(B39)-FIND("],",B39)-1),"none")</f>
        <v>none</v>
      </c>
      <c r="N39" s="48" t="str">
        <f t="shared" ref="N39" si="103">IFERROR(LEFT(M39,FIND("],",M39)+S49),M39)</f>
        <v>none</v>
      </c>
      <c r="O39" s="62" t="e">
        <f t="shared" ref="O39" si="104">FIND("effect:",N39)+7</f>
        <v>#VALUE!</v>
      </c>
      <c r="P39" s="62">
        <f t="shared" ref="P39" si="105">IFERROR(FIND(",",N39),LEN(N39))</f>
        <v>4</v>
      </c>
      <c r="Q39" s="62" t="e">
        <f t="shared" ref="Q39" si="106">FIND("target:",N39)+7</f>
        <v>#VALUE!</v>
      </c>
      <c r="R39" s="62" t="e">
        <f t="shared" ref="R39" si="107">FIND(",",N39,P39+1)</f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8" t="str">
        <f t="shared" ref="T39" si="108">IFERROR(RIGHT(M39,LEN(M39)-FIND("],",M39)-1),"none")</f>
        <v>none</v>
      </c>
      <c r="U39" s="62" t="e">
        <f t="shared" ref="U39" si="109">FIND("effect:",T39)+7</f>
        <v>#VALUE!</v>
      </c>
      <c r="V39" s="62">
        <f t="shared" ref="V39" si="110">IFERROR(FIND(",",T39),LEN(T39))</f>
        <v>4</v>
      </c>
      <c r="W39" s="62" t="e">
        <f t="shared" ref="W39" si="111">FIND("target:",T39)+7</f>
        <v>#VALUE!</v>
      </c>
      <c r="X39" s="62" t="e">
        <f t="shared" ref="X39" si="112">FIND(",",T39,V39+1)</f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  <c r="AC39" s="49">
        <f t="shared" si="15"/>
        <v>21</v>
      </c>
      <c r="AD39" s="49">
        <f t="shared" si="16"/>
        <v>5</v>
      </c>
    </row>
    <row r="40" spans="1:30" ht="34" customHeight="1" x14ac:dyDescent="0.15">
      <c r="A40" s="122">
        <v>49011706</v>
      </c>
      <c r="B40" s="122" t="s">
        <v>354</v>
      </c>
      <c r="C40" s="123">
        <v>3</v>
      </c>
      <c r="D40" s="123" t="s">
        <v>128</v>
      </c>
      <c r="E40" s="124" t="s">
        <v>313</v>
      </c>
      <c r="F40" s="124" t="s">
        <v>297</v>
      </c>
      <c r="G40" s="62" t="str">
        <f t="shared" ref="G40:G41" si="113">IFERROR(LEFT(B40,FIND("],",B40)),B40)</f>
        <v>[effect:enemy_message, val1:2.5, val2:0, dead_type:escape]</v>
      </c>
      <c r="H40" s="62">
        <f t="shared" ref="H40:H41" si="114">FIND("effect:",G40)+7</f>
        <v>9</v>
      </c>
      <c r="I40" s="62">
        <f t="shared" ref="I40:I41" si="115">IFERROR(FIND(",",G40),LEN(G40))</f>
        <v>22</v>
      </c>
      <c r="J40" s="62" t="e">
        <f t="shared" ref="J40:J41" si="116">FIND("target:",G40)+7</f>
        <v>#VALUE!</v>
      </c>
      <c r="K40" s="62">
        <f t="shared" ref="K40:K41" si="117">FIND(",",G40,I40+1)</f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ref="M40:M41" si="118">IFERROR(RIGHT(B40,LEN(B40)-FIND("],",B40)-1),"none")</f>
        <v>none</v>
      </c>
      <c r="N40" s="48" t="str">
        <f t="shared" ref="N40:N41" si="119">IFERROR(LEFT(M40,FIND("],",M40)+S50),M40)</f>
        <v>none</v>
      </c>
      <c r="O40" s="62" t="e">
        <f t="shared" ref="O40:O41" si="120">FIND("effect:",N40)+7</f>
        <v>#VALUE!</v>
      </c>
      <c r="P40" s="62">
        <f t="shared" ref="P40:P41" si="121">IFERROR(FIND(",",N40),LEN(N40))</f>
        <v>4</v>
      </c>
      <c r="Q40" s="62" t="e">
        <f t="shared" ref="Q40:Q41" si="122">FIND("target:",N40)+7</f>
        <v>#VALUE!</v>
      </c>
      <c r="R40" s="62" t="e">
        <f t="shared" ref="R40:R41" si="123">FIND(",",N40,P40+1)</f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8" t="str">
        <f t="shared" ref="T40:T41" si="124">IFERROR(RIGHT(M40,LEN(M40)-FIND("],",M40)-1),"none")</f>
        <v>none</v>
      </c>
      <c r="U40" s="62" t="e">
        <f t="shared" ref="U40:U41" si="125">FIND("effect:",T40)+7</f>
        <v>#VALUE!</v>
      </c>
      <c r="V40" s="62">
        <f t="shared" ref="V40:V41" si="126">IFERROR(FIND(",",T40),LEN(T40))</f>
        <v>4</v>
      </c>
      <c r="W40" s="62" t="e">
        <f t="shared" ref="W40:W41" si="127">FIND("target:",T40)+7</f>
        <v>#VALUE!</v>
      </c>
      <c r="X40" s="62" t="e">
        <f t="shared" ref="X40:X41" si="128">FIND(",",T40,V40+1)</f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  <c r="AC40" s="49">
        <f t="shared" si="15"/>
        <v>25</v>
      </c>
      <c r="AD40" s="49">
        <f t="shared" si="16"/>
        <v>5</v>
      </c>
    </row>
    <row r="41" spans="1:30" ht="38" customHeight="1" x14ac:dyDescent="0.15">
      <c r="A41" s="122">
        <v>49011707</v>
      </c>
      <c r="B41" s="122" t="s">
        <v>355</v>
      </c>
      <c r="C41" s="123">
        <v>3</v>
      </c>
      <c r="D41" s="123" t="s">
        <v>128</v>
      </c>
      <c r="E41" s="124" t="s">
        <v>314</v>
      </c>
      <c r="F41" s="124" t="s">
        <v>297</v>
      </c>
      <c r="G41" s="62" t="str">
        <f t="shared" si="113"/>
        <v>[effect:enemy_message, val1:2.5, val2:0, dead_type:escape]</v>
      </c>
      <c r="H41" s="62">
        <f t="shared" si="114"/>
        <v>9</v>
      </c>
      <c r="I41" s="62">
        <f t="shared" si="115"/>
        <v>22</v>
      </c>
      <c r="J41" s="62" t="e">
        <f t="shared" si="116"/>
        <v>#VALUE!</v>
      </c>
      <c r="K41" s="62">
        <f t="shared" si="117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118"/>
        <v>none</v>
      </c>
      <c r="N41" s="48" t="str">
        <f t="shared" si="119"/>
        <v>none</v>
      </c>
      <c r="O41" s="62" t="e">
        <f t="shared" si="120"/>
        <v>#VALUE!</v>
      </c>
      <c r="P41" s="62">
        <f t="shared" si="121"/>
        <v>4</v>
      </c>
      <c r="Q41" s="62" t="e">
        <f t="shared" si="122"/>
        <v>#VALUE!</v>
      </c>
      <c r="R41" s="62" t="e">
        <f t="shared" si="123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8" t="str">
        <f t="shared" si="124"/>
        <v>none</v>
      </c>
      <c r="U41" s="62" t="e">
        <f t="shared" si="125"/>
        <v>#VALUE!</v>
      </c>
      <c r="V41" s="62">
        <f t="shared" si="126"/>
        <v>4</v>
      </c>
      <c r="W41" s="62" t="e">
        <f t="shared" si="127"/>
        <v>#VALUE!</v>
      </c>
      <c r="X41" s="62" t="e">
        <f t="shared" si="128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  <c r="AC41" s="49">
        <f t="shared" si="15"/>
        <v>25</v>
      </c>
      <c r="AD41" s="49">
        <f t="shared" si="16"/>
        <v>5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8"/>
  <sheetViews>
    <sheetView showGridLines="0" zoomScale="75" zoomScaleNormal="75" zoomScalePageLayoutView="75" workbookViewId="0">
      <pane ySplit="1" topLeftCell="A101" activePane="bottomLeft" state="frozenSplit"/>
      <selection pane="bottomLeft" activeCell="C139" sqref="C13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4">
        <v>49011000</v>
      </c>
      <c r="B2" s="47">
        <v>1</v>
      </c>
      <c r="C2" s="47" t="s">
        <v>89</v>
      </c>
      <c r="D2" s="47">
        <v>100</v>
      </c>
      <c r="E2" s="47" t="s">
        <v>268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04">
        <v>49011001</v>
      </c>
      <c r="B3" s="47">
        <v>0</v>
      </c>
      <c r="C3" s="47" t="s">
        <v>268</v>
      </c>
      <c r="D3" s="47">
        <v>100</v>
      </c>
      <c r="E3" s="47" t="s">
        <v>268</v>
      </c>
      <c r="F3" s="47" t="s">
        <v>53</v>
      </c>
      <c r="G3" s="47">
        <v>3</v>
      </c>
      <c r="H3" s="47">
        <v>2</v>
      </c>
      <c r="I3" s="47" t="s">
        <v>53</v>
      </c>
      <c r="J3" s="48">
        <f t="shared" ref="J3:J83" si="1">D3</f>
        <v>100</v>
      </c>
    </row>
    <row r="4" spans="1:11" ht="21" customHeight="1" x14ac:dyDescent="0.15">
      <c r="A4" s="107">
        <v>49011100</v>
      </c>
      <c r="B4" s="47">
        <v>0</v>
      </c>
      <c r="C4" s="47" t="s">
        <v>53</v>
      </c>
      <c r="D4" s="47">
        <v>100</v>
      </c>
      <c r="E4" s="47" t="s">
        <v>268</v>
      </c>
      <c r="F4" s="47" t="s">
        <v>53</v>
      </c>
      <c r="G4" s="47" t="s">
        <v>269</v>
      </c>
      <c r="H4" s="47">
        <v>1</v>
      </c>
      <c r="I4" s="47" t="s">
        <v>53</v>
      </c>
      <c r="J4" s="48">
        <f t="shared" si="1"/>
        <v>100</v>
      </c>
    </row>
    <row r="5" spans="1:11" ht="21" customHeight="1" x14ac:dyDescent="0.15">
      <c r="A5" s="110">
        <v>49011200</v>
      </c>
      <c r="B5" s="47">
        <v>0</v>
      </c>
      <c r="C5" s="47" t="s">
        <v>53</v>
      </c>
      <c r="D5" s="47">
        <v>100</v>
      </c>
      <c r="E5" s="47" t="s">
        <v>268</v>
      </c>
      <c r="F5" s="47" t="s">
        <v>53</v>
      </c>
      <c r="G5" s="47">
        <v>1</v>
      </c>
      <c r="H5" s="47">
        <v>3</v>
      </c>
      <c r="I5" s="47" t="s">
        <v>53</v>
      </c>
      <c r="J5" s="48">
        <f t="shared" si="1"/>
        <v>100</v>
      </c>
    </row>
    <row r="6" spans="1:11" ht="21" customHeight="1" x14ac:dyDescent="0.15">
      <c r="A6" s="113">
        <v>49011300</v>
      </c>
      <c r="B6" s="47">
        <v>1</v>
      </c>
      <c r="C6" s="47" t="s">
        <v>89</v>
      </c>
      <c r="D6" s="47">
        <v>100</v>
      </c>
      <c r="E6" s="47" t="s">
        <v>89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si="1"/>
        <v>100</v>
      </c>
    </row>
    <row r="7" spans="1:11" ht="21" customHeight="1" x14ac:dyDescent="0.15">
      <c r="A7" s="113">
        <v>49011301</v>
      </c>
      <c r="B7" s="47">
        <v>0</v>
      </c>
      <c r="C7" s="47">
        <v>10</v>
      </c>
      <c r="D7" s="47">
        <v>100</v>
      </c>
      <c r="E7" s="47" t="s">
        <v>268</v>
      </c>
      <c r="F7" s="47" t="s">
        <v>53</v>
      </c>
      <c r="G7" s="47" t="s">
        <v>53</v>
      </c>
      <c r="H7" s="47">
        <v>1</v>
      </c>
      <c r="I7" s="47" t="s">
        <v>53</v>
      </c>
      <c r="J7" s="48">
        <f t="shared" si="1"/>
        <v>100</v>
      </c>
    </row>
    <row r="8" spans="1:11" ht="21" customHeight="1" x14ac:dyDescent="0.15">
      <c r="A8" s="113">
        <v>49011302</v>
      </c>
      <c r="B8" s="47">
        <v>0</v>
      </c>
      <c r="C8" s="47">
        <v>20</v>
      </c>
      <c r="D8" s="47">
        <v>100</v>
      </c>
      <c r="E8" s="47" t="s">
        <v>268</v>
      </c>
      <c r="F8" s="47" t="s">
        <v>53</v>
      </c>
      <c r="G8" s="47" t="s">
        <v>270</v>
      </c>
      <c r="H8" s="47">
        <v>3</v>
      </c>
      <c r="I8" s="47" t="s">
        <v>53</v>
      </c>
      <c r="J8" s="48">
        <f t="shared" si="1"/>
        <v>100</v>
      </c>
    </row>
    <row r="9" spans="1:11" ht="21" customHeight="1" x14ac:dyDescent="0.15">
      <c r="A9" s="113">
        <v>49011303</v>
      </c>
      <c r="B9" s="47">
        <v>0</v>
      </c>
      <c r="C9" s="47">
        <v>30</v>
      </c>
      <c r="D9" s="47">
        <v>100</v>
      </c>
      <c r="E9" s="47" t="s">
        <v>268</v>
      </c>
      <c r="F9" s="47" t="s">
        <v>53</v>
      </c>
      <c r="G9" s="47">
        <v>1</v>
      </c>
      <c r="H9" s="47" t="s">
        <v>53</v>
      </c>
      <c r="I9" s="47">
        <v>194</v>
      </c>
      <c r="J9" s="48">
        <f t="shared" si="1"/>
        <v>100</v>
      </c>
    </row>
    <row r="10" spans="1:11" ht="21" customHeight="1" x14ac:dyDescent="0.15">
      <c r="A10" s="116">
        <v>49011400</v>
      </c>
      <c r="B10" s="47">
        <v>0</v>
      </c>
      <c r="C10" s="47">
        <v>10</v>
      </c>
      <c r="D10" s="47">
        <v>100</v>
      </c>
      <c r="E10" s="47" t="s">
        <v>268</v>
      </c>
      <c r="F10" s="47" t="s">
        <v>53</v>
      </c>
      <c r="G10" s="47" t="s">
        <v>53</v>
      </c>
      <c r="H10" s="47">
        <v>1</v>
      </c>
      <c r="I10" s="47" t="s">
        <v>53</v>
      </c>
      <c r="J10" s="48">
        <f t="shared" si="1"/>
        <v>100</v>
      </c>
    </row>
    <row r="11" spans="1:11" ht="21" customHeight="1" x14ac:dyDescent="0.15">
      <c r="A11" s="116">
        <v>49011401</v>
      </c>
      <c r="B11" s="47">
        <v>0</v>
      </c>
      <c r="C11" s="47">
        <v>20</v>
      </c>
      <c r="D11" s="47">
        <v>100</v>
      </c>
      <c r="E11" s="47">
        <v>50</v>
      </c>
      <c r="F11" s="47" t="s">
        <v>53</v>
      </c>
      <c r="G11" s="47">
        <v>1</v>
      </c>
      <c r="H11" s="47">
        <v>1</v>
      </c>
      <c r="I11" s="47" t="s">
        <v>53</v>
      </c>
      <c r="J11" s="48">
        <f t="shared" si="1"/>
        <v>100</v>
      </c>
    </row>
    <row r="12" spans="1:11" ht="21" customHeight="1" x14ac:dyDescent="0.15">
      <c r="A12" s="116">
        <v>49011402</v>
      </c>
      <c r="B12" s="47">
        <v>0</v>
      </c>
      <c r="C12" s="47">
        <v>30</v>
      </c>
      <c r="D12" s="47">
        <v>100</v>
      </c>
      <c r="E12" s="47" t="s">
        <v>268</v>
      </c>
      <c r="F12" s="47" t="s">
        <v>53</v>
      </c>
      <c r="G12" s="47">
        <v>1</v>
      </c>
      <c r="H12" s="47" t="s">
        <v>53</v>
      </c>
      <c r="I12" s="47">
        <v>170</v>
      </c>
      <c r="J12" s="48">
        <f t="shared" si="1"/>
        <v>100</v>
      </c>
    </row>
    <row r="13" spans="1:11" ht="21" customHeight="1" x14ac:dyDescent="0.15">
      <c r="A13" s="104">
        <v>49011500</v>
      </c>
      <c r="B13" s="47">
        <v>1</v>
      </c>
      <c r="C13" s="47">
        <v>1</v>
      </c>
      <c r="D13" s="47">
        <v>100</v>
      </c>
      <c r="E13" s="47" t="s">
        <v>268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1"/>
        <v>100</v>
      </c>
    </row>
    <row r="14" spans="1:11" ht="21" customHeight="1" x14ac:dyDescent="0.15">
      <c r="A14" s="104">
        <v>49011501</v>
      </c>
      <c r="B14" s="47">
        <v>0</v>
      </c>
      <c r="C14" s="47">
        <v>11</v>
      </c>
      <c r="D14" s="47">
        <v>100</v>
      </c>
      <c r="E14" s="47" t="s">
        <v>268</v>
      </c>
      <c r="F14" s="47" t="s">
        <v>53</v>
      </c>
      <c r="G14" s="47">
        <v>1</v>
      </c>
      <c r="H14" s="47">
        <v>1</v>
      </c>
      <c r="I14" s="47" t="s">
        <v>53</v>
      </c>
      <c r="J14" s="48">
        <f t="shared" si="1"/>
        <v>100</v>
      </c>
    </row>
    <row r="15" spans="1:11" ht="21" customHeight="1" x14ac:dyDescent="0.15">
      <c r="A15" s="104">
        <v>49011502</v>
      </c>
      <c r="B15" s="47">
        <v>0</v>
      </c>
      <c r="C15" s="47">
        <v>10</v>
      </c>
      <c r="D15" s="47">
        <v>100</v>
      </c>
      <c r="E15" s="47" t="s">
        <v>89</v>
      </c>
      <c r="F15" s="47" t="s">
        <v>53</v>
      </c>
      <c r="G15" s="47" t="s">
        <v>53</v>
      </c>
      <c r="H15" s="47">
        <v>1</v>
      </c>
      <c r="I15" s="47" t="s">
        <v>53</v>
      </c>
      <c r="J15" s="48">
        <f t="shared" ref="J15" si="2">D15</f>
        <v>100</v>
      </c>
    </row>
    <row r="16" spans="1:11" ht="21" customHeight="1" x14ac:dyDescent="0.15">
      <c r="A16" s="104">
        <v>49011503</v>
      </c>
      <c r="B16" s="47">
        <v>0</v>
      </c>
      <c r="C16" s="47">
        <v>20</v>
      </c>
      <c r="D16" s="47">
        <v>100</v>
      </c>
      <c r="E16" s="47" t="s">
        <v>268</v>
      </c>
      <c r="F16" s="47" t="s">
        <v>53</v>
      </c>
      <c r="G16" s="47" t="s">
        <v>270</v>
      </c>
      <c r="H16" s="47">
        <v>3</v>
      </c>
      <c r="I16" s="47" t="s">
        <v>53</v>
      </c>
      <c r="J16" s="48">
        <f t="shared" si="1"/>
        <v>100</v>
      </c>
    </row>
    <row r="17" spans="1:11" ht="21" customHeight="1" x14ac:dyDescent="0.15">
      <c r="A17" s="104">
        <v>49011504</v>
      </c>
      <c r="B17" s="47">
        <v>0</v>
      </c>
      <c r="C17" s="47">
        <v>30</v>
      </c>
      <c r="D17" s="47">
        <v>100</v>
      </c>
      <c r="E17" s="47">
        <v>50</v>
      </c>
      <c r="F17" s="47" t="s">
        <v>53</v>
      </c>
      <c r="G17" s="47">
        <v>1</v>
      </c>
      <c r="H17" s="47">
        <v>1</v>
      </c>
      <c r="I17" s="47" t="s">
        <v>53</v>
      </c>
      <c r="J17" s="48">
        <f t="shared" si="1"/>
        <v>100</v>
      </c>
    </row>
    <row r="18" spans="1:11" ht="21" customHeight="1" x14ac:dyDescent="0.15">
      <c r="A18" s="104">
        <v>49011505</v>
      </c>
      <c r="B18" s="47">
        <v>1</v>
      </c>
      <c r="C18" s="47">
        <v>360</v>
      </c>
      <c r="D18" s="47">
        <v>100</v>
      </c>
      <c r="E18" s="47" t="s">
        <v>268</v>
      </c>
      <c r="F18" s="47" t="s">
        <v>53</v>
      </c>
      <c r="G18" s="47">
        <v>1</v>
      </c>
      <c r="H18" s="47" t="s">
        <v>53</v>
      </c>
      <c r="I18" s="47">
        <v>525</v>
      </c>
      <c r="J18" s="48">
        <f t="shared" ref="J18" si="3">D18</f>
        <v>100</v>
      </c>
    </row>
    <row r="19" spans="1:11" ht="21" customHeight="1" x14ac:dyDescent="0.15">
      <c r="A19" s="104">
        <v>49011506</v>
      </c>
      <c r="B19" s="47">
        <v>1</v>
      </c>
      <c r="C19" s="47">
        <v>350</v>
      </c>
      <c r="D19" s="47">
        <v>100</v>
      </c>
      <c r="E19" s="47" t="s">
        <v>268</v>
      </c>
      <c r="F19" s="47" t="s">
        <v>53</v>
      </c>
      <c r="G19" s="47">
        <v>1</v>
      </c>
      <c r="H19" s="47" t="s">
        <v>53</v>
      </c>
      <c r="I19" s="47">
        <v>526</v>
      </c>
      <c r="J19" s="48">
        <f t="shared" ref="J19" si="4">D19</f>
        <v>100</v>
      </c>
    </row>
    <row r="20" spans="1:11" ht="21" customHeight="1" x14ac:dyDescent="0.15">
      <c r="A20" s="104">
        <v>49011507</v>
      </c>
      <c r="B20" s="47">
        <v>1</v>
      </c>
      <c r="C20" s="47">
        <v>430</v>
      </c>
      <c r="D20" s="47">
        <v>100</v>
      </c>
      <c r="E20" s="47" t="s">
        <v>268</v>
      </c>
      <c r="F20" s="47" t="s">
        <v>53</v>
      </c>
      <c r="G20" s="47">
        <v>1</v>
      </c>
      <c r="H20" s="47" t="s">
        <v>53</v>
      </c>
      <c r="I20" s="47">
        <v>527</v>
      </c>
      <c r="J20" s="48">
        <f t="shared" ref="J20:J22" si="5">D20</f>
        <v>100</v>
      </c>
    </row>
    <row r="21" spans="1:11" s="130" customFormat="1" ht="21" customHeight="1" x14ac:dyDescent="0.15">
      <c r="A21" s="126">
        <v>49011508</v>
      </c>
      <c r="B21" s="126">
        <v>1</v>
      </c>
      <c r="C21" s="126">
        <v>121</v>
      </c>
      <c r="D21" s="126">
        <v>100</v>
      </c>
      <c r="E21" s="126" t="s">
        <v>268</v>
      </c>
      <c r="F21" s="126" t="s">
        <v>53</v>
      </c>
      <c r="G21" s="126">
        <v>1</v>
      </c>
      <c r="H21" s="126" t="s">
        <v>53</v>
      </c>
      <c r="I21" s="126">
        <v>528</v>
      </c>
      <c r="J21" s="126">
        <f t="shared" si="5"/>
        <v>100</v>
      </c>
      <c r="K21" s="131"/>
    </row>
    <row r="22" spans="1:11" ht="21" customHeight="1" x14ac:dyDescent="0.15">
      <c r="A22" s="104">
        <v>49011509</v>
      </c>
      <c r="B22" s="47">
        <v>1</v>
      </c>
      <c r="C22" s="47">
        <v>220</v>
      </c>
      <c r="D22" s="47">
        <v>100</v>
      </c>
      <c r="E22" s="47" t="s">
        <v>268</v>
      </c>
      <c r="F22" s="47" t="s">
        <v>53</v>
      </c>
      <c r="G22" s="47">
        <v>1</v>
      </c>
      <c r="H22" s="47" t="s">
        <v>53</v>
      </c>
      <c r="I22" s="47">
        <v>539</v>
      </c>
      <c r="J22" s="48">
        <f t="shared" si="5"/>
        <v>100</v>
      </c>
    </row>
    <row r="23" spans="1:11" s="130" customFormat="1" ht="21" customHeight="1" x14ac:dyDescent="0.15">
      <c r="A23" s="126">
        <v>49011510</v>
      </c>
      <c r="B23" s="126">
        <v>1</v>
      </c>
      <c r="C23" s="126">
        <v>119</v>
      </c>
      <c r="D23" s="126">
        <v>100</v>
      </c>
      <c r="E23" s="126" t="s">
        <v>268</v>
      </c>
      <c r="F23" s="126" t="s">
        <v>53</v>
      </c>
      <c r="G23" s="126">
        <v>1</v>
      </c>
      <c r="H23" s="126" t="s">
        <v>53</v>
      </c>
      <c r="I23" s="126">
        <v>540</v>
      </c>
      <c r="J23" s="126">
        <f t="shared" ref="J23:J28" si="6">D23</f>
        <v>100</v>
      </c>
      <c r="K23" s="131"/>
    </row>
    <row r="24" spans="1:11" ht="21" customHeight="1" x14ac:dyDescent="0.15">
      <c r="A24" s="104">
        <v>49011511</v>
      </c>
      <c r="B24" s="47">
        <v>1</v>
      </c>
      <c r="C24" s="47">
        <v>210</v>
      </c>
      <c r="D24" s="47">
        <v>100</v>
      </c>
      <c r="E24" s="47" t="s">
        <v>268</v>
      </c>
      <c r="F24" s="47" t="s">
        <v>53</v>
      </c>
      <c r="G24" s="47">
        <v>1</v>
      </c>
      <c r="H24" s="47" t="s">
        <v>53</v>
      </c>
      <c r="I24" s="47">
        <v>541</v>
      </c>
      <c r="J24" s="48">
        <f t="shared" si="6"/>
        <v>100</v>
      </c>
    </row>
    <row r="25" spans="1:11" s="130" customFormat="1" ht="21" customHeight="1" x14ac:dyDescent="0.15">
      <c r="A25" s="126">
        <v>49011512</v>
      </c>
      <c r="B25" s="126">
        <v>1</v>
      </c>
      <c r="C25" s="126">
        <v>117</v>
      </c>
      <c r="D25" s="126">
        <v>100</v>
      </c>
      <c r="E25" s="126" t="s">
        <v>268</v>
      </c>
      <c r="F25" s="126" t="s">
        <v>53</v>
      </c>
      <c r="G25" s="126">
        <v>1</v>
      </c>
      <c r="H25" s="126" t="s">
        <v>53</v>
      </c>
      <c r="I25" s="126">
        <v>542</v>
      </c>
      <c r="J25" s="126">
        <f t="shared" si="6"/>
        <v>100</v>
      </c>
      <c r="K25" s="131"/>
    </row>
    <row r="26" spans="1:11" ht="21" customHeight="1" x14ac:dyDescent="0.15">
      <c r="A26" s="104">
        <v>49011513</v>
      </c>
      <c r="B26" s="47">
        <v>1</v>
      </c>
      <c r="C26" s="47">
        <v>450</v>
      </c>
      <c r="D26" s="47">
        <v>100</v>
      </c>
      <c r="E26" s="47" t="s">
        <v>268</v>
      </c>
      <c r="F26" s="47" t="s">
        <v>53</v>
      </c>
      <c r="G26" s="47">
        <v>1</v>
      </c>
      <c r="H26" s="47" t="s">
        <v>53</v>
      </c>
      <c r="I26" s="47">
        <v>543</v>
      </c>
      <c r="J26" s="48">
        <f t="shared" si="6"/>
        <v>100</v>
      </c>
    </row>
    <row r="27" spans="1:11" s="130" customFormat="1" ht="21" customHeight="1" x14ac:dyDescent="0.15">
      <c r="A27" s="126">
        <v>49011514</v>
      </c>
      <c r="B27" s="126">
        <v>1</v>
      </c>
      <c r="C27" s="126">
        <v>115</v>
      </c>
      <c r="D27" s="126">
        <v>100</v>
      </c>
      <c r="E27" s="126" t="s">
        <v>268</v>
      </c>
      <c r="F27" s="126" t="s">
        <v>53</v>
      </c>
      <c r="G27" s="126">
        <v>1</v>
      </c>
      <c r="H27" s="126" t="s">
        <v>53</v>
      </c>
      <c r="I27" s="126">
        <v>544</v>
      </c>
      <c r="J27" s="126">
        <f t="shared" si="6"/>
        <v>100</v>
      </c>
      <c r="K27" s="131"/>
    </row>
    <row r="28" spans="1:11" ht="21" customHeight="1" x14ac:dyDescent="0.15">
      <c r="A28" s="104">
        <v>49011515</v>
      </c>
      <c r="B28" s="47">
        <v>1</v>
      </c>
      <c r="C28" s="47">
        <v>460</v>
      </c>
      <c r="D28" s="47">
        <v>100</v>
      </c>
      <c r="E28" s="47" t="s">
        <v>268</v>
      </c>
      <c r="F28" s="47" t="s">
        <v>53</v>
      </c>
      <c r="G28" s="47">
        <v>1</v>
      </c>
      <c r="H28" s="47" t="s">
        <v>53</v>
      </c>
      <c r="I28" s="47">
        <v>545</v>
      </c>
      <c r="J28" s="48">
        <f t="shared" si="6"/>
        <v>100</v>
      </c>
    </row>
    <row r="29" spans="1:11" s="130" customFormat="1" ht="21" customHeight="1" x14ac:dyDescent="0.15">
      <c r="A29" s="126">
        <v>49011516</v>
      </c>
      <c r="B29" s="126">
        <v>1</v>
      </c>
      <c r="C29" s="126">
        <v>113</v>
      </c>
      <c r="D29" s="126">
        <v>100</v>
      </c>
      <c r="E29" s="126" t="s">
        <v>268</v>
      </c>
      <c r="F29" s="126" t="s">
        <v>53</v>
      </c>
      <c r="G29" s="126">
        <v>1</v>
      </c>
      <c r="H29" s="126" t="s">
        <v>53</v>
      </c>
      <c r="I29" s="126">
        <v>546</v>
      </c>
      <c r="J29" s="126">
        <f t="shared" ref="J29:J40" si="7">D29</f>
        <v>100</v>
      </c>
      <c r="K29" s="131"/>
    </row>
    <row r="30" spans="1:11" ht="21" customHeight="1" x14ac:dyDescent="0.15">
      <c r="A30" s="104">
        <v>49011517</v>
      </c>
      <c r="B30" s="47">
        <v>1</v>
      </c>
      <c r="C30" s="47">
        <v>110</v>
      </c>
      <c r="D30" s="47">
        <v>100</v>
      </c>
      <c r="E30" s="47" t="s">
        <v>268</v>
      </c>
      <c r="F30" s="47" t="s">
        <v>53</v>
      </c>
      <c r="G30" s="47">
        <v>1</v>
      </c>
      <c r="H30" s="47" t="s">
        <v>53</v>
      </c>
      <c r="I30" s="47">
        <v>547</v>
      </c>
      <c r="J30" s="48">
        <f t="shared" si="7"/>
        <v>100</v>
      </c>
    </row>
    <row r="31" spans="1:11" s="130" customFormat="1" ht="21" customHeight="1" x14ac:dyDescent="0.15">
      <c r="A31" s="126">
        <v>49011518</v>
      </c>
      <c r="B31" s="126">
        <v>1</v>
      </c>
      <c r="C31" s="126">
        <v>111</v>
      </c>
      <c r="D31" s="126">
        <v>100</v>
      </c>
      <c r="E31" s="126" t="s">
        <v>268</v>
      </c>
      <c r="F31" s="126" t="s">
        <v>53</v>
      </c>
      <c r="G31" s="126">
        <v>1</v>
      </c>
      <c r="H31" s="126" t="s">
        <v>53</v>
      </c>
      <c r="I31" s="126">
        <v>548</v>
      </c>
      <c r="J31" s="126">
        <f t="shared" si="7"/>
        <v>100</v>
      </c>
      <c r="K31" s="131"/>
    </row>
    <row r="32" spans="1:11" ht="21" customHeight="1" x14ac:dyDescent="0.15">
      <c r="A32" s="104">
        <v>49011519</v>
      </c>
      <c r="B32" s="47">
        <v>1</v>
      </c>
      <c r="C32" s="47">
        <v>120</v>
      </c>
      <c r="D32" s="47">
        <v>100</v>
      </c>
      <c r="E32" s="47" t="s">
        <v>268</v>
      </c>
      <c r="F32" s="47" t="s">
        <v>53</v>
      </c>
      <c r="G32" s="47">
        <v>1</v>
      </c>
      <c r="H32" s="47" t="s">
        <v>53</v>
      </c>
      <c r="I32" s="47">
        <v>549</v>
      </c>
      <c r="J32" s="48">
        <f t="shared" si="7"/>
        <v>100</v>
      </c>
    </row>
    <row r="33" spans="1:11" s="130" customFormat="1" ht="21" customHeight="1" x14ac:dyDescent="0.15">
      <c r="A33" s="126">
        <v>49011520</v>
      </c>
      <c r="B33" s="126">
        <v>1</v>
      </c>
      <c r="C33" s="126">
        <v>109</v>
      </c>
      <c r="D33" s="126">
        <v>100</v>
      </c>
      <c r="E33" s="126" t="s">
        <v>268</v>
      </c>
      <c r="F33" s="126" t="s">
        <v>53</v>
      </c>
      <c r="G33" s="126">
        <v>1</v>
      </c>
      <c r="H33" s="126" t="s">
        <v>53</v>
      </c>
      <c r="I33" s="126">
        <v>550</v>
      </c>
      <c r="J33" s="126">
        <f t="shared" si="7"/>
        <v>100</v>
      </c>
      <c r="K33" s="131"/>
    </row>
    <row r="34" spans="1:11" ht="21" customHeight="1" x14ac:dyDescent="0.15">
      <c r="A34" s="104">
        <v>49011521</v>
      </c>
      <c r="B34" s="47">
        <v>1</v>
      </c>
      <c r="C34" s="47">
        <v>320</v>
      </c>
      <c r="D34" s="47">
        <v>100</v>
      </c>
      <c r="E34" s="47" t="s">
        <v>268</v>
      </c>
      <c r="F34" s="47" t="s">
        <v>53</v>
      </c>
      <c r="G34" s="47">
        <v>1</v>
      </c>
      <c r="H34" s="47" t="s">
        <v>53</v>
      </c>
      <c r="I34" s="47">
        <v>551</v>
      </c>
      <c r="J34" s="48">
        <f t="shared" si="7"/>
        <v>100</v>
      </c>
    </row>
    <row r="35" spans="1:11" s="130" customFormat="1" ht="21" customHeight="1" x14ac:dyDescent="0.15">
      <c r="A35" s="126">
        <v>49011522</v>
      </c>
      <c r="B35" s="126">
        <v>1</v>
      </c>
      <c r="C35" s="126">
        <v>107</v>
      </c>
      <c r="D35" s="126">
        <v>100</v>
      </c>
      <c r="E35" s="126" t="s">
        <v>268</v>
      </c>
      <c r="F35" s="126" t="s">
        <v>53</v>
      </c>
      <c r="G35" s="126">
        <v>1</v>
      </c>
      <c r="H35" s="126" t="s">
        <v>53</v>
      </c>
      <c r="I35" s="126">
        <v>552</v>
      </c>
      <c r="J35" s="126">
        <f t="shared" si="7"/>
        <v>100</v>
      </c>
      <c r="K35" s="131"/>
    </row>
    <row r="36" spans="1:11" ht="21" customHeight="1" x14ac:dyDescent="0.15">
      <c r="A36" s="104">
        <v>49011523</v>
      </c>
      <c r="B36" s="47">
        <v>1</v>
      </c>
      <c r="C36" s="47">
        <v>330</v>
      </c>
      <c r="D36" s="47">
        <v>100</v>
      </c>
      <c r="E36" s="47" t="s">
        <v>268</v>
      </c>
      <c r="F36" s="47" t="s">
        <v>53</v>
      </c>
      <c r="G36" s="47">
        <v>1</v>
      </c>
      <c r="H36" s="47" t="s">
        <v>53</v>
      </c>
      <c r="I36" s="47">
        <v>553</v>
      </c>
      <c r="J36" s="48">
        <f t="shared" si="7"/>
        <v>100</v>
      </c>
    </row>
    <row r="37" spans="1:11" s="130" customFormat="1" ht="21" customHeight="1" x14ac:dyDescent="0.15">
      <c r="A37" s="126">
        <v>49011524</v>
      </c>
      <c r="B37" s="126">
        <v>1</v>
      </c>
      <c r="C37" s="126">
        <v>105</v>
      </c>
      <c r="D37" s="126">
        <v>100</v>
      </c>
      <c r="E37" s="126" t="s">
        <v>268</v>
      </c>
      <c r="F37" s="126" t="s">
        <v>53</v>
      </c>
      <c r="G37" s="126">
        <v>1</v>
      </c>
      <c r="H37" s="126" t="s">
        <v>53</v>
      </c>
      <c r="I37" s="126">
        <v>554</v>
      </c>
      <c r="J37" s="126">
        <f t="shared" si="7"/>
        <v>100</v>
      </c>
      <c r="K37" s="131"/>
    </row>
    <row r="38" spans="1:11" ht="21" customHeight="1" x14ac:dyDescent="0.15">
      <c r="A38" s="104">
        <v>49011525</v>
      </c>
      <c r="B38" s="47">
        <v>1</v>
      </c>
      <c r="C38" s="47">
        <v>340</v>
      </c>
      <c r="D38" s="47">
        <v>100</v>
      </c>
      <c r="E38" s="47" t="s">
        <v>268</v>
      </c>
      <c r="F38" s="47" t="s">
        <v>53</v>
      </c>
      <c r="G38" s="47">
        <v>1</v>
      </c>
      <c r="H38" s="47" t="s">
        <v>53</v>
      </c>
      <c r="I38" s="47">
        <v>555</v>
      </c>
      <c r="J38" s="48">
        <f t="shared" si="7"/>
        <v>100</v>
      </c>
    </row>
    <row r="39" spans="1:11" s="130" customFormat="1" ht="21" customHeight="1" x14ac:dyDescent="0.15">
      <c r="A39" s="126">
        <v>49011526</v>
      </c>
      <c r="B39" s="126">
        <v>1</v>
      </c>
      <c r="C39" s="126">
        <v>103</v>
      </c>
      <c r="D39" s="126">
        <v>100</v>
      </c>
      <c r="E39" s="126" t="s">
        <v>268</v>
      </c>
      <c r="F39" s="126" t="s">
        <v>53</v>
      </c>
      <c r="G39" s="126">
        <v>1</v>
      </c>
      <c r="H39" s="126" t="s">
        <v>53</v>
      </c>
      <c r="I39" s="126">
        <v>556</v>
      </c>
      <c r="J39" s="126">
        <f t="shared" si="7"/>
        <v>100</v>
      </c>
      <c r="K39" s="131"/>
    </row>
    <row r="40" spans="1:11" ht="21" customHeight="1" x14ac:dyDescent="0.15">
      <c r="A40" s="104">
        <v>49011527</v>
      </c>
      <c r="B40" s="47">
        <v>1</v>
      </c>
      <c r="C40" s="47">
        <v>370</v>
      </c>
      <c r="D40" s="47">
        <v>100</v>
      </c>
      <c r="E40" s="47" t="s">
        <v>268</v>
      </c>
      <c r="F40" s="47" t="s">
        <v>53</v>
      </c>
      <c r="G40" s="47">
        <v>1</v>
      </c>
      <c r="H40" s="47" t="s">
        <v>53</v>
      </c>
      <c r="I40" s="47">
        <v>557</v>
      </c>
      <c r="J40" s="48">
        <f t="shared" si="7"/>
        <v>100</v>
      </c>
    </row>
    <row r="41" spans="1:11" s="130" customFormat="1" ht="21" customHeight="1" x14ac:dyDescent="0.15">
      <c r="A41" s="126">
        <v>49011528</v>
      </c>
      <c r="B41" s="126">
        <v>1</v>
      </c>
      <c r="C41" s="126">
        <v>101</v>
      </c>
      <c r="D41" s="126">
        <v>100</v>
      </c>
      <c r="E41" s="126" t="s">
        <v>268</v>
      </c>
      <c r="F41" s="126" t="s">
        <v>53</v>
      </c>
      <c r="G41" s="126">
        <v>1</v>
      </c>
      <c r="H41" s="126" t="s">
        <v>53</v>
      </c>
      <c r="I41" s="126">
        <v>558</v>
      </c>
      <c r="J41" s="126">
        <f t="shared" ref="J41" si="8">D41</f>
        <v>100</v>
      </c>
      <c r="K41" s="131"/>
    </row>
    <row r="42" spans="1:11" s="130" customFormat="1" ht="21" customHeight="1" x14ac:dyDescent="0.15">
      <c r="A42" s="126">
        <v>49011529</v>
      </c>
      <c r="B42" s="126">
        <v>1</v>
      </c>
      <c r="C42" s="126">
        <v>100</v>
      </c>
      <c r="D42" s="126">
        <v>100</v>
      </c>
      <c r="E42" s="126" t="s">
        <v>268</v>
      </c>
      <c r="F42" s="126" t="s">
        <v>53</v>
      </c>
      <c r="G42" s="126">
        <v>1</v>
      </c>
      <c r="H42" s="126" t="s">
        <v>53</v>
      </c>
      <c r="I42" s="126">
        <v>559</v>
      </c>
      <c r="J42" s="126">
        <f t="shared" ref="J42:J66" si="9">D42</f>
        <v>100</v>
      </c>
      <c r="K42" s="131"/>
    </row>
    <row r="43" spans="1:11" ht="21" customHeight="1" x14ac:dyDescent="0.15">
      <c r="A43" s="104">
        <v>49011530</v>
      </c>
      <c r="B43" s="47">
        <v>1</v>
      </c>
      <c r="C43" s="47">
        <v>310</v>
      </c>
      <c r="D43" s="47">
        <v>100</v>
      </c>
      <c r="E43" s="47" t="s">
        <v>268</v>
      </c>
      <c r="F43" s="47" t="s">
        <v>53</v>
      </c>
      <c r="G43" s="47">
        <v>1</v>
      </c>
      <c r="H43" s="47" t="s">
        <v>53</v>
      </c>
      <c r="I43" s="47">
        <v>1295</v>
      </c>
      <c r="J43" s="48">
        <f t="shared" si="9"/>
        <v>100</v>
      </c>
    </row>
    <row r="44" spans="1:11" s="130" customFormat="1" ht="21" customHeight="1" x14ac:dyDescent="0.15">
      <c r="A44" s="126">
        <v>49011531</v>
      </c>
      <c r="B44" s="126">
        <v>1</v>
      </c>
      <c r="C44" s="126">
        <v>219</v>
      </c>
      <c r="D44" s="126">
        <v>100</v>
      </c>
      <c r="E44" s="126" t="s">
        <v>268</v>
      </c>
      <c r="F44" s="126" t="s">
        <v>53</v>
      </c>
      <c r="G44" s="126">
        <v>1</v>
      </c>
      <c r="H44" s="126" t="s">
        <v>53</v>
      </c>
      <c r="I44" s="126">
        <v>1296</v>
      </c>
      <c r="J44" s="126">
        <f t="shared" si="9"/>
        <v>100</v>
      </c>
      <c r="K44" s="131"/>
    </row>
    <row r="45" spans="1:11" ht="21" customHeight="1" x14ac:dyDescent="0.15">
      <c r="A45" s="104">
        <v>49011532</v>
      </c>
      <c r="B45" s="47">
        <v>1</v>
      </c>
      <c r="C45" s="47">
        <v>240</v>
      </c>
      <c r="D45" s="47">
        <v>100</v>
      </c>
      <c r="E45" s="47" t="s">
        <v>268</v>
      </c>
      <c r="F45" s="47" t="s">
        <v>53</v>
      </c>
      <c r="G45" s="47">
        <v>1</v>
      </c>
      <c r="H45" s="47" t="s">
        <v>53</v>
      </c>
      <c r="I45" s="47">
        <v>1297</v>
      </c>
      <c r="J45" s="48">
        <f t="shared" si="9"/>
        <v>100</v>
      </c>
    </row>
    <row r="46" spans="1:11" s="130" customFormat="1" ht="21" customHeight="1" x14ac:dyDescent="0.15">
      <c r="A46" s="126">
        <v>49011533</v>
      </c>
      <c r="B46" s="126">
        <v>1</v>
      </c>
      <c r="C46" s="126">
        <v>217</v>
      </c>
      <c r="D46" s="126">
        <v>100</v>
      </c>
      <c r="E46" s="126" t="s">
        <v>268</v>
      </c>
      <c r="F46" s="126" t="s">
        <v>53</v>
      </c>
      <c r="G46" s="126">
        <v>1</v>
      </c>
      <c r="H46" s="126" t="s">
        <v>53</v>
      </c>
      <c r="I46" s="126">
        <v>1298</v>
      </c>
      <c r="J46" s="126">
        <f t="shared" si="9"/>
        <v>100</v>
      </c>
      <c r="K46" s="131"/>
    </row>
    <row r="47" spans="1:11" s="130" customFormat="1" ht="21" customHeight="1" x14ac:dyDescent="0.15">
      <c r="A47" s="126">
        <v>49011534</v>
      </c>
      <c r="B47" s="126">
        <v>1</v>
      </c>
      <c r="C47" s="126">
        <v>216</v>
      </c>
      <c r="D47" s="126">
        <v>100</v>
      </c>
      <c r="E47" s="126" t="s">
        <v>268</v>
      </c>
      <c r="F47" s="126" t="s">
        <v>53</v>
      </c>
      <c r="G47" s="126">
        <v>1</v>
      </c>
      <c r="H47" s="126" t="s">
        <v>53</v>
      </c>
      <c r="I47" s="126">
        <v>1299</v>
      </c>
      <c r="J47" s="126">
        <f t="shared" si="9"/>
        <v>100</v>
      </c>
      <c r="K47" s="131"/>
    </row>
    <row r="48" spans="1:11" ht="21" customHeight="1" x14ac:dyDescent="0.15">
      <c r="A48" s="104">
        <v>49011535</v>
      </c>
      <c r="B48" s="47">
        <v>1</v>
      </c>
      <c r="C48" s="47">
        <v>230</v>
      </c>
      <c r="D48" s="47">
        <v>100</v>
      </c>
      <c r="E48" s="47" t="s">
        <v>268</v>
      </c>
      <c r="F48" s="47" t="s">
        <v>53</v>
      </c>
      <c r="G48" s="47">
        <v>1</v>
      </c>
      <c r="H48" s="47" t="s">
        <v>53</v>
      </c>
      <c r="I48" s="47">
        <v>1300</v>
      </c>
      <c r="J48" s="48">
        <f t="shared" si="9"/>
        <v>100</v>
      </c>
    </row>
    <row r="49" spans="1:11" s="130" customFormat="1" ht="21" customHeight="1" x14ac:dyDescent="0.15">
      <c r="A49" s="126">
        <v>49011536</v>
      </c>
      <c r="B49" s="126">
        <v>1</v>
      </c>
      <c r="C49" s="126">
        <v>214</v>
      </c>
      <c r="D49" s="126">
        <v>100</v>
      </c>
      <c r="E49" s="126" t="s">
        <v>268</v>
      </c>
      <c r="F49" s="126" t="s">
        <v>53</v>
      </c>
      <c r="G49" s="126">
        <v>1</v>
      </c>
      <c r="H49" s="126" t="s">
        <v>53</v>
      </c>
      <c r="I49" s="126">
        <v>1301</v>
      </c>
      <c r="J49" s="126">
        <f t="shared" si="9"/>
        <v>100</v>
      </c>
      <c r="K49" s="131"/>
    </row>
    <row r="50" spans="1:11" ht="21" customHeight="1" x14ac:dyDescent="0.15">
      <c r="A50" s="104">
        <v>49011537</v>
      </c>
      <c r="B50" s="47">
        <v>1</v>
      </c>
      <c r="C50" s="47">
        <v>440</v>
      </c>
      <c r="D50" s="47">
        <v>100</v>
      </c>
      <c r="E50" s="47" t="s">
        <v>268</v>
      </c>
      <c r="F50" s="47" t="s">
        <v>53</v>
      </c>
      <c r="G50" s="47">
        <v>1</v>
      </c>
      <c r="H50" s="47" t="s">
        <v>53</v>
      </c>
      <c r="I50" s="47">
        <v>1302</v>
      </c>
      <c r="J50" s="48">
        <f t="shared" si="9"/>
        <v>100</v>
      </c>
    </row>
    <row r="51" spans="1:11" s="130" customFormat="1" ht="21" customHeight="1" x14ac:dyDescent="0.15">
      <c r="A51" s="126">
        <v>49011538</v>
      </c>
      <c r="B51" s="126">
        <v>1</v>
      </c>
      <c r="C51" s="126">
        <v>212</v>
      </c>
      <c r="D51" s="126">
        <v>100</v>
      </c>
      <c r="E51" s="126" t="s">
        <v>268</v>
      </c>
      <c r="F51" s="126" t="s">
        <v>53</v>
      </c>
      <c r="G51" s="126">
        <v>1</v>
      </c>
      <c r="H51" s="126" t="s">
        <v>53</v>
      </c>
      <c r="I51" s="126">
        <v>1303</v>
      </c>
      <c r="J51" s="126">
        <f t="shared" si="9"/>
        <v>100</v>
      </c>
      <c r="K51" s="131"/>
    </row>
    <row r="52" spans="1:11" ht="21" customHeight="1" x14ac:dyDescent="0.15">
      <c r="A52" s="104">
        <v>49011539</v>
      </c>
      <c r="B52" s="47">
        <v>1</v>
      </c>
      <c r="C52" s="47">
        <v>300</v>
      </c>
      <c r="D52" s="47">
        <v>100</v>
      </c>
      <c r="E52" s="47" t="s">
        <v>268</v>
      </c>
      <c r="F52" s="47" t="s">
        <v>53</v>
      </c>
      <c r="G52" s="47">
        <v>1</v>
      </c>
      <c r="H52" s="47" t="s">
        <v>53</v>
      </c>
      <c r="I52" s="47">
        <v>1304</v>
      </c>
      <c r="J52" s="48">
        <f t="shared" si="9"/>
        <v>100</v>
      </c>
    </row>
    <row r="53" spans="1:11" s="130" customFormat="1" ht="21" customHeight="1" x14ac:dyDescent="0.15">
      <c r="A53" s="126">
        <v>49011540</v>
      </c>
      <c r="B53" s="126">
        <v>1</v>
      </c>
      <c r="C53" s="126">
        <v>210</v>
      </c>
      <c r="D53" s="126">
        <v>100</v>
      </c>
      <c r="E53" s="126" t="s">
        <v>268</v>
      </c>
      <c r="F53" s="126" t="s">
        <v>53</v>
      </c>
      <c r="G53" s="126">
        <v>1</v>
      </c>
      <c r="H53" s="126" t="s">
        <v>53</v>
      </c>
      <c r="I53" s="126">
        <v>1305</v>
      </c>
      <c r="J53" s="126">
        <f t="shared" si="9"/>
        <v>100</v>
      </c>
      <c r="K53" s="131"/>
    </row>
    <row r="54" spans="1:11" ht="21" customHeight="1" x14ac:dyDescent="0.15">
      <c r="A54" s="104">
        <v>49011541</v>
      </c>
      <c r="B54" s="47">
        <v>1</v>
      </c>
      <c r="C54" s="47">
        <v>400</v>
      </c>
      <c r="D54" s="47">
        <v>100</v>
      </c>
      <c r="E54" s="47" t="s">
        <v>268</v>
      </c>
      <c r="F54" s="47" t="s">
        <v>53</v>
      </c>
      <c r="G54" s="47">
        <v>1</v>
      </c>
      <c r="H54" s="47" t="s">
        <v>53</v>
      </c>
      <c r="I54" s="47">
        <v>1306</v>
      </c>
      <c r="J54" s="48">
        <f t="shared" si="9"/>
        <v>100</v>
      </c>
    </row>
    <row r="55" spans="1:11" s="130" customFormat="1" ht="21" customHeight="1" x14ac:dyDescent="0.15">
      <c r="A55" s="126">
        <v>49011542</v>
      </c>
      <c r="B55" s="126">
        <v>1</v>
      </c>
      <c r="C55" s="126">
        <v>208</v>
      </c>
      <c r="D55" s="126">
        <v>100</v>
      </c>
      <c r="E55" s="126" t="s">
        <v>268</v>
      </c>
      <c r="F55" s="126" t="s">
        <v>53</v>
      </c>
      <c r="G55" s="126">
        <v>1</v>
      </c>
      <c r="H55" s="126" t="s">
        <v>53</v>
      </c>
      <c r="I55" s="126">
        <v>1307</v>
      </c>
      <c r="J55" s="126">
        <f t="shared" si="9"/>
        <v>100</v>
      </c>
      <c r="K55" s="131"/>
    </row>
    <row r="56" spans="1:11" s="130" customFormat="1" ht="21" customHeight="1" x14ac:dyDescent="0.15">
      <c r="A56" s="126">
        <v>49011543</v>
      </c>
      <c r="B56" s="126">
        <v>1</v>
      </c>
      <c r="C56" s="126">
        <v>207</v>
      </c>
      <c r="D56" s="126">
        <v>100</v>
      </c>
      <c r="E56" s="126" t="s">
        <v>268</v>
      </c>
      <c r="F56" s="126" t="s">
        <v>53</v>
      </c>
      <c r="G56" s="126">
        <v>1</v>
      </c>
      <c r="H56" s="126" t="s">
        <v>53</v>
      </c>
      <c r="I56" s="126">
        <v>1308</v>
      </c>
      <c r="J56" s="126">
        <f t="shared" si="9"/>
        <v>100</v>
      </c>
      <c r="K56" s="131"/>
    </row>
    <row r="57" spans="1:11" s="130" customFormat="1" ht="21" customHeight="1" x14ac:dyDescent="0.15">
      <c r="A57" s="126">
        <v>49011544</v>
      </c>
      <c r="B57" s="126">
        <v>1</v>
      </c>
      <c r="C57" s="126">
        <v>206</v>
      </c>
      <c r="D57" s="126">
        <v>100</v>
      </c>
      <c r="E57" s="126" t="s">
        <v>268</v>
      </c>
      <c r="F57" s="126" t="s">
        <v>53</v>
      </c>
      <c r="G57" s="126">
        <v>1</v>
      </c>
      <c r="H57" s="126" t="s">
        <v>53</v>
      </c>
      <c r="I57" s="126">
        <v>1309</v>
      </c>
      <c r="J57" s="126">
        <f t="shared" si="9"/>
        <v>100</v>
      </c>
      <c r="K57" s="131"/>
    </row>
    <row r="58" spans="1:11" s="130" customFormat="1" ht="21" customHeight="1" x14ac:dyDescent="0.15">
      <c r="A58" s="126">
        <v>49011545</v>
      </c>
      <c r="B58" s="126">
        <v>1</v>
      </c>
      <c r="C58" s="126">
        <v>205</v>
      </c>
      <c r="D58" s="126">
        <v>100</v>
      </c>
      <c r="E58" s="126" t="s">
        <v>268</v>
      </c>
      <c r="F58" s="126" t="s">
        <v>53</v>
      </c>
      <c r="G58" s="126">
        <v>1</v>
      </c>
      <c r="H58" s="126" t="s">
        <v>53</v>
      </c>
      <c r="I58" s="126">
        <v>1310</v>
      </c>
      <c r="J58" s="126">
        <f t="shared" si="9"/>
        <v>100</v>
      </c>
      <c r="K58" s="131"/>
    </row>
    <row r="59" spans="1:11" s="130" customFormat="1" ht="21" customHeight="1" x14ac:dyDescent="0.15">
      <c r="A59" s="126">
        <v>49011546</v>
      </c>
      <c r="B59" s="126">
        <v>1</v>
      </c>
      <c r="C59" s="126">
        <v>204</v>
      </c>
      <c r="D59" s="126">
        <v>100</v>
      </c>
      <c r="E59" s="126" t="s">
        <v>268</v>
      </c>
      <c r="F59" s="126" t="s">
        <v>53</v>
      </c>
      <c r="G59" s="126">
        <v>1</v>
      </c>
      <c r="H59" s="126" t="s">
        <v>53</v>
      </c>
      <c r="I59" s="126">
        <v>1311</v>
      </c>
      <c r="J59" s="126">
        <f t="shared" si="9"/>
        <v>100</v>
      </c>
      <c r="K59" s="131"/>
    </row>
    <row r="60" spans="1:11" s="130" customFormat="1" ht="21" customHeight="1" x14ac:dyDescent="0.15">
      <c r="A60" s="126">
        <v>49011547</v>
      </c>
      <c r="B60" s="126">
        <v>1</v>
      </c>
      <c r="C60" s="126">
        <v>203</v>
      </c>
      <c r="D60" s="126">
        <v>100</v>
      </c>
      <c r="E60" s="126" t="s">
        <v>268</v>
      </c>
      <c r="F60" s="126" t="s">
        <v>53</v>
      </c>
      <c r="G60" s="126">
        <v>1</v>
      </c>
      <c r="H60" s="126" t="s">
        <v>53</v>
      </c>
      <c r="I60" s="126">
        <v>1312</v>
      </c>
      <c r="J60" s="126">
        <f t="shared" si="9"/>
        <v>100</v>
      </c>
      <c r="K60" s="131"/>
    </row>
    <row r="61" spans="1:11" s="130" customFormat="1" ht="21" customHeight="1" x14ac:dyDescent="0.15">
      <c r="A61" s="126">
        <v>49011548</v>
      </c>
      <c r="B61" s="126">
        <v>1</v>
      </c>
      <c r="C61" s="126">
        <v>202</v>
      </c>
      <c r="D61" s="126">
        <v>100</v>
      </c>
      <c r="E61" s="126" t="s">
        <v>268</v>
      </c>
      <c r="F61" s="126" t="s">
        <v>53</v>
      </c>
      <c r="G61" s="126">
        <v>1</v>
      </c>
      <c r="H61" s="126" t="s">
        <v>53</v>
      </c>
      <c r="I61" s="126">
        <v>1313</v>
      </c>
      <c r="J61" s="126">
        <f t="shared" si="9"/>
        <v>100</v>
      </c>
      <c r="K61" s="131"/>
    </row>
    <row r="62" spans="1:11" s="130" customFormat="1" ht="21" customHeight="1" x14ac:dyDescent="0.15">
      <c r="A62" s="126">
        <v>49011549</v>
      </c>
      <c r="B62" s="126">
        <v>1</v>
      </c>
      <c r="C62" s="126">
        <v>201</v>
      </c>
      <c r="D62" s="126">
        <v>100</v>
      </c>
      <c r="E62" s="126" t="s">
        <v>268</v>
      </c>
      <c r="F62" s="126" t="s">
        <v>53</v>
      </c>
      <c r="G62" s="126">
        <v>1</v>
      </c>
      <c r="H62" s="126" t="s">
        <v>53</v>
      </c>
      <c r="I62" s="126">
        <v>1314</v>
      </c>
      <c r="J62" s="126">
        <f t="shared" si="9"/>
        <v>100</v>
      </c>
      <c r="K62" s="131"/>
    </row>
    <row r="63" spans="1:11" s="130" customFormat="1" ht="22" customHeight="1" x14ac:dyDescent="0.15">
      <c r="A63" s="126">
        <v>49011550</v>
      </c>
      <c r="B63" s="126">
        <v>1</v>
      </c>
      <c r="C63" s="126">
        <v>200</v>
      </c>
      <c r="D63" s="126">
        <v>100</v>
      </c>
      <c r="E63" s="126" t="s">
        <v>268</v>
      </c>
      <c r="F63" s="126" t="s">
        <v>53</v>
      </c>
      <c r="G63" s="126">
        <v>1</v>
      </c>
      <c r="H63" s="126" t="s">
        <v>53</v>
      </c>
      <c r="I63" s="126">
        <v>1315</v>
      </c>
      <c r="J63" s="126">
        <f t="shared" si="9"/>
        <v>100</v>
      </c>
      <c r="K63" s="131"/>
    </row>
    <row r="64" spans="1:11" ht="21" customHeight="1" x14ac:dyDescent="0.15">
      <c r="A64" s="104">
        <v>49011551</v>
      </c>
      <c r="B64" s="47">
        <v>1</v>
      </c>
      <c r="C64" s="47">
        <v>200</v>
      </c>
      <c r="D64" s="47">
        <v>100</v>
      </c>
      <c r="E64" s="47" t="s">
        <v>268</v>
      </c>
      <c r="F64" s="47" t="s">
        <v>53</v>
      </c>
      <c r="G64" s="47">
        <v>1</v>
      </c>
      <c r="H64" s="47" t="s">
        <v>53</v>
      </c>
      <c r="I64" s="47">
        <v>1316</v>
      </c>
      <c r="J64" s="48">
        <f t="shared" si="9"/>
        <v>100</v>
      </c>
    </row>
    <row r="65" spans="1:11" s="130" customFormat="1" ht="21" customHeight="1" x14ac:dyDescent="0.15">
      <c r="A65" s="126">
        <v>49011552</v>
      </c>
      <c r="B65" s="126">
        <v>1</v>
      </c>
      <c r="C65" s="126">
        <v>306</v>
      </c>
      <c r="D65" s="126">
        <v>100</v>
      </c>
      <c r="E65" s="126" t="s">
        <v>268</v>
      </c>
      <c r="F65" s="126" t="s">
        <v>53</v>
      </c>
      <c r="G65" s="126">
        <v>1</v>
      </c>
      <c r="H65" s="126" t="s">
        <v>53</v>
      </c>
      <c r="I65" s="126">
        <v>1317</v>
      </c>
      <c r="J65" s="126">
        <f t="shared" si="9"/>
        <v>100</v>
      </c>
      <c r="K65" s="131"/>
    </row>
    <row r="66" spans="1:11" ht="21" customHeight="1" x14ac:dyDescent="0.15">
      <c r="A66" s="104">
        <v>49011553</v>
      </c>
      <c r="B66" s="47">
        <v>1</v>
      </c>
      <c r="C66" s="47">
        <v>410</v>
      </c>
      <c r="D66" s="47">
        <v>100</v>
      </c>
      <c r="E66" s="47" t="s">
        <v>268</v>
      </c>
      <c r="F66" s="47" t="s">
        <v>53</v>
      </c>
      <c r="G66" s="47">
        <v>1</v>
      </c>
      <c r="H66" s="47" t="s">
        <v>53</v>
      </c>
      <c r="I66" s="47">
        <v>1318</v>
      </c>
      <c r="J66" s="48">
        <f t="shared" si="9"/>
        <v>100</v>
      </c>
    </row>
    <row r="67" spans="1:11" s="130" customFormat="1" ht="21" customHeight="1" x14ac:dyDescent="0.15">
      <c r="A67" s="126">
        <v>49011554</v>
      </c>
      <c r="B67" s="126">
        <v>1</v>
      </c>
      <c r="C67" s="126">
        <v>304</v>
      </c>
      <c r="D67" s="126">
        <v>100</v>
      </c>
      <c r="E67" s="126" t="s">
        <v>268</v>
      </c>
      <c r="F67" s="126" t="s">
        <v>53</v>
      </c>
      <c r="G67" s="126">
        <v>1</v>
      </c>
      <c r="H67" s="126" t="s">
        <v>53</v>
      </c>
      <c r="I67" s="126">
        <v>1319</v>
      </c>
      <c r="J67" s="126">
        <f t="shared" ref="J67:J70" si="10">D67</f>
        <v>100</v>
      </c>
      <c r="K67" s="131"/>
    </row>
    <row r="68" spans="1:11" ht="21" customHeight="1" x14ac:dyDescent="0.15">
      <c r="A68" s="104">
        <v>49011555</v>
      </c>
      <c r="B68" s="47">
        <v>1</v>
      </c>
      <c r="C68" s="47">
        <v>420</v>
      </c>
      <c r="D68" s="47">
        <v>100</v>
      </c>
      <c r="E68" s="47" t="s">
        <v>268</v>
      </c>
      <c r="F68" s="47" t="s">
        <v>53</v>
      </c>
      <c r="G68" s="47">
        <v>1</v>
      </c>
      <c r="H68" s="47" t="s">
        <v>53</v>
      </c>
      <c r="I68" s="47">
        <v>1320</v>
      </c>
      <c r="J68" s="48">
        <f t="shared" si="10"/>
        <v>100</v>
      </c>
    </row>
    <row r="69" spans="1:11" s="130" customFormat="1" ht="21" customHeight="1" x14ac:dyDescent="0.15">
      <c r="A69" s="126">
        <v>49011556</v>
      </c>
      <c r="B69" s="126">
        <v>1</v>
      </c>
      <c r="C69" s="126">
        <v>302</v>
      </c>
      <c r="D69" s="126">
        <v>100</v>
      </c>
      <c r="E69" s="126" t="s">
        <v>268</v>
      </c>
      <c r="F69" s="126" t="s">
        <v>53</v>
      </c>
      <c r="G69" s="126">
        <v>1</v>
      </c>
      <c r="H69" s="126" t="s">
        <v>53</v>
      </c>
      <c r="I69" s="126">
        <v>1321</v>
      </c>
      <c r="J69" s="126">
        <f t="shared" si="10"/>
        <v>100</v>
      </c>
      <c r="K69" s="131"/>
    </row>
    <row r="70" spans="1:11" ht="21" customHeight="1" x14ac:dyDescent="0.15">
      <c r="A70" s="104">
        <v>49011557</v>
      </c>
      <c r="B70" s="47">
        <v>1</v>
      </c>
      <c r="C70" s="47">
        <v>100</v>
      </c>
      <c r="D70" s="47">
        <v>100</v>
      </c>
      <c r="E70" s="47" t="s">
        <v>268</v>
      </c>
      <c r="F70" s="47" t="s">
        <v>53</v>
      </c>
      <c r="G70" s="47">
        <v>1</v>
      </c>
      <c r="H70" s="47" t="s">
        <v>53</v>
      </c>
      <c r="I70" s="47">
        <v>1322</v>
      </c>
      <c r="J70" s="48">
        <f t="shared" si="10"/>
        <v>100</v>
      </c>
    </row>
    <row r="71" spans="1:11" s="130" customFormat="1" ht="21" customHeight="1" x14ac:dyDescent="0.15">
      <c r="A71" s="126">
        <v>49011558</v>
      </c>
      <c r="B71" s="126">
        <v>1</v>
      </c>
      <c r="C71" s="126">
        <v>300</v>
      </c>
      <c r="D71" s="126">
        <v>100</v>
      </c>
      <c r="E71" s="126" t="s">
        <v>268</v>
      </c>
      <c r="F71" s="126" t="s">
        <v>53</v>
      </c>
      <c r="G71" s="126">
        <v>1</v>
      </c>
      <c r="H71" s="126" t="s">
        <v>53</v>
      </c>
      <c r="I71" s="126">
        <v>1323</v>
      </c>
      <c r="J71" s="126">
        <f t="shared" ref="J71" si="11">D71</f>
        <v>100</v>
      </c>
      <c r="K71" s="131"/>
    </row>
    <row r="72" spans="1:11" ht="21" customHeight="1" x14ac:dyDescent="0.15">
      <c r="A72" s="119">
        <v>49011600</v>
      </c>
      <c r="B72" s="47">
        <v>1</v>
      </c>
      <c r="C72" s="47" t="s">
        <v>53</v>
      </c>
      <c r="D72" s="47">
        <v>100</v>
      </c>
      <c r="E72" s="47" t="s">
        <v>268</v>
      </c>
      <c r="F72" s="47" t="s">
        <v>53</v>
      </c>
      <c r="G72" s="47">
        <v>1</v>
      </c>
      <c r="H72" s="47" t="s">
        <v>53</v>
      </c>
      <c r="I72" s="47" t="s">
        <v>53</v>
      </c>
      <c r="J72" s="48">
        <f t="shared" si="1"/>
        <v>100</v>
      </c>
    </row>
    <row r="73" spans="1:11" ht="21" customHeight="1" x14ac:dyDescent="0.15">
      <c r="A73" s="119">
        <v>49011601</v>
      </c>
      <c r="B73" s="47">
        <v>0</v>
      </c>
      <c r="C73" s="47">
        <v>12</v>
      </c>
      <c r="D73" s="47">
        <v>100</v>
      </c>
      <c r="E73" s="47" t="s">
        <v>268</v>
      </c>
      <c r="F73" s="47" t="s">
        <v>53</v>
      </c>
      <c r="G73" s="47">
        <v>1</v>
      </c>
      <c r="H73" s="47">
        <v>1</v>
      </c>
      <c r="I73" s="47" t="s">
        <v>53</v>
      </c>
      <c r="J73" s="48">
        <f t="shared" si="1"/>
        <v>100</v>
      </c>
    </row>
    <row r="74" spans="1:11" ht="21" customHeight="1" x14ac:dyDescent="0.15">
      <c r="A74" s="119">
        <v>49011602</v>
      </c>
      <c r="B74" s="47">
        <v>0</v>
      </c>
      <c r="C74" s="47">
        <v>11</v>
      </c>
      <c r="D74" s="47">
        <v>50</v>
      </c>
      <c r="E74" s="47" t="s">
        <v>89</v>
      </c>
      <c r="F74" s="47" t="s">
        <v>53</v>
      </c>
      <c r="G74" s="47" t="s">
        <v>53</v>
      </c>
      <c r="H74" s="47">
        <v>1</v>
      </c>
      <c r="I74" s="47" t="s">
        <v>53</v>
      </c>
      <c r="J74" s="48">
        <f t="shared" ref="J74" si="12">D74</f>
        <v>50</v>
      </c>
    </row>
    <row r="75" spans="1:11" ht="21" customHeight="1" x14ac:dyDescent="0.15">
      <c r="A75" s="119">
        <v>49011603</v>
      </c>
      <c r="B75" s="47">
        <v>0</v>
      </c>
      <c r="C75" s="47">
        <v>10</v>
      </c>
      <c r="D75" s="47">
        <v>100</v>
      </c>
      <c r="E75" s="47" t="s">
        <v>89</v>
      </c>
      <c r="F75" s="47" t="s">
        <v>53</v>
      </c>
      <c r="G75" s="47" t="s">
        <v>53</v>
      </c>
      <c r="H75" s="47">
        <v>1</v>
      </c>
      <c r="I75" s="47" t="s">
        <v>53</v>
      </c>
      <c r="J75" s="48">
        <f t="shared" ref="J75" si="13">D75</f>
        <v>100</v>
      </c>
    </row>
    <row r="76" spans="1:11" ht="21" customHeight="1" x14ac:dyDescent="0.15">
      <c r="A76" s="119">
        <v>49011604</v>
      </c>
      <c r="B76" s="47">
        <v>0</v>
      </c>
      <c r="C76" s="47">
        <v>20</v>
      </c>
      <c r="D76" s="47">
        <v>100</v>
      </c>
      <c r="E76" s="47" t="s">
        <v>268</v>
      </c>
      <c r="F76" s="47" t="s">
        <v>53</v>
      </c>
      <c r="G76" s="47" t="s">
        <v>270</v>
      </c>
      <c r="H76" s="47">
        <v>2</v>
      </c>
      <c r="I76" s="47" t="s">
        <v>53</v>
      </c>
      <c r="J76" s="48">
        <f t="shared" si="1"/>
        <v>100</v>
      </c>
    </row>
    <row r="77" spans="1:11" ht="21" customHeight="1" x14ac:dyDescent="0.15">
      <c r="A77" s="119">
        <v>49011605</v>
      </c>
      <c r="B77" s="47">
        <v>0</v>
      </c>
      <c r="C77" s="47">
        <v>30</v>
      </c>
      <c r="D77" s="47">
        <v>100</v>
      </c>
      <c r="E77" s="47" t="s">
        <v>268</v>
      </c>
      <c r="F77" s="47" t="s">
        <v>53</v>
      </c>
      <c r="G77" s="47" t="s">
        <v>270</v>
      </c>
      <c r="H77" s="47">
        <v>5</v>
      </c>
      <c r="I77" s="47" t="s">
        <v>53</v>
      </c>
      <c r="J77" s="48">
        <f t="shared" si="1"/>
        <v>100</v>
      </c>
    </row>
    <row r="78" spans="1:11" ht="21" customHeight="1" x14ac:dyDescent="0.15">
      <c r="A78" s="119">
        <v>49011606</v>
      </c>
      <c r="B78" s="47">
        <v>0</v>
      </c>
      <c r="C78" s="47">
        <v>40</v>
      </c>
      <c r="D78" s="47">
        <v>100</v>
      </c>
      <c r="E78" s="47">
        <v>50</v>
      </c>
      <c r="F78" s="47" t="s">
        <v>53</v>
      </c>
      <c r="G78" s="47">
        <v>1</v>
      </c>
      <c r="H78" s="47">
        <v>1</v>
      </c>
      <c r="I78" s="47" t="s">
        <v>53</v>
      </c>
      <c r="J78" s="48">
        <f t="shared" si="1"/>
        <v>100</v>
      </c>
    </row>
    <row r="79" spans="1:11" ht="21" customHeight="1" x14ac:dyDescent="0.15">
      <c r="A79" s="122">
        <v>49011700</v>
      </c>
      <c r="B79" s="47">
        <v>1</v>
      </c>
      <c r="C79" s="47" t="s">
        <v>53</v>
      </c>
      <c r="D79" s="47">
        <v>100</v>
      </c>
      <c r="E79" s="47" t="s">
        <v>268</v>
      </c>
      <c r="F79" s="47" t="s">
        <v>53</v>
      </c>
      <c r="G79" s="47">
        <v>1</v>
      </c>
      <c r="H79" s="47" t="s">
        <v>53</v>
      </c>
      <c r="I79" s="47" t="s">
        <v>53</v>
      </c>
      <c r="J79" s="48">
        <f t="shared" si="1"/>
        <v>100</v>
      </c>
    </row>
    <row r="80" spans="1:11" ht="21" customHeight="1" x14ac:dyDescent="0.15">
      <c r="A80" s="122">
        <v>49011701</v>
      </c>
      <c r="B80" s="47">
        <v>0</v>
      </c>
      <c r="C80" s="47">
        <v>10</v>
      </c>
      <c r="D80" s="47">
        <v>100</v>
      </c>
      <c r="E80" s="47" t="s">
        <v>268</v>
      </c>
      <c r="F80" s="47" t="s">
        <v>53</v>
      </c>
      <c r="G80" s="47" t="s">
        <v>53</v>
      </c>
      <c r="H80" s="47">
        <v>1</v>
      </c>
      <c r="I80" s="47" t="s">
        <v>53</v>
      </c>
      <c r="J80" s="48">
        <f t="shared" si="1"/>
        <v>100</v>
      </c>
    </row>
    <row r="81" spans="1:10" ht="21" customHeight="1" x14ac:dyDescent="0.15">
      <c r="A81" s="122">
        <v>49011702</v>
      </c>
      <c r="B81" s="47">
        <v>0</v>
      </c>
      <c r="C81" s="47">
        <v>20</v>
      </c>
      <c r="D81" s="47">
        <v>100</v>
      </c>
      <c r="E81" s="47" t="s">
        <v>268</v>
      </c>
      <c r="F81" s="47" t="s">
        <v>53</v>
      </c>
      <c r="G81" s="47" t="s">
        <v>270</v>
      </c>
      <c r="H81" s="47">
        <v>2</v>
      </c>
      <c r="I81" s="47" t="s">
        <v>53</v>
      </c>
      <c r="J81" s="48">
        <f t="shared" si="1"/>
        <v>100</v>
      </c>
    </row>
    <row r="82" spans="1:10" ht="21" customHeight="1" x14ac:dyDescent="0.15">
      <c r="A82" s="122">
        <v>49011703</v>
      </c>
      <c r="B82" s="47">
        <v>0</v>
      </c>
      <c r="C82" s="47">
        <v>30</v>
      </c>
      <c r="D82" s="47">
        <v>100</v>
      </c>
      <c r="E82" s="47" t="s">
        <v>268</v>
      </c>
      <c r="F82" s="47" t="s">
        <v>53</v>
      </c>
      <c r="G82" s="47" t="s">
        <v>270</v>
      </c>
      <c r="H82" s="47">
        <v>5</v>
      </c>
      <c r="I82" s="47" t="s">
        <v>53</v>
      </c>
      <c r="J82" s="48">
        <f t="shared" si="1"/>
        <v>100</v>
      </c>
    </row>
    <row r="83" spans="1:10" ht="21" customHeight="1" x14ac:dyDescent="0.15">
      <c r="A83" s="122">
        <v>49011704</v>
      </c>
      <c r="B83" s="47">
        <v>0</v>
      </c>
      <c r="C83" s="47">
        <v>40</v>
      </c>
      <c r="D83" s="47">
        <v>100</v>
      </c>
      <c r="E83" s="47">
        <v>50</v>
      </c>
      <c r="F83" s="47" t="s">
        <v>53</v>
      </c>
      <c r="G83" s="47">
        <v>1</v>
      </c>
      <c r="H83" s="47">
        <v>1</v>
      </c>
      <c r="I83" s="47" t="s">
        <v>53</v>
      </c>
      <c r="J83" s="48">
        <f t="shared" si="1"/>
        <v>100</v>
      </c>
    </row>
    <row r="84" spans="1:10" ht="21" customHeight="1" x14ac:dyDescent="0.15">
      <c r="A84" s="122">
        <v>49011705</v>
      </c>
      <c r="B84" s="47">
        <v>0</v>
      </c>
      <c r="C84" s="47">
        <v>50</v>
      </c>
      <c r="D84" s="47">
        <v>100</v>
      </c>
      <c r="E84" s="47" t="s">
        <v>89</v>
      </c>
      <c r="F84" s="47" t="s">
        <v>53</v>
      </c>
      <c r="G84" s="47">
        <v>0</v>
      </c>
      <c r="H84" s="47" t="s">
        <v>89</v>
      </c>
      <c r="I84" s="47">
        <v>0</v>
      </c>
      <c r="J84" s="48">
        <f t="shared" ref="J84" si="14">D84</f>
        <v>100</v>
      </c>
    </row>
    <row r="85" spans="1:10" ht="21" customHeight="1" x14ac:dyDescent="0.15">
      <c r="A85" s="122">
        <v>49011706</v>
      </c>
      <c r="B85" s="47">
        <v>0</v>
      </c>
      <c r="C85" s="47">
        <v>360</v>
      </c>
      <c r="D85" s="47">
        <v>100</v>
      </c>
      <c r="E85" s="47" t="s">
        <v>53</v>
      </c>
      <c r="F85" s="47" t="s">
        <v>53</v>
      </c>
      <c r="G85" s="47">
        <v>0</v>
      </c>
      <c r="H85" s="47" t="s">
        <v>53</v>
      </c>
      <c r="I85" s="47">
        <v>525</v>
      </c>
      <c r="J85" s="48">
        <f t="shared" ref="J85:J86" si="15">D85</f>
        <v>100</v>
      </c>
    </row>
    <row r="86" spans="1:10" ht="21" customHeight="1" x14ac:dyDescent="0.15">
      <c r="A86" s="122">
        <v>49011707</v>
      </c>
      <c r="B86" s="47">
        <v>0</v>
      </c>
      <c r="C86" s="47">
        <v>350</v>
      </c>
      <c r="D86" s="47">
        <v>100</v>
      </c>
      <c r="E86" s="47" t="s">
        <v>53</v>
      </c>
      <c r="F86" s="47" t="s">
        <v>53</v>
      </c>
      <c r="G86" s="47">
        <v>0</v>
      </c>
      <c r="H86" s="47" t="s">
        <v>53</v>
      </c>
      <c r="I86" s="47">
        <v>526</v>
      </c>
      <c r="J86" s="48">
        <f t="shared" si="15"/>
        <v>100</v>
      </c>
    </row>
    <row r="87" spans="1:10" ht="21" customHeight="1" x14ac:dyDescent="0.15">
      <c r="A87" s="122">
        <v>49011708</v>
      </c>
      <c r="B87" s="47">
        <v>0</v>
      </c>
      <c r="C87" s="47">
        <v>432</v>
      </c>
      <c r="D87" s="47">
        <v>100</v>
      </c>
      <c r="E87" s="47" t="s">
        <v>53</v>
      </c>
      <c r="F87" s="47" t="s">
        <v>53</v>
      </c>
      <c r="G87" s="47">
        <v>0</v>
      </c>
      <c r="H87" s="47" t="s">
        <v>53</v>
      </c>
      <c r="I87" s="47">
        <v>527</v>
      </c>
      <c r="J87" s="48">
        <f t="shared" ref="J87:J90" si="16">D87</f>
        <v>100</v>
      </c>
    </row>
    <row r="88" spans="1:10" ht="21" customHeight="1" x14ac:dyDescent="0.15">
      <c r="A88" s="122">
        <v>49011709</v>
      </c>
      <c r="B88" s="47">
        <v>0</v>
      </c>
      <c r="C88" s="47">
        <v>431</v>
      </c>
      <c r="D88" s="47">
        <v>100</v>
      </c>
      <c r="E88" s="47" t="s">
        <v>53</v>
      </c>
      <c r="F88" s="47" t="s">
        <v>53</v>
      </c>
      <c r="G88" s="47">
        <v>0</v>
      </c>
      <c r="H88" s="47" t="s">
        <v>53</v>
      </c>
      <c r="I88" s="47">
        <v>528</v>
      </c>
      <c r="J88" s="48">
        <f t="shared" si="16"/>
        <v>100</v>
      </c>
    </row>
    <row r="89" spans="1:10" ht="21" customHeight="1" x14ac:dyDescent="0.15">
      <c r="A89" s="122">
        <v>49011710</v>
      </c>
      <c r="B89" s="47">
        <v>0</v>
      </c>
      <c r="C89" s="47">
        <v>223</v>
      </c>
      <c r="D89" s="47">
        <v>100</v>
      </c>
      <c r="E89" s="47" t="s">
        <v>53</v>
      </c>
      <c r="F89" s="47" t="s">
        <v>53</v>
      </c>
      <c r="G89" s="47">
        <v>0</v>
      </c>
      <c r="H89" s="47" t="s">
        <v>53</v>
      </c>
      <c r="I89" s="47">
        <v>539</v>
      </c>
      <c r="J89" s="48">
        <f t="shared" si="16"/>
        <v>100</v>
      </c>
    </row>
    <row r="90" spans="1:10" ht="21" customHeight="1" x14ac:dyDescent="0.15">
      <c r="A90" s="122">
        <v>49011711</v>
      </c>
      <c r="B90" s="47">
        <v>0</v>
      </c>
      <c r="C90" s="47">
        <v>222</v>
      </c>
      <c r="D90" s="47">
        <v>100</v>
      </c>
      <c r="E90" s="47" t="s">
        <v>53</v>
      </c>
      <c r="F90" s="47" t="s">
        <v>53</v>
      </c>
      <c r="G90" s="47">
        <v>0</v>
      </c>
      <c r="H90" s="47" t="s">
        <v>53</v>
      </c>
      <c r="I90" s="47">
        <v>540</v>
      </c>
      <c r="J90" s="48">
        <f t="shared" si="16"/>
        <v>100</v>
      </c>
    </row>
    <row r="91" spans="1:10" ht="21" customHeight="1" x14ac:dyDescent="0.15">
      <c r="A91" s="122">
        <v>49011712</v>
      </c>
      <c r="B91" s="47">
        <v>0</v>
      </c>
      <c r="C91" s="47">
        <v>212</v>
      </c>
      <c r="D91" s="47">
        <v>100</v>
      </c>
      <c r="E91" s="47" t="s">
        <v>53</v>
      </c>
      <c r="F91" s="47" t="s">
        <v>53</v>
      </c>
      <c r="G91" s="47">
        <v>0</v>
      </c>
      <c r="H91" s="47" t="s">
        <v>53</v>
      </c>
      <c r="I91" s="47">
        <v>541</v>
      </c>
      <c r="J91" s="48">
        <f t="shared" ref="J91:J98" si="17">D91</f>
        <v>100</v>
      </c>
    </row>
    <row r="92" spans="1:10" ht="21" customHeight="1" x14ac:dyDescent="0.15">
      <c r="A92" s="122">
        <v>49011713</v>
      </c>
      <c r="B92" s="47">
        <v>0</v>
      </c>
      <c r="C92" s="47">
        <v>211</v>
      </c>
      <c r="D92" s="47">
        <v>100</v>
      </c>
      <c r="E92" s="47" t="s">
        <v>53</v>
      </c>
      <c r="F92" s="47" t="s">
        <v>53</v>
      </c>
      <c r="G92" s="47">
        <v>0</v>
      </c>
      <c r="H92" s="47" t="s">
        <v>53</v>
      </c>
      <c r="I92" s="47">
        <v>542</v>
      </c>
      <c r="J92" s="48">
        <f t="shared" si="17"/>
        <v>100</v>
      </c>
    </row>
    <row r="93" spans="1:10" ht="21" customHeight="1" x14ac:dyDescent="0.15">
      <c r="A93" s="122">
        <v>49011714</v>
      </c>
      <c r="B93" s="47">
        <v>0</v>
      </c>
      <c r="C93" s="47">
        <v>452</v>
      </c>
      <c r="D93" s="47">
        <v>100</v>
      </c>
      <c r="E93" s="47" t="s">
        <v>53</v>
      </c>
      <c r="F93" s="47" t="s">
        <v>53</v>
      </c>
      <c r="G93" s="47">
        <v>0</v>
      </c>
      <c r="H93" s="47" t="s">
        <v>53</v>
      </c>
      <c r="I93" s="47">
        <v>543</v>
      </c>
      <c r="J93" s="48">
        <f t="shared" si="17"/>
        <v>100</v>
      </c>
    </row>
    <row r="94" spans="1:10" ht="21" customHeight="1" x14ac:dyDescent="0.15">
      <c r="A94" s="122">
        <v>49011715</v>
      </c>
      <c r="B94" s="47">
        <v>0</v>
      </c>
      <c r="C94" s="47">
        <v>451</v>
      </c>
      <c r="D94" s="47">
        <v>100</v>
      </c>
      <c r="E94" s="47" t="s">
        <v>53</v>
      </c>
      <c r="F94" s="47" t="s">
        <v>53</v>
      </c>
      <c r="G94" s="47">
        <v>0</v>
      </c>
      <c r="H94" s="47" t="s">
        <v>53</v>
      </c>
      <c r="I94" s="47">
        <v>544</v>
      </c>
      <c r="J94" s="48">
        <f t="shared" si="17"/>
        <v>100</v>
      </c>
    </row>
    <row r="95" spans="1:10" ht="21" customHeight="1" x14ac:dyDescent="0.15">
      <c r="A95" s="122">
        <v>49011716</v>
      </c>
      <c r="B95" s="47">
        <v>0</v>
      </c>
      <c r="C95" s="47">
        <v>462</v>
      </c>
      <c r="D95" s="47">
        <v>100</v>
      </c>
      <c r="E95" s="47" t="s">
        <v>53</v>
      </c>
      <c r="F95" s="47" t="s">
        <v>53</v>
      </c>
      <c r="G95" s="47">
        <v>0</v>
      </c>
      <c r="H95" s="47" t="s">
        <v>53</v>
      </c>
      <c r="I95" s="47">
        <v>545</v>
      </c>
      <c r="J95" s="48">
        <f t="shared" si="17"/>
        <v>100</v>
      </c>
    </row>
    <row r="96" spans="1:10" ht="21" customHeight="1" x14ac:dyDescent="0.15">
      <c r="A96" s="122">
        <v>49011717</v>
      </c>
      <c r="B96" s="47">
        <v>0</v>
      </c>
      <c r="C96" s="47">
        <v>461</v>
      </c>
      <c r="D96" s="47">
        <v>100</v>
      </c>
      <c r="E96" s="47" t="s">
        <v>53</v>
      </c>
      <c r="F96" s="47" t="s">
        <v>53</v>
      </c>
      <c r="G96" s="47">
        <v>0</v>
      </c>
      <c r="H96" s="47" t="s">
        <v>53</v>
      </c>
      <c r="I96" s="47">
        <v>546</v>
      </c>
      <c r="J96" s="48">
        <f t="shared" si="17"/>
        <v>100</v>
      </c>
    </row>
    <row r="97" spans="1:10" ht="21" customHeight="1" x14ac:dyDescent="0.15">
      <c r="A97" s="122">
        <v>49011718</v>
      </c>
      <c r="B97" s="47">
        <v>0</v>
      </c>
      <c r="C97" s="47">
        <v>112</v>
      </c>
      <c r="D97" s="47">
        <v>100</v>
      </c>
      <c r="E97" s="47" t="s">
        <v>53</v>
      </c>
      <c r="F97" s="47" t="s">
        <v>53</v>
      </c>
      <c r="G97" s="47">
        <v>0</v>
      </c>
      <c r="H97" s="47" t="s">
        <v>53</v>
      </c>
      <c r="I97" s="47">
        <v>547</v>
      </c>
      <c r="J97" s="48">
        <f t="shared" si="17"/>
        <v>100</v>
      </c>
    </row>
    <row r="98" spans="1:10" ht="21" customHeight="1" x14ac:dyDescent="0.15">
      <c r="A98" s="122">
        <v>49011719</v>
      </c>
      <c r="B98" s="47">
        <v>0</v>
      </c>
      <c r="C98" s="47">
        <v>111</v>
      </c>
      <c r="D98" s="47">
        <v>100</v>
      </c>
      <c r="E98" s="47" t="s">
        <v>53</v>
      </c>
      <c r="F98" s="47" t="s">
        <v>53</v>
      </c>
      <c r="G98" s="47">
        <v>0</v>
      </c>
      <c r="H98" s="47" t="s">
        <v>53</v>
      </c>
      <c r="I98" s="47">
        <v>548</v>
      </c>
      <c r="J98" s="48">
        <f t="shared" si="17"/>
        <v>100</v>
      </c>
    </row>
    <row r="99" spans="1:10" ht="21" customHeight="1" x14ac:dyDescent="0.15">
      <c r="A99" s="122">
        <v>49011720</v>
      </c>
      <c r="B99" s="47">
        <v>0</v>
      </c>
      <c r="C99" s="47">
        <v>122</v>
      </c>
      <c r="D99" s="47">
        <v>100</v>
      </c>
      <c r="E99" s="47" t="s">
        <v>53</v>
      </c>
      <c r="F99" s="47" t="s">
        <v>53</v>
      </c>
      <c r="G99" s="47">
        <v>0</v>
      </c>
      <c r="H99" s="47" t="s">
        <v>53</v>
      </c>
      <c r="I99" s="47">
        <v>549</v>
      </c>
      <c r="J99" s="48">
        <f t="shared" ref="J99:J114" si="18">D99</f>
        <v>100</v>
      </c>
    </row>
    <row r="100" spans="1:10" ht="21" customHeight="1" x14ac:dyDescent="0.15">
      <c r="A100" s="122">
        <v>49011721</v>
      </c>
      <c r="B100" s="47">
        <v>0</v>
      </c>
      <c r="C100" s="47">
        <v>121</v>
      </c>
      <c r="D100" s="47">
        <v>100</v>
      </c>
      <c r="E100" s="47" t="s">
        <v>53</v>
      </c>
      <c r="F100" s="47" t="s">
        <v>53</v>
      </c>
      <c r="G100" s="47">
        <v>0</v>
      </c>
      <c r="H100" s="47" t="s">
        <v>53</v>
      </c>
      <c r="I100" s="47">
        <v>550</v>
      </c>
      <c r="J100" s="48">
        <f t="shared" si="18"/>
        <v>100</v>
      </c>
    </row>
    <row r="101" spans="1:10" ht="21" customHeight="1" x14ac:dyDescent="0.15">
      <c r="A101" s="122">
        <v>49011722</v>
      </c>
      <c r="B101" s="47">
        <v>0</v>
      </c>
      <c r="C101" s="47">
        <v>322</v>
      </c>
      <c r="D101" s="47">
        <v>100</v>
      </c>
      <c r="E101" s="47" t="s">
        <v>53</v>
      </c>
      <c r="F101" s="47" t="s">
        <v>53</v>
      </c>
      <c r="G101" s="47">
        <v>0</v>
      </c>
      <c r="H101" s="47" t="s">
        <v>53</v>
      </c>
      <c r="I101" s="47">
        <v>551</v>
      </c>
      <c r="J101" s="48">
        <f t="shared" si="18"/>
        <v>100</v>
      </c>
    </row>
    <row r="102" spans="1:10" ht="21" customHeight="1" x14ac:dyDescent="0.15">
      <c r="A102" s="122">
        <v>49011723</v>
      </c>
      <c r="B102" s="47">
        <v>0</v>
      </c>
      <c r="C102" s="47">
        <v>321</v>
      </c>
      <c r="D102" s="47">
        <v>100</v>
      </c>
      <c r="E102" s="47" t="s">
        <v>53</v>
      </c>
      <c r="F102" s="47" t="s">
        <v>53</v>
      </c>
      <c r="G102" s="47">
        <v>0</v>
      </c>
      <c r="H102" s="47" t="s">
        <v>53</v>
      </c>
      <c r="I102" s="47">
        <v>552</v>
      </c>
      <c r="J102" s="48">
        <f t="shared" si="18"/>
        <v>100</v>
      </c>
    </row>
    <row r="103" spans="1:10" ht="21" customHeight="1" x14ac:dyDescent="0.15">
      <c r="A103" s="122">
        <v>49011724</v>
      </c>
      <c r="B103" s="47">
        <v>0</v>
      </c>
      <c r="C103" s="47">
        <v>331</v>
      </c>
      <c r="D103" s="47">
        <v>100</v>
      </c>
      <c r="E103" s="47" t="s">
        <v>53</v>
      </c>
      <c r="F103" s="47" t="s">
        <v>53</v>
      </c>
      <c r="G103" s="47">
        <v>0</v>
      </c>
      <c r="H103" s="47" t="s">
        <v>53</v>
      </c>
      <c r="I103" s="47">
        <v>553</v>
      </c>
      <c r="J103" s="48">
        <f t="shared" si="18"/>
        <v>100</v>
      </c>
    </row>
    <row r="104" spans="1:10" ht="21" customHeight="1" x14ac:dyDescent="0.15">
      <c r="A104" s="122">
        <v>49011725</v>
      </c>
      <c r="B104" s="47">
        <v>0</v>
      </c>
      <c r="C104" s="47">
        <v>330</v>
      </c>
      <c r="D104" s="47">
        <v>100</v>
      </c>
      <c r="E104" s="47" t="s">
        <v>53</v>
      </c>
      <c r="F104" s="47" t="s">
        <v>53</v>
      </c>
      <c r="G104" s="47">
        <v>0</v>
      </c>
      <c r="H104" s="47" t="s">
        <v>53</v>
      </c>
      <c r="I104" s="47">
        <v>554</v>
      </c>
      <c r="J104" s="48">
        <f t="shared" si="18"/>
        <v>100</v>
      </c>
    </row>
    <row r="105" spans="1:10" ht="21" customHeight="1" x14ac:dyDescent="0.15">
      <c r="A105" s="122">
        <v>49011726</v>
      </c>
      <c r="B105" s="47">
        <v>0</v>
      </c>
      <c r="C105" s="47">
        <v>341</v>
      </c>
      <c r="D105" s="47">
        <v>100</v>
      </c>
      <c r="E105" s="47" t="s">
        <v>53</v>
      </c>
      <c r="F105" s="47" t="s">
        <v>53</v>
      </c>
      <c r="G105" s="47">
        <v>0</v>
      </c>
      <c r="H105" s="47" t="s">
        <v>53</v>
      </c>
      <c r="I105" s="47">
        <v>555</v>
      </c>
      <c r="J105" s="48">
        <f t="shared" si="18"/>
        <v>100</v>
      </c>
    </row>
    <row r="106" spans="1:10" ht="21" customHeight="1" x14ac:dyDescent="0.15">
      <c r="A106" s="122">
        <v>49011727</v>
      </c>
      <c r="B106" s="47">
        <v>0</v>
      </c>
      <c r="C106" s="47">
        <v>340</v>
      </c>
      <c r="D106" s="47">
        <v>100</v>
      </c>
      <c r="E106" s="47" t="s">
        <v>53</v>
      </c>
      <c r="F106" s="47" t="s">
        <v>53</v>
      </c>
      <c r="G106" s="47">
        <v>0</v>
      </c>
      <c r="H106" s="47" t="s">
        <v>53</v>
      </c>
      <c r="I106" s="47">
        <v>556</v>
      </c>
      <c r="J106" s="48">
        <f t="shared" si="18"/>
        <v>100</v>
      </c>
    </row>
    <row r="107" spans="1:10" ht="21" customHeight="1" x14ac:dyDescent="0.15">
      <c r="A107" s="122">
        <v>49011728</v>
      </c>
      <c r="B107" s="47">
        <v>0</v>
      </c>
      <c r="C107" s="47">
        <v>372</v>
      </c>
      <c r="D107" s="47">
        <v>100</v>
      </c>
      <c r="E107" s="47" t="s">
        <v>53</v>
      </c>
      <c r="F107" s="47" t="s">
        <v>53</v>
      </c>
      <c r="G107" s="47">
        <v>0</v>
      </c>
      <c r="H107" s="47" t="s">
        <v>53</v>
      </c>
      <c r="I107" s="47">
        <v>557</v>
      </c>
      <c r="J107" s="48">
        <f t="shared" si="18"/>
        <v>100</v>
      </c>
    </row>
    <row r="108" spans="1:10" ht="21" customHeight="1" x14ac:dyDescent="0.15">
      <c r="A108" s="122">
        <v>49011729</v>
      </c>
      <c r="B108" s="47">
        <v>0</v>
      </c>
      <c r="C108" s="47">
        <v>371</v>
      </c>
      <c r="D108" s="47">
        <v>100</v>
      </c>
      <c r="E108" s="47" t="s">
        <v>53</v>
      </c>
      <c r="F108" s="47" t="s">
        <v>53</v>
      </c>
      <c r="G108" s="47">
        <v>0</v>
      </c>
      <c r="H108" s="47" t="s">
        <v>53</v>
      </c>
      <c r="I108" s="47">
        <v>558</v>
      </c>
      <c r="J108" s="48">
        <f t="shared" si="18"/>
        <v>100</v>
      </c>
    </row>
    <row r="109" spans="1:10" ht="21" customHeight="1" x14ac:dyDescent="0.15">
      <c r="A109" s="122">
        <v>49011730</v>
      </c>
      <c r="B109" s="47">
        <v>0</v>
      </c>
      <c r="C109" s="47">
        <v>370</v>
      </c>
      <c r="D109" s="47">
        <v>100</v>
      </c>
      <c r="E109" s="47" t="s">
        <v>53</v>
      </c>
      <c r="F109" s="47" t="s">
        <v>53</v>
      </c>
      <c r="G109" s="47">
        <v>0</v>
      </c>
      <c r="H109" s="47" t="s">
        <v>53</v>
      </c>
      <c r="I109" s="47">
        <v>559</v>
      </c>
      <c r="J109" s="48">
        <f t="shared" si="18"/>
        <v>100</v>
      </c>
    </row>
    <row r="110" spans="1:10" ht="21" customHeight="1" x14ac:dyDescent="0.15">
      <c r="A110" s="122">
        <v>49011731</v>
      </c>
      <c r="B110" s="47">
        <v>0</v>
      </c>
      <c r="C110" s="47">
        <v>311</v>
      </c>
      <c r="D110" s="47">
        <v>100</v>
      </c>
      <c r="E110" s="47" t="s">
        <v>53</v>
      </c>
      <c r="F110" s="47" t="s">
        <v>53</v>
      </c>
      <c r="G110" s="47">
        <v>0</v>
      </c>
      <c r="H110" s="47" t="s">
        <v>53</v>
      </c>
      <c r="I110" s="47">
        <v>1295</v>
      </c>
      <c r="J110" s="48">
        <f t="shared" si="18"/>
        <v>100</v>
      </c>
    </row>
    <row r="111" spans="1:10" ht="21" customHeight="1" x14ac:dyDescent="0.15">
      <c r="A111" s="122">
        <v>49011732</v>
      </c>
      <c r="B111" s="47">
        <v>0</v>
      </c>
      <c r="C111" s="47">
        <v>310</v>
      </c>
      <c r="D111" s="47">
        <v>100</v>
      </c>
      <c r="E111" s="47" t="s">
        <v>53</v>
      </c>
      <c r="F111" s="47" t="s">
        <v>53</v>
      </c>
      <c r="G111" s="47">
        <v>0</v>
      </c>
      <c r="H111" s="47" t="s">
        <v>53</v>
      </c>
      <c r="I111" s="47">
        <v>1296</v>
      </c>
      <c r="J111" s="48">
        <f t="shared" si="18"/>
        <v>100</v>
      </c>
    </row>
    <row r="112" spans="1:10" ht="21" customHeight="1" x14ac:dyDescent="0.15">
      <c r="A112" s="122">
        <v>49011733</v>
      </c>
      <c r="B112" s="47">
        <v>0</v>
      </c>
      <c r="C112" s="47">
        <v>241</v>
      </c>
      <c r="D112" s="47">
        <v>100</v>
      </c>
      <c r="E112" s="47" t="s">
        <v>53</v>
      </c>
      <c r="F112" s="47" t="s">
        <v>53</v>
      </c>
      <c r="G112" s="47">
        <v>0</v>
      </c>
      <c r="H112" s="47" t="s">
        <v>53</v>
      </c>
      <c r="I112" s="47">
        <v>1297</v>
      </c>
      <c r="J112" s="48">
        <f t="shared" si="18"/>
        <v>100</v>
      </c>
    </row>
    <row r="113" spans="1:10" ht="21" customHeight="1" x14ac:dyDescent="0.15">
      <c r="A113" s="122">
        <v>49011734</v>
      </c>
      <c r="B113" s="47">
        <v>0</v>
      </c>
      <c r="C113" s="47">
        <v>240</v>
      </c>
      <c r="D113" s="47">
        <v>100</v>
      </c>
      <c r="E113" s="47" t="s">
        <v>53</v>
      </c>
      <c r="F113" s="47" t="s">
        <v>53</v>
      </c>
      <c r="G113" s="47">
        <v>0</v>
      </c>
      <c r="H113" s="47" t="s">
        <v>53</v>
      </c>
      <c r="I113" s="47">
        <v>1298</v>
      </c>
      <c r="J113" s="48">
        <f t="shared" si="18"/>
        <v>100</v>
      </c>
    </row>
    <row r="114" spans="1:10" ht="21" customHeight="1" x14ac:dyDescent="0.15">
      <c r="A114" s="122">
        <v>49011735</v>
      </c>
      <c r="B114" s="47">
        <v>0</v>
      </c>
      <c r="C114" s="47">
        <v>430</v>
      </c>
      <c r="D114" s="47">
        <v>100</v>
      </c>
      <c r="E114" s="47" t="s">
        <v>53</v>
      </c>
      <c r="F114" s="47" t="s">
        <v>53</v>
      </c>
      <c r="G114" s="47">
        <v>0</v>
      </c>
      <c r="H114" s="47" t="s">
        <v>53</v>
      </c>
      <c r="I114" s="47">
        <v>1299</v>
      </c>
      <c r="J114" s="48">
        <f t="shared" si="18"/>
        <v>100</v>
      </c>
    </row>
    <row r="115" spans="1:10" ht="21" customHeight="1" x14ac:dyDescent="0.15">
      <c r="A115" s="122">
        <v>49011736</v>
      </c>
      <c r="B115" s="47">
        <v>0</v>
      </c>
      <c r="C115" s="47">
        <v>231</v>
      </c>
      <c r="D115" s="47">
        <v>100</v>
      </c>
      <c r="E115" s="47" t="s">
        <v>53</v>
      </c>
      <c r="F115" s="47" t="s">
        <v>53</v>
      </c>
      <c r="G115" s="47">
        <v>0</v>
      </c>
      <c r="H115" s="47" t="s">
        <v>53</v>
      </c>
      <c r="I115" s="47">
        <v>1300</v>
      </c>
      <c r="J115" s="48">
        <f t="shared" ref="J115:J138" si="19">D115</f>
        <v>100</v>
      </c>
    </row>
    <row r="116" spans="1:10" ht="21" customHeight="1" x14ac:dyDescent="0.15">
      <c r="A116" s="122">
        <v>49011737</v>
      </c>
      <c r="B116" s="47">
        <v>0</v>
      </c>
      <c r="C116" s="47">
        <v>230</v>
      </c>
      <c r="D116" s="47">
        <v>100</v>
      </c>
      <c r="E116" s="47" t="s">
        <v>53</v>
      </c>
      <c r="F116" s="47" t="s">
        <v>53</v>
      </c>
      <c r="G116" s="47">
        <v>0</v>
      </c>
      <c r="H116" s="47" t="s">
        <v>53</v>
      </c>
      <c r="I116" s="47">
        <v>1301</v>
      </c>
      <c r="J116" s="48">
        <f t="shared" si="19"/>
        <v>100</v>
      </c>
    </row>
    <row r="117" spans="1:10" ht="21" customHeight="1" x14ac:dyDescent="0.15">
      <c r="A117" s="122">
        <v>49011738</v>
      </c>
      <c r="B117" s="47">
        <v>0</v>
      </c>
      <c r="C117" s="47">
        <v>441</v>
      </c>
      <c r="D117" s="47">
        <v>100</v>
      </c>
      <c r="E117" s="47" t="s">
        <v>53</v>
      </c>
      <c r="F117" s="47" t="s">
        <v>53</v>
      </c>
      <c r="G117" s="47">
        <v>0</v>
      </c>
      <c r="H117" s="47" t="s">
        <v>53</v>
      </c>
      <c r="I117" s="47">
        <v>1302</v>
      </c>
      <c r="J117" s="48">
        <f t="shared" si="19"/>
        <v>100</v>
      </c>
    </row>
    <row r="118" spans="1:10" ht="21" customHeight="1" x14ac:dyDescent="0.15">
      <c r="A118" s="122">
        <v>49011739</v>
      </c>
      <c r="B118" s="47">
        <v>0</v>
      </c>
      <c r="C118" s="47">
        <v>440</v>
      </c>
      <c r="D118" s="47">
        <v>100</v>
      </c>
      <c r="E118" s="47" t="s">
        <v>53</v>
      </c>
      <c r="F118" s="47" t="s">
        <v>53</v>
      </c>
      <c r="G118" s="47">
        <v>0</v>
      </c>
      <c r="H118" s="47" t="s">
        <v>53</v>
      </c>
      <c r="I118" s="47">
        <v>1303</v>
      </c>
      <c r="J118" s="48">
        <f t="shared" si="19"/>
        <v>100</v>
      </c>
    </row>
    <row r="119" spans="1:10" ht="21" customHeight="1" x14ac:dyDescent="0.15">
      <c r="A119" s="122">
        <v>49011740</v>
      </c>
      <c r="B119" s="47">
        <v>0</v>
      </c>
      <c r="C119" s="47">
        <v>301</v>
      </c>
      <c r="D119" s="47">
        <v>100</v>
      </c>
      <c r="E119" s="47" t="s">
        <v>53</v>
      </c>
      <c r="F119" s="47" t="s">
        <v>53</v>
      </c>
      <c r="G119" s="47">
        <v>0</v>
      </c>
      <c r="H119" s="47" t="s">
        <v>53</v>
      </c>
      <c r="I119" s="47">
        <v>1304</v>
      </c>
      <c r="J119" s="48">
        <f t="shared" si="19"/>
        <v>100</v>
      </c>
    </row>
    <row r="120" spans="1:10" ht="21" customHeight="1" x14ac:dyDescent="0.15">
      <c r="A120" s="122">
        <v>49011741</v>
      </c>
      <c r="B120" s="47">
        <v>0</v>
      </c>
      <c r="C120" s="47">
        <v>300</v>
      </c>
      <c r="D120" s="47">
        <v>100</v>
      </c>
      <c r="E120" s="47" t="s">
        <v>53</v>
      </c>
      <c r="F120" s="47" t="s">
        <v>53</v>
      </c>
      <c r="G120" s="47">
        <v>0</v>
      </c>
      <c r="H120" s="47" t="s">
        <v>53</v>
      </c>
      <c r="I120" s="47">
        <v>1305</v>
      </c>
      <c r="J120" s="48">
        <f t="shared" si="19"/>
        <v>100</v>
      </c>
    </row>
    <row r="121" spans="1:10" ht="21" customHeight="1" x14ac:dyDescent="0.15">
      <c r="A121" s="122">
        <v>49011742</v>
      </c>
      <c r="B121" s="47">
        <v>0</v>
      </c>
      <c r="C121" s="47">
        <v>401</v>
      </c>
      <c r="D121" s="47">
        <v>100</v>
      </c>
      <c r="E121" s="47" t="s">
        <v>53</v>
      </c>
      <c r="F121" s="47" t="s">
        <v>53</v>
      </c>
      <c r="G121" s="47">
        <v>0</v>
      </c>
      <c r="H121" s="47" t="s">
        <v>53</v>
      </c>
      <c r="I121" s="47">
        <v>1306</v>
      </c>
      <c r="J121" s="48">
        <f t="shared" si="19"/>
        <v>100</v>
      </c>
    </row>
    <row r="122" spans="1:10" ht="21" customHeight="1" x14ac:dyDescent="0.15">
      <c r="A122" s="122">
        <v>49011743</v>
      </c>
      <c r="B122" s="47">
        <v>0</v>
      </c>
      <c r="C122" s="47">
        <v>400</v>
      </c>
      <c r="D122" s="47">
        <v>100</v>
      </c>
      <c r="E122" s="47" t="s">
        <v>53</v>
      </c>
      <c r="F122" s="47" t="s">
        <v>53</v>
      </c>
      <c r="G122" s="47">
        <v>0</v>
      </c>
      <c r="H122" s="47" t="s">
        <v>53</v>
      </c>
      <c r="I122" s="47">
        <v>1307</v>
      </c>
      <c r="J122" s="48">
        <f t="shared" si="19"/>
        <v>100</v>
      </c>
    </row>
    <row r="123" spans="1:10" ht="21" customHeight="1" x14ac:dyDescent="0.15">
      <c r="A123" s="122">
        <v>49011744</v>
      </c>
      <c r="B123" s="47">
        <v>0</v>
      </c>
      <c r="C123" s="47">
        <v>210</v>
      </c>
      <c r="D123" s="47">
        <v>100</v>
      </c>
      <c r="E123" s="47" t="s">
        <v>53</v>
      </c>
      <c r="F123" s="47" t="s">
        <v>53</v>
      </c>
      <c r="G123" s="47">
        <v>0</v>
      </c>
      <c r="H123" s="47" t="s">
        <v>53</v>
      </c>
      <c r="I123" s="47">
        <v>1308</v>
      </c>
      <c r="J123" s="48">
        <f t="shared" si="19"/>
        <v>100</v>
      </c>
    </row>
    <row r="124" spans="1:10" ht="21" customHeight="1" x14ac:dyDescent="0.15">
      <c r="A124" s="122">
        <v>49011745</v>
      </c>
      <c r="B124" s="47">
        <v>0</v>
      </c>
      <c r="C124" s="47">
        <v>221</v>
      </c>
      <c r="D124" s="47">
        <v>100</v>
      </c>
      <c r="E124" s="47" t="s">
        <v>53</v>
      </c>
      <c r="F124" s="47" t="s">
        <v>53</v>
      </c>
      <c r="G124" s="47">
        <v>0</v>
      </c>
      <c r="H124" s="47" t="s">
        <v>53</v>
      </c>
      <c r="I124" s="47">
        <v>1309</v>
      </c>
      <c r="J124" s="48">
        <f t="shared" si="19"/>
        <v>100</v>
      </c>
    </row>
    <row r="125" spans="1:10" ht="21" customHeight="1" x14ac:dyDescent="0.15">
      <c r="A125" s="122">
        <v>49011746</v>
      </c>
      <c r="B125" s="47">
        <v>0</v>
      </c>
      <c r="C125" s="47">
        <v>220</v>
      </c>
      <c r="D125" s="47">
        <v>100</v>
      </c>
      <c r="E125" s="47" t="s">
        <v>53</v>
      </c>
      <c r="F125" s="47" t="s">
        <v>53</v>
      </c>
      <c r="G125" s="47">
        <v>0</v>
      </c>
      <c r="H125" s="47" t="s">
        <v>53</v>
      </c>
      <c r="I125" s="47">
        <v>1310</v>
      </c>
      <c r="J125" s="48">
        <f t="shared" si="19"/>
        <v>100</v>
      </c>
    </row>
    <row r="126" spans="1:10" ht="21" customHeight="1" x14ac:dyDescent="0.15">
      <c r="A126" s="122">
        <v>49011747</v>
      </c>
      <c r="B126" s="47">
        <v>0</v>
      </c>
      <c r="C126" s="47">
        <v>450</v>
      </c>
      <c r="D126" s="47">
        <v>100</v>
      </c>
      <c r="E126" s="47" t="s">
        <v>53</v>
      </c>
      <c r="F126" s="47" t="s">
        <v>53</v>
      </c>
      <c r="G126" s="47">
        <v>0</v>
      </c>
      <c r="H126" s="47" t="s">
        <v>53</v>
      </c>
      <c r="I126" s="47">
        <v>1311</v>
      </c>
      <c r="J126" s="48">
        <f t="shared" si="19"/>
        <v>100</v>
      </c>
    </row>
    <row r="127" spans="1:10" ht="21" customHeight="1" x14ac:dyDescent="0.15">
      <c r="A127" s="122">
        <v>49011748</v>
      </c>
      <c r="B127" s="47">
        <v>0</v>
      </c>
      <c r="C127" s="47">
        <v>460</v>
      </c>
      <c r="D127" s="47">
        <v>100</v>
      </c>
      <c r="E127" s="47" t="s">
        <v>53</v>
      </c>
      <c r="F127" s="47" t="s">
        <v>53</v>
      </c>
      <c r="G127" s="47">
        <v>0</v>
      </c>
      <c r="H127" s="47" t="s">
        <v>53</v>
      </c>
      <c r="I127" s="47">
        <v>1312</v>
      </c>
      <c r="J127" s="48">
        <f t="shared" si="19"/>
        <v>100</v>
      </c>
    </row>
    <row r="128" spans="1:10" ht="21" customHeight="1" x14ac:dyDescent="0.15">
      <c r="A128" s="122">
        <v>49011749</v>
      </c>
      <c r="B128" s="47">
        <v>0</v>
      </c>
      <c r="C128" s="47">
        <v>110</v>
      </c>
      <c r="D128" s="47">
        <v>100</v>
      </c>
      <c r="E128" s="47" t="s">
        <v>53</v>
      </c>
      <c r="F128" s="47" t="s">
        <v>53</v>
      </c>
      <c r="G128" s="47">
        <v>0</v>
      </c>
      <c r="H128" s="47" t="s">
        <v>53</v>
      </c>
      <c r="I128" s="47">
        <v>1313</v>
      </c>
      <c r="J128" s="48">
        <f t="shared" si="19"/>
        <v>100</v>
      </c>
    </row>
    <row r="129" spans="1:10" ht="21" customHeight="1" x14ac:dyDescent="0.15">
      <c r="A129" s="122">
        <v>49011750</v>
      </c>
      <c r="B129" s="47">
        <v>0</v>
      </c>
      <c r="C129" s="47">
        <v>120</v>
      </c>
      <c r="D129" s="47">
        <v>100</v>
      </c>
      <c r="E129" s="47" t="s">
        <v>53</v>
      </c>
      <c r="F129" s="47" t="s">
        <v>53</v>
      </c>
      <c r="G129" s="47">
        <v>0</v>
      </c>
      <c r="H129" s="47" t="s">
        <v>53</v>
      </c>
      <c r="I129" s="47">
        <v>1314</v>
      </c>
      <c r="J129" s="48">
        <f t="shared" si="19"/>
        <v>100</v>
      </c>
    </row>
    <row r="130" spans="1:10" ht="21" customHeight="1" x14ac:dyDescent="0.15">
      <c r="A130" s="122">
        <v>49011751</v>
      </c>
      <c r="B130" s="47">
        <v>0</v>
      </c>
      <c r="C130" s="47">
        <v>320</v>
      </c>
      <c r="D130" s="47">
        <v>100</v>
      </c>
      <c r="E130" s="47" t="s">
        <v>53</v>
      </c>
      <c r="F130" s="47" t="s">
        <v>53</v>
      </c>
      <c r="G130" s="47">
        <v>0</v>
      </c>
      <c r="H130" s="47" t="s">
        <v>53</v>
      </c>
      <c r="I130" s="47">
        <v>1315</v>
      </c>
      <c r="J130" s="48">
        <f t="shared" si="19"/>
        <v>100</v>
      </c>
    </row>
    <row r="131" spans="1:10" ht="21" customHeight="1" x14ac:dyDescent="0.15">
      <c r="A131" s="122">
        <v>49011752</v>
      </c>
      <c r="B131" s="47">
        <v>0</v>
      </c>
      <c r="C131" s="47">
        <v>201</v>
      </c>
      <c r="D131" s="47">
        <v>100</v>
      </c>
      <c r="E131" s="47" t="s">
        <v>53</v>
      </c>
      <c r="F131" s="47" t="s">
        <v>53</v>
      </c>
      <c r="G131" s="47">
        <v>0</v>
      </c>
      <c r="H131" s="47" t="s">
        <v>53</v>
      </c>
      <c r="I131" s="47">
        <v>1316</v>
      </c>
      <c r="J131" s="48">
        <f t="shared" si="19"/>
        <v>100</v>
      </c>
    </row>
    <row r="132" spans="1:10" ht="21" customHeight="1" x14ac:dyDescent="0.15">
      <c r="A132" s="122">
        <v>49011753</v>
      </c>
      <c r="B132" s="47">
        <v>0</v>
      </c>
      <c r="C132" s="47">
        <v>200</v>
      </c>
      <c r="D132" s="47">
        <v>100</v>
      </c>
      <c r="E132" s="47" t="s">
        <v>53</v>
      </c>
      <c r="F132" s="47" t="s">
        <v>53</v>
      </c>
      <c r="G132" s="47">
        <v>0</v>
      </c>
      <c r="H132" s="47" t="s">
        <v>53</v>
      </c>
      <c r="I132" s="47">
        <v>1317</v>
      </c>
      <c r="J132" s="48">
        <f t="shared" si="19"/>
        <v>100</v>
      </c>
    </row>
    <row r="133" spans="1:10" ht="21" customHeight="1" x14ac:dyDescent="0.15">
      <c r="A133" s="122">
        <v>49011754</v>
      </c>
      <c r="B133" s="47">
        <v>0</v>
      </c>
      <c r="C133" s="47">
        <v>411</v>
      </c>
      <c r="D133" s="47">
        <v>100</v>
      </c>
      <c r="E133" s="47" t="s">
        <v>53</v>
      </c>
      <c r="F133" s="47" t="s">
        <v>53</v>
      </c>
      <c r="G133" s="47">
        <v>0</v>
      </c>
      <c r="H133" s="47" t="s">
        <v>53</v>
      </c>
      <c r="I133" s="47">
        <v>1318</v>
      </c>
      <c r="J133" s="48">
        <f t="shared" si="19"/>
        <v>100</v>
      </c>
    </row>
    <row r="134" spans="1:10" ht="21" customHeight="1" x14ac:dyDescent="0.15">
      <c r="A134" s="122">
        <v>49011755</v>
      </c>
      <c r="B134" s="47">
        <v>0</v>
      </c>
      <c r="C134" s="47">
        <v>410</v>
      </c>
      <c r="D134" s="47">
        <v>100</v>
      </c>
      <c r="E134" s="47" t="s">
        <v>53</v>
      </c>
      <c r="F134" s="47" t="s">
        <v>53</v>
      </c>
      <c r="G134" s="47">
        <v>0</v>
      </c>
      <c r="H134" s="47" t="s">
        <v>53</v>
      </c>
      <c r="I134" s="47">
        <v>1319</v>
      </c>
      <c r="J134" s="48">
        <f t="shared" si="19"/>
        <v>100</v>
      </c>
    </row>
    <row r="135" spans="1:10" ht="21" customHeight="1" x14ac:dyDescent="0.15">
      <c r="A135" s="122">
        <v>49011756</v>
      </c>
      <c r="B135" s="47">
        <v>0</v>
      </c>
      <c r="C135" s="47">
        <v>421</v>
      </c>
      <c r="D135" s="47">
        <v>100</v>
      </c>
      <c r="E135" s="47" t="s">
        <v>53</v>
      </c>
      <c r="F135" s="47" t="s">
        <v>53</v>
      </c>
      <c r="G135" s="47">
        <v>0</v>
      </c>
      <c r="H135" s="47" t="s">
        <v>53</v>
      </c>
      <c r="I135" s="47">
        <v>1320</v>
      </c>
      <c r="J135" s="48">
        <f t="shared" si="19"/>
        <v>100</v>
      </c>
    </row>
    <row r="136" spans="1:10" ht="21" customHeight="1" x14ac:dyDescent="0.15">
      <c r="A136" s="122">
        <v>49011757</v>
      </c>
      <c r="B136" s="47">
        <v>0</v>
      </c>
      <c r="C136" s="47">
        <v>420</v>
      </c>
      <c r="D136" s="47">
        <v>100</v>
      </c>
      <c r="E136" s="47" t="s">
        <v>53</v>
      </c>
      <c r="F136" s="47" t="s">
        <v>53</v>
      </c>
      <c r="G136" s="47">
        <v>0</v>
      </c>
      <c r="H136" s="47" t="s">
        <v>53</v>
      </c>
      <c r="I136" s="47">
        <v>1321</v>
      </c>
      <c r="J136" s="48">
        <f t="shared" si="19"/>
        <v>100</v>
      </c>
    </row>
    <row r="137" spans="1:10" ht="21" customHeight="1" x14ac:dyDescent="0.15">
      <c r="A137" s="122">
        <v>49011758</v>
      </c>
      <c r="B137" s="47">
        <v>0</v>
      </c>
      <c r="C137" s="47">
        <v>101</v>
      </c>
      <c r="D137" s="47">
        <v>100</v>
      </c>
      <c r="E137" s="47" t="s">
        <v>53</v>
      </c>
      <c r="F137" s="47" t="s">
        <v>53</v>
      </c>
      <c r="G137" s="47">
        <v>0</v>
      </c>
      <c r="H137" s="47" t="s">
        <v>53</v>
      </c>
      <c r="I137" s="47">
        <v>1322</v>
      </c>
      <c r="J137" s="48">
        <f t="shared" si="19"/>
        <v>100</v>
      </c>
    </row>
    <row r="138" spans="1:10" ht="21" customHeight="1" x14ac:dyDescent="0.15">
      <c r="A138" s="122">
        <v>49011759</v>
      </c>
      <c r="B138" s="47">
        <v>0</v>
      </c>
      <c r="C138" s="47">
        <v>100</v>
      </c>
      <c r="D138" s="47">
        <v>100</v>
      </c>
      <c r="E138" s="47" t="s">
        <v>53</v>
      </c>
      <c r="F138" s="47" t="s">
        <v>53</v>
      </c>
      <c r="G138" s="47">
        <v>0</v>
      </c>
      <c r="H138" s="47" t="s">
        <v>53</v>
      </c>
      <c r="I138" s="47">
        <v>1323</v>
      </c>
      <c r="J138" s="48">
        <f t="shared" si="19"/>
        <v>100</v>
      </c>
    </row>
  </sheetData>
  <autoFilter ref="A1:G1"/>
  <phoneticPr fontId="5"/>
  <conditionalFormatting sqref="K139:K1048576 K1:K2 K4 K7 K9 K11 K13 K16 K72 K76 K78 K80 K82">
    <cfRule type="duplicateValues" dxfId="114" priority="124"/>
  </conditionalFormatting>
  <conditionalFormatting sqref="K3 K5 K8 K10 K12 K14 K17 K73 K77 K79 K81 K83">
    <cfRule type="duplicateValues" dxfId="113" priority="123"/>
  </conditionalFormatting>
  <conditionalFormatting sqref="K6">
    <cfRule type="duplicateValues" dxfId="112" priority="122"/>
  </conditionalFormatting>
  <conditionalFormatting sqref="K15">
    <cfRule type="duplicateValues" dxfId="111" priority="121"/>
  </conditionalFormatting>
  <conditionalFormatting sqref="K74">
    <cfRule type="duplicateValues" dxfId="110" priority="120"/>
  </conditionalFormatting>
  <conditionalFormatting sqref="K75">
    <cfRule type="duplicateValues" dxfId="109" priority="119"/>
  </conditionalFormatting>
  <conditionalFormatting sqref="K84">
    <cfRule type="duplicateValues" dxfId="108" priority="118"/>
  </conditionalFormatting>
  <conditionalFormatting sqref="K18">
    <cfRule type="duplicateValues" dxfId="107" priority="117"/>
  </conditionalFormatting>
  <conditionalFormatting sqref="K19">
    <cfRule type="duplicateValues" dxfId="106" priority="116"/>
  </conditionalFormatting>
  <conditionalFormatting sqref="K20">
    <cfRule type="duplicateValues" dxfId="105" priority="115"/>
  </conditionalFormatting>
  <conditionalFormatting sqref="K21">
    <cfRule type="duplicateValues" dxfId="104" priority="114"/>
  </conditionalFormatting>
  <conditionalFormatting sqref="K22">
    <cfRule type="duplicateValues" dxfId="103" priority="113"/>
  </conditionalFormatting>
  <conditionalFormatting sqref="K23">
    <cfRule type="duplicateValues" dxfId="102" priority="112"/>
  </conditionalFormatting>
  <conditionalFormatting sqref="K24">
    <cfRule type="duplicateValues" dxfId="101" priority="111"/>
  </conditionalFormatting>
  <conditionalFormatting sqref="K25">
    <cfRule type="duplicateValues" dxfId="100" priority="110"/>
  </conditionalFormatting>
  <conditionalFormatting sqref="K26">
    <cfRule type="duplicateValues" dxfId="99" priority="109"/>
  </conditionalFormatting>
  <conditionalFormatting sqref="K27">
    <cfRule type="duplicateValues" dxfId="98" priority="108"/>
  </conditionalFormatting>
  <conditionalFormatting sqref="K28">
    <cfRule type="duplicateValues" dxfId="97" priority="107"/>
  </conditionalFormatting>
  <conditionalFormatting sqref="K29">
    <cfRule type="duplicateValues" dxfId="96" priority="106"/>
  </conditionalFormatting>
  <conditionalFormatting sqref="K30">
    <cfRule type="duplicateValues" dxfId="95" priority="105"/>
  </conditionalFormatting>
  <conditionalFormatting sqref="K31">
    <cfRule type="duplicateValues" dxfId="94" priority="104"/>
  </conditionalFormatting>
  <conditionalFormatting sqref="K32">
    <cfRule type="duplicateValues" dxfId="93" priority="103"/>
  </conditionalFormatting>
  <conditionalFormatting sqref="K33">
    <cfRule type="duplicateValues" dxfId="92" priority="102"/>
  </conditionalFormatting>
  <conditionalFormatting sqref="K34">
    <cfRule type="duplicateValues" dxfId="91" priority="101"/>
  </conditionalFormatting>
  <conditionalFormatting sqref="K35">
    <cfRule type="duplicateValues" dxfId="90" priority="100"/>
  </conditionalFormatting>
  <conditionalFormatting sqref="K36">
    <cfRule type="duplicateValues" dxfId="89" priority="99"/>
  </conditionalFormatting>
  <conditionalFormatting sqref="K37">
    <cfRule type="duplicateValues" dxfId="88" priority="98"/>
  </conditionalFormatting>
  <conditionalFormatting sqref="K38">
    <cfRule type="duplicateValues" dxfId="87" priority="97"/>
  </conditionalFormatting>
  <conditionalFormatting sqref="K39">
    <cfRule type="duplicateValues" dxfId="86" priority="96"/>
  </conditionalFormatting>
  <conditionalFormatting sqref="K40">
    <cfRule type="duplicateValues" dxfId="85" priority="95"/>
  </conditionalFormatting>
  <conditionalFormatting sqref="K41">
    <cfRule type="duplicateValues" dxfId="84" priority="94"/>
  </conditionalFormatting>
  <conditionalFormatting sqref="K42">
    <cfRule type="duplicateValues" dxfId="83" priority="93"/>
  </conditionalFormatting>
  <conditionalFormatting sqref="K43">
    <cfRule type="duplicateValues" dxfId="82" priority="92"/>
  </conditionalFormatting>
  <conditionalFormatting sqref="K44">
    <cfRule type="duplicateValues" dxfId="81" priority="91"/>
  </conditionalFormatting>
  <conditionalFormatting sqref="K45">
    <cfRule type="duplicateValues" dxfId="80" priority="90"/>
  </conditionalFormatting>
  <conditionalFormatting sqref="K46">
    <cfRule type="duplicateValues" dxfId="79" priority="89"/>
  </conditionalFormatting>
  <conditionalFormatting sqref="K47">
    <cfRule type="duplicateValues" dxfId="78" priority="88"/>
  </conditionalFormatting>
  <conditionalFormatting sqref="K48">
    <cfRule type="duplicateValues" dxfId="77" priority="87"/>
  </conditionalFormatting>
  <conditionalFormatting sqref="K49">
    <cfRule type="duplicateValues" dxfId="76" priority="86"/>
  </conditionalFormatting>
  <conditionalFormatting sqref="K50">
    <cfRule type="duplicateValues" dxfId="75" priority="85"/>
  </conditionalFormatting>
  <conditionalFormatting sqref="K51">
    <cfRule type="duplicateValues" dxfId="74" priority="84"/>
  </conditionalFormatting>
  <conditionalFormatting sqref="K52">
    <cfRule type="duplicateValues" dxfId="73" priority="83"/>
  </conditionalFormatting>
  <conditionalFormatting sqref="K53">
    <cfRule type="duplicateValues" dxfId="72" priority="82"/>
  </conditionalFormatting>
  <conditionalFormatting sqref="K54">
    <cfRule type="duplicateValues" dxfId="71" priority="81"/>
  </conditionalFormatting>
  <conditionalFormatting sqref="K55">
    <cfRule type="duplicateValues" dxfId="70" priority="80"/>
  </conditionalFormatting>
  <conditionalFormatting sqref="K56">
    <cfRule type="duplicateValues" dxfId="69" priority="79"/>
  </conditionalFormatting>
  <conditionalFormatting sqref="K57">
    <cfRule type="duplicateValues" dxfId="68" priority="78"/>
  </conditionalFormatting>
  <conditionalFormatting sqref="K58">
    <cfRule type="duplicateValues" dxfId="67" priority="77"/>
  </conditionalFormatting>
  <conditionalFormatting sqref="K59">
    <cfRule type="duplicateValues" dxfId="66" priority="76"/>
  </conditionalFormatting>
  <conditionalFormatting sqref="K60">
    <cfRule type="duplicateValues" dxfId="65" priority="75"/>
  </conditionalFormatting>
  <conditionalFormatting sqref="K61">
    <cfRule type="duplicateValues" dxfId="64" priority="74"/>
  </conditionalFormatting>
  <conditionalFormatting sqref="K62">
    <cfRule type="duplicateValues" dxfId="63" priority="73"/>
  </conditionalFormatting>
  <conditionalFormatting sqref="K63">
    <cfRule type="duplicateValues" dxfId="62" priority="72"/>
  </conditionalFormatting>
  <conditionalFormatting sqref="K64">
    <cfRule type="duplicateValues" dxfId="61" priority="71"/>
  </conditionalFormatting>
  <conditionalFormatting sqref="K65">
    <cfRule type="duplicateValues" dxfId="60" priority="70"/>
  </conditionalFormatting>
  <conditionalFormatting sqref="K66">
    <cfRule type="duplicateValues" dxfId="59" priority="69"/>
  </conditionalFormatting>
  <conditionalFormatting sqref="K67">
    <cfRule type="duplicateValues" dxfId="58" priority="68"/>
  </conditionalFormatting>
  <conditionalFormatting sqref="K68">
    <cfRule type="duplicateValues" dxfId="57" priority="67"/>
  </conditionalFormatting>
  <conditionalFormatting sqref="K69">
    <cfRule type="duplicateValues" dxfId="56" priority="66"/>
  </conditionalFormatting>
  <conditionalFormatting sqref="K70">
    <cfRule type="duplicateValues" dxfId="55" priority="65"/>
  </conditionalFormatting>
  <conditionalFormatting sqref="K71">
    <cfRule type="duplicateValues" dxfId="54" priority="64"/>
  </conditionalFormatting>
  <conditionalFormatting sqref="K85">
    <cfRule type="duplicateValues" dxfId="53" priority="63"/>
  </conditionalFormatting>
  <conditionalFormatting sqref="K86">
    <cfRule type="duplicateValues" dxfId="52" priority="62"/>
  </conditionalFormatting>
  <conditionalFormatting sqref="K87">
    <cfRule type="duplicateValues" dxfId="51" priority="61"/>
  </conditionalFormatting>
  <conditionalFormatting sqref="K88">
    <cfRule type="duplicateValues" dxfId="50" priority="60"/>
  </conditionalFormatting>
  <conditionalFormatting sqref="K89">
    <cfRule type="duplicateValues" dxfId="49" priority="59"/>
  </conditionalFormatting>
  <conditionalFormatting sqref="K90">
    <cfRule type="duplicateValues" dxfId="48" priority="58"/>
  </conditionalFormatting>
  <conditionalFormatting sqref="K91">
    <cfRule type="duplicateValues" dxfId="47" priority="57"/>
  </conditionalFormatting>
  <conditionalFormatting sqref="K92">
    <cfRule type="duplicateValues" dxfId="46" priority="56"/>
  </conditionalFormatting>
  <conditionalFormatting sqref="K93">
    <cfRule type="duplicateValues" dxfId="45" priority="55"/>
  </conditionalFormatting>
  <conditionalFormatting sqref="K94">
    <cfRule type="duplicateValues" dxfId="44" priority="54"/>
  </conditionalFormatting>
  <conditionalFormatting sqref="K95">
    <cfRule type="duplicateValues" dxfId="43" priority="53"/>
  </conditionalFormatting>
  <conditionalFormatting sqref="K96">
    <cfRule type="duplicateValues" dxfId="42" priority="52"/>
  </conditionalFormatting>
  <conditionalFormatting sqref="K97">
    <cfRule type="duplicateValues" dxfId="41" priority="51"/>
  </conditionalFormatting>
  <conditionalFormatting sqref="K98">
    <cfRule type="duplicateValues" dxfId="40" priority="50"/>
  </conditionalFormatting>
  <conditionalFormatting sqref="K99">
    <cfRule type="duplicateValues" dxfId="39" priority="49"/>
  </conditionalFormatting>
  <conditionalFormatting sqref="K100">
    <cfRule type="duplicateValues" dxfId="38" priority="48"/>
  </conditionalFormatting>
  <conditionalFormatting sqref="K101">
    <cfRule type="duplicateValues" dxfId="37" priority="47"/>
  </conditionalFormatting>
  <conditionalFormatting sqref="K102">
    <cfRule type="duplicateValues" dxfId="36" priority="46"/>
  </conditionalFormatting>
  <conditionalFormatting sqref="K103">
    <cfRule type="duplicateValues" dxfId="35" priority="45"/>
  </conditionalFormatting>
  <conditionalFormatting sqref="K104">
    <cfRule type="duplicateValues" dxfId="34" priority="44"/>
  </conditionalFormatting>
  <conditionalFormatting sqref="K105">
    <cfRule type="duplicateValues" dxfId="33" priority="43"/>
  </conditionalFormatting>
  <conditionalFormatting sqref="K106">
    <cfRule type="duplicateValues" dxfId="32" priority="42"/>
  </conditionalFormatting>
  <conditionalFormatting sqref="K107">
    <cfRule type="duplicateValues" dxfId="31" priority="41"/>
  </conditionalFormatting>
  <conditionalFormatting sqref="K108">
    <cfRule type="duplicateValues" dxfId="30" priority="40"/>
  </conditionalFormatting>
  <conditionalFormatting sqref="K109">
    <cfRule type="duplicateValues" dxfId="29" priority="39"/>
  </conditionalFormatting>
  <conditionalFormatting sqref="K110">
    <cfRule type="duplicateValues" dxfId="28" priority="38"/>
  </conditionalFormatting>
  <conditionalFormatting sqref="K111">
    <cfRule type="duplicateValues" dxfId="27" priority="37"/>
  </conditionalFormatting>
  <conditionalFormatting sqref="K112">
    <cfRule type="duplicateValues" dxfId="26" priority="36"/>
  </conditionalFormatting>
  <conditionalFormatting sqref="K113">
    <cfRule type="duplicateValues" dxfId="25" priority="35"/>
  </conditionalFormatting>
  <conditionalFormatting sqref="K114">
    <cfRule type="duplicateValues" dxfId="24" priority="34"/>
  </conditionalFormatting>
  <conditionalFormatting sqref="K115">
    <cfRule type="duplicateValues" dxfId="23" priority="33"/>
  </conditionalFormatting>
  <conditionalFormatting sqref="K116">
    <cfRule type="duplicateValues" dxfId="22" priority="32"/>
  </conditionalFormatting>
  <conditionalFormatting sqref="K117">
    <cfRule type="duplicateValues" dxfId="21" priority="31"/>
  </conditionalFormatting>
  <conditionalFormatting sqref="K118">
    <cfRule type="duplicateValues" dxfId="20" priority="30"/>
  </conditionalFormatting>
  <conditionalFormatting sqref="K119">
    <cfRule type="duplicateValues" dxfId="19" priority="29"/>
  </conditionalFormatting>
  <conditionalFormatting sqref="K120">
    <cfRule type="duplicateValues" dxfId="18" priority="28"/>
  </conditionalFormatting>
  <conditionalFormatting sqref="K121">
    <cfRule type="duplicateValues" dxfId="17" priority="27"/>
  </conditionalFormatting>
  <conditionalFormatting sqref="K122">
    <cfRule type="duplicateValues" dxfId="16" priority="26"/>
  </conditionalFormatting>
  <conditionalFormatting sqref="K123">
    <cfRule type="duplicateValues" dxfId="15" priority="25"/>
  </conditionalFormatting>
  <conditionalFormatting sqref="K124">
    <cfRule type="duplicateValues" dxfId="14" priority="24"/>
  </conditionalFormatting>
  <conditionalFormatting sqref="K125">
    <cfRule type="duplicateValues" dxfId="13" priority="23"/>
  </conditionalFormatting>
  <conditionalFormatting sqref="K126">
    <cfRule type="duplicateValues" dxfId="12" priority="22"/>
  </conditionalFormatting>
  <conditionalFormatting sqref="K127">
    <cfRule type="duplicateValues" dxfId="11" priority="21"/>
  </conditionalFormatting>
  <conditionalFormatting sqref="K128">
    <cfRule type="duplicateValues" dxfId="10" priority="20"/>
  </conditionalFormatting>
  <conditionalFormatting sqref="K129">
    <cfRule type="duplicateValues" dxfId="9" priority="19"/>
  </conditionalFormatting>
  <conditionalFormatting sqref="K130">
    <cfRule type="duplicateValues" dxfId="8" priority="18"/>
  </conditionalFormatting>
  <conditionalFormatting sqref="K131">
    <cfRule type="duplicateValues" dxfId="7" priority="17"/>
  </conditionalFormatting>
  <conditionalFormatting sqref="K132">
    <cfRule type="duplicateValues" dxfId="6" priority="16"/>
  </conditionalFormatting>
  <conditionalFormatting sqref="K133">
    <cfRule type="duplicateValues" dxfId="5" priority="15"/>
  </conditionalFormatting>
  <conditionalFormatting sqref="K134">
    <cfRule type="duplicateValues" dxfId="4" priority="14"/>
  </conditionalFormatting>
  <conditionalFormatting sqref="K135">
    <cfRule type="duplicateValues" dxfId="3" priority="13"/>
  </conditionalFormatting>
  <conditionalFormatting sqref="K136">
    <cfRule type="duplicateValues" dxfId="2" priority="12"/>
  </conditionalFormatting>
  <conditionalFormatting sqref="K137">
    <cfRule type="duplicateValues" dxfId="1" priority="11"/>
  </conditionalFormatting>
  <conditionalFormatting sqref="K138">
    <cfRule type="duplicateValues" dxfId="0" priority="10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12" sqref="G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>
        <v>49011</v>
      </c>
      <c r="B2" s="56">
        <v>1</v>
      </c>
      <c r="C2" s="70" t="str">
        <f t="shared" ref="C2:C11" si="0">A2&amp; "_"&amp;B2</f>
        <v>49011_1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356</v>
      </c>
      <c r="G2" s="56">
        <v>338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130</v>
      </c>
      <c r="Q2" s="56" t="s">
        <v>170</v>
      </c>
      <c r="R2" s="56" t="s">
        <v>171</v>
      </c>
    </row>
    <row r="3" spans="1:18" x14ac:dyDescent="0.15">
      <c r="A3" s="56">
        <v>49011</v>
      </c>
      <c r="B3" s="56">
        <v>1</v>
      </c>
      <c r="C3" s="70" t="str">
        <f t="shared" ref="C3" si="1">A3&amp; "_"&amp;B3</f>
        <v>49011_1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356</v>
      </c>
      <c r="G3" s="56">
        <v>339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70</v>
      </c>
      <c r="Q3" s="56" t="s">
        <v>170</v>
      </c>
      <c r="R3" s="56" t="s">
        <v>171</v>
      </c>
    </row>
    <row r="4" spans="1:18" x14ac:dyDescent="0.15">
      <c r="A4" s="56">
        <v>49011</v>
      </c>
      <c r="B4" s="56">
        <v>1</v>
      </c>
      <c r="C4" s="70" t="str">
        <f t="shared" si="0"/>
        <v>49011_1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356</v>
      </c>
      <c r="G4" s="56">
        <v>607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120</v>
      </c>
      <c r="Q4" s="56" t="s">
        <v>170</v>
      </c>
      <c r="R4" s="56" t="s">
        <v>171</v>
      </c>
    </row>
    <row r="5" spans="1:18" x14ac:dyDescent="0.15">
      <c r="A5" s="56">
        <v>49011</v>
      </c>
      <c r="B5" s="56">
        <v>1</v>
      </c>
      <c r="C5" s="70" t="str">
        <f t="shared" si="0"/>
        <v>49011_1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356</v>
      </c>
      <c r="G5" s="56">
        <v>608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120</v>
      </c>
      <c r="Q5" s="56" t="s">
        <v>170</v>
      </c>
      <c r="R5" s="56" t="s">
        <v>171</v>
      </c>
    </row>
    <row r="6" spans="1:18" x14ac:dyDescent="0.15">
      <c r="A6" s="56">
        <v>49011</v>
      </c>
      <c r="B6" s="56">
        <v>1</v>
      </c>
      <c r="C6" s="70" t="str">
        <f t="shared" si="0"/>
        <v>49011_1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356</v>
      </c>
      <c r="G6" s="56">
        <v>609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120</v>
      </c>
      <c r="Q6" s="56" t="s">
        <v>170</v>
      </c>
      <c r="R6" s="56" t="s">
        <v>171</v>
      </c>
    </row>
    <row r="7" spans="1:18" x14ac:dyDescent="0.15">
      <c r="A7" s="56">
        <v>49011</v>
      </c>
      <c r="B7" s="56">
        <v>1</v>
      </c>
      <c r="C7" s="70" t="str">
        <f t="shared" si="0"/>
        <v>49011_1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356</v>
      </c>
      <c r="G7" s="56">
        <v>125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30</v>
      </c>
      <c r="Q7" s="56" t="s">
        <v>170</v>
      </c>
      <c r="R7" s="56" t="s">
        <v>171</v>
      </c>
    </row>
    <row r="8" spans="1:18" x14ac:dyDescent="0.15">
      <c r="A8" s="56">
        <v>49011</v>
      </c>
      <c r="B8" s="56">
        <v>1</v>
      </c>
      <c r="C8" s="70" t="str">
        <f t="shared" si="0"/>
        <v>49011_1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356</v>
      </c>
      <c r="G8" s="56">
        <v>1300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200</v>
      </c>
      <c r="Q8" s="56" t="s">
        <v>170</v>
      </c>
      <c r="R8" s="56" t="s">
        <v>171</v>
      </c>
    </row>
    <row r="9" spans="1:18" x14ac:dyDescent="0.15">
      <c r="A9" s="56">
        <v>49011</v>
      </c>
      <c r="B9" s="56">
        <v>1</v>
      </c>
      <c r="C9" s="70" t="str">
        <f t="shared" si="0"/>
        <v>49011_1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356</v>
      </c>
      <c r="G9" s="56">
        <v>350</v>
      </c>
      <c r="H9" s="56">
        <v>1</v>
      </c>
      <c r="I9" s="56">
        <v>10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30</v>
      </c>
      <c r="Q9" s="56" t="s">
        <v>170</v>
      </c>
      <c r="R9" s="56" t="s">
        <v>171</v>
      </c>
    </row>
    <row r="10" spans="1:18" x14ac:dyDescent="0.15">
      <c r="A10" s="56">
        <v>49011</v>
      </c>
      <c r="B10" s="56">
        <v>1</v>
      </c>
      <c r="C10" s="70" t="str">
        <f t="shared" si="0"/>
        <v>49011_1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356</v>
      </c>
      <c r="G10" s="56">
        <v>351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10</v>
      </c>
      <c r="Q10" s="56" t="s">
        <v>170</v>
      </c>
      <c r="R10" s="56" t="s">
        <v>171</v>
      </c>
    </row>
    <row r="11" spans="1:18" x14ac:dyDescent="0.15">
      <c r="A11" s="56">
        <v>49011</v>
      </c>
      <c r="B11" s="56">
        <v>1</v>
      </c>
      <c r="C11" s="70" t="str">
        <f t="shared" si="0"/>
        <v>49011_1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169</v>
      </c>
      <c r="G11" s="56">
        <v>63000</v>
      </c>
      <c r="H11" s="56" t="s">
        <v>358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170</v>
      </c>
      <c r="Q11" s="56" t="s">
        <v>170</v>
      </c>
      <c r="R11" s="56" t="s">
        <v>171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J24" sqref="J24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90" t="s">
        <v>196</v>
      </c>
      <c r="J1" s="78" t="s">
        <v>127</v>
      </c>
      <c r="K1" s="77" t="s">
        <v>187</v>
      </c>
      <c r="L1" s="91" t="s">
        <v>186</v>
      </c>
      <c r="M1" s="79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189</v>
      </c>
      <c r="B1" s="72" t="s">
        <v>151</v>
      </c>
      <c r="C1" s="76" t="s">
        <v>191</v>
      </c>
      <c r="D1" s="76" t="s">
        <v>33</v>
      </c>
      <c r="E1" s="72" t="s">
        <v>192</v>
      </c>
      <c r="F1" s="76" t="s">
        <v>18</v>
      </c>
      <c r="G1" s="76" t="s">
        <v>33</v>
      </c>
      <c r="H1" s="72" t="s">
        <v>194</v>
      </c>
      <c r="I1" s="88" t="s">
        <v>195</v>
      </c>
      <c r="J1" s="90" t="s">
        <v>196</v>
      </c>
      <c r="K1" s="78" t="s">
        <v>127</v>
      </c>
      <c r="L1" s="77" t="s">
        <v>187</v>
      </c>
      <c r="M1" s="91" t="s">
        <v>186</v>
      </c>
      <c r="N1" s="79" t="s">
        <v>197</v>
      </c>
    </row>
    <row r="2" spans="1:14" ht="56" x14ac:dyDescent="0.15">
      <c r="A2" s="80" t="s">
        <v>198</v>
      </c>
      <c r="B2" s="81">
        <f>floors!$C$2</f>
        <v>49011</v>
      </c>
      <c r="C2" s="82" t="str">
        <f ca="1">VLOOKUP($B2,OFFSET([2]quests!$A$1,0,0,COUNTA([2]quests!$A:$A),MATCH(C$1,[2]quests!$1:$1,0)-MATCH($B$1,[2]quests!$1:$1,0)+1),MATCH(C$1,[2]quests!$1:$1,0)-MATCH($B$1,[2]quests!$1:$1,0)+1,FALSE)</f>
        <v>秘密のイベント潜入作戦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コラボ降臨9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コラボ降臨9</v>
      </c>
      <c r="H2" s="84">
        <v>1</v>
      </c>
      <c r="I2" s="89">
        <f t="shared" ref="I2:I9" si="0">ROW()-1</f>
        <v>1</v>
      </c>
      <c r="J2" s="85" t="str">
        <f t="shared" ref="J2:J9" si="1">B2&amp;TEXT(I2,"00")</f>
        <v>4901101</v>
      </c>
      <c r="K2" s="83" t="s">
        <v>199</v>
      </c>
      <c r="L2" s="86" t="s">
        <v>200</v>
      </c>
      <c r="M2" s="125" t="s">
        <v>322</v>
      </c>
      <c r="N2" s="56" t="s">
        <v>201</v>
      </c>
    </row>
    <row r="3" spans="1:14" ht="56" x14ac:dyDescent="0.15">
      <c r="A3" s="80" t="s">
        <v>198</v>
      </c>
      <c r="B3" s="81">
        <f>floors!$C$2</f>
        <v>49011</v>
      </c>
      <c r="C3" s="82" t="str">
        <f ca="1">VLOOKUP($B3,OFFSET([2]quests!$A$1,0,0,COUNTA([2]quests!$A:$A),MATCH(C$1,[2]quests!$1:$1,0)-MATCH($B$1,[2]quests!$1:$1,0)+1),MATCH(C$1,[2]quests!$1:$1,0)-MATCH($B$1,[2]quests!$1:$1,0)+1,FALSE)</f>
        <v>秘密のイベント潜入作戦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コラボ降臨9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コラボ降臨9</v>
      </c>
      <c r="H3" s="84">
        <v>2</v>
      </c>
      <c r="I3" s="89">
        <f t="shared" si="0"/>
        <v>2</v>
      </c>
      <c r="J3" s="85" t="str">
        <f t="shared" si="1"/>
        <v>4901102</v>
      </c>
      <c r="K3" s="83" t="s">
        <v>128</v>
      </c>
      <c r="L3" s="86" t="s">
        <v>200</v>
      </c>
      <c r="M3" s="125" t="s">
        <v>323</v>
      </c>
      <c r="N3" s="56" t="s">
        <v>201</v>
      </c>
    </row>
    <row r="4" spans="1:14" ht="70" x14ac:dyDescent="0.15">
      <c r="A4" s="80" t="s">
        <v>198</v>
      </c>
      <c r="B4" s="81">
        <f>floors!$C$2</f>
        <v>49011</v>
      </c>
      <c r="C4" s="82" t="str">
        <f ca="1">VLOOKUP($B4,OFFSET([2]quests!$A$1,0,0,COUNTA([2]quests!$A:$A),MATCH(C$1,[2]quests!$1:$1,0)-MATCH($B$1,[2]quests!$1:$1,0)+1),MATCH(C$1,[2]quests!$1:$1,0)-MATCH($B$1,[2]quests!$1:$1,0)+1,FALSE)</f>
        <v>秘密のイベント潜入作戦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コラボ降臨9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コラボ降臨9</v>
      </c>
      <c r="H4" s="84">
        <v>3</v>
      </c>
      <c r="I4" s="89">
        <f t="shared" si="0"/>
        <v>3</v>
      </c>
      <c r="J4" s="85" t="str">
        <f t="shared" si="1"/>
        <v>4901103</v>
      </c>
      <c r="K4" s="83" t="s">
        <v>128</v>
      </c>
      <c r="L4" s="86" t="s">
        <v>200</v>
      </c>
      <c r="M4" s="125" t="s">
        <v>324</v>
      </c>
      <c r="N4" s="56" t="s">
        <v>201</v>
      </c>
    </row>
    <row r="5" spans="1:14" ht="56" x14ac:dyDescent="0.15">
      <c r="A5" s="80" t="s">
        <v>198</v>
      </c>
      <c r="B5" s="81">
        <f>floors!$C$2</f>
        <v>49011</v>
      </c>
      <c r="C5" s="82" t="str">
        <f ca="1">VLOOKUP($B5,OFFSET([2]quests!$A$1,0,0,COUNTA([2]quests!$A:$A),MATCH(C$1,[2]quests!$1:$1,0)-MATCH($B$1,[2]quests!$1:$1,0)+1),MATCH(C$1,[2]quests!$1:$1,0)-MATCH($B$1,[2]quests!$1:$1,0)+1,FALSE)</f>
        <v>秘密のイベント潜入作戦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コラボ降臨9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コラボ降臨9</v>
      </c>
      <c r="H5" s="84">
        <v>3</v>
      </c>
      <c r="I5" s="89">
        <f t="shared" si="0"/>
        <v>4</v>
      </c>
      <c r="J5" s="85" t="str">
        <f t="shared" si="1"/>
        <v>4901104</v>
      </c>
      <c r="K5" s="83" t="s">
        <v>128</v>
      </c>
      <c r="L5" s="86" t="s">
        <v>200</v>
      </c>
      <c r="M5" s="125" t="s">
        <v>325</v>
      </c>
      <c r="N5" s="56" t="s">
        <v>201</v>
      </c>
    </row>
    <row r="6" spans="1:14" ht="56" x14ac:dyDescent="0.15">
      <c r="A6" s="80" t="s">
        <v>198</v>
      </c>
      <c r="B6" s="81">
        <f>floors!$C$2</f>
        <v>49011</v>
      </c>
      <c r="C6" s="82" t="str">
        <f ca="1">VLOOKUP($B6,OFFSET([2]quests!$A$1,0,0,COUNTA([2]quests!$A:$A),MATCH(C$1,[2]quests!$1:$1,0)-MATCH($B$1,[2]quests!$1:$1,0)+1),MATCH(C$1,[2]quests!$1:$1,0)-MATCH($B$1,[2]quests!$1:$1,0)+1,FALSE)</f>
        <v>秘密のイベント潜入作戦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コラボ降臨9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コラボ降臨9</v>
      </c>
      <c r="H6" s="84">
        <v>3</v>
      </c>
      <c r="I6" s="89">
        <f t="shared" si="0"/>
        <v>5</v>
      </c>
      <c r="J6" s="85" t="str">
        <f t="shared" si="1"/>
        <v>4901105</v>
      </c>
      <c r="K6" s="83" t="s">
        <v>128</v>
      </c>
      <c r="L6" s="86" t="s">
        <v>200</v>
      </c>
      <c r="M6" s="125" t="s">
        <v>326</v>
      </c>
      <c r="N6" s="56" t="s">
        <v>201</v>
      </c>
    </row>
    <row r="7" spans="1:14" ht="42" x14ac:dyDescent="0.15">
      <c r="A7" s="80" t="s">
        <v>202</v>
      </c>
      <c r="B7" s="81">
        <f>floors!$C$2</f>
        <v>49011</v>
      </c>
      <c r="C7" s="82" t="str">
        <f ca="1">VLOOKUP($B7,OFFSET([2]quests!$A$1,0,0,COUNTA([2]quests!$A:$A),MATCH(C$1,[2]quests!$1:$1,0)-MATCH($B$1,[2]quests!$1:$1,0)+1),MATCH(C$1,[2]quests!$1:$1,0)-MATCH($B$1,[2]quests!$1:$1,0)+1,FALSE)</f>
        <v>秘密のイベント潜入作戦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コラボ降臨9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コラボ降臨9</v>
      </c>
      <c r="H7" s="84">
        <v>0</v>
      </c>
      <c r="I7" s="89">
        <f t="shared" si="0"/>
        <v>6</v>
      </c>
      <c r="J7" s="85" t="str">
        <f t="shared" si="1"/>
        <v>4901106</v>
      </c>
      <c r="K7" s="83" t="s">
        <v>128</v>
      </c>
      <c r="L7" s="86" t="s">
        <v>327</v>
      </c>
      <c r="M7" s="125" t="s">
        <v>328</v>
      </c>
      <c r="N7" s="56" t="s">
        <v>201</v>
      </c>
    </row>
    <row r="8" spans="1:14" ht="56" x14ac:dyDescent="0.15">
      <c r="A8" s="80" t="s">
        <v>202</v>
      </c>
      <c r="B8" s="81">
        <f>floors!$C$2</f>
        <v>49011</v>
      </c>
      <c r="C8" s="82" t="str">
        <f ca="1">VLOOKUP($B8,OFFSET([2]quests!$A$1,0,0,COUNTA([2]quests!$A:$A),MATCH(C$1,[2]quests!$1:$1,0)-MATCH($B$1,[2]quests!$1:$1,0)+1),MATCH(C$1,[2]quests!$1:$1,0)-MATCH($B$1,[2]quests!$1:$1,0)+1,FALSE)</f>
        <v>秘密のイベント潜入作戦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コラボ降臨9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コラボ降臨9</v>
      </c>
      <c r="H8" s="84">
        <v>0</v>
      </c>
      <c r="I8" s="89">
        <f t="shared" si="0"/>
        <v>7</v>
      </c>
      <c r="J8" s="85" t="str">
        <f t="shared" si="1"/>
        <v>4901107</v>
      </c>
      <c r="K8" s="83" t="s">
        <v>128</v>
      </c>
      <c r="L8" s="86" t="s">
        <v>329</v>
      </c>
      <c r="M8" s="125" t="s">
        <v>330</v>
      </c>
      <c r="N8" s="56" t="s">
        <v>201</v>
      </c>
    </row>
    <row r="9" spans="1:14" ht="42" x14ac:dyDescent="0.15">
      <c r="A9" s="80" t="s">
        <v>202</v>
      </c>
      <c r="B9" s="81">
        <f>floors!$C$2</f>
        <v>49011</v>
      </c>
      <c r="C9" s="82" t="str">
        <f ca="1">VLOOKUP($B9,OFFSET([2]quests!$A$1,0,0,COUNTA([2]quests!$A:$A),MATCH(C$1,[2]quests!$1:$1,0)-MATCH($B$1,[2]quests!$1:$1,0)+1),MATCH(C$1,[2]quests!$1:$1,0)-MATCH($B$1,[2]quests!$1:$1,0)+1,FALSE)</f>
        <v>秘密のイベント潜入作戦</v>
      </c>
      <c r="D9" s="82" t="str">
        <f ca="1">VLOOKUP($B9,OFFSET([2]quests!$A$1,0,0,COUNTA([2]quests!$A:$A),MATCH(D$1,[2]quests!$1:$1,0)-MATCH($B$1,[2]quests!$1:$1,0)+1),MATCH(D$1,[2]quests!$1:$1,0)-MATCH($B$1,[2]quests!$1:$1,0)+1,FALSE)</f>
        <v>コラボ降臨9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コラボ降臨9</v>
      </c>
      <c r="H9" s="84">
        <v>0</v>
      </c>
      <c r="I9" s="89">
        <f t="shared" si="0"/>
        <v>8</v>
      </c>
      <c r="J9" s="85" t="str">
        <f t="shared" si="1"/>
        <v>4901108</v>
      </c>
      <c r="K9" s="83" t="s">
        <v>128</v>
      </c>
      <c r="L9" s="86" t="s">
        <v>331</v>
      </c>
      <c r="M9" s="125" t="s">
        <v>332</v>
      </c>
      <c r="N9" s="56" t="s">
        <v>201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8"/>
  <sheetViews>
    <sheetView showGridLines="0" topLeftCell="G1" workbookViewId="0">
      <pane ySplit="1" topLeftCell="A2" activePane="bottomLeft" state="frozen"/>
      <selection pane="bottomLeft" activeCell="K9" sqref="K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214</v>
      </c>
      <c r="B1" s="94" t="s">
        <v>215</v>
      </c>
      <c r="C1" s="76" t="s">
        <v>216</v>
      </c>
      <c r="D1" s="76" t="s">
        <v>33</v>
      </c>
      <c r="E1" s="94" t="s">
        <v>217</v>
      </c>
      <c r="F1" s="76" t="s">
        <v>218</v>
      </c>
      <c r="G1" s="76" t="s">
        <v>33</v>
      </c>
      <c r="H1" s="94" t="s">
        <v>219</v>
      </c>
      <c r="I1" s="94" t="s">
        <v>220</v>
      </c>
      <c r="J1" s="94" t="s">
        <v>221</v>
      </c>
      <c r="K1" s="72" t="s">
        <v>222</v>
      </c>
      <c r="L1" s="72" t="s">
        <v>223</v>
      </c>
      <c r="M1" s="72" t="s">
        <v>157</v>
      </c>
      <c r="N1" s="76" t="s">
        <v>16</v>
      </c>
      <c r="O1" s="72" t="s">
        <v>224</v>
      </c>
      <c r="P1" s="72" t="s">
        <v>57</v>
      </c>
      <c r="Q1" s="72" t="s">
        <v>225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226</v>
      </c>
      <c r="X1" s="72" t="s">
        <v>227</v>
      </c>
    </row>
    <row r="2" spans="1:24" x14ac:dyDescent="0.15">
      <c r="A2" s="95" t="str">
        <f t="shared" ref="A2:A8" si="0">B2&amp;"_"&amp;E2&amp;"_"&amp;H2&amp;"_"&amp;I2&amp;"_"&amp;J2</f>
        <v>49011_1_everyone_full_member_1</v>
      </c>
      <c r="B2" s="81">
        <v>49011</v>
      </c>
      <c r="C2" s="82" t="str">
        <f ca="1">VLOOKUP($B2,OFFSET([2]quests!$A$1,0,0,COUNTA([2]quests!$A:$A),MATCH(C$1,[2]quests!$1:$1,0)-MATCH($B$1,[2]quests!$1:$1,0)+1),MATCH(C$1,[2]quests!$1:$1,0)-MATCH($B$1,[2]quests!$1:$1,0)+1,FALSE)</f>
        <v>秘密のイベント潜入作戦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コラボ降臨9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コラボ降臨9</v>
      </c>
      <c r="H2" s="84" t="s">
        <v>228</v>
      </c>
      <c r="I2" s="83" t="s">
        <v>271</v>
      </c>
      <c r="J2" s="83">
        <v>1</v>
      </c>
      <c r="K2" s="83">
        <v>1000</v>
      </c>
      <c r="L2" s="83" t="s">
        <v>229</v>
      </c>
      <c r="M2" s="83">
        <v>1300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230</v>
      </c>
      <c r="X2" s="98" t="s">
        <v>231</v>
      </c>
    </row>
    <row r="3" spans="1:24" x14ac:dyDescent="0.15">
      <c r="A3" s="95" t="str">
        <f t="shared" si="0"/>
        <v>49011_1_everyone_no_continue_1</v>
      </c>
      <c r="B3" s="81">
        <v>49011</v>
      </c>
      <c r="C3" s="82" t="str">
        <f ca="1">VLOOKUP($B3,OFFSET([2]quests!$A$1,0,0,COUNTA([2]quests!$A:$A),MATCH(C$1,[2]quests!$1:$1,0)-MATCH($B$1,[2]quests!$1:$1,0)+1),MATCH(C$1,[2]quests!$1:$1,0)-MATCH($B$1,[2]quests!$1:$1,0)+1,FALSE)</f>
        <v>秘密のイベント潜入作戦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コラボ降臨9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コラボ降臨9</v>
      </c>
      <c r="H3" s="84" t="s">
        <v>228</v>
      </c>
      <c r="I3" s="83" t="s">
        <v>232</v>
      </c>
      <c r="J3" s="83">
        <v>1</v>
      </c>
      <c r="K3" s="83">
        <v>1000</v>
      </c>
      <c r="L3" s="83" t="s">
        <v>229</v>
      </c>
      <c r="M3" s="83">
        <v>1300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230</v>
      </c>
      <c r="X3" s="98" t="s">
        <v>231</v>
      </c>
    </row>
    <row r="4" spans="1:24" x14ac:dyDescent="0.15">
      <c r="A4" s="95" t="str">
        <f t="shared" si="0"/>
        <v>49011_1_everyone_clear_1</v>
      </c>
      <c r="B4" s="81">
        <v>49011</v>
      </c>
      <c r="C4" s="82" t="str">
        <f ca="1">VLOOKUP($B4,OFFSET([2]quests!$A$1,0,0,COUNTA([2]quests!$A:$A),MATCH(C$1,[2]quests!$1:$1,0)-MATCH($B$1,[2]quests!$1:$1,0)+1),MATCH(C$1,[2]quests!$1:$1,0)-MATCH($B$1,[2]quests!$1:$1,0)+1,FALSE)</f>
        <v>秘密のイベント潜入作戦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コラボ降臨9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コラボ降臨9</v>
      </c>
      <c r="H4" s="84" t="s">
        <v>228</v>
      </c>
      <c r="I4" s="83" t="s">
        <v>359</v>
      </c>
      <c r="J4" s="83">
        <v>1</v>
      </c>
      <c r="K4" s="83">
        <v>400</v>
      </c>
      <c r="L4" s="83" t="s">
        <v>229</v>
      </c>
      <c r="M4" s="83">
        <v>1300</v>
      </c>
      <c r="N4" s="96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4" s="83">
        <v>1</v>
      </c>
      <c r="P4" s="83">
        <v>1</v>
      </c>
      <c r="Q4" s="83">
        <v>1</v>
      </c>
      <c r="R4" s="83">
        <v>0</v>
      </c>
      <c r="S4" s="83">
        <v>0</v>
      </c>
      <c r="T4" s="83">
        <v>0</v>
      </c>
      <c r="U4" s="83">
        <v>0</v>
      </c>
      <c r="V4" s="83">
        <v>1</v>
      </c>
      <c r="W4" s="97" t="s">
        <v>230</v>
      </c>
      <c r="X4" s="98" t="s">
        <v>231</v>
      </c>
    </row>
    <row r="5" spans="1:24" x14ac:dyDescent="0.15">
      <c r="A5" s="95" t="str">
        <f t="shared" si="0"/>
        <v>49011_1_everyone_clear_2</v>
      </c>
      <c r="B5" s="81">
        <v>49011</v>
      </c>
      <c r="C5" s="82" t="str">
        <f ca="1">VLOOKUP($B5,OFFSET([2]quests!$A$1,0,0,COUNTA([2]quests!$A:$A),MATCH(C$1,[2]quests!$1:$1,0)-MATCH($B$1,[2]quests!$1:$1,0)+1),MATCH(C$1,[2]quests!$1:$1,0)-MATCH($B$1,[2]quests!$1:$1,0)+1,FALSE)</f>
        <v>秘密のイベント潜入作戦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コラボ降臨9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コラボ降臨9</v>
      </c>
      <c r="H5" s="84" t="s">
        <v>228</v>
      </c>
      <c r="I5" s="83" t="s">
        <v>359</v>
      </c>
      <c r="J5" s="83">
        <v>2</v>
      </c>
      <c r="K5" s="83">
        <v>250</v>
      </c>
      <c r="L5" s="83" t="s">
        <v>229</v>
      </c>
      <c r="M5" s="83">
        <v>1300</v>
      </c>
      <c r="N5" s="96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5" s="83">
        <v>1</v>
      </c>
      <c r="P5" s="83">
        <v>1</v>
      </c>
      <c r="Q5" s="83">
        <v>1</v>
      </c>
      <c r="R5" s="83">
        <v>0</v>
      </c>
      <c r="S5" s="83">
        <v>0</v>
      </c>
      <c r="T5" s="83">
        <v>0</v>
      </c>
      <c r="U5" s="83">
        <v>0</v>
      </c>
      <c r="V5" s="83">
        <v>2</v>
      </c>
      <c r="W5" s="97" t="s">
        <v>230</v>
      </c>
      <c r="X5" s="98" t="s">
        <v>231</v>
      </c>
    </row>
    <row r="6" spans="1:24" x14ac:dyDescent="0.15">
      <c r="A6" s="95" t="str">
        <f t="shared" si="0"/>
        <v>49011_1_everyone_clear_3</v>
      </c>
      <c r="B6" s="81">
        <v>49011</v>
      </c>
      <c r="C6" s="82" t="str">
        <f ca="1">VLOOKUP($B6,OFFSET([2]quests!$A$1,0,0,COUNTA([2]quests!$A:$A),MATCH(C$1,[2]quests!$1:$1,0)-MATCH($B$1,[2]quests!$1:$1,0)+1),MATCH(C$1,[2]quests!$1:$1,0)-MATCH($B$1,[2]quests!$1:$1,0)+1,FALSE)</f>
        <v>秘密のイベント潜入作戦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コラボ降臨9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コラボ降臨9</v>
      </c>
      <c r="H6" s="84" t="s">
        <v>228</v>
      </c>
      <c r="I6" s="83" t="s">
        <v>359</v>
      </c>
      <c r="J6" s="83">
        <v>3</v>
      </c>
      <c r="K6" s="83">
        <v>200</v>
      </c>
      <c r="L6" s="83" t="s">
        <v>229</v>
      </c>
      <c r="M6" s="83">
        <v>1300</v>
      </c>
      <c r="N6" s="96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6" s="83">
        <v>1</v>
      </c>
      <c r="P6" s="83">
        <v>1</v>
      </c>
      <c r="Q6" s="83">
        <v>1</v>
      </c>
      <c r="R6" s="83">
        <v>0</v>
      </c>
      <c r="S6" s="83">
        <v>0</v>
      </c>
      <c r="T6" s="83">
        <v>0</v>
      </c>
      <c r="U6" s="83">
        <v>0</v>
      </c>
      <c r="V6" s="83">
        <v>3</v>
      </c>
      <c r="W6" s="97" t="s">
        <v>230</v>
      </c>
      <c r="X6" s="98" t="s">
        <v>231</v>
      </c>
    </row>
    <row r="7" spans="1:24" x14ac:dyDescent="0.15">
      <c r="A7" s="95" t="str">
        <f t="shared" si="0"/>
        <v>49011_1_everyone_clear_4</v>
      </c>
      <c r="B7" s="81">
        <v>49011</v>
      </c>
      <c r="C7" s="82" t="str">
        <f ca="1">VLOOKUP($B7,OFFSET([2]quests!$A$1,0,0,COUNTA([2]quests!$A:$A),MATCH(C$1,[2]quests!$1:$1,0)-MATCH($B$1,[2]quests!$1:$1,0)+1),MATCH(C$1,[2]quests!$1:$1,0)-MATCH($B$1,[2]quests!$1:$1,0)+1,FALSE)</f>
        <v>秘密のイベント潜入作戦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コラボ降臨9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コラボ降臨9</v>
      </c>
      <c r="H7" s="84" t="s">
        <v>228</v>
      </c>
      <c r="I7" s="83" t="s">
        <v>359</v>
      </c>
      <c r="J7" s="83">
        <v>4</v>
      </c>
      <c r="K7" s="83">
        <v>100</v>
      </c>
      <c r="L7" s="83" t="s">
        <v>229</v>
      </c>
      <c r="M7" s="83">
        <v>1300</v>
      </c>
      <c r="N7" s="96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7" s="83">
        <v>1</v>
      </c>
      <c r="P7" s="83">
        <v>1</v>
      </c>
      <c r="Q7" s="83">
        <v>1</v>
      </c>
      <c r="R7" s="83">
        <v>0</v>
      </c>
      <c r="S7" s="83">
        <v>0</v>
      </c>
      <c r="T7" s="83">
        <v>0</v>
      </c>
      <c r="U7" s="83">
        <v>0</v>
      </c>
      <c r="V7" s="83">
        <v>4</v>
      </c>
      <c r="W7" s="97" t="s">
        <v>230</v>
      </c>
      <c r="X7" s="98" t="s">
        <v>231</v>
      </c>
    </row>
    <row r="8" spans="1:24" x14ac:dyDescent="0.15">
      <c r="A8" s="95" t="str">
        <f t="shared" si="0"/>
        <v>49011_1_everyone_clear_5</v>
      </c>
      <c r="B8" s="81">
        <v>49011</v>
      </c>
      <c r="C8" s="82" t="str">
        <f ca="1">VLOOKUP($B8,OFFSET([2]quests!$A$1,0,0,COUNTA([2]quests!$A:$A),MATCH(C$1,[2]quests!$1:$1,0)-MATCH($B$1,[2]quests!$1:$1,0)+1),MATCH(C$1,[2]quests!$1:$1,0)-MATCH($B$1,[2]quests!$1:$1,0)+1,FALSE)</f>
        <v>秘密のイベント潜入作戦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コラボ降臨9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【ｳｨｻﾞ】秘密のイベント潜入作戦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コラボ降臨9</v>
      </c>
      <c r="H8" s="84" t="s">
        <v>228</v>
      </c>
      <c r="I8" s="83" t="s">
        <v>359</v>
      </c>
      <c r="J8" s="83">
        <v>5</v>
      </c>
      <c r="K8" s="83">
        <v>50</v>
      </c>
      <c r="L8" s="83" t="s">
        <v>229</v>
      </c>
      <c r="M8" s="83">
        <v>1300</v>
      </c>
      <c r="N8" s="96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歌装の彩唱 紫式部</v>
      </c>
      <c r="O8" s="83">
        <v>1</v>
      </c>
      <c r="P8" s="83">
        <v>1</v>
      </c>
      <c r="Q8" s="83">
        <v>1</v>
      </c>
      <c r="R8" s="83">
        <v>0</v>
      </c>
      <c r="S8" s="83">
        <v>0</v>
      </c>
      <c r="T8" s="83">
        <v>0</v>
      </c>
      <c r="U8" s="83">
        <v>0</v>
      </c>
      <c r="V8" s="83">
        <v>5</v>
      </c>
      <c r="W8" s="97" t="s">
        <v>230</v>
      </c>
      <c r="X8" s="98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2017-01-23T08:35:37Z</dcterms:modified>
</cp:coreProperties>
</file>