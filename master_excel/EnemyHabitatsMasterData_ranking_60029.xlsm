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700" yWindow="900" windowWidth="20720" windowHeight="13240" tabRatio="936" firstSheet="1" activeTab="3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30" r:id="rId5"/>
    <sheet name="damage_receive" sheetId="31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10" hidden="1">enemy_habitat_S!$B$1:$Z$2</definedName>
    <definedName name="_xlnm._FilterDatabase" localSheetId="9" hidden="1">enemy_habitats!$B$1:$AI$2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stage_hints_complete!$B$1:$L$1</definedName>
    <definedName name="_xlnm._FilterDatabase" localSheetId="16" hidden="1">stage_hints_failure!$B$1:$M$1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1" i="25" l="1"/>
  <c r="E50" i="25"/>
  <c r="E49" i="25"/>
  <c r="E48" i="25"/>
  <c r="E47" i="25"/>
  <c r="E46" i="25"/>
  <c r="E45" i="25"/>
  <c r="E42" i="25"/>
  <c r="E43" i="25"/>
  <c r="E41" i="25"/>
  <c r="E40" i="25"/>
  <c r="E39" i="25"/>
  <c r="E38" i="25"/>
  <c r="E37" i="25"/>
  <c r="E36" i="25"/>
  <c r="E35" i="25"/>
  <c r="E34" i="25"/>
  <c r="E33" i="25"/>
  <c r="E31" i="25"/>
  <c r="E30" i="25"/>
  <c r="E29" i="25"/>
  <c r="E28" i="25"/>
  <c r="E27" i="25"/>
  <c r="E26" i="25"/>
  <c r="E25" i="25"/>
  <c r="E24" i="25"/>
  <c r="E23" i="25"/>
  <c r="E21" i="25"/>
  <c r="E20" i="25"/>
  <c r="E19" i="25"/>
  <c r="E18" i="25"/>
  <c r="E17" i="25"/>
  <c r="E16" i="25"/>
  <c r="E15" i="25"/>
  <c r="E14" i="25"/>
  <c r="E13" i="25"/>
  <c r="E4" i="25"/>
  <c r="E5" i="25"/>
  <c r="E6" i="25"/>
  <c r="E7" i="25"/>
  <c r="E8" i="25"/>
  <c r="E9" i="25"/>
  <c r="E10" i="25"/>
  <c r="E11" i="25"/>
  <c r="E3" i="25"/>
  <c r="J28" i="11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O28" i="9"/>
  <c r="N28" i="9"/>
  <c r="M28" i="9"/>
  <c r="L28" i="9"/>
  <c r="K28" i="9"/>
  <c r="J28" i="9"/>
  <c r="I28" i="9"/>
  <c r="H28" i="9"/>
  <c r="G28" i="9"/>
  <c r="E28" i="9"/>
  <c r="D28" i="9"/>
  <c r="A28" i="9"/>
  <c r="J4" i="11"/>
  <c r="M4" i="10"/>
  <c r="T4" i="10"/>
  <c r="W4" i="10"/>
  <c r="V4" i="10"/>
  <c r="X4" i="10"/>
  <c r="U4" i="10"/>
  <c r="Y4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4" i="10"/>
  <c r="Q4" i="10"/>
  <c r="P4" i="10"/>
  <c r="R4" i="10"/>
  <c r="O4" i="10"/>
  <c r="S4" i="10"/>
  <c r="G4" i="10"/>
  <c r="J4" i="10"/>
  <c r="I4" i="10"/>
  <c r="K4" i="10"/>
  <c r="H4" i="10"/>
  <c r="L4" i="10"/>
  <c r="U2" i="7"/>
  <c r="U3" i="7"/>
  <c r="U4" i="7"/>
  <c r="U5" i="7"/>
  <c r="T2" i="1"/>
  <c r="T3" i="1"/>
  <c r="T4" i="1"/>
  <c r="T5" i="1"/>
  <c r="T6" i="1"/>
  <c r="T7" i="1"/>
  <c r="T8" i="1"/>
  <c r="T9" i="1"/>
  <c r="T10" i="1"/>
  <c r="T11" i="1"/>
  <c r="T12" i="1"/>
  <c r="T13" i="1"/>
  <c r="U6" i="7"/>
  <c r="T14" i="1"/>
  <c r="B29" i="30"/>
  <c r="B4" i="30"/>
  <c r="C3" i="30"/>
  <c r="C5" i="30"/>
  <c r="C4" i="30"/>
  <c r="B5" i="30"/>
  <c r="D4" i="30"/>
  <c r="E4" i="30"/>
  <c r="G4" i="30"/>
  <c r="E5" i="30"/>
  <c r="G5" i="30"/>
  <c r="C7" i="30"/>
  <c r="D6" i="30"/>
  <c r="E6" i="30"/>
  <c r="G6" i="30"/>
  <c r="C8" i="30"/>
  <c r="B8" i="30"/>
  <c r="D7" i="30"/>
  <c r="E7" i="30"/>
  <c r="G7" i="30"/>
  <c r="C9" i="30"/>
  <c r="B9" i="30"/>
  <c r="D8" i="30"/>
  <c r="E8" i="30"/>
  <c r="G8" i="30"/>
  <c r="E9" i="30"/>
  <c r="G9" i="30"/>
  <c r="C11" i="30"/>
  <c r="D10" i="30"/>
  <c r="E10" i="30"/>
  <c r="G10" i="30"/>
  <c r="C12" i="30"/>
  <c r="B12" i="30"/>
  <c r="D11" i="30"/>
  <c r="E11" i="30"/>
  <c r="G11" i="30"/>
  <c r="C13" i="30"/>
  <c r="B13" i="30"/>
  <c r="D12" i="30"/>
  <c r="E12" i="30"/>
  <c r="G12" i="30"/>
  <c r="C14" i="30"/>
  <c r="B14" i="30"/>
  <c r="D13" i="30"/>
  <c r="E13" i="30"/>
  <c r="G13" i="30"/>
  <c r="E14" i="30"/>
  <c r="G14" i="30"/>
  <c r="C16" i="30"/>
  <c r="D15" i="30"/>
  <c r="E15" i="30"/>
  <c r="G15" i="30"/>
  <c r="C17" i="30"/>
  <c r="B17" i="30"/>
  <c r="D16" i="30"/>
  <c r="E16" i="30"/>
  <c r="G16" i="30"/>
  <c r="C18" i="30"/>
  <c r="B18" i="30"/>
  <c r="D17" i="30"/>
  <c r="E17" i="30"/>
  <c r="G17" i="30"/>
  <c r="C19" i="30"/>
  <c r="B19" i="30"/>
  <c r="D18" i="30"/>
  <c r="E18" i="30"/>
  <c r="G18" i="30"/>
  <c r="C20" i="30"/>
  <c r="B20" i="30"/>
  <c r="D19" i="30"/>
  <c r="E19" i="30"/>
  <c r="G19" i="30"/>
  <c r="E20" i="30"/>
  <c r="G20" i="30"/>
  <c r="C22" i="30"/>
  <c r="D21" i="30"/>
  <c r="E21" i="30"/>
  <c r="G21" i="30"/>
  <c r="C23" i="30"/>
  <c r="B23" i="30"/>
  <c r="D22" i="30"/>
  <c r="E22" i="30"/>
  <c r="G22" i="30"/>
  <c r="C24" i="30"/>
  <c r="B24" i="30"/>
  <c r="D23" i="30"/>
  <c r="E23" i="30"/>
  <c r="G23" i="30"/>
  <c r="C25" i="30"/>
  <c r="B25" i="30"/>
  <c r="D24" i="30"/>
  <c r="E24" i="30"/>
  <c r="G24" i="30"/>
  <c r="C26" i="30"/>
  <c r="B26" i="30"/>
  <c r="D25" i="30"/>
  <c r="E25" i="30"/>
  <c r="G25" i="30"/>
  <c r="E26" i="30"/>
  <c r="G26" i="30"/>
  <c r="D3" i="30"/>
  <c r="E3" i="30"/>
  <c r="G3" i="30"/>
  <c r="D80" i="31"/>
  <c r="E80" i="31"/>
  <c r="D79" i="31"/>
  <c r="E79" i="31"/>
  <c r="D78" i="31"/>
  <c r="E78" i="31"/>
  <c r="D77" i="31"/>
  <c r="E77" i="31"/>
  <c r="D76" i="31"/>
  <c r="E76" i="31"/>
  <c r="D75" i="31"/>
  <c r="E75" i="31"/>
  <c r="D74" i="31"/>
  <c r="E74" i="31"/>
  <c r="D73" i="31"/>
  <c r="E73" i="31"/>
  <c r="D72" i="31"/>
  <c r="E72" i="31"/>
  <c r="D71" i="31"/>
  <c r="E71" i="31"/>
  <c r="D70" i="31"/>
  <c r="E70" i="31"/>
  <c r="D69" i="31"/>
  <c r="E69" i="31"/>
  <c r="D68" i="31"/>
  <c r="E68" i="31"/>
  <c r="D67" i="31"/>
  <c r="E67" i="31"/>
  <c r="D66" i="31"/>
  <c r="E66" i="31"/>
  <c r="D65" i="31"/>
  <c r="E65" i="31"/>
  <c r="D64" i="31"/>
  <c r="E64" i="31"/>
  <c r="D63" i="31"/>
  <c r="E63" i="31"/>
  <c r="D61" i="31"/>
  <c r="E61" i="31"/>
  <c r="D60" i="31"/>
  <c r="E60" i="31"/>
  <c r="D59" i="31"/>
  <c r="E59" i="31"/>
  <c r="D58" i="31"/>
  <c r="E58" i="31"/>
  <c r="D57" i="31"/>
  <c r="E57" i="31"/>
  <c r="D56" i="31"/>
  <c r="E56" i="31"/>
  <c r="D55" i="31"/>
  <c r="E55" i="31"/>
  <c r="D54" i="31"/>
  <c r="E54" i="31"/>
  <c r="D53" i="31"/>
  <c r="E53" i="31"/>
  <c r="D52" i="31"/>
  <c r="E52" i="31"/>
  <c r="D51" i="31"/>
  <c r="E51" i="31"/>
  <c r="D50" i="31"/>
  <c r="E50" i="31"/>
  <c r="D49" i="31"/>
  <c r="E49" i="31"/>
  <c r="D48" i="31"/>
  <c r="E48" i="31"/>
  <c r="D47" i="31"/>
  <c r="E47" i="31"/>
  <c r="D46" i="31"/>
  <c r="E46" i="31"/>
  <c r="D45" i="31"/>
  <c r="E45" i="31"/>
  <c r="D44" i="31"/>
  <c r="E44" i="31"/>
  <c r="D42" i="31"/>
  <c r="E42" i="31"/>
  <c r="D41" i="31"/>
  <c r="E41" i="31"/>
  <c r="D40" i="31"/>
  <c r="E40" i="31"/>
  <c r="D39" i="31"/>
  <c r="E39" i="31"/>
  <c r="D38" i="31"/>
  <c r="E38" i="31"/>
  <c r="D37" i="31"/>
  <c r="E37" i="31"/>
  <c r="D36" i="31"/>
  <c r="E36" i="31"/>
  <c r="D35" i="31"/>
  <c r="E35" i="31"/>
  <c r="D34" i="31"/>
  <c r="E34" i="31"/>
  <c r="D33" i="31"/>
  <c r="E33" i="31"/>
  <c r="D32" i="31"/>
  <c r="E32" i="31"/>
  <c r="D31" i="31"/>
  <c r="E31" i="31"/>
  <c r="D30" i="31"/>
  <c r="E30" i="31"/>
  <c r="D28" i="31"/>
  <c r="E28" i="31"/>
  <c r="D27" i="31"/>
  <c r="E27" i="31"/>
  <c r="D26" i="31"/>
  <c r="E26" i="31"/>
  <c r="D25" i="31"/>
  <c r="E25" i="31"/>
  <c r="D24" i="31"/>
  <c r="E24" i="31"/>
  <c r="D23" i="31"/>
  <c r="E23" i="31"/>
  <c r="D22" i="31"/>
  <c r="E22" i="31"/>
  <c r="D21" i="31"/>
  <c r="E21" i="31"/>
  <c r="D20" i="31"/>
  <c r="E20" i="31"/>
  <c r="D19" i="31"/>
  <c r="E19" i="31"/>
  <c r="D18" i="31"/>
  <c r="E18" i="31"/>
  <c r="D17" i="31"/>
  <c r="E17" i="31"/>
  <c r="D16" i="31"/>
  <c r="E16" i="31"/>
  <c r="D14" i="31"/>
  <c r="E14" i="31"/>
  <c r="D13" i="31"/>
  <c r="E13" i="31"/>
  <c r="D12" i="31"/>
  <c r="E12" i="31"/>
  <c r="D11" i="31"/>
  <c r="E11" i="31"/>
  <c r="D10" i="31"/>
  <c r="E10" i="31"/>
  <c r="D9" i="31"/>
  <c r="E9" i="31"/>
  <c r="D8" i="31"/>
  <c r="E8" i="31"/>
  <c r="D7" i="31"/>
  <c r="E7" i="31"/>
  <c r="D6" i="31"/>
  <c r="E6" i="31"/>
  <c r="D5" i="31"/>
  <c r="E5" i="31"/>
  <c r="D4" i="31"/>
  <c r="E4" i="31"/>
  <c r="D3" i="31"/>
  <c r="E3" i="31"/>
  <c r="D2" i="31"/>
  <c r="E2" i="31"/>
  <c r="C29" i="30"/>
  <c r="D2" i="30"/>
  <c r="E2" i="30"/>
  <c r="J6" i="11"/>
  <c r="J10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9" i="11"/>
  <c r="J8" i="11"/>
  <c r="J7" i="11"/>
  <c r="J5" i="11"/>
  <c r="J3" i="11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T15" i="10"/>
  <c r="W15" i="10"/>
  <c r="V15" i="10"/>
  <c r="X15" i="10"/>
  <c r="U15" i="10"/>
  <c r="Y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C12" i="1"/>
  <c r="AE12" i="1"/>
  <c r="AH12" i="1"/>
  <c r="AF12" i="1"/>
  <c r="AD12" i="1"/>
  <c r="Q12" i="1"/>
  <c r="P12" i="1"/>
  <c r="O12" i="1"/>
  <c r="N12" i="1"/>
  <c r="M12" i="1"/>
  <c r="H12" i="1"/>
  <c r="J12" i="1"/>
  <c r="I12" i="1"/>
  <c r="D12" i="1"/>
  <c r="F12" i="1"/>
  <c r="E12" i="1"/>
  <c r="A12" i="1"/>
  <c r="AC11" i="1"/>
  <c r="AE11" i="1"/>
  <c r="AH11" i="1"/>
  <c r="AF11" i="1"/>
  <c r="AD11" i="1"/>
  <c r="Q11" i="1"/>
  <c r="P11" i="1"/>
  <c r="O11" i="1"/>
  <c r="N11" i="1"/>
  <c r="M11" i="1"/>
  <c r="H11" i="1"/>
  <c r="J11" i="1"/>
  <c r="I11" i="1"/>
  <c r="D11" i="1"/>
  <c r="F11" i="1"/>
  <c r="E11" i="1"/>
  <c r="A11" i="1"/>
  <c r="AC10" i="1"/>
  <c r="AE10" i="1"/>
  <c r="AH10" i="1"/>
  <c r="AF10" i="1"/>
  <c r="AD10" i="1"/>
  <c r="Q10" i="1"/>
  <c r="P10" i="1"/>
  <c r="O10" i="1"/>
  <c r="N10" i="1"/>
  <c r="M10" i="1"/>
  <c r="H10" i="1"/>
  <c r="J10" i="1"/>
  <c r="I10" i="1"/>
  <c r="D10" i="1"/>
  <c r="F10" i="1"/>
  <c r="E10" i="1"/>
  <c r="A10" i="1"/>
  <c r="AC9" i="1"/>
  <c r="AE9" i="1"/>
  <c r="AH9" i="1"/>
  <c r="AF9" i="1"/>
  <c r="AD9" i="1"/>
  <c r="Q9" i="1"/>
  <c r="P9" i="1"/>
  <c r="O9" i="1"/>
  <c r="N9" i="1"/>
  <c r="M9" i="1"/>
  <c r="H9" i="1"/>
  <c r="J9" i="1"/>
  <c r="I9" i="1"/>
  <c r="D9" i="1"/>
  <c r="F9" i="1"/>
  <c r="E9" i="1"/>
  <c r="A9" i="1"/>
  <c r="AC8" i="1"/>
  <c r="AE8" i="1"/>
  <c r="AH8" i="1"/>
  <c r="AF8" i="1"/>
  <c r="AD8" i="1"/>
  <c r="Q8" i="1"/>
  <c r="P8" i="1"/>
  <c r="O8" i="1"/>
  <c r="N8" i="1"/>
  <c r="M8" i="1"/>
  <c r="H8" i="1"/>
  <c r="J8" i="1"/>
  <c r="I8" i="1"/>
  <c r="D8" i="1"/>
  <c r="F8" i="1"/>
  <c r="E8" i="1"/>
  <c r="A8" i="1"/>
  <c r="AC7" i="1"/>
  <c r="AE7" i="1"/>
  <c r="AH7" i="1"/>
  <c r="AF7" i="1"/>
  <c r="AD7" i="1"/>
  <c r="Q7" i="1"/>
  <c r="P7" i="1"/>
  <c r="O7" i="1"/>
  <c r="N7" i="1"/>
  <c r="M7" i="1"/>
  <c r="H7" i="1"/>
  <c r="J7" i="1"/>
  <c r="I7" i="1"/>
  <c r="D7" i="1"/>
  <c r="F7" i="1"/>
  <c r="E7" i="1"/>
  <c r="A7" i="1"/>
  <c r="AC6" i="1"/>
  <c r="AE6" i="1"/>
  <c r="AH6" i="1"/>
  <c r="AF6" i="1"/>
  <c r="AD6" i="1"/>
  <c r="Q6" i="1"/>
  <c r="P6" i="1"/>
  <c r="O6" i="1"/>
  <c r="N6" i="1"/>
  <c r="M6" i="1"/>
  <c r="H6" i="1"/>
  <c r="J6" i="1"/>
  <c r="I6" i="1"/>
  <c r="D6" i="1"/>
  <c r="F6" i="1"/>
  <c r="E6" i="1"/>
  <c r="A6" i="1"/>
  <c r="AC5" i="1"/>
  <c r="AE5" i="1"/>
  <c r="AH5" i="1"/>
  <c r="AF5" i="1"/>
  <c r="AD5" i="1"/>
  <c r="Q5" i="1"/>
  <c r="P5" i="1"/>
  <c r="O5" i="1"/>
  <c r="N5" i="1"/>
  <c r="M5" i="1"/>
  <c r="H5" i="1"/>
  <c r="J5" i="1"/>
  <c r="I5" i="1"/>
  <c r="D5" i="1"/>
  <c r="F5" i="1"/>
  <c r="E5" i="1"/>
  <c r="A5" i="1"/>
  <c r="AC4" i="1"/>
  <c r="AE4" i="1"/>
  <c r="AH4" i="1"/>
  <c r="AF4" i="1"/>
  <c r="AD4" i="1"/>
  <c r="Q4" i="1"/>
  <c r="P4" i="1"/>
  <c r="O4" i="1"/>
  <c r="N4" i="1"/>
  <c r="M4" i="1"/>
  <c r="H4" i="1"/>
  <c r="J4" i="1"/>
  <c r="I4" i="1"/>
  <c r="D4" i="1"/>
  <c r="F4" i="1"/>
  <c r="E4" i="1"/>
  <c r="A4" i="1"/>
  <c r="AC3" i="1"/>
  <c r="AE3" i="1"/>
  <c r="AH3" i="1"/>
  <c r="AF3" i="1"/>
  <c r="AD3" i="1"/>
  <c r="Q3" i="1"/>
  <c r="P3" i="1"/>
  <c r="O3" i="1"/>
  <c r="N3" i="1"/>
  <c r="M3" i="1"/>
  <c r="H3" i="1"/>
  <c r="J3" i="1"/>
  <c r="I3" i="1"/>
  <c r="D3" i="1"/>
  <c r="F3" i="1"/>
  <c r="E3" i="1"/>
  <c r="A3" i="1"/>
  <c r="A42" i="22"/>
  <c r="F42" i="22"/>
  <c r="A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H6" i="2"/>
  <c r="E6" i="2"/>
  <c r="D6" i="2"/>
  <c r="H2" i="1"/>
  <c r="B6" i="2"/>
  <c r="H5" i="2"/>
  <c r="E5" i="2"/>
  <c r="D5" i="2"/>
  <c r="B5" i="2"/>
  <c r="H4" i="2"/>
  <c r="E4" i="2"/>
  <c r="D4" i="2"/>
  <c r="B4" i="2"/>
  <c r="H3" i="2"/>
  <c r="E3" i="2"/>
  <c r="D3" i="2"/>
  <c r="B3" i="2"/>
  <c r="C26" i="16"/>
  <c r="C25" i="16"/>
  <c r="E26" i="16"/>
  <c r="E25" i="16"/>
  <c r="E24" i="16"/>
  <c r="E8" i="16"/>
  <c r="E9" i="16"/>
  <c r="E5" i="16"/>
  <c r="E6" i="16"/>
  <c r="E7" i="16"/>
  <c r="E4" i="16"/>
  <c r="E2" i="24"/>
  <c r="B2" i="24"/>
  <c r="D2" i="2"/>
  <c r="F2" i="24"/>
  <c r="C2" i="24"/>
  <c r="E2" i="2"/>
  <c r="E23" i="16"/>
  <c r="E22" i="16"/>
  <c r="E20" i="16"/>
  <c r="E21" i="16"/>
  <c r="G2" i="22"/>
  <c r="C2" i="22"/>
  <c r="B2" i="22"/>
  <c r="E3" i="16"/>
  <c r="E19" i="16"/>
  <c r="E18" i="16"/>
  <c r="E17" i="16"/>
  <c r="J2" i="11"/>
  <c r="O2" i="9"/>
  <c r="N2" i="9"/>
  <c r="M2" i="9"/>
  <c r="L2" i="9"/>
  <c r="K2" i="9"/>
  <c r="J2" i="9"/>
  <c r="I2" i="9"/>
  <c r="H2" i="9"/>
  <c r="G2" i="9"/>
  <c r="E2" i="9"/>
  <c r="D2" i="9"/>
  <c r="E16" i="16"/>
  <c r="R2" i="7"/>
  <c r="Q2" i="7"/>
  <c r="P2" i="7"/>
  <c r="O2" i="7"/>
  <c r="N2" i="7"/>
  <c r="AC2" i="1"/>
  <c r="AF2" i="1"/>
  <c r="AE2" i="1"/>
  <c r="AD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H2" i="1"/>
  <c r="H2" i="7"/>
  <c r="J2" i="7"/>
  <c r="E15" i="16"/>
  <c r="E14" i="16"/>
  <c r="E13" i="16"/>
  <c r="E12" i="16"/>
  <c r="E11" i="16"/>
  <c r="E10" i="16"/>
  <c r="E2" i="16"/>
  <c r="A2" i="1"/>
  <c r="A2" i="9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B24" authorId="0">
      <text>
        <r>
          <rPr>
            <b/>
            <sz val="11"/>
            <color indexed="81"/>
            <rFont val="ＭＳ Ｐゴシック"/>
            <family val="3"/>
            <charset val="128"/>
          </rPr>
          <t>templeteに最後のアンダーバーがなかったため手動で追加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AO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4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Microsoft Office ユーザー</author>
  </authors>
  <commentList>
    <comment ref="F4" authorId="0">
      <text>
        <r>
          <rPr>
            <b/>
            <sz val="11"/>
            <color indexed="81"/>
            <rFont val="ＭＳ Ｐゴシック"/>
            <family val="3"/>
            <charset val="128"/>
          </rPr>
          <t>「種族ドラゴン以外のユニットの攻撃」とすると一行に収まらない、また「の」が重複し、説明が冗長すぎると思われるため、意図的に「ユニットの」の部分を省略しています</t>
        </r>
      </text>
    </comment>
    <comment ref="F28" authorId="0">
      <text>
        <r>
          <rPr>
            <b/>
            <sz val="11"/>
            <color indexed="81"/>
            <rFont val="ＭＳ Ｐゴシック"/>
            <family val="3"/>
            <charset val="128"/>
          </rPr>
          <t>「種族ドラゴン以外のユニットのスキルゲージを」とすると、「の」が重複し、説明が冗長すぎると思われたため、意図的に「ユニットの」の部分を省略しています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<sst xmlns="http://schemas.openxmlformats.org/spreadsheetml/2006/main" count="1072" uniqueCount="463">
  <si>
    <t>quest_id</t>
  </si>
  <si>
    <t>stage_id</t>
  </si>
  <si>
    <t>character_id</t>
  </si>
  <si>
    <t>level</t>
  </si>
  <si>
    <t>skill_set_id</t>
    <phoneticPr fontId="9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</si>
  <si>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</si>
  <si>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</si>
  <si>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</si>
  <si>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</si>
  <si>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</si>
  <si>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</si>
  <si>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</si>
  <si>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</si>
  <si>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</si>
  <si>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</si>
  <si>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</si>
  <si>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9"/>
  </si>
  <si>
    <t>rare</t>
    <phoneticPr fontId="9"/>
  </si>
  <si>
    <t>name</t>
    <phoneticPr fontId="9"/>
  </si>
  <si>
    <t>floor_id</t>
    <phoneticPr fontId="9"/>
  </si>
  <si>
    <t>name</t>
    <phoneticPr fontId="9"/>
  </si>
  <si>
    <t>name</t>
    <phoneticPr fontId="9"/>
  </si>
  <si>
    <t>skill_set_id</t>
  </si>
  <si>
    <t>drop_label</t>
    <phoneticPr fontId="9"/>
  </si>
  <si>
    <t>color</t>
    <phoneticPr fontId="9"/>
  </si>
  <si>
    <t>size</t>
    <phoneticPr fontId="9"/>
  </si>
  <si>
    <t>character_main_tribe_id</t>
    <phoneticPr fontId="9"/>
  </si>
  <si>
    <t>drop_label</t>
    <phoneticPr fontId="11"/>
  </si>
  <si>
    <t>temp_stage</t>
    <phoneticPr fontId="9"/>
  </si>
  <si>
    <t>temp_habitats</t>
    <phoneticPr fontId="9"/>
  </si>
  <si>
    <t>temp_floor</t>
    <phoneticPr fontId="9"/>
  </si>
  <si>
    <t>スキル</t>
    <phoneticPr fontId="9"/>
  </si>
  <si>
    <t>temp_stage</t>
    <phoneticPr fontId="9"/>
  </si>
  <si>
    <t>位置付け</t>
    <rPh sb="0" eb="3">
      <t>イチヅ</t>
    </rPh>
    <phoneticPr fontId="9"/>
  </si>
  <si>
    <t>name</t>
    <phoneticPr fontId="9"/>
  </si>
  <si>
    <t>temp_floor</t>
    <phoneticPr fontId="9"/>
  </si>
  <si>
    <t>status</t>
    <phoneticPr fontId="9"/>
  </si>
  <si>
    <t>hp_plus</t>
  </si>
  <si>
    <t>hp_plus</t>
    <phoneticPr fontId="9"/>
  </si>
  <si>
    <t>attack_plus</t>
  </si>
  <si>
    <t>attack_plus</t>
    <phoneticPr fontId="9"/>
  </si>
  <si>
    <t>defense_plus</t>
  </si>
  <si>
    <t>defense_plus</t>
    <phoneticPr fontId="9"/>
  </si>
  <si>
    <t>heal_plus</t>
  </si>
  <si>
    <t>heal_plus</t>
    <phoneticPr fontId="9"/>
  </si>
  <si>
    <t>bug</t>
  </si>
  <si>
    <t>bug</t>
    <phoneticPr fontId="9"/>
  </si>
  <si>
    <t>hp_coefficient</t>
  </si>
  <si>
    <t>hp_coefficient</t>
    <phoneticPr fontId="9"/>
  </si>
  <si>
    <t>attack_coefficient</t>
  </si>
  <si>
    <t>attack_coefficient</t>
    <phoneticPr fontId="9"/>
  </si>
  <si>
    <t>defense_correction</t>
  </si>
  <si>
    <t>defense_correction</t>
    <phoneticPr fontId="9"/>
  </si>
  <si>
    <t>seq_no</t>
    <phoneticPr fontId="9"/>
  </si>
  <si>
    <t>state_no</t>
    <phoneticPr fontId="9"/>
  </si>
  <si>
    <t>character_id</t>
    <phoneticPr fontId="9"/>
  </si>
  <si>
    <t>level</t>
    <phoneticPr fontId="9"/>
  </si>
  <si>
    <t>speed</t>
    <phoneticPr fontId="9"/>
  </si>
  <si>
    <t>skill_set_id</t>
    <phoneticPr fontId="9"/>
  </si>
  <si>
    <t>temp_id</t>
    <phoneticPr fontId="9"/>
  </si>
  <si>
    <t>skill_set_id</t>
    <phoneticPr fontId="11"/>
  </si>
  <si>
    <t>skill_id</t>
    <phoneticPr fontId="11"/>
  </si>
  <si>
    <t>name</t>
    <phoneticPr fontId="11"/>
  </si>
  <si>
    <t>comment</t>
    <phoneticPr fontId="11"/>
  </si>
  <si>
    <t>skill_trigger_id</t>
    <phoneticPr fontId="11"/>
  </si>
  <si>
    <t>first_time</t>
    <phoneticPr fontId="9"/>
  </si>
  <si>
    <t>priority</t>
    <phoneticPr fontId="9"/>
  </si>
  <si>
    <t>priority</t>
    <phoneticPr fontId="9"/>
  </si>
  <si>
    <t>invoke_rate</t>
    <phoneticPr fontId="9"/>
  </si>
  <si>
    <t>hp_threshold</t>
    <phoneticPr fontId="9"/>
  </si>
  <si>
    <t>hp_termination</t>
    <phoneticPr fontId="9"/>
  </si>
  <si>
    <t>invoke_times</t>
    <phoneticPr fontId="9"/>
  </si>
  <si>
    <t>every_time_count</t>
    <phoneticPr fontId="9"/>
  </si>
  <si>
    <t>neighbor_dead_id</t>
    <phoneticPr fontId="9"/>
  </si>
  <si>
    <t>invoke_weight</t>
    <phoneticPr fontId="9"/>
  </si>
  <si>
    <t>作成者</t>
    <rPh sb="0" eb="3">
      <t>サクセイシャ</t>
    </rPh>
    <phoneticPr fontId="9"/>
  </si>
  <si>
    <t>更新日</t>
    <rPh sb="0" eb="3">
      <t>コウシンニチジ</t>
    </rPh>
    <phoneticPr fontId="9"/>
  </si>
  <si>
    <t>備考（使用箇所）</t>
    <rPh sb="0" eb="2">
      <t>ビコウ</t>
    </rPh>
    <rPh sb="3" eb="7">
      <t>シヨウカショ</t>
    </rPh>
    <phoneticPr fontId="9"/>
  </si>
  <si>
    <t>enemy_skill_id</t>
  </si>
  <si>
    <t>effect_param</t>
    <phoneticPr fontId="9"/>
  </si>
  <si>
    <t>valid_flg</t>
  </si>
  <si>
    <t>name</t>
    <phoneticPr fontId="11"/>
  </si>
  <si>
    <t>comment</t>
    <phoneticPr fontId="11"/>
  </si>
  <si>
    <t>skill_trigger_id</t>
    <phoneticPr fontId="11"/>
  </si>
  <si>
    <t>first_time</t>
    <phoneticPr fontId="9"/>
  </si>
  <si>
    <t>priority</t>
    <phoneticPr fontId="9"/>
  </si>
  <si>
    <t>invoke_rate</t>
    <phoneticPr fontId="9"/>
  </si>
  <si>
    <t>重複チェック</t>
    <rPh sb="0" eb="2">
      <t>チョウフク</t>
    </rPh>
    <phoneticPr fontId="9"/>
  </si>
  <si>
    <t>enemy_skills</t>
    <phoneticPr fontId="9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</si>
  <si>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</si>
  <si>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</si>
  <si>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</si>
  <si>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</si>
  <si>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</si>
  <si>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</si>
  <si>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</si>
  <si>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</si>
  <si>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</si>
  <si>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9"/>
  </si>
  <si>
    <t>識別子</t>
    <rPh sb="0" eb="3">
      <t>シキベツシ</t>
    </rPh>
    <phoneticPr fontId="9"/>
  </si>
  <si>
    <t>形式</t>
    <rPh sb="0" eb="2">
      <t>ケイシキ</t>
    </rPh>
    <phoneticPr fontId="9"/>
  </si>
  <si>
    <t>出力ファイル名</t>
    <rPh sb="0" eb="2">
      <t>シュツリョク</t>
    </rPh>
    <rPh sb="6" eb="7">
      <t>メイ</t>
    </rPh>
    <phoneticPr fontId="9"/>
  </si>
  <si>
    <t>入力シート名</t>
    <rPh sb="0" eb="2">
      <t>ニュウリョク</t>
    </rPh>
    <rPh sb="5" eb="6">
      <t>メイ</t>
    </rPh>
    <phoneticPr fontId="9"/>
  </si>
  <si>
    <t>出力データ</t>
    <rPh sb="0" eb="2">
      <t>シュツリョク</t>
    </rPh>
    <phoneticPr fontId="9"/>
  </si>
  <si>
    <t>floors_</t>
    <phoneticPr fontId="9"/>
  </si>
  <si>
    <t>.tmp</t>
    <phoneticPr fontId="9"/>
  </si>
  <si>
    <t>floors</t>
    <phoneticPr fontId="9"/>
  </si>
  <si>
    <t>enemy_habitats_</t>
    <phoneticPr fontId="9"/>
  </si>
  <si>
    <t>enemy_habitats</t>
    <phoneticPr fontId="9"/>
  </si>
  <si>
    <t>enemy_habitat_S_</t>
    <phoneticPr fontId="9"/>
  </si>
  <si>
    <t>enemy_habitat_S</t>
    <phoneticPr fontId="9"/>
  </si>
  <si>
    <t>enemy_skill_sets_</t>
    <phoneticPr fontId="9"/>
  </si>
  <si>
    <t>enemy_skill_sets</t>
    <phoneticPr fontId="9"/>
  </si>
  <si>
    <t>enemy_skills_tmp_</t>
    <phoneticPr fontId="9"/>
  </si>
  <si>
    <t>.tmp</t>
    <phoneticPr fontId="9"/>
  </si>
  <si>
    <t>enemy_skills_i18n_</t>
    <phoneticPr fontId="9"/>
  </si>
  <si>
    <t>enemy_skills</t>
    <phoneticPr fontId="9"/>
  </si>
  <si>
    <t>enemy_skill_triggers_</t>
    <phoneticPr fontId="9"/>
  </si>
  <si>
    <t>.tmp</t>
    <phoneticPr fontId="9"/>
  </si>
  <si>
    <t>enemy_skill_triggers</t>
    <phoneticPr fontId="9"/>
  </si>
  <si>
    <t>hp_termination</t>
    <phoneticPr fontId="9"/>
  </si>
  <si>
    <t>invoke_weight</t>
    <phoneticPr fontId="9"/>
  </si>
  <si>
    <t>every_time_count</t>
    <phoneticPr fontId="9"/>
  </si>
  <si>
    <t>neighbor_dead_id</t>
    <phoneticPr fontId="9"/>
  </si>
  <si>
    <t>language</t>
    <phoneticPr fontId="9"/>
  </si>
  <si>
    <t>skill_set_id</t>
    <phoneticPr fontId="9"/>
  </si>
  <si>
    <t>スキル</t>
    <phoneticPr fontId="9"/>
  </si>
  <si>
    <t>出力flg</t>
    <rPh sb="0" eb="2">
      <t>シュツリョク</t>
    </rPh>
    <phoneticPr fontId="9"/>
  </si>
  <si>
    <t>中間文字列１</t>
    <rPh sb="0" eb="2">
      <t>チュウカン</t>
    </rPh>
    <rPh sb="2" eb="5">
      <t>モジレツ</t>
    </rPh>
    <phoneticPr fontId="9"/>
  </si>
  <si>
    <t>効果１文字列</t>
    <rPh sb="0" eb="2">
      <t>コウカ</t>
    </rPh>
    <rPh sb="3" eb="6">
      <t>モジレツ</t>
    </rPh>
    <phoneticPr fontId="9"/>
  </si>
  <si>
    <t>効果１簡易デコード</t>
    <rPh sb="0" eb="2">
      <t>コウカ</t>
    </rPh>
    <rPh sb="3" eb="5">
      <t>カンイ</t>
    </rPh>
    <phoneticPr fontId="9"/>
  </si>
  <si>
    <t>効果２文字列</t>
    <rPh sb="0" eb="2">
      <t>コウカ</t>
    </rPh>
    <rPh sb="3" eb="6">
      <t>モジレツ</t>
    </rPh>
    <phoneticPr fontId="9"/>
  </si>
  <si>
    <t>効果２簡易デコード</t>
    <rPh sb="0" eb="2">
      <t>コウカ</t>
    </rPh>
    <rPh sb="3" eb="5">
      <t>カンイ</t>
    </rPh>
    <phoneticPr fontId="9"/>
  </si>
  <si>
    <t>効果３文字列</t>
    <rPh sb="0" eb="2">
      <t>コウカ</t>
    </rPh>
    <rPh sb="3" eb="6">
      <t>モジレツ</t>
    </rPh>
    <phoneticPr fontId="9"/>
  </si>
  <si>
    <t>効果３簡易デコード</t>
    <rPh sb="0" eb="2">
      <t>コウカ</t>
    </rPh>
    <rPh sb="3" eb="5">
      <t>カンイ</t>
    </rPh>
    <phoneticPr fontId="9"/>
  </si>
  <si>
    <t>効果１efect位置</t>
    <rPh sb="0" eb="2">
      <t>コウカ</t>
    </rPh>
    <rPh sb="8" eb="10">
      <t>イチ</t>
    </rPh>
    <phoneticPr fontId="9"/>
  </si>
  <si>
    <t>効果１target位置</t>
    <rPh sb="0" eb="2">
      <t>コウカ</t>
    </rPh>
    <rPh sb="9" eb="11">
      <t>イチ</t>
    </rPh>
    <phoneticPr fontId="9"/>
  </si>
  <si>
    <t>効果1終了位置</t>
    <rPh sb="0" eb="2">
      <t>コウカ</t>
    </rPh>
    <rPh sb="3" eb="5">
      <t>シュウリョウ</t>
    </rPh>
    <rPh sb="5" eb="7">
      <t>イチ</t>
    </rPh>
    <phoneticPr fontId="9"/>
  </si>
  <si>
    <t>効果1target終了位置</t>
    <rPh sb="0" eb="2">
      <t>コウカ</t>
    </rPh>
    <rPh sb="9" eb="11">
      <t>シュウリョウ</t>
    </rPh>
    <rPh sb="11" eb="13">
      <t>イチ</t>
    </rPh>
    <phoneticPr fontId="9"/>
  </si>
  <si>
    <t>効果2efect位置</t>
    <rPh sb="0" eb="2">
      <t>コウカ</t>
    </rPh>
    <rPh sb="8" eb="10">
      <t>イチ</t>
    </rPh>
    <phoneticPr fontId="9"/>
  </si>
  <si>
    <t>効果2終了位置</t>
    <rPh sb="0" eb="2">
      <t>コウカ</t>
    </rPh>
    <rPh sb="3" eb="5">
      <t>シュウリョウ</t>
    </rPh>
    <rPh sb="5" eb="7">
      <t>イチ</t>
    </rPh>
    <phoneticPr fontId="9"/>
  </si>
  <si>
    <t>効果2target位置</t>
    <rPh sb="0" eb="2">
      <t>コウカ</t>
    </rPh>
    <rPh sb="9" eb="11">
      <t>イチ</t>
    </rPh>
    <phoneticPr fontId="9"/>
  </si>
  <si>
    <t>効果2target終了位置</t>
    <rPh sb="0" eb="2">
      <t>コウカ</t>
    </rPh>
    <rPh sb="9" eb="11">
      <t>シュウリョウ</t>
    </rPh>
    <rPh sb="11" eb="13">
      <t>イチ</t>
    </rPh>
    <phoneticPr fontId="9"/>
  </si>
  <si>
    <t>効果3efect位置</t>
    <rPh sb="0" eb="2">
      <t>コウカ</t>
    </rPh>
    <rPh sb="8" eb="10">
      <t>イチ</t>
    </rPh>
    <phoneticPr fontId="9"/>
  </si>
  <si>
    <t>効果3終了位置</t>
    <rPh sb="0" eb="2">
      <t>コウカ</t>
    </rPh>
    <rPh sb="3" eb="5">
      <t>シュウリョウ</t>
    </rPh>
    <rPh sb="5" eb="7">
      <t>イチ</t>
    </rPh>
    <phoneticPr fontId="9"/>
  </si>
  <si>
    <t>効果3target位置</t>
    <rPh sb="0" eb="2">
      <t>コウカ</t>
    </rPh>
    <rPh sb="9" eb="11">
      <t>イチ</t>
    </rPh>
    <phoneticPr fontId="9"/>
  </si>
  <si>
    <t>効果3target終了位置</t>
    <rPh sb="0" eb="2">
      <t>コウカ</t>
    </rPh>
    <rPh sb="9" eb="11">
      <t>シュウリョウ</t>
    </rPh>
    <rPh sb="11" eb="13">
      <t>イチ</t>
    </rPh>
    <phoneticPr fontId="9"/>
  </si>
  <si>
    <t>quest_id</t>
    <phoneticPr fontId="9"/>
  </si>
  <si>
    <t>stage_id</t>
    <phoneticPr fontId="9"/>
  </si>
  <si>
    <t>temp_stage</t>
    <phoneticPr fontId="11"/>
  </si>
  <si>
    <t>stage_target</t>
    <phoneticPr fontId="9"/>
  </si>
  <si>
    <t>bonus_id</t>
    <phoneticPr fontId="9"/>
  </si>
  <si>
    <t>bonus_type</t>
    <phoneticPr fontId="9"/>
  </si>
  <si>
    <t>bonus_value</t>
    <phoneticPr fontId="9"/>
  </si>
  <si>
    <t>bonus_count</t>
    <phoneticPr fontId="9"/>
  </si>
  <si>
    <t>level</t>
    <phoneticPr fontId="9"/>
  </si>
  <si>
    <t>skill_level</t>
    <phoneticPr fontId="9"/>
  </si>
  <si>
    <t>hp_plus</t>
    <phoneticPr fontId="9"/>
  </si>
  <si>
    <t>attack_plus</t>
    <phoneticPr fontId="9"/>
  </si>
  <si>
    <t>defense_plus</t>
    <phoneticPr fontId="9"/>
  </si>
  <si>
    <t>heal_plus</t>
    <phoneticPr fontId="9"/>
  </si>
  <si>
    <t>bug</t>
    <phoneticPr fontId="9"/>
  </si>
  <si>
    <t>weight</t>
    <phoneticPr fontId="9"/>
  </si>
  <si>
    <t>definite_start_date</t>
    <phoneticPr fontId="9"/>
  </si>
  <si>
    <t>definite_end_date</t>
    <phoneticPr fontId="9"/>
  </si>
  <si>
    <t>bit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</si>
  <si>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9"/>
  </si>
  <si>
    <t>bugbonuses</t>
    <phoneticPr fontId="9"/>
  </si>
  <si>
    <t>stage_id</t>
    <phoneticPr fontId="9"/>
  </si>
  <si>
    <t>stage_target</t>
    <phoneticPr fontId="9"/>
  </si>
  <si>
    <t>bonus_id</t>
    <phoneticPr fontId="9"/>
  </si>
  <si>
    <t>bonus_type</t>
    <phoneticPr fontId="9"/>
  </si>
  <si>
    <t>stage_bug_bonuses_</t>
    <phoneticPr fontId="9"/>
  </si>
  <si>
    <t>skill_level</t>
    <phoneticPr fontId="9"/>
  </si>
  <si>
    <t>skill_level</t>
    <phoneticPr fontId="9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</si>
  <si>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9"/>
  </si>
  <si>
    <t>quest_id</t>
    <phoneticPr fontId="9"/>
  </si>
  <si>
    <t>hint_id</t>
    <phoneticPr fontId="9"/>
  </si>
  <si>
    <t>floor_id</t>
    <phoneticPr fontId="9"/>
  </si>
  <si>
    <t>hint_type</t>
    <phoneticPr fontId="9"/>
  </si>
  <si>
    <t>hint</t>
    <phoneticPr fontId="9"/>
  </si>
  <si>
    <t>title</t>
    <phoneticPr fontId="9"/>
  </si>
  <si>
    <t>skip</t>
  </si>
  <si>
    <t>hint_type</t>
    <phoneticPr fontId="9"/>
  </si>
  <si>
    <t>quest_id</t>
    <phoneticPr fontId="9"/>
  </si>
  <si>
    <t>name</t>
    <phoneticPr fontId="9"/>
  </si>
  <si>
    <t>stage_id</t>
    <phoneticPr fontId="9"/>
  </si>
  <si>
    <t>name</t>
    <phoneticPr fontId="9"/>
  </si>
  <si>
    <t>floor_id</t>
    <phoneticPr fontId="9"/>
  </si>
  <si>
    <t>tmp_hint_id</t>
    <phoneticPr fontId="9"/>
  </si>
  <si>
    <t>hint_id</t>
    <phoneticPr fontId="9"/>
  </si>
  <si>
    <t>filename</t>
    <phoneticPr fontId="9"/>
  </si>
  <si>
    <t>stage_hints_data_c_</t>
    <phoneticPr fontId="9"/>
  </si>
  <si>
    <t>stage_hints_data_f_</t>
    <phoneticPr fontId="9"/>
  </si>
  <si>
    <t>skip</t>
    <phoneticPr fontId="11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</si>
  <si>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9"/>
  </si>
  <si>
    <t>hint_id</t>
    <phoneticPr fontId="9"/>
  </si>
  <si>
    <t>language</t>
    <phoneticPr fontId="9"/>
  </si>
  <si>
    <t>hint</t>
    <phoneticPr fontId="9"/>
  </si>
  <si>
    <t>filename</t>
  </si>
  <si>
    <t>title</t>
    <phoneticPr fontId="9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</si>
  <si>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9"/>
  </si>
  <si>
    <t>stage_hints_failure</t>
    <phoneticPr fontId="9"/>
  </si>
  <si>
    <t>stage_hints_failure</t>
    <phoneticPr fontId="9"/>
  </si>
  <si>
    <t>param_code_damage_givn</t>
    <phoneticPr fontId="9"/>
  </si>
  <si>
    <t>param_code_damage_received</t>
    <phoneticPr fontId="9"/>
  </si>
  <si>
    <t>param_code_clear_turn</t>
    <phoneticPr fontId="9"/>
  </si>
  <si>
    <t>upper_ranking</t>
    <phoneticPr fontId="9"/>
  </si>
  <si>
    <t>lower_ranking</t>
    <phoneticPr fontId="9"/>
  </si>
  <si>
    <t>gift_id</t>
    <phoneticPr fontId="9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</si>
  <si>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</si>
  <si>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</si>
  <si>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</si>
  <si>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</si>
  <si>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</si>
  <si>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</si>
  <si>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</si>
  <si>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temp_gift_id</t>
    <phoneticPr fontId="9"/>
  </si>
  <si>
    <t>ranking_ACH_</t>
    <phoneticPr fontId="9"/>
  </si>
  <si>
    <t>ranking_ACH</t>
    <phoneticPr fontId="9"/>
  </si>
  <si>
    <t>quest_id</t>
    <phoneticPr fontId="9"/>
  </si>
  <si>
    <t>upper_ranking</t>
    <phoneticPr fontId="9"/>
  </si>
  <si>
    <t>lower_ranking</t>
    <phoneticPr fontId="9"/>
  </si>
  <si>
    <t>gift_id</t>
    <phoneticPr fontId="9"/>
  </si>
  <si>
    <t>gifts_tmp_</t>
    <phoneticPr fontId="11"/>
  </si>
  <si>
    <t>gift_id</t>
    <phoneticPr fontId="11"/>
  </si>
  <si>
    <t>gifts_i18n_</t>
    <phoneticPr fontId="11"/>
  </si>
  <si>
    <t>title</t>
    <phoneticPr fontId="11"/>
  </si>
  <si>
    <t>detail</t>
    <phoneticPr fontId="11"/>
  </si>
  <si>
    <t>ranking_floors_</t>
    <phoneticPr fontId="9"/>
  </si>
  <si>
    <t>ranking_stages_</t>
    <phoneticPr fontId="9"/>
  </si>
  <si>
    <t>clear_bonus</t>
    <phoneticPr fontId="9"/>
  </si>
  <si>
    <t>ranking_stages</t>
    <phoneticPr fontId="9"/>
  </si>
  <si>
    <t>param_code</t>
    <phoneticPr fontId="9"/>
  </si>
  <si>
    <t>x</t>
    <phoneticPr fontId="9"/>
  </si>
  <si>
    <t>a</t>
    <phoneticPr fontId="9"/>
  </si>
  <si>
    <t>b</t>
    <phoneticPr fontId="9"/>
  </si>
  <si>
    <t>clear_turn_</t>
    <phoneticPr fontId="9"/>
  </si>
  <si>
    <t>damage_give_</t>
    <phoneticPr fontId="9"/>
  </si>
  <si>
    <t>damage_receive</t>
    <phoneticPr fontId="9"/>
  </si>
  <si>
    <t>damage_receive_</t>
    <phoneticPr fontId="9"/>
  </si>
  <si>
    <t>clear_turn</t>
    <phoneticPr fontId="9"/>
  </si>
  <si>
    <t>damege_give</t>
    <phoneticPr fontId="9"/>
  </si>
  <si>
    <t>evaluation_id</t>
    <phoneticPr fontId="9"/>
  </si>
  <si>
    <t>quest_id</t>
    <phoneticPr fontId="9"/>
  </si>
  <si>
    <t>stage_id</t>
    <phoneticPr fontId="9"/>
  </si>
  <si>
    <t>score</t>
    <phoneticPr fontId="9"/>
  </si>
  <si>
    <t>language</t>
    <phoneticPr fontId="9"/>
  </si>
  <si>
    <t>evaluation</t>
    <phoneticPr fontId="9"/>
  </si>
  <si>
    <t>animation_file_name</t>
    <phoneticPr fontId="9"/>
  </si>
  <si>
    <t>ranking_eval_data_</t>
    <phoneticPr fontId="9"/>
  </si>
  <si>
    <t>ranking_eval_i18n_</t>
    <phoneticPr fontId="9"/>
  </si>
  <si>
    <t>ranking_eval</t>
  </si>
  <si>
    <t>hp_plus</t>
    <phoneticPr fontId="9"/>
  </si>
  <si>
    <t>attack_plus</t>
    <phoneticPr fontId="9"/>
  </si>
  <si>
    <t>heal_plus</t>
    <phoneticPr fontId="9"/>
  </si>
  <si>
    <t>defense_plus</t>
    <phoneticPr fontId="9"/>
  </si>
  <si>
    <t>level</t>
    <phoneticPr fontId="9"/>
  </si>
  <si>
    <t>skill_level</t>
  </si>
  <si>
    <t>skill_level</t>
    <phoneticPr fontId="9"/>
  </si>
  <si>
    <t>bug</t>
    <phoneticPr fontId="9"/>
  </si>
  <si>
    <t>ranking_eval_gift</t>
    <phoneticPr fontId="9"/>
  </si>
  <si>
    <t>evaluation_id</t>
    <phoneticPr fontId="9"/>
  </si>
  <si>
    <t>quest_id</t>
    <phoneticPr fontId="9"/>
  </si>
  <si>
    <t>gift_id</t>
    <phoneticPr fontId="9"/>
  </si>
  <si>
    <t xml:space="preserve">gift_limit </t>
    <phoneticPr fontId="9"/>
  </si>
  <si>
    <t>gifts_tmp_</t>
    <phoneticPr fontId="9"/>
  </si>
  <si>
    <t>.tmp</t>
    <phoneticPr fontId="9"/>
  </si>
  <si>
    <t>ranking_eval_gift</t>
    <phoneticPr fontId="9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</si>
  <si>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</si>
  <si>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</si>
  <si>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</si>
  <si>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</si>
  <si>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gifts_i18n_</t>
    <phoneticPr fontId="9"/>
  </si>
  <si>
    <t>.tmp</t>
    <phoneticPr fontId="9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</si>
  <si>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</si>
  <si>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</si>
  <si>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</si>
  <si>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</si>
  <si>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.tmp</t>
    <phoneticPr fontId="9"/>
  </si>
  <si>
    <t>evaluation_id</t>
    <phoneticPr fontId="9"/>
  </si>
  <si>
    <t>quest_id</t>
    <phoneticPr fontId="9"/>
  </si>
  <si>
    <t>stage_id</t>
    <phoneticPr fontId="9"/>
  </si>
  <si>
    <t>score</t>
    <phoneticPr fontId="9"/>
  </si>
  <si>
    <t>gift_id</t>
    <phoneticPr fontId="9"/>
  </si>
  <si>
    <t>gift_type</t>
    <phoneticPr fontId="11"/>
  </si>
  <si>
    <t>gift_value</t>
    <phoneticPr fontId="11"/>
  </si>
  <si>
    <t>gift_count</t>
    <phoneticPr fontId="11"/>
  </si>
  <si>
    <t>hp_plus</t>
    <phoneticPr fontId="9"/>
  </si>
  <si>
    <t>attack_plus</t>
    <phoneticPr fontId="9"/>
  </si>
  <si>
    <t>heal_plus</t>
    <phoneticPr fontId="9"/>
  </si>
  <si>
    <t>defense_plus</t>
    <phoneticPr fontId="9"/>
  </si>
  <si>
    <t>level</t>
    <phoneticPr fontId="9"/>
  </si>
  <si>
    <t>skill_level</t>
    <phoneticPr fontId="9"/>
  </si>
  <si>
    <t>bug</t>
    <phoneticPr fontId="9"/>
  </si>
  <si>
    <t>language</t>
    <phoneticPr fontId="11"/>
  </si>
  <si>
    <t>title</t>
    <phoneticPr fontId="11"/>
  </si>
  <si>
    <t>detail</t>
    <phoneticPr fontId="11"/>
  </si>
  <si>
    <t>message</t>
    <phoneticPr fontId="11"/>
  </si>
  <si>
    <t xml:space="preserve">gift_limit </t>
    <phoneticPr fontId="9"/>
  </si>
  <si>
    <t>ランキングクエストスコア評価報酬</t>
    <rPh sb="12" eb="14">
      <t>ヒョウカ</t>
    </rPh>
    <rPh sb="14" eb="16">
      <t>ホウシュウ</t>
    </rPh>
    <phoneticPr fontId="11"/>
  </si>
  <si>
    <t>ギガ秘術の果実 × 1</t>
    <rPh sb="2" eb="4">
      <t>ヒジュツ</t>
    </rPh>
    <rPh sb="5" eb="7">
      <t>カジツ</t>
    </rPh>
    <phoneticPr fontId="11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</si>
  <si>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</si>
  <si>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</si>
  <si>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</si>
  <si>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</si>
  <si>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</si>
  <si>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</si>
  <si>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</si>
  <si>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AAA</t>
  </si>
  <si>
    <t>View/RankingBattle_Evelution_AAA.ccbi</t>
  </si>
  <si>
    <t>AA</t>
  </si>
  <si>
    <t>View/RankingBattle_Evelution_AA.ccbi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</si>
  <si>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</si>
  <si>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</si>
  <si>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</si>
  <si>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</si>
  <si>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</si>
  <si>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</si>
  <si>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unit</t>
    <phoneticPr fontId="11"/>
  </si>
  <si>
    <t>ja</t>
    <phoneticPr fontId="11"/>
  </si>
  <si>
    <t>リトルハンプティ × 1</t>
    <phoneticPr fontId="11"/>
  </si>
  <si>
    <t>オイラーチャレンジ
スコア評価報酬</t>
    <phoneticPr fontId="11"/>
  </si>
  <si>
    <t>item</t>
    <phoneticPr fontId="11"/>
  </si>
  <si>
    <t>マスターキー × 2</t>
    <phoneticPr fontId="11"/>
  </si>
  <si>
    <t>刀のチケットピース × 1</t>
    <phoneticPr fontId="11"/>
  </si>
  <si>
    <t>polygon</t>
    <phoneticPr fontId="11"/>
  </si>
  <si>
    <t>null</t>
    <phoneticPr fontId="9"/>
  </si>
  <si>
    <t>ポリゴン × 3</t>
    <phoneticPr fontId="11"/>
  </si>
  <si>
    <t>限界突破キー × 2</t>
    <rPh sb="0" eb="4">
      <t>ゲンカイトッパ</t>
    </rPh>
    <phoneticPr fontId="11"/>
  </si>
  <si>
    <t>経験値キー × 2</t>
    <rPh sb="0" eb="3">
      <t>ケイケンチ</t>
    </rPh>
    <phoneticPr fontId="11"/>
  </si>
  <si>
    <t>ビットキー × 2</t>
    <phoneticPr fontId="11"/>
  </si>
  <si>
    <t>ポリゴン × 2</t>
    <phoneticPr fontId="11"/>
  </si>
  <si>
    <t>bit</t>
    <phoneticPr fontId="11"/>
  </si>
  <si>
    <t>200000ビット</t>
    <phoneticPr fontId="9"/>
  </si>
  <si>
    <t>link</t>
    <phoneticPr fontId="11"/>
  </si>
  <si>
    <t>2000リンク</t>
    <phoneticPr fontId="9"/>
  </si>
  <si>
    <t>item</t>
  </si>
  <si>
    <t>刀のランキングチケット × 1</t>
  </si>
  <si>
    <t>ランキングクエスト報酬</t>
    <rPh sb="9" eb="11">
      <t>ホウシュウ</t>
    </rPh>
    <phoneticPr fontId="12"/>
  </si>
  <si>
    <t>オイラーチャレンジ
順位報酬</t>
    <rPh sb="10" eb="12">
      <t>ジュンイ</t>
    </rPh>
    <rPh sb="12" eb="14">
      <t>ホウシュウ</t>
    </rPh>
    <phoneticPr fontId="12"/>
  </si>
  <si>
    <t>刀のチケットピース × 2</t>
  </si>
  <si>
    <t>polygon</t>
  </si>
  <si>
    <t>null</t>
  </si>
  <si>
    <t>ポリゴン×10</t>
  </si>
  <si>
    <t>unit</t>
  </si>
  <si>
    <t>リトルハンプティ×1</t>
  </si>
  <si>
    <t>ギガ秘術の果実×1</t>
    <rPh sb="2" eb="4">
      <t>ヒジュツ</t>
    </rPh>
    <rPh sb="5" eb="7">
      <t>カジツ</t>
    </rPh>
    <phoneticPr fontId="12"/>
  </si>
  <si>
    <t>刀のチケットピース × 1</t>
  </si>
  <si>
    <t>ポリゴン×5</t>
  </si>
  <si>
    <t>メガ秘術の果実 ×1</t>
    <rPh sb="2" eb="4">
      <t>ヒジュツ</t>
    </rPh>
    <rPh sb="5" eb="7">
      <t>カジツ</t>
    </rPh>
    <phoneticPr fontId="12"/>
  </si>
  <si>
    <t>マスターキー×3</t>
  </si>
  <si>
    <t>刀のチケットピース × 3</t>
  </si>
  <si>
    <t>炎のメタルジェントル ×1</t>
    <rPh sb="0" eb="1">
      <t>ホノオ</t>
    </rPh>
    <phoneticPr fontId="12"/>
  </si>
  <si>
    <t>森のメタルジェントル ×1</t>
    <rPh sb="0" eb="1">
      <t>モリノ</t>
    </rPh>
    <phoneticPr fontId="12"/>
  </si>
  <si>
    <t>水のメタルジェントル ×1</t>
    <rPh sb="0" eb="1">
      <t>ミズノ</t>
    </rPh>
    <phoneticPr fontId="12"/>
  </si>
  <si>
    <t>雷のメタルジェントル ×1</t>
    <rPh sb="0" eb="1">
      <t>カミナリ</t>
    </rPh>
    <phoneticPr fontId="12"/>
  </si>
  <si>
    <t>秘術の果実 ×1</t>
    <rPh sb="0" eb="2">
      <t>ヒジュツ</t>
    </rPh>
    <rPh sb="3" eb="5">
      <t>カジツ</t>
    </rPh>
    <phoneticPr fontId="12"/>
  </si>
  <si>
    <t>マスターキー×1</t>
  </si>
  <si>
    <t>link</t>
  </si>
  <si>
    <t>2000リンク</t>
  </si>
  <si>
    <t>炎のメタルダック ×1</t>
    <rPh sb="0" eb="1">
      <t>ホノオ</t>
    </rPh>
    <phoneticPr fontId="12"/>
  </si>
  <si>
    <t>森のメタルダック ×1</t>
    <rPh sb="0" eb="1">
      <t>モリノ</t>
    </rPh>
    <phoneticPr fontId="12"/>
  </si>
  <si>
    <t>水のメタルダック ×1</t>
    <rPh sb="0" eb="1">
      <t>ミズノ</t>
    </rPh>
    <phoneticPr fontId="12"/>
  </si>
  <si>
    <t>雷のメタルダック ×1</t>
    <rPh sb="0" eb="1">
      <t>カミナリ</t>
    </rPh>
    <phoneticPr fontId="12"/>
  </si>
  <si>
    <t>ポリゴン×3</t>
  </si>
  <si>
    <t>20万ビット</t>
    <rPh sb="2" eb="3">
      <t>マン</t>
    </rPh>
    <phoneticPr fontId="12"/>
  </si>
  <si>
    <t>ポリゴン×2</t>
  </si>
  <si>
    <t>1000リンク</t>
  </si>
  <si>
    <t>15万ビット</t>
    <rPh sb="2" eb="3">
      <t>マン</t>
    </rPh>
    <phoneticPr fontId="12"/>
  </si>
  <si>
    <t>ポリゴン×1</t>
  </si>
  <si>
    <t>10万ビット</t>
    <rPh sb="2" eb="3">
      <t>マン</t>
    </rPh>
    <phoneticPr fontId="12"/>
  </si>
  <si>
    <t>ja</t>
    <phoneticPr fontId="9"/>
  </si>
  <si>
    <t>ja</t>
    <phoneticPr fontId="9"/>
  </si>
  <si>
    <t>今にもスパークしそうだ！</t>
    <rPh sb="0" eb="1">
      <t>イマ</t>
    </rPh>
    <phoneticPr fontId="9"/>
  </si>
  <si>
    <t>全体攻撃</t>
    <rPh sb="0" eb="4">
      <t>ゼンタイコウゲキ</t>
    </rPh>
    <phoneticPr fontId="9"/>
  </si>
  <si>
    <t>追い払ってやるゼェ！</t>
    <rPh sb="0" eb="1">
      <t>オイハラッt</t>
    </rPh>
    <phoneticPr fontId="9"/>
  </si>
  <si>
    <t>ギュイイーン</t>
  </si>
  <si>
    <t>タオス！タオス！</t>
  </si>
  <si>
    <t>リミッターカイジョ！</t>
  </si>
  <si>
    <t>ここまでは想定通りね</t>
    <rPh sb="5" eb="8">
      <t>ソウテイドオ</t>
    </rPh>
    <phoneticPr fontId="9"/>
  </si>
  <si>
    <t>次はこれよ！</t>
    <rPh sb="0" eb="1">
      <t>ツギ</t>
    </rPh>
    <phoneticPr fontId="9"/>
  </si>
  <si>
    <t>いい反応ね…</t>
    <rPh sb="2" eb="4">
      <t>ハンノウ</t>
    </rPh>
    <phoneticPr fontId="9"/>
  </si>
  <si>
    <t>最終段階に移行しましょう</t>
    <rPh sb="0" eb="4">
      <t>サイシュウダンカイ</t>
    </rPh>
    <rPh sb="5" eb="7">
      <t>イコウ</t>
    </rPh>
    <phoneticPr fontId="9"/>
  </si>
  <si>
    <t>予想以上の結果だわ…</t>
    <rPh sb="0" eb="4">
      <t>ヨソウイジョウ</t>
    </rPh>
    <rPh sb="5" eb="7">
      <t>ケッカ</t>
    </rPh>
    <phoneticPr fontId="9"/>
  </si>
  <si>
    <t>本気でいくニャー！</t>
    <rPh sb="0" eb="2">
      <t>ホンキ</t>
    </rPh>
    <phoneticPr fontId="9"/>
  </si>
  <si>
    <t>null</t>
    <phoneticPr fontId="9"/>
  </si>
  <si>
    <t>old</t>
  </si>
  <si>
    <t>ranking_stage_evaluation_gifts_</t>
  </si>
  <si>
    <t>ガガ…ピー！</t>
  </si>
  <si>
    <t>出力全開だニャ！</t>
  </si>
  <si>
    <t>こいつの凄さを見せてやるニャ！</t>
  </si>
  <si>
    <t>必殺の一撃だニャ！</t>
  </si>
  <si>
    <t>エネルギーチャージだニャ！</t>
  </si>
  <si>
    <t>突撃だニャー！</t>
  </si>
  <si>
    <t>コッパミジンにしてやるニャー！</t>
  </si>
  <si>
    <t>いくわよ！</t>
  </si>
  <si>
    <t>何かを試されているようだ</t>
  </si>
  <si>
    <t>これならどうかしら？</t>
  </si>
  <si>
    <t>なかなかやるわね…</t>
  </si>
  <si>
    <t>全体攻撃</t>
  </si>
  <si>
    <t>見せてあげる！</t>
  </si>
  <si>
    <t>これは耐えられるかしら？</t>
  </si>
  <si>
    <t>そろそろ限界かしら？</t>
  </si>
  <si>
    <t>赤パネルを吸収して全体攻撃</t>
    <rPh sb="0" eb="1">
      <t>アカ</t>
    </rPh>
    <rPh sb="5" eb="7">
      <t>キュウシュウ</t>
    </rPh>
    <phoneticPr fontId="9"/>
  </si>
  <si>
    <t>次ターン強力な攻撃！</t>
    <rPh sb="0" eb="1">
      <t>ツギ</t>
    </rPh>
    <rPh sb="4" eb="6">
      <t>キョウリョク</t>
    </rPh>
    <rPh sb="7" eb="9">
      <t>コウゲキ</t>
    </rPh>
    <phoneticPr fontId="9"/>
  </si>
  <si>
    <t>次条係数</t>
    <rPh sb="0" eb="2">
      <t>jijyou</t>
    </rPh>
    <rPh sb="2" eb="4">
      <t>ケイス</t>
    </rPh>
    <phoneticPr fontId="9"/>
  </si>
  <si>
    <t>param_code</t>
    <phoneticPr fontId="9"/>
  </si>
  <si>
    <t>x</t>
    <phoneticPr fontId="9"/>
  </si>
  <si>
    <t>y</t>
    <phoneticPr fontId="9"/>
  </si>
  <si>
    <t>a</t>
    <phoneticPr fontId="9"/>
  </si>
  <si>
    <t>b</t>
    <phoneticPr fontId="9"/>
  </si>
  <si>
    <t>param_code</t>
    <phoneticPr fontId="9"/>
  </si>
  <si>
    <t>x</t>
    <phoneticPr fontId="9"/>
  </si>
  <si>
    <t>y</t>
    <phoneticPr fontId="9"/>
  </si>
  <si>
    <t>a</t>
    <phoneticPr fontId="9"/>
  </si>
  <si>
    <t>b</t>
    <phoneticPr fontId="9"/>
  </si>
  <si>
    <t xml:space="preserve">[effect:enemy_message, val1:1.2, val2:1.2],[effect:kamikaze, val:0.4]    </t>
  </si>
  <si>
    <t xml:space="preserve">[effect:enemy_message, val1:1.2, val2:1.2],[effect:rush, count:4, val:0.27]    </t>
  </si>
  <si>
    <t xml:space="preserve">[effect:enemy_message, val1:1.2, val2:1.2],[effect:rush, count:1, val:1]    </t>
  </si>
  <si>
    <t>[effect:enemy_message, val1:1.2, val2:1.2],[effect:spread, val:0.35]</t>
  </si>
  <si>
    <t>[effect:enemy_message, val1:1.2, val2:1.2],[effect:tolerance, target:myself, turn:-1, count:-1, tolerance_effect:all, animation:enemy_tolerance],[effect:fix_speed, target:myself, turn:1]</t>
  </si>
  <si>
    <t>5ターン敵全体の攻撃力UP</t>
  </si>
  <si>
    <t>3ターン敵全体の防御力UP</t>
    <rPh sb="8" eb="10">
      <t>ボウギョ</t>
    </rPh>
    <phoneticPr fontId="9"/>
  </si>
  <si>
    <t>リンドブルムの攻撃頻度UP</t>
  </si>
  <si>
    <t>ランダムで緑の時限式ダメージパネルに最大8個変換+
8回連続攻撃</t>
    <rPh sb="7" eb="10">
      <t>ジゲンシキ</t>
    </rPh>
    <rPh sb="21" eb="22">
      <t>※</t>
    </rPh>
    <rPh sb="27" eb="28">
      <t>カイ</t>
    </rPh>
    <rPh sb="28" eb="30">
      <t>レンゾク</t>
    </rPh>
    <rPh sb="30" eb="32">
      <t>コウゲキ</t>
    </rPh>
    <phoneticPr fontId="9"/>
  </si>
  <si>
    <t>ランダムで緑の時限式ダメージパネルに最大4個変換+
4回連続攻撃</t>
  </si>
  <si>
    <t>ランダムで緑の時限式ダメージパネルに最大6個変換+
6回連続攻撃</t>
  </si>
  <si>
    <t>特別緊急配備！</t>
  </si>
  <si>
    <t>4回連続攻撃</t>
  </si>
  <si>
    <t>次ターン強力な攻撃！</t>
  </si>
  <si>
    <t>クリティカル！</t>
  </si>
  <si>
    <t>[effect:enemy_message, val1:1.2, val2:1.2]</t>
  </si>
  <si>
    <t>[effect:enemy_message, val1:1.2, val2:1.3],[effect:break_attack_fix, target:unit_all, val:0, lowest_val:1700, count:-1, block01:block_red]</t>
  </si>
  <si>
    <t>[effect:enemy_message, val1:1.3, val2:1.2]</t>
  </si>
  <si>
    <t xml:space="preserve">[effect:enemy_message, val1:1.4, val2:1.3],[effect:enhance_enemy, target:enemy_all, turn:3, status:defense, val:4000, calc:add, animation:enemy_enhance_defense]    </t>
  </si>
  <si>
    <t xml:space="preserve">[effect:enemy_message, val1:1.2, val2:1.3],[effect:freq_turn, target:myself, turn:-1, val:1, animation:enemy_freq_turn]    </t>
  </si>
  <si>
    <t>[effect:enemy_message, val1:1.2, val2:3.1],[effect:force_change_block, new_block:time_bomb, target:block_all, ignore01:block_positive, ignore02:block_negative, count:6, val:0.2, min_time_count:3, max_time_count:3],[effect:rush, count:6, val:0.2]</t>
  </si>
  <si>
    <t>自爆攻撃</t>
    <phoneticPr fontId="9"/>
  </si>
  <si>
    <t>状態異常耐性</t>
    <phoneticPr fontId="9"/>
  </si>
  <si>
    <t>[effect:enemy_message, val1:1.2, val2:4.1],[effect:force_change_block, new_block:time_bomb, target:block_all, ignore01:block_positive, ignore02:block_negative, count:20, val:0.1, min_time_count:1, max_time_count:1]</t>
  </si>
  <si>
    <t>でも…これならどうかしら！？
【ランダムで緑の時限式ダメージパネルに最大20個変換】</t>
    <phoneticPr fontId="9"/>
  </si>
  <si>
    <t>[effect:enemy_message, val1:1.2, val2:1.2],[effect:critical, val:1.15]</t>
  </si>
  <si>
    <t>ランダムで赤の時限式ダメージパネルに最大10個変換+
クリティカル！</t>
    <phoneticPr fontId="9"/>
  </si>
  <si>
    <t>[effect:enemy_message, val1:1.5, val2:3.3],[effect:force_change_block, new_block:time_bomb, target:block_all, ignore01:block_positive, ignore02:block_negative, count:10, val:0.2, min_time_count:2, max_time_count:2],[effect:critical, val:1.3]</t>
  </si>
  <si>
    <t>ランダムで緑の時限式ダメージパネルに最大5個変換+
5回連続攻撃</t>
    <phoneticPr fontId="9"/>
  </si>
  <si>
    <t>ランダムで赤の時限式ダメージパネルに最大10個変換+
解除するまで種族ドラゴン以外の攻撃をカウンター</t>
    <rPh sb="7" eb="10">
      <t>ジg</t>
    </rPh>
    <rPh sb="22" eb="23">
      <t>コ</t>
    </rPh>
    <phoneticPr fontId="9"/>
  </si>
  <si>
    <t>種族ドラゴンのスキルゲージを3ターン減少</t>
    <phoneticPr fontId="9"/>
  </si>
  <si>
    <t>[effect:enemy_message, val1:1.5, val2:4.9],[effect:force_change_block, new_block:time_bomb, target:block_all, ignore01:block_positive, ignore02:block_negative, count:10, val:0.2, min_time_count:3, max_time_count:3],[effect:enemy_counter, target:myself, invoke_condition:unit_dragon/not, counter_target:attacker, turn:-1, val:0.2, animation:enemy_counter]</t>
  </si>
  <si>
    <t>赤属性以外のダメージ50%軽減+
4ターン赤属性以外のユニットにスキルバインド</t>
    <phoneticPr fontId="9"/>
  </si>
  <si>
    <t>[effect:enemy_message, val1:1.2, val2:3.8],[effect:reduction, target:myself, reduction_target:unit_red/not, turn:-1, val:0.5, animation:reduction_one03],[effect:hungup, target:unit_red/not, turn:4, rate:1, animation:hungup03]</t>
  </si>
  <si>
    <t xml:space="preserve">[effect:enemy_message, val1:1.2, val2:1.3],[effect:enhance_enemy, target:enemy_all, turn:5, status:attack, val:0.3, calc:mul, animation:enemy_enhance_attack]    </t>
  </si>
  <si>
    <t>4ターン赤属性以外のユニットにスキルバインド+
状態異常耐性</t>
    <phoneticPr fontId="9"/>
  </si>
  <si>
    <t>[effect:enemy_message, val1:1.2, val2:3.1],[effect:force_change_block, new_block:time_bomb, target:block_all, ignore01:block_positive, ignore02:block_negative, count:4, val:0.2, min_time_count:3, max_time_count:3],[effect:rush, count:4, val:0.29]</t>
  </si>
  <si>
    <t>[effect:enemy_message, val1:1.2, val2:2.0],[effect:sp_boost, target:unit_dragon, val:3, animation:sp_boost_one02]</t>
  </si>
  <si>
    <t>あなたは[player_ranking_grade]の挑戦者ね！</t>
    <phoneticPr fontId="9"/>
  </si>
  <si>
    <t>[effect:enemy_message, val1:1.5, val2:2.9],[effect:hungup, target:unit_red/not, turn:4, rate:1, animation:hungup03],[effect:tolerance, target:myself, turn:-1, count:-1, tolerance_effect:all, animation:enemy_tolerance]</t>
    <phoneticPr fontId="9"/>
  </si>
  <si>
    <t xml:space="preserve">[effect:enemy_message, val1:1.2, val2:3.1],[effect:force_change_block, new_block:time_bomb, target:block_all, ignore01:block_positive, ignore02:block_negative, count:5, val:0.2, min_time_count:3, max_time_count:3],[effect:rush, count:5, val:0.25]    </t>
    <phoneticPr fontId="9"/>
  </si>
  <si>
    <t>[effect:enemy_message, val1:1.2, val2:3.1],[effect:force_change_block, new_block:time_bomb, target:block_all, ignore01:block_positive, ignore02:block_negative, count:8, val:0.1, min_time_count:3, max_time_count:3],[effect:rush, count:8, val:0.15]</t>
    <phoneticPr fontId="9"/>
  </si>
  <si>
    <t>状態異常耐性+1ターン黄パネルを
緑の時限式ダメージパネルとしてドロップ</t>
    <phoneticPr fontId="9"/>
  </si>
  <si>
    <t>[effect:enemy_message, val1:1.2, val2:3.1],[effect:tolerance, target:myself, turn:-1, count:-1, tolerance_effect:all, animation:enemy_tolerance],[effect:drop_block, block_type:time_bomb, block_color:block_green, color:block_yellow, val:0.1, rate:1, turn:1, min_time_count:3, max_time_count:3]</t>
    <phoneticPr fontId="9"/>
  </si>
  <si>
    <t>オトリになるのは
得意だゼェ！</t>
    <rPh sb="9" eb="11">
      <t>tokuidaze</t>
    </rPh>
    <phoneticPr fontId="9"/>
  </si>
  <si>
    <t>ピガガッ！！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</si>
</sst>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0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730">
    <xf numFmtId="0" fontId="0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7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2" fillId="0" borderId="0"/>
    <xf numFmtId="38" fontId="23" fillId="0" borderId="0" applyFill="0" applyBorder="0" applyAlignment="0" applyProtection="0"/>
    <xf numFmtId="0" fontId="24" fillId="8" borderId="0" applyNumberFormat="0" applyBorder="0" applyAlignment="0" applyProtection="0"/>
    <xf numFmtId="0" fontId="25" fillId="9" borderId="0" applyNumberFormat="0" applyBorder="0" applyAlignment="0" applyProtection="0"/>
    <xf numFmtId="0" fontId="26" fillId="0" borderId="0"/>
    <xf numFmtId="0" fontId="27" fillId="0" borderId="0">
      <alignment vertical="center"/>
    </xf>
    <xf numFmtId="0" fontId="28" fillId="0" borderId="0">
      <alignment vertical="center"/>
    </xf>
    <xf numFmtId="0" fontId="29" fillId="10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6" fillId="0" borderId="0"/>
    <xf numFmtId="0" fontId="6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38" fontId="5" fillId="0" borderId="0" applyFont="0" applyFill="0" applyBorder="0" applyAlignment="0" applyProtection="0">
      <alignment vertical="center"/>
    </xf>
    <xf numFmtId="0" fontId="34" fillId="16" borderId="12" applyNumberFormat="0" applyAlignment="0" applyProtection="0"/>
    <xf numFmtId="0" fontId="35" fillId="17" borderId="0" applyNumberFormat="0" applyBorder="0" applyAlignment="0" applyProtection="0"/>
    <xf numFmtId="0" fontId="36" fillId="18" borderId="13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4" applyNumberFormat="0" applyAlignment="0" applyProtection="0"/>
    <xf numFmtId="0" fontId="40" fillId="0" borderId="0" applyNumberFormat="0" applyFill="0" applyBorder="0" applyAlignment="0" applyProtection="0"/>
    <xf numFmtId="0" fontId="41" fillId="0" borderId="15" applyNumberFormat="0" applyFill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8" applyNumberFormat="0" applyFill="0" applyAlignment="0" applyProtection="0"/>
    <xf numFmtId="0" fontId="48" fillId="18" borderId="19" applyNumberFormat="0" applyAlignment="0" applyProtection="0"/>
    <xf numFmtId="0" fontId="48" fillId="29" borderId="19" applyNumberFormat="0" applyAlignment="0" applyProtection="0"/>
    <xf numFmtId="0" fontId="36" fillId="17" borderId="13" applyNumberFormat="0" applyAlignment="0" applyProtection="0"/>
    <xf numFmtId="0" fontId="49" fillId="0" borderId="20" applyNumberFormat="0" applyFill="0" applyAlignment="0" applyProtection="0"/>
    <xf numFmtId="0" fontId="50" fillId="29" borderId="13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1" applyNumberFormat="0" applyFill="0" applyAlignment="0" applyProtection="0"/>
    <xf numFmtId="0" fontId="5" fillId="0" borderId="0"/>
    <xf numFmtId="0" fontId="5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38" fontId="2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89">
    <xf numFmtId="0" fontId="0" fillId="0" borderId="0" xfId="0"/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0" fillId="5" borderId="3" xfId="0" applyFont="1" applyFill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10" fillId="5" borderId="1" xfId="0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horizontal="center" vertical="center"/>
    </xf>
    <xf numFmtId="0" fontId="16" fillId="7" borderId="0" xfId="0" applyFont="1" applyFill="1" applyAlignment="1">
      <alignment vertical="center"/>
    </xf>
    <xf numFmtId="0" fontId="10" fillId="5" borderId="9" xfId="0" applyFont="1" applyFill="1" applyBorder="1" applyAlignment="1">
      <alignment vertical="center"/>
    </xf>
    <xf numFmtId="0" fontId="10" fillId="5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6" fontId="8" fillId="0" borderId="3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vertical="center"/>
    </xf>
    <xf numFmtId="0" fontId="8" fillId="3" borderId="1" xfId="0" applyFont="1" applyFill="1" applyBorder="1" applyAlignment="1">
      <alignment vertical="center"/>
    </xf>
    <xf numFmtId="177" fontId="12" fillId="0" borderId="4" xfId="0" applyNumberFormat="1" applyFont="1" applyBorder="1" applyAlignment="1">
      <alignment vertical="center"/>
    </xf>
    <xf numFmtId="0" fontId="8" fillId="2" borderId="7" xfId="0" applyFont="1" applyFill="1" applyBorder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6" borderId="7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vertical="center"/>
    </xf>
    <xf numFmtId="0" fontId="18" fillId="7" borderId="0" xfId="0" applyFont="1" applyFill="1" applyAlignment="1">
      <alignment vertical="center"/>
    </xf>
    <xf numFmtId="0" fontId="20" fillId="6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3" borderId="7" xfId="0" applyFont="1" applyFill="1" applyBorder="1" applyAlignment="1">
      <alignment horizontal="left" vertical="center"/>
    </xf>
    <xf numFmtId="0" fontId="20" fillId="0" borderId="7" xfId="0" applyFont="1" applyFill="1" applyBorder="1" applyAlignment="1">
      <alignment vertical="center"/>
    </xf>
    <xf numFmtId="0" fontId="20" fillId="3" borderId="7" xfId="0" applyFont="1" applyFill="1" applyBorder="1" applyAlignment="1">
      <alignment vertical="center"/>
    </xf>
    <xf numFmtId="0" fontId="20" fillId="0" borderId="0" xfId="0" applyFont="1" applyFill="1" applyAlignment="1">
      <alignment vertical="center"/>
    </xf>
    <xf numFmtId="0" fontId="20" fillId="0" borderId="7" xfId="0" applyFont="1" applyFill="1" applyBorder="1" applyAlignment="1">
      <alignment horizontal="left" vertical="center"/>
    </xf>
    <xf numFmtId="0" fontId="20" fillId="0" borderId="7" xfId="0" applyFont="1" applyFill="1" applyBorder="1" applyAlignment="1">
      <alignment horizontal="left" vertical="center" wrapText="1"/>
    </xf>
    <xf numFmtId="14" fontId="20" fillId="0" borderId="7" xfId="0" applyNumberFormat="1" applyFont="1" applyFill="1" applyBorder="1" applyAlignment="1">
      <alignment horizontal="left" vertical="center"/>
    </xf>
    <xf numFmtId="0" fontId="15" fillId="6" borderId="2" xfId="0" applyFont="1" applyFill="1" applyBorder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17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30" fillId="12" borderId="7" xfId="0" applyFont="1" applyFill="1" applyBorder="1"/>
    <xf numFmtId="0" fontId="17" fillId="11" borderId="7" xfId="434" applyFont="1" applyFill="1" applyBorder="1" applyAlignment="1"/>
    <xf numFmtId="0" fontId="28" fillId="0" borderId="7" xfId="434" applyBorder="1" applyAlignment="1"/>
    <xf numFmtId="0" fontId="0" fillId="13" borderId="7" xfId="0" applyFill="1" applyBorder="1"/>
    <xf numFmtId="0" fontId="20" fillId="3" borderId="7" xfId="0" applyFont="1" applyFill="1" applyBorder="1" applyAlignment="1">
      <alignment horizontal="left" vertical="center" wrapText="1"/>
    </xf>
    <xf numFmtId="0" fontId="20" fillId="6" borderId="7" xfId="614" applyFont="1" applyFill="1" applyBorder="1" applyAlignment="1">
      <alignment horizontal="left"/>
    </xf>
    <xf numFmtId="0" fontId="18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6" fillId="11" borderId="7" xfId="615" applyFill="1" applyBorder="1"/>
    <xf numFmtId="0" fontId="8" fillId="0" borderId="7" xfId="0" applyFont="1" applyBorder="1" applyAlignment="1">
      <alignment vertical="center"/>
    </xf>
    <xf numFmtId="0" fontId="20" fillId="3" borderId="7" xfId="614" applyFont="1" applyFill="1" applyBorder="1" applyAlignment="1">
      <alignment horizontal="left"/>
    </xf>
    <xf numFmtId="0" fontId="20" fillId="6" borderId="7" xfId="0" applyFont="1" applyFill="1" applyBorder="1" applyAlignment="1">
      <alignment horizontal="center"/>
    </xf>
    <xf numFmtId="56" fontId="20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6" fillId="0" borderId="0" xfId="615"/>
    <xf numFmtId="0" fontId="31" fillId="6" borderId="7" xfId="0" applyFont="1" applyFill="1" applyBorder="1" applyAlignment="1">
      <alignment horizontal="center"/>
    </xf>
    <xf numFmtId="0" fontId="20" fillId="3" borderId="7" xfId="0" applyFont="1" applyFill="1" applyBorder="1" applyAlignment="1">
      <alignment horizontal="center"/>
    </xf>
    <xf numFmtId="0" fontId="20" fillId="14" borderId="7" xfId="0" applyFont="1" applyFill="1" applyBorder="1" applyAlignment="1">
      <alignment horizontal="center"/>
    </xf>
    <xf numFmtId="0" fontId="20" fillId="15" borderId="7" xfId="0" applyFont="1" applyFill="1" applyBorder="1" applyAlignment="1">
      <alignment horizontal="center"/>
    </xf>
    <xf numFmtId="0" fontId="0" fillId="15" borderId="7" xfId="0" applyFill="1" applyBorder="1"/>
    <xf numFmtId="0" fontId="32" fillId="0" borderId="7" xfId="0" applyFont="1" applyFill="1" applyBorder="1"/>
    <xf numFmtId="0" fontId="33" fillId="3" borderId="11" xfId="0" applyFont="1" applyFill="1" applyBorder="1" applyAlignment="1">
      <alignment vertical="center"/>
    </xf>
    <xf numFmtId="0" fontId="31" fillId="0" borderId="0" xfId="0" applyFont="1" applyFill="1"/>
    <xf numFmtId="0" fontId="20" fillId="30" borderId="7" xfId="0" applyFont="1" applyFill="1" applyBorder="1" applyAlignment="1">
      <alignment horizontal="center"/>
    </xf>
    <xf numFmtId="0" fontId="20" fillId="13" borderId="7" xfId="0" applyFont="1" applyFill="1" applyBorder="1" applyAlignment="1">
      <alignment horizontal="center"/>
    </xf>
    <xf numFmtId="56" fontId="20" fillId="14" borderId="7" xfId="0" applyNumberFormat="1" applyFont="1" applyFill="1" applyBorder="1" applyAlignment="1">
      <alignment horizontal="center"/>
    </xf>
    <xf numFmtId="0" fontId="20" fillId="6" borderId="7" xfId="11" applyFont="1" applyFill="1" applyBorder="1" applyAlignment="1">
      <alignment horizontal="left"/>
    </xf>
    <xf numFmtId="0" fontId="6" fillId="6" borderId="0" xfId="615" applyFill="1"/>
    <xf numFmtId="0" fontId="8" fillId="31" borderId="7" xfId="0" applyFont="1" applyFill="1" applyBorder="1" applyAlignment="1">
      <alignment vertical="center"/>
    </xf>
    <xf numFmtId="0" fontId="20" fillId="6" borderId="22" xfId="0" applyFont="1" applyFill="1" applyBorder="1" applyAlignment="1">
      <alignment horizontal="center"/>
    </xf>
    <xf numFmtId="0" fontId="12" fillId="33" borderId="7" xfId="0" applyFont="1" applyFill="1" applyBorder="1" applyAlignment="1">
      <alignment horizontal="left" vertical="center"/>
    </xf>
    <xf numFmtId="0" fontId="20" fillId="32" borderId="7" xfId="432" applyFont="1" applyFill="1" applyBorder="1" applyAlignment="1">
      <alignment horizontal="left" vertical="center"/>
    </xf>
    <xf numFmtId="0" fontId="33" fillId="0" borderId="0" xfId="0" applyFont="1" applyFill="1" applyBorder="1" applyAlignment="1">
      <alignment vertical="center"/>
    </xf>
    <xf numFmtId="0" fontId="20" fillId="14" borderId="22" xfId="0" applyFont="1" applyFill="1" applyBorder="1" applyAlignment="1">
      <alignment horizontal="center"/>
    </xf>
    <xf numFmtId="0" fontId="20" fillId="0" borderId="0" xfId="432" applyFont="1" applyAlignment="1">
      <alignment vertical="center"/>
    </xf>
    <xf numFmtId="0" fontId="20" fillId="0" borderId="0" xfId="432" applyFont="1" applyAlignment="1">
      <alignment vertical="center" wrapText="1"/>
    </xf>
    <xf numFmtId="0" fontId="5" fillId="0" borderId="7" xfId="676" applyBorder="1"/>
    <xf numFmtId="0" fontId="5" fillId="11" borderId="7" xfId="676" applyFill="1" applyBorder="1"/>
    <xf numFmtId="0" fontId="4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5" fillId="34" borderId="7" xfId="676" applyFill="1" applyBorder="1"/>
    <xf numFmtId="0" fontId="0" fillId="6" borderId="0" xfId="0" applyFill="1"/>
    <xf numFmtId="0" fontId="0" fillId="34" borderId="7" xfId="676" applyFont="1" applyFill="1" applyBorder="1"/>
    <xf numFmtId="0" fontId="0" fillId="0" borderId="7" xfId="615" applyFont="1" applyFill="1" applyBorder="1"/>
    <xf numFmtId="0" fontId="3" fillId="6" borderId="7" xfId="434" applyFont="1" applyFill="1" applyBorder="1" applyAlignment="1"/>
    <xf numFmtId="0" fontId="0" fillId="0" borderId="7" xfId="676" applyFont="1" applyFill="1" applyBorder="1"/>
    <xf numFmtId="0" fontId="53" fillId="35" borderId="7" xfId="0" applyFont="1" applyFill="1" applyBorder="1"/>
    <xf numFmtId="0" fontId="20" fillId="0" borderId="7" xfId="0" applyFont="1" applyBorder="1" applyAlignment="1">
      <alignment horizontal="left" vertical="center"/>
    </xf>
    <xf numFmtId="0" fontId="20" fillId="0" borderId="7" xfId="432" applyFont="1" applyBorder="1" applyAlignment="1">
      <alignment horizontal="left" vertical="center"/>
    </xf>
    <xf numFmtId="0" fontId="20" fillId="0" borderId="7" xfId="432" applyFont="1" applyBorder="1" applyAlignment="1">
      <alignment horizontal="left" vertical="center" wrapText="1"/>
    </xf>
    <xf numFmtId="3" fontId="8" fillId="0" borderId="7" xfId="0" applyNumberFormat="1" applyFont="1" applyFill="1" applyBorder="1" applyAlignment="1">
      <alignment horizontal="center" vertical="center"/>
    </xf>
    <xf numFmtId="0" fontId="0" fillId="36" borderId="23" xfId="0" applyNumberFormat="1" applyFill="1" applyBorder="1"/>
    <xf numFmtId="0" fontId="0" fillId="36" borderId="24" xfId="0" applyFill="1" applyBorder="1"/>
    <xf numFmtId="38" fontId="0" fillId="36" borderId="25" xfId="0" applyNumberFormat="1" applyFill="1" applyBorder="1"/>
    <xf numFmtId="0" fontId="0" fillId="36" borderId="26" xfId="0" applyNumberFormat="1" applyFill="1" applyBorder="1"/>
    <xf numFmtId="0" fontId="0" fillId="36" borderId="7" xfId="0" applyFill="1" applyBorder="1"/>
    <xf numFmtId="38" fontId="0" fillId="36" borderId="27" xfId="0" applyNumberFormat="1" applyFill="1" applyBorder="1"/>
    <xf numFmtId="0" fontId="0" fillId="36" borderId="28" xfId="0" applyNumberFormat="1" applyFill="1" applyBorder="1"/>
    <xf numFmtId="0" fontId="0" fillId="36" borderId="29" xfId="0" applyFill="1" applyBorder="1"/>
    <xf numFmtId="38" fontId="0" fillId="36" borderId="30" xfId="0" applyNumberFormat="1" applyFill="1" applyBorder="1"/>
    <xf numFmtId="0" fontId="0" fillId="37" borderId="23" xfId="0" applyNumberFormat="1" applyFill="1" applyBorder="1"/>
    <xf numFmtId="0" fontId="0" fillId="37" borderId="24" xfId="0" applyFill="1" applyBorder="1"/>
    <xf numFmtId="38" fontId="0" fillId="37" borderId="25" xfId="0" applyNumberFormat="1" applyFill="1" applyBorder="1"/>
    <xf numFmtId="0" fontId="0" fillId="37" borderId="26" xfId="0" applyNumberFormat="1" applyFill="1" applyBorder="1"/>
    <xf numFmtId="0" fontId="0" fillId="37" borderId="7" xfId="0" applyFill="1" applyBorder="1"/>
    <xf numFmtId="38" fontId="0" fillId="37" borderId="27" xfId="0" applyNumberFormat="1" applyFill="1" applyBorder="1"/>
    <xf numFmtId="0" fontId="0" fillId="37" borderId="28" xfId="0" applyNumberFormat="1" applyFill="1" applyBorder="1"/>
    <xf numFmtId="0" fontId="0" fillId="37" borderId="29" xfId="0" applyFill="1" applyBorder="1"/>
    <xf numFmtId="38" fontId="0" fillId="37" borderId="30" xfId="0" applyNumberFormat="1" applyFill="1" applyBorder="1"/>
    <xf numFmtId="0" fontId="20" fillId="0" borderId="7" xfId="432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 vertical="center"/>
    </xf>
    <xf numFmtId="0" fontId="33" fillId="0" borderId="11" xfId="0" applyFont="1" applyFill="1" applyBorder="1" applyAlignment="1">
      <alignment horizontal="left" vertical="center"/>
    </xf>
    <xf numFmtId="0" fontId="10" fillId="38" borderId="9" xfId="0" applyFont="1" applyFill="1" applyBorder="1" applyAlignment="1">
      <alignment vertical="center"/>
    </xf>
    <xf numFmtId="0" fontId="10" fillId="38" borderId="3" xfId="0" applyFont="1" applyFill="1" applyBorder="1" applyAlignment="1">
      <alignment vertical="center"/>
    </xf>
    <xf numFmtId="0" fontId="8" fillId="0" borderId="7" xfId="0" applyFont="1" applyFill="1" applyBorder="1" applyAlignment="1">
      <alignment horizontal="center" vertical="center"/>
    </xf>
    <xf numFmtId="0" fontId="10" fillId="38" borderId="4" xfId="0" applyFont="1" applyFill="1" applyBorder="1" applyAlignment="1">
      <alignment vertical="center"/>
    </xf>
    <xf numFmtId="0" fontId="10" fillId="38" borderId="31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 wrapText="1"/>
    </xf>
    <xf numFmtId="0" fontId="20" fillId="0" borderId="24" xfId="0" applyFont="1" applyFill="1" applyBorder="1" applyAlignment="1">
      <alignment vertical="center"/>
    </xf>
    <xf numFmtId="176" fontId="8" fillId="32" borderId="3" xfId="0" applyNumberFormat="1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10" fillId="39" borderId="3" xfId="0" applyFont="1" applyFill="1" applyBorder="1" applyAlignment="1">
      <alignment vertical="center"/>
    </xf>
    <xf numFmtId="0" fontId="8" fillId="32" borderId="7" xfId="0" applyFont="1" applyFill="1" applyBorder="1" applyAlignment="1">
      <alignment horizontal="center" vertical="center"/>
    </xf>
    <xf numFmtId="0" fontId="10" fillId="32" borderId="7" xfId="0" applyFont="1" applyFill="1" applyBorder="1" applyAlignment="1">
      <alignment vertical="center"/>
    </xf>
    <xf numFmtId="177" fontId="12" fillId="32" borderId="4" xfId="0" applyNumberFormat="1" applyFont="1" applyFill="1" applyBorder="1" applyAlignment="1">
      <alignment vertical="center"/>
    </xf>
    <xf numFmtId="0" fontId="12" fillId="32" borderId="4" xfId="0" applyFont="1" applyFill="1" applyBorder="1" applyAlignment="1">
      <alignment vertical="center"/>
    </xf>
    <xf numFmtId="0" fontId="8" fillId="32" borderId="5" xfId="0" applyFont="1" applyFill="1" applyBorder="1" applyAlignment="1">
      <alignment vertical="center"/>
    </xf>
    <xf numFmtId="0" fontId="10" fillId="39" borderId="9" xfId="0" applyFont="1" applyFill="1" applyBorder="1" applyAlignment="1">
      <alignment vertical="center"/>
    </xf>
    <xf numFmtId="0" fontId="10" fillId="39" borderId="4" xfId="0" applyFont="1" applyFill="1" applyBorder="1" applyAlignment="1">
      <alignment vertical="center"/>
    </xf>
    <xf numFmtId="0" fontId="10" fillId="39" borderId="31" xfId="0" applyFont="1" applyFill="1" applyBorder="1" applyAlignment="1">
      <alignment vertical="center"/>
    </xf>
    <xf numFmtId="0" fontId="20" fillId="13" borderId="7" xfId="0" applyFont="1" applyFill="1" applyBorder="1" applyAlignment="1">
      <alignment vertical="center"/>
    </xf>
    <xf numFmtId="0" fontId="20" fillId="13" borderId="7" xfId="0" applyFont="1" applyFill="1" applyBorder="1" applyAlignment="1">
      <alignment horizontal="left" vertical="center"/>
    </xf>
    <xf numFmtId="0" fontId="20" fillId="13" borderId="7" xfId="0" applyFont="1" applyFill="1" applyBorder="1" applyAlignment="1">
      <alignment horizontal="left" vertical="center" wrapText="1"/>
    </xf>
    <xf numFmtId="38" fontId="0" fillId="40" borderId="7" xfId="0" applyNumberFormat="1" applyFill="1" applyBorder="1"/>
    <xf numFmtId="9" fontId="0" fillId="0" borderId="0" xfId="0" applyNumberFormat="1"/>
    <xf numFmtId="40" fontId="0" fillId="36" borderId="7" xfId="0" applyNumberFormat="1" applyFill="1" applyBorder="1"/>
    <xf numFmtId="0" fontId="0" fillId="31" borderId="7" xfId="0" applyFill="1" applyBorder="1"/>
    <xf numFmtId="38" fontId="0" fillId="13" borderId="7" xfId="724" applyFont="1" applyFill="1" applyBorder="1"/>
    <xf numFmtId="40" fontId="0" fillId="40" borderId="7" xfId="725" applyNumberFormat="1" applyFont="1" applyFill="1" applyBorder="1"/>
    <xf numFmtId="38" fontId="0" fillId="40" borderId="7" xfId="725" applyFont="1" applyFill="1" applyBorder="1"/>
    <xf numFmtId="38" fontId="0" fillId="0" borderId="32" xfId="725" applyFont="1" applyFill="1" applyBorder="1"/>
    <xf numFmtId="38" fontId="0" fillId="0" borderId="0" xfId="725" applyFont="1" applyFill="1" applyBorder="1"/>
    <xf numFmtId="0" fontId="0" fillId="37" borderId="7" xfId="725" applyNumberFormat="1" applyFont="1" applyFill="1" applyBorder="1"/>
    <xf numFmtId="38" fontId="0" fillId="3" borderId="7" xfId="725" applyFont="1" applyFill="1" applyBorder="1"/>
    <xf numFmtId="38" fontId="0" fillId="3" borderId="7" xfId="0" applyNumberFormat="1" applyFill="1" applyBorder="1"/>
    <xf numFmtId="38" fontId="0" fillId="37" borderId="7" xfId="725" applyFont="1" applyFill="1" applyBorder="1"/>
    <xf numFmtId="38" fontId="0" fillId="37" borderId="7" xfId="0" applyNumberFormat="1" applyFill="1" applyBorder="1"/>
    <xf numFmtId="0" fontId="0" fillId="6" borderId="7" xfId="725" applyNumberFormat="1" applyFont="1" applyFill="1" applyBorder="1"/>
    <xf numFmtId="38" fontId="0" fillId="6" borderId="7" xfId="725" applyFont="1" applyFill="1" applyBorder="1"/>
    <xf numFmtId="38" fontId="0" fillId="6" borderId="7" xfId="0" applyNumberFormat="1" applyFill="1" applyBorder="1"/>
    <xf numFmtId="0" fontId="0" fillId="36" borderId="7" xfId="725" applyNumberFormat="1" applyFont="1" applyFill="1" applyBorder="1"/>
    <xf numFmtId="38" fontId="0" fillId="36" borderId="7" xfId="725" applyFont="1" applyFill="1" applyBorder="1"/>
    <xf numFmtId="38" fontId="0" fillId="36" borderId="7" xfId="0" applyNumberFormat="1" applyFill="1" applyBorder="1"/>
    <xf numFmtId="0" fontId="0" fillId="0" borderId="0" xfId="725" applyNumberFormat="1" applyFont="1" applyFill="1" applyBorder="1"/>
    <xf numFmtId="38" fontId="0" fillId="37" borderId="7" xfId="724" applyFont="1" applyFill="1" applyBorder="1"/>
    <xf numFmtId="38" fontId="0" fillId="6" borderId="7" xfId="724" applyFont="1" applyFill="1" applyBorder="1"/>
    <xf numFmtId="38" fontId="0" fillId="31" borderId="7" xfId="724" applyFont="1" applyFill="1" applyBorder="1"/>
    <xf numFmtId="38" fontId="0" fillId="0" borderId="32" xfId="0" applyNumberFormat="1" applyFill="1" applyBorder="1"/>
    <xf numFmtId="1" fontId="12" fillId="30" borderId="4" xfId="0" applyNumberFormat="1" applyFont="1" applyFill="1" applyBorder="1" applyAlignment="1">
      <alignment vertical="center"/>
    </xf>
    <xf numFmtId="1" fontId="8" fillId="0" borderId="0" xfId="0" applyNumberFormat="1" applyFont="1" applyAlignment="1">
      <alignment vertical="center"/>
    </xf>
    <xf numFmtId="38" fontId="0" fillId="13" borderId="0" xfId="724" applyFont="1" applyFill="1"/>
    <xf numFmtId="38" fontId="0" fillId="0" borderId="0" xfId="0" applyNumberFormat="1"/>
    <xf numFmtId="0" fontId="55" fillId="0" borderId="7" xfId="0" applyFont="1" applyFill="1" applyBorder="1" applyAlignment="1">
      <alignment horizontal="left" vertical="center" wrapText="1"/>
    </xf>
  </cellXfs>
  <cellStyles count="73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桁区切り 2" xfId="429"/>
    <cellStyle name="桁区切り 2 2" xfId="628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39013</v>
          </cell>
        </row>
        <row r="195">
          <cell r="A195">
            <v>39014</v>
          </cell>
        </row>
        <row r="196">
          <cell r="A196">
            <v>40001</v>
          </cell>
        </row>
        <row r="197">
          <cell r="A197">
            <v>40002</v>
          </cell>
        </row>
        <row r="198">
          <cell r="A198">
            <v>40003</v>
          </cell>
        </row>
        <row r="199">
          <cell r="A199">
            <v>40004</v>
          </cell>
        </row>
        <row r="200">
          <cell r="A200">
            <v>40005</v>
          </cell>
        </row>
        <row r="201">
          <cell r="A201">
            <v>40006</v>
          </cell>
        </row>
        <row r="202">
          <cell r="A202">
            <v>40007</v>
          </cell>
        </row>
        <row r="203">
          <cell r="A203">
            <v>40008</v>
          </cell>
        </row>
        <row r="204">
          <cell r="A204">
            <v>40009</v>
          </cell>
        </row>
        <row r="205">
          <cell r="A205">
            <v>40010</v>
          </cell>
        </row>
        <row r="206">
          <cell r="A206">
            <v>40011</v>
          </cell>
        </row>
        <row r="207">
          <cell r="A207">
            <v>40012</v>
          </cell>
        </row>
        <row r="208">
          <cell r="A208">
            <v>40013</v>
          </cell>
        </row>
        <row r="209">
          <cell r="A209">
            <v>40014</v>
          </cell>
        </row>
        <row r="210">
          <cell r="A210">
            <v>40015</v>
          </cell>
        </row>
        <row r="211">
          <cell r="A211">
            <v>40016</v>
          </cell>
        </row>
        <row r="212">
          <cell r="A212">
            <v>40017</v>
          </cell>
        </row>
        <row r="213">
          <cell r="A213">
            <v>40018</v>
          </cell>
        </row>
        <row r="214">
          <cell r="A214">
            <v>40019</v>
          </cell>
        </row>
        <row r="215">
          <cell r="A215">
            <v>40021</v>
          </cell>
        </row>
        <row r="216">
          <cell r="A216">
            <v>40022</v>
          </cell>
        </row>
        <row r="217">
          <cell r="A217">
            <v>40023</v>
          </cell>
        </row>
        <row r="218">
          <cell r="A218">
            <v>40024</v>
          </cell>
        </row>
        <row r="219">
          <cell r="A219">
            <v>40025</v>
          </cell>
        </row>
        <row r="220">
          <cell r="A220">
            <v>40026</v>
          </cell>
        </row>
        <row r="221">
          <cell r="A221">
            <v>40027</v>
          </cell>
        </row>
        <row r="222">
          <cell r="A222">
            <v>40028</v>
          </cell>
        </row>
        <row r="223">
          <cell r="A223">
            <v>40029</v>
          </cell>
        </row>
        <row r="224">
          <cell r="A224">
            <v>40030</v>
          </cell>
        </row>
        <row r="225">
          <cell r="A225">
            <v>40031</v>
          </cell>
        </row>
        <row r="226">
          <cell r="A226">
            <v>40032</v>
          </cell>
        </row>
        <row r="227">
          <cell r="A227">
            <v>40033</v>
          </cell>
        </row>
        <row r="228">
          <cell r="A228">
            <v>40034</v>
          </cell>
        </row>
        <row r="229">
          <cell r="A229">
            <v>40035</v>
          </cell>
        </row>
        <row r="230">
          <cell r="A230">
            <v>40036</v>
          </cell>
        </row>
        <row r="231">
          <cell r="A231">
            <v>40037</v>
          </cell>
        </row>
        <row r="232">
          <cell r="A232">
            <v>40038</v>
          </cell>
        </row>
        <row r="233">
          <cell r="A233">
            <v>40039</v>
          </cell>
        </row>
        <row r="234">
          <cell r="A234">
            <v>40040</v>
          </cell>
        </row>
        <row r="235">
          <cell r="A235">
            <v>40041</v>
          </cell>
        </row>
        <row r="236">
          <cell r="A236">
            <v>40042</v>
          </cell>
        </row>
        <row r="237">
          <cell r="A237">
            <v>40043</v>
          </cell>
        </row>
        <row r="238">
          <cell r="A238">
            <v>40044</v>
          </cell>
        </row>
        <row r="239">
          <cell r="A239">
            <v>40045</v>
          </cell>
        </row>
        <row r="240">
          <cell r="A240">
            <v>48001</v>
          </cell>
        </row>
        <row r="241">
          <cell r="A241">
            <v>48002</v>
          </cell>
        </row>
        <row r="242">
          <cell r="A242">
            <v>48003</v>
          </cell>
        </row>
        <row r="243">
          <cell r="A243">
            <v>48004</v>
          </cell>
        </row>
        <row r="244">
          <cell r="A244">
            <v>48005</v>
          </cell>
        </row>
        <row r="245">
          <cell r="A245">
            <v>48006</v>
          </cell>
        </row>
        <row r="246">
          <cell r="A246">
            <v>48007</v>
          </cell>
        </row>
        <row r="247">
          <cell r="A247">
            <v>48008</v>
          </cell>
        </row>
        <row r="248">
          <cell r="A248">
            <v>48009</v>
          </cell>
        </row>
        <row r="249">
          <cell r="A249">
            <v>48010</v>
          </cell>
        </row>
        <row r="250">
          <cell r="A250">
            <v>48011</v>
          </cell>
        </row>
        <row r="251">
          <cell r="A251">
            <v>48012</v>
          </cell>
        </row>
        <row r="252">
          <cell r="A252">
            <v>48501</v>
          </cell>
        </row>
        <row r="253">
          <cell r="A253">
            <v>48502</v>
          </cell>
        </row>
        <row r="254">
          <cell r="A254">
            <v>48701</v>
          </cell>
        </row>
        <row r="255">
          <cell r="A255">
            <v>48702</v>
          </cell>
        </row>
        <row r="256">
          <cell r="A256">
            <v>41001</v>
          </cell>
        </row>
        <row r="257">
          <cell r="A257">
            <v>41002</v>
          </cell>
        </row>
        <row r="258">
          <cell r="A258">
            <v>41003</v>
          </cell>
        </row>
        <row r="259">
          <cell r="A259">
            <v>41004</v>
          </cell>
        </row>
        <row r="260">
          <cell r="A260">
            <v>41005</v>
          </cell>
        </row>
        <row r="261">
          <cell r="A261">
            <v>41006</v>
          </cell>
        </row>
        <row r="262">
          <cell r="A262">
            <v>41007</v>
          </cell>
        </row>
        <row r="263">
          <cell r="A263">
            <v>41008</v>
          </cell>
        </row>
        <row r="264">
          <cell r="A264">
            <v>41009</v>
          </cell>
        </row>
        <row r="265">
          <cell r="A265">
            <v>41010</v>
          </cell>
        </row>
        <row r="266">
          <cell r="A266">
            <v>41011</v>
          </cell>
        </row>
        <row r="267">
          <cell r="A267">
            <v>41012</v>
          </cell>
        </row>
        <row r="268">
          <cell r="A268">
            <v>41013</v>
          </cell>
        </row>
        <row r="269">
          <cell r="A269">
            <v>41014</v>
          </cell>
        </row>
        <row r="270">
          <cell r="A270">
            <v>41015</v>
          </cell>
        </row>
        <row r="271">
          <cell r="A271">
            <v>47001</v>
          </cell>
        </row>
        <row r="272">
          <cell r="A272">
            <v>47002</v>
          </cell>
        </row>
        <row r="273">
          <cell r="A273">
            <v>47003</v>
          </cell>
        </row>
        <row r="274">
          <cell r="A274">
            <v>47004</v>
          </cell>
        </row>
        <row r="275">
          <cell r="A275">
            <v>47005</v>
          </cell>
        </row>
        <row r="276">
          <cell r="A276">
            <v>47006</v>
          </cell>
        </row>
        <row r="277">
          <cell r="A277">
            <v>47007</v>
          </cell>
        </row>
        <row r="278">
          <cell r="A278">
            <v>47008</v>
          </cell>
        </row>
        <row r="279">
          <cell r="A279">
            <v>47009</v>
          </cell>
        </row>
        <row r="280">
          <cell r="A280">
            <v>47010</v>
          </cell>
        </row>
        <row r="281">
          <cell r="A281">
            <v>47011</v>
          </cell>
        </row>
        <row r="282">
          <cell r="A282">
            <v>47012</v>
          </cell>
        </row>
        <row r="283">
          <cell r="A283">
            <v>47013</v>
          </cell>
        </row>
        <row r="284">
          <cell r="A284">
            <v>49001</v>
          </cell>
        </row>
        <row r="285">
          <cell r="A285">
            <v>49002</v>
          </cell>
        </row>
        <row r="286">
          <cell r="A286">
            <v>49003</v>
          </cell>
        </row>
        <row r="287">
          <cell r="A287">
            <v>49004</v>
          </cell>
        </row>
        <row r="288">
          <cell r="A288">
            <v>49005</v>
          </cell>
        </row>
        <row r="289">
          <cell r="A289">
            <v>49006</v>
          </cell>
        </row>
        <row r="290">
          <cell r="A290">
            <v>49007</v>
          </cell>
        </row>
        <row r="291">
          <cell r="A291">
            <v>49008</v>
          </cell>
        </row>
        <row r="292">
          <cell r="A292">
            <v>49009</v>
          </cell>
        </row>
        <row r="293">
          <cell r="A293">
            <v>49010</v>
          </cell>
        </row>
        <row r="294">
          <cell r="A294">
            <v>49011</v>
          </cell>
        </row>
        <row r="295">
          <cell r="A295">
            <v>49012</v>
          </cell>
        </row>
        <row r="296">
          <cell r="A296">
            <v>49013</v>
          </cell>
        </row>
        <row r="297">
          <cell r="A297">
            <v>49014</v>
          </cell>
        </row>
        <row r="298">
          <cell r="A298">
            <v>49015</v>
          </cell>
        </row>
        <row r="299">
          <cell r="A299">
            <v>49016</v>
          </cell>
        </row>
        <row r="300">
          <cell r="A300">
            <v>50001</v>
          </cell>
        </row>
        <row r="301">
          <cell r="A301">
            <v>50002</v>
          </cell>
        </row>
        <row r="302">
          <cell r="A302">
            <v>50003</v>
          </cell>
        </row>
        <row r="303">
          <cell r="A303">
            <v>50004</v>
          </cell>
        </row>
        <row r="304">
          <cell r="A304">
            <v>50005</v>
          </cell>
        </row>
        <row r="305">
          <cell r="A305">
            <v>50006</v>
          </cell>
        </row>
        <row r="306">
          <cell r="A306">
            <v>50007</v>
          </cell>
        </row>
        <row r="307">
          <cell r="A307">
            <v>50008</v>
          </cell>
        </row>
        <row r="308">
          <cell r="A308">
            <v>50009</v>
          </cell>
        </row>
        <row r="309">
          <cell r="A309">
            <v>50010</v>
          </cell>
        </row>
        <row r="310">
          <cell r="A310">
            <v>50011</v>
          </cell>
        </row>
        <row r="311">
          <cell r="A311">
            <v>50012</v>
          </cell>
        </row>
        <row r="312">
          <cell r="A312">
            <v>50013</v>
          </cell>
        </row>
        <row r="313">
          <cell r="A313">
            <v>50014</v>
          </cell>
        </row>
        <row r="314">
          <cell r="A314">
            <v>50015</v>
          </cell>
        </row>
        <row r="315">
          <cell r="A315">
            <v>51001</v>
          </cell>
        </row>
        <row r="316">
          <cell r="A316">
            <v>51002</v>
          </cell>
        </row>
        <row r="317">
          <cell r="A317">
            <v>58001</v>
          </cell>
        </row>
        <row r="318">
          <cell r="A318">
            <v>59001</v>
          </cell>
        </row>
        <row r="319">
          <cell r="A319">
            <v>59002</v>
          </cell>
        </row>
        <row r="320">
          <cell r="A320">
            <v>59003</v>
          </cell>
        </row>
        <row r="321">
          <cell r="A321">
            <v>60001</v>
          </cell>
        </row>
        <row r="322">
          <cell r="A322">
            <v>60002</v>
          </cell>
        </row>
        <row r="323">
          <cell r="A323">
            <v>60003</v>
          </cell>
        </row>
        <row r="324">
          <cell r="A324">
            <v>60004</v>
          </cell>
        </row>
        <row r="325">
          <cell r="A325">
            <v>60005</v>
          </cell>
        </row>
        <row r="326">
          <cell r="A326">
            <v>60006</v>
          </cell>
        </row>
        <row r="327">
          <cell r="A327">
            <v>60007</v>
          </cell>
        </row>
        <row r="328">
          <cell r="A328">
            <v>60010</v>
          </cell>
        </row>
        <row r="329">
          <cell r="A329">
            <v>60011</v>
          </cell>
        </row>
        <row r="330">
          <cell r="A330">
            <v>61011</v>
          </cell>
        </row>
        <row r="331">
          <cell r="A331">
            <v>60012</v>
          </cell>
        </row>
        <row r="332">
          <cell r="A332">
            <v>60013</v>
          </cell>
        </row>
        <row r="333">
          <cell r="A333">
            <v>60014</v>
          </cell>
        </row>
        <row r="334">
          <cell r="A334">
            <v>60015</v>
          </cell>
        </row>
        <row r="335">
          <cell r="A335">
            <v>60016</v>
          </cell>
        </row>
        <row r="336">
          <cell r="A336">
            <v>60017</v>
          </cell>
        </row>
        <row r="337">
          <cell r="A337">
            <v>60018</v>
          </cell>
        </row>
        <row r="338">
          <cell r="A338">
            <v>60019</v>
          </cell>
        </row>
        <row r="339">
          <cell r="A339">
            <v>60020</v>
          </cell>
        </row>
        <row r="340">
          <cell r="A340">
            <v>60025</v>
          </cell>
        </row>
        <row r="341">
          <cell r="A341">
            <v>60026</v>
          </cell>
        </row>
        <row r="342">
          <cell r="A342">
            <v>60027</v>
          </cell>
        </row>
        <row r="343">
          <cell r="A343">
            <v>60028</v>
          </cell>
        </row>
        <row r="344">
          <cell r="A344">
            <v>60029</v>
          </cell>
        </row>
        <row r="345">
          <cell r="A345">
            <v>65523</v>
          </cell>
        </row>
        <row r="346">
          <cell r="A346">
            <v>65524</v>
          </cell>
        </row>
        <row r="347">
          <cell r="A347">
            <v>65525</v>
          </cell>
        </row>
        <row r="348">
          <cell r="A348">
            <v>65526</v>
          </cell>
        </row>
        <row r="349">
          <cell r="A349">
            <v>65527</v>
          </cell>
        </row>
        <row r="350">
          <cell r="A350">
            <v>65528</v>
          </cell>
        </row>
        <row r="351">
          <cell r="A351">
            <v>65529</v>
          </cell>
        </row>
        <row r="352">
          <cell r="A352">
            <v>65530</v>
          </cell>
        </row>
        <row r="353">
          <cell r="A353">
            <v>65531</v>
          </cell>
        </row>
        <row r="354">
          <cell r="A354">
            <v>65532</v>
          </cell>
        </row>
        <row r="355">
          <cell r="A355">
            <v>65533</v>
          </cell>
        </row>
        <row r="356">
          <cell r="A356">
            <v>65534</v>
          </cell>
        </row>
        <row r="357">
          <cell r="A357">
            <v>65535</v>
          </cell>
        </row>
        <row r="358">
          <cell r="A358">
            <v>60021</v>
          </cell>
        </row>
        <row r="359">
          <cell r="A359">
            <v>60022</v>
          </cell>
        </row>
        <row r="360">
          <cell r="A360">
            <v>60023</v>
          </cell>
        </row>
        <row r="361">
          <cell r="A36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39013_1</v>
          </cell>
        </row>
        <row r="718">
          <cell r="A718" t="str">
            <v>39013_2</v>
          </cell>
        </row>
        <row r="719">
          <cell r="A719" t="str">
            <v>39013_3</v>
          </cell>
        </row>
        <row r="720">
          <cell r="A720" t="str">
            <v>39013_4</v>
          </cell>
        </row>
        <row r="721">
          <cell r="A721" t="str">
            <v>39014_1</v>
          </cell>
        </row>
        <row r="722">
          <cell r="A722" t="str">
            <v>40001_1</v>
          </cell>
        </row>
        <row r="723">
          <cell r="A723" t="str">
            <v>40002_1</v>
          </cell>
        </row>
        <row r="724">
          <cell r="A724" t="str">
            <v>40002_2</v>
          </cell>
        </row>
        <row r="725">
          <cell r="A725" t="str">
            <v>40002_3</v>
          </cell>
        </row>
        <row r="726">
          <cell r="A726" t="str">
            <v>40003_1</v>
          </cell>
        </row>
        <row r="727">
          <cell r="A727" t="str">
            <v>40004_1</v>
          </cell>
        </row>
        <row r="728">
          <cell r="A728" t="str">
            <v>40005_1</v>
          </cell>
        </row>
        <row r="729">
          <cell r="A729" t="str">
            <v>40006_1</v>
          </cell>
        </row>
        <row r="730">
          <cell r="A730" t="str">
            <v>40007_1</v>
          </cell>
        </row>
        <row r="731">
          <cell r="A731" t="str">
            <v>40008_1</v>
          </cell>
        </row>
        <row r="732">
          <cell r="A732" t="str">
            <v>40009_1</v>
          </cell>
        </row>
        <row r="733">
          <cell r="A733" t="str">
            <v>40010_1</v>
          </cell>
        </row>
        <row r="734">
          <cell r="A734" t="str">
            <v>40011_1</v>
          </cell>
        </row>
        <row r="735">
          <cell r="A735" t="str">
            <v>40012_1</v>
          </cell>
        </row>
        <row r="736">
          <cell r="A736" t="str">
            <v>40013_1</v>
          </cell>
        </row>
        <row r="737">
          <cell r="A737" t="str">
            <v>40014_1</v>
          </cell>
        </row>
        <row r="738">
          <cell r="A738" t="str">
            <v>40015_1</v>
          </cell>
        </row>
        <row r="739">
          <cell r="A739" t="str">
            <v>40016_1</v>
          </cell>
        </row>
        <row r="740">
          <cell r="A740" t="str">
            <v>40016_2</v>
          </cell>
        </row>
        <row r="741">
          <cell r="A741" t="str">
            <v>40017_1</v>
          </cell>
        </row>
        <row r="742">
          <cell r="A742" t="str">
            <v>40017_2</v>
          </cell>
        </row>
        <row r="743">
          <cell r="A743" t="str">
            <v>40017_3</v>
          </cell>
        </row>
        <row r="744">
          <cell r="A744" t="str">
            <v>40018_1</v>
          </cell>
        </row>
        <row r="745">
          <cell r="A745" t="str">
            <v>40018_2</v>
          </cell>
        </row>
        <row r="746">
          <cell r="A746" t="str">
            <v>40018_3</v>
          </cell>
        </row>
        <row r="747">
          <cell r="A747" t="str">
            <v>40019_1</v>
          </cell>
        </row>
        <row r="748">
          <cell r="A748" t="str">
            <v>40019_2</v>
          </cell>
        </row>
        <row r="749">
          <cell r="A749" t="str">
            <v>40019_3</v>
          </cell>
        </row>
        <row r="750">
          <cell r="A750" t="str">
            <v>40021_1</v>
          </cell>
        </row>
        <row r="751">
          <cell r="A751" t="str">
            <v>40021_2</v>
          </cell>
        </row>
        <row r="752">
          <cell r="A752" t="str">
            <v>40022_1</v>
          </cell>
        </row>
        <row r="753">
          <cell r="A753" t="str">
            <v>40022_2</v>
          </cell>
        </row>
        <row r="754">
          <cell r="A754" t="str">
            <v>40023_1</v>
          </cell>
        </row>
        <row r="755">
          <cell r="A755" t="str">
            <v>40023_2</v>
          </cell>
        </row>
        <row r="756">
          <cell r="A756" t="str">
            <v>40024_1</v>
          </cell>
        </row>
        <row r="757">
          <cell r="A757" t="str">
            <v>40024_2</v>
          </cell>
        </row>
        <row r="758">
          <cell r="A758" t="str">
            <v>40025_1</v>
          </cell>
        </row>
        <row r="759">
          <cell r="A759" t="str">
            <v>40025_2</v>
          </cell>
        </row>
        <row r="760">
          <cell r="A760" t="str">
            <v>40026_1</v>
          </cell>
        </row>
        <row r="761">
          <cell r="A761" t="str">
            <v>40026_2</v>
          </cell>
        </row>
        <row r="762">
          <cell r="A762" t="str">
            <v>40027_1</v>
          </cell>
        </row>
        <row r="763">
          <cell r="A763" t="str">
            <v>40027_2</v>
          </cell>
        </row>
        <row r="764">
          <cell r="A764" t="str">
            <v>40028_1</v>
          </cell>
        </row>
        <row r="765">
          <cell r="A765" t="str">
            <v>40028_2</v>
          </cell>
        </row>
        <row r="766">
          <cell r="A766" t="str">
            <v>40029_1</v>
          </cell>
        </row>
        <row r="767">
          <cell r="A767" t="str">
            <v>40029_2</v>
          </cell>
        </row>
        <row r="768">
          <cell r="A768" t="str">
            <v>40030_1</v>
          </cell>
        </row>
        <row r="769">
          <cell r="A769" t="str">
            <v>40030_2</v>
          </cell>
        </row>
        <row r="770">
          <cell r="A770" t="str">
            <v>40031_1</v>
          </cell>
        </row>
        <row r="771">
          <cell r="A771" t="str">
            <v>40031_2</v>
          </cell>
        </row>
        <row r="772">
          <cell r="A772" t="str">
            <v>40032_1</v>
          </cell>
        </row>
        <row r="773">
          <cell r="A773" t="str">
            <v>40032_2</v>
          </cell>
        </row>
        <row r="774">
          <cell r="A774" t="str">
            <v>40033_1</v>
          </cell>
        </row>
        <row r="775">
          <cell r="A775" t="str">
            <v>40033_2</v>
          </cell>
        </row>
        <row r="776">
          <cell r="A776" t="str">
            <v>40034_1</v>
          </cell>
        </row>
        <row r="777">
          <cell r="A777" t="str">
            <v>40034_2</v>
          </cell>
        </row>
        <row r="778">
          <cell r="A778" t="str">
            <v>40035_1</v>
          </cell>
        </row>
        <row r="779">
          <cell r="A779" t="str">
            <v>40035_2</v>
          </cell>
        </row>
        <row r="780">
          <cell r="A780" t="str">
            <v>40036_1</v>
          </cell>
        </row>
        <row r="781">
          <cell r="A781" t="str">
            <v>40036_2</v>
          </cell>
        </row>
        <row r="782">
          <cell r="A782" t="str">
            <v>40037_1</v>
          </cell>
        </row>
        <row r="783">
          <cell r="A783" t="str">
            <v>40037_2</v>
          </cell>
        </row>
        <row r="784">
          <cell r="A784" t="str">
            <v>40038_1</v>
          </cell>
        </row>
        <row r="785">
          <cell r="A785" t="str">
            <v>40038_2</v>
          </cell>
        </row>
        <row r="786">
          <cell r="A786" t="str">
            <v>40039_1</v>
          </cell>
        </row>
        <row r="787">
          <cell r="A787" t="str">
            <v>40039_2</v>
          </cell>
        </row>
        <row r="788">
          <cell r="A788" t="str">
            <v>40040_1</v>
          </cell>
        </row>
        <row r="789">
          <cell r="A789" t="str">
            <v>40040_2</v>
          </cell>
        </row>
        <row r="790">
          <cell r="A790" t="str">
            <v>40041_1</v>
          </cell>
        </row>
        <row r="791">
          <cell r="A791" t="str">
            <v>40041_2</v>
          </cell>
        </row>
        <row r="792">
          <cell r="A792" t="str">
            <v>40042_1</v>
          </cell>
        </row>
        <row r="793">
          <cell r="A793" t="str">
            <v>40042_2</v>
          </cell>
        </row>
        <row r="794">
          <cell r="A794" t="str">
            <v>40043_1</v>
          </cell>
        </row>
        <row r="795">
          <cell r="A795" t="str">
            <v>40043_2</v>
          </cell>
        </row>
        <row r="796">
          <cell r="A796" t="str">
            <v>40044_1</v>
          </cell>
        </row>
        <row r="797">
          <cell r="A797" t="str">
            <v>40044_2</v>
          </cell>
        </row>
        <row r="798">
          <cell r="A798" t="str">
            <v>40045_1</v>
          </cell>
        </row>
        <row r="799">
          <cell r="A799" t="str">
            <v>40045_2</v>
          </cell>
        </row>
        <row r="800">
          <cell r="A800" t="str">
            <v>41001_1</v>
          </cell>
        </row>
        <row r="801">
          <cell r="A801" t="str">
            <v>41001_2</v>
          </cell>
        </row>
        <row r="802">
          <cell r="A802" t="str">
            <v>41001_3</v>
          </cell>
        </row>
        <row r="803">
          <cell r="A803" t="str">
            <v>41002_1</v>
          </cell>
        </row>
        <row r="804">
          <cell r="A804" t="str">
            <v>41002_2</v>
          </cell>
        </row>
        <row r="805">
          <cell r="A805" t="str">
            <v>41002_3</v>
          </cell>
        </row>
        <row r="806">
          <cell r="A806" t="str">
            <v>41003_1</v>
          </cell>
        </row>
        <row r="807">
          <cell r="A807" t="str">
            <v>41003_2</v>
          </cell>
        </row>
        <row r="808">
          <cell r="A808" t="str">
            <v>41003_3</v>
          </cell>
        </row>
        <row r="809">
          <cell r="A809" t="str">
            <v>41004_1</v>
          </cell>
        </row>
        <row r="810">
          <cell r="A810" t="str">
            <v>41004_2</v>
          </cell>
        </row>
        <row r="811">
          <cell r="A811" t="str">
            <v>41004_3</v>
          </cell>
        </row>
        <row r="812">
          <cell r="A812" t="str">
            <v>41005_1</v>
          </cell>
        </row>
        <row r="813">
          <cell r="A813" t="str">
            <v>41005_2</v>
          </cell>
        </row>
        <row r="814">
          <cell r="A814" t="str">
            <v>41005_3</v>
          </cell>
        </row>
        <row r="815">
          <cell r="A815" t="str">
            <v>41006_1</v>
          </cell>
        </row>
        <row r="816">
          <cell r="A816" t="str">
            <v>41006_2</v>
          </cell>
        </row>
        <row r="817">
          <cell r="A817" t="str">
            <v>41006_3</v>
          </cell>
        </row>
        <row r="818">
          <cell r="A818" t="str">
            <v>41007_1</v>
          </cell>
        </row>
        <row r="819">
          <cell r="A819" t="str">
            <v>41007_2</v>
          </cell>
        </row>
        <row r="820">
          <cell r="A820" t="str">
            <v>41007_3</v>
          </cell>
        </row>
        <row r="821">
          <cell r="A821" t="str">
            <v>41008_1</v>
          </cell>
        </row>
        <row r="822">
          <cell r="A822" t="str">
            <v>41008_2</v>
          </cell>
        </row>
        <row r="823">
          <cell r="A823" t="str">
            <v>41008_3</v>
          </cell>
        </row>
        <row r="824">
          <cell r="A824" t="str">
            <v>41009_1</v>
          </cell>
        </row>
        <row r="825">
          <cell r="A825" t="str">
            <v>41009_2</v>
          </cell>
        </row>
        <row r="826">
          <cell r="A826" t="str">
            <v>41009_3</v>
          </cell>
        </row>
        <row r="827">
          <cell r="A827" t="str">
            <v>41010_1</v>
          </cell>
        </row>
        <row r="828">
          <cell r="A828" t="str">
            <v>41010_2</v>
          </cell>
        </row>
        <row r="829">
          <cell r="A829" t="str">
            <v>41010_3</v>
          </cell>
        </row>
        <row r="830">
          <cell r="A830" t="str">
            <v>41011_1</v>
          </cell>
        </row>
        <row r="831">
          <cell r="A831" t="str">
            <v>41011_2</v>
          </cell>
        </row>
        <row r="832">
          <cell r="A832" t="str">
            <v>41012_1</v>
          </cell>
        </row>
        <row r="833">
          <cell r="A833" t="str">
            <v>41012_2</v>
          </cell>
        </row>
        <row r="834">
          <cell r="A834" t="str">
            <v>41013_1</v>
          </cell>
        </row>
        <row r="835">
          <cell r="A835" t="str">
            <v>41013_2</v>
          </cell>
        </row>
        <row r="836">
          <cell r="A836" t="str">
            <v>41014_1</v>
          </cell>
        </row>
        <row r="837">
          <cell r="A837" t="str">
            <v>41014_2</v>
          </cell>
        </row>
        <row r="838">
          <cell r="A838" t="str">
            <v>41015_1</v>
          </cell>
        </row>
        <row r="839">
          <cell r="A839" t="str">
            <v>41015_2</v>
          </cell>
        </row>
        <row r="840">
          <cell r="A840" t="str">
            <v>47001_1</v>
          </cell>
        </row>
        <row r="841">
          <cell r="A841" t="str">
            <v>47001_2</v>
          </cell>
        </row>
        <row r="842">
          <cell r="A842" t="str">
            <v>47002_1</v>
          </cell>
        </row>
        <row r="843">
          <cell r="A843" t="str">
            <v>47002_2</v>
          </cell>
        </row>
        <row r="844">
          <cell r="A844" t="str">
            <v>47003_1</v>
          </cell>
        </row>
        <row r="845">
          <cell r="A845" t="str">
            <v>47003_2</v>
          </cell>
        </row>
        <row r="846">
          <cell r="A846" t="str">
            <v>47003_3</v>
          </cell>
        </row>
        <row r="847">
          <cell r="A847" t="str">
            <v>47003_4</v>
          </cell>
        </row>
        <row r="848">
          <cell r="A848" t="str">
            <v>47004_1</v>
          </cell>
        </row>
        <row r="849">
          <cell r="A849" t="str">
            <v>47004_2</v>
          </cell>
        </row>
        <row r="850">
          <cell r="A850" t="str">
            <v>47004_3</v>
          </cell>
        </row>
        <row r="851">
          <cell r="A851" t="str">
            <v>47004_4</v>
          </cell>
        </row>
        <row r="852">
          <cell r="A852" t="str">
            <v>47005_1</v>
          </cell>
        </row>
        <row r="853">
          <cell r="A853" t="str">
            <v>47006_1</v>
          </cell>
        </row>
        <row r="854">
          <cell r="A854" t="str">
            <v>47006_2</v>
          </cell>
        </row>
        <row r="855">
          <cell r="A855" t="str">
            <v>47007_1</v>
          </cell>
        </row>
        <row r="856">
          <cell r="A856" t="str">
            <v>47007_2</v>
          </cell>
        </row>
        <row r="857">
          <cell r="A857" t="str">
            <v>47008_1</v>
          </cell>
        </row>
        <row r="858">
          <cell r="A858" t="str">
            <v>47008_2</v>
          </cell>
        </row>
        <row r="859">
          <cell r="A859" t="str">
            <v>47009_1</v>
          </cell>
        </row>
        <row r="860">
          <cell r="A860" t="str">
            <v>47009_2</v>
          </cell>
        </row>
        <row r="861">
          <cell r="A861" t="str">
            <v>47010_1</v>
          </cell>
        </row>
        <row r="862">
          <cell r="A862" t="str">
            <v>47010_2</v>
          </cell>
        </row>
        <row r="863">
          <cell r="A863" t="str">
            <v>47011_1</v>
          </cell>
        </row>
        <row r="864">
          <cell r="A864" t="str">
            <v>47012_1</v>
          </cell>
        </row>
        <row r="865">
          <cell r="A865" t="str">
            <v>47012_2</v>
          </cell>
        </row>
        <row r="866">
          <cell r="A866" t="str">
            <v>47013_1</v>
          </cell>
        </row>
        <row r="867">
          <cell r="A867" t="str">
            <v>47013_2</v>
          </cell>
        </row>
        <row r="868">
          <cell r="A868" t="str">
            <v>48001_1</v>
          </cell>
        </row>
        <row r="869">
          <cell r="A869" t="str">
            <v>48002_1</v>
          </cell>
        </row>
        <row r="870">
          <cell r="A870" t="str">
            <v>48002_2</v>
          </cell>
        </row>
        <row r="871">
          <cell r="A871" t="str">
            <v>48002_3</v>
          </cell>
        </row>
        <row r="872">
          <cell r="A872" t="str">
            <v>48003_1</v>
          </cell>
        </row>
        <row r="873">
          <cell r="A873" t="str">
            <v>48003_2</v>
          </cell>
        </row>
        <row r="874">
          <cell r="A874" t="str">
            <v>48004_1</v>
          </cell>
        </row>
        <row r="875">
          <cell r="A875" t="str">
            <v>48004_2</v>
          </cell>
        </row>
        <row r="876">
          <cell r="A876" t="str">
            <v>48005_1</v>
          </cell>
        </row>
        <row r="877">
          <cell r="A877" t="str">
            <v>48005_2</v>
          </cell>
        </row>
        <row r="878">
          <cell r="A878" t="str">
            <v>48006_1</v>
          </cell>
        </row>
        <row r="879">
          <cell r="A879" t="str">
            <v>48006_2</v>
          </cell>
        </row>
        <row r="880">
          <cell r="A880" t="str">
            <v>48007_1</v>
          </cell>
        </row>
        <row r="881">
          <cell r="A881" t="str">
            <v>48007_2</v>
          </cell>
        </row>
        <row r="882">
          <cell r="A882" t="str">
            <v>48008_1</v>
          </cell>
        </row>
        <row r="883">
          <cell r="A883" t="str">
            <v>48008_2</v>
          </cell>
        </row>
        <row r="884">
          <cell r="A884" t="str">
            <v>48009_1</v>
          </cell>
        </row>
        <row r="885">
          <cell r="A885" t="str">
            <v>48009_2</v>
          </cell>
        </row>
        <row r="886">
          <cell r="A886" t="str">
            <v>48010_1</v>
          </cell>
        </row>
        <row r="887">
          <cell r="A887" t="str">
            <v>48011_1</v>
          </cell>
        </row>
        <row r="888">
          <cell r="A888" t="str">
            <v>48011_2</v>
          </cell>
        </row>
        <row r="889">
          <cell r="A889" t="str">
            <v>48012_1</v>
          </cell>
        </row>
        <row r="890">
          <cell r="A890" t="str">
            <v>48012_2</v>
          </cell>
        </row>
        <row r="891">
          <cell r="A891" t="str">
            <v>48501_1</v>
          </cell>
        </row>
        <row r="892">
          <cell r="A892" t="str">
            <v>48501_2</v>
          </cell>
        </row>
        <row r="893">
          <cell r="A893" t="str">
            <v>48502_1</v>
          </cell>
        </row>
        <row r="894">
          <cell r="A894" t="str">
            <v>48502_2</v>
          </cell>
        </row>
        <row r="895">
          <cell r="A895" t="str">
            <v>48701_1</v>
          </cell>
        </row>
        <row r="896">
          <cell r="A896" t="str">
            <v>48701_2</v>
          </cell>
        </row>
        <row r="897">
          <cell r="A897" t="str">
            <v>48702_1</v>
          </cell>
        </row>
        <row r="898">
          <cell r="A898" t="str">
            <v>48702_2</v>
          </cell>
        </row>
        <row r="899">
          <cell r="A899" t="str">
            <v>49001_1</v>
          </cell>
        </row>
        <row r="900">
          <cell r="A900" t="str">
            <v>49002_1</v>
          </cell>
        </row>
        <row r="901">
          <cell r="A901" t="str">
            <v>49002_2</v>
          </cell>
        </row>
        <row r="902">
          <cell r="A902" t="str">
            <v>49003_1</v>
          </cell>
        </row>
        <row r="903">
          <cell r="A903" t="str">
            <v>49003_2</v>
          </cell>
        </row>
        <row r="904">
          <cell r="A904" t="str">
            <v>49004_1</v>
          </cell>
        </row>
        <row r="905">
          <cell r="A905" t="str">
            <v>49004_2</v>
          </cell>
        </row>
        <row r="906">
          <cell r="A906" t="str">
            <v>49004_3</v>
          </cell>
        </row>
        <row r="907">
          <cell r="A907" t="str">
            <v>49005_1</v>
          </cell>
        </row>
        <row r="908">
          <cell r="A908" t="str">
            <v>49006_1</v>
          </cell>
        </row>
        <row r="909">
          <cell r="A909" t="str">
            <v>49006_2</v>
          </cell>
        </row>
        <row r="910">
          <cell r="A910" t="str">
            <v>49007_1</v>
          </cell>
        </row>
        <row r="911">
          <cell r="A911" t="str">
            <v>49007_2</v>
          </cell>
        </row>
        <row r="912">
          <cell r="A912" t="str">
            <v>49007_3</v>
          </cell>
        </row>
        <row r="913">
          <cell r="A913" t="str">
            <v>49008_1</v>
          </cell>
        </row>
        <row r="914">
          <cell r="A914" t="str">
            <v>49009_1</v>
          </cell>
        </row>
        <row r="915">
          <cell r="A915" t="str">
            <v>49010_1</v>
          </cell>
        </row>
        <row r="916">
          <cell r="A916" t="str">
            <v>49011_1</v>
          </cell>
        </row>
        <row r="917">
          <cell r="A917" t="str">
            <v>49012_1</v>
          </cell>
        </row>
        <row r="918">
          <cell r="A918" t="str">
            <v>49013_1</v>
          </cell>
        </row>
        <row r="919">
          <cell r="A919" t="str">
            <v>49014_1</v>
          </cell>
        </row>
        <row r="920">
          <cell r="A920" t="str">
            <v>49014_2</v>
          </cell>
        </row>
        <row r="921">
          <cell r="A921" t="str">
            <v>49015_1</v>
          </cell>
        </row>
        <row r="922">
          <cell r="A922" t="str">
            <v>49015_2</v>
          </cell>
        </row>
        <row r="923">
          <cell r="A923" t="str">
            <v>49015_3</v>
          </cell>
        </row>
        <row r="924">
          <cell r="A924" t="str">
            <v>49016_1</v>
          </cell>
        </row>
        <row r="925">
          <cell r="A925" t="str">
            <v>49016_2</v>
          </cell>
        </row>
        <row r="926">
          <cell r="A926" t="str">
            <v>50001_1</v>
          </cell>
        </row>
        <row r="927">
          <cell r="A927" t="str">
            <v>50002_1</v>
          </cell>
        </row>
        <row r="928">
          <cell r="A928" t="str">
            <v>50003_1</v>
          </cell>
        </row>
        <row r="929">
          <cell r="A929" t="str">
            <v>50004_1</v>
          </cell>
        </row>
        <row r="930">
          <cell r="A930" t="str">
            <v>50005_1</v>
          </cell>
        </row>
        <row r="931">
          <cell r="A931" t="str">
            <v>50006_1</v>
          </cell>
        </row>
        <row r="932">
          <cell r="A932" t="str">
            <v>50007_1</v>
          </cell>
        </row>
        <row r="933">
          <cell r="A933" t="str">
            <v>50008_1</v>
          </cell>
        </row>
        <row r="934">
          <cell r="A934" t="str">
            <v>50009_1</v>
          </cell>
        </row>
        <row r="935">
          <cell r="A935" t="str">
            <v>50010_1</v>
          </cell>
        </row>
        <row r="936">
          <cell r="A936" t="str">
            <v>50011_1</v>
          </cell>
        </row>
        <row r="937">
          <cell r="A937" t="str">
            <v>50012_1</v>
          </cell>
        </row>
        <row r="938">
          <cell r="A938" t="str">
            <v>50013_1</v>
          </cell>
        </row>
        <row r="939">
          <cell r="A939" t="str">
            <v>50014_1</v>
          </cell>
        </row>
        <row r="940">
          <cell r="A940" t="str">
            <v>50015_1</v>
          </cell>
        </row>
        <row r="941">
          <cell r="A941" t="str">
            <v>51001_1</v>
          </cell>
        </row>
        <row r="942">
          <cell r="A942" t="str">
            <v>51002_1</v>
          </cell>
        </row>
        <row r="943">
          <cell r="A943" t="str">
            <v>58001_1</v>
          </cell>
        </row>
        <row r="944">
          <cell r="A944" t="str">
            <v>59001_1</v>
          </cell>
        </row>
        <row r="945">
          <cell r="A945" t="str">
            <v>59002_1</v>
          </cell>
        </row>
        <row r="946">
          <cell r="A946" t="str">
            <v>59003_1</v>
          </cell>
        </row>
        <row r="947">
          <cell r="A947" t="str">
            <v>59003_2</v>
          </cell>
        </row>
        <row r="948">
          <cell r="A948" t="str">
            <v>60001_1</v>
          </cell>
        </row>
        <row r="949">
          <cell r="A949" t="str">
            <v>60002_1</v>
          </cell>
        </row>
        <row r="950">
          <cell r="A950" t="str">
            <v>60002_2</v>
          </cell>
        </row>
        <row r="951">
          <cell r="A951" t="str">
            <v>60003_1</v>
          </cell>
        </row>
        <row r="952">
          <cell r="A952" t="str">
            <v>60003_2</v>
          </cell>
        </row>
        <row r="953">
          <cell r="A953" t="str">
            <v>60003_3</v>
          </cell>
        </row>
        <row r="954">
          <cell r="A954" t="str">
            <v>60004_1</v>
          </cell>
        </row>
        <row r="955">
          <cell r="A955" t="str">
            <v>60005_1</v>
          </cell>
        </row>
        <row r="956">
          <cell r="A956" t="str">
            <v>60006_1</v>
          </cell>
        </row>
        <row r="957">
          <cell r="A957" t="str">
            <v>60006_2</v>
          </cell>
        </row>
        <row r="958">
          <cell r="A958" t="str">
            <v>60006_3</v>
          </cell>
        </row>
        <row r="959">
          <cell r="A959" t="str">
            <v>60007_1</v>
          </cell>
        </row>
        <row r="960">
          <cell r="A960" t="str">
            <v>60007_2</v>
          </cell>
        </row>
        <row r="961">
          <cell r="A961" t="str">
            <v>60007_3</v>
          </cell>
        </row>
        <row r="962">
          <cell r="A962" t="str">
            <v>60010_1</v>
          </cell>
        </row>
        <row r="963">
          <cell r="A963" t="str">
            <v>60011_1</v>
          </cell>
        </row>
        <row r="964">
          <cell r="A964" t="str">
            <v>60011_2</v>
          </cell>
        </row>
        <row r="965">
          <cell r="A965" t="str">
            <v>60012_1</v>
          </cell>
        </row>
        <row r="966">
          <cell r="A966" t="str">
            <v>60013_1</v>
          </cell>
        </row>
        <row r="967">
          <cell r="A967" t="str">
            <v>60013_2</v>
          </cell>
        </row>
        <row r="968">
          <cell r="A968" t="str">
            <v>60013_3</v>
          </cell>
        </row>
        <row r="969">
          <cell r="A969" t="str">
            <v>60014_1</v>
          </cell>
        </row>
        <row r="970">
          <cell r="A970" t="str">
            <v>60015_1</v>
          </cell>
        </row>
        <row r="971">
          <cell r="A971" t="str">
            <v>60016_1</v>
          </cell>
        </row>
        <row r="972">
          <cell r="A972" t="str">
            <v>60017_1</v>
          </cell>
        </row>
        <row r="973">
          <cell r="A973" t="str">
            <v>60018_1</v>
          </cell>
        </row>
        <row r="974">
          <cell r="A974" t="str">
            <v>60019_1</v>
          </cell>
        </row>
        <row r="975">
          <cell r="A975" t="str">
            <v>60020_1</v>
          </cell>
        </row>
        <row r="976">
          <cell r="A976" t="str">
            <v>60021_3</v>
          </cell>
        </row>
        <row r="977">
          <cell r="A977" t="str">
            <v>60022_3</v>
          </cell>
        </row>
        <row r="978">
          <cell r="A978" t="str">
            <v>60023_3</v>
          </cell>
        </row>
        <row r="979">
          <cell r="A979" t="str">
            <v>60024_3</v>
          </cell>
        </row>
        <row r="980">
          <cell r="A980" t="str">
            <v>60025_1</v>
          </cell>
        </row>
        <row r="981">
          <cell r="A981" t="str">
            <v>60026_1</v>
          </cell>
        </row>
        <row r="982">
          <cell r="A982" t="str">
            <v>61011_1</v>
          </cell>
        </row>
        <row r="983">
          <cell r="A983" t="str">
            <v>60027_1</v>
          </cell>
        </row>
        <row r="984">
          <cell r="A984" t="str">
            <v>60028_1</v>
          </cell>
        </row>
        <row r="985">
          <cell r="A985" t="str">
            <v>60029_1</v>
          </cell>
        </row>
        <row r="986">
          <cell r="A986" t="str">
            <v>65523_1</v>
          </cell>
        </row>
        <row r="987">
          <cell r="A987" t="str">
            <v>65523_2</v>
          </cell>
        </row>
        <row r="988">
          <cell r="A988" t="str">
            <v>65523_3</v>
          </cell>
        </row>
        <row r="989">
          <cell r="A989" t="str">
            <v>65524_1</v>
          </cell>
        </row>
        <row r="990">
          <cell r="A990" t="str">
            <v>65524_2</v>
          </cell>
        </row>
        <row r="991">
          <cell r="A991" t="str">
            <v>65525_1</v>
          </cell>
        </row>
        <row r="992">
          <cell r="A992" t="str">
            <v>65526_1</v>
          </cell>
        </row>
        <row r="993">
          <cell r="A993" t="str">
            <v>65526_2</v>
          </cell>
        </row>
        <row r="994">
          <cell r="A994" t="str">
            <v>65527_1</v>
          </cell>
        </row>
        <row r="995">
          <cell r="A995" t="str">
            <v>65528_1</v>
          </cell>
        </row>
        <row r="996">
          <cell r="A996" t="str">
            <v>65529_1</v>
          </cell>
        </row>
        <row r="997">
          <cell r="A997" t="str">
            <v>65530_1</v>
          </cell>
        </row>
        <row r="998">
          <cell r="A998" t="str">
            <v>65531_1</v>
          </cell>
        </row>
        <row r="999">
          <cell r="A999" t="str">
            <v>65531_2</v>
          </cell>
        </row>
        <row r="1000">
          <cell r="A1000" t="str">
            <v>65532_1</v>
          </cell>
        </row>
        <row r="1001">
          <cell r="A1001" t="str">
            <v>65532_2</v>
          </cell>
        </row>
        <row r="1002">
          <cell r="A1002" t="str">
            <v>65533_1</v>
          </cell>
        </row>
        <row r="1003">
          <cell r="A1003" t="str">
            <v>65533_2</v>
          </cell>
        </row>
        <row r="1004">
          <cell r="A1004" t="str">
            <v>65534_1</v>
          </cell>
        </row>
        <row r="1005">
          <cell r="A1005" t="str">
            <v>65534_2</v>
          </cell>
        </row>
        <row r="1006">
          <cell r="A1006" t="str">
            <v>65535_1</v>
          </cell>
        </row>
        <row r="1007">
          <cell r="A1007" t="str">
            <v>65535_2</v>
          </cell>
        </row>
        <row r="1008">
          <cell r="A1008" t="str">
            <v>65535_3</v>
          </cell>
        </row>
        <row r="1009">
          <cell r="A1009" t="str">
            <v>65535_4</v>
          </cell>
        </row>
        <row r="1010">
          <cell r="A1010" t="str">
            <v>65535_5</v>
          </cell>
        </row>
        <row r="1011">
          <cell r="A1011" t="str">
            <v>65535_6</v>
          </cell>
        </row>
        <row r="1012">
          <cell r="A1012" t="str">
            <v>65535_7</v>
          </cell>
        </row>
        <row r="1013">
          <cell r="A1013" t="str">
            <v>65535_8</v>
          </cell>
        </row>
        <row r="1014">
          <cell r="A1014" t="str">
            <v>65535_9</v>
          </cell>
        </row>
        <row r="1015">
          <cell r="A101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1551</v>
          </cell>
        </row>
        <row r="1377">
          <cell r="A1377">
            <v>1552</v>
          </cell>
        </row>
        <row r="1378">
          <cell r="A1378">
            <v>1553</v>
          </cell>
        </row>
        <row r="1379">
          <cell r="A1379">
            <v>1554</v>
          </cell>
        </row>
        <row r="1380">
          <cell r="A1380">
            <v>1555</v>
          </cell>
        </row>
        <row r="1381">
          <cell r="A1381">
            <v>1556</v>
          </cell>
        </row>
        <row r="1382">
          <cell r="A1382">
            <v>1557</v>
          </cell>
        </row>
        <row r="1383">
          <cell r="A1383">
            <v>1558</v>
          </cell>
        </row>
        <row r="1384">
          <cell r="A1384">
            <v>1559</v>
          </cell>
        </row>
        <row r="1385">
          <cell r="A1385">
            <v>1560</v>
          </cell>
        </row>
        <row r="1386">
          <cell r="A1386">
            <v>1561</v>
          </cell>
        </row>
        <row r="1387">
          <cell r="A1387">
            <v>1562</v>
          </cell>
        </row>
        <row r="1388">
          <cell r="A1388">
            <v>1563</v>
          </cell>
        </row>
        <row r="1389">
          <cell r="A1389">
            <v>1564</v>
          </cell>
        </row>
        <row r="1390">
          <cell r="A1390">
            <v>1565</v>
          </cell>
        </row>
        <row r="1391">
          <cell r="A1391">
            <v>1566</v>
          </cell>
        </row>
        <row r="1392">
          <cell r="A1392">
            <v>1567</v>
          </cell>
        </row>
        <row r="1393">
          <cell r="A1393">
            <v>1568</v>
          </cell>
        </row>
        <row r="1394">
          <cell r="A1394">
            <v>1569</v>
          </cell>
        </row>
        <row r="1395">
          <cell r="A1395">
            <v>1570</v>
          </cell>
        </row>
        <row r="1396">
          <cell r="A1396">
            <v>1571</v>
          </cell>
        </row>
        <row r="1397">
          <cell r="A1397">
            <v>1572</v>
          </cell>
        </row>
        <row r="1398">
          <cell r="A1398">
            <v>1573</v>
          </cell>
        </row>
        <row r="1399">
          <cell r="A1399">
            <v>1574</v>
          </cell>
        </row>
        <row r="1400">
          <cell r="A1400">
            <v>1575</v>
          </cell>
        </row>
        <row r="1401">
          <cell r="A1401">
            <v>1576</v>
          </cell>
        </row>
        <row r="1402">
          <cell r="A1402">
            <v>1577</v>
          </cell>
        </row>
        <row r="1403">
          <cell r="A1403">
            <v>1578</v>
          </cell>
        </row>
        <row r="1404">
          <cell r="A1404">
            <v>1579</v>
          </cell>
        </row>
        <row r="1405">
          <cell r="A1405">
            <v>1580</v>
          </cell>
        </row>
        <row r="1406">
          <cell r="A1406">
            <v>1581</v>
          </cell>
        </row>
        <row r="1407">
          <cell r="A1407">
            <v>1582</v>
          </cell>
        </row>
        <row r="1408">
          <cell r="A1408">
            <v>1583</v>
          </cell>
        </row>
        <row r="1409">
          <cell r="A1409">
            <v>1584</v>
          </cell>
        </row>
        <row r="1410">
          <cell r="A1410">
            <v>1585</v>
          </cell>
        </row>
        <row r="1411">
          <cell r="A1411">
            <v>1586</v>
          </cell>
        </row>
        <row r="1412">
          <cell r="A1412">
            <v>1587</v>
          </cell>
        </row>
        <row r="1413">
          <cell r="A1413">
            <v>1588</v>
          </cell>
        </row>
        <row r="1414">
          <cell r="A1414">
            <v>5001</v>
          </cell>
        </row>
        <row r="1415">
          <cell r="A1415">
            <v>5002</v>
          </cell>
        </row>
        <row r="1416">
          <cell r="A1416">
            <v>5003</v>
          </cell>
        </row>
        <row r="1417">
          <cell r="A1417">
            <v>5004</v>
          </cell>
        </row>
        <row r="1418">
          <cell r="A1418">
            <v>5005</v>
          </cell>
        </row>
        <row r="1419">
          <cell r="A1419">
            <v>5006</v>
          </cell>
        </row>
        <row r="1420">
          <cell r="A1420">
            <v>5007</v>
          </cell>
        </row>
        <row r="1421">
          <cell r="A1421">
            <v>5008</v>
          </cell>
        </row>
        <row r="1422">
          <cell r="A1422">
            <v>6001</v>
          </cell>
        </row>
        <row r="1423">
          <cell r="A1423">
            <v>6002</v>
          </cell>
        </row>
        <row r="1424">
          <cell r="A1424">
            <v>6003</v>
          </cell>
        </row>
        <row r="1425">
          <cell r="A1425">
            <v>6004</v>
          </cell>
        </row>
        <row r="1426">
          <cell r="A1426">
            <v>6005</v>
          </cell>
        </row>
        <row r="1427">
          <cell r="A1427">
            <v>6006</v>
          </cell>
        </row>
        <row r="1428">
          <cell r="A1428">
            <v>6007</v>
          </cell>
        </row>
        <row r="1429">
          <cell r="A1429">
            <v>6008</v>
          </cell>
        </row>
        <row r="1430">
          <cell r="A1430">
            <v>6009</v>
          </cell>
        </row>
        <row r="1431">
          <cell r="A1431">
            <v>6010</v>
          </cell>
        </row>
        <row r="1432">
          <cell r="A1432">
            <v>6011</v>
          </cell>
        </row>
        <row r="1433">
          <cell r="A1433">
            <v>6012</v>
          </cell>
        </row>
        <row r="1434">
          <cell r="A1434">
            <v>6013</v>
          </cell>
        </row>
        <row r="1435">
          <cell r="A1435">
            <v>6014</v>
          </cell>
        </row>
        <row r="1436">
          <cell r="A1436">
            <v>6015</v>
          </cell>
        </row>
        <row r="1437">
          <cell r="A1437">
            <v>6016</v>
          </cell>
        </row>
        <row r="1438">
          <cell r="A1438">
            <v>6017</v>
          </cell>
        </row>
        <row r="1439">
          <cell r="A1439">
            <v>6018</v>
          </cell>
        </row>
        <row r="1440">
          <cell r="A1440">
            <v>6019</v>
          </cell>
        </row>
        <row r="1441">
          <cell r="A1441">
            <v>6020</v>
          </cell>
        </row>
        <row r="1442">
          <cell r="A1442">
            <v>8001</v>
          </cell>
        </row>
        <row r="1443">
          <cell r="A1443">
            <v>8002</v>
          </cell>
        </row>
        <row r="1444">
          <cell r="A1444">
            <v>8003</v>
          </cell>
        </row>
        <row r="1445">
          <cell r="A1445">
            <v>8004</v>
          </cell>
        </row>
        <row r="1446">
          <cell r="A1446">
            <v>8005</v>
          </cell>
        </row>
        <row r="1447">
          <cell r="A1447">
            <v>8006</v>
          </cell>
        </row>
        <row r="1448">
          <cell r="A1448">
            <v>8007</v>
          </cell>
        </row>
        <row r="1449">
          <cell r="A1449">
            <v>8008</v>
          </cell>
        </row>
        <row r="1450">
          <cell r="A1450">
            <v>8009</v>
          </cell>
        </row>
        <row r="1451">
          <cell r="A1451">
            <v>8010</v>
          </cell>
        </row>
        <row r="1452">
          <cell r="A1452">
            <v>8011</v>
          </cell>
        </row>
        <row r="1453">
          <cell r="A1453">
            <v>8012</v>
          </cell>
        </row>
        <row r="1454">
          <cell r="A1454">
            <v>8013</v>
          </cell>
        </row>
        <row r="1455">
          <cell r="A1455">
            <v>8014</v>
          </cell>
        </row>
        <row r="1456">
          <cell r="A1456">
            <v>8015</v>
          </cell>
        </row>
        <row r="1457">
          <cell r="A1457">
            <v>8016</v>
          </cell>
        </row>
        <row r="1458">
          <cell r="A1458">
            <v>8017</v>
          </cell>
        </row>
        <row r="1459">
          <cell r="A1459">
            <v>8018</v>
          </cell>
        </row>
        <row r="1460">
          <cell r="A1460">
            <v>8019</v>
          </cell>
        </row>
        <row r="1461">
          <cell r="A1461">
            <v>8020</v>
          </cell>
        </row>
        <row r="1462">
          <cell r="A1462">
            <v>8021</v>
          </cell>
        </row>
        <row r="1463">
          <cell r="A1463">
            <v>8022</v>
          </cell>
        </row>
        <row r="1464">
          <cell r="A1464">
            <v>8023</v>
          </cell>
        </row>
        <row r="1465">
          <cell r="A1465">
            <v>8024</v>
          </cell>
        </row>
        <row r="1466">
          <cell r="A1466">
            <v>8025</v>
          </cell>
        </row>
        <row r="1467">
          <cell r="A1467">
            <v>8026</v>
          </cell>
        </row>
        <row r="1468">
          <cell r="A1468">
            <v>8027</v>
          </cell>
        </row>
        <row r="1469">
          <cell r="A1469">
            <v>8028</v>
          </cell>
        </row>
        <row r="1470">
          <cell r="A1470">
            <v>8029</v>
          </cell>
        </row>
        <row r="1471">
          <cell r="A1471">
            <v>8030</v>
          </cell>
        </row>
        <row r="1472">
          <cell r="A1472">
            <v>8031</v>
          </cell>
        </row>
        <row r="1473">
          <cell r="A1473">
            <v>8032</v>
          </cell>
        </row>
        <row r="1474">
          <cell r="A1474">
            <v>8033</v>
          </cell>
        </row>
        <row r="1475">
          <cell r="A1475">
            <v>8034</v>
          </cell>
        </row>
        <row r="1476">
          <cell r="A1476">
            <v>8035</v>
          </cell>
        </row>
        <row r="1477">
          <cell r="A1477">
            <v>8036</v>
          </cell>
        </row>
        <row r="1478">
          <cell r="A1478">
            <v>8037</v>
          </cell>
        </row>
        <row r="1479">
          <cell r="A1479">
            <v>8038</v>
          </cell>
        </row>
        <row r="1480">
          <cell r="A1480">
            <v>8039</v>
          </cell>
        </row>
        <row r="1481">
          <cell r="A1481">
            <v>8040</v>
          </cell>
        </row>
        <row r="1482">
          <cell r="A1482">
            <v>8041</v>
          </cell>
        </row>
        <row r="1483">
          <cell r="A1483">
            <v>8042</v>
          </cell>
        </row>
        <row r="1484">
          <cell r="A1484">
            <v>8043</v>
          </cell>
        </row>
        <row r="1485">
          <cell r="A1485">
            <v>8044</v>
          </cell>
        </row>
        <row r="1486">
          <cell r="A1486">
            <v>8045</v>
          </cell>
        </row>
        <row r="1487">
          <cell r="A1487">
            <v>8046</v>
          </cell>
        </row>
        <row r="1488">
          <cell r="A1488">
            <v>8047</v>
          </cell>
        </row>
        <row r="1489">
          <cell r="A1489">
            <v>8048</v>
          </cell>
        </row>
        <row r="1490">
          <cell r="A1490">
            <v>8049</v>
          </cell>
        </row>
        <row r="1491">
          <cell r="A1491">
            <v>8050</v>
          </cell>
        </row>
        <row r="1492">
          <cell r="A1492">
            <v>8051</v>
          </cell>
        </row>
        <row r="1493">
          <cell r="A1493">
            <v>8052</v>
          </cell>
        </row>
        <row r="1494">
          <cell r="A1494">
            <v>8053</v>
          </cell>
        </row>
        <row r="1495">
          <cell r="A1495">
            <v>8054</v>
          </cell>
        </row>
        <row r="1496">
          <cell r="A1496">
            <v>8055</v>
          </cell>
        </row>
        <row r="1497">
          <cell r="A1497">
            <v>8056</v>
          </cell>
        </row>
        <row r="1498">
          <cell r="A1498">
            <v>8057</v>
          </cell>
        </row>
        <row r="1499">
          <cell r="A1499">
            <v>8058</v>
          </cell>
        </row>
        <row r="1500">
          <cell r="A1500">
            <v>8059</v>
          </cell>
        </row>
        <row r="1501">
          <cell r="A1501">
            <v>8060</v>
          </cell>
        </row>
        <row r="1502">
          <cell r="A1502">
            <v>8061</v>
          </cell>
        </row>
        <row r="1503">
          <cell r="A1503">
            <v>8062</v>
          </cell>
        </row>
        <row r="1504">
          <cell r="A1504">
            <v>8063</v>
          </cell>
        </row>
        <row r="1505">
          <cell r="A1505">
            <v>8064</v>
          </cell>
        </row>
        <row r="1506">
          <cell r="A1506">
            <v>8065</v>
          </cell>
        </row>
        <row r="1507">
          <cell r="A1507">
            <v>8066</v>
          </cell>
        </row>
        <row r="1508">
          <cell r="A1508">
            <v>8067</v>
          </cell>
        </row>
        <row r="1509">
          <cell r="A1509">
            <v>8068</v>
          </cell>
        </row>
        <row r="1510">
          <cell r="A1510">
            <v>8069</v>
          </cell>
        </row>
        <row r="1511">
          <cell r="A1511">
            <v>8070</v>
          </cell>
        </row>
        <row r="1512">
          <cell r="A1512">
            <v>8071</v>
          </cell>
        </row>
        <row r="1513">
          <cell r="A1513">
            <v>8072</v>
          </cell>
        </row>
        <row r="1514">
          <cell r="A1514">
            <v>8073</v>
          </cell>
        </row>
        <row r="1515">
          <cell r="A1515">
            <v>8074</v>
          </cell>
        </row>
        <row r="1516">
          <cell r="A1516">
            <v>8077</v>
          </cell>
        </row>
        <row r="1517">
          <cell r="A1517">
            <v>8078</v>
          </cell>
        </row>
        <row r="1518">
          <cell r="A1518">
            <v>8079</v>
          </cell>
        </row>
        <row r="1519">
          <cell r="A1519">
            <v>8080</v>
          </cell>
        </row>
        <row r="1520">
          <cell r="A1520">
            <v>8081</v>
          </cell>
        </row>
        <row r="1521">
          <cell r="A1521">
            <v>8082</v>
          </cell>
        </row>
        <row r="1522">
          <cell r="A1522">
            <v>8083</v>
          </cell>
        </row>
        <row r="1523">
          <cell r="A1523">
            <v>8084</v>
          </cell>
        </row>
        <row r="1524">
          <cell r="A1524">
            <v>8085</v>
          </cell>
        </row>
        <row r="1525">
          <cell r="A1525">
            <v>8086</v>
          </cell>
        </row>
        <row r="1526">
          <cell r="A1526">
            <v>8087</v>
          </cell>
        </row>
        <row r="1527">
          <cell r="A1527">
            <v>8088</v>
          </cell>
        </row>
        <row r="1528">
          <cell r="A1528">
            <v>8089</v>
          </cell>
        </row>
        <row r="1529">
          <cell r="A1529">
            <v>8090</v>
          </cell>
        </row>
        <row r="1530">
          <cell r="A1530">
            <v>8095</v>
          </cell>
        </row>
        <row r="1531">
          <cell r="A1531">
            <v>8096</v>
          </cell>
        </row>
        <row r="1532">
          <cell r="A1532">
            <v>8097</v>
          </cell>
        </row>
        <row r="1533">
          <cell r="A1533">
            <v>8098</v>
          </cell>
        </row>
        <row r="1534">
          <cell r="A1534">
            <v>8099</v>
          </cell>
        </row>
        <row r="1535">
          <cell r="A1535">
            <v>8100</v>
          </cell>
        </row>
        <row r="1536">
          <cell r="A1536">
            <v>8101</v>
          </cell>
        </row>
        <row r="1537">
          <cell r="A1537">
            <v>8102</v>
          </cell>
        </row>
        <row r="1538">
          <cell r="A1538">
            <v>8103</v>
          </cell>
        </row>
        <row r="1539">
          <cell r="A1539">
            <v>8104</v>
          </cell>
        </row>
        <row r="1540">
          <cell r="A1540">
            <v>8105</v>
          </cell>
        </row>
        <row r="1541">
          <cell r="A1541">
            <v>8106</v>
          </cell>
        </row>
        <row r="1542">
          <cell r="A1542">
            <v>9001</v>
          </cell>
        </row>
        <row r="1543">
          <cell r="A1543">
            <v>9002</v>
          </cell>
        </row>
        <row r="1544">
          <cell r="A1544">
            <v>9003</v>
          </cell>
        </row>
        <row r="1545">
          <cell r="A1545">
            <v>9004</v>
          </cell>
        </row>
        <row r="1546">
          <cell r="A1546">
            <v>9005</v>
          </cell>
        </row>
        <row r="1547">
          <cell r="A1547">
            <v>9006</v>
          </cell>
        </row>
        <row r="1548">
          <cell r="A1548">
            <v>9007</v>
          </cell>
        </row>
        <row r="1549">
          <cell r="A1549">
            <v>9008</v>
          </cell>
        </row>
        <row r="1550">
          <cell r="A1550">
            <v>10101</v>
          </cell>
        </row>
        <row r="1551">
          <cell r="A1551">
            <v>10102</v>
          </cell>
        </row>
        <row r="1552">
          <cell r="A1552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1490</v>
          </cell>
        </row>
        <row r="1448">
          <cell r="A1448">
            <v>1491</v>
          </cell>
        </row>
        <row r="1449">
          <cell r="A1449">
            <v>1495</v>
          </cell>
        </row>
        <row r="1450">
          <cell r="A1450">
            <v>1496</v>
          </cell>
        </row>
        <row r="1451">
          <cell r="A1451">
            <v>1497</v>
          </cell>
        </row>
        <row r="1452">
          <cell r="A1452">
            <v>1498</v>
          </cell>
        </row>
        <row r="1453">
          <cell r="A1453">
            <v>1499</v>
          </cell>
        </row>
        <row r="1454">
          <cell r="A1454">
            <v>1500</v>
          </cell>
        </row>
        <row r="1455">
          <cell r="A1455">
            <v>1501</v>
          </cell>
        </row>
        <row r="1456">
          <cell r="A1456">
            <v>1502</v>
          </cell>
        </row>
        <row r="1457">
          <cell r="A1457">
            <v>1503</v>
          </cell>
        </row>
        <row r="1458">
          <cell r="A1458">
            <v>1504</v>
          </cell>
        </row>
        <row r="1459">
          <cell r="A1459">
            <v>1505</v>
          </cell>
        </row>
        <row r="1460">
          <cell r="A1460">
            <v>1506</v>
          </cell>
        </row>
        <row r="1461">
          <cell r="A1461">
            <v>1507</v>
          </cell>
        </row>
        <row r="1462">
          <cell r="A1462">
            <v>1508</v>
          </cell>
        </row>
        <row r="1463">
          <cell r="A1463">
            <v>1509</v>
          </cell>
        </row>
        <row r="1464">
          <cell r="A1464">
            <v>1510</v>
          </cell>
        </row>
        <row r="1465">
          <cell r="A1465">
            <v>1511</v>
          </cell>
        </row>
        <row r="1466">
          <cell r="A1466">
            <v>1512</v>
          </cell>
        </row>
        <row r="1467">
          <cell r="A1467">
            <v>1513</v>
          </cell>
        </row>
        <row r="1468">
          <cell r="A1468">
            <v>1514</v>
          </cell>
        </row>
        <row r="1469">
          <cell r="A1469">
            <v>1515</v>
          </cell>
        </row>
        <row r="1470">
          <cell r="A1470">
            <v>1516</v>
          </cell>
        </row>
        <row r="1471">
          <cell r="A1471">
            <v>1517</v>
          </cell>
        </row>
        <row r="1472">
          <cell r="A1472">
            <v>1518</v>
          </cell>
        </row>
        <row r="1473">
          <cell r="A1473">
            <v>1519</v>
          </cell>
        </row>
        <row r="1474">
          <cell r="A1474">
            <v>1520</v>
          </cell>
        </row>
        <row r="1475">
          <cell r="A1475">
            <v>1521</v>
          </cell>
        </row>
        <row r="1476">
          <cell r="A1476">
            <v>1522</v>
          </cell>
        </row>
        <row r="1477">
          <cell r="A1477">
            <v>1523</v>
          </cell>
        </row>
        <row r="1478">
          <cell r="A1478">
            <v>1524</v>
          </cell>
        </row>
        <row r="1479">
          <cell r="A1479">
            <v>1525</v>
          </cell>
        </row>
        <row r="1480">
          <cell r="A1480">
            <v>1526</v>
          </cell>
        </row>
        <row r="1481">
          <cell r="A1481">
            <v>1527</v>
          </cell>
        </row>
        <row r="1482">
          <cell r="A1482">
            <v>1528</v>
          </cell>
        </row>
        <row r="1483">
          <cell r="A1483">
            <v>1529</v>
          </cell>
        </row>
        <row r="1484">
          <cell r="A1484">
            <v>1530</v>
          </cell>
        </row>
        <row r="1485">
          <cell r="A1485">
            <v>1531</v>
          </cell>
        </row>
        <row r="1486">
          <cell r="A1486">
            <v>1532</v>
          </cell>
        </row>
        <row r="1487">
          <cell r="A1487">
            <v>1533</v>
          </cell>
        </row>
        <row r="1488">
          <cell r="A1488">
            <v>1534</v>
          </cell>
        </row>
        <row r="1489">
          <cell r="A1489">
            <v>1535</v>
          </cell>
        </row>
        <row r="1490">
          <cell r="A1490">
            <v>1536</v>
          </cell>
        </row>
        <row r="1491">
          <cell r="A1491">
            <v>1537</v>
          </cell>
        </row>
        <row r="1492">
          <cell r="A1492">
            <v>1538</v>
          </cell>
        </row>
        <row r="1493">
          <cell r="A1493">
            <v>1539</v>
          </cell>
        </row>
        <row r="1494">
          <cell r="A1494">
            <v>1540</v>
          </cell>
        </row>
        <row r="1495">
          <cell r="A1495">
            <v>1541</v>
          </cell>
        </row>
        <row r="1496">
          <cell r="A1496">
            <v>1542</v>
          </cell>
        </row>
        <row r="1497">
          <cell r="A1497">
            <v>1543</v>
          </cell>
        </row>
        <row r="1498">
          <cell r="A1498">
            <v>1544</v>
          </cell>
        </row>
        <row r="1499">
          <cell r="A1499">
            <v>1545</v>
          </cell>
        </row>
        <row r="1500">
          <cell r="A1500">
            <v>1546</v>
          </cell>
        </row>
        <row r="1501">
          <cell r="A1501">
            <v>1547</v>
          </cell>
        </row>
        <row r="1502">
          <cell r="A1502">
            <v>1548</v>
          </cell>
        </row>
        <row r="1503">
          <cell r="A1503">
            <v>1549</v>
          </cell>
        </row>
        <row r="1504">
          <cell r="A1504">
            <v>1550</v>
          </cell>
        </row>
        <row r="1505">
          <cell r="A1505">
            <v>1551</v>
          </cell>
        </row>
        <row r="1506">
          <cell r="A1506">
            <v>1552</v>
          </cell>
        </row>
        <row r="1507">
          <cell r="A1507">
            <v>1553</v>
          </cell>
        </row>
        <row r="1508">
          <cell r="A1508">
            <v>1554</v>
          </cell>
        </row>
        <row r="1509">
          <cell r="A1509">
            <v>1555</v>
          </cell>
        </row>
        <row r="1510">
          <cell r="A1510">
            <v>1556</v>
          </cell>
        </row>
        <row r="1511">
          <cell r="A1511">
            <v>1557</v>
          </cell>
        </row>
        <row r="1512">
          <cell r="A1512">
            <v>1558</v>
          </cell>
        </row>
        <row r="1513">
          <cell r="A1513">
            <v>1559</v>
          </cell>
        </row>
        <row r="1514">
          <cell r="A1514">
            <v>1560</v>
          </cell>
        </row>
        <row r="1515">
          <cell r="A1515">
            <v>1561</v>
          </cell>
        </row>
        <row r="1516">
          <cell r="A1516">
            <v>1562</v>
          </cell>
        </row>
        <row r="1517">
          <cell r="A1517">
            <v>1563</v>
          </cell>
        </row>
        <row r="1518">
          <cell r="A1518">
            <v>1564</v>
          </cell>
        </row>
        <row r="1519">
          <cell r="A1519">
            <v>1565</v>
          </cell>
        </row>
        <row r="1520">
          <cell r="A1520">
            <v>1566</v>
          </cell>
        </row>
        <row r="1521">
          <cell r="A1521">
            <v>1567</v>
          </cell>
        </row>
        <row r="1522">
          <cell r="A1522">
            <v>1568</v>
          </cell>
        </row>
        <row r="1523">
          <cell r="A1523">
            <v>1569</v>
          </cell>
        </row>
        <row r="1524">
          <cell r="A1524">
            <v>1570</v>
          </cell>
        </row>
        <row r="1525">
          <cell r="A1525">
            <v>1571</v>
          </cell>
        </row>
        <row r="1526">
          <cell r="A1526">
            <v>1572</v>
          </cell>
        </row>
        <row r="1527">
          <cell r="A1527">
            <v>1573</v>
          </cell>
        </row>
        <row r="1528">
          <cell r="A1528">
            <v>1574</v>
          </cell>
        </row>
        <row r="1529">
          <cell r="A1529">
            <v>1575</v>
          </cell>
        </row>
        <row r="1530">
          <cell r="A1530">
            <v>1576</v>
          </cell>
        </row>
        <row r="1531">
          <cell r="A1531">
            <v>1577</v>
          </cell>
        </row>
        <row r="1532">
          <cell r="A1532">
            <v>1578</v>
          </cell>
        </row>
        <row r="1533">
          <cell r="A1533">
            <v>1579</v>
          </cell>
        </row>
        <row r="1534">
          <cell r="A1534">
            <v>1580</v>
          </cell>
        </row>
        <row r="1535">
          <cell r="A1535">
            <v>1581</v>
          </cell>
        </row>
        <row r="1536">
          <cell r="A1536">
            <v>1582</v>
          </cell>
        </row>
        <row r="1537">
          <cell r="A1537">
            <v>1583</v>
          </cell>
        </row>
        <row r="1538">
          <cell r="A1538">
            <v>1584</v>
          </cell>
        </row>
        <row r="1539">
          <cell r="A1539">
            <v>1585</v>
          </cell>
        </row>
        <row r="1540">
          <cell r="A1540">
            <v>1586</v>
          </cell>
        </row>
        <row r="1541">
          <cell r="A1541">
            <v>1587</v>
          </cell>
        </row>
        <row r="1542">
          <cell r="A1542">
            <v>1588</v>
          </cell>
        </row>
        <row r="1543">
          <cell r="A1543">
            <v>1613</v>
          </cell>
        </row>
        <row r="1544">
          <cell r="A1544">
            <v>1614</v>
          </cell>
        </row>
        <row r="1545">
          <cell r="A1545">
            <v>5001</v>
          </cell>
        </row>
        <row r="1546">
          <cell r="A1546">
            <v>5002</v>
          </cell>
        </row>
        <row r="1547">
          <cell r="A1547">
            <v>5003</v>
          </cell>
        </row>
        <row r="1548">
          <cell r="A1548">
            <v>5004</v>
          </cell>
        </row>
        <row r="1549">
          <cell r="A1549">
            <v>5005</v>
          </cell>
        </row>
        <row r="1550">
          <cell r="A1550">
            <v>5006</v>
          </cell>
        </row>
        <row r="1551">
          <cell r="A1551">
            <v>5007</v>
          </cell>
        </row>
        <row r="1552">
          <cell r="A1552">
            <v>5008</v>
          </cell>
        </row>
        <row r="1553">
          <cell r="A1553">
            <v>6001</v>
          </cell>
        </row>
        <row r="1554">
          <cell r="A1554">
            <v>6002</v>
          </cell>
        </row>
        <row r="1555">
          <cell r="A1555">
            <v>6003</v>
          </cell>
        </row>
        <row r="1556">
          <cell r="A1556">
            <v>6004</v>
          </cell>
        </row>
        <row r="1557">
          <cell r="A1557">
            <v>6005</v>
          </cell>
        </row>
        <row r="1558">
          <cell r="A1558">
            <v>6006</v>
          </cell>
        </row>
        <row r="1559">
          <cell r="A1559">
            <v>6007</v>
          </cell>
        </row>
        <row r="1560">
          <cell r="A1560">
            <v>6008</v>
          </cell>
        </row>
        <row r="1561">
          <cell r="A1561">
            <v>6009</v>
          </cell>
        </row>
        <row r="1562">
          <cell r="A1562">
            <v>6010</v>
          </cell>
        </row>
        <row r="1563">
          <cell r="A1563">
            <v>6011</v>
          </cell>
        </row>
        <row r="1564">
          <cell r="A1564">
            <v>6012</v>
          </cell>
        </row>
        <row r="1565">
          <cell r="A1565">
            <v>6013</v>
          </cell>
        </row>
        <row r="1566">
          <cell r="A1566">
            <v>6014</v>
          </cell>
        </row>
        <row r="1567">
          <cell r="A1567">
            <v>6015</v>
          </cell>
        </row>
        <row r="1568">
          <cell r="A1568">
            <v>6016</v>
          </cell>
        </row>
        <row r="1569">
          <cell r="A1569">
            <v>6017</v>
          </cell>
        </row>
        <row r="1570">
          <cell r="A1570">
            <v>6018</v>
          </cell>
        </row>
        <row r="1571">
          <cell r="A1571">
            <v>6019</v>
          </cell>
        </row>
        <row r="1572">
          <cell r="A1572">
            <v>6020</v>
          </cell>
        </row>
        <row r="1573">
          <cell r="A1573">
            <v>8001</v>
          </cell>
        </row>
        <row r="1574">
          <cell r="A1574">
            <v>8002</v>
          </cell>
        </row>
        <row r="1575">
          <cell r="A1575">
            <v>8003</v>
          </cell>
        </row>
        <row r="1576">
          <cell r="A1576">
            <v>8004</v>
          </cell>
        </row>
        <row r="1577">
          <cell r="A1577">
            <v>8005</v>
          </cell>
        </row>
        <row r="1578">
          <cell r="A1578">
            <v>8006</v>
          </cell>
        </row>
        <row r="1579">
          <cell r="A1579">
            <v>8007</v>
          </cell>
        </row>
        <row r="1580">
          <cell r="A1580">
            <v>8008</v>
          </cell>
        </row>
        <row r="1581">
          <cell r="A1581">
            <v>8009</v>
          </cell>
        </row>
        <row r="1582">
          <cell r="A1582">
            <v>8010</v>
          </cell>
        </row>
        <row r="1583">
          <cell r="A1583">
            <v>8011</v>
          </cell>
        </row>
        <row r="1584">
          <cell r="A1584">
            <v>8012</v>
          </cell>
        </row>
        <row r="1585">
          <cell r="A1585">
            <v>8013</v>
          </cell>
        </row>
        <row r="1586">
          <cell r="A1586">
            <v>8014</v>
          </cell>
        </row>
        <row r="1587">
          <cell r="A1587">
            <v>8015</v>
          </cell>
        </row>
        <row r="1588">
          <cell r="A1588">
            <v>8016</v>
          </cell>
        </row>
        <row r="1589">
          <cell r="A1589">
            <v>8017</v>
          </cell>
        </row>
        <row r="1590">
          <cell r="A1590">
            <v>8018</v>
          </cell>
        </row>
        <row r="1591">
          <cell r="A1591">
            <v>8019</v>
          </cell>
        </row>
        <row r="1592">
          <cell r="A1592">
            <v>8020</v>
          </cell>
        </row>
        <row r="1593">
          <cell r="A1593">
            <v>8021</v>
          </cell>
        </row>
        <row r="1594">
          <cell r="A1594">
            <v>8022</v>
          </cell>
        </row>
        <row r="1595">
          <cell r="A1595">
            <v>8023</v>
          </cell>
        </row>
        <row r="1596">
          <cell r="A1596">
            <v>8024</v>
          </cell>
        </row>
        <row r="1597">
          <cell r="A1597">
            <v>8025</v>
          </cell>
        </row>
        <row r="1598">
          <cell r="A1598">
            <v>8026</v>
          </cell>
        </row>
        <row r="1599">
          <cell r="A1599">
            <v>8027</v>
          </cell>
        </row>
        <row r="1600">
          <cell r="A1600">
            <v>8028</v>
          </cell>
        </row>
        <row r="1601">
          <cell r="A1601">
            <v>8029</v>
          </cell>
        </row>
        <row r="1602">
          <cell r="A1602">
            <v>8030</v>
          </cell>
        </row>
        <row r="1603">
          <cell r="A1603">
            <v>8031</v>
          </cell>
        </row>
        <row r="1604">
          <cell r="A1604">
            <v>8032</v>
          </cell>
        </row>
        <row r="1605">
          <cell r="A1605">
            <v>8033</v>
          </cell>
        </row>
        <row r="1606">
          <cell r="A1606">
            <v>8034</v>
          </cell>
        </row>
        <row r="1607">
          <cell r="A1607">
            <v>8035</v>
          </cell>
        </row>
        <row r="1608">
          <cell r="A1608">
            <v>8036</v>
          </cell>
        </row>
        <row r="1609">
          <cell r="A1609">
            <v>8037</v>
          </cell>
        </row>
        <row r="1610">
          <cell r="A1610">
            <v>8038</v>
          </cell>
        </row>
        <row r="1611">
          <cell r="A1611">
            <v>8039</v>
          </cell>
        </row>
        <row r="1612">
          <cell r="A1612">
            <v>8040</v>
          </cell>
        </row>
        <row r="1613">
          <cell r="A1613">
            <v>8041</v>
          </cell>
        </row>
        <row r="1614">
          <cell r="A1614">
            <v>8042</v>
          </cell>
        </row>
        <row r="1615">
          <cell r="A1615">
            <v>8043</v>
          </cell>
        </row>
        <row r="1616">
          <cell r="A1616">
            <v>8044</v>
          </cell>
        </row>
        <row r="1617">
          <cell r="A1617">
            <v>8045</v>
          </cell>
        </row>
        <row r="1618">
          <cell r="A1618">
            <v>8046</v>
          </cell>
        </row>
        <row r="1619">
          <cell r="A1619">
            <v>8047</v>
          </cell>
        </row>
        <row r="1620">
          <cell r="A1620">
            <v>8048</v>
          </cell>
        </row>
        <row r="1621">
          <cell r="A1621">
            <v>8049</v>
          </cell>
        </row>
        <row r="1622">
          <cell r="A1622">
            <v>8050</v>
          </cell>
        </row>
        <row r="1623">
          <cell r="A1623">
            <v>8051</v>
          </cell>
        </row>
        <row r="1624">
          <cell r="A1624">
            <v>8052</v>
          </cell>
        </row>
        <row r="1625">
          <cell r="A1625">
            <v>8053</v>
          </cell>
        </row>
        <row r="1626">
          <cell r="A1626">
            <v>8054</v>
          </cell>
        </row>
        <row r="1627">
          <cell r="A1627">
            <v>8055</v>
          </cell>
        </row>
        <row r="1628">
          <cell r="A1628">
            <v>8056</v>
          </cell>
        </row>
        <row r="1629">
          <cell r="A1629">
            <v>8057</v>
          </cell>
        </row>
        <row r="1630">
          <cell r="A1630">
            <v>8058</v>
          </cell>
        </row>
        <row r="1631">
          <cell r="A1631">
            <v>8059</v>
          </cell>
        </row>
        <row r="1632">
          <cell r="A1632">
            <v>8060</v>
          </cell>
        </row>
        <row r="1633">
          <cell r="A1633">
            <v>8061</v>
          </cell>
        </row>
        <row r="1634">
          <cell r="A1634">
            <v>8062</v>
          </cell>
        </row>
        <row r="1635">
          <cell r="A1635">
            <v>8063</v>
          </cell>
        </row>
        <row r="1636">
          <cell r="A1636">
            <v>8064</v>
          </cell>
        </row>
        <row r="1637">
          <cell r="A1637">
            <v>8065</v>
          </cell>
        </row>
        <row r="1638">
          <cell r="A1638">
            <v>8066</v>
          </cell>
        </row>
        <row r="1639">
          <cell r="A1639">
            <v>8067</v>
          </cell>
        </row>
        <row r="1640">
          <cell r="A1640">
            <v>8068</v>
          </cell>
        </row>
        <row r="1641">
          <cell r="A1641">
            <v>8069</v>
          </cell>
        </row>
        <row r="1642">
          <cell r="A1642">
            <v>8070</v>
          </cell>
        </row>
        <row r="1643">
          <cell r="A1643">
            <v>8071</v>
          </cell>
        </row>
        <row r="1644">
          <cell r="A1644">
            <v>8072</v>
          </cell>
        </row>
        <row r="1645">
          <cell r="A1645">
            <v>8073</v>
          </cell>
        </row>
        <row r="1646">
          <cell r="A1646">
            <v>8074</v>
          </cell>
        </row>
        <row r="1647">
          <cell r="A1647">
            <v>8075</v>
          </cell>
        </row>
        <row r="1648">
          <cell r="A1648">
            <v>8076</v>
          </cell>
        </row>
        <row r="1649">
          <cell r="A1649">
            <v>8077</v>
          </cell>
        </row>
        <row r="1650">
          <cell r="A1650">
            <v>8078</v>
          </cell>
        </row>
        <row r="1651">
          <cell r="A1651">
            <v>8079</v>
          </cell>
        </row>
        <row r="1652">
          <cell r="A1652">
            <v>8080</v>
          </cell>
        </row>
        <row r="1653">
          <cell r="A1653">
            <v>8081</v>
          </cell>
        </row>
        <row r="1654">
          <cell r="A1654">
            <v>8082</v>
          </cell>
        </row>
        <row r="1655">
          <cell r="A1655">
            <v>8083</v>
          </cell>
        </row>
        <row r="1656">
          <cell r="A1656">
            <v>8084</v>
          </cell>
        </row>
        <row r="1657">
          <cell r="A1657">
            <v>8085</v>
          </cell>
        </row>
        <row r="1658">
          <cell r="A1658">
            <v>8086</v>
          </cell>
        </row>
        <row r="1659">
          <cell r="A1659">
            <v>8087</v>
          </cell>
        </row>
        <row r="1660">
          <cell r="A1660">
            <v>8088</v>
          </cell>
        </row>
        <row r="1661">
          <cell r="A1661">
            <v>8089</v>
          </cell>
        </row>
        <row r="1662">
          <cell r="A1662">
            <v>8090</v>
          </cell>
        </row>
        <row r="1663">
          <cell r="A1663">
            <v>8095</v>
          </cell>
        </row>
        <row r="1664">
          <cell r="A1664">
            <v>8096</v>
          </cell>
        </row>
        <row r="1665">
          <cell r="A1665">
            <v>8097</v>
          </cell>
        </row>
        <row r="1666">
          <cell r="A1666">
            <v>8098</v>
          </cell>
        </row>
        <row r="1667">
          <cell r="A1667">
            <v>8099</v>
          </cell>
        </row>
        <row r="1668">
          <cell r="A1668">
            <v>8100</v>
          </cell>
        </row>
        <row r="1669">
          <cell r="A1669">
            <v>8101</v>
          </cell>
        </row>
        <row r="1670">
          <cell r="A1670">
            <v>8102</v>
          </cell>
        </row>
        <row r="1671">
          <cell r="A1671">
            <v>8103</v>
          </cell>
        </row>
        <row r="1672">
          <cell r="A1672">
            <v>8104</v>
          </cell>
        </row>
        <row r="1673">
          <cell r="A1673">
            <v>8105</v>
          </cell>
        </row>
        <row r="1674">
          <cell r="A1674">
            <v>8106</v>
          </cell>
        </row>
        <row r="1675">
          <cell r="A1675">
            <v>9001</v>
          </cell>
        </row>
        <row r="1676">
          <cell r="A1676">
            <v>9002</v>
          </cell>
        </row>
        <row r="1677">
          <cell r="A1677">
            <v>9003</v>
          </cell>
        </row>
        <row r="1678">
          <cell r="A1678">
            <v>9004</v>
          </cell>
        </row>
        <row r="1679">
          <cell r="A1679">
            <v>9005</v>
          </cell>
        </row>
        <row r="1680">
          <cell r="A1680">
            <v>9006</v>
          </cell>
        </row>
        <row r="1681">
          <cell r="A1681">
            <v>9007</v>
          </cell>
        </row>
        <row r="1682">
          <cell r="A1682">
            <v>9008</v>
          </cell>
        </row>
        <row r="1683">
          <cell r="A1683">
            <v>10001</v>
          </cell>
        </row>
        <row r="1684">
          <cell r="A1684">
            <v>10002</v>
          </cell>
        </row>
        <row r="1685">
          <cell r="A1685">
            <v>10003</v>
          </cell>
        </row>
        <row r="1686">
          <cell r="A1686">
            <v>10004</v>
          </cell>
        </row>
        <row r="1687">
          <cell r="A1687">
            <v>10005</v>
          </cell>
        </row>
        <row r="1688">
          <cell r="A1688">
            <v>10006</v>
          </cell>
        </row>
        <row r="1689">
          <cell r="A1689">
            <v>10007</v>
          </cell>
        </row>
        <row r="1690">
          <cell r="A1690">
            <v>10008</v>
          </cell>
        </row>
        <row r="1691">
          <cell r="A1691">
            <v>10009</v>
          </cell>
        </row>
        <row r="1692">
          <cell r="A1692">
            <v>10010</v>
          </cell>
        </row>
        <row r="1693">
          <cell r="A1693">
            <v>10011</v>
          </cell>
        </row>
        <row r="1694">
          <cell r="A1694">
            <v>10012</v>
          </cell>
        </row>
        <row r="1695">
          <cell r="A1695">
            <v>10013</v>
          </cell>
        </row>
        <row r="1696">
          <cell r="A1696">
            <v>10014</v>
          </cell>
        </row>
        <row r="1697">
          <cell r="A1697">
            <v>10015</v>
          </cell>
        </row>
        <row r="1698">
          <cell r="A1698">
            <v>10016</v>
          </cell>
        </row>
        <row r="1699">
          <cell r="A1699">
            <v>10017</v>
          </cell>
        </row>
        <row r="1700">
          <cell r="A1700">
            <v>10018</v>
          </cell>
        </row>
        <row r="1701">
          <cell r="A1701">
            <v>10019</v>
          </cell>
        </row>
        <row r="1702">
          <cell r="A1702">
            <v>10020</v>
          </cell>
        </row>
        <row r="1703">
          <cell r="A1703">
            <v>10021</v>
          </cell>
        </row>
        <row r="1704">
          <cell r="A1704">
            <v>10022</v>
          </cell>
        </row>
        <row r="1705">
          <cell r="A1705">
            <v>10023</v>
          </cell>
        </row>
        <row r="1706">
          <cell r="A1706">
            <v>10024</v>
          </cell>
        </row>
        <row r="1707">
          <cell r="A1707">
            <v>10025</v>
          </cell>
        </row>
        <row r="1708">
          <cell r="A1708">
            <v>10026</v>
          </cell>
        </row>
        <row r="1709">
          <cell r="A1709">
            <v>10027</v>
          </cell>
        </row>
        <row r="1710">
          <cell r="A1710">
            <v>10028</v>
          </cell>
        </row>
        <row r="1711">
          <cell r="A1711">
            <v>10029</v>
          </cell>
        </row>
        <row r="1712">
          <cell r="A1712">
            <v>10030</v>
          </cell>
        </row>
        <row r="1713">
          <cell r="A1713">
            <v>10031</v>
          </cell>
        </row>
        <row r="1714">
          <cell r="A1714">
            <v>10032</v>
          </cell>
        </row>
        <row r="1715">
          <cell r="A1715">
            <v>10033</v>
          </cell>
        </row>
        <row r="1716">
          <cell r="A1716">
            <v>10034</v>
          </cell>
        </row>
        <row r="1717">
          <cell r="A1717">
            <v>10035</v>
          </cell>
        </row>
        <row r="1718">
          <cell r="A1718">
            <v>10036</v>
          </cell>
        </row>
        <row r="1719">
          <cell r="A1719">
            <v>10037</v>
          </cell>
        </row>
        <row r="1720">
          <cell r="A1720">
            <v>10038</v>
          </cell>
        </row>
        <row r="1721">
          <cell r="A1721">
            <v>10039</v>
          </cell>
        </row>
        <row r="1722">
          <cell r="A1722">
            <v>10040</v>
          </cell>
        </row>
        <row r="1723">
          <cell r="A1723">
            <v>10041</v>
          </cell>
        </row>
        <row r="1724">
          <cell r="A1724">
            <v>10042</v>
          </cell>
        </row>
        <row r="1725">
          <cell r="A1725">
            <v>10043</v>
          </cell>
        </row>
        <row r="1726">
          <cell r="A1726">
            <v>10044</v>
          </cell>
        </row>
        <row r="1727">
          <cell r="A1727">
            <v>10045</v>
          </cell>
        </row>
        <row r="1728">
          <cell r="A1728">
            <v>10046</v>
          </cell>
        </row>
        <row r="1729">
          <cell r="A1729">
            <v>10047</v>
          </cell>
        </row>
        <row r="1730">
          <cell r="A1730">
            <v>10048</v>
          </cell>
        </row>
        <row r="1731">
          <cell r="A1731">
            <v>10049</v>
          </cell>
        </row>
        <row r="1732">
          <cell r="A1732">
            <v>10050</v>
          </cell>
        </row>
        <row r="1733">
          <cell r="A1733">
            <v>10051</v>
          </cell>
        </row>
        <row r="1734">
          <cell r="A1734">
            <v>10052</v>
          </cell>
        </row>
        <row r="1735">
          <cell r="A1735">
            <v>10053</v>
          </cell>
        </row>
        <row r="1736">
          <cell r="A1736">
            <v>10054</v>
          </cell>
        </row>
        <row r="1737">
          <cell r="A1737">
            <v>10055</v>
          </cell>
        </row>
        <row r="1738">
          <cell r="A1738">
            <v>10056</v>
          </cell>
        </row>
        <row r="1739">
          <cell r="A1739">
            <v>10057</v>
          </cell>
        </row>
        <row r="1740">
          <cell r="A1740">
            <v>10058</v>
          </cell>
        </row>
        <row r="1741">
          <cell r="A1741">
            <v>10059</v>
          </cell>
        </row>
        <row r="1742">
          <cell r="A1742">
            <v>10060</v>
          </cell>
        </row>
        <row r="1743">
          <cell r="A1743">
            <v>10061</v>
          </cell>
        </row>
        <row r="1744">
          <cell r="A1744">
            <v>10062</v>
          </cell>
        </row>
        <row r="1745">
          <cell r="A1745">
            <v>10063</v>
          </cell>
        </row>
        <row r="1746">
          <cell r="A1746">
            <v>10064</v>
          </cell>
        </row>
        <row r="1747">
          <cell r="A1747">
            <v>10065</v>
          </cell>
        </row>
        <row r="1748">
          <cell r="A1748">
            <v>10066</v>
          </cell>
        </row>
        <row r="1749">
          <cell r="A1749">
            <v>10067</v>
          </cell>
        </row>
        <row r="1750">
          <cell r="A1750">
            <v>10068</v>
          </cell>
        </row>
        <row r="1751">
          <cell r="A1751">
            <v>10069</v>
          </cell>
        </row>
        <row r="1752">
          <cell r="A1752">
            <v>10070</v>
          </cell>
        </row>
        <row r="1753">
          <cell r="A1753">
            <v>10071</v>
          </cell>
        </row>
        <row r="1754">
          <cell r="A1754">
            <v>10072</v>
          </cell>
        </row>
        <row r="1755">
          <cell r="A1755">
            <v>10073</v>
          </cell>
        </row>
        <row r="1756">
          <cell r="A1756">
            <v>10074</v>
          </cell>
        </row>
        <row r="1757">
          <cell r="A1757">
            <v>10075</v>
          </cell>
        </row>
        <row r="1758">
          <cell r="A1758">
            <v>10076</v>
          </cell>
        </row>
        <row r="1759">
          <cell r="A1759">
            <v>10077</v>
          </cell>
        </row>
        <row r="1760">
          <cell r="A1760">
            <v>10078</v>
          </cell>
        </row>
        <row r="1761">
          <cell r="A1761">
            <v>10079</v>
          </cell>
        </row>
        <row r="1762">
          <cell r="A1762">
            <v>10080</v>
          </cell>
        </row>
        <row r="1763">
          <cell r="A1763">
            <v>10081</v>
          </cell>
        </row>
        <row r="1764">
          <cell r="A1764">
            <v>10082</v>
          </cell>
        </row>
        <row r="1765">
          <cell r="A1765">
            <v>10083</v>
          </cell>
        </row>
        <row r="1766">
          <cell r="A1766">
            <v>10084</v>
          </cell>
        </row>
        <row r="1767">
          <cell r="A1767">
            <v>10085</v>
          </cell>
        </row>
        <row r="1768">
          <cell r="A1768">
            <v>10086</v>
          </cell>
        </row>
        <row r="1769">
          <cell r="A1769">
            <v>10087</v>
          </cell>
        </row>
        <row r="1770">
          <cell r="A1770">
            <v>10088</v>
          </cell>
        </row>
        <row r="1771">
          <cell r="A1771">
            <v>10089</v>
          </cell>
        </row>
        <row r="1772">
          <cell r="A1772">
            <v>10090</v>
          </cell>
        </row>
        <row r="1773">
          <cell r="A1773">
            <v>10101</v>
          </cell>
        </row>
        <row r="1774">
          <cell r="A1774">
            <v>10102</v>
          </cell>
        </row>
        <row r="1775">
          <cell r="A17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A20" sqref="A20"/>
    </sheetView>
  </sheetViews>
  <sheetFormatPr baseColWidth="12" defaultRowHeight="15" x14ac:dyDescent="0.15"/>
  <cols>
    <col min="2" max="2" width="25.6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127</v>
      </c>
      <c r="B1" s="55" t="s">
        <v>98</v>
      </c>
      <c r="C1" s="55" t="s">
        <v>99</v>
      </c>
      <c r="D1" s="55" t="s">
        <v>100</v>
      </c>
      <c r="E1" s="55" t="s">
        <v>101</v>
      </c>
      <c r="F1" s="55" t="s">
        <v>102</v>
      </c>
      <c r="G1" s="55" t="s">
        <v>103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387</v>
      </c>
      <c r="B2" s="57" t="s">
        <v>104</v>
      </c>
      <c r="C2" s="62">
        <v>60029</v>
      </c>
      <c r="D2" s="57" t="s">
        <v>105</v>
      </c>
      <c r="E2" s="56" t="str">
        <f>B2&amp;C2&amp;D2</f>
        <v>floors_60029.tmp</v>
      </c>
      <c r="F2" s="57" t="s">
        <v>106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387</v>
      </c>
      <c r="B3" s="101" t="s">
        <v>229</v>
      </c>
      <c r="C3" s="62">
        <v>60029</v>
      </c>
      <c r="D3" s="57" t="s">
        <v>105</v>
      </c>
      <c r="E3" s="56" t="str">
        <f>B3&amp;C3&amp;D3</f>
        <v>ranking_floors_60029.tmp</v>
      </c>
      <c r="F3" s="57" t="s">
        <v>106</v>
      </c>
      <c r="G3" s="58" t="s">
        <v>0</v>
      </c>
      <c r="H3" s="58" t="s">
        <v>1</v>
      </c>
      <c r="I3" s="58" t="s">
        <v>13</v>
      </c>
      <c r="J3" s="88" t="s">
        <v>204</v>
      </c>
      <c r="K3" s="88" t="s">
        <v>205</v>
      </c>
      <c r="L3" s="88" t="s">
        <v>206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387</v>
      </c>
      <c r="B4" s="101" t="s">
        <v>230</v>
      </c>
      <c r="C4" s="62">
        <v>60029</v>
      </c>
      <c r="D4" s="57" t="s">
        <v>105</v>
      </c>
      <c r="E4" s="56" t="str">
        <f>B4&amp;C4&amp;D4</f>
        <v>ranking_stages_60029.tmp</v>
      </c>
      <c r="F4" s="57" t="s">
        <v>232</v>
      </c>
      <c r="G4" s="58" t="s">
        <v>0</v>
      </c>
      <c r="H4" s="58" t="s">
        <v>1</v>
      </c>
      <c r="I4" s="37" t="s">
        <v>231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387</v>
      </c>
      <c r="B5" s="101" t="s">
        <v>237</v>
      </c>
      <c r="C5" s="62">
        <v>60029</v>
      </c>
      <c r="D5" s="57" t="s">
        <v>105</v>
      </c>
      <c r="E5" s="56" t="str">
        <f t="shared" ref="E5:E7" si="0">B5&amp;C5&amp;D5</f>
        <v>clear_turn_60029.tmp</v>
      </c>
      <c r="F5" s="57" t="s">
        <v>241</v>
      </c>
      <c r="G5" s="58" t="s">
        <v>233</v>
      </c>
      <c r="H5" s="58" t="s">
        <v>234</v>
      </c>
      <c r="I5" s="58" t="s">
        <v>235</v>
      </c>
      <c r="J5" s="58" t="s">
        <v>236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387</v>
      </c>
      <c r="B6" s="101" t="s">
        <v>238</v>
      </c>
      <c r="C6" s="62">
        <v>60029</v>
      </c>
      <c r="D6" s="57" t="s">
        <v>105</v>
      </c>
      <c r="E6" s="56" t="str">
        <f t="shared" si="0"/>
        <v>damage_give_60029.tmp</v>
      </c>
      <c r="F6" s="57" t="s">
        <v>242</v>
      </c>
      <c r="G6" s="58" t="s">
        <v>233</v>
      </c>
      <c r="H6" s="58" t="s">
        <v>234</v>
      </c>
      <c r="I6" s="58" t="s">
        <v>235</v>
      </c>
      <c r="J6" s="58" t="s">
        <v>236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387</v>
      </c>
      <c r="B7" s="101" t="s">
        <v>240</v>
      </c>
      <c r="C7" s="62">
        <v>60029</v>
      </c>
      <c r="D7" s="57" t="s">
        <v>105</v>
      </c>
      <c r="E7" s="56" t="str">
        <f t="shared" si="0"/>
        <v>damage_receive_60029.tmp</v>
      </c>
      <c r="F7" s="57" t="s">
        <v>239</v>
      </c>
      <c r="G7" s="58" t="s">
        <v>233</v>
      </c>
      <c r="H7" s="58" t="s">
        <v>234</v>
      </c>
      <c r="I7" s="58" t="s">
        <v>235</v>
      </c>
      <c r="J7" s="58" t="s">
        <v>236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387</v>
      </c>
      <c r="B8" s="101" t="s">
        <v>250</v>
      </c>
      <c r="C8" s="62">
        <v>60029</v>
      </c>
      <c r="D8" s="57" t="s">
        <v>105</v>
      </c>
      <c r="E8" s="56" t="str">
        <f t="shared" ref="E8:E9" si="1">B8&amp;C8&amp;D8</f>
        <v>ranking_eval_data_60029.tmp</v>
      </c>
      <c r="F8" s="57" t="s">
        <v>252</v>
      </c>
      <c r="G8" s="58" t="s">
        <v>243</v>
      </c>
      <c r="H8" s="58" t="s">
        <v>244</v>
      </c>
      <c r="I8" s="58" t="s">
        <v>245</v>
      </c>
      <c r="J8" s="58" t="s">
        <v>246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387</v>
      </c>
      <c r="B9" s="101" t="s">
        <v>251</v>
      </c>
      <c r="C9" s="62">
        <v>60029</v>
      </c>
      <c r="D9" s="57" t="s">
        <v>105</v>
      </c>
      <c r="E9" s="56" t="str">
        <f t="shared" si="1"/>
        <v>ranking_eval_i18n_60029.tmp</v>
      </c>
      <c r="F9" s="57" t="s">
        <v>252</v>
      </c>
      <c r="G9" s="58" t="s">
        <v>243</v>
      </c>
      <c r="H9" s="100" t="s">
        <v>247</v>
      </c>
      <c r="I9" s="100" t="s">
        <v>248</v>
      </c>
      <c r="J9" s="100" t="s">
        <v>249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387</v>
      </c>
      <c r="B10" s="57" t="s">
        <v>107</v>
      </c>
      <c r="C10" s="62">
        <v>60029</v>
      </c>
      <c r="D10" s="57" t="s">
        <v>105</v>
      </c>
      <c r="E10" s="56" t="str">
        <f>B10&amp;C10&amp;D10</f>
        <v>enemy_habitats_60029.tmp</v>
      </c>
      <c r="F10" s="57" t="s">
        <v>108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53</v>
      </c>
      <c r="AD10" s="58" t="s">
        <v>173</v>
      </c>
    </row>
    <row r="11" spans="1:30" x14ac:dyDescent="0.15">
      <c r="A11" s="61" t="s">
        <v>387</v>
      </c>
      <c r="B11" s="57" t="s">
        <v>109</v>
      </c>
      <c r="C11" s="62">
        <v>60029</v>
      </c>
      <c r="D11" s="57" t="s">
        <v>105</v>
      </c>
      <c r="E11" s="56" t="str">
        <f>B11&amp;C11&amp;D11</f>
        <v>enemy_habitat_S_60029.tmp</v>
      </c>
      <c r="F11" s="57" t="s">
        <v>110</v>
      </c>
      <c r="G11" s="58" t="s">
        <v>0</v>
      </c>
      <c r="H11" s="58" t="s">
        <v>1</v>
      </c>
      <c r="I11" s="58" t="s">
        <v>13</v>
      </c>
      <c r="J11" s="58" t="s">
        <v>53</v>
      </c>
      <c r="K11" s="58" t="s">
        <v>54</v>
      </c>
      <c r="L11" s="58" t="s">
        <v>55</v>
      </c>
      <c r="M11" s="58" t="s">
        <v>56</v>
      </c>
      <c r="N11" s="58" t="s">
        <v>57</v>
      </c>
      <c r="O11" s="58" t="s">
        <v>58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387</v>
      </c>
      <c r="B12" s="57" t="s">
        <v>111</v>
      </c>
      <c r="C12" s="62">
        <v>60029</v>
      </c>
      <c r="D12" s="57" t="s">
        <v>105</v>
      </c>
      <c r="E12" s="56" t="str">
        <f>B12&amp;C12&amp;D12</f>
        <v>enemy_skill_sets_60029.tmp</v>
      </c>
      <c r="F12" s="57" t="s">
        <v>112</v>
      </c>
      <c r="G12" s="59" t="s">
        <v>22</v>
      </c>
      <c r="H12" s="59" t="s">
        <v>97</v>
      </c>
      <c r="I12" s="59" t="s">
        <v>92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387</v>
      </c>
      <c r="B13" s="57" t="s">
        <v>113</v>
      </c>
      <c r="C13" s="62">
        <v>60029</v>
      </c>
      <c r="D13" s="57" t="s">
        <v>114</v>
      </c>
      <c r="E13" s="56" t="str">
        <f t="shared" ref="E13:E17" si="2">B13&amp;C13&amp;D13</f>
        <v>enemy_skills_tmp_60029.tmp</v>
      </c>
      <c r="F13" s="57" t="s">
        <v>88</v>
      </c>
      <c r="G13" s="58" t="s">
        <v>78</v>
      </c>
      <c r="H13" s="58" t="s">
        <v>79</v>
      </c>
      <c r="I13" s="58" t="s">
        <v>80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387</v>
      </c>
      <c r="B14" s="57" t="s">
        <v>115</v>
      </c>
      <c r="C14" s="62">
        <v>60029</v>
      </c>
      <c r="D14" s="57" t="s">
        <v>105</v>
      </c>
      <c r="E14" s="56" t="str">
        <f>B14&amp;C14&amp;D14</f>
        <v>enemy_skills_i18n_60029.tmp</v>
      </c>
      <c r="F14" s="57" t="s">
        <v>116</v>
      </c>
      <c r="G14" s="58" t="s">
        <v>78</v>
      </c>
      <c r="H14" s="58" t="s">
        <v>89</v>
      </c>
      <c r="I14" s="58" t="s">
        <v>90</v>
      </c>
      <c r="J14" s="58" t="s">
        <v>91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387</v>
      </c>
      <c r="B15" s="57" t="s">
        <v>117</v>
      </c>
      <c r="C15" s="62">
        <v>60029</v>
      </c>
      <c r="D15" s="57" t="s">
        <v>118</v>
      </c>
      <c r="E15" s="56" t="str">
        <f t="shared" si="2"/>
        <v>enemy_skill_triggers_60029.tmp</v>
      </c>
      <c r="F15" s="57" t="s">
        <v>119</v>
      </c>
      <c r="G15" s="58" t="s">
        <v>92</v>
      </c>
      <c r="H15" s="58" t="s">
        <v>93</v>
      </c>
      <c r="I15" s="58" t="s">
        <v>94</v>
      </c>
      <c r="J15" s="58" t="s">
        <v>95</v>
      </c>
      <c r="K15" s="58" t="s">
        <v>120</v>
      </c>
      <c r="L15" s="58" t="s">
        <v>96</v>
      </c>
      <c r="M15" s="58" t="s">
        <v>121</v>
      </c>
      <c r="N15" s="58" t="s">
        <v>122</v>
      </c>
      <c r="O15" s="58" t="s">
        <v>123</v>
      </c>
      <c r="P15" s="58" t="s">
        <v>66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61" t="s">
        <v>182</v>
      </c>
      <c r="B16" s="67" t="s">
        <v>172</v>
      </c>
      <c r="C16" s="62">
        <v>60029</v>
      </c>
      <c r="D16" s="67" t="s">
        <v>166</v>
      </c>
      <c r="E16" s="68" t="str">
        <f t="shared" si="2"/>
        <v>stage_bug_bonuses_60029.tmp</v>
      </c>
      <c r="F16" s="67" t="s">
        <v>167</v>
      </c>
      <c r="G16" s="64" t="s">
        <v>147</v>
      </c>
      <c r="H16" s="64" t="s">
        <v>168</v>
      </c>
      <c r="I16" s="64" t="s">
        <v>169</v>
      </c>
      <c r="J16" s="66" t="s">
        <v>170</v>
      </c>
      <c r="K16" s="64" t="s">
        <v>171</v>
      </c>
      <c r="L16" s="64" t="s">
        <v>153</v>
      </c>
      <c r="M16" s="64" t="s">
        <v>154</v>
      </c>
      <c r="N16" s="64" t="s">
        <v>155</v>
      </c>
      <c r="O16" s="64" t="s">
        <v>156</v>
      </c>
      <c r="P16" s="64" t="s">
        <v>157</v>
      </c>
      <c r="Q16" s="64" t="s">
        <v>158</v>
      </c>
      <c r="R16" s="64" t="s">
        <v>159</v>
      </c>
      <c r="S16" s="64" t="s">
        <v>160</v>
      </c>
      <c r="T16" s="64" t="s">
        <v>161</v>
      </c>
      <c r="U16" s="64" t="s">
        <v>162</v>
      </c>
      <c r="V16" s="64" t="s">
        <v>163</v>
      </c>
      <c r="W16" s="64" t="s">
        <v>164</v>
      </c>
    </row>
    <row r="17" spans="1:21" s="74" customFormat="1" x14ac:dyDescent="0.15">
      <c r="A17" s="61" t="s">
        <v>182</v>
      </c>
      <c r="B17" s="67" t="s">
        <v>192</v>
      </c>
      <c r="C17" s="62">
        <v>60029</v>
      </c>
      <c r="D17" s="67" t="s">
        <v>175</v>
      </c>
      <c r="E17" s="68" t="str">
        <f t="shared" si="2"/>
        <v>stage_hints_data_c_60029.tmp</v>
      </c>
      <c r="F17" s="67" t="s">
        <v>201</v>
      </c>
      <c r="G17" s="71" t="s">
        <v>176</v>
      </c>
      <c r="H17" s="71" t="s">
        <v>168</v>
      </c>
      <c r="I17" s="72" t="s">
        <v>177</v>
      </c>
      <c r="J17" s="66" t="s">
        <v>178</v>
      </c>
      <c r="K17" s="73" t="s">
        <v>179</v>
      </c>
    </row>
    <row r="18" spans="1:21" s="74" customFormat="1" x14ac:dyDescent="0.15">
      <c r="A18" s="61" t="s">
        <v>182</v>
      </c>
      <c r="B18" s="67" t="s">
        <v>193</v>
      </c>
      <c r="C18" s="62">
        <v>60029</v>
      </c>
      <c r="D18" s="67" t="s">
        <v>166</v>
      </c>
      <c r="E18" s="68" t="str">
        <f t="shared" ref="E18:E19" si="3">B18&amp;C18&amp;D18</f>
        <v>stage_hints_data_f_60029.tmp</v>
      </c>
      <c r="F18" s="67" t="s">
        <v>202</v>
      </c>
      <c r="G18" s="71" t="s">
        <v>176</v>
      </c>
      <c r="H18" s="71" t="s">
        <v>168</v>
      </c>
      <c r="I18" s="72" t="s">
        <v>177</v>
      </c>
      <c r="J18" s="66" t="s">
        <v>178</v>
      </c>
      <c r="K18" s="73" t="s">
        <v>179</v>
      </c>
    </row>
    <row r="19" spans="1:21" s="74" customFormat="1" x14ac:dyDescent="0.15">
      <c r="A19" s="67" t="s">
        <v>194</v>
      </c>
      <c r="B19" s="67" t="s">
        <v>195</v>
      </c>
      <c r="C19" s="62">
        <v>60029</v>
      </c>
      <c r="D19" s="67" t="s">
        <v>166</v>
      </c>
      <c r="E19" s="68" t="str">
        <f t="shared" si="3"/>
        <v>stage_hints_i18n_60029.tmp</v>
      </c>
      <c r="F19" s="67" t="s">
        <v>203</v>
      </c>
      <c r="G19" s="72" t="s">
        <v>196</v>
      </c>
      <c r="H19" s="86" t="s">
        <v>197</v>
      </c>
      <c r="I19" s="71" t="s">
        <v>198</v>
      </c>
      <c r="J19" s="87" t="s">
        <v>199</v>
      </c>
      <c r="K19" s="73" t="s">
        <v>200</v>
      </c>
    </row>
    <row r="20" spans="1:21" x14ac:dyDescent="0.15">
      <c r="A20" s="67" t="s">
        <v>194</v>
      </c>
      <c r="B20" s="67" t="s">
        <v>195</v>
      </c>
      <c r="C20" s="62">
        <v>60029</v>
      </c>
      <c r="D20" s="67" t="s">
        <v>166</v>
      </c>
      <c r="E20" s="68" t="str">
        <f t="shared" ref="E20:E21" si="4">B20&amp;C20&amp;D20</f>
        <v>stage_hints_i18n_60029.tmp</v>
      </c>
      <c r="F20" s="67" t="s">
        <v>203</v>
      </c>
      <c r="G20" s="72" t="s">
        <v>196</v>
      </c>
      <c r="H20" s="86" t="s">
        <v>197</v>
      </c>
      <c r="I20" s="71" t="s">
        <v>198</v>
      </c>
      <c r="J20" s="87" t="s">
        <v>199</v>
      </c>
      <c r="K20" s="73" t="s">
        <v>200</v>
      </c>
    </row>
    <row r="21" spans="1:21" x14ac:dyDescent="0.15">
      <c r="A21" s="61" t="s">
        <v>387</v>
      </c>
      <c r="B21" s="102" t="s">
        <v>218</v>
      </c>
      <c r="C21" s="62">
        <v>60029</v>
      </c>
      <c r="D21" s="67" t="s">
        <v>166</v>
      </c>
      <c r="E21" s="68" t="str">
        <f t="shared" si="4"/>
        <v>ranking_ACH_60029.tmp</v>
      </c>
      <c r="F21" s="67" t="s">
        <v>219</v>
      </c>
      <c r="G21" s="72" t="s">
        <v>220</v>
      </c>
      <c r="H21" s="86" t="s">
        <v>221</v>
      </c>
      <c r="I21" s="71" t="s">
        <v>222</v>
      </c>
      <c r="J21" s="73" t="s">
        <v>223</v>
      </c>
      <c r="K21" s="73"/>
    </row>
    <row r="22" spans="1:21" x14ac:dyDescent="0.15">
      <c r="A22" s="61" t="s">
        <v>387</v>
      </c>
      <c r="B22" s="103" t="s">
        <v>224</v>
      </c>
      <c r="C22" s="62">
        <v>60029</v>
      </c>
      <c r="D22" s="96" t="s">
        <v>114</v>
      </c>
      <c r="E22" s="97" t="str">
        <f>B22&amp;C22&amp;D22</f>
        <v>gifts_tmp_60029.tmp</v>
      </c>
      <c r="F22" s="67" t="s">
        <v>219</v>
      </c>
      <c r="G22" s="98" t="s">
        <v>225</v>
      </c>
      <c r="H22" s="98" t="s">
        <v>210</v>
      </c>
      <c r="I22" s="98" t="s">
        <v>211</v>
      </c>
      <c r="J22" s="98" t="s">
        <v>211</v>
      </c>
      <c r="K22" s="98" t="s">
        <v>211</v>
      </c>
      <c r="L22" s="98" t="s">
        <v>212</v>
      </c>
      <c r="M22" s="98" t="s">
        <v>212</v>
      </c>
      <c r="N22" s="98" t="s">
        <v>212</v>
      </c>
      <c r="O22" s="104" t="s">
        <v>41</v>
      </c>
      <c r="P22" s="104" t="s">
        <v>45</v>
      </c>
      <c r="Q22" s="104" t="s">
        <v>39</v>
      </c>
      <c r="R22" s="104" t="s">
        <v>258</v>
      </c>
      <c r="S22" s="104" t="s">
        <v>43</v>
      </c>
      <c r="T22" s="104" t="s">
        <v>3</v>
      </c>
      <c r="U22" s="104" t="s">
        <v>37</v>
      </c>
    </row>
    <row r="23" spans="1:21" x14ac:dyDescent="0.15">
      <c r="A23" s="61" t="s">
        <v>387</v>
      </c>
      <c r="B23" s="103" t="s">
        <v>226</v>
      </c>
      <c r="C23" s="62">
        <v>60029</v>
      </c>
      <c r="D23" s="96" t="s">
        <v>114</v>
      </c>
      <c r="E23" s="97" t="str">
        <f>B23&amp;C23&amp;D23</f>
        <v>gifts_i18n_60029.tmp</v>
      </c>
      <c r="F23" s="67" t="s">
        <v>219</v>
      </c>
      <c r="G23" s="98" t="s">
        <v>225</v>
      </c>
      <c r="H23" s="98" t="s">
        <v>213</v>
      </c>
      <c r="I23" s="98" t="s">
        <v>227</v>
      </c>
      <c r="J23" s="98" t="s">
        <v>228</v>
      </c>
      <c r="K23" s="98" t="s">
        <v>216</v>
      </c>
      <c r="L23" s="98"/>
      <c r="M23" s="98"/>
      <c r="N23" s="98"/>
      <c r="O23" s="96"/>
    </row>
    <row r="24" spans="1:21" x14ac:dyDescent="0.15">
      <c r="A24" s="61" t="s">
        <v>387</v>
      </c>
      <c r="B24" s="105" t="s">
        <v>388</v>
      </c>
      <c r="C24" s="62">
        <v>60029</v>
      </c>
      <c r="D24" s="108" t="s">
        <v>279</v>
      </c>
      <c r="E24" s="97" t="str">
        <f>B24&amp;C24&amp;D24</f>
        <v>ranking_stage_evaluation_gifts_60029.tmp</v>
      </c>
      <c r="F24" s="106" t="s">
        <v>261</v>
      </c>
      <c r="G24" s="58" t="s">
        <v>262</v>
      </c>
      <c r="H24" s="58" t="s">
        <v>263</v>
      </c>
      <c r="I24" s="100" t="s">
        <v>264</v>
      </c>
      <c r="J24" s="91" t="s">
        <v>265</v>
      </c>
    </row>
    <row r="25" spans="1:21" x14ac:dyDescent="0.15">
      <c r="A25" s="61" t="s">
        <v>387</v>
      </c>
      <c r="B25" s="105" t="s">
        <v>266</v>
      </c>
      <c r="C25" s="56" t="str">
        <f>REPLACE($C$2,2,0,"0")</f>
        <v>600029</v>
      </c>
      <c r="D25" s="57" t="s">
        <v>267</v>
      </c>
      <c r="E25" s="97" t="str">
        <f t="shared" ref="E25:E26" si="5">B25&amp;C25&amp;D25</f>
        <v>gifts_tmp_600029.tmp</v>
      </c>
      <c r="F25" s="106" t="s">
        <v>268</v>
      </c>
      <c r="G25" s="107" t="s">
        <v>269</v>
      </c>
      <c r="H25" s="107" t="s">
        <v>270</v>
      </c>
      <c r="I25" s="107" t="s">
        <v>271</v>
      </c>
      <c r="J25" s="107" t="s">
        <v>271</v>
      </c>
      <c r="K25" s="107" t="s">
        <v>271</v>
      </c>
      <c r="L25" s="107" t="s">
        <v>272</v>
      </c>
      <c r="M25" s="107" t="s">
        <v>272</v>
      </c>
      <c r="N25" s="107" t="s">
        <v>272</v>
      </c>
      <c r="O25" s="104" t="s">
        <v>41</v>
      </c>
      <c r="P25" s="104" t="s">
        <v>45</v>
      </c>
      <c r="Q25" s="104" t="s">
        <v>39</v>
      </c>
      <c r="R25" s="104" t="s">
        <v>258</v>
      </c>
      <c r="S25" s="104" t="s">
        <v>43</v>
      </c>
      <c r="T25" s="104" t="s">
        <v>3</v>
      </c>
      <c r="U25" s="104" t="s">
        <v>37</v>
      </c>
    </row>
    <row r="26" spans="1:21" x14ac:dyDescent="0.15">
      <c r="A26" s="61" t="s">
        <v>387</v>
      </c>
      <c r="B26" s="105" t="s">
        <v>273</v>
      </c>
      <c r="C26" s="56" t="str">
        <f>REPLACE($C$2,2,0,"0")</f>
        <v>600029</v>
      </c>
      <c r="D26" s="57" t="s">
        <v>274</v>
      </c>
      <c r="E26" s="97" t="str">
        <f t="shared" si="5"/>
        <v>gifts_i18n_600029.tmp</v>
      </c>
      <c r="F26" s="106" t="s">
        <v>268</v>
      </c>
      <c r="G26" s="107" t="s">
        <v>269</v>
      </c>
      <c r="H26" s="107" t="s">
        <v>275</v>
      </c>
      <c r="I26" s="107" t="s">
        <v>276</v>
      </c>
      <c r="J26" s="107" t="s">
        <v>277</v>
      </c>
      <c r="K26" s="107" t="s">
        <v>278</v>
      </c>
      <c r="L26" s="107"/>
      <c r="M26" s="107"/>
      <c r="N26" s="107"/>
      <c r="O26" s="96"/>
    </row>
  </sheetData>
  <phoneticPr fontId="9"/>
  <dataValidations count="1">
    <dataValidation type="list" allowBlank="1" showInputMessage="1" showErrorMessage="1" sqref="A2:A18 A21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topLeftCell="F1" workbookViewId="0">
      <pane ySplit="1" topLeftCell="A2" activePane="bottomLeft" state="frozen"/>
      <selection activeCell="V2" sqref="V2:X34"/>
      <selection pane="bottomLeft" activeCell="G5" sqref="G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88" t="s">
        <v>204</v>
      </c>
      <c r="M1" s="88" t="s">
        <v>205</v>
      </c>
      <c r="N1" s="88" t="s">
        <v>206</v>
      </c>
    </row>
    <row r="2" spans="1:14" ht="21" customHeight="1" x14ac:dyDescent="0.15">
      <c r="A2" s="16" t="str">
        <f>G2&amp;"-"&amp;I2</f>
        <v>60029_1-1</v>
      </c>
      <c r="B2" s="16" t="str">
        <f>IF(COUNTIF(enemy_habitats!$H:$H,A2),"OK","NG")</f>
        <v>OK</v>
      </c>
      <c r="C2" s="7">
        <v>60029</v>
      </c>
      <c r="D2" s="11" t="str">
        <f ca="1">VLOOKUP($C2,OFFSET([2]quests!$A$1,0,0,COUNTA([2]quests!$A:$A),MATCH(D$1,[2]quests!$1:$1,0)-MATCH($C$1,[2]quests!$1:$1,0)+1),MATCH(D$1,[2]quests!$1:$1,0)-MATCH($C$1,[2]quests!$1:$1,0)+1,FALSE)</f>
        <v xml:space="preserve">オイラーチャレンジ 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ランキング1（3回目）</v>
      </c>
      <c r="F2" s="21">
        <v>1</v>
      </c>
      <c r="G2" s="23" t="str">
        <f>C2&amp;"_"&amp;F2</f>
        <v>60029_1</v>
      </c>
      <c r="H2" s="15" t="str">
        <f ca="1">VLOOKUP($G2,OFFSET([2]stages!$A$1,0,0,COUNTA([2]stages!$A:$A),MATCH(H$1,[2]stages!$2:$2,0)-MATCH($G$1,[2]stages!$2:$2,0)+1),MATCH(H$1,[2]stages!$2:$2,0)-MATCH($G$1,[2]stages!$2:$2,0)+1,FALSE)</f>
        <v>オイラーチャレンジ</v>
      </c>
      <c r="I2" s="21">
        <v>1</v>
      </c>
      <c r="J2" s="12">
        <v>60</v>
      </c>
      <c r="K2" s="12">
        <v>60</v>
      </c>
      <c r="L2" s="69">
        <v>6002911</v>
      </c>
      <c r="M2" s="69">
        <v>6002911</v>
      </c>
      <c r="N2" s="69">
        <v>6002911</v>
      </c>
    </row>
    <row r="3" spans="1:14" ht="21" customHeight="1" x14ac:dyDescent="0.15">
      <c r="A3" s="16" t="str">
        <f t="shared" ref="A3:A6" si="0">G3&amp;"-"&amp;I3</f>
        <v>60029_1-2</v>
      </c>
      <c r="B3" s="16" t="str">
        <f>IF(COUNTIF(enemy_habitats!$H:$H,A3),"OK","NG")</f>
        <v>OK</v>
      </c>
      <c r="C3" s="7">
        <v>60029</v>
      </c>
      <c r="D3" s="11" t="str">
        <f ca="1">VLOOKUP($C3,OFFSET([2]quests!$A$1,0,0,COUNTA([2]quests!$A:$A),MATCH(D$1,[2]quests!$1:$1,0)-MATCH($C$1,[2]quests!$1:$1,0)+1),MATCH(D$1,[2]quests!$1:$1,0)-MATCH($C$1,[2]quests!$1:$1,0)+1,FALSE)</f>
        <v xml:space="preserve">オイラーチャレンジ 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ランキング1（3回目）</v>
      </c>
      <c r="F3" s="21">
        <v>1</v>
      </c>
      <c r="G3" s="23" t="str">
        <f t="shared" ref="G3:G6" si="1">C3&amp;"_"&amp;F3</f>
        <v>60029_1</v>
      </c>
      <c r="H3" s="15" t="str">
        <f ca="1">VLOOKUP($G3,OFFSET([2]stages!$A$1,0,0,COUNTA([2]stages!$A:$A),MATCH(H$1,[2]stages!$2:$2,0)-MATCH($G$1,[2]stages!$2:$2,0)+1),MATCH(H$1,[2]stages!$2:$2,0)-MATCH($G$1,[2]stages!$2:$2,0)+1,FALSE)</f>
        <v>オイラーチャレンジ</v>
      </c>
      <c r="I3" s="21">
        <v>2</v>
      </c>
      <c r="J3" s="12">
        <v>60</v>
      </c>
      <c r="K3" s="12">
        <v>60</v>
      </c>
      <c r="L3" s="69">
        <v>6002912</v>
      </c>
      <c r="M3" s="69">
        <v>6002912</v>
      </c>
      <c r="N3" s="69">
        <v>6002912</v>
      </c>
    </row>
    <row r="4" spans="1:14" ht="21" customHeight="1" x14ac:dyDescent="0.15">
      <c r="A4" s="16" t="str">
        <f t="shared" si="0"/>
        <v>60029_1-3</v>
      </c>
      <c r="B4" s="16" t="str">
        <f>IF(COUNTIF(enemy_habitats!$H:$H,A4),"OK","NG")</f>
        <v>OK</v>
      </c>
      <c r="C4" s="7">
        <v>60029</v>
      </c>
      <c r="D4" s="11" t="str">
        <f ca="1">VLOOKUP($C4,OFFSET([2]quests!$A$1,0,0,COUNTA([2]quests!$A:$A),MATCH(D$1,[2]quests!$1:$1,0)-MATCH($C$1,[2]quests!$1:$1,0)+1),MATCH(D$1,[2]quests!$1:$1,0)-MATCH($C$1,[2]quests!$1:$1,0)+1,FALSE)</f>
        <v xml:space="preserve">オイラーチャレンジ 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ランキング1（3回目）</v>
      </c>
      <c r="F4" s="21">
        <v>1</v>
      </c>
      <c r="G4" s="23" t="str">
        <f t="shared" si="1"/>
        <v>60029_1</v>
      </c>
      <c r="H4" s="15" t="str">
        <f ca="1">VLOOKUP($G4,OFFSET([2]stages!$A$1,0,0,COUNTA([2]stages!$A:$A),MATCH(H$1,[2]stages!$2:$2,0)-MATCH($G$1,[2]stages!$2:$2,0)+1),MATCH(H$1,[2]stages!$2:$2,0)-MATCH($G$1,[2]stages!$2:$2,0)+1,FALSE)</f>
        <v>オイラーチャレンジ</v>
      </c>
      <c r="I4" s="21">
        <v>3</v>
      </c>
      <c r="J4" s="12">
        <v>60</v>
      </c>
      <c r="K4" s="12">
        <v>60</v>
      </c>
      <c r="L4" s="69">
        <v>6002913</v>
      </c>
      <c r="M4" s="69">
        <v>6002913</v>
      </c>
      <c r="N4" s="69">
        <v>6002913</v>
      </c>
    </row>
    <row r="5" spans="1:14" ht="21" customHeight="1" x14ac:dyDescent="0.15">
      <c r="A5" s="16" t="str">
        <f t="shared" si="0"/>
        <v>60029_1-4</v>
      </c>
      <c r="B5" s="16" t="str">
        <f>IF(COUNTIF(enemy_habitats!$H:$H,A5),"OK","NG")</f>
        <v>OK</v>
      </c>
      <c r="C5" s="7">
        <v>60029</v>
      </c>
      <c r="D5" s="11" t="str">
        <f ca="1">VLOOKUP($C5,OFFSET([2]quests!$A$1,0,0,COUNTA([2]quests!$A:$A),MATCH(D$1,[2]quests!$1:$1,0)-MATCH($C$1,[2]quests!$1:$1,0)+1),MATCH(D$1,[2]quests!$1:$1,0)-MATCH($C$1,[2]quests!$1:$1,0)+1,FALSE)</f>
        <v xml:space="preserve">オイラーチャレンジ 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ランキング1（3回目）</v>
      </c>
      <c r="F5" s="21">
        <v>1</v>
      </c>
      <c r="G5" s="23" t="str">
        <f t="shared" si="1"/>
        <v>60029_1</v>
      </c>
      <c r="H5" s="15" t="str">
        <f ca="1">VLOOKUP($G5,OFFSET([2]stages!$A$1,0,0,COUNTA([2]stages!$A:$A),MATCH(H$1,[2]stages!$2:$2,0)-MATCH($G$1,[2]stages!$2:$2,0)+1),MATCH(H$1,[2]stages!$2:$2,0)-MATCH($G$1,[2]stages!$2:$2,0)+1,FALSE)</f>
        <v>オイラーチャレンジ</v>
      </c>
      <c r="I5" s="21">
        <v>4</v>
      </c>
      <c r="J5" s="12">
        <v>60</v>
      </c>
      <c r="K5" s="12">
        <v>60</v>
      </c>
      <c r="L5" s="69">
        <v>6002914</v>
      </c>
      <c r="M5" s="69">
        <v>6002914</v>
      </c>
      <c r="N5" s="69">
        <v>6002914</v>
      </c>
    </row>
    <row r="6" spans="1:14" ht="21" customHeight="1" x14ac:dyDescent="0.15">
      <c r="A6" s="16" t="str">
        <f t="shared" si="0"/>
        <v>60029_1-5</v>
      </c>
      <c r="B6" s="16" t="str">
        <f>IF(COUNTIF(enemy_habitats!$H:$H,A6),"OK","NG")</f>
        <v>OK</v>
      </c>
      <c r="C6" s="7">
        <v>60029</v>
      </c>
      <c r="D6" s="11" t="str">
        <f ca="1">VLOOKUP($C6,OFFSET([2]quests!$A$1,0,0,COUNTA([2]quests!$A:$A),MATCH(D$1,[2]quests!$1:$1,0)-MATCH($C$1,[2]quests!$1:$1,0)+1),MATCH(D$1,[2]quests!$1:$1,0)-MATCH($C$1,[2]quests!$1:$1,0)+1,FALSE)</f>
        <v xml:space="preserve">オイラーチャレンジ 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ランキング1（3回目）</v>
      </c>
      <c r="F6" s="21">
        <v>1</v>
      </c>
      <c r="G6" s="23" t="str">
        <f t="shared" si="1"/>
        <v>60029_1</v>
      </c>
      <c r="H6" s="15" t="str">
        <f ca="1">VLOOKUP($G6,OFFSET([2]stages!$A$1,0,0,COUNTA([2]stages!$A:$A),MATCH(H$1,[2]stages!$2:$2,0)-MATCH($G$1,[2]stages!$2:$2,0)+1),MATCH(H$1,[2]stages!$2:$2,0)-MATCH($G$1,[2]stages!$2:$2,0)+1,FALSE)</f>
        <v>オイラーチャレンジ</v>
      </c>
      <c r="I6" s="21">
        <v>5</v>
      </c>
      <c r="J6" s="12">
        <v>60</v>
      </c>
      <c r="K6" s="12">
        <v>60</v>
      </c>
      <c r="L6" s="69">
        <v>6002915</v>
      </c>
      <c r="M6" s="69">
        <v>6002915</v>
      </c>
      <c r="N6" s="69">
        <v>6002915</v>
      </c>
    </row>
  </sheetData>
  <sheetProtection selectLockedCells="1" selectUnlockedCells="1"/>
  <phoneticPr fontId="9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2" sqref="G2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231</v>
      </c>
    </row>
    <row r="2" spans="1:7" x14ac:dyDescent="0.15">
      <c r="A2" s="7">
        <v>60029</v>
      </c>
      <c r="B2" s="11" t="str">
        <f ca="1">VLOOKUP($A2,OFFSET([2]quests!$A$1,0,0,COUNTA([2]quests!$A:$A),MATCH(B$1,[2]quests!$1:$1,0)-MATCH($A$1,[2]quests!$1:$1,0)+1),MATCH(B$1,[2]quests!$1:$1,0)-MATCH($A$1,[2]quests!$1:$1,0)+1,FALSE)</f>
        <v xml:space="preserve">オイラーチャレンジ </v>
      </c>
      <c r="C2" s="18">
        <f ca="1">VLOOKUP($A2,OFFSET([2]quests!$A$1,0,0,COUNTA([2]quests!$A:$A),MATCH(C$1,[2]quests!$1:$1,0)-MATCH($C$1,[2]quests!$1:$1,0)+1),MATCH(C$1,[2]quests!$1:$1,0)-MATCH($C$1,[2]quests!$1:$1,0)+1,FALSE)</f>
        <v>60029</v>
      </c>
      <c r="D2" s="21">
        <v>1</v>
      </c>
      <c r="E2" s="23" t="str">
        <f>A2&amp;"_"&amp;D2</f>
        <v>60029_1</v>
      </c>
      <c r="F2" s="15" t="str">
        <f ca="1">VLOOKUP($E2,OFFSET([2]stages!$A$1,0,0,COUNTA([2]stages!$A:$A),MATCH(F$1,[2]stages!$2:$2,0)-MATCH($E$1,[2]stages!$2:$2,0)+1),MATCH(F$1,[2]stages!$2:$2,0)-MATCH($E$1,[2]stages!$2:$2,0)+1,FALSE)</f>
        <v>オイラーチャレンジ</v>
      </c>
      <c r="G2" s="113">
        <v>2000000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E51"/>
  <sheetViews>
    <sheetView tabSelected="1" workbookViewId="0">
      <selection activeCell="D5" sqref="D5"/>
    </sheetView>
  </sheetViews>
  <sheetFormatPr baseColWidth="12" defaultRowHeight="15" x14ac:dyDescent="0.15"/>
  <sheetData>
    <row r="1" spans="1:5" ht="16" thickBot="1" x14ac:dyDescent="0.2">
      <c r="A1" s="58" t="s">
        <v>233</v>
      </c>
      <c r="B1" s="58" t="s">
        <v>234</v>
      </c>
      <c r="C1" s="58" t="s">
        <v>235</v>
      </c>
      <c r="D1" s="58" t="s">
        <v>236</v>
      </c>
    </row>
    <row r="2" spans="1:5" x14ac:dyDescent="0.15">
      <c r="A2" s="114">
        <v>6002911</v>
      </c>
      <c r="B2" s="115">
        <v>1</v>
      </c>
      <c r="C2" s="115">
        <v>0</v>
      </c>
      <c r="D2" s="116">
        <v>1000000</v>
      </c>
    </row>
    <row r="3" spans="1:5" x14ac:dyDescent="0.15">
      <c r="A3" s="117">
        <v>6002911</v>
      </c>
      <c r="B3" s="118">
        <v>2</v>
      </c>
      <c r="C3" s="118">
        <v>0</v>
      </c>
      <c r="D3" s="119">
        <v>900000</v>
      </c>
      <c r="E3" s="187">
        <f>D3-D2</f>
        <v>-100000</v>
      </c>
    </row>
    <row r="4" spans="1:5" x14ac:dyDescent="0.15">
      <c r="A4" s="117">
        <v>6002911</v>
      </c>
      <c r="B4" s="118">
        <v>3</v>
      </c>
      <c r="C4" s="118">
        <v>0</v>
      </c>
      <c r="D4" s="119">
        <v>750000</v>
      </c>
      <c r="E4" s="187">
        <f t="shared" ref="E4:E11" si="0">D4-D3</f>
        <v>-150000</v>
      </c>
    </row>
    <row r="5" spans="1:5" x14ac:dyDescent="0.15">
      <c r="A5" s="117">
        <v>6002911</v>
      </c>
      <c r="B5" s="118">
        <v>4</v>
      </c>
      <c r="C5" s="118">
        <v>0</v>
      </c>
      <c r="D5" s="119">
        <v>650000</v>
      </c>
      <c r="E5" s="187">
        <f t="shared" si="0"/>
        <v>-100000</v>
      </c>
    </row>
    <row r="6" spans="1:5" x14ac:dyDescent="0.15">
      <c r="A6" s="117">
        <v>6002911</v>
      </c>
      <c r="B6" s="118">
        <v>5</v>
      </c>
      <c r="C6" s="118">
        <v>0</v>
      </c>
      <c r="D6" s="119">
        <v>450000</v>
      </c>
      <c r="E6" s="187">
        <f t="shared" si="0"/>
        <v>-200000</v>
      </c>
    </row>
    <row r="7" spans="1:5" x14ac:dyDescent="0.15">
      <c r="A7" s="117">
        <v>6002911</v>
      </c>
      <c r="B7" s="118">
        <v>6</v>
      </c>
      <c r="C7" s="118">
        <v>0</v>
      </c>
      <c r="D7" s="119">
        <v>250000</v>
      </c>
      <c r="E7" s="187">
        <f t="shared" si="0"/>
        <v>-200000</v>
      </c>
    </row>
    <row r="8" spans="1:5" x14ac:dyDescent="0.15">
      <c r="A8" s="117">
        <v>6002911</v>
      </c>
      <c r="B8" s="118">
        <v>7</v>
      </c>
      <c r="C8" s="118">
        <v>0</v>
      </c>
      <c r="D8" s="119">
        <v>0</v>
      </c>
      <c r="E8" s="187">
        <f t="shared" si="0"/>
        <v>-250000</v>
      </c>
    </row>
    <row r="9" spans="1:5" x14ac:dyDescent="0.15">
      <c r="A9" s="117">
        <v>6002911</v>
      </c>
      <c r="B9" s="118">
        <v>8</v>
      </c>
      <c r="C9" s="118">
        <v>0</v>
      </c>
      <c r="D9" s="119">
        <v>-250000</v>
      </c>
      <c r="E9" s="187">
        <f t="shared" si="0"/>
        <v>-250000</v>
      </c>
    </row>
    <row r="10" spans="1:5" x14ac:dyDescent="0.15">
      <c r="A10" s="117">
        <v>6002911</v>
      </c>
      <c r="B10" s="118">
        <v>9</v>
      </c>
      <c r="C10" s="118">
        <v>0</v>
      </c>
      <c r="D10" s="119">
        <v>-700000</v>
      </c>
      <c r="E10" s="187">
        <f t="shared" si="0"/>
        <v>-450000</v>
      </c>
    </row>
    <row r="11" spans="1:5" ht="16" thickBot="1" x14ac:dyDescent="0.2">
      <c r="A11" s="120">
        <v>6002911</v>
      </c>
      <c r="B11" s="121">
        <v>10</v>
      </c>
      <c r="C11" s="121">
        <v>0</v>
      </c>
      <c r="D11" s="122">
        <v>-9999999</v>
      </c>
      <c r="E11" s="187">
        <f t="shared" si="0"/>
        <v>-9299999</v>
      </c>
    </row>
    <row r="12" spans="1:5" x14ac:dyDescent="0.15">
      <c r="A12" s="123">
        <v>6002912</v>
      </c>
      <c r="B12" s="124">
        <v>1</v>
      </c>
      <c r="C12" s="124">
        <v>0</v>
      </c>
      <c r="D12" s="116">
        <v>1000000</v>
      </c>
    </row>
    <row r="13" spans="1:5" x14ac:dyDescent="0.15">
      <c r="A13" s="126">
        <v>6002912</v>
      </c>
      <c r="B13" s="127">
        <v>2</v>
      </c>
      <c r="C13" s="127">
        <v>0</v>
      </c>
      <c r="D13" s="119">
        <v>900000</v>
      </c>
      <c r="E13" s="187">
        <f>D13-D12</f>
        <v>-100000</v>
      </c>
    </row>
    <row r="14" spans="1:5" x14ac:dyDescent="0.15">
      <c r="A14" s="126">
        <v>6002912</v>
      </c>
      <c r="B14" s="127">
        <v>3</v>
      </c>
      <c r="C14" s="127">
        <v>0</v>
      </c>
      <c r="D14" s="119">
        <v>800000</v>
      </c>
      <c r="E14" s="187">
        <f t="shared" ref="E14:E21" si="1">D14-D13</f>
        <v>-100000</v>
      </c>
    </row>
    <row r="15" spans="1:5" x14ac:dyDescent="0.15">
      <c r="A15" s="126">
        <v>6002912</v>
      </c>
      <c r="B15" s="127">
        <v>4</v>
      </c>
      <c r="C15" s="127">
        <v>0</v>
      </c>
      <c r="D15" s="119">
        <v>650000</v>
      </c>
      <c r="E15" s="187">
        <f t="shared" si="1"/>
        <v>-150000</v>
      </c>
    </row>
    <row r="16" spans="1:5" x14ac:dyDescent="0.15">
      <c r="A16" s="126">
        <v>6002912</v>
      </c>
      <c r="B16" s="127">
        <v>5</v>
      </c>
      <c r="C16" s="127">
        <v>0</v>
      </c>
      <c r="D16" s="119">
        <v>450000</v>
      </c>
      <c r="E16" s="187">
        <f t="shared" si="1"/>
        <v>-200000</v>
      </c>
    </row>
    <row r="17" spans="1:5" x14ac:dyDescent="0.15">
      <c r="A17" s="126">
        <v>6002912</v>
      </c>
      <c r="B17" s="127">
        <v>6</v>
      </c>
      <c r="C17" s="127">
        <v>0</v>
      </c>
      <c r="D17" s="119">
        <v>250000</v>
      </c>
      <c r="E17" s="187">
        <f t="shared" si="1"/>
        <v>-200000</v>
      </c>
    </row>
    <row r="18" spans="1:5" x14ac:dyDescent="0.15">
      <c r="A18" s="126">
        <v>6002912</v>
      </c>
      <c r="B18" s="127">
        <v>7</v>
      </c>
      <c r="C18" s="127">
        <v>0</v>
      </c>
      <c r="D18" s="128">
        <v>0</v>
      </c>
      <c r="E18" s="187">
        <f t="shared" si="1"/>
        <v>-250000</v>
      </c>
    </row>
    <row r="19" spans="1:5" x14ac:dyDescent="0.15">
      <c r="A19" s="126">
        <v>6002912</v>
      </c>
      <c r="B19" s="127">
        <v>8</v>
      </c>
      <c r="C19" s="127">
        <v>0</v>
      </c>
      <c r="D19" s="128">
        <v>-250000</v>
      </c>
      <c r="E19" s="187">
        <f t="shared" si="1"/>
        <v>-250000</v>
      </c>
    </row>
    <row r="20" spans="1:5" x14ac:dyDescent="0.15">
      <c r="A20" s="126">
        <v>6002912</v>
      </c>
      <c r="B20" s="127">
        <v>9</v>
      </c>
      <c r="C20" s="127">
        <v>0</v>
      </c>
      <c r="D20" s="128">
        <v>-450000</v>
      </c>
      <c r="E20" s="187">
        <f t="shared" si="1"/>
        <v>-200000</v>
      </c>
    </row>
    <row r="21" spans="1:5" ht="16" thickBot="1" x14ac:dyDescent="0.2">
      <c r="A21" s="129">
        <v>6002912</v>
      </c>
      <c r="B21" s="130">
        <v>10</v>
      </c>
      <c r="C21" s="130">
        <v>0</v>
      </c>
      <c r="D21" s="131">
        <v>-9999999</v>
      </c>
      <c r="E21" s="187">
        <f t="shared" si="1"/>
        <v>-9549999</v>
      </c>
    </row>
    <row r="22" spans="1:5" x14ac:dyDescent="0.15">
      <c r="A22" s="114">
        <v>6002913</v>
      </c>
      <c r="B22" s="115">
        <v>1</v>
      </c>
      <c r="C22" s="115">
        <v>0</v>
      </c>
      <c r="D22" s="116">
        <v>1000000</v>
      </c>
    </row>
    <row r="23" spans="1:5" x14ac:dyDescent="0.15">
      <c r="A23" s="117">
        <v>6002913</v>
      </c>
      <c r="B23" s="118">
        <v>2</v>
      </c>
      <c r="C23" s="118">
        <v>0</v>
      </c>
      <c r="D23" s="119">
        <v>900000</v>
      </c>
      <c r="E23" s="187">
        <f>D23-D22</f>
        <v>-100000</v>
      </c>
    </row>
    <row r="24" spans="1:5" x14ac:dyDescent="0.15">
      <c r="A24" s="117">
        <v>6002913</v>
      </c>
      <c r="B24" s="118">
        <v>3</v>
      </c>
      <c r="C24" s="118">
        <v>0</v>
      </c>
      <c r="D24" s="119">
        <v>850000</v>
      </c>
      <c r="E24" s="187">
        <f t="shared" ref="E24:E31" si="2">D24-D23</f>
        <v>-50000</v>
      </c>
    </row>
    <row r="25" spans="1:5" x14ac:dyDescent="0.15">
      <c r="A25" s="117">
        <v>6002913</v>
      </c>
      <c r="B25" s="118">
        <v>4</v>
      </c>
      <c r="C25" s="118">
        <v>0</v>
      </c>
      <c r="D25" s="119">
        <v>750000</v>
      </c>
      <c r="E25" s="187">
        <f t="shared" si="2"/>
        <v>-100000</v>
      </c>
    </row>
    <row r="26" spans="1:5" x14ac:dyDescent="0.15">
      <c r="A26" s="117">
        <v>6002913</v>
      </c>
      <c r="B26" s="118">
        <v>5</v>
      </c>
      <c r="C26" s="118">
        <v>0</v>
      </c>
      <c r="D26" s="119">
        <v>700000</v>
      </c>
      <c r="E26" s="187">
        <f t="shared" si="2"/>
        <v>-50000</v>
      </c>
    </row>
    <row r="27" spans="1:5" x14ac:dyDescent="0.15">
      <c r="A27" s="117">
        <v>6002913</v>
      </c>
      <c r="B27" s="118">
        <v>6</v>
      </c>
      <c r="C27" s="118">
        <v>0</v>
      </c>
      <c r="D27" s="119">
        <v>550000</v>
      </c>
      <c r="E27" s="187">
        <f t="shared" si="2"/>
        <v>-150000</v>
      </c>
    </row>
    <row r="28" spans="1:5" x14ac:dyDescent="0.15">
      <c r="A28" s="117">
        <v>6002913</v>
      </c>
      <c r="B28" s="118">
        <v>7</v>
      </c>
      <c r="C28" s="118">
        <v>0</v>
      </c>
      <c r="D28" s="119">
        <v>400000</v>
      </c>
      <c r="E28" s="187">
        <f t="shared" si="2"/>
        <v>-150000</v>
      </c>
    </row>
    <row r="29" spans="1:5" x14ac:dyDescent="0.15">
      <c r="A29" s="117">
        <v>6002913</v>
      </c>
      <c r="B29" s="118">
        <v>9</v>
      </c>
      <c r="C29" s="118">
        <v>0</v>
      </c>
      <c r="D29" s="119">
        <v>200000</v>
      </c>
      <c r="E29" s="187">
        <f t="shared" si="2"/>
        <v>-200000</v>
      </c>
    </row>
    <row r="30" spans="1:5" x14ac:dyDescent="0.15">
      <c r="A30" s="117">
        <v>6002913</v>
      </c>
      <c r="B30" s="118">
        <v>10</v>
      </c>
      <c r="C30" s="118">
        <v>0</v>
      </c>
      <c r="D30" s="119">
        <v>0</v>
      </c>
      <c r="E30" s="187">
        <f t="shared" si="2"/>
        <v>-200000</v>
      </c>
    </row>
    <row r="31" spans="1:5" ht="16" thickBot="1" x14ac:dyDescent="0.2">
      <c r="A31" s="120">
        <v>6002913</v>
      </c>
      <c r="B31" s="121">
        <v>12</v>
      </c>
      <c r="C31" s="121">
        <v>0</v>
      </c>
      <c r="D31" s="122">
        <v>-9999999</v>
      </c>
      <c r="E31" s="187">
        <f t="shared" si="2"/>
        <v>-9999999</v>
      </c>
    </row>
    <row r="32" spans="1:5" x14ac:dyDescent="0.15">
      <c r="A32" s="123">
        <v>6002914</v>
      </c>
      <c r="B32" s="124">
        <v>1</v>
      </c>
      <c r="C32" s="124">
        <v>0</v>
      </c>
      <c r="D32" s="125">
        <v>1000000</v>
      </c>
    </row>
    <row r="33" spans="1:5" x14ac:dyDescent="0.15">
      <c r="A33" s="126">
        <v>6002914</v>
      </c>
      <c r="B33" s="127">
        <v>2</v>
      </c>
      <c r="C33" s="127">
        <v>0</v>
      </c>
      <c r="D33" s="128">
        <v>925000</v>
      </c>
      <c r="E33" s="187">
        <f>D33-D32</f>
        <v>-75000</v>
      </c>
    </row>
    <row r="34" spans="1:5" x14ac:dyDescent="0.15">
      <c r="A34" s="126">
        <v>6002914</v>
      </c>
      <c r="B34" s="127">
        <v>3</v>
      </c>
      <c r="C34" s="127">
        <v>0</v>
      </c>
      <c r="D34" s="128">
        <v>875000</v>
      </c>
      <c r="E34" s="187">
        <f t="shared" ref="E34:E43" si="3">D34-D33</f>
        <v>-50000</v>
      </c>
    </row>
    <row r="35" spans="1:5" x14ac:dyDescent="0.15">
      <c r="A35" s="126">
        <v>6002914</v>
      </c>
      <c r="B35" s="127">
        <v>4</v>
      </c>
      <c r="C35" s="127">
        <v>0</v>
      </c>
      <c r="D35" s="128">
        <v>825000</v>
      </c>
      <c r="E35" s="187">
        <f t="shared" si="3"/>
        <v>-50000</v>
      </c>
    </row>
    <row r="36" spans="1:5" x14ac:dyDescent="0.15">
      <c r="A36" s="126">
        <v>6002914</v>
      </c>
      <c r="B36" s="127">
        <v>5</v>
      </c>
      <c r="C36" s="127">
        <v>0</v>
      </c>
      <c r="D36" s="128">
        <v>700000</v>
      </c>
      <c r="E36" s="187">
        <f t="shared" si="3"/>
        <v>-125000</v>
      </c>
    </row>
    <row r="37" spans="1:5" x14ac:dyDescent="0.15">
      <c r="A37" s="126">
        <v>6002914</v>
      </c>
      <c r="B37" s="127">
        <v>6</v>
      </c>
      <c r="C37" s="127">
        <v>0</v>
      </c>
      <c r="D37" s="128">
        <v>650000</v>
      </c>
      <c r="E37" s="187">
        <f t="shared" si="3"/>
        <v>-50000</v>
      </c>
    </row>
    <row r="38" spans="1:5" x14ac:dyDescent="0.15">
      <c r="A38" s="126">
        <v>6002914</v>
      </c>
      <c r="B38" s="127">
        <v>7</v>
      </c>
      <c r="C38" s="127">
        <v>0</v>
      </c>
      <c r="D38" s="128">
        <v>500000</v>
      </c>
      <c r="E38" s="187">
        <f t="shared" si="3"/>
        <v>-150000</v>
      </c>
    </row>
    <row r="39" spans="1:5" x14ac:dyDescent="0.15">
      <c r="A39" s="126">
        <v>6002914</v>
      </c>
      <c r="B39" s="127">
        <v>8</v>
      </c>
      <c r="C39" s="127">
        <v>0</v>
      </c>
      <c r="D39" s="128">
        <v>250000</v>
      </c>
      <c r="E39" s="187">
        <f t="shared" si="3"/>
        <v>-250000</v>
      </c>
    </row>
    <row r="40" spans="1:5" x14ac:dyDescent="0.15">
      <c r="A40" s="126">
        <v>6002914</v>
      </c>
      <c r="B40" s="127">
        <v>9</v>
      </c>
      <c r="C40" s="127">
        <v>0</v>
      </c>
      <c r="D40" s="128">
        <v>0</v>
      </c>
      <c r="E40" s="187">
        <f t="shared" si="3"/>
        <v>-250000</v>
      </c>
    </row>
    <row r="41" spans="1:5" x14ac:dyDescent="0.15">
      <c r="A41" s="126">
        <v>6002914</v>
      </c>
      <c r="B41" s="127">
        <v>10</v>
      </c>
      <c r="C41" s="127">
        <v>0</v>
      </c>
      <c r="D41" s="128">
        <v>-250000</v>
      </c>
      <c r="E41" s="187">
        <f t="shared" si="3"/>
        <v>-250000</v>
      </c>
    </row>
    <row r="42" spans="1:5" x14ac:dyDescent="0.15">
      <c r="A42" s="126">
        <v>6002914</v>
      </c>
      <c r="B42" s="127">
        <v>12</v>
      </c>
      <c r="C42" s="127">
        <v>0</v>
      </c>
      <c r="D42" s="128">
        <v>-500000</v>
      </c>
      <c r="E42" s="187">
        <f>D42-D41</f>
        <v>-250000</v>
      </c>
    </row>
    <row r="43" spans="1:5" ht="16" thickBot="1" x14ac:dyDescent="0.2">
      <c r="A43" s="126">
        <v>6002914</v>
      </c>
      <c r="B43" s="127">
        <v>15</v>
      </c>
      <c r="C43" s="127">
        <v>0</v>
      </c>
      <c r="D43" s="128">
        <v>-9999999</v>
      </c>
      <c r="E43" s="187">
        <f t="shared" si="3"/>
        <v>-9499999</v>
      </c>
    </row>
    <row r="44" spans="1:5" x14ac:dyDescent="0.15">
      <c r="A44" s="114">
        <v>6002915</v>
      </c>
      <c r="B44" s="115">
        <v>3</v>
      </c>
      <c r="C44" s="115">
        <v>0</v>
      </c>
      <c r="D44" s="116">
        <v>2000000</v>
      </c>
    </row>
    <row r="45" spans="1:5" x14ac:dyDescent="0.15">
      <c r="A45" s="117">
        <v>6002915</v>
      </c>
      <c r="B45" s="118">
        <v>4</v>
      </c>
      <c r="C45" s="118">
        <v>0</v>
      </c>
      <c r="D45" s="119">
        <v>1700000</v>
      </c>
      <c r="E45" s="187">
        <f t="shared" ref="E45:E51" si="4">D45-D44</f>
        <v>-300000</v>
      </c>
    </row>
    <row r="46" spans="1:5" x14ac:dyDescent="0.15">
      <c r="A46" s="117">
        <v>6002915</v>
      </c>
      <c r="B46" s="118">
        <v>5</v>
      </c>
      <c r="C46" s="118">
        <v>0</v>
      </c>
      <c r="D46" s="119">
        <v>1600000</v>
      </c>
      <c r="E46" s="187">
        <f t="shared" si="4"/>
        <v>-100000</v>
      </c>
    </row>
    <row r="47" spans="1:5" x14ac:dyDescent="0.15">
      <c r="A47" s="117">
        <v>6002915</v>
      </c>
      <c r="B47" s="118">
        <v>6</v>
      </c>
      <c r="C47" s="118">
        <v>0</v>
      </c>
      <c r="D47" s="119">
        <v>1400000</v>
      </c>
      <c r="E47" s="187">
        <f t="shared" si="4"/>
        <v>-200000</v>
      </c>
    </row>
    <row r="48" spans="1:5" x14ac:dyDescent="0.15">
      <c r="A48" s="117">
        <v>6002915</v>
      </c>
      <c r="B48" s="118">
        <v>9</v>
      </c>
      <c r="C48" s="118">
        <v>0</v>
      </c>
      <c r="D48" s="119">
        <v>1200000</v>
      </c>
      <c r="E48" s="187">
        <f t="shared" si="4"/>
        <v>-200000</v>
      </c>
    </row>
    <row r="49" spans="1:5" x14ac:dyDescent="0.15">
      <c r="A49" s="117">
        <v>6002915</v>
      </c>
      <c r="B49" s="118">
        <v>12</v>
      </c>
      <c r="C49" s="118">
        <v>0</v>
      </c>
      <c r="D49" s="119">
        <v>700000</v>
      </c>
      <c r="E49" s="187">
        <f t="shared" si="4"/>
        <v>-500000</v>
      </c>
    </row>
    <row r="50" spans="1:5" x14ac:dyDescent="0.15">
      <c r="A50" s="117">
        <v>6002915</v>
      </c>
      <c r="B50" s="118">
        <v>16</v>
      </c>
      <c r="C50" s="118">
        <v>0</v>
      </c>
      <c r="D50" s="119">
        <v>0</v>
      </c>
      <c r="E50" s="187">
        <f t="shared" si="4"/>
        <v>-700000</v>
      </c>
    </row>
    <row r="51" spans="1:5" ht="16" thickBot="1" x14ac:dyDescent="0.2">
      <c r="A51" s="120">
        <v>6002915</v>
      </c>
      <c r="B51" s="121">
        <v>20</v>
      </c>
      <c r="C51" s="121">
        <v>0</v>
      </c>
      <c r="D51" s="122">
        <v>-9999999</v>
      </c>
      <c r="E51" s="187">
        <f t="shared" si="4"/>
        <v>-9999999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G33"/>
  <sheetViews>
    <sheetView workbookViewId="0">
      <selection activeCell="B22" sqref="B22"/>
    </sheetView>
  </sheetViews>
  <sheetFormatPr baseColWidth="12" defaultRowHeight="15" x14ac:dyDescent="0.15"/>
  <cols>
    <col min="3" max="3" width="13.83203125" bestFit="1" customWidth="1"/>
  </cols>
  <sheetData>
    <row r="1" spans="1:7" x14ac:dyDescent="0.15">
      <c r="A1" s="58" t="s">
        <v>407</v>
      </c>
      <c r="B1" s="58" t="s">
        <v>408</v>
      </c>
      <c r="C1" s="58" t="s">
        <v>409</v>
      </c>
      <c r="D1" s="58" t="s">
        <v>410</v>
      </c>
      <c r="E1" s="58" t="s">
        <v>411</v>
      </c>
    </row>
    <row r="2" spans="1:7" x14ac:dyDescent="0.15">
      <c r="A2" s="127">
        <v>6002911</v>
      </c>
      <c r="B2" s="180">
        <v>0</v>
      </c>
      <c r="C2" s="163">
        <v>0</v>
      </c>
      <c r="D2" s="164">
        <f>(C3-C2)/(B3-B2)</f>
        <v>4</v>
      </c>
      <c r="E2" s="159">
        <f t="shared" ref="E2:E3" si="0">C2-D2*B2</f>
        <v>0</v>
      </c>
    </row>
    <row r="3" spans="1:7" x14ac:dyDescent="0.15">
      <c r="A3" s="127">
        <v>6002911</v>
      </c>
      <c r="B3" s="180">
        <v>100000</v>
      </c>
      <c r="C3" s="163">
        <f>B3*SQRT(D29)*4</f>
        <v>400000</v>
      </c>
      <c r="D3" s="164">
        <f>(C4-C3)/(B4-B3)</f>
        <v>4.2000000000000028</v>
      </c>
      <c r="E3" s="159">
        <f t="shared" si="0"/>
        <v>-20000.000000000291</v>
      </c>
      <c r="F3" s="160">
        <v>1</v>
      </c>
      <c r="G3">
        <f>B3*D3+E3</f>
        <v>400000</v>
      </c>
    </row>
    <row r="4" spans="1:7" x14ac:dyDescent="0.15">
      <c r="A4" s="127">
        <v>6002911</v>
      </c>
      <c r="B4" s="180">
        <f>B3*1.2</f>
        <v>120000</v>
      </c>
      <c r="C4" s="163">
        <f>C3*SQRT(D30)^2</f>
        <v>484000.00000000006</v>
      </c>
      <c r="D4" s="164">
        <f>(C5-C4)/(B5-B4)</f>
        <v>4.1333333333333311</v>
      </c>
      <c r="E4" s="159">
        <f>C4-D4*B4</f>
        <v>-11999.999999999651</v>
      </c>
      <c r="F4" s="160">
        <v>1.2</v>
      </c>
      <c r="G4">
        <f t="shared" ref="G4:G26" si="1">B4*D4+E4</f>
        <v>484000.00000000006</v>
      </c>
    </row>
    <row r="5" spans="1:7" x14ac:dyDescent="0.15">
      <c r="A5" s="127">
        <v>6002911</v>
      </c>
      <c r="B5" s="180">
        <f>B3*1.5</f>
        <v>150000</v>
      </c>
      <c r="C5" s="163">
        <f>C3*SQRT(D31)^2</f>
        <v>608000</v>
      </c>
      <c r="D5" s="161">
        <v>0.01</v>
      </c>
      <c r="E5" s="165">
        <f>C5-D5*B5</f>
        <v>606500</v>
      </c>
      <c r="F5" s="160">
        <v>1.5</v>
      </c>
      <c r="G5">
        <f t="shared" si="1"/>
        <v>608000</v>
      </c>
    </row>
    <row r="6" spans="1:7" x14ac:dyDescent="0.15">
      <c r="A6" s="58">
        <v>6002912</v>
      </c>
      <c r="B6" s="181">
        <v>0</v>
      </c>
      <c r="C6" s="163">
        <v>0</v>
      </c>
      <c r="D6" s="164">
        <f t="shared" ref="D6:D7" si="2">(C7-C6)/(B7-B6)</f>
        <v>2.5</v>
      </c>
      <c r="E6" s="159">
        <f t="shared" ref="E6:E7" si="3">C6-D6*B6</f>
        <v>0</v>
      </c>
      <c r="G6">
        <f t="shared" si="1"/>
        <v>0</v>
      </c>
    </row>
    <row r="7" spans="1:7" x14ac:dyDescent="0.15">
      <c r="A7" s="58">
        <v>6002912</v>
      </c>
      <c r="B7" s="181">
        <v>120000</v>
      </c>
      <c r="C7" s="163">
        <f>B7*SQRT(D29)*2.5</f>
        <v>300000</v>
      </c>
      <c r="D7" s="164">
        <f t="shared" si="2"/>
        <v>2.6250000000000022</v>
      </c>
      <c r="E7" s="159">
        <f t="shared" si="3"/>
        <v>-15000.000000000291</v>
      </c>
      <c r="F7" s="160">
        <v>1</v>
      </c>
      <c r="G7">
        <f t="shared" si="1"/>
        <v>300000</v>
      </c>
    </row>
    <row r="8" spans="1:7" x14ac:dyDescent="0.15">
      <c r="A8" s="58">
        <v>6002912</v>
      </c>
      <c r="B8" s="181">
        <f>B7*1.2</f>
        <v>144000</v>
      </c>
      <c r="C8" s="163">
        <f>C7*SQRT(D30)^2</f>
        <v>363000.00000000006</v>
      </c>
      <c r="D8" s="164">
        <f>(C9-C8)/(B9-B8)</f>
        <v>2.5833333333333317</v>
      </c>
      <c r="E8" s="159">
        <f>C8-D8*B8</f>
        <v>-8999.999999999709</v>
      </c>
      <c r="F8" s="160">
        <v>1.2</v>
      </c>
      <c r="G8">
        <f t="shared" si="1"/>
        <v>363000.00000000006</v>
      </c>
    </row>
    <row r="9" spans="1:7" x14ac:dyDescent="0.15">
      <c r="A9" s="58">
        <v>6002912</v>
      </c>
      <c r="B9" s="181">
        <f>B7*1.5</f>
        <v>180000</v>
      </c>
      <c r="C9" s="163">
        <f>C7*SQRT(D31)^2</f>
        <v>456000</v>
      </c>
      <c r="D9" s="161">
        <v>0.01</v>
      </c>
      <c r="E9" s="165">
        <f>C9-D9*B9</f>
        <v>454200</v>
      </c>
      <c r="F9" s="160">
        <v>1.5</v>
      </c>
      <c r="G9">
        <f t="shared" si="1"/>
        <v>456000</v>
      </c>
    </row>
    <row r="10" spans="1:7" x14ac:dyDescent="0.15">
      <c r="A10" s="127">
        <v>6002913</v>
      </c>
      <c r="B10" s="180">
        <v>0</v>
      </c>
      <c r="C10" s="163">
        <v>0</v>
      </c>
      <c r="D10" s="164">
        <f>(C11-C10)/(B11-B10)</f>
        <v>1</v>
      </c>
      <c r="E10" s="159">
        <f t="shared" ref="E10:E11" si="4">C10-D10*B10</f>
        <v>0</v>
      </c>
      <c r="G10">
        <f t="shared" si="1"/>
        <v>0</v>
      </c>
    </row>
    <row r="11" spans="1:7" x14ac:dyDescent="0.15">
      <c r="A11" s="127">
        <v>6002913</v>
      </c>
      <c r="B11" s="180">
        <v>700000</v>
      </c>
      <c r="C11" s="163">
        <f>B11*SQRT(D29)*1</f>
        <v>700000</v>
      </c>
      <c r="D11" s="164">
        <f>(C12-C11)/(B12-B11)</f>
        <v>1.0500000000000009</v>
      </c>
      <c r="E11" s="159">
        <f t="shared" si="4"/>
        <v>-35000.000000000698</v>
      </c>
      <c r="F11" s="160">
        <v>1</v>
      </c>
      <c r="G11">
        <f t="shared" si="1"/>
        <v>700000</v>
      </c>
    </row>
    <row r="12" spans="1:7" x14ac:dyDescent="0.15">
      <c r="A12" s="162">
        <v>6002913</v>
      </c>
      <c r="B12" s="182">
        <f>B11*1.2</f>
        <v>840000</v>
      </c>
      <c r="C12" s="163">
        <f>C11*SQRT(D30)^2</f>
        <v>847000.00000000012</v>
      </c>
      <c r="D12" s="164">
        <f>(C13-C12)/(B13-B12)</f>
        <v>1.0333333333333328</v>
      </c>
      <c r="E12" s="159">
        <f>C12-D12*B12</f>
        <v>-20999.999999999418</v>
      </c>
      <c r="F12" s="160">
        <v>1.2</v>
      </c>
      <c r="G12">
        <f t="shared" si="1"/>
        <v>847000.00000000012</v>
      </c>
    </row>
    <row r="13" spans="1:7" x14ac:dyDescent="0.15">
      <c r="A13" s="162">
        <v>6002913</v>
      </c>
      <c r="B13" s="182">
        <f>B11*1.5</f>
        <v>1050000</v>
      </c>
      <c r="C13" s="163">
        <f>C11*SQRT(D31)^2</f>
        <v>1064000</v>
      </c>
      <c r="D13" s="164">
        <f>(C14-C13)/(B14-B13)</f>
        <v>1.0199999999999994</v>
      </c>
      <c r="E13" s="165">
        <f>C13-D13*B13</f>
        <v>-6999.9999999993015</v>
      </c>
      <c r="F13" s="160">
        <v>1.5</v>
      </c>
      <c r="G13">
        <f t="shared" si="1"/>
        <v>1064000</v>
      </c>
    </row>
    <row r="14" spans="1:7" x14ac:dyDescent="0.15">
      <c r="A14" s="162">
        <v>6002913</v>
      </c>
      <c r="B14" s="182">
        <f>B11*2</f>
        <v>1400000</v>
      </c>
      <c r="C14" s="163">
        <f>$C$11*SQRT(D32)^2</f>
        <v>1420999.9999999998</v>
      </c>
      <c r="D14" s="161">
        <v>0.01</v>
      </c>
      <c r="E14" s="159">
        <f>C14-D14*B14</f>
        <v>1406999.9999999998</v>
      </c>
      <c r="F14" s="160">
        <v>2</v>
      </c>
      <c r="G14">
        <f t="shared" si="1"/>
        <v>1420999.9999999998</v>
      </c>
    </row>
    <row r="15" spans="1:7" x14ac:dyDescent="0.15">
      <c r="A15" s="118">
        <v>6002914</v>
      </c>
      <c r="B15" s="181">
        <v>0</v>
      </c>
      <c r="C15" s="163">
        <v>0</v>
      </c>
      <c r="D15" s="164">
        <f t="shared" ref="D15:D16" si="5">(C16-C15)/(B16-B15)</f>
        <v>1</v>
      </c>
      <c r="E15" s="159">
        <f t="shared" ref="E15:E16" si="6">C15-D15*B15</f>
        <v>0</v>
      </c>
      <c r="G15">
        <f t="shared" si="1"/>
        <v>0</v>
      </c>
    </row>
    <row r="16" spans="1:7" x14ac:dyDescent="0.15">
      <c r="A16" s="118">
        <v>6002914</v>
      </c>
      <c r="B16" s="181">
        <v>400000</v>
      </c>
      <c r="C16" s="163">
        <f>B16*SQRT(D29)*1</f>
        <v>400000</v>
      </c>
      <c r="D16" s="164">
        <f t="shared" si="5"/>
        <v>1.0500000000000007</v>
      </c>
      <c r="E16" s="159">
        <f t="shared" si="6"/>
        <v>-20000.000000000291</v>
      </c>
      <c r="F16" s="160">
        <v>1</v>
      </c>
      <c r="G16">
        <f t="shared" si="1"/>
        <v>400000</v>
      </c>
    </row>
    <row r="17" spans="1:7" x14ac:dyDescent="0.15">
      <c r="A17" s="118">
        <v>6002914</v>
      </c>
      <c r="B17" s="181">
        <f>B16*1.2</f>
        <v>480000</v>
      </c>
      <c r="C17" s="163">
        <f>C16*SQRT(D30)^2</f>
        <v>484000.00000000006</v>
      </c>
      <c r="D17" s="164">
        <f>(C18-C17)/(B18-B17)</f>
        <v>1.0333333333333328</v>
      </c>
      <c r="E17" s="159">
        <f>C17-D17*B17</f>
        <v>-11999.999999999651</v>
      </c>
      <c r="F17" s="160">
        <v>1.2</v>
      </c>
      <c r="G17">
        <f t="shared" si="1"/>
        <v>484000.00000000006</v>
      </c>
    </row>
    <row r="18" spans="1:7" x14ac:dyDescent="0.15">
      <c r="A18" s="118">
        <v>6002914</v>
      </c>
      <c r="B18" s="181">
        <f>B16*1.5</f>
        <v>600000</v>
      </c>
      <c r="C18" s="163">
        <f>C16*SQRT(D31)^2</f>
        <v>608000</v>
      </c>
      <c r="D18" s="164">
        <f>(C19-C18)/(B19-B18)</f>
        <v>1.0199999999999994</v>
      </c>
      <c r="E18" s="165">
        <f>C18-D18*B18</f>
        <v>-3999.9999999996508</v>
      </c>
      <c r="F18" s="160">
        <v>1.5</v>
      </c>
      <c r="G18">
        <f t="shared" si="1"/>
        <v>608000</v>
      </c>
    </row>
    <row r="19" spans="1:7" x14ac:dyDescent="0.15">
      <c r="A19" s="118">
        <v>6002914</v>
      </c>
      <c r="B19" s="181">
        <f>B16*2</f>
        <v>800000</v>
      </c>
      <c r="C19" s="163">
        <f>$C$16*SQRT(D32)^2</f>
        <v>811999.99999999988</v>
      </c>
      <c r="D19" s="164">
        <f>(C20-C19)/(B20-B19)</f>
        <v>1</v>
      </c>
      <c r="E19" s="159">
        <f>C19-D19*B19</f>
        <v>11999.999999999884</v>
      </c>
      <c r="F19" s="160">
        <v>2</v>
      </c>
      <c r="G19">
        <f t="shared" si="1"/>
        <v>811999.99999999988</v>
      </c>
    </row>
    <row r="20" spans="1:7" x14ac:dyDescent="0.15">
      <c r="A20" s="118">
        <v>6002914</v>
      </c>
      <c r="B20" s="181">
        <f>B16*2.5</f>
        <v>1000000</v>
      </c>
      <c r="C20" s="163">
        <f>$C$16*SQRT(D33)^2</f>
        <v>1011999.9999999999</v>
      </c>
      <c r="D20" s="161">
        <v>0.01</v>
      </c>
      <c r="E20" s="165">
        <f>C20-D20*B20</f>
        <v>1001999.9999999999</v>
      </c>
      <c r="F20" s="160">
        <v>2.5</v>
      </c>
      <c r="G20">
        <f t="shared" si="1"/>
        <v>1011999.9999999999</v>
      </c>
    </row>
    <row r="21" spans="1:7" x14ac:dyDescent="0.15">
      <c r="A21" s="127">
        <v>6002915</v>
      </c>
      <c r="B21" s="180">
        <v>0</v>
      </c>
      <c r="C21" s="163">
        <v>0</v>
      </c>
      <c r="D21" s="164">
        <f t="shared" ref="D21" si="7">(C22-C21)/(B22-B21)</f>
        <v>1</v>
      </c>
      <c r="E21" s="159">
        <f t="shared" ref="E21:E24" si="8">C21-D21*B21</f>
        <v>0</v>
      </c>
      <c r="G21">
        <f t="shared" si="1"/>
        <v>0</v>
      </c>
    </row>
    <row r="22" spans="1:7" x14ac:dyDescent="0.15">
      <c r="A22" s="127">
        <v>6002915</v>
      </c>
      <c r="B22" s="180">
        <v>1200000</v>
      </c>
      <c r="C22" s="163">
        <f>B22*SQRT(D29)*1</f>
        <v>1200000</v>
      </c>
      <c r="D22" s="164">
        <f>(C23-C22)/(B23-B22)</f>
        <v>1.0500000000000009</v>
      </c>
      <c r="E22" s="159">
        <f t="shared" si="8"/>
        <v>-60000.000000001164</v>
      </c>
      <c r="F22" s="160">
        <v>1</v>
      </c>
      <c r="G22">
        <f t="shared" si="1"/>
        <v>1200000</v>
      </c>
    </row>
    <row r="23" spans="1:7" x14ac:dyDescent="0.15">
      <c r="A23" s="127">
        <v>6002915</v>
      </c>
      <c r="B23" s="180">
        <f>B22*1.2</f>
        <v>1440000</v>
      </c>
      <c r="C23" s="163">
        <f>$C$22*SQRT(D30)^2</f>
        <v>1452000.0000000002</v>
      </c>
      <c r="D23" s="164">
        <f>(C24-C23)/(B24-B23)</f>
        <v>1.0333333333333328</v>
      </c>
      <c r="E23" s="159">
        <f t="shared" si="8"/>
        <v>-35999.999999999069</v>
      </c>
      <c r="F23" s="160">
        <v>1.2</v>
      </c>
      <c r="G23">
        <f t="shared" si="1"/>
        <v>1452000.0000000002</v>
      </c>
    </row>
    <row r="24" spans="1:7" x14ac:dyDescent="0.15">
      <c r="A24" s="127">
        <v>6002915</v>
      </c>
      <c r="B24" s="180">
        <f>B22*1.5</f>
        <v>1800000</v>
      </c>
      <c r="C24" s="163">
        <f>$C$22*SQRT(D31)^2</f>
        <v>1824000</v>
      </c>
      <c r="D24" s="164">
        <f>(C25-C24)/(B25-B24)</f>
        <v>1.0199999999999991</v>
      </c>
      <c r="E24" s="159">
        <f t="shared" si="8"/>
        <v>-11999.99999999837</v>
      </c>
      <c r="F24" s="160">
        <v>1.5</v>
      </c>
      <c r="G24">
        <f t="shared" si="1"/>
        <v>1824000</v>
      </c>
    </row>
    <row r="25" spans="1:7" x14ac:dyDescent="0.15">
      <c r="A25" s="127">
        <v>6002915</v>
      </c>
      <c r="B25" s="180">
        <f>B22*2</f>
        <v>2400000</v>
      </c>
      <c r="C25" s="163">
        <f>$C$22*SQRT(D32)^2</f>
        <v>2435999.9999999995</v>
      </c>
      <c r="D25" s="164">
        <f>(C26-C25)/(B26-B25)</f>
        <v>1</v>
      </c>
      <c r="E25" s="159">
        <f>C25-D25*B25</f>
        <v>35999.999999999534</v>
      </c>
      <c r="F25" s="160">
        <v>2</v>
      </c>
      <c r="G25">
        <f t="shared" si="1"/>
        <v>2435999.9999999995</v>
      </c>
    </row>
    <row r="26" spans="1:7" x14ac:dyDescent="0.15">
      <c r="A26" s="127">
        <v>6002915</v>
      </c>
      <c r="B26" s="180">
        <f>B22*2.5</f>
        <v>3000000</v>
      </c>
      <c r="C26" s="163">
        <f>$C$22*SQRT(D33)^2</f>
        <v>3035999.9999999995</v>
      </c>
      <c r="D26" s="161">
        <v>0.01</v>
      </c>
      <c r="E26" s="165">
        <f>C26-D26*B26</f>
        <v>3005999.9999999995</v>
      </c>
      <c r="F26" s="160">
        <v>2.5</v>
      </c>
      <c r="G26">
        <f t="shared" si="1"/>
        <v>3035999.9999999995</v>
      </c>
    </row>
    <row r="28" spans="1:7" x14ac:dyDescent="0.15">
      <c r="D28" t="s">
        <v>406</v>
      </c>
    </row>
    <row r="29" spans="1:7" x14ac:dyDescent="0.15">
      <c r="B29" s="183">
        <f>B3+B7+B11+B16+B22</f>
        <v>2520000</v>
      </c>
      <c r="C29" s="166">
        <f>SUM(C5,C9,C20,C14,C26)</f>
        <v>6533000</v>
      </c>
      <c r="D29">
        <v>1</v>
      </c>
    </row>
    <row r="30" spans="1:7" x14ac:dyDescent="0.15">
      <c r="B30" s="99"/>
      <c r="C30" s="167"/>
      <c r="D30">
        <v>1.21</v>
      </c>
    </row>
    <row r="31" spans="1:7" x14ac:dyDescent="0.15">
      <c r="B31" s="99"/>
      <c r="C31" s="167"/>
      <c r="D31">
        <v>1.52</v>
      </c>
    </row>
    <row r="32" spans="1:7" x14ac:dyDescent="0.15">
      <c r="D32">
        <v>2.0299999999999998</v>
      </c>
    </row>
    <row r="33" spans="4:4" x14ac:dyDescent="0.15">
      <c r="D33">
        <v>2.5299999999999998</v>
      </c>
    </row>
  </sheetData>
  <phoneticPr fontId="9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E84"/>
  <sheetViews>
    <sheetView topLeftCell="A15" workbookViewId="0">
      <selection activeCell="C45" sqref="C45"/>
    </sheetView>
  </sheetViews>
  <sheetFormatPr baseColWidth="12" defaultRowHeight="15" x14ac:dyDescent="0.15"/>
  <sheetData>
    <row r="1" spans="1:5" x14ac:dyDescent="0.15">
      <c r="A1" s="58" t="s">
        <v>412</v>
      </c>
      <c r="B1" s="58" t="s">
        <v>413</v>
      </c>
      <c r="C1" s="58" t="s">
        <v>414</v>
      </c>
      <c r="D1" s="58" t="s">
        <v>415</v>
      </c>
      <c r="E1" s="58" t="s">
        <v>416</v>
      </c>
    </row>
    <row r="2" spans="1:5" x14ac:dyDescent="0.15">
      <c r="A2" s="168">
        <v>6002911</v>
      </c>
      <c r="B2" s="168">
        <v>0</v>
      </c>
      <c r="C2" s="186">
        <v>0</v>
      </c>
      <c r="D2" s="169">
        <f t="shared" ref="D2:D13" si="0">(C3-C2)/(B3-B2)</f>
        <v>-900000</v>
      </c>
      <c r="E2" s="170">
        <f t="shared" ref="E2:E13" si="1">C2-D2*B2</f>
        <v>0</v>
      </c>
    </row>
    <row r="3" spans="1:5" x14ac:dyDescent="0.15">
      <c r="A3" s="168">
        <v>6002911</v>
      </c>
      <c r="B3" s="168">
        <v>0.01</v>
      </c>
      <c r="C3" s="186">
        <v>-9000</v>
      </c>
      <c r="D3" s="169">
        <f>(C4-C3)/(B4-B3)</f>
        <v>-900000</v>
      </c>
      <c r="E3" s="170">
        <f t="shared" si="1"/>
        <v>0</v>
      </c>
    </row>
    <row r="4" spans="1:5" x14ac:dyDescent="0.15">
      <c r="A4" s="168">
        <v>6002911</v>
      </c>
      <c r="B4" s="168">
        <v>0.05</v>
      </c>
      <c r="C4" s="186">
        <v>-45000</v>
      </c>
      <c r="D4" s="169">
        <f t="shared" si="0"/>
        <v>-900000</v>
      </c>
      <c r="E4" s="170">
        <f t="shared" si="1"/>
        <v>0</v>
      </c>
    </row>
    <row r="5" spans="1:5" x14ac:dyDescent="0.15">
      <c r="A5" s="168">
        <v>6002911</v>
      </c>
      <c r="B5" s="168">
        <v>0.1</v>
      </c>
      <c r="C5" s="186">
        <v>-90000</v>
      </c>
      <c r="D5" s="169">
        <f t="shared" si="0"/>
        <v>-900000</v>
      </c>
      <c r="E5" s="170">
        <f t="shared" si="1"/>
        <v>0</v>
      </c>
    </row>
    <row r="6" spans="1:5" x14ac:dyDescent="0.15">
      <c r="A6" s="168">
        <v>6002911</v>
      </c>
      <c r="B6" s="168">
        <v>0.2</v>
      </c>
      <c r="C6" s="186">
        <v>-180000</v>
      </c>
      <c r="D6" s="169">
        <f t="shared" si="0"/>
        <v>-900000</v>
      </c>
      <c r="E6" s="170">
        <f t="shared" si="1"/>
        <v>0</v>
      </c>
    </row>
    <row r="7" spans="1:5" x14ac:dyDescent="0.15">
      <c r="A7" s="168">
        <v>6002911</v>
      </c>
      <c r="B7" s="168">
        <v>0.4</v>
      </c>
      <c r="C7" s="186">
        <v>-360000</v>
      </c>
      <c r="D7" s="169">
        <f t="shared" si="0"/>
        <v>-900000.00000000023</v>
      </c>
      <c r="E7" s="170">
        <f t="shared" si="1"/>
        <v>0</v>
      </c>
    </row>
    <row r="8" spans="1:5" x14ac:dyDescent="0.15">
      <c r="A8" s="168">
        <v>6002911</v>
      </c>
      <c r="B8" s="168">
        <v>0.6</v>
      </c>
      <c r="C8" s="186">
        <v>-540000</v>
      </c>
      <c r="D8" s="169">
        <f t="shared" si="0"/>
        <v>-899999.99999999965</v>
      </c>
      <c r="E8" s="170">
        <f t="shared" si="1"/>
        <v>0</v>
      </c>
    </row>
    <row r="9" spans="1:5" x14ac:dyDescent="0.15">
      <c r="A9" s="168">
        <v>6002911</v>
      </c>
      <c r="B9" s="168">
        <v>0.8</v>
      </c>
      <c r="C9" s="186">
        <v>-720000</v>
      </c>
      <c r="D9" s="169">
        <f t="shared" si="0"/>
        <v>-900000.00000000023</v>
      </c>
      <c r="E9" s="170">
        <f t="shared" si="1"/>
        <v>0</v>
      </c>
    </row>
    <row r="10" spans="1:5" x14ac:dyDescent="0.15">
      <c r="A10" s="168">
        <v>6002911</v>
      </c>
      <c r="B10" s="168">
        <v>1</v>
      </c>
      <c r="C10" s="186">
        <v>-900000</v>
      </c>
      <c r="D10" s="169">
        <f t="shared" si="0"/>
        <v>-900000.00000000023</v>
      </c>
      <c r="E10" s="170">
        <f t="shared" si="1"/>
        <v>0</v>
      </c>
    </row>
    <row r="11" spans="1:5" x14ac:dyDescent="0.15">
      <c r="A11" s="168">
        <v>6002911</v>
      </c>
      <c r="B11" s="168">
        <v>1.2</v>
      </c>
      <c r="C11" s="186">
        <v>-1080000</v>
      </c>
      <c r="D11" s="169">
        <f t="shared" si="0"/>
        <v>-900000.00000000023</v>
      </c>
      <c r="E11" s="170">
        <f t="shared" si="1"/>
        <v>0</v>
      </c>
    </row>
    <row r="12" spans="1:5" x14ac:dyDescent="0.15">
      <c r="A12" s="168">
        <v>6002911</v>
      </c>
      <c r="B12" s="168">
        <v>1.4</v>
      </c>
      <c r="C12" s="186">
        <v>-1260000</v>
      </c>
      <c r="D12" s="169">
        <f t="shared" si="0"/>
        <v>-899999.99999999919</v>
      </c>
      <c r="E12" s="170">
        <f t="shared" si="1"/>
        <v>0</v>
      </c>
    </row>
    <row r="13" spans="1:5" x14ac:dyDescent="0.15">
      <c r="A13" s="168">
        <v>6002911</v>
      </c>
      <c r="B13" s="168">
        <v>1.6</v>
      </c>
      <c r="C13" s="186">
        <v>-1440000</v>
      </c>
      <c r="D13" s="169">
        <f t="shared" si="0"/>
        <v>-900000.00000000023</v>
      </c>
      <c r="E13" s="170">
        <f t="shared" si="1"/>
        <v>0</v>
      </c>
    </row>
    <row r="14" spans="1:5" x14ac:dyDescent="0.15">
      <c r="A14" s="168">
        <v>6002911</v>
      </c>
      <c r="B14" s="168">
        <v>1.8</v>
      </c>
      <c r="C14" s="186">
        <v>-1620000</v>
      </c>
      <c r="D14" s="169">
        <f>(C15-C14)/(B15-B14)</f>
        <v>-41900000.000000007</v>
      </c>
      <c r="E14" s="170">
        <f>C14-D14*B14</f>
        <v>73800000.000000015</v>
      </c>
    </row>
    <row r="15" spans="1:5" x14ac:dyDescent="0.15">
      <c r="A15" s="168">
        <v>6002911</v>
      </c>
      <c r="B15" s="168">
        <v>2</v>
      </c>
      <c r="C15" s="186">
        <v>-10000000</v>
      </c>
      <c r="D15" s="171">
        <v>0</v>
      </c>
      <c r="E15" s="172">
        <v>-10000000</v>
      </c>
    </row>
    <row r="16" spans="1:5" x14ac:dyDescent="0.15">
      <c r="A16" s="173">
        <v>6002912</v>
      </c>
      <c r="B16" s="173">
        <v>0</v>
      </c>
      <c r="C16" s="186">
        <v>0</v>
      </c>
      <c r="D16" s="169">
        <f t="shared" ref="D16:D27" si="2">(C17-C16)/(B17-B16)</f>
        <v>-900000</v>
      </c>
      <c r="E16" s="170">
        <f t="shared" ref="E16:E27" si="3">C16-D16*B16</f>
        <v>0</v>
      </c>
    </row>
    <row r="17" spans="1:5" x14ac:dyDescent="0.15">
      <c r="A17" s="173">
        <v>6002912</v>
      </c>
      <c r="B17" s="173">
        <v>0.01</v>
      </c>
      <c r="C17" s="186">
        <v>-9000</v>
      </c>
      <c r="D17" s="169">
        <f t="shared" si="2"/>
        <v>-900000</v>
      </c>
      <c r="E17" s="170">
        <f t="shared" si="3"/>
        <v>0</v>
      </c>
    </row>
    <row r="18" spans="1:5" x14ac:dyDescent="0.15">
      <c r="A18" s="173">
        <v>6002912</v>
      </c>
      <c r="B18" s="173">
        <v>0.05</v>
      </c>
      <c r="C18" s="186">
        <v>-45000</v>
      </c>
      <c r="D18" s="169">
        <f t="shared" si="2"/>
        <v>-900000</v>
      </c>
      <c r="E18" s="170">
        <f t="shared" si="3"/>
        <v>0</v>
      </c>
    </row>
    <row r="19" spans="1:5" x14ac:dyDescent="0.15">
      <c r="A19" s="173">
        <v>6002912</v>
      </c>
      <c r="B19" s="173">
        <v>0.1</v>
      </c>
      <c r="C19" s="186">
        <v>-90000</v>
      </c>
      <c r="D19" s="169">
        <f t="shared" si="2"/>
        <v>-900000</v>
      </c>
      <c r="E19" s="170">
        <f t="shared" si="3"/>
        <v>0</v>
      </c>
    </row>
    <row r="20" spans="1:5" x14ac:dyDescent="0.15">
      <c r="A20" s="173">
        <v>6002912</v>
      </c>
      <c r="B20" s="173">
        <v>0.2</v>
      </c>
      <c r="C20" s="186">
        <v>-180000</v>
      </c>
      <c r="D20" s="169">
        <f t="shared" si="2"/>
        <v>-900000</v>
      </c>
      <c r="E20" s="170">
        <f t="shared" si="3"/>
        <v>0</v>
      </c>
    </row>
    <row r="21" spans="1:5" x14ac:dyDescent="0.15">
      <c r="A21" s="173">
        <v>6002912</v>
      </c>
      <c r="B21" s="173">
        <v>0.4</v>
      </c>
      <c r="C21" s="186">
        <v>-360000</v>
      </c>
      <c r="D21" s="169">
        <f t="shared" si="2"/>
        <v>-900000.00000000023</v>
      </c>
      <c r="E21" s="170">
        <f t="shared" si="3"/>
        <v>0</v>
      </c>
    </row>
    <row r="22" spans="1:5" x14ac:dyDescent="0.15">
      <c r="A22" s="173">
        <v>6002912</v>
      </c>
      <c r="B22" s="173">
        <v>0.6</v>
      </c>
      <c r="C22" s="186">
        <v>-540000</v>
      </c>
      <c r="D22" s="169">
        <f t="shared" si="2"/>
        <v>-899999.99999999965</v>
      </c>
      <c r="E22" s="170">
        <f t="shared" si="3"/>
        <v>0</v>
      </c>
    </row>
    <row r="23" spans="1:5" x14ac:dyDescent="0.15">
      <c r="A23" s="173">
        <v>6002912</v>
      </c>
      <c r="B23" s="173">
        <v>0.8</v>
      </c>
      <c r="C23" s="186">
        <v>-720000</v>
      </c>
      <c r="D23" s="169">
        <f t="shared" si="2"/>
        <v>-900000.00000000023</v>
      </c>
      <c r="E23" s="170">
        <f t="shared" si="3"/>
        <v>0</v>
      </c>
    </row>
    <row r="24" spans="1:5" x14ac:dyDescent="0.15">
      <c r="A24" s="173">
        <v>6002912</v>
      </c>
      <c r="B24" s="173">
        <v>1</v>
      </c>
      <c r="C24" s="186">
        <v>-900000</v>
      </c>
      <c r="D24" s="169">
        <f t="shared" si="2"/>
        <v>-900000.00000000023</v>
      </c>
      <c r="E24" s="170">
        <f t="shared" si="3"/>
        <v>0</v>
      </c>
    </row>
    <row r="25" spans="1:5" x14ac:dyDescent="0.15">
      <c r="A25" s="173">
        <v>6002912</v>
      </c>
      <c r="B25" s="173">
        <v>1.2</v>
      </c>
      <c r="C25" s="186">
        <v>-1080000</v>
      </c>
      <c r="D25" s="169">
        <f t="shared" si="2"/>
        <v>-900000.00000000023</v>
      </c>
      <c r="E25" s="170">
        <f t="shared" si="3"/>
        <v>0</v>
      </c>
    </row>
    <row r="26" spans="1:5" x14ac:dyDescent="0.15">
      <c r="A26" s="173">
        <v>6002912</v>
      </c>
      <c r="B26" s="173">
        <v>1.4</v>
      </c>
      <c r="C26" s="186">
        <v>-1260000</v>
      </c>
      <c r="D26" s="169">
        <f t="shared" si="2"/>
        <v>-899999.99999999919</v>
      </c>
      <c r="E26" s="170">
        <f t="shared" si="3"/>
        <v>0</v>
      </c>
    </row>
    <row r="27" spans="1:5" x14ac:dyDescent="0.15">
      <c r="A27" s="173">
        <v>6002912</v>
      </c>
      <c r="B27" s="173">
        <v>1.6</v>
      </c>
      <c r="C27" s="186">
        <v>-1440000</v>
      </c>
      <c r="D27" s="169">
        <f t="shared" si="2"/>
        <v>-900000.00000000023</v>
      </c>
      <c r="E27" s="170">
        <f t="shared" si="3"/>
        <v>0</v>
      </c>
    </row>
    <row r="28" spans="1:5" x14ac:dyDescent="0.15">
      <c r="A28" s="173">
        <v>6002912</v>
      </c>
      <c r="B28" s="173">
        <v>1.8</v>
      </c>
      <c r="C28" s="186">
        <v>-1620000</v>
      </c>
      <c r="D28" s="169">
        <f>(C29-C28)/(B29-B28)</f>
        <v>-41900000.000000007</v>
      </c>
      <c r="E28" s="170">
        <f>C28-D28*B28</f>
        <v>73800000.000000015</v>
      </c>
    </row>
    <row r="29" spans="1:5" x14ac:dyDescent="0.15">
      <c r="A29" s="173">
        <v>6002912</v>
      </c>
      <c r="B29" s="173">
        <v>2</v>
      </c>
      <c r="C29" s="186">
        <v>-10000000</v>
      </c>
      <c r="D29" s="174">
        <v>0</v>
      </c>
      <c r="E29" s="175">
        <v>-10000000</v>
      </c>
    </row>
    <row r="30" spans="1:5" x14ac:dyDescent="0.15">
      <c r="A30" s="168">
        <v>6002913</v>
      </c>
      <c r="B30" s="168">
        <v>0</v>
      </c>
      <c r="C30" s="186">
        <v>0</v>
      </c>
      <c r="D30" s="169">
        <f t="shared" ref="D30:D41" si="4">(C31-C30)/(B31-B30)</f>
        <v>-1500000</v>
      </c>
      <c r="E30" s="170">
        <f t="shared" ref="E30:E41" si="5">C30-D30*B30</f>
        <v>0</v>
      </c>
    </row>
    <row r="31" spans="1:5" x14ac:dyDescent="0.15">
      <c r="A31" s="168">
        <v>6002913</v>
      </c>
      <c r="B31" s="168">
        <v>0.01</v>
      </c>
      <c r="C31" s="186">
        <v>-15000</v>
      </c>
      <c r="D31" s="169">
        <f t="shared" si="4"/>
        <v>-1500000</v>
      </c>
      <c r="E31" s="170">
        <f t="shared" si="5"/>
        <v>0</v>
      </c>
    </row>
    <row r="32" spans="1:5" x14ac:dyDescent="0.15">
      <c r="A32" s="168">
        <v>6002913</v>
      </c>
      <c r="B32" s="168">
        <v>0.05</v>
      </c>
      <c r="C32" s="186">
        <v>-75000</v>
      </c>
      <c r="D32" s="169">
        <f t="shared" si="4"/>
        <v>-1500000</v>
      </c>
      <c r="E32" s="170">
        <f t="shared" si="5"/>
        <v>0</v>
      </c>
    </row>
    <row r="33" spans="1:5" x14ac:dyDescent="0.15">
      <c r="A33" s="168">
        <v>6002913</v>
      </c>
      <c r="B33" s="168">
        <v>0.1</v>
      </c>
      <c r="C33" s="186">
        <v>-150000</v>
      </c>
      <c r="D33" s="169">
        <f t="shared" si="4"/>
        <v>-1500000</v>
      </c>
      <c r="E33" s="170">
        <f t="shared" si="5"/>
        <v>0</v>
      </c>
    </row>
    <row r="34" spans="1:5" x14ac:dyDescent="0.15">
      <c r="A34" s="168">
        <v>6002913</v>
      </c>
      <c r="B34" s="168">
        <v>0.2</v>
      </c>
      <c r="C34" s="186">
        <v>-300000</v>
      </c>
      <c r="D34" s="169">
        <f t="shared" si="4"/>
        <v>-1500000</v>
      </c>
      <c r="E34" s="170">
        <f t="shared" si="5"/>
        <v>0</v>
      </c>
    </row>
    <row r="35" spans="1:5" x14ac:dyDescent="0.15">
      <c r="A35" s="168">
        <v>6002913</v>
      </c>
      <c r="B35" s="168">
        <v>0.4</v>
      </c>
      <c r="C35" s="186">
        <v>-600000</v>
      </c>
      <c r="D35" s="169">
        <f t="shared" si="4"/>
        <v>-1500000.0000000002</v>
      </c>
      <c r="E35" s="170">
        <f t="shared" si="5"/>
        <v>0</v>
      </c>
    </row>
    <row r="36" spans="1:5" x14ac:dyDescent="0.15">
      <c r="A36" s="168">
        <v>6002913</v>
      </c>
      <c r="B36" s="168">
        <v>0.6</v>
      </c>
      <c r="C36" s="186">
        <v>-900000</v>
      </c>
      <c r="D36" s="169">
        <f t="shared" si="4"/>
        <v>-1499999.9999999995</v>
      </c>
      <c r="E36" s="170">
        <f t="shared" si="5"/>
        <v>0</v>
      </c>
    </row>
    <row r="37" spans="1:5" x14ac:dyDescent="0.15">
      <c r="A37" s="168">
        <v>6002913</v>
      </c>
      <c r="B37" s="168">
        <v>0.8</v>
      </c>
      <c r="C37" s="186">
        <v>-1200000</v>
      </c>
      <c r="D37" s="169">
        <f t="shared" si="4"/>
        <v>-1500000.0000000002</v>
      </c>
      <c r="E37" s="170">
        <f t="shared" si="5"/>
        <v>0</v>
      </c>
    </row>
    <row r="38" spans="1:5" x14ac:dyDescent="0.15">
      <c r="A38" s="168">
        <v>6002913</v>
      </c>
      <c r="B38" s="168">
        <v>1</v>
      </c>
      <c r="C38" s="186">
        <v>-1500000</v>
      </c>
      <c r="D38" s="169">
        <f t="shared" si="4"/>
        <v>-1500000.0000000002</v>
      </c>
      <c r="E38" s="170">
        <f t="shared" si="5"/>
        <v>0</v>
      </c>
    </row>
    <row r="39" spans="1:5" x14ac:dyDescent="0.15">
      <c r="A39" s="168">
        <v>6002913</v>
      </c>
      <c r="B39" s="168">
        <v>1.2</v>
      </c>
      <c r="C39" s="186">
        <v>-1800000</v>
      </c>
      <c r="D39" s="169">
        <f t="shared" si="4"/>
        <v>-1500000.0000000002</v>
      </c>
      <c r="E39" s="170">
        <f t="shared" si="5"/>
        <v>0</v>
      </c>
    </row>
    <row r="40" spans="1:5" x14ac:dyDescent="0.15">
      <c r="A40" s="168">
        <v>6002913</v>
      </c>
      <c r="B40" s="168">
        <v>1.4</v>
      </c>
      <c r="C40" s="186">
        <v>-2100000</v>
      </c>
      <c r="D40" s="169">
        <f t="shared" si="4"/>
        <v>-1499999.9999999986</v>
      </c>
      <c r="E40" s="170">
        <f t="shared" si="5"/>
        <v>0</v>
      </c>
    </row>
    <row r="41" spans="1:5" x14ac:dyDescent="0.15">
      <c r="A41" s="168">
        <v>6002913</v>
      </c>
      <c r="B41" s="168">
        <v>1.6</v>
      </c>
      <c r="C41" s="186">
        <v>-2400000</v>
      </c>
      <c r="D41" s="169">
        <f t="shared" si="4"/>
        <v>-1500000.0000000002</v>
      </c>
      <c r="E41" s="170">
        <f t="shared" si="5"/>
        <v>0</v>
      </c>
    </row>
    <row r="42" spans="1:5" x14ac:dyDescent="0.15">
      <c r="A42" s="168">
        <v>6002913</v>
      </c>
      <c r="B42" s="168">
        <v>1.8</v>
      </c>
      <c r="C42" s="186">
        <v>-2700000</v>
      </c>
      <c r="D42" s="169">
        <f>(C43-C42)/(B43-B42)</f>
        <v>-11500000.000000002</v>
      </c>
      <c r="E42" s="170">
        <f>C42-D42*B42</f>
        <v>18000000.000000004</v>
      </c>
    </row>
    <row r="43" spans="1:5" x14ac:dyDescent="0.15">
      <c r="A43" s="168">
        <v>6002913</v>
      </c>
      <c r="B43" s="168">
        <v>2</v>
      </c>
      <c r="C43" s="186">
        <v>-5000000</v>
      </c>
      <c r="D43" s="171">
        <v>0</v>
      </c>
      <c r="E43" s="172">
        <v>-10000000</v>
      </c>
    </row>
    <row r="44" spans="1:5" x14ac:dyDescent="0.15">
      <c r="A44" s="176">
        <v>6002914</v>
      </c>
      <c r="B44" s="176">
        <v>0</v>
      </c>
      <c r="C44" s="186">
        <v>0</v>
      </c>
      <c r="D44" s="169">
        <f t="shared" ref="D44:D60" si="6">(C45-C44)/(B45-B44)</f>
        <v>-1200000</v>
      </c>
      <c r="E44" s="170">
        <f t="shared" ref="E44:E60" si="7">C44-D44*B44</f>
        <v>0</v>
      </c>
    </row>
    <row r="45" spans="1:5" x14ac:dyDescent="0.15">
      <c r="A45" s="176">
        <v>6002914</v>
      </c>
      <c r="B45" s="176">
        <v>0.01</v>
      </c>
      <c r="C45" s="186">
        <v>-12000</v>
      </c>
      <c r="D45" s="169">
        <f t="shared" si="6"/>
        <v>-1200000</v>
      </c>
      <c r="E45" s="170">
        <f t="shared" si="7"/>
        <v>0</v>
      </c>
    </row>
    <row r="46" spans="1:5" x14ac:dyDescent="0.15">
      <c r="A46" s="176">
        <v>6002914</v>
      </c>
      <c r="B46" s="176">
        <v>0.05</v>
      </c>
      <c r="C46" s="186">
        <v>-60000</v>
      </c>
      <c r="D46" s="169">
        <f t="shared" si="6"/>
        <v>-1200000</v>
      </c>
      <c r="E46" s="170">
        <f t="shared" si="7"/>
        <v>0</v>
      </c>
    </row>
    <row r="47" spans="1:5" x14ac:dyDescent="0.15">
      <c r="A47" s="176">
        <v>6002914</v>
      </c>
      <c r="B47" s="176">
        <v>0.1</v>
      </c>
      <c r="C47" s="186">
        <v>-120000</v>
      </c>
      <c r="D47" s="169">
        <f t="shared" si="6"/>
        <v>-1200000</v>
      </c>
      <c r="E47" s="170">
        <f t="shared" si="7"/>
        <v>0</v>
      </c>
    </row>
    <row r="48" spans="1:5" x14ac:dyDescent="0.15">
      <c r="A48" s="176">
        <v>6002914</v>
      </c>
      <c r="B48" s="176">
        <v>0.2</v>
      </c>
      <c r="C48" s="186">
        <v>-240000</v>
      </c>
      <c r="D48" s="169">
        <f t="shared" si="6"/>
        <v>-1200000</v>
      </c>
      <c r="E48" s="170">
        <f t="shared" si="7"/>
        <v>0</v>
      </c>
    </row>
    <row r="49" spans="1:5" x14ac:dyDescent="0.15">
      <c r="A49" s="176">
        <v>6002914</v>
      </c>
      <c r="B49" s="176">
        <v>0.4</v>
      </c>
      <c r="C49" s="186">
        <v>-480000</v>
      </c>
      <c r="D49" s="169">
        <f t="shared" si="6"/>
        <v>-1200000.0000000002</v>
      </c>
      <c r="E49" s="170">
        <f t="shared" si="7"/>
        <v>0</v>
      </c>
    </row>
    <row r="50" spans="1:5" x14ac:dyDescent="0.15">
      <c r="A50" s="176">
        <v>6002914</v>
      </c>
      <c r="B50" s="176">
        <v>0.6</v>
      </c>
      <c r="C50" s="186">
        <v>-720000</v>
      </c>
      <c r="D50" s="169">
        <f t="shared" si="6"/>
        <v>-1199999.9999999995</v>
      </c>
      <c r="E50" s="170">
        <f t="shared" si="7"/>
        <v>0</v>
      </c>
    </row>
    <row r="51" spans="1:5" x14ac:dyDescent="0.15">
      <c r="A51" s="176">
        <v>6002914</v>
      </c>
      <c r="B51" s="176">
        <v>0.8</v>
      </c>
      <c r="C51" s="186">
        <v>-960000</v>
      </c>
      <c r="D51" s="169">
        <f t="shared" si="6"/>
        <v>-1200000.0000000002</v>
      </c>
      <c r="E51" s="170">
        <f t="shared" si="7"/>
        <v>0</v>
      </c>
    </row>
    <row r="52" spans="1:5" x14ac:dyDescent="0.15">
      <c r="A52" s="176">
        <v>6002914</v>
      </c>
      <c r="B52" s="176">
        <v>1</v>
      </c>
      <c r="C52" s="186">
        <v>-1200000</v>
      </c>
      <c r="D52" s="169">
        <f t="shared" si="6"/>
        <v>-1200000.0000000002</v>
      </c>
      <c r="E52" s="170">
        <f t="shared" si="7"/>
        <v>0</v>
      </c>
    </row>
    <row r="53" spans="1:5" x14ac:dyDescent="0.15">
      <c r="A53" s="176">
        <v>6002914</v>
      </c>
      <c r="B53" s="176">
        <v>1.2</v>
      </c>
      <c r="C53" s="186">
        <v>-1440000</v>
      </c>
      <c r="D53" s="169">
        <f t="shared" si="6"/>
        <v>-1200000.0000000002</v>
      </c>
      <c r="E53" s="170">
        <f t="shared" si="7"/>
        <v>0</v>
      </c>
    </row>
    <row r="54" spans="1:5" x14ac:dyDescent="0.15">
      <c r="A54" s="176">
        <v>6002914</v>
      </c>
      <c r="B54" s="176">
        <v>1.4</v>
      </c>
      <c r="C54" s="186">
        <v>-1680000</v>
      </c>
      <c r="D54" s="169">
        <f t="shared" si="6"/>
        <v>-1199999.9999999988</v>
      </c>
      <c r="E54" s="170">
        <f t="shared" si="7"/>
        <v>0</v>
      </c>
    </row>
    <row r="55" spans="1:5" x14ac:dyDescent="0.15">
      <c r="A55" s="176">
        <v>6002914</v>
      </c>
      <c r="B55" s="176">
        <v>1.6</v>
      </c>
      <c r="C55" s="186">
        <v>-1920000</v>
      </c>
      <c r="D55" s="169">
        <f t="shared" si="6"/>
        <v>-1200000.0000000002</v>
      </c>
      <c r="E55" s="170">
        <f t="shared" si="7"/>
        <v>0</v>
      </c>
    </row>
    <row r="56" spans="1:5" x14ac:dyDescent="0.15">
      <c r="A56" s="176">
        <v>6002914</v>
      </c>
      <c r="B56" s="176">
        <v>1.8</v>
      </c>
      <c r="C56" s="186">
        <v>-2160000</v>
      </c>
      <c r="D56" s="169">
        <f t="shared" si="6"/>
        <v>-1200000.0000000002</v>
      </c>
      <c r="E56" s="170">
        <f t="shared" si="7"/>
        <v>0</v>
      </c>
    </row>
    <row r="57" spans="1:5" x14ac:dyDescent="0.15">
      <c r="A57" s="176">
        <v>6002914</v>
      </c>
      <c r="B57" s="176">
        <v>2</v>
      </c>
      <c r="C57" s="186">
        <v>-2400000</v>
      </c>
      <c r="D57" s="169">
        <f t="shared" si="6"/>
        <v>-1199999.9999999988</v>
      </c>
      <c r="E57" s="170">
        <f t="shared" si="7"/>
        <v>0</v>
      </c>
    </row>
    <row r="58" spans="1:5" x14ac:dyDescent="0.15">
      <c r="A58" s="176">
        <v>6002914</v>
      </c>
      <c r="B58" s="176">
        <v>2.2000000000000002</v>
      </c>
      <c r="C58" s="186">
        <v>-2640000</v>
      </c>
      <c r="D58" s="169">
        <f t="shared" si="6"/>
        <v>-1200000.0000000016</v>
      </c>
      <c r="E58" s="170">
        <f t="shared" si="7"/>
        <v>3.7252902984619141E-9</v>
      </c>
    </row>
    <row r="59" spans="1:5" x14ac:dyDescent="0.15">
      <c r="A59" s="176">
        <v>6002914</v>
      </c>
      <c r="B59" s="176">
        <v>2.4</v>
      </c>
      <c r="C59" s="186">
        <v>-2880000</v>
      </c>
      <c r="D59" s="169">
        <f t="shared" si="6"/>
        <v>-1199999.9999999988</v>
      </c>
      <c r="E59" s="170">
        <f t="shared" si="7"/>
        <v>0</v>
      </c>
    </row>
    <row r="60" spans="1:5" x14ac:dyDescent="0.15">
      <c r="A60" s="176">
        <v>6002914</v>
      </c>
      <c r="B60" s="176">
        <v>2.6</v>
      </c>
      <c r="C60" s="186">
        <v>-3120000</v>
      </c>
      <c r="D60" s="169">
        <f t="shared" si="6"/>
        <v>-1200000.0000000016</v>
      </c>
      <c r="E60" s="170">
        <f t="shared" si="7"/>
        <v>4.1909515857696533E-9</v>
      </c>
    </row>
    <row r="61" spans="1:5" x14ac:dyDescent="0.15">
      <c r="A61" s="176">
        <v>6002914</v>
      </c>
      <c r="B61" s="176">
        <v>2.8</v>
      </c>
      <c r="C61" s="186">
        <v>-3360000</v>
      </c>
      <c r="D61" s="169">
        <f>(C62-C61)/(B62-B61)</f>
        <v>-33199999.99999997</v>
      </c>
      <c r="E61" s="170">
        <f>C61-D61*B61</f>
        <v>89599999.999999911</v>
      </c>
    </row>
    <row r="62" spans="1:5" x14ac:dyDescent="0.15">
      <c r="A62" s="176">
        <v>6002914</v>
      </c>
      <c r="B62" s="176">
        <v>3</v>
      </c>
      <c r="C62" s="186">
        <v>-10000000</v>
      </c>
      <c r="D62" s="177">
        <v>0</v>
      </c>
      <c r="E62" s="178">
        <v>-10000000</v>
      </c>
    </row>
    <row r="63" spans="1:5" x14ac:dyDescent="0.15">
      <c r="A63" s="168">
        <v>6002915</v>
      </c>
      <c r="B63" s="168">
        <v>0</v>
      </c>
      <c r="C63" s="186">
        <v>0</v>
      </c>
      <c r="D63" s="169">
        <f>(C64-C63)/(B64-B63)</f>
        <v>-1200000</v>
      </c>
      <c r="E63" s="170">
        <f t="shared" ref="E63:E80" si="8">C63-D63*B63</f>
        <v>0</v>
      </c>
    </row>
    <row r="64" spans="1:5" x14ac:dyDescent="0.15">
      <c r="A64" s="168">
        <v>6002915</v>
      </c>
      <c r="B64" s="168">
        <v>0.01</v>
      </c>
      <c r="C64" s="186">
        <v>-12000</v>
      </c>
      <c r="D64" s="169">
        <f t="shared" ref="D64:D79" si="9">(C65-C64)/(B65-B64)</f>
        <v>-1200000</v>
      </c>
      <c r="E64" s="170">
        <f t="shared" si="8"/>
        <v>0</v>
      </c>
    </row>
    <row r="65" spans="1:5" x14ac:dyDescent="0.15">
      <c r="A65" s="168">
        <v>6002915</v>
      </c>
      <c r="B65" s="168">
        <v>0.05</v>
      </c>
      <c r="C65" s="186">
        <v>-60000</v>
      </c>
      <c r="D65" s="169">
        <f t="shared" si="9"/>
        <v>-1200000</v>
      </c>
      <c r="E65" s="170">
        <f t="shared" si="8"/>
        <v>0</v>
      </c>
    </row>
    <row r="66" spans="1:5" x14ac:dyDescent="0.15">
      <c r="A66" s="168">
        <v>6002915</v>
      </c>
      <c r="B66" s="168">
        <v>0.1</v>
      </c>
      <c r="C66" s="186">
        <v>-120000</v>
      </c>
      <c r="D66" s="169">
        <f t="shared" si="9"/>
        <v>-1200000</v>
      </c>
      <c r="E66" s="170">
        <f t="shared" si="8"/>
        <v>0</v>
      </c>
    </row>
    <row r="67" spans="1:5" x14ac:dyDescent="0.15">
      <c r="A67" s="168">
        <v>6002915</v>
      </c>
      <c r="B67" s="168">
        <v>0.2</v>
      </c>
      <c r="C67" s="186">
        <v>-240000</v>
      </c>
      <c r="D67" s="169">
        <f t="shared" si="9"/>
        <v>-1200000</v>
      </c>
      <c r="E67" s="170">
        <f t="shared" si="8"/>
        <v>0</v>
      </c>
    </row>
    <row r="68" spans="1:5" x14ac:dyDescent="0.15">
      <c r="A68" s="168">
        <v>6002915</v>
      </c>
      <c r="B68" s="168">
        <v>0.4</v>
      </c>
      <c r="C68" s="186">
        <v>-480000</v>
      </c>
      <c r="D68" s="169">
        <f t="shared" si="9"/>
        <v>-1200000.0000000002</v>
      </c>
      <c r="E68" s="170">
        <f t="shared" si="8"/>
        <v>0</v>
      </c>
    </row>
    <row r="69" spans="1:5" x14ac:dyDescent="0.15">
      <c r="A69" s="168">
        <v>6002915</v>
      </c>
      <c r="B69" s="168">
        <v>0.6</v>
      </c>
      <c r="C69" s="186">
        <v>-720000</v>
      </c>
      <c r="D69" s="169">
        <f t="shared" si="9"/>
        <v>-1199999.9999999995</v>
      </c>
      <c r="E69" s="170">
        <f t="shared" si="8"/>
        <v>0</v>
      </c>
    </row>
    <row r="70" spans="1:5" x14ac:dyDescent="0.15">
      <c r="A70" s="168">
        <v>6002915</v>
      </c>
      <c r="B70" s="168">
        <v>0.8</v>
      </c>
      <c r="C70" s="186">
        <v>-960000</v>
      </c>
      <c r="D70" s="169">
        <f t="shared" si="9"/>
        <v>-1200000.0000000002</v>
      </c>
      <c r="E70" s="170">
        <f t="shared" si="8"/>
        <v>0</v>
      </c>
    </row>
    <row r="71" spans="1:5" x14ac:dyDescent="0.15">
      <c r="A71" s="168">
        <v>6002915</v>
      </c>
      <c r="B71" s="168">
        <v>1</v>
      </c>
      <c r="C71" s="186">
        <v>-1200000</v>
      </c>
      <c r="D71" s="169">
        <f t="shared" si="9"/>
        <v>-1200000.0000000002</v>
      </c>
      <c r="E71" s="170">
        <f t="shared" si="8"/>
        <v>0</v>
      </c>
    </row>
    <row r="72" spans="1:5" x14ac:dyDescent="0.15">
      <c r="A72" s="168">
        <v>6002915</v>
      </c>
      <c r="B72" s="168">
        <v>1.2</v>
      </c>
      <c r="C72" s="186">
        <v>-1440000</v>
      </c>
      <c r="D72" s="169">
        <f t="shared" si="9"/>
        <v>-1200000.0000000002</v>
      </c>
      <c r="E72" s="170">
        <f t="shared" si="8"/>
        <v>0</v>
      </c>
    </row>
    <row r="73" spans="1:5" x14ac:dyDescent="0.15">
      <c r="A73" s="168">
        <v>6002915</v>
      </c>
      <c r="B73" s="168">
        <v>1.4</v>
      </c>
      <c r="C73" s="186">
        <v>-1680000</v>
      </c>
      <c r="D73" s="169">
        <f t="shared" si="9"/>
        <v>-1199999.9999999988</v>
      </c>
      <c r="E73" s="170">
        <f t="shared" si="8"/>
        <v>0</v>
      </c>
    </row>
    <row r="74" spans="1:5" x14ac:dyDescent="0.15">
      <c r="A74" s="168">
        <v>6002915</v>
      </c>
      <c r="B74" s="168">
        <v>1.6</v>
      </c>
      <c r="C74" s="186">
        <v>-1920000</v>
      </c>
      <c r="D74" s="169">
        <f t="shared" si="9"/>
        <v>-1200000.0000000002</v>
      </c>
      <c r="E74" s="170">
        <f t="shared" si="8"/>
        <v>0</v>
      </c>
    </row>
    <row r="75" spans="1:5" x14ac:dyDescent="0.15">
      <c r="A75" s="168">
        <v>6002915</v>
      </c>
      <c r="B75" s="168">
        <v>1.8</v>
      </c>
      <c r="C75" s="186">
        <v>-2160000</v>
      </c>
      <c r="D75" s="169">
        <f t="shared" si="9"/>
        <v>-1200000.0000000002</v>
      </c>
      <c r="E75" s="170">
        <f t="shared" si="8"/>
        <v>0</v>
      </c>
    </row>
    <row r="76" spans="1:5" x14ac:dyDescent="0.15">
      <c r="A76" s="168">
        <v>6002915</v>
      </c>
      <c r="B76" s="168">
        <v>2</v>
      </c>
      <c r="C76" s="186">
        <v>-2400000</v>
      </c>
      <c r="D76" s="169">
        <f t="shared" si="9"/>
        <v>-1199999.9999999988</v>
      </c>
      <c r="E76" s="170">
        <f t="shared" si="8"/>
        <v>0</v>
      </c>
    </row>
    <row r="77" spans="1:5" x14ac:dyDescent="0.15">
      <c r="A77" s="168">
        <v>6002915</v>
      </c>
      <c r="B77" s="168">
        <v>2.2000000000000002</v>
      </c>
      <c r="C77" s="186">
        <v>-2640000</v>
      </c>
      <c r="D77" s="169">
        <f t="shared" si="9"/>
        <v>-1200000.0000000016</v>
      </c>
      <c r="E77" s="170">
        <f t="shared" si="8"/>
        <v>3.7252902984619141E-9</v>
      </c>
    </row>
    <row r="78" spans="1:5" x14ac:dyDescent="0.15">
      <c r="A78" s="168">
        <v>6002915</v>
      </c>
      <c r="B78" s="168">
        <v>2.4</v>
      </c>
      <c r="C78" s="186">
        <v>-2880000</v>
      </c>
      <c r="D78" s="169">
        <f t="shared" si="9"/>
        <v>-1199999.9999999988</v>
      </c>
      <c r="E78" s="170">
        <f t="shared" si="8"/>
        <v>0</v>
      </c>
    </row>
    <row r="79" spans="1:5" x14ac:dyDescent="0.15">
      <c r="A79" s="168">
        <v>6002915</v>
      </c>
      <c r="B79" s="168">
        <v>2.6</v>
      </c>
      <c r="C79" s="186">
        <v>-3120000</v>
      </c>
      <c r="D79" s="169">
        <f t="shared" si="9"/>
        <v>-1200000.0000000016</v>
      </c>
      <c r="E79" s="170">
        <f t="shared" si="8"/>
        <v>4.1909515857696533E-9</v>
      </c>
    </row>
    <row r="80" spans="1:5" x14ac:dyDescent="0.15">
      <c r="A80" s="168">
        <v>6002915</v>
      </c>
      <c r="B80" s="168">
        <v>2.8</v>
      </c>
      <c r="C80" s="186">
        <v>-3360000</v>
      </c>
      <c r="D80" s="169">
        <f>(C81-C80)/(B81-B80)</f>
        <v>-33199999.99999997</v>
      </c>
      <c r="E80" s="170">
        <f t="shared" si="8"/>
        <v>89599999.999999911</v>
      </c>
    </row>
    <row r="81" spans="1:5" x14ac:dyDescent="0.15">
      <c r="A81" s="168">
        <v>6002915</v>
      </c>
      <c r="B81" s="168">
        <v>3</v>
      </c>
      <c r="C81" s="186">
        <v>-10000000</v>
      </c>
      <c r="D81" s="171">
        <v>0</v>
      </c>
      <c r="E81" s="172">
        <v>-10000000</v>
      </c>
    </row>
    <row r="84" spans="1:5" x14ac:dyDescent="0.15">
      <c r="A84" s="179"/>
    </row>
  </sheetData>
  <phoneticPr fontId="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C3" sqref="C3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58" t="s">
        <v>243</v>
      </c>
      <c r="B1" s="58" t="s">
        <v>244</v>
      </c>
      <c r="C1" s="58" t="s">
        <v>245</v>
      </c>
      <c r="D1" s="58" t="s">
        <v>246</v>
      </c>
      <c r="E1" s="100" t="s">
        <v>247</v>
      </c>
      <c r="F1" s="100" t="s">
        <v>248</v>
      </c>
      <c r="G1" s="100" t="s">
        <v>249</v>
      </c>
    </row>
    <row r="2" spans="1:7" x14ac:dyDescent="0.15">
      <c r="A2" s="57">
        <v>2901</v>
      </c>
      <c r="B2" s="57">
        <v>60029</v>
      </c>
      <c r="C2" s="57">
        <v>1</v>
      </c>
      <c r="D2" s="57">
        <v>10000000</v>
      </c>
      <c r="E2" s="57" t="s">
        <v>302</v>
      </c>
      <c r="F2" s="57" t="s">
        <v>303</v>
      </c>
      <c r="G2" s="57" t="s">
        <v>304</v>
      </c>
    </row>
    <row r="3" spans="1:7" x14ac:dyDescent="0.15">
      <c r="A3" s="57">
        <v>2902</v>
      </c>
      <c r="B3" s="57">
        <v>60029</v>
      </c>
      <c r="C3" s="57">
        <v>1</v>
      </c>
      <c r="D3" s="57">
        <v>8500000</v>
      </c>
      <c r="E3" s="57" t="s">
        <v>302</v>
      </c>
      <c r="F3" s="57" t="s">
        <v>305</v>
      </c>
      <c r="G3" s="57" t="s">
        <v>306</v>
      </c>
    </row>
    <row r="4" spans="1:7" x14ac:dyDescent="0.15">
      <c r="A4" s="57">
        <v>2903</v>
      </c>
      <c r="B4" s="57">
        <v>60029</v>
      </c>
      <c r="C4" s="57">
        <v>1</v>
      </c>
      <c r="D4" s="57">
        <v>7000000</v>
      </c>
      <c r="E4" s="57" t="s">
        <v>302</v>
      </c>
      <c r="F4" s="57" t="s">
        <v>307</v>
      </c>
      <c r="G4" s="57" t="s">
        <v>308</v>
      </c>
    </row>
    <row r="5" spans="1:7" x14ac:dyDescent="0.15">
      <c r="A5" s="57">
        <v>2904</v>
      </c>
      <c r="B5" s="57">
        <v>60029</v>
      </c>
      <c r="C5" s="57">
        <v>1</v>
      </c>
      <c r="D5" s="57">
        <v>5500000</v>
      </c>
      <c r="E5" s="57" t="s">
        <v>302</v>
      </c>
      <c r="F5" s="57" t="s">
        <v>309</v>
      </c>
      <c r="G5" s="57" t="s">
        <v>310</v>
      </c>
    </row>
    <row r="6" spans="1:7" x14ac:dyDescent="0.15">
      <c r="A6" s="57">
        <v>2905</v>
      </c>
      <c r="B6" s="57">
        <v>60029</v>
      </c>
      <c r="C6" s="57">
        <v>1</v>
      </c>
      <c r="D6" s="57">
        <v>4000000</v>
      </c>
      <c r="E6" s="57" t="s">
        <v>302</v>
      </c>
      <c r="F6" s="57" t="s">
        <v>311</v>
      </c>
      <c r="G6" s="57" t="s">
        <v>312</v>
      </c>
    </row>
    <row r="7" spans="1:7" x14ac:dyDescent="0.15">
      <c r="A7" s="57">
        <v>2906</v>
      </c>
      <c r="B7" s="57">
        <v>60029</v>
      </c>
      <c r="C7" s="57">
        <v>1</v>
      </c>
      <c r="D7" s="57">
        <v>3000000</v>
      </c>
      <c r="E7" s="57" t="s">
        <v>302</v>
      </c>
      <c r="F7" s="57" t="s">
        <v>313</v>
      </c>
      <c r="G7" s="57" t="s">
        <v>314</v>
      </c>
    </row>
    <row r="8" spans="1:7" x14ac:dyDescent="0.15">
      <c r="A8" s="57">
        <v>2907</v>
      </c>
      <c r="B8" s="57">
        <v>60029</v>
      </c>
      <c r="C8" s="57">
        <v>1</v>
      </c>
      <c r="D8" s="57">
        <v>2000000</v>
      </c>
      <c r="E8" s="57" t="s">
        <v>302</v>
      </c>
      <c r="F8" s="57" t="s">
        <v>315</v>
      </c>
      <c r="G8" s="57" t="s">
        <v>316</v>
      </c>
    </row>
    <row r="9" spans="1:7" x14ac:dyDescent="0.15">
      <c r="A9" s="57">
        <v>2908</v>
      </c>
      <c r="B9" s="57">
        <v>60029</v>
      </c>
      <c r="C9" s="57">
        <v>1</v>
      </c>
      <c r="D9" s="57">
        <v>0</v>
      </c>
      <c r="E9" s="57" t="s">
        <v>302</v>
      </c>
      <c r="F9" s="57" t="s">
        <v>317</v>
      </c>
      <c r="G9" s="57" t="s">
        <v>318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4"/>
  <sheetViews>
    <sheetView zoomScale="106" workbookViewId="0">
      <selection activeCell="H5" sqref="H5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2.33203125" bestFit="1" customWidth="1"/>
    <col min="20" max="20" width="7.5" bestFit="1" customWidth="1"/>
  </cols>
  <sheetData>
    <row r="1" spans="1:20" x14ac:dyDescent="0.15">
      <c r="A1" s="58" t="s">
        <v>280</v>
      </c>
      <c r="B1" s="58" t="s">
        <v>281</v>
      </c>
      <c r="C1" s="58" t="s">
        <v>282</v>
      </c>
      <c r="D1" s="58" t="s">
        <v>283</v>
      </c>
      <c r="E1" s="100" t="s">
        <v>284</v>
      </c>
      <c r="F1" s="90" t="s">
        <v>285</v>
      </c>
      <c r="G1" s="90" t="s">
        <v>286</v>
      </c>
      <c r="H1" s="90" t="s">
        <v>287</v>
      </c>
      <c r="I1" s="90" t="s">
        <v>288</v>
      </c>
      <c r="J1" s="90" t="s">
        <v>289</v>
      </c>
      <c r="K1" s="91" t="s">
        <v>290</v>
      </c>
      <c r="L1" s="91" t="s">
        <v>291</v>
      </c>
      <c r="M1" s="91" t="s">
        <v>292</v>
      </c>
      <c r="N1" s="91" t="s">
        <v>293</v>
      </c>
      <c r="O1" s="91" t="s">
        <v>294</v>
      </c>
      <c r="P1" s="91" t="s">
        <v>295</v>
      </c>
      <c r="Q1" s="91" t="s">
        <v>296</v>
      </c>
      <c r="R1" s="91" t="s">
        <v>297</v>
      </c>
      <c r="S1" s="91" t="s">
        <v>298</v>
      </c>
      <c r="T1" s="91" t="s">
        <v>299</v>
      </c>
    </row>
    <row r="2" spans="1:20" ht="42" x14ac:dyDescent="0.15">
      <c r="A2" s="109">
        <v>2901</v>
      </c>
      <c r="B2" s="109">
        <v>60029</v>
      </c>
      <c r="C2" s="109">
        <v>1</v>
      </c>
      <c r="D2" s="109">
        <v>10000000</v>
      </c>
      <c r="E2" s="110">
        <v>60029201</v>
      </c>
      <c r="F2" s="111" t="s">
        <v>319</v>
      </c>
      <c r="G2" s="111">
        <v>837</v>
      </c>
      <c r="H2" s="111">
        <v>1</v>
      </c>
      <c r="I2" s="111">
        <v>0</v>
      </c>
      <c r="J2" s="111">
        <v>0</v>
      </c>
      <c r="K2" s="111">
        <v>0</v>
      </c>
      <c r="L2" s="111">
        <v>0</v>
      </c>
      <c r="M2" s="111">
        <v>1</v>
      </c>
      <c r="N2" s="111">
        <v>1</v>
      </c>
      <c r="O2" s="111">
        <v>1</v>
      </c>
      <c r="P2" s="111" t="s">
        <v>320</v>
      </c>
      <c r="Q2" s="111" t="s">
        <v>321</v>
      </c>
      <c r="R2" s="111" t="s">
        <v>300</v>
      </c>
      <c r="S2" s="112" t="s">
        <v>322</v>
      </c>
      <c r="T2" s="57">
        <v>1</v>
      </c>
    </row>
    <row r="3" spans="1:20" ht="42" x14ac:dyDescent="0.15">
      <c r="A3" s="109">
        <v>2901</v>
      </c>
      <c r="B3" s="109">
        <v>60029</v>
      </c>
      <c r="C3" s="109">
        <v>1</v>
      </c>
      <c r="D3" s="109">
        <v>10000000</v>
      </c>
      <c r="E3" s="110">
        <v>60029202</v>
      </c>
      <c r="F3" s="111" t="s">
        <v>323</v>
      </c>
      <c r="G3" s="111">
        <v>1</v>
      </c>
      <c r="H3" s="111">
        <v>2</v>
      </c>
      <c r="I3" s="111">
        <v>0</v>
      </c>
      <c r="J3" s="111">
        <v>0</v>
      </c>
      <c r="K3" s="111">
        <v>0</v>
      </c>
      <c r="L3" s="111">
        <v>0</v>
      </c>
      <c r="M3" s="111">
        <v>1</v>
      </c>
      <c r="N3" s="111">
        <v>1</v>
      </c>
      <c r="O3" s="111">
        <v>1</v>
      </c>
      <c r="P3" s="111" t="s">
        <v>320</v>
      </c>
      <c r="Q3" s="111" t="s">
        <v>324</v>
      </c>
      <c r="R3" s="111" t="s">
        <v>300</v>
      </c>
      <c r="S3" s="112" t="s">
        <v>322</v>
      </c>
      <c r="T3" s="57">
        <v>1</v>
      </c>
    </row>
    <row r="4" spans="1:20" ht="42" x14ac:dyDescent="0.15">
      <c r="A4" s="109">
        <v>2901</v>
      </c>
      <c r="B4" s="109">
        <v>60029</v>
      </c>
      <c r="C4" s="109">
        <v>1</v>
      </c>
      <c r="D4" s="109">
        <v>10000000</v>
      </c>
      <c r="E4" s="110">
        <v>60029203</v>
      </c>
      <c r="F4" s="111" t="s">
        <v>319</v>
      </c>
      <c r="G4" s="111">
        <v>614</v>
      </c>
      <c r="H4" s="111">
        <v>1</v>
      </c>
      <c r="I4" s="111">
        <v>0</v>
      </c>
      <c r="J4" s="111">
        <v>0</v>
      </c>
      <c r="K4" s="111">
        <v>0</v>
      </c>
      <c r="L4" s="111">
        <v>0</v>
      </c>
      <c r="M4" s="111">
        <v>1</v>
      </c>
      <c r="N4" s="111">
        <v>1</v>
      </c>
      <c r="O4" s="111">
        <v>1</v>
      </c>
      <c r="P4" s="111" t="s">
        <v>320</v>
      </c>
      <c r="Q4" s="111" t="s">
        <v>301</v>
      </c>
      <c r="R4" s="111" t="s">
        <v>300</v>
      </c>
      <c r="S4" s="112" t="s">
        <v>322</v>
      </c>
      <c r="T4" s="57">
        <v>1</v>
      </c>
    </row>
    <row r="5" spans="1:20" ht="42" x14ac:dyDescent="0.15">
      <c r="A5" s="109">
        <v>2902</v>
      </c>
      <c r="B5" s="109">
        <v>60029</v>
      </c>
      <c r="C5" s="109">
        <v>1</v>
      </c>
      <c r="D5" s="109">
        <v>8500000</v>
      </c>
      <c r="E5" s="110">
        <v>60029204</v>
      </c>
      <c r="F5" s="111" t="s">
        <v>323</v>
      </c>
      <c r="G5" s="111">
        <v>600</v>
      </c>
      <c r="H5" s="111">
        <v>1</v>
      </c>
      <c r="I5" s="111">
        <v>0</v>
      </c>
      <c r="J5" s="111">
        <v>0</v>
      </c>
      <c r="K5" s="111">
        <v>0</v>
      </c>
      <c r="L5" s="111">
        <v>0</v>
      </c>
      <c r="M5" s="111">
        <v>1</v>
      </c>
      <c r="N5" s="111">
        <v>1</v>
      </c>
      <c r="O5" s="111">
        <v>1</v>
      </c>
      <c r="P5" s="111" t="s">
        <v>320</v>
      </c>
      <c r="Q5" s="111" t="s">
        <v>325</v>
      </c>
      <c r="R5" s="111" t="s">
        <v>300</v>
      </c>
      <c r="S5" s="112" t="s">
        <v>322</v>
      </c>
      <c r="T5" s="57">
        <v>1</v>
      </c>
    </row>
    <row r="6" spans="1:20" ht="42" x14ac:dyDescent="0.15">
      <c r="A6" s="109">
        <v>2903</v>
      </c>
      <c r="B6" s="109">
        <v>60029</v>
      </c>
      <c r="C6" s="109">
        <v>1</v>
      </c>
      <c r="D6" s="109">
        <v>7000000</v>
      </c>
      <c r="E6" s="110">
        <v>60029205</v>
      </c>
      <c r="F6" s="111" t="s">
        <v>326</v>
      </c>
      <c r="G6" s="111">
        <v>3</v>
      </c>
      <c r="H6" s="111" t="s">
        <v>327</v>
      </c>
      <c r="I6" s="111">
        <v>0</v>
      </c>
      <c r="J6" s="111">
        <v>0</v>
      </c>
      <c r="K6" s="111">
        <v>0</v>
      </c>
      <c r="L6" s="111">
        <v>0</v>
      </c>
      <c r="M6" s="111">
        <v>1</v>
      </c>
      <c r="N6" s="111">
        <v>1</v>
      </c>
      <c r="O6" s="111">
        <v>1</v>
      </c>
      <c r="P6" s="111" t="s">
        <v>320</v>
      </c>
      <c r="Q6" s="111" t="s">
        <v>328</v>
      </c>
      <c r="R6" s="111" t="s">
        <v>300</v>
      </c>
      <c r="S6" s="112" t="s">
        <v>322</v>
      </c>
      <c r="T6" s="57">
        <v>1</v>
      </c>
    </row>
    <row r="7" spans="1:20" ht="42" x14ac:dyDescent="0.15">
      <c r="A7" s="109">
        <v>2904</v>
      </c>
      <c r="B7" s="109">
        <v>60029</v>
      </c>
      <c r="C7" s="109">
        <v>1</v>
      </c>
      <c r="D7" s="109">
        <v>5500000</v>
      </c>
      <c r="E7" s="110">
        <v>60029206</v>
      </c>
      <c r="F7" s="111" t="s">
        <v>323</v>
      </c>
      <c r="G7" s="111">
        <v>4</v>
      </c>
      <c r="H7" s="111">
        <v>2</v>
      </c>
      <c r="I7" s="111">
        <v>0</v>
      </c>
      <c r="J7" s="111">
        <v>0</v>
      </c>
      <c r="K7" s="111">
        <v>0</v>
      </c>
      <c r="L7" s="111">
        <v>0</v>
      </c>
      <c r="M7" s="111">
        <v>1</v>
      </c>
      <c r="N7" s="111">
        <v>1</v>
      </c>
      <c r="O7" s="111">
        <v>1</v>
      </c>
      <c r="P7" s="111" t="s">
        <v>320</v>
      </c>
      <c r="Q7" s="111" t="s">
        <v>329</v>
      </c>
      <c r="R7" s="111" t="s">
        <v>300</v>
      </c>
      <c r="S7" s="112" t="s">
        <v>322</v>
      </c>
      <c r="T7" s="57">
        <v>1</v>
      </c>
    </row>
    <row r="8" spans="1:20" ht="42" x14ac:dyDescent="0.15">
      <c r="A8" s="109">
        <v>2905</v>
      </c>
      <c r="B8" s="109">
        <v>60029</v>
      </c>
      <c r="C8" s="109">
        <v>1</v>
      </c>
      <c r="D8" s="109">
        <v>4000000</v>
      </c>
      <c r="E8" s="110">
        <v>60029207</v>
      </c>
      <c r="F8" s="111" t="s">
        <v>323</v>
      </c>
      <c r="G8" s="111">
        <v>2</v>
      </c>
      <c r="H8" s="111">
        <v>2</v>
      </c>
      <c r="I8" s="111">
        <v>0</v>
      </c>
      <c r="J8" s="111">
        <v>0</v>
      </c>
      <c r="K8" s="111">
        <v>0</v>
      </c>
      <c r="L8" s="111">
        <v>0</v>
      </c>
      <c r="M8" s="111">
        <v>1</v>
      </c>
      <c r="N8" s="111">
        <v>1</v>
      </c>
      <c r="O8" s="111">
        <v>1</v>
      </c>
      <c r="P8" s="111" t="s">
        <v>320</v>
      </c>
      <c r="Q8" s="111" t="s">
        <v>330</v>
      </c>
      <c r="R8" s="111" t="s">
        <v>300</v>
      </c>
      <c r="S8" s="112" t="s">
        <v>322</v>
      </c>
      <c r="T8" s="57">
        <v>1</v>
      </c>
    </row>
    <row r="9" spans="1:20" ht="42" x14ac:dyDescent="0.15">
      <c r="A9" s="109">
        <v>2906</v>
      </c>
      <c r="B9" s="109">
        <v>60029</v>
      </c>
      <c r="C9" s="109">
        <v>1</v>
      </c>
      <c r="D9" s="57">
        <v>3000000</v>
      </c>
      <c r="E9" s="110">
        <v>60029208</v>
      </c>
      <c r="F9" s="111" t="s">
        <v>323</v>
      </c>
      <c r="G9" s="111">
        <v>3</v>
      </c>
      <c r="H9" s="111">
        <v>2</v>
      </c>
      <c r="I9" s="111">
        <v>0</v>
      </c>
      <c r="J9" s="111">
        <v>0</v>
      </c>
      <c r="K9" s="111">
        <v>0</v>
      </c>
      <c r="L9" s="111">
        <v>0</v>
      </c>
      <c r="M9" s="111">
        <v>1</v>
      </c>
      <c r="N9" s="111">
        <v>1</v>
      </c>
      <c r="O9" s="111">
        <v>1</v>
      </c>
      <c r="P9" s="111" t="s">
        <v>320</v>
      </c>
      <c r="Q9" s="111" t="s">
        <v>331</v>
      </c>
      <c r="R9" s="111" t="s">
        <v>300</v>
      </c>
      <c r="S9" s="112" t="s">
        <v>322</v>
      </c>
      <c r="T9" s="57">
        <v>1</v>
      </c>
    </row>
    <row r="10" spans="1:20" ht="42" x14ac:dyDescent="0.15">
      <c r="A10" s="109">
        <v>2907</v>
      </c>
      <c r="B10" s="109">
        <v>60029</v>
      </c>
      <c r="C10" s="109">
        <v>1</v>
      </c>
      <c r="D10" s="57">
        <v>2000000</v>
      </c>
      <c r="E10" s="110">
        <v>60029209</v>
      </c>
      <c r="F10" s="111" t="s">
        <v>326</v>
      </c>
      <c r="G10" s="111">
        <v>2</v>
      </c>
      <c r="H10" s="111" t="s">
        <v>327</v>
      </c>
      <c r="I10" s="111">
        <v>0</v>
      </c>
      <c r="J10" s="111">
        <v>0</v>
      </c>
      <c r="K10" s="111">
        <v>0</v>
      </c>
      <c r="L10" s="111">
        <v>0</v>
      </c>
      <c r="M10" s="111">
        <v>1</v>
      </c>
      <c r="N10" s="111">
        <v>1</v>
      </c>
      <c r="O10" s="111">
        <v>1</v>
      </c>
      <c r="P10" s="111" t="s">
        <v>320</v>
      </c>
      <c r="Q10" s="111" t="s">
        <v>332</v>
      </c>
      <c r="R10" s="111" t="s">
        <v>300</v>
      </c>
      <c r="S10" s="112" t="s">
        <v>322</v>
      </c>
      <c r="T10" s="57">
        <v>1</v>
      </c>
    </row>
    <row r="11" spans="1:20" ht="42" x14ac:dyDescent="0.15">
      <c r="A11" s="109">
        <v>2907</v>
      </c>
      <c r="B11" s="109">
        <v>60029</v>
      </c>
      <c r="C11" s="109">
        <v>1</v>
      </c>
      <c r="D11" s="57">
        <v>2000000</v>
      </c>
      <c r="E11" s="110">
        <v>60029210</v>
      </c>
      <c r="F11" s="111" t="s">
        <v>333</v>
      </c>
      <c r="G11" s="111">
        <v>200000</v>
      </c>
      <c r="H11" s="111" t="s">
        <v>327</v>
      </c>
      <c r="I11" s="111">
        <v>0</v>
      </c>
      <c r="J11" s="111">
        <v>0</v>
      </c>
      <c r="K11" s="111">
        <v>0</v>
      </c>
      <c r="L11" s="111">
        <v>0</v>
      </c>
      <c r="M11" s="111">
        <v>1</v>
      </c>
      <c r="N11" s="111">
        <v>1</v>
      </c>
      <c r="O11" s="111">
        <v>1</v>
      </c>
      <c r="P11" s="111" t="s">
        <v>320</v>
      </c>
      <c r="Q11" s="132" t="s">
        <v>334</v>
      </c>
      <c r="R11" s="111" t="s">
        <v>300</v>
      </c>
      <c r="S11" s="112" t="s">
        <v>322</v>
      </c>
      <c r="T11" s="57">
        <v>1</v>
      </c>
    </row>
    <row r="12" spans="1:20" ht="42" x14ac:dyDescent="0.15">
      <c r="A12" s="109">
        <v>2907</v>
      </c>
      <c r="B12" s="109">
        <v>60029</v>
      </c>
      <c r="C12" s="109">
        <v>1</v>
      </c>
      <c r="D12" s="57">
        <v>2000000</v>
      </c>
      <c r="E12" s="110">
        <v>60029211</v>
      </c>
      <c r="F12" s="111" t="s">
        <v>335</v>
      </c>
      <c r="G12" s="111">
        <v>2000</v>
      </c>
      <c r="H12" s="111" t="s">
        <v>327</v>
      </c>
      <c r="I12" s="111">
        <v>0</v>
      </c>
      <c r="J12" s="111">
        <v>0</v>
      </c>
      <c r="K12" s="111">
        <v>0</v>
      </c>
      <c r="L12" s="111">
        <v>0</v>
      </c>
      <c r="M12" s="111">
        <v>1</v>
      </c>
      <c r="N12" s="111">
        <v>1</v>
      </c>
      <c r="O12" s="111">
        <v>1</v>
      </c>
      <c r="P12" s="111" t="s">
        <v>320</v>
      </c>
      <c r="Q12" s="132" t="s">
        <v>336</v>
      </c>
      <c r="R12" s="111" t="s">
        <v>300</v>
      </c>
      <c r="S12" s="112" t="s">
        <v>322</v>
      </c>
      <c r="T12" s="57">
        <v>1</v>
      </c>
    </row>
    <row r="14" spans="1:20" x14ac:dyDescent="0.15">
      <c r="C14" s="133"/>
    </row>
  </sheetData>
  <phoneticPr fontId="9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A19" workbookViewId="0">
      <selection activeCell="I28" sqref="I28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1" t="s">
        <v>147</v>
      </c>
      <c r="B1" s="76" t="s">
        <v>16</v>
      </c>
      <c r="C1" s="76" t="s">
        <v>33</v>
      </c>
      <c r="D1" s="71" t="s">
        <v>207</v>
      </c>
      <c r="E1" s="71" t="s">
        <v>208</v>
      </c>
      <c r="F1" s="93" t="s">
        <v>217</v>
      </c>
      <c r="G1" s="89" t="s">
        <v>209</v>
      </c>
      <c r="H1" s="90" t="s">
        <v>210</v>
      </c>
      <c r="I1" s="90" t="s">
        <v>211</v>
      </c>
      <c r="J1" s="90" t="s">
        <v>212</v>
      </c>
      <c r="K1" s="90" t="s">
        <v>253</v>
      </c>
      <c r="L1" s="90" t="s">
        <v>254</v>
      </c>
      <c r="M1" s="91" t="s">
        <v>255</v>
      </c>
      <c r="N1" s="91" t="s">
        <v>256</v>
      </c>
      <c r="O1" s="91" t="s">
        <v>257</v>
      </c>
      <c r="P1" s="91" t="s">
        <v>259</v>
      </c>
      <c r="Q1" s="91" t="s">
        <v>260</v>
      </c>
      <c r="R1" s="91" t="s">
        <v>213</v>
      </c>
      <c r="S1" s="91" t="s">
        <v>214</v>
      </c>
      <c r="T1" s="91" t="s">
        <v>215</v>
      </c>
      <c r="U1" s="91" t="s">
        <v>216</v>
      </c>
    </row>
    <row r="2" spans="1:21" ht="28" x14ac:dyDescent="0.15">
      <c r="A2" s="80">
        <f>floors!$C$2</f>
        <v>60029</v>
      </c>
      <c r="B2" s="81" t="str">
        <f ca="1">VLOOKUP($A2,OFFSET([2]quests!$A$1,0,0,COUNTA([2]quests!$A:$A),MATCH(B$1,[2]quests!$1:$1,0)-MATCH($A$1,[2]quests!$1:$1,0)+1),MATCH(B$1,[2]quests!$1:$1,0)-MATCH($A$1,[2]quests!$1:$1,0)+1,FALSE)</f>
        <v xml:space="preserve">オイラーチャレンジ </v>
      </c>
      <c r="C2" s="81" t="str">
        <f ca="1">VLOOKUP($A2,OFFSET([2]quests!$A$1,0,0,COUNTA([2]quests!$A:$A),MATCH(C$1,[2]quests!$1:$1,0)-MATCH($A$1,[2]quests!$1:$1,0)+1),MATCH(C$1,[2]quests!$1:$1,0)-MATCH($A$1,[2]quests!$1:$1,0)+1,FALSE)</f>
        <v>ランキング1（3回目）</v>
      </c>
      <c r="D2" s="134">
        <v>1</v>
      </c>
      <c r="E2" s="135">
        <v>1</v>
      </c>
      <c r="F2" s="92" t="str">
        <f>A2&amp;TEXT(E2,"0000")</f>
        <v>600290001</v>
      </c>
      <c r="G2" t="str">
        <f>F2&amp;TEXT(COUNTIF(F$2:F2,F2),"00")</f>
        <v>60029000101</v>
      </c>
      <c r="H2" s="94" t="s">
        <v>337</v>
      </c>
      <c r="I2" s="94">
        <v>601</v>
      </c>
      <c r="J2" s="94">
        <v>1</v>
      </c>
      <c r="K2" s="94">
        <v>0</v>
      </c>
      <c r="L2" s="94">
        <v>0</v>
      </c>
      <c r="M2" s="94">
        <v>0</v>
      </c>
      <c r="N2" s="94">
        <v>0</v>
      </c>
      <c r="O2" s="94">
        <v>1</v>
      </c>
      <c r="P2" s="94">
        <v>1</v>
      </c>
      <c r="Q2" s="94">
        <v>1</v>
      </c>
      <c r="R2" s="94" t="s">
        <v>302</v>
      </c>
      <c r="S2" s="94" t="s">
        <v>338</v>
      </c>
      <c r="T2" s="94" t="s">
        <v>339</v>
      </c>
      <c r="U2" s="95" t="s">
        <v>340</v>
      </c>
    </row>
    <row r="3" spans="1:21" ht="28" x14ac:dyDescent="0.15">
      <c r="A3" s="80">
        <f>floors!$C$2</f>
        <v>60029</v>
      </c>
      <c r="B3" s="81" t="str">
        <f ca="1">VLOOKUP($A3,OFFSET([2]quests!$A$1,0,0,COUNTA([2]quests!$A:$A),MATCH(B$1,[2]quests!$1:$1,0)-MATCH($A$1,[2]quests!$1:$1,0)+1),MATCH(B$1,[2]quests!$1:$1,0)-MATCH($A$1,[2]quests!$1:$1,0)+1,FALSE)</f>
        <v xml:space="preserve">オイラーチャレンジ </v>
      </c>
      <c r="C3" s="81" t="str">
        <f ca="1">VLOOKUP($A3,OFFSET([2]quests!$A$1,0,0,COUNTA([2]quests!$A:$A),MATCH(C$1,[2]quests!$1:$1,0)-MATCH($A$1,[2]quests!$1:$1,0)+1),MATCH(C$1,[2]quests!$1:$1,0)-MATCH($A$1,[2]quests!$1:$1,0)+1,FALSE)</f>
        <v>ランキング1（3回目）</v>
      </c>
      <c r="D3" s="134">
        <v>1</v>
      </c>
      <c r="E3" s="135">
        <v>1</v>
      </c>
      <c r="F3" s="92" t="str">
        <f t="shared" ref="F3:F42" si="0">A3&amp;TEXT(E3,"0000")</f>
        <v>600290001</v>
      </c>
      <c r="G3" t="str">
        <f>F3&amp;TEXT(COUNTIF(F$2:F3,F3),"00")</f>
        <v>60029000102</v>
      </c>
      <c r="H3" s="94" t="s">
        <v>337</v>
      </c>
      <c r="I3" s="94">
        <v>600</v>
      </c>
      <c r="J3" s="94">
        <v>2</v>
      </c>
      <c r="K3" s="94">
        <v>0</v>
      </c>
      <c r="L3" s="94">
        <v>0</v>
      </c>
      <c r="M3" s="94">
        <v>0</v>
      </c>
      <c r="N3" s="94">
        <v>0</v>
      </c>
      <c r="O3" s="94">
        <v>1</v>
      </c>
      <c r="P3" s="94">
        <v>1</v>
      </c>
      <c r="Q3" s="94">
        <v>1</v>
      </c>
      <c r="R3" s="94" t="s">
        <v>302</v>
      </c>
      <c r="S3" s="94" t="s">
        <v>341</v>
      </c>
      <c r="T3" s="94" t="s">
        <v>339</v>
      </c>
      <c r="U3" s="95" t="s">
        <v>340</v>
      </c>
    </row>
    <row r="4" spans="1:21" ht="28" x14ac:dyDescent="0.15">
      <c r="A4" s="80">
        <f>floors!$C$2</f>
        <v>60029</v>
      </c>
      <c r="B4" s="81" t="str">
        <f ca="1">VLOOKUP($A4,OFFSET([2]quests!$A$1,0,0,COUNTA([2]quests!$A:$A),MATCH(B$1,[2]quests!$1:$1,0)-MATCH($A$1,[2]quests!$1:$1,0)+1),MATCH(B$1,[2]quests!$1:$1,0)-MATCH($A$1,[2]quests!$1:$1,0)+1,FALSE)</f>
        <v xml:space="preserve">オイラーチャレンジ </v>
      </c>
      <c r="C4" s="81" t="str">
        <f ca="1">VLOOKUP($A4,OFFSET([2]quests!$A$1,0,0,COUNTA([2]quests!$A:$A),MATCH(C$1,[2]quests!$1:$1,0)-MATCH($A$1,[2]quests!$1:$1,0)+1),MATCH(C$1,[2]quests!$1:$1,0)-MATCH($A$1,[2]quests!$1:$1,0)+1,FALSE)</f>
        <v>ランキング1（3回目）</v>
      </c>
      <c r="D4" s="134">
        <v>1</v>
      </c>
      <c r="E4" s="135">
        <v>1</v>
      </c>
      <c r="F4" s="92" t="str">
        <f t="shared" si="0"/>
        <v>600290001</v>
      </c>
      <c r="G4" t="str">
        <f>F4&amp;TEXT(COUNTIF(F$2:F4,F4),"00")</f>
        <v>60029000103</v>
      </c>
      <c r="H4" s="94" t="s">
        <v>342</v>
      </c>
      <c r="I4" s="94">
        <v>10</v>
      </c>
      <c r="J4" s="94" t="s">
        <v>343</v>
      </c>
      <c r="K4" s="94">
        <v>0</v>
      </c>
      <c r="L4" s="94">
        <v>0</v>
      </c>
      <c r="M4" s="94">
        <v>0</v>
      </c>
      <c r="N4" s="94">
        <v>0</v>
      </c>
      <c r="O4" s="94">
        <v>1</v>
      </c>
      <c r="P4" s="94">
        <v>1</v>
      </c>
      <c r="Q4" s="94">
        <v>1</v>
      </c>
      <c r="R4" s="94" t="s">
        <v>302</v>
      </c>
      <c r="S4" s="94" t="s">
        <v>344</v>
      </c>
      <c r="T4" s="94" t="s">
        <v>339</v>
      </c>
      <c r="U4" s="95" t="s">
        <v>340</v>
      </c>
    </row>
    <row r="5" spans="1:21" ht="28" x14ac:dyDescent="0.15">
      <c r="A5" s="80">
        <f>floors!$C$2</f>
        <v>60029</v>
      </c>
      <c r="B5" s="81" t="str">
        <f ca="1">VLOOKUP($A5,OFFSET([2]quests!$A$1,0,0,COUNTA([2]quests!$A:$A),MATCH(B$1,[2]quests!$1:$1,0)-MATCH($A$1,[2]quests!$1:$1,0)+1),MATCH(B$1,[2]quests!$1:$1,0)-MATCH($A$1,[2]quests!$1:$1,0)+1,FALSE)</f>
        <v xml:space="preserve">オイラーチャレンジ </v>
      </c>
      <c r="C5" s="81" t="str">
        <f ca="1">VLOOKUP($A5,OFFSET([2]quests!$A$1,0,0,COUNTA([2]quests!$A:$A),MATCH(C$1,[2]quests!$1:$1,0)-MATCH($A$1,[2]quests!$1:$1,0)+1),MATCH(C$1,[2]quests!$1:$1,0)-MATCH($A$1,[2]quests!$1:$1,0)+1,FALSE)</f>
        <v>ランキング1（3回目）</v>
      </c>
      <c r="D5" s="134">
        <v>1</v>
      </c>
      <c r="E5" s="135">
        <v>1</v>
      </c>
      <c r="F5" s="92" t="str">
        <f t="shared" si="0"/>
        <v>600290001</v>
      </c>
      <c r="G5" t="str">
        <f>F5&amp;TEXT(COUNTIF(F$2:F5,F5),"00")</f>
        <v>60029000104</v>
      </c>
      <c r="H5" s="94" t="s">
        <v>345</v>
      </c>
      <c r="I5" s="94">
        <v>837</v>
      </c>
      <c r="J5" s="94">
        <v>1</v>
      </c>
      <c r="K5" s="94">
        <v>0</v>
      </c>
      <c r="L5" s="94">
        <v>0</v>
      </c>
      <c r="M5" s="94">
        <v>0</v>
      </c>
      <c r="N5" s="94">
        <v>0</v>
      </c>
      <c r="O5" s="94">
        <v>1</v>
      </c>
      <c r="P5" s="94">
        <v>1</v>
      </c>
      <c r="Q5" s="94">
        <v>1</v>
      </c>
      <c r="R5" s="94" t="s">
        <v>302</v>
      </c>
      <c r="S5" s="94" t="s">
        <v>346</v>
      </c>
      <c r="T5" s="94" t="s">
        <v>339</v>
      </c>
      <c r="U5" s="95" t="s">
        <v>340</v>
      </c>
    </row>
    <row r="6" spans="1:21" ht="28" x14ac:dyDescent="0.15">
      <c r="A6" s="80">
        <f>floors!$C$2</f>
        <v>60029</v>
      </c>
      <c r="B6" s="81" t="str">
        <f ca="1">VLOOKUP($A6,OFFSET([2]quests!$A$1,0,0,COUNTA([2]quests!$A:$A),MATCH(B$1,[2]quests!$1:$1,0)-MATCH($A$1,[2]quests!$1:$1,0)+1),MATCH(B$1,[2]quests!$1:$1,0)-MATCH($A$1,[2]quests!$1:$1,0)+1,FALSE)</f>
        <v xml:space="preserve">オイラーチャレンジ </v>
      </c>
      <c r="C6" s="81" t="str">
        <f ca="1">VLOOKUP($A6,OFFSET([2]quests!$A$1,0,0,COUNTA([2]quests!$A:$A),MATCH(C$1,[2]quests!$1:$1,0)-MATCH($A$1,[2]quests!$1:$1,0)+1),MATCH(C$1,[2]quests!$1:$1,0)-MATCH($A$1,[2]quests!$1:$1,0)+1,FALSE)</f>
        <v>ランキング1（3回目）</v>
      </c>
      <c r="D6" s="134">
        <v>1</v>
      </c>
      <c r="E6" s="135">
        <v>1</v>
      </c>
      <c r="F6" s="92" t="str">
        <f t="shared" si="0"/>
        <v>600290001</v>
      </c>
      <c r="G6" t="str">
        <f>F6&amp;TEXT(COUNTIF(F$2:F6,F6),"00")</f>
        <v>60029000105</v>
      </c>
      <c r="H6" s="94" t="s">
        <v>345</v>
      </c>
      <c r="I6" s="94">
        <v>614</v>
      </c>
      <c r="J6" s="94">
        <v>1</v>
      </c>
      <c r="K6" s="94">
        <v>0</v>
      </c>
      <c r="L6" s="94">
        <v>0</v>
      </c>
      <c r="M6" s="94">
        <v>0</v>
      </c>
      <c r="N6" s="94">
        <v>0</v>
      </c>
      <c r="O6" s="94">
        <v>1</v>
      </c>
      <c r="P6" s="94">
        <v>1</v>
      </c>
      <c r="Q6" s="94">
        <v>1</v>
      </c>
      <c r="R6" s="94" t="s">
        <v>302</v>
      </c>
      <c r="S6" s="94" t="s">
        <v>347</v>
      </c>
      <c r="T6" s="94" t="s">
        <v>339</v>
      </c>
      <c r="U6" s="95" t="s">
        <v>340</v>
      </c>
    </row>
    <row r="7" spans="1:21" ht="28" x14ac:dyDescent="0.15">
      <c r="A7" s="80">
        <f>floors!$C$2</f>
        <v>60029</v>
      </c>
      <c r="B7" s="81" t="str">
        <f ca="1">VLOOKUP($A7,OFFSET([2]quests!$A$1,0,0,COUNTA([2]quests!$A:$A),MATCH(B$1,[2]quests!$1:$1,0)-MATCH($A$1,[2]quests!$1:$1,0)+1),MATCH(B$1,[2]quests!$1:$1,0)-MATCH($A$1,[2]quests!$1:$1,0)+1,FALSE)</f>
        <v xml:space="preserve">オイラーチャレンジ </v>
      </c>
      <c r="C7" s="81" t="str">
        <f ca="1">VLOOKUP($A7,OFFSET([2]quests!$A$1,0,0,COUNTA([2]quests!$A:$A),MATCH(C$1,[2]quests!$1:$1,0)-MATCH($A$1,[2]quests!$1:$1,0)+1),MATCH(C$1,[2]quests!$1:$1,0)-MATCH($A$1,[2]quests!$1:$1,0)+1,FALSE)</f>
        <v>ランキング1（3回目）</v>
      </c>
      <c r="D7" s="134">
        <v>2</v>
      </c>
      <c r="E7" s="135">
        <v>2</v>
      </c>
      <c r="F7" s="92" t="str">
        <f t="shared" si="0"/>
        <v>600290002</v>
      </c>
      <c r="G7" t="str">
        <f>F7&amp;TEXT(COUNTIF(F$2:F7,F7),"00")</f>
        <v>60029000201</v>
      </c>
      <c r="H7" s="94" t="s">
        <v>337</v>
      </c>
      <c r="I7" s="94">
        <v>601</v>
      </c>
      <c r="J7" s="94">
        <v>1</v>
      </c>
      <c r="K7" s="94">
        <v>0</v>
      </c>
      <c r="L7" s="94">
        <v>0</v>
      </c>
      <c r="M7" s="94">
        <v>0</v>
      </c>
      <c r="N7" s="94">
        <v>0</v>
      </c>
      <c r="O7" s="94">
        <v>1</v>
      </c>
      <c r="P7" s="94">
        <v>1</v>
      </c>
      <c r="Q7" s="94">
        <v>1</v>
      </c>
      <c r="R7" s="94" t="s">
        <v>302</v>
      </c>
      <c r="S7" s="94" t="s">
        <v>338</v>
      </c>
      <c r="T7" s="94" t="s">
        <v>339</v>
      </c>
      <c r="U7" s="95" t="s">
        <v>340</v>
      </c>
    </row>
    <row r="8" spans="1:21" ht="28" x14ac:dyDescent="0.15">
      <c r="A8" s="80">
        <f>floors!$C$2</f>
        <v>60029</v>
      </c>
      <c r="B8" s="81" t="str">
        <f ca="1">VLOOKUP($A8,OFFSET([2]quests!$A$1,0,0,COUNTA([2]quests!$A:$A),MATCH(B$1,[2]quests!$1:$1,0)-MATCH($A$1,[2]quests!$1:$1,0)+1),MATCH(B$1,[2]quests!$1:$1,0)-MATCH($A$1,[2]quests!$1:$1,0)+1,FALSE)</f>
        <v xml:space="preserve">オイラーチャレンジ </v>
      </c>
      <c r="C8" s="81" t="str">
        <f ca="1">VLOOKUP($A8,OFFSET([2]quests!$A$1,0,0,COUNTA([2]quests!$A:$A),MATCH(C$1,[2]quests!$1:$1,0)-MATCH($A$1,[2]quests!$1:$1,0)+1),MATCH(C$1,[2]quests!$1:$1,0)-MATCH($A$1,[2]quests!$1:$1,0)+1,FALSE)</f>
        <v>ランキング1（3回目）</v>
      </c>
      <c r="D8" s="134">
        <v>2</v>
      </c>
      <c r="E8" s="135">
        <v>2</v>
      </c>
      <c r="F8" s="92" t="str">
        <f t="shared" si="0"/>
        <v>600290002</v>
      </c>
      <c r="G8" t="str">
        <f>F8&amp;TEXT(COUNTIF(F$2:F8,F8),"00")</f>
        <v>60029000202</v>
      </c>
      <c r="H8" s="94" t="s">
        <v>337</v>
      </c>
      <c r="I8" s="94">
        <v>600</v>
      </c>
      <c r="J8" s="94">
        <v>1</v>
      </c>
      <c r="K8" s="94">
        <v>0</v>
      </c>
      <c r="L8" s="94">
        <v>0</v>
      </c>
      <c r="M8" s="94">
        <v>0</v>
      </c>
      <c r="N8" s="94">
        <v>0</v>
      </c>
      <c r="O8" s="94">
        <v>1</v>
      </c>
      <c r="P8" s="94">
        <v>1</v>
      </c>
      <c r="Q8" s="94">
        <v>1</v>
      </c>
      <c r="R8" s="94" t="s">
        <v>302</v>
      </c>
      <c r="S8" s="94" t="s">
        <v>348</v>
      </c>
      <c r="T8" s="94" t="s">
        <v>339</v>
      </c>
      <c r="U8" s="95" t="s">
        <v>340</v>
      </c>
    </row>
    <row r="9" spans="1:21" ht="28" x14ac:dyDescent="0.15">
      <c r="A9" s="80">
        <f>floors!$C$2</f>
        <v>60029</v>
      </c>
      <c r="B9" s="81" t="str">
        <f ca="1">VLOOKUP($A9,OFFSET([2]quests!$A$1,0,0,COUNTA([2]quests!$A:$A),MATCH(B$1,[2]quests!$1:$1,0)-MATCH($A$1,[2]quests!$1:$1,0)+1),MATCH(B$1,[2]quests!$1:$1,0)-MATCH($A$1,[2]quests!$1:$1,0)+1,FALSE)</f>
        <v xml:space="preserve">オイラーチャレンジ </v>
      </c>
      <c r="C9" s="81" t="str">
        <f ca="1">VLOOKUP($A9,OFFSET([2]quests!$A$1,0,0,COUNTA([2]quests!$A:$A),MATCH(C$1,[2]quests!$1:$1,0)-MATCH($A$1,[2]quests!$1:$1,0)+1),MATCH(C$1,[2]quests!$1:$1,0)-MATCH($A$1,[2]quests!$1:$1,0)+1,FALSE)</f>
        <v>ランキング1（3回目）</v>
      </c>
      <c r="D9" s="134">
        <v>2</v>
      </c>
      <c r="E9" s="135">
        <v>2</v>
      </c>
      <c r="F9" s="92" t="str">
        <f t="shared" si="0"/>
        <v>600290002</v>
      </c>
      <c r="G9" t="str">
        <f>F9&amp;TEXT(COUNTIF(F$2:F9,F9),"00")</f>
        <v>60029000203</v>
      </c>
      <c r="H9" s="94" t="s">
        <v>342</v>
      </c>
      <c r="I9" s="94">
        <v>5</v>
      </c>
      <c r="J9" s="94" t="s">
        <v>343</v>
      </c>
      <c r="K9" s="94">
        <v>0</v>
      </c>
      <c r="L9" s="94">
        <v>0</v>
      </c>
      <c r="M9" s="94">
        <v>0</v>
      </c>
      <c r="N9" s="94">
        <v>0</v>
      </c>
      <c r="O9" s="94">
        <v>1</v>
      </c>
      <c r="P9" s="94">
        <v>1</v>
      </c>
      <c r="Q9" s="94">
        <v>1</v>
      </c>
      <c r="R9" s="94" t="s">
        <v>302</v>
      </c>
      <c r="S9" s="94" t="s">
        <v>349</v>
      </c>
      <c r="T9" s="94" t="s">
        <v>339</v>
      </c>
      <c r="U9" s="95" t="s">
        <v>340</v>
      </c>
    </row>
    <row r="10" spans="1:21" ht="28" x14ac:dyDescent="0.15">
      <c r="A10" s="80">
        <f>floors!$C$2</f>
        <v>60029</v>
      </c>
      <c r="B10" s="81" t="str">
        <f ca="1">VLOOKUP($A10,OFFSET([2]quests!$A$1,0,0,COUNTA([2]quests!$A:$A),MATCH(B$1,[2]quests!$1:$1,0)-MATCH($A$1,[2]quests!$1:$1,0)+1),MATCH(B$1,[2]quests!$1:$1,0)-MATCH($A$1,[2]quests!$1:$1,0)+1,FALSE)</f>
        <v xml:space="preserve">オイラーチャレンジ </v>
      </c>
      <c r="C10" s="81" t="str">
        <f ca="1">VLOOKUP($A10,OFFSET([2]quests!$A$1,0,0,COUNTA([2]quests!$A:$A),MATCH(C$1,[2]quests!$1:$1,0)-MATCH($A$1,[2]quests!$1:$1,0)+1),MATCH(C$1,[2]quests!$1:$1,0)-MATCH($A$1,[2]quests!$1:$1,0)+1,FALSE)</f>
        <v>ランキング1（3回目）</v>
      </c>
      <c r="D10" s="134">
        <v>2</v>
      </c>
      <c r="E10" s="135">
        <v>2</v>
      </c>
      <c r="F10" s="92" t="str">
        <f t="shared" si="0"/>
        <v>600290002</v>
      </c>
      <c r="G10" t="str">
        <f>F10&amp;TEXT(COUNTIF(F$2:F10,F10),"00")</f>
        <v>60029000204</v>
      </c>
      <c r="H10" s="94" t="s">
        <v>345</v>
      </c>
      <c r="I10" s="94">
        <v>610</v>
      </c>
      <c r="J10" s="94">
        <v>1</v>
      </c>
      <c r="K10" s="94">
        <v>0</v>
      </c>
      <c r="L10" s="94">
        <v>0</v>
      </c>
      <c r="M10" s="94">
        <v>0</v>
      </c>
      <c r="N10" s="94">
        <v>0</v>
      </c>
      <c r="O10" s="94">
        <v>1</v>
      </c>
      <c r="P10" s="94">
        <v>1</v>
      </c>
      <c r="Q10" s="94">
        <v>1</v>
      </c>
      <c r="R10" s="94" t="s">
        <v>302</v>
      </c>
      <c r="S10" s="94" t="s">
        <v>350</v>
      </c>
      <c r="T10" s="94" t="s">
        <v>339</v>
      </c>
      <c r="U10" s="95" t="s">
        <v>340</v>
      </c>
    </row>
    <row r="11" spans="1:21" ht="28" x14ac:dyDescent="0.15">
      <c r="A11" s="80">
        <f>floors!$C$2</f>
        <v>60029</v>
      </c>
      <c r="B11" s="81" t="str">
        <f ca="1">VLOOKUP($A11,OFFSET([2]quests!$A$1,0,0,COUNTA([2]quests!$A:$A),MATCH(B$1,[2]quests!$1:$1,0)-MATCH($A$1,[2]quests!$1:$1,0)+1),MATCH(B$1,[2]quests!$1:$1,0)-MATCH($A$1,[2]quests!$1:$1,0)+1,FALSE)</f>
        <v xml:space="preserve">オイラーチャレンジ </v>
      </c>
      <c r="C11" s="81" t="str">
        <f ca="1">VLOOKUP($A11,OFFSET([2]quests!$A$1,0,0,COUNTA([2]quests!$A:$A),MATCH(C$1,[2]quests!$1:$1,0)-MATCH($A$1,[2]quests!$1:$1,0)+1),MATCH(C$1,[2]quests!$1:$1,0)-MATCH($A$1,[2]quests!$1:$1,0)+1,FALSE)</f>
        <v>ランキング1（3回目）</v>
      </c>
      <c r="D11" s="134">
        <v>2</v>
      </c>
      <c r="E11" s="135">
        <v>2</v>
      </c>
      <c r="F11" s="92" t="str">
        <f t="shared" si="0"/>
        <v>600290002</v>
      </c>
      <c r="G11" t="str">
        <f>F11&amp;TEXT(COUNTIF(F$2:F11,F11),"00")</f>
        <v>60029000205</v>
      </c>
      <c r="H11" s="94" t="s">
        <v>337</v>
      </c>
      <c r="I11" s="94">
        <v>1</v>
      </c>
      <c r="J11" s="94">
        <v>3</v>
      </c>
      <c r="K11" s="94">
        <v>0</v>
      </c>
      <c r="L11" s="94">
        <v>0</v>
      </c>
      <c r="M11" s="94">
        <v>0</v>
      </c>
      <c r="N11" s="94">
        <v>0</v>
      </c>
      <c r="O11" s="94">
        <v>1</v>
      </c>
      <c r="P11" s="94">
        <v>1</v>
      </c>
      <c r="Q11" s="94">
        <v>1</v>
      </c>
      <c r="R11" s="94" t="s">
        <v>302</v>
      </c>
      <c r="S11" s="94" t="s">
        <v>351</v>
      </c>
      <c r="T11" s="94" t="s">
        <v>339</v>
      </c>
      <c r="U11" s="95" t="s">
        <v>340</v>
      </c>
    </row>
    <row r="12" spans="1:21" ht="28" x14ac:dyDescent="0.15">
      <c r="A12" s="80">
        <f>floors!$C$2</f>
        <v>60029</v>
      </c>
      <c r="B12" s="81" t="str">
        <f ca="1">VLOOKUP($A12,OFFSET([2]quests!$A$1,0,0,COUNTA([2]quests!$A:$A),MATCH(B$1,[2]quests!$1:$1,0)-MATCH($A$1,[2]quests!$1:$1,0)+1),MATCH(B$1,[2]quests!$1:$1,0)-MATCH($A$1,[2]quests!$1:$1,0)+1,FALSE)</f>
        <v xml:space="preserve">オイラーチャレンジ </v>
      </c>
      <c r="C12" s="81" t="str">
        <f ca="1">VLOOKUP($A12,OFFSET([2]quests!$A$1,0,0,COUNTA([2]quests!$A:$A),MATCH(C$1,[2]quests!$1:$1,0)-MATCH($A$1,[2]quests!$1:$1,0)+1),MATCH(C$1,[2]quests!$1:$1,0)-MATCH($A$1,[2]quests!$1:$1,0)+1,FALSE)</f>
        <v>ランキング1（3回目）</v>
      </c>
      <c r="D12" s="134">
        <v>3</v>
      </c>
      <c r="E12" s="135">
        <v>3</v>
      </c>
      <c r="F12" s="92" t="str">
        <f t="shared" si="0"/>
        <v>600290003</v>
      </c>
      <c r="G12" t="str">
        <f>F12&amp;TEXT(COUNTIF(F$2:F12,F12),"00")</f>
        <v>60029000301</v>
      </c>
      <c r="H12" s="94" t="s">
        <v>337</v>
      </c>
      <c r="I12" s="94">
        <v>600</v>
      </c>
      <c r="J12" s="94">
        <v>3</v>
      </c>
      <c r="K12" s="94">
        <v>0</v>
      </c>
      <c r="L12" s="94">
        <v>0</v>
      </c>
      <c r="M12" s="94">
        <v>0</v>
      </c>
      <c r="N12" s="94">
        <v>0</v>
      </c>
      <c r="O12" s="94">
        <v>1</v>
      </c>
      <c r="P12" s="94">
        <v>1</v>
      </c>
      <c r="Q12" s="94">
        <v>1</v>
      </c>
      <c r="R12" s="94" t="s">
        <v>302</v>
      </c>
      <c r="S12" s="94" t="s">
        <v>352</v>
      </c>
      <c r="T12" s="94" t="s">
        <v>339</v>
      </c>
      <c r="U12" s="95" t="s">
        <v>340</v>
      </c>
    </row>
    <row r="13" spans="1:21" ht="28" x14ac:dyDescent="0.15">
      <c r="A13" s="80">
        <f>floors!$C$2</f>
        <v>60029</v>
      </c>
      <c r="B13" s="81" t="str">
        <f ca="1">VLOOKUP($A13,OFFSET([2]quests!$A$1,0,0,COUNTA([2]quests!$A:$A),MATCH(B$1,[2]quests!$1:$1,0)-MATCH($A$1,[2]quests!$1:$1,0)+1),MATCH(B$1,[2]quests!$1:$1,0)-MATCH($A$1,[2]quests!$1:$1,0)+1,FALSE)</f>
        <v xml:space="preserve">オイラーチャレンジ </v>
      </c>
      <c r="C13" s="81" t="str">
        <f ca="1">VLOOKUP($A13,OFFSET([2]quests!$A$1,0,0,COUNTA([2]quests!$A:$A),MATCH(C$1,[2]quests!$1:$1,0)-MATCH($A$1,[2]quests!$1:$1,0)+1),MATCH(C$1,[2]quests!$1:$1,0)-MATCH($A$1,[2]quests!$1:$1,0)+1,FALSE)</f>
        <v>ランキング1（3回目）</v>
      </c>
      <c r="D13" s="134">
        <v>3</v>
      </c>
      <c r="E13" s="135">
        <v>3</v>
      </c>
      <c r="F13" s="92" t="str">
        <f t="shared" si="0"/>
        <v>600290003</v>
      </c>
      <c r="G13" t="str">
        <f>F13&amp;TEXT(COUNTIF(F$2:F13,F13),"00")</f>
        <v>60029000302</v>
      </c>
      <c r="H13" s="94" t="s">
        <v>345</v>
      </c>
      <c r="I13" s="94">
        <v>335</v>
      </c>
      <c r="J13" s="94">
        <v>1</v>
      </c>
      <c r="K13" s="94">
        <v>0</v>
      </c>
      <c r="L13" s="94">
        <v>0</v>
      </c>
      <c r="M13" s="94">
        <v>0</v>
      </c>
      <c r="N13" s="94">
        <v>0</v>
      </c>
      <c r="O13" s="94">
        <v>1</v>
      </c>
      <c r="P13" s="94">
        <v>1</v>
      </c>
      <c r="Q13" s="94">
        <v>1</v>
      </c>
      <c r="R13" s="94" t="s">
        <v>302</v>
      </c>
      <c r="S13" s="94" t="s">
        <v>353</v>
      </c>
      <c r="T13" s="94" t="s">
        <v>339</v>
      </c>
      <c r="U13" s="95" t="s">
        <v>340</v>
      </c>
    </row>
    <row r="14" spans="1:21" ht="28" x14ac:dyDescent="0.15">
      <c r="A14" s="80">
        <f>floors!$C$2</f>
        <v>60029</v>
      </c>
      <c r="B14" s="81" t="str">
        <f ca="1">VLOOKUP($A14,OFFSET([2]quests!$A$1,0,0,COUNTA([2]quests!$A:$A),MATCH(B$1,[2]quests!$1:$1,0)-MATCH($A$1,[2]quests!$1:$1,0)+1),MATCH(B$1,[2]quests!$1:$1,0)-MATCH($A$1,[2]quests!$1:$1,0)+1,FALSE)</f>
        <v xml:space="preserve">オイラーチャレンジ </v>
      </c>
      <c r="C14" s="81" t="str">
        <f ca="1">VLOOKUP($A14,OFFSET([2]quests!$A$1,0,0,COUNTA([2]quests!$A:$A),MATCH(C$1,[2]quests!$1:$1,0)-MATCH($A$1,[2]quests!$1:$1,0)+1),MATCH(C$1,[2]quests!$1:$1,0)-MATCH($A$1,[2]quests!$1:$1,0)+1,FALSE)</f>
        <v>ランキング1（3回目）</v>
      </c>
      <c r="D14" s="134">
        <v>3</v>
      </c>
      <c r="E14" s="135">
        <v>3</v>
      </c>
      <c r="F14" s="92" t="str">
        <f t="shared" si="0"/>
        <v>600290003</v>
      </c>
      <c r="G14" t="str">
        <f>F14&amp;TEXT(COUNTIF(F$2:F14,F14),"00")</f>
        <v>60029000303</v>
      </c>
      <c r="H14" s="94" t="s">
        <v>345</v>
      </c>
      <c r="I14" s="94">
        <v>339</v>
      </c>
      <c r="J14" s="94">
        <v>1</v>
      </c>
      <c r="K14" s="94">
        <v>0</v>
      </c>
      <c r="L14" s="94">
        <v>0</v>
      </c>
      <c r="M14" s="94">
        <v>0</v>
      </c>
      <c r="N14" s="94">
        <v>0</v>
      </c>
      <c r="O14" s="94">
        <v>1</v>
      </c>
      <c r="P14" s="94">
        <v>1</v>
      </c>
      <c r="Q14" s="94">
        <v>1</v>
      </c>
      <c r="R14" s="94" t="s">
        <v>302</v>
      </c>
      <c r="S14" s="94" t="s">
        <v>354</v>
      </c>
      <c r="T14" s="94" t="s">
        <v>339</v>
      </c>
      <c r="U14" s="95" t="s">
        <v>340</v>
      </c>
    </row>
    <row r="15" spans="1:21" ht="28" x14ac:dyDescent="0.15">
      <c r="A15" s="80">
        <f>floors!$C$2</f>
        <v>60029</v>
      </c>
      <c r="B15" s="81" t="str">
        <f ca="1">VLOOKUP($A15,OFFSET([2]quests!$A$1,0,0,COUNTA([2]quests!$A:$A),MATCH(B$1,[2]quests!$1:$1,0)-MATCH($A$1,[2]quests!$1:$1,0)+1),MATCH(B$1,[2]quests!$1:$1,0)-MATCH($A$1,[2]quests!$1:$1,0)+1,FALSE)</f>
        <v xml:space="preserve">オイラーチャレンジ </v>
      </c>
      <c r="C15" s="81" t="str">
        <f ca="1">VLOOKUP($A15,OFFSET([2]quests!$A$1,0,0,COUNTA([2]quests!$A:$A),MATCH(C$1,[2]quests!$1:$1,0)-MATCH($A$1,[2]quests!$1:$1,0)+1),MATCH(C$1,[2]quests!$1:$1,0)-MATCH($A$1,[2]quests!$1:$1,0)+1,FALSE)</f>
        <v>ランキング1（3回目）</v>
      </c>
      <c r="D15" s="134">
        <v>3</v>
      </c>
      <c r="E15" s="135">
        <v>3</v>
      </c>
      <c r="F15" s="92" t="str">
        <f t="shared" si="0"/>
        <v>600290003</v>
      </c>
      <c r="G15" t="str">
        <f>F15&amp;TEXT(COUNTIF(F$2:F15,F15),"00")</f>
        <v>60029000304</v>
      </c>
      <c r="H15" s="94" t="s">
        <v>345</v>
      </c>
      <c r="I15" s="94">
        <v>343</v>
      </c>
      <c r="J15" s="94">
        <v>1</v>
      </c>
      <c r="K15" s="94">
        <v>0</v>
      </c>
      <c r="L15" s="94">
        <v>0</v>
      </c>
      <c r="M15" s="94">
        <v>0</v>
      </c>
      <c r="N15" s="94">
        <v>0</v>
      </c>
      <c r="O15" s="94">
        <v>1</v>
      </c>
      <c r="P15" s="94">
        <v>1</v>
      </c>
      <c r="Q15" s="94">
        <v>1</v>
      </c>
      <c r="R15" s="94" t="s">
        <v>302</v>
      </c>
      <c r="S15" s="94" t="s">
        <v>355</v>
      </c>
      <c r="T15" s="94" t="s">
        <v>339</v>
      </c>
      <c r="U15" s="95" t="s">
        <v>340</v>
      </c>
    </row>
    <row r="16" spans="1:21" ht="28" x14ac:dyDescent="0.15">
      <c r="A16" s="80">
        <f>floors!$C$2</f>
        <v>60029</v>
      </c>
      <c r="B16" s="81" t="str">
        <f ca="1">VLOOKUP($A16,OFFSET([2]quests!$A$1,0,0,COUNTA([2]quests!$A:$A),MATCH(B$1,[2]quests!$1:$1,0)-MATCH($A$1,[2]quests!$1:$1,0)+1),MATCH(B$1,[2]quests!$1:$1,0)-MATCH($A$1,[2]quests!$1:$1,0)+1,FALSE)</f>
        <v xml:space="preserve">オイラーチャレンジ </v>
      </c>
      <c r="C16" s="81" t="str">
        <f ca="1">VLOOKUP($A16,OFFSET([2]quests!$A$1,0,0,COUNTA([2]quests!$A:$A),MATCH(C$1,[2]quests!$1:$1,0)-MATCH($A$1,[2]quests!$1:$1,0)+1),MATCH(C$1,[2]quests!$1:$1,0)-MATCH($A$1,[2]quests!$1:$1,0)+1,FALSE)</f>
        <v>ランキング1（3回目）</v>
      </c>
      <c r="D16" s="134">
        <v>3</v>
      </c>
      <c r="E16" s="135">
        <v>3</v>
      </c>
      <c r="F16" s="92" t="str">
        <f t="shared" si="0"/>
        <v>600290003</v>
      </c>
      <c r="G16" t="str">
        <f>F16&amp;TEXT(COUNTIF(F$2:F16,F16),"00")</f>
        <v>60029000305</v>
      </c>
      <c r="H16" s="94" t="s">
        <v>345</v>
      </c>
      <c r="I16" s="94">
        <v>347</v>
      </c>
      <c r="J16" s="94">
        <v>1</v>
      </c>
      <c r="K16" s="94">
        <v>0</v>
      </c>
      <c r="L16" s="94">
        <v>0</v>
      </c>
      <c r="M16" s="94">
        <v>0</v>
      </c>
      <c r="N16" s="94">
        <v>0</v>
      </c>
      <c r="O16" s="94">
        <v>1</v>
      </c>
      <c r="P16" s="94">
        <v>1</v>
      </c>
      <c r="Q16" s="94">
        <v>1</v>
      </c>
      <c r="R16" s="94" t="s">
        <v>302</v>
      </c>
      <c r="S16" s="94" t="s">
        <v>356</v>
      </c>
      <c r="T16" s="94" t="s">
        <v>339</v>
      </c>
      <c r="U16" s="95" t="s">
        <v>340</v>
      </c>
    </row>
    <row r="17" spans="1:21" ht="28" x14ac:dyDescent="0.15">
      <c r="A17" s="80">
        <f>floors!$C$2</f>
        <v>60029</v>
      </c>
      <c r="B17" s="81" t="str">
        <f ca="1">VLOOKUP($A17,OFFSET([2]quests!$A$1,0,0,COUNTA([2]quests!$A:$A),MATCH(B$1,[2]quests!$1:$1,0)-MATCH($A$1,[2]quests!$1:$1,0)+1),MATCH(B$1,[2]quests!$1:$1,0)-MATCH($A$1,[2]quests!$1:$1,0)+1,FALSE)</f>
        <v xml:space="preserve">オイラーチャレンジ </v>
      </c>
      <c r="C17" s="81" t="str">
        <f ca="1">VLOOKUP($A17,OFFSET([2]quests!$A$1,0,0,COUNTA([2]quests!$A:$A),MATCH(C$1,[2]quests!$1:$1,0)-MATCH($A$1,[2]quests!$1:$1,0)+1),MATCH(C$1,[2]quests!$1:$1,0)-MATCH($A$1,[2]quests!$1:$1,0)+1,FALSE)</f>
        <v>ランキング1（3回目）</v>
      </c>
      <c r="D17" s="134">
        <v>3</v>
      </c>
      <c r="E17" s="135">
        <v>3</v>
      </c>
      <c r="F17" s="92" t="str">
        <f t="shared" si="0"/>
        <v>600290003</v>
      </c>
      <c r="G17" t="str">
        <f>F17&amp;TEXT(COUNTIF(F$2:F17,F17),"00")</f>
        <v>60029000306</v>
      </c>
      <c r="H17" s="94" t="s">
        <v>342</v>
      </c>
      <c r="I17" s="94">
        <v>5</v>
      </c>
      <c r="J17" s="94" t="s">
        <v>343</v>
      </c>
      <c r="K17" s="94">
        <v>0</v>
      </c>
      <c r="L17" s="94">
        <v>0</v>
      </c>
      <c r="M17" s="94">
        <v>0</v>
      </c>
      <c r="N17" s="94">
        <v>0</v>
      </c>
      <c r="O17" s="94">
        <v>1</v>
      </c>
      <c r="P17" s="94">
        <v>1</v>
      </c>
      <c r="Q17" s="94">
        <v>1</v>
      </c>
      <c r="R17" s="94" t="s">
        <v>302</v>
      </c>
      <c r="S17" s="94" t="s">
        <v>349</v>
      </c>
      <c r="T17" s="94" t="s">
        <v>339</v>
      </c>
      <c r="U17" s="95" t="s">
        <v>340</v>
      </c>
    </row>
    <row r="18" spans="1:21" ht="28" x14ac:dyDescent="0.15">
      <c r="A18" s="80">
        <f>floors!$C$2</f>
        <v>60029</v>
      </c>
      <c r="B18" s="81" t="str">
        <f ca="1">VLOOKUP($A18,OFFSET([2]quests!$A$1,0,0,COUNTA([2]quests!$A:$A),MATCH(B$1,[2]quests!$1:$1,0)-MATCH($A$1,[2]quests!$1:$1,0)+1),MATCH(B$1,[2]quests!$1:$1,0)-MATCH($A$1,[2]quests!$1:$1,0)+1,FALSE)</f>
        <v xml:space="preserve">オイラーチャレンジ </v>
      </c>
      <c r="C18" s="81" t="str">
        <f ca="1">VLOOKUP($A18,OFFSET([2]quests!$A$1,0,0,COUNTA([2]quests!$A:$A),MATCH(C$1,[2]quests!$1:$1,0)-MATCH($A$1,[2]quests!$1:$1,0)+1),MATCH(C$1,[2]quests!$1:$1,0)-MATCH($A$1,[2]quests!$1:$1,0)+1,FALSE)</f>
        <v>ランキング1（3回目）</v>
      </c>
      <c r="D18" s="134">
        <v>3</v>
      </c>
      <c r="E18" s="135">
        <v>3</v>
      </c>
      <c r="F18" s="92" t="str">
        <f t="shared" si="0"/>
        <v>600290003</v>
      </c>
      <c r="G18" t="str">
        <f>F18&amp;TEXT(COUNTIF(F$2:F18,F18),"00")</f>
        <v>60029000307</v>
      </c>
      <c r="H18" s="94" t="s">
        <v>345</v>
      </c>
      <c r="I18" s="94">
        <v>125</v>
      </c>
      <c r="J18" s="94">
        <v>1</v>
      </c>
      <c r="K18" s="94">
        <v>0</v>
      </c>
      <c r="L18" s="94">
        <v>0</v>
      </c>
      <c r="M18" s="94">
        <v>0</v>
      </c>
      <c r="N18" s="94">
        <v>0</v>
      </c>
      <c r="O18" s="94">
        <v>1</v>
      </c>
      <c r="P18" s="94">
        <v>1</v>
      </c>
      <c r="Q18" s="94">
        <v>1</v>
      </c>
      <c r="R18" s="94" t="s">
        <v>302</v>
      </c>
      <c r="S18" s="94" t="s">
        <v>357</v>
      </c>
      <c r="T18" s="94" t="s">
        <v>339</v>
      </c>
      <c r="U18" s="95" t="s">
        <v>340</v>
      </c>
    </row>
    <row r="19" spans="1:21" ht="28" x14ac:dyDescent="0.15">
      <c r="A19" s="80">
        <f>floors!$C$2</f>
        <v>60029</v>
      </c>
      <c r="B19" s="81" t="str">
        <f ca="1">VLOOKUP($A19,OFFSET([2]quests!$A$1,0,0,COUNTA([2]quests!$A:$A),MATCH(B$1,[2]quests!$1:$1,0)-MATCH($A$1,[2]quests!$1:$1,0)+1),MATCH(B$1,[2]quests!$1:$1,0)-MATCH($A$1,[2]quests!$1:$1,0)+1,FALSE)</f>
        <v xml:space="preserve">オイラーチャレンジ </v>
      </c>
      <c r="C19" s="81" t="str">
        <f ca="1">VLOOKUP($A19,OFFSET([2]quests!$A$1,0,0,COUNTA([2]quests!$A:$A),MATCH(C$1,[2]quests!$1:$1,0)-MATCH($A$1,[2]quests!$1:$1,0)+1),MATCH(C$1,[2]quests!$1:$1,0)-MATCH($A$1,[2]quests!$1:$1,0)+1,FALSE)</f>
        <v>ランキング1（3回目）</v>
      </c>
      <c r="D19" s="134">
        <v>3</v>
      </c>
      <c r="E19" s="135">
        <v>3</v>
      </c>
      <c r="F19" s="92" t="str">
        <f t="shared" si="0"/>
        <v>600290003</v>
      </c>
      <c r="G19" t="str">
        <f>F19&amp;TEXT(COUNTIF(F$2:F19,F19),"00")</f>
        <v>60029000308</v>
      </c>
      <c r="H19" s="94" t="s">
        <v>337</v>
      </c>
      <c r="I19" s="94">
        <v>1</v>
      </c>
      <c r="J19" s="94">
        <v>1</v>
      </c>
      <c r="K19" s="94">
        <v>0</v>
      </c>
      <c r="L19" s="94">
        <v>0</v>
      </c>
      <c r="M19" s="94">
        <v>0</v>
      </c>
      <c r="N19" s="94">
        <v>0</v>
      </c>
      <c r="O19" s="94">
        <v>1</v>
      </c>
      <c r="P19" s="94">
        <v>1</v>
      </c>
      <c r="Q19" s="94">
        <v>1</v>
      </c>
      <c r="R19" s="94" t="s">
        <v>302</v>
      </c>
      <c r="S19" s="94" t="s">
        <v>358</v>
      </c>
      <c r="T19" s="94" t="s">
        <v>339</v>
      </c>
      <c r="U19" s="95" t="s">
        <v>340</v>
      </c>
    </row>
    <row r="20" spans="1:21" ht="28" x14ac:dyDescent="0.15">
      <c r="A20" s="80">
        <f>floors!$C$2</f>
        <v>60029</v>
      </c>
      <c r="B20" s="81" t="str">
        <f ca="1">VLOOKUP($A20,OFFSET([2]quests!$A$1,0,0,COUNTA([2]quests!$A:$A),MATCH(B$1,[2]quests!$1:$1,0)-MATCH($A$1,[2]quests!$1:$1,0)+1),MATCH(B$1,[2]quests!$1:$1,0)-MATCH($A$1,[2]quests!$1:$1,0)+1,FALSE)</f>
        <v xml:space="preserve">オイラーチャレンジ </v>
      </c>
      <c r="C20" s="81" t="str">
        <f ca="1">VLOOKUP($A20,OFFSET([2]quests!$A$1,0,0,COUNTA([2]quests!$A:$A),MATCH(C$1,[2]quests!$1:$1,0)-MATCH($A$1,[2]quests!$1:$1,0)+1),MATCH(C$1,[2]quests!$1:$1,0)-MATCH($A$1,[2]quests!$1:$1,0)+1,FALSE)</f>
        <v>ランキング1（3回目）</v>
      </c>
      <c r="D20" s="134">
        <v>4</v>
      </c>
      <c r="E20" s="135">
        <v>5</v>
      </c>
      <c r="F20" s="92" t="str">
        <f t="shared" si="0"/>
        <v>600290005</v>
      </c>
      <c r="G20" t="str">
        <f>F20&amp;TEXT(COUNTIF(F$2:F20,F20),"00")</f>
        <v>60029000501</v>
      </c>
      <c r="H20" s="94" t="s">
        <v>337</v>
      </c>
      <c r="I20" s="94">
        <v>600</v>
      </c>
      <c r="J20" s="94">
        <v>2</v>
      </c>
      <c r="K20" s="94">
        <v>0</v>
      </c>
      <c r="L20" s="94">
        <v>0</v>
      </c>
      <c r="M20" s="94">
        <v>0</v>
      </c>
      <c r="N20" s="94">
        <v>0</v>
      </c>
      <c r="O20" s="94">
        <v>1</v>
      </c>
      <c r="P20" s="94">
        <v>1</v>
      </c>
      <c r="Q20" s="94">
        <v>1</v>
      </c>
      <c r="R20" s="94" t="s">
        <v>302</v>
      </c>
      <c r="S20" s="94" t="s">
        <v>341</v>
      </c>
      <c r="T20" s="94" t="s">
        <v>339</v>
      </c>
      <c r="U20" s="95" t="s">
        <v>340</v>
      </c>
    </row>
    <row r="21" spans="1:21" ht="28" x14ac:dyDescent="0.15">
      <c r="A21" s="80">
        <f>floors!$C$2</f>
        <v>60029</v>
      </c>
      <c r="B21" s="81" t="str">
        <f ca="1">VLOOKUP($A21,OFFSET([2]quests!$A$1,0,0,COUNTA([2]quests!$A:$A),MATCH(B$1,[2]quests!$1:$1,0)-MATCH($A$1,[2]quests!$1:$1,0)+1),MATCH(B$1,[2]quests!$1:$1,0)-MATCH($A$1,[2]quests!$1:$1,0)+1,FALSE)</f>
        <v xml:space="preserve">オイラーチャレンジ </v>
      </c>
      <c r="C21" s="81" t="str">
        <f ca="1">VLOOKUP($A21,OFFSET([2]quests!$A$1,0,0,COUNTA([2]quests!$A:$A),MATCH(C$1,[2]quests!$1:$1,0)-MATCH($A$1,[2]quests!$1:$1,0)+1),MATCH(C$1,[2]quests!$1:$1,0)-MATCH($A$1,[2]quests!$1:$1,0)+1,FALSE)</f>
        <v>ランキング1（3回目）</v>
      </c>
      <c r="D21" s="134">
        <v>4</v>
      </c>
      <c r="E21" s="135">
        <v>5</v>
      </c>
      <c r="F21" s="92" t="str">
        <f t="shared" si="0"/>
        <v>600290005</v>
      </c>
      <c r="G21" t="str">
        <f>F21&amp;TEXT(COUNTIF(F$2:F21,F21),"00")</f>
        <v>60029000502</v>
      </c>
      <c r="H21" s="94" t="s">
        <v>345</v>
      </c>
      <c r="I21" s="94">
        <v>335</v>
      </c>
      <c r="J21" s="94">
        <v>1</v>
      </c>
      <c r="K21" s="94">
        <v>0</v>
      </c>
      <c r="L21" s="94">
        <v>0</v>
      </c>
      <c r="M21" s="94">
        <v>0</v>
      </c>
      <c r="N21" s="94">
        <v>0</v>
      </c>
      <c r="O21" s="94">
        <v>1</v>
      </c>
      <c r="P21" s="94">
        <v>1</v>
      </c>
      <c r="Q21" s="94">
        <v>1</v>
      </c>
      <c r="R21" s="94" t="s">
        <v>302</v>
      </c>
      <c r="S21" s="94" t="s">
        <v>353</v>
      </c>
      <c r="T21" s="94" t="s">
        <v>339</v>
      </c>
      <c r="U21" s="95" t="s">
        <v>340</v>
      </c>
    </row>
    <row r="22" spans="1:21" ht="28" x14ac:dyDescent="0.15">
      <c r="A22" s="80">
        <f>floors!$C$2</f>
        <v>60029</v>
      </c>
      <c r="B22" s="81" t="str">
        <f ca="1">VLOOKUP($A22,OFFSET([2]quests!$A$1,0,0,COUNTA([2]quests!$A:$A),MATCH(B$1,[2]quests!$1:$1,0)-MATCH($A$1,[2]quests!$1:$1,0)+1),MATCH(B$1,[2]quests!$1:$1,0)-MATCH($A$1,[2]quests!$1:$1,0)+1,FALSE)</f>
        <v xml:space="preserve">オイラーチャレンジ </v>
      </c>
      <c r="C22" s="81" t="str">
        <f ca="1">VLOOKUP($A22,OFFSET([2]quests!$A$1,0,0,COUNTA([2]quests!$A:$A),MATCH(C$1,[2]quests!$1:$1,0)-MATCH($A$1,[2]quests!$1:$1,0)+1),MATCH(C$1,[2]quests!$1:$1,0)-MATCH($A$1,[2]quests!$1:$1,0)+1,FALSE)</f>
        <v>ランキング1（3回目）</v>
      </c>
      <c r="D22" s="134">
        <v>4</v>
      </c>
      <c r="E22" s="135">
        <v>5</v>
      </c>
      <c r="F22" s="92" t="str">
        <f t="shared" si="0"/>
        <v>600290005</v>
      </c>
      <c r="G22" t="str">
        <f>F22&amp;TEXT(COUNTIF(F$2:F22,F22),"00")</f>
        <v>60029000503</v>
      </c>
      <c r="H22" s="94" t="s">
        <v>345</v>
      </c>
      <c r="I22" s="94">
        <v>339</v>
      </c>
      <c r="J22" s="94">
        <v>1</v>
      </c>
      <c r="K22" s="94">
        <v>0</v>
      </c>
      <c r="L22" s="94">
        <v>0</v>
      </c>
      <c r="M22" s="94">
        <v>0</v>
      </c>
      <c r="N22" s="94">
        <v>0</v>
      </c>
      <c r="O22" s="94">
        <v>1</v>
      </c>
      <c r="P22" s="94">
        <v>1</v>
      </c>
      <c r="Q22" s="94">
        <v>1</v>
      </c>
      <c r="R22" s="94" t="s">
        <v>302</v>
      </c>
      <c r="S22" s="94" t="s">
        <v>354</v>
      </c>
      <c r="T22" s="94" t="s">
        <v>339</v>
      </c>
      <c r="U22" s="95" t="s">
        <v>340</v>
      </c>
    </row>
    <row r="23" spans="1:21" ht="28" x14ac:dyDescent="0.15">
      <c r="A23" s="80">
        <f>floors!$C$2</f>
        <v>60029</v>
      </c>
      <c r="B23" s="81" t="str">
        <f ca="1">VLOOKUP($A23,OFFSET([2]quests!$A$1,0,0,COUNTA([2]quests!$A:$A),MATCH(B$1,[2]quests!$1:$1,0)-MATCH($A$1,[2]quests!$1:$1,0)+1),MATCH(B$1,[2]quests!$1:$1,0)-MATCH($A$1,[2]quests!$1:$1,0)+1,FALSE)</f>
        <v xml:space="preserve">オイラーチャレンジ </v>
      </c>
      <c r="C23" s="81" t="str">
        <f ca="1">VLOOKUP($A23,OFFSET([2]quests!$A$1,0,0,COUNTA([2]quests!$A:$A),MATCH(C$1,[2]quests!$1:$1,0)-MATCH($A$1,[2]quests!$1:$1,0)+1),MATCH(C$1,[2]quests!$1:$1,0)-MATCH($A$1,[2]quests!$1:$1,0)+1,FALSE)</f>
        <v>ランキング1（3回目）</v>
      </c>
      <c r="D23" s="134">
        <v>4</v>
      </c>
      <c r="E23" s="135">
        <v>5</v>
      </c>
      <c r="F23" s="92" t="str">
        <f t="shared" si="0"/>
        <v>600290005</v>
      </c>
      <c r="G23" t="str">
        <f>F23&amp;TEXT(COUNTIF(F$2:F23,F23),"00")</f>
        <v>60029000504</v>
      </c>
      <c r="H23" s="94" t="s">
        <v>345</v>
      </c>
      <c r="I23" s="94">
        <v>343</v>
      </c>
      <c r="J23" s="94">
        <v>1</v>
      </c>
      <c r="K23" s="94">
        <v>0</v>
      </c>
      <c r="L23" s="94">
        <v>0</v>
      </c>
      <c r="M23" s="94">
        <v>0</v>
      </c>
      <c r="N23" s="94">
        <v>0</v>
      </c>
      <c r="O23" s="94">
        <v>1</v>
      </c>
      <c r="P23" s="94">
        <v>1</v>
      </c>
      <c r="Q23" s="94">
        <v>1</v>
      </c>
      <c r="R23" s="94" t="s">
        <v>302</v>
      </c>
      <c r="S23" s="94" t="s">
        <v>355</v>
      </c>
      <c r="T23" s="94" t="s">
        <v>339</v>
      </c>
      <c r="U23" s="95" t="s">
        <v>340</v>
      </c>
    </row>
    <row r="24" spans="1:21" ht="28" x14ac:dyDescent="0.15">
      <c r="A24" s="80">
        <f>floors!$C$2</f>
        <v>60029</v>
      </c>
      <c r="B24" s="81" t="str">
        <f ca="1">VLOOKUP($A24,OFFSET([2]quests!$A$1,0,0,COUNTA([2]quests!$A:$A),MATCH(B$1,[2]quests!$1:$1,0)-MATCH($A$1,[2]quests!$1:$1,0)+1),MATCH(B$1,[2]quests!$1:$1,0)-MATCH($A$1,[2]quests!$1:$1,0)+1,FALSE)</f>
        <v xml:space="preserve">オイラーチャレンジ </v>
      </c>
      <c r="C24" s="81" t="str">
        <f ca="1">VLOOKUP($A24,OFFSET([2]quests!$A$1,0,0,COUNTA([2]quests!$A:$A),MATCH(C$1,[2]quests!$1:$1,0)-MATCH($A$1,[2]quests!$1:$1,0)+1),MATCH(C$1,[2]quests!$1:$1,0)-MATCH($A$1,[2]quests!$1:$1,0)+1,FALSE)</f>
        <v>ランキング1（3回目）</v>
      </c>
      <c r="D24" s="134">
        <v>4</v>
      </c>
      <c r="E24" s="135">
        <v>5</v>
      </c>
      <c r="F24" s="92" t="str">
        <f t="shared" si="0"/>
        <v>600290005</v>
      </c>
      <c r="G24" t="str">
        <f>F24&amp;TEXT(COUNTIF(F$2:F24,F24),"00")</f>
        <v>60029000505</v>
      </c>
      <c r="H24" s="94" t="s">
        <v>345</v>
      </c>
      <c r="I24" s="94">
        <v>347</v>
      </c>
      <c r="J24" s="94">
        <v>1</v>
      </c>
      <c r="K24" s="94">
        <v>0</v>
      </c>
      <c r="L24" s="94">
        <v>0</v>
      </c>
      <c r="M24" s="94">
        <v>0</v>
      </c>
      <c r="N24" s="94">
        <v>0</v>
      </c>
      <c r="O24" s="94">
        <v>1</v>
      </c>
      <c r="P24" s="94">
        <v>1</v>
      </c>
      <c r="Q24" s="94">
        <v>1</v>
      </c>
      <c r="R24" s="94" t="s">
        <v>302</v>
      </c>
      <c r="S24" s="94" t="s">
        <v>356</v>
      </c>
      <c r="T24" s="94" t="s">
        <v>339</v>
      </c>
      <c r="U24" s="95" t="s">
        <v>340</v>
      </c>
    </row>
    <row r="25" spans="1:21" ht="28" x14ac:dyDescent="0.15">
      <c r="A25" s="80">
        <f>floors!$C$2</f>
        <v>60029</v>
      </c>
      <c r="B25" s="81" t="str">
        <f ca="1">VLOOKUP($A25,OFFSET([2]quests!$A$1,0,0,COUNTA([2]quests!$A:$A),MATCH(B$1,[2]quests!$1:$1,0)-MATCH($A$1,[2]quests!$1:$1,0)+1),MATCH(B$1,[2]quests!$1:$1,0)-MATCH($A$1,[2]quests!$1:$1,0)+1,FALSE)</f>
        <v xml:space="preserve">オイラーチャレンジ </v>
      </c>
      <c r="C25" s="81" t="str">
        <f ca="1">VLOOKUP($A25,OFFSET([2]quests!$A$1,0,0,COUNTA([2]quests!$A:$A),MATCH(C$1,[2]quests!$1:$1,0)-MATCH($A$1,[2]quests!$1:$1,0)+1),MATCH(C$1,[2]quests!$1:$1,0)-MATCH($A$1,[2]quests!$1:$1,0)+1,FALSE)</f>
        <v>ランキング1（3回目）</v>
      </c>
      <c r="D25" s="134">
        <v>4</v>
      </c>
      <c r="E25" s="135">
        <v>5</v>
      </c>
      <c r="F25" s="92" t="str">
        <f t="shared" si="0"/>
        <v>600290005</v>
      </c>
      <c r="G25" t="str">
        <f>F25&amp;TEXT(COUNTIF(F$2:F25,F25),"00")</f>
        <v>60029000506</v>
      </c>
      <c r="H25" s="94" t="s">
        <v>342</v>
      </c>
      <c r="I25" s="94">
        <v>5</v>
      </c>
      <c r="J25" s="94" t="s">
        <v>343</v>
      </c>
      <c r="K25" s="94">
        <v>0</v>
      </c>
      <c r="L25" s="94">
        <v>0</v>
      </c>
      <c r="M25" s="94">
        <v>0</v>
      </c>
      <c r="N25" s="94">
        <v>0</v>
      </c>
      <c r="O25" s="94">
        <v>1</v>
      </c>
      <c r="P25" s="94">
        <v>1</v>
      </c>
      <c r="Q25" s="94">
        <v>1</v>
      </c>
      <c r="R25" s="94" t="s">
        <v>302</v>
      </c>
      <c r="S25" s="94" t="s">
        <v>349</v>
      </c>
      <c r="T25" s="94" t="s">
        <v>339</v>
      </c>
      <c r="U25" s="95" t="s">
        <v>340</v>
      </c>
    </row>
    <row r="26" spans="1:21" ht="28" x14ac:dyDescent="0.15">
      <c r="A26" s="80">
        <f>floors!$C$2</f>
        <v>60029</v>
      </c>
      <c r="B26" s="81" t="str">
        <f ca="1">VLOOKUP($A26,OFFSET([2]quests!$A$1,0,0,COUNTA([2]quests!$A:$A),MATCH(B$1,[2]quests!$1:$1,0)-MATCH($A$1,[2]quests!$1:$1,0)+1),MATCH(B$1,[2]quests!$1:$1,0)-MATCH($A$1,[2]quests!$1:$1,0)+1,FALSE)</f>
        <v xml:space="preserve">オイラーチャレンジ </v>
      </c>
      <c r="C26" s="81" t="str">
        <f ca="1">VLOOKUP($A26,OFFSET([2]quests!$A$1,0,0,COUNTA([2]quests!$A:$A),MATCH(C$1,[2]quests!$1:$1,0)-MATCH($A$1,[2]quests!$1:$1,0)+1),MATCH(C$1,[2]quests!$1:$1,0)-MATCH($A$1,[2]quests!$1:$1,0)+1,FALSE)</f>
        <v>ランキング1（3回目）</v>
      </c>
      <c r="D26" s="134">
        <v>4</v>
      </c>
      <c r="E26" s="135">
        <v>5</v>
      </c>
      <c r="F26" s="92" t="str">
        <f t="shared" si="0"/>
        <v>600290005</v>
      </c>
      <c r="G26" t="str">
        <f>F26&amp;TEXT(COUNTIF(F$2:F26,F26),"00")</f>
        <v>60029000507</v>
      </c>
      <c r="H26" s="94" t="s">
        <v>359</v>
      </c>
      <c r="I26" s="94">
        <v>2000</v>
      </c>
      <c r="J26" s="94" t="s">
        <v>343</v>
      </c>
      <c r="K26" s="94">
        <v>0</v>
      </c>
      <c r="L26" s="94">
        <v>0</v>
      </c>
      <c r="M26" s="94">
        <v>0</v>
      </c>
      <c r="N26" s="94">
        <v>0</v>
      </c>
      <c r="O26" s="94">
        <v>1</v>
      </c>
      <c r="P26" s="94">
        <v>1</v>
      </c>
      <c r="Q26" s="94">
        <v>1</v>
      </c>
      <c r="R26" s="94" t="s">
        <v>302</v>
      </c>
      <c r="S26" s="94" t="s">
        <v>360</v>
      </c>
      <c r="T26" s="94" t="s">
        <v>339</v>
      </c>
      <c r="U26" s="95" t="s">
        <v>340</v>
      </c>
    </row>
    <row r="27" spans="1:21" ht="28" x14ac:dyDescent="0.15">
      <c r="A27" s="80">
        <f>floors!$C$2</f>
        <v>60029</v>
      </c>
      <c r="B27" s="81" t="str">
        <f ca="1">VLOOKUP($A27,OFFSET([2]quests!$A$1,0,0,COUNTA([2]quests!$A:$A),MATCH(B$1,[2]quests!$1:$1,0)-MATCH($A$1,[2]quests!$1:$1,0)+1),MATCH(B$1,[2]quests!$1:$1,0)-MATCH($A$1,[2]quests!$1:$1,0)+1,FALSE)</f>
        <v xml:space="preserve">オイラーチャレンジ </v>
      </c>
      <c r="C27" s="81" t="str">
        <f ca="1">VLOOKUP($A27,OFFSET([2]quests!$A$1,0,0,COUNTA([2]quests!$A:$A),MATCH(C$1,[2]quests!$1:$1,0)-MATCH($A$1,[2]quests!$1:$1,0)+1),MATCH(C$1,[2]quests!$1:$1,0)-MATCH($A$1,[2]quests!$1:$1,0)+1,FALSE)</f>
        <v>ランキング1（3回目）</v>
      </c>
      <c r="D27" s="134">
        <v>6</v>
      </c>
      <c r="E27" s="135">
        <v>10</v>
      </c>
      <c r="F27" s="92" t="str">
        <f t="shared" si="0"/>
        <v>600290010</v>
      </c>
      <c r="G27" t="str">
        <f>F27&amp;TEXT(COUNTIF(F$2:F27,F27),"00")</f>
        <v>60029001001</v>
      </c>
      <c r="H27" s="94" t="s">
        <v>337</v>
      </c>
      <c r="I27" s="94">
        <v>600</v>
      </c>
      <c r="J27" s="94">
        <v>1</v>
      </c>
      <c r="K27" s="94">
        <v>0</v>
      </c>
      <c r="L27" s="94">
        <v>0</v>
      </c>
      <c r="M27" s="94">
        <v>0</v>
      </c>
      <c r="N27" s="94">
        <v>0</v>
      </c>
      <c r="O27" s="94">
        <v>1</v>
      </c>
      <c r="P27" s="94">
        <v>1</v>
      </c>
      <c r="Q27" s="94">
        <v>1</v>
      </c>
      <c r="R27" s="94" t="s">
        <v>302</v>
      </c>
      <c r="S27" s="94" t="s">
        <v>348</v>
      </c>
      <c r="T27" s="94" t="s">
        <v>339</v>
      </c>
      <c r="U27" s="95" t="s">
        <v>340</v>
      </c>
    </row>
    <row r="28" spans="1:21" ht="28" x14ac:dyDescent="0.15">
      <c r="A28" s="80">
        <f>floors!$C$2</f>
        <v>60029</v>
      </c>
      <c r="B28" s="81" t="str">
        <f ca="1">VLOOKUP($A28,OFFSET([2]quests!$A$1,0,0,COUNTA([2]quests!$A:$A),MATCH(B$1,[2]quests!$1:$1,0)-MATCH($A$1,[2]quests!$1:$1,0)+1),MATCH(B$1,[2]quests!$1:$1,0)-MATCH($A$1,[2]quests!$1:$1,0)+1,FALSE)</f>
        <v xml:space="preserve">オイラーチャレンジ </v>
      </c>
      <c r="C28" s="81" t="str">
        <f ca="1">VLOOKUP($A28,OFFSET([2]quests!$A$1,0,0,COUNTA([2]quests!$A:$A),MATCH(C$1,[2]quests!$1:$1,0)-MATCH($A$1,[2]quests!$1:$1,0)+1),MATCH(C$1,[2]quests!$1:$1,0)-MATCH($A$1,[2]quests!$1:$1,0)+1,FALSE)</f>
        <v>ランキング1（3回目）</v>
      </c>
      <c r="D28" s="134">
        <v>6</v>
      </c>
      <c r="E28" s="135">
        <v>10</v>
      </c>
      <c r="F28" s="92" t="str">
        <f t="shared" si="0"/>
        <v>600290010</v>
      </c>
      <c r="G28" t="str">
        <f>F28&amp;TEXT(COUNTIF(F$2:F28,F28),"00")</f>
        <v>60029001002</v>
      </c>
      <c r="H28" s="94" t="s">
        <v>345</v>
      </c>
      <c r="I28" s="94">
        <v>334</v>
      </c>
      <c r="J28" s="94">
        <v>1</v>
      </c>
      <c r="K28" s="94">
        <v>0</v>
      </c>
      <c r="L28" s="94">
        <v>0</v>
      </c>
      <c r="M28" s="94">
        <v>0</v>
      </c>
      <c r="N28" s="94">
        <v>0</v>
      </c>
      <c r="O28" s="94">
        <v>1</v>
      </c>
      <c r="P28" s="94">
        <v>1</v>
      </c>
      <c r="Q28" s="94">
        <v>1</v>
      </c>
      <c r="R28" s="94" t="s">
        <v>302</v>
      </c>
      <c r="S28" s="94" t="s">
        <v>361</v>
      </c>
      <c r="T28" s="94" t="s">
        <v>339</v>
      </c>
      <c r="U28" s="95" t="s">
        <v>340</v>
      </c>
    </row>
    <row r="29" spans="1:21" ht="28" x14ac:dyDescent="0.15">
      <c r="A29" s="80">
        <f>floors!$C$2</f>
        <v>60029</v>
      </c>
      <c r="B29" s="81" t="str">
        <f ca="1">VLOOKUP($A29,OFFSET([2]quests!$A$1,0,0,COUNTA([2]quests!$A:$A),MATCH(B$1,[2]quests!$1:$1,0)-MATCH($A$1,[2]quests!$1:$1,0)+1),MATCH(B$1,[2]quests!$1:$1,0)-MATCH($A$1,[2]quests!$1:$1,0)+1,FALSE)</f>
        <v xml:space="preserve">オイラーチャレンジ </v>
      </c>
      <c r="C29" s="81" t="str">
        <f ca="1">VLOOKUP($A29,OFFSET([2]quests!$A$1,0,0,COUNTA([2]quests!$A:$A),MATCH(C$1,[2]quests!$1:$1,0)-MATCH($A$1,[2]quests!$1:$1,0)+1),MATCH(C$1,[2]quests!$1:$1,0)-MATCH($A$1,[2]quests!$1:$1,0)+1,FALSE)</f>
        <v>ランキング1（3回目）</v>
      </c>
      <c r="D29" s="134">
        <v>6</v>
      </c>
      <c r="E29" s="135">
        <v>10</v>
      </c>
      <c r="F29" s="92" t="str">
        <f t="shared" si="0"/>
        <v>600290010</v>
      </c>
      <c r="G29" t="str">
        <f>F29&amp;TEXT(COUNTIF(F$2:F29,F29),"00")</f>
        <v>60029001003</v>
      </c>
      <c r="H29" s="94" t="s">
        <v>345</v>
      </c>
      <c r="I29" s="94">
        <v>338</v>
      </c>
      <c r="J29" s="94">
        <v>1</v>
      </c>
      <c r="K29" s="94">
        <v>0</v>
      </c>
      <c r="L29" s="94">
        <v>0</v>
      </c>
      <c r="M29" s="94">
        <v>0</v>
      </c>
      <c r="N29" s="94">
        <v>0</v>
      </c>
      <c r="O29" s="94">
        <v>1</v>
      </c>
      <c r="P29" s="94">
        <v>1</v>
      </c>
      <c r="Q29" s="94">
        <v>1</v>
      </c>
      <c r="R29" s="94" t="s">
        <v>302</v>
      </c>
      <c r="S29" s="94" t="s">
        <v>362</v>
      </c>
      <c r="T29" s="94" t="s">
        <v>339</v>
      </c>
      <c r="U29" s="95" t="s">
        <v>340</v>
      </c>
    </row>
    <row r="30" spans="1:21" ht="28" x14ac:dyDescent="0.15">
      <c r="A30" s="80">
        <f>floors!$C$2</f>
        <v>60029</v>
      </c>
      <c r="B30" s="81" t="str">
        <f ca="1">VLOOKUP($A30,OFFSET([2]quests!$A$1,0,0,COUNTA([2]quests!$A:$A),MATCH(B$1,[2]quests!$1:$1,0)-MATCH($A$1,[2]quests!$1:$1,0)+1),MATCH(B$1,[2]quests!$1:$1,0)-MATCH($A$1,[2]quests!$1:$1,0)+1,FALSE)</f>
        <v xml:space="preserve">オイラーチャレンジ </v>
      </c>
      <c r="C30" s="81" t="str">
        <f ca="1">VLOOKUP($A30,OFFSET([2]quests!$A$1,0,0,COUNTA([2]quests!$A:$A),MATCH(C$1,[2]quests!$1:$1,0)-MATCH($A$1,[2]quests!$1:$1,0)+1),MATCH(C$1,[2]quests!$1:$1,0)-MATCH($A$1,[2]quests!$1:$1,0)+1,FALSE)</f>
        <v>ランキング1（3回目）</v>
      </c>
      <c r="D30" s="134">
        <v>6</v>
      </c>
      <c r="E30" s="135">
        <v>10</v>
      </c>
      <c r="F30" s="92" t="str">
        <f t="shared" si="0"/>
        <v>600290010</v>
      </c>
      <c r="G30" t="str">
        <f>F30&amp;TEXT(COUNTIF(F$2:F30,F30),"00")</f>
        <v>60029001004</v>
      </c>
      <c r="H30" s="94" t="s">
        <v>345</v>
      </c>
      <c r="I30" s="94">
        <v>342</v>
      </c>
      <c r="J30" s="94">
        <v>1</v>
      </c>
      <c r="K30" s="94">
        <v>0</v>
      </c>
      <c r="L30" s="94">
        <v>0</v>
      </c>
      <c r="M30" s="94">
        <v>0</v>
      </c>
      <c r="N30" s="94">
        <v>0</v>
      </c>
      <c r="O30" s="94">
        <v>1</v>
      </c>
      <c r="P30" s="94">
        <v>1</v>
      </c>
      <c r="Q30" s="94">
        <v>1</v>
      </c>
      <c r="R30" s="94" t="s">
        <v>302</v>
      </c>
      <c r="S30" s="94" t="s">
        <v>363</v>
      </c>
      <c r="T30" s="94" t="s">
        <v>339</v>
      </c>
      <c r="U30" s="95" t="s">
        <v>340</v>
      </c>
    </row>
    <row r="31" spans="1:21" ht="28" x14ac:dyDescent="0.15">
      <c r="A31" s="80">
        <f>floors!$C$2</f>
        <v>60029</v>
      </c>
      <c r="B31" s="81" t="str">
        <f ca="1">VLOOKUP($A31,OFFSET([2]quests!$A$1,0,0,COUNTA([2]quests!$A:$A),MATCH(B$1,[2]quests!$1:$1,0)-MATCH($A$1,[2]quests!$1:$1,0)+1),MATCH(B$1,[2]quests!$1:$1,0)-MATCH($A$1,[2]quests!$1:$1,0)+1,FALSE)</f>
        <v xml:space="preserve">オイラーチャレンジ </v>
      </c>
      <c r="C31" s="81" t="str">
        <f ca="1">VLOOKUP($A31,OFFSET([2]quests!$A$1,0,0,COUNTA([2]quests!$A:$A),MATCH(C$1,[2]quests!$1:$1,0)-MATCH($A$1,[2]quests!$1:$1,0)+1),MATCH(C$1,[2]quests!$1:$1,0)-MATCH($A$1,[2]quests!$1:$1,0)+1,FALSE)</f>
        <v>ランキング1（3回目）</v>
      </c>
      <c r="D31" s="134">
        <v>6</v>
      </c>
      <c r="E31" s="135">
        <v>10</v>
      </c>
      <c r="F31" s="92" t="str">
        <f t="shared" si="0"/>
        <v>600290010</v>
      </c>
      <c r="G31" t="str">
        <f>F31&amp;TEXT(COUNTIF(F$2:F31,F31),"00")</f>
        <v>60029001005</v>
      </c>
      <c r="H31" s="94" t="s">
        <v>345</v>
      </c>
      <c r="I31" s="94">
        <v>346</v>
      </c>
      <c r="J31" s="94">
        <v>1</v>
      </c>
      <c r="K31" s="94">
        <v>0</v>
      </c>
      <c r="L31" s="94">
        <v>0</v>
      </c>
      <c r="M31" s="94">
        <v>0</v>
      </c>
      <c r="N31" s="94">
        <v>0</v>
      </c>
      <c r="O31" s="94">
        <v>1</v>
      </c>
      <c r="P31" s="94">
        <v>1</v>
      </c>
      <c r="Q31" s="94">
        <v>1</v>
      </c>
      <c r="R31" s="94" t="s">
        <v>302</v>
      </c>
      <c r="S31" s="94" t="s">
        <v>364</v>
      </c>
      <c r="T31" s="94" t="s">
        <v>339</v>
      </c>
      <c r="U31" s="95" t="s">
        <v>340</v>
      </c>
    </row>
    <row r="32" spans="1:21" ht="28" x14ac:dyDescent="0.15">
      <c r="A32" s="80">
        <f>floors!$C$2</f>
        <v>60029</v>
      </c>
      <c r="B32" s="81" t="str">
        <f ca="1">VLOOKUP($A32,OFFSET([2]quests!$A$1,0,0,COUNTA([2]quests!$A:$A),MATCH(B$1,[2]quests!$1:$1,0)-MATCH($A$1,[2]quests!$1:$1,0)+1),MATCH(B$1,[2]quests!$1:$1,0)-MATCH($A$1,[2]quests!$1:$1,0)+1,FALSE)</f>
        <v xml:space="preserve">オイラーチャレンジ </v>
      </c>
      <c r="C32" s="81" t="str">
        <f ca="1">VLOOKUP($A32,OFFSET([2]quests!$A$1,0,0,COUNTA([2]quests!$A:$A),MATCH(C$1,[2]quests!$1:$1,0)-MATCH($A$1,[2]quests!$1:$1,0)+1),MATCH(C$1,[2]quests!$1:$1,0)-MATCH($A$1,[2]quests!$1:$1,0)+1,FALSE)</f>
        <v>ランキング1（3回目）</v>
      </c>
      <c r="D32" s="134">
        <v>6</v>
      </c>
      <c r="E32" s="135">
        <v>10</v>
      </c>
      <c r="F32" s="92" t="str">
        <f t="shared" si="0"/>
        <v>600290010</v>
      </c>
      <c r="G32" t="str">
        <f>F32&amp;TEXT(COUNTIF(F$2:F32,F32),"00")</f>
        <v>60029001006</v>
      </c>
      <c r="H32" s="94" t="s">
        <v>342</v>
      </c>
      <c r="I32" s="94">
        <v>3</v>
      </c>
      <c r="J32" s="94" t="s">
        <v>343</v>
      </c>
      <c r="K32" s="94">
        <v>0</v>
      </c>
      <c r="L32" s="94">
        <v>0</v>
      </c>
      <c r="M32" s="94">
        <v>0</v>
      </c>
      <c r="N32" s="94">
        <v>0</v>
      </c>
      <c r="O32" s="94">
        <v>1</v>
      </c>
      <c r="P32" s="94">
        <v>1</v>
      </c>
      <c r="Q32" s="94">
        <v>1</v>
      </c>
      <c r="R32" s="94" t="s">
        <v>302</v>
      </c>
      <c r="S32" s="94" t="s">
        <v>365</v>
      </c>
      <c r="T32" s="94" t="s">
        <v>339</v>
      </c>
      <c r="U32" s="95" t="s">
        <v>340</v>
      </c>
    </row>
    <row r="33" spans="1:21" ht="28" x14ac:dyDescent="0.15">
      <c r="A33" s="80">
        <f>floors!$C$2</f>
        <v>60029</v>
      </c>
      <c r="B33" s="81" t="str">
        <f ca="1">VLOOKUP($A33,OFFSET([2]quests!$A$1,0,0,COUNTA([2]quests!$A:$A),MATCH(B$1,[2]quests!$1:$1,0)-MATCH($A$1,[2]quests!$1:$1,0)+1),MATCH(B$1,[2]quests!$1:$1,0)-MATCH($A$1,[2]quests!$1:$1,0)+1,FALSE)</f>
        <v xml:space="preserve">オイラーチャレンジ </v>
      </c>
      <c r="C33" s="81" t="str">
        <f ca="1">VLOOKUP($A33,OFFSET([2]quests!$A$1,0,0,COUNTA([2]quests!$A:$A),MATCH(C$1,[2]quests!$1:$1,0)-MATCH($A$1,[2]quests!$1:$1,0)+1),MATCH(C$1,[2]quests!$1:$1,0)-MATCH($A$1,[2]quests!$1:$1,0)+1,FALSE)</f>
        <v>ランキング1（3回目）</v>
      </c>
      <c r="D33" s="134">
        <v>6</v>
      </c>
      <c r="E33" s="135">
        <v>10</v>
      </c>
      <c r="F33" s="92" t="str">
        <f t="shared" si="0"/>
        <v>600290010</v>
      </c>
      <c r="G33" t="str">
        <f>F33&amp;TEXT(COUNTIF(F$2:F33,F33),"00")</f>
        <v>60029001007</v>
      </c>
      <c r="H33" s="94" t="s">
        <v>359</v>
      </c>
      <c r="I33" s="94">
        <v>2000</v>
      </c>
      <c r="J33" s="94" t="s">
        <v>343</v>
      </c>
      <c r="K33" s="94">
        <v>0</v>
      </c>
      <c r="L33" s="94">
        <v>0</v>
      </c>
      <c r="M33" s="94">
        <v>0</v>
      </c>
      <c r="N33" s="94">
        <v>0</v>
      </c>
      <c r="O33" s="94">
        <v>1</v>
      </c>
      <c r="P33" s="94">
        <v>1</v>
      </c>
      <c r="Q33" s="94">
        <v>1</v>
      </c>
      <c r="R33" s="94" t="s">
        <v>302</v>
      </c>
      <c r="S33" s="94" t="s">
        <v>360</v>
      </c>
      <c r="T33" s="94" t="s">
        <v>339</v>
      </c>
      <c r="U33" s="95" t="s">
        <v>340</v>
      </c>
    </row>
    <row r="34" spans="1:21" ht="28" x14ac:dyDescent="0.15">
      <c r="A34" s="80">
        <f>floors!$C$2</f>
        <v>60029</v>
      </c>
      <c r="B34" s="81" t="str">
        <f ca="1">VLOOKUP($A34,OFFSET([2]quests!$A$1,0,0,COUNTA([2]quests!$A:$A),MATCH(B$1,[2]quests!$1:$1,0)-MATCH($A$1,[2]quests!$1:$1,0)+1),MATCH(B$1,[2]quests!$1:$1,0)-MATCH($A$1,[2]quests!$1:$1,0)+1,FALSE)</f>
        <v xml:space="preserve">オイラーチャレンジ </v>
      </c>
      <c r="C34" s="81" t="str">
        <f ca="1">VLOOKUP($A34,OFFSET([2]quests!$A$1,0,0,COUNTA([2]quests!$A:$A),MATCH(C$1,[2]quests!$1:$1,0)-MATCH($A$1,[2]quests!$1:$1,0)+1),MATCH(C$1,[2]quests!$1:$1,0)-MATCH($A$1,[2]quests!$1:$1,0)+1,FALSE)</f>
        <v>ランキング1（3回目）</v>
      </c>
      <c r="D34" s="134">
        <v>11</v>
      </c>
      <c r="E34" s="135">
        <v>25</v>
      </c>
      <c r="F34" s="92" t="str">
        <f t="shared" si="0"/>
        <v>600290025</v>
      </c>
      <c r="G34" t="str">
        <f>F34&amp;TEXT(COUNTIF(F$2:F34,F34),"00")</f>
        <v>60029002501</v>
      </c>
      <c r="H34" s="94" t="s">
        <v>342</v>
      </c>
      <c r="I34" s="94">
        <v>3</v>
      </c>
      <c r="J34" s="94" t="s">
        <v>343</v>
      </c>
      <c r="K34" s="94">
        <v>0</v>
      </c>
      <c r="L34" s="94">
        <v>0</v>
      </c>
      <c r="M34" s="94">
        <v>0</v>
      </c>
      <c r="N34" s="94">
        <v>0</v>
      </c>
      <c r="O34" s="94">
        <v>1</v>
      </c>
      <c r="P34" s="94">
        <v>1</v>
      </c>
      <c r="Q34" s="94">
        <v>1</v>
      </c>
      <c r="R34" s="94" t="s">
        <v>302</v>
      </c>
      <c r="S34" s="94" t="s">
        <v>365</v>
      </c>
      <c r="T34" s="94" t="s">
        <v>339</v>
      </c>
      <c r="U34" s="95" t="s">
        <v>340</v>
      </c>
    </row>
    <row r="35" spans="1:21" ht="28" x14ac:dyDescent="0.15">
      <c r="A35" s="80">
        <f>floors!$C$2</f>
        <v>60029</v>
      </c>
      <c r="B35" s="81" t="str">
        <f ca="1">VLOOKUP($A35,OFFSET([2]quests!$A$1,0,0,COUNTA([2]quests!$A:$A),MATCH(B$1,[2]quests!$1:$1,0)-MATCH($A$1,[2]quests!$1:$1,0)+1),MATCH(B$1,[2]quests!$1:$1,0)-MATCH($A$1,[2]quests!$1:$1,0)+1,FALSE)</f>
        <v xml:space="preserve">オイラーチャレンジ </v>
      </c>
      <c r="C35" s="81" t="str">
        <f ca="1">VLOOKUP($A35,OFFSET([2]quests!$A$1,0,0,COUNTA([2]quests!$A:$A),MATCH(C$1,[2]quests!$1:$1,0)-MATCH($A$1,[2]quests!$1:$1,0)+1),MATCH(C$1,[2]quests!$1:$1,0)-MATCH($A$1,[2]quests!$1:$1,0)+1,FALSE)</f>
        <v>ランキング1（3回目）</v>
      </c>
      <c r="D35" s="134">
        <v>11</v>
      </c>
      <c r="E35" s="135">
        <v>25</v>
      </c>
      <c r="F35" s="92" t="str">
        <f t="shared" si="0"/>
        <v>600290025</v>
      </c>
      <c r="G35" t="str">
        <f>F35&amp;TEXT(COUNTIF(F$2:F35,F35),"00")</f>
        <v>60029002502</v>
      </c>
      <c r="H35" s="94" t="s">
        <v>359</v>
      </c>
      <c r="I35" s="94">
        <v>2000</v>
      </c>
      <c r="J35" s="94" t="s">
        <v>343</v>
      </c>
      <c r="K35" s="94">
        <v>0</v>
      </c>
      <c r="L35" s="94">
        <v>0</v>
      </c>
      <c r="M35" s="94">
        <v>0</v>
      </c>
      <c r="N35" s="94">
        <v>0</v>
      </c>
      <c r="O35" s="94">
        <v>1</v>
      </c>
      <c r="P35" s="94">
        <v>1</v>
      </c>
      <c r="Q35" s="94">
        <v>1</v>
      </c>
      <c r="R35" s="94" t="s">
        <v>302</v>
      </c>
      <c r="S35" s="94" t="s">
        <v>360</v>
      </c>
      <c r="T35" s="94" t="s">
        <v>339</v>
      </c>
      <c r="U35" s="95" t="s">
        <v>340</v>
      </c>
    </row>
    <row r="36" spans="1:21" ht="28" x14ac:dyDescent="0.15">
      <c r="A36" s="80">
        <f>floors!$C$2</f>
        <v>60029</v>
      </c>
      <c r="B36" s="81" t="str">
        <f ca="1">VLOOKUP($A36,OFFSET([2]quests!$A$1,0,0,COUNTA([2]quests!$A:$A),MATCH(B$1,[2]quests!$1:$1,0)-MATCH($A$1,[2]quests!$1:$1,0)+1),MATCH(B$1,[2]quests!$1:$1,0)-MATCH($A$1,[2]quests!$1:$1,0)+1,FALSE)</f>
        <v xml:space="preserve">オイラーチャレンジ </v>
      </c>
      <c r="C36" s="81" t="str">
        <f ca="1">VLOOKUP($A36,OFFSET([2]quests!$A$1,0,0,COUNTA([2]quests!$A:$A),MATCH(C$1,[2]quests!$1:$1,0)-MATCH($A$1,[2]quests!$1:$1,0)+1),MATCH(C$1,[2]quests!$1:$1,0)-MATCH($A$1,[2]quests!$1:$1,0)+1,FALSE)</f>
        <v>ランキング1（3回目）</v>
      </c>
      <c r="D36" s="134">
        <v>11</v>
      </c>
      <c r="E36" s="135">
        <v>25</v>
      </c>
      <c r="F36" s="92" t="str">
        <f t="shared" si="0"/>
        <v>600290025</v>
      </c>
      <c r="G36" t="str">
        <f>F36&amp;TEXT(COUNTIF(F$2:F36,F36),"00")</f>
        <v>60029002503</v>
      </c>
      <c r="H36" s="94" t="s">
        <v>165</v>
      </c>
      <c r="I36" s="94">
        <v>200000</v>
      </c>
      <c r="J36" s="94" t="s">
        <v>343</v>
      </c>
      <c r="K36" s="94">
        <v>0</v>
      </c>
      <c r="L36" s="94">
        <v>0</v>
      </c>
      <c r="M36" s="94">
        <v>0</v>
      </c>
      <c r="N36" s="94">
        <v>0</v>
      </c>
      <c r="O36" s="94">
        <v>1</v>
      </c>
      <c r="P36" s="94">
        <v>1</v>
      </c>
      <c r="Q36" s="94">
        <v>1</v>
      </c>
      <c r="R36" s="94" t="s">
        <v>302</v>
      </c>
      <c r="S36" s="94" t="s">
        <v>366</v>
      </c>
      <c r="T36" s="94" t="s">
        <v>339</v>
      </c>
      <c r="U36" s="95" t="s">
        <v>340</v>
      </c>
    </row>
    <row r="37" spans="1:21" ht="28" x14ac:dyDescent="0.15">
      <c r="A37" s="80">
        <f>floors!$C$2</f>
        <v>60029</v>
      </c>
      <c r="B37" s="81" t="str">
        <f ca="1">VLOOKUP($A37,OFFSET([2]quests!$A$1,0,0,COUNTA([2]quests!$A:$A),MATCH(B$1,[2]quests!$1:$1,0)-MATCH($A$1,[2]quests!$1:$1,0)+1),MATCH(B$1,[2]quests!$1:$1,0)-MATCH($A$1,[2]quests!$1:$1,0)+1,FALSE)</f>
        <v xml:space="preserve">オイラーチャレンジ </v>
      </c>
      <c r="C37" s="81" t="str">
        <f ca="1">VLOOKUP($A37,OFFSET([2]quests!$A$1,0,0,COUNTA([2]quests!$A:$A),MATCH(C$1,[2]quests!$1:$1,0)-MATCH($A$1,[2]quests!$1:$1,0)+1),MATCH(C$1,[2]quests!$1:$1,0)-MATCH($A$1,[2]quests!$1:$1,0)+1,FALSE)</f>
        <v>ランキング1（3回目）</v>
      </c>
      <c r="D37" s="134">
        <v>26</v>
      </c>
      <c r="E37" s="135">
        <v>35</v>
      </c>
      <c r="F37" s="92" t="str">
        <f t="shared" si="0"/>
        <v>600290035</v>
      </c>
      <c r="G37" t="str">
        <f>F37&amp;TEXT(COUNTIF(F$2:F37,F37),"00")</f>
        <v>60029003501</v>
      </c>
      <c r="H37" s="94" t="s">
        <v>342</v>
      </c>
      <c r="I37" s="94">
        <v>2</v>
      </c>
      <c r="J37" s="94" t="s">
        <v>343</v>
      </c>
      <c r="K37" s="94">
        <v>0</v>
      </c>
      <c r="L37" s="94">
        <v>0</v>
      </c>
      <c r="M37" s="94">
        <v>0</v>
      </c>
      <c r="N37" s="94">
        <v>0</v>
      </c>
      <c r="O37" s="94">
        <v>1</v>
      </c>
      <c r="P37" s="94">
        <v>1</v>
      </c>
      <c r="Q37" s="94">
        <v>1</v>
      </c>
      <c r="R37" s="94" t="s">
        <v>302</v>
      </c>
      <c r="S37" s="94" t="s">
        <v>367</v>
      </c>
      <c r="T37" s="94" t="s">
        <v>339</v>
      </c>
      <c r="U37" s="95" t="s">
        <v>340</v>
      </c>
    </row>
    <row r="38" spans="1:21" ht="28" x14ac:dyDescent="0.15">
      <c r="A38" s="80">
        <f>floors!$C$2</f>
        <v>60029</v>
      </c>
      <c r="B38" s="81" t="str">
        <f ca="1">VLOOKUP($A38,OFFSET([2]quests!$A$1,0,0,COUNTA([2]quests!$A:$A),MATCH(B$1,[2]quests!$1:$1,0)-MATCH($A$1,[2]quests!$1:$1,0)+1),MATCH(B$1,[2]quests!$1:$1,0)-MATCH($A$1,[2]quests!$1:$1,0)+1,FALSE)</f>
        <v xml:space="preserve">オイラーチャレンジ </v>
      </c>
      <c r="C38" s="81" t="str">
        <f ca="1">VLOOKUP($A38,OFFSET([2]quests!$A$1,0,0,COUNTA([2]quests!$A:$A),MATCH(C$1,[2]quests!$1:$1,0)-MATCH($A$1,[2]quests!$1:$1,0)+1),MATCH(C$1,[2]quests!$1:$1,0)-MATCH($A$1,[2]quests!$1:$1,0)+1,FALSE)</f>
        <v>ランキング1（3回目）</v>
      </c>
      <c r="D38" s="134">
        <v>26</v>
      </c>
      <c r="E38" s="135">
        <v>35</v>
      </c>
      <c r="F38" s="92" t="str">
        <f t="shared" si="0"/>
        <v>600290035</v>
      </c>
      <c r="G38" t="str">
        <f>F38&amp;TEXT(COUNTIF(F$2:F38,F38),"00")</f>
        <v>60029003502</v>
      </c>
      <c r="H38" s="94" t="s">
        <v>359</v>
      </c>
      <c r="I38" s="94">
        <v>1000</v>
      </c>
      <c r="J38" s="94" t="s">
        <v>343</v>
      </c>
      <c r="K38" s="94">
        <v>0</v>
      </c>
      <c r="L38" s="94">
        <v>0</v>
      </c>
      <c r="M38" s="94">
        <v>0</v>
      </c>
      <c r="N38" s="94">
        <v>0</v>
      </c>
      <c r="O38" s="94">
        <v>1</v>
      </c>
      <c r="P38" s="94">
        <v>1</v>
      </c>
      <c r="Q38" s="94">
        <v>1</v>
      </c>
      <c r="R38" s="94" t="s">
        <v>302</v>
      </c>
      <c r="S38" s="94" t="s">
        <v>368</v>
      </c>
      <c r="T38" s="94" t="s">
        <v>339</v>
      </c>
      <c r="U38" s="95" t="s">
        <v>340</v>
      </c>
    </row>
    <row r="39" spans="1:21" ht="28" x14ac:dyDescent="0.15">
      <c r="A39" s="80">
        <f>floors!$C$2</f>
        <v>60029</v>
      </c>
      <c r="B39" s="81" t="str">
        <f ca="1">VLOOKUP($A39,OFFSET([2]quests!$A$1,0,0,COUNTA([2]quests!$A:$A),MATCH(B$1,[2]quests!$1:$1,0)-MATCH($A$1,[2]quests!$1:$1,0)+1),MATCH(B$1,[2]quests!$1:$1,0)-MATCH($A$1,[2]quests!$1:$1,0)+1,FALSE)</f>
        <v xml:space="preserve">オイラーチャレンジ </v>
      </c>
      <c r="C39" s="81" t="str">
        <f ca="1">VLOOKUP($A39,OFFSET([2]quests!$A$1,0,0,COUNTA([2]quests!$A:$A),MATCH(C$1,[2]quests!$1:$1,0)-MATCH($A$1,[2]quests!$1:$1,0)+1),MATCH(C$1,[2]quests!$1:$1,0)-MATCH($A$1,[2]quests!$1:$1,0)+1,FALSE)</f>
        <v>ランキング1（3回目）</v>
      </c>
      <c r="D39" s="134">
        <v>26</v>
      </c>
      <c r="E39" s="135">
        <v>35</v>
      </c>
      <c r="F39" s="92" t="str">
        <f t="shared" si="0"/>
        <v>600290035</v>
      </c>
      <c r="G39" t="str">
        <f>F39&amp;TEXT(COUNTIF(F$2:F39,F39),"00")</f>
        <v>60029003503</v>
      </c>
      <c r="H39" s="94" t="s">
        <v>165</v>
      </c>
      <c r="I39" s="94">
        <v>150000</v>
      </c>
      <c r="J39" s="94" t="s">
        <v>343</v>
      </c>
      <c r="K39" s="94">
        <v>0</v>
      </c>
      <c r="L39" s="94">
        <v>0</v>
      </c>
      <c r="M39" s="94">
        <v>0</v>
      </c>
      <c r="N39" s="94">
        <v>0</v>
      </c>
      <c r="O39" s="94">
        <v>1</v>
      </c>
      <c r="P39" s="94">
        <v>1</v>
      </c>
      <c r="Q39" s="94">
        <v>1</v>
      </c>
      <c r="R39" s="94" t="s">
        <v>302</v>
      </c>
      <c r="S39" s="94" t="s">
        <v>369</v>
      </c>
      <c r="T39" s="94" t="s">
        <v>339</v>
      </c>
      <c r="U39" s="95" t="s">
        <v>340</v>
      </c>
    </row>
    <row r="40" spans="1:21" ht="28" x14ac:dyDescent="0.15">
      <c r="A40" s="80">
        <f>floors!$C$2</f>
        <v>60029</v>
      </c>
      <c r="B40" s="81" t="str">
        <f ca="1">VLOOKUP($A40,OFFSET([2]quests!$A$1,0,0,COUNTA([2]quests!$A:$A),MATCH(B$1,[2]quests!$1:$1,0)-MATCH($A$1,[2]quests!$1:$1,0)+1),MATCH(B$1,[2]quests!$1:$1,0)-MATCH($A$1,[2]quests!$1:$1,0)+1,FALSE)</f>
        <v xml:space="preserve">オイラーチャレンジ </v>
      </c>
      <c r="C40" s="81" t="str">
        <f ca="1">VLOOKUP($A40,OFFSET([2]quests!$A$1,0,0,COUNTA([2]quests!$A:$A),MATCH(C$1,[2]quests!$1:$1,0)-MATCH($A$1,[2]quests!$1:$1,0)+1),MATCH(C$1,[2]quests!$1:$1,0)-MATCH($A$1,[2]quests!$1:$1,0)+1,FALSE)</f>
        <v>ランキング1（3回目）</v>
      </c>
      <c r="D40" s="134">
        <v>36</v>
      </c>
      <c r="E40" s="135">
        <v>1000</v>
      </c>
      <c r="F40" s="92" t="str">
        <f t="shared" si="0"/>
        <v>600291000</v>
      </c>
      <c r="G40" t="str">
        <f>F40&amp;TEXT(COUNTIF(F$2:F40,F40),"00")</f>
        <v>60029100001</v>
      </c>
      <c r="H40" s="94" t="s">
        <v>342</v>
      </c>
      <c r="I40" s="94">
        <v>1</v>
      </c>
      <c r="J40" s="94" t="s">
        <v>343</v>
      </c>
      <c r="K40" s="94">
        <v>0</v>
      </c>
      <c r="L40" s="94">
        <v>0</v>
      </c>
      <c r="M40" s="94">
        <v>0</v>
      </c>
      <c r="N40" s="94">
        <v>0</v>
      </c>
      <c r="O40" s="94">
        <v>1</v>
      </c>
      <c r="P40" s="94">
        <v>1</v>
      </c>
      <c r="Q40" s="94">
        <v>1</v>
      </c>
      <c r="R40" s="94" t="s">
        <v>302</v>
      </c>
      <c r="S40" s="94" t="s">
        <v>370</v>
      </c>
      <c r="T40" s="94" t="s">
        <v>339</v>
      </c>
      <c r="U40" s="95" t="s">
        <v>340</v>
      </c>
    </row>
    <row r="41" spans="1:21" ht="28" x14ac:dyDescent="0.15">
      <c r="A41" s="80">
        <f>floors!$C$2</f>
        <v>60029</v>
      </c>
      <c r="B41" s="81" t="str">
        <f ca="1">VLOOKUP($A41,OFFSET([2]quests!$A$1,0,0,COUNTA([2]quests!$A:$A),MATCH(B$1,[2]quests!$1:$1,0)-MATCH($A$1,[2]quests!$1:$1,0)+1),MATCH(B$1,[2]quests!$1:$1,0)-MATCH($A$1,[2]quests!$1:$1,0)+1,FALSE)</f>
        <v xml:space="preserve">オイラーチャレンジ </v>
      </c>
      <c r="C41" s="81" t="str">
        <f ca="1">VLOOKUP($A41,OFFSET([2]quests!$A$1,0,0,COUNTA([2]quests!$A:$A),MATCH(C$1,[2]quests!$1:$1,0)-MATCH($A$1,[2]quests!$1:$1,0)+1),MATCH(C$1,[2]quests!$1:$1,0)-MATCH($A$1,[2]quests!$1:$1,0)+1,FALSE)</f>
        <v>ランキング1（3回目）</v>
      </c>
      <c r="D41" s="134">
        <v>36</v>
      </c>
      <c r="E41" s="135">
        <v>1000</v>
      </c>
      <c r="F41" s="92" t="str">
        <f t="shared" si="0"/>
        <v>600291000</v>
      </c>
      <c r="G41" t="str">
        <f>F41&amp;TEXT(COUNTIF(F$2:F41,F41),"00")</f>
        <v>60029100002</v>
      </c>
      <c r="H41" s="94" t="s">
        <v>359</v>
      </c>
      <c r="I41" s="94">
        <v>1000</v>
      </c>
      <c r="J41" s="94" t="s">
        <v>343</v>
      </c>
      <c r="K41" s="94">
        <v>0</v>
      </c>
      <c r="L41" s="94">
        <v>0</v>
      </c>
      <c r="M41" s="94">
        <v>0</v>
      </c>
      <c r="N41" s="94">
        <v>0</v>
      </c>
      <c r="O41" s="94">
        <v>1</v>
      </c>
      <c r="P41" s="94">
        <v>1</v>
      </c>
      <c r="Q41" s="94">
        <v>1</v>
      </c>
      <c r="R41" s="94" t="s">
        <v>302</v>
      </c>
      <c r="S41" s="94" t="s">
        <v>368</v>
      </c>
      <c r="T41" s="94" t="s">
        <v>339</v>
      </c>
      <c r="U41" s="95" t="s">
        <v>340</v>
      </c>
    </row>
    <row r="42" spans="1:21" ht="28" x14ac:dyDescent="0.15">
      <c r="A42" s="80">
        <f>floors!$C$2</f>
        <v>60029</v>
      </c>
      <c r="B42" s="81" t="str">
        <f ca="1">VLOOKUP($A42,OFFSET([2]quests!$A$1,0,0,COUNTA([2]quests!$A:$A),MATCH(B$1,[2]quests!$1:$1,0)-MATCH($A$1,[2]quests!$1:$1,0)+1),MATCH(B$1,[2]quests!$1:$1,0)-MATCH($A$1,[2]quests!$1:$1,0)+1,FALSE)</f>
        <v xml:space="preserve">オイラーチャレンジ </v>
      </c>
      <c r="C42" s="81" t="str">
        <f ca="1">VLOOKUP($A42,OFFSET([2]quests!$A$1,0,0,COUNTA([2]quests!$A:$A),MATCH(C$1,[2]quests!$1:$1,0)-MATCH($A$1,[2]quests!$1:$1,0)+1),MATCH(C$1,[2]quests!$1:$1,0)-MATCH($A$1,[2]quests!$1:$1,0)+1,FALSE)</f>
        <v>ランキング1（3回目）</v>
      </c>
      <c r="D42" s="134">
        <v>36</v>
      </c>
      <c r="E42" s="135">
        <v>1000</v>
      </c>
      <c r="F42" s="92" t="str">
        <f t="shared" si="0"/>
        <v>600291000</v>
      </c>
      <c r="G42" t="str">
        <f>F42&amp;TEXT(COUNTIF(F$2:F42,F42),"00")</f>
        <v>60029100003</v>
      </c>
      <c r="H42" s="94" t="s">
        <v>165</v>
      </c>
      <c r="I42" s="94">
        <v>100000</v>
      </c>
      <c r="J42" s="94" t="s">
        <v>343</v>
      </c>
      <c r="K42" s="94">
        <v>0</v>
      </c>
      <c r="L42" s="94">
        <v>0</v>
      </c>
      <c r="M42" s="94">
        <v>0</v>
      </c>
      <c r="N42" s="94">
        <v>0</v>
      </c>
      <c r="O42" s="94">
        <v>1</v>
      </c>
      <c r="P42" s="94">
        <v>1</v>
      </c>
      <c r="Q42" s="94">
        <v>1</v>
      </c>
      <c r="R42" s="94" t="s">
        <v>302</v>
      </c>
      <c r="S42" s="94" t="s">
        <v>371</v>
      </c>
      <c r="T42" s="94" t="s">
        <v>339</v>
      </c>
      <c r="U42" s="95" t="s">
        <v>340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O14"/>
  <sheetViews>
    <sheetView showGridLines="0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U6" sqref="U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3" customWidth="1"/>
    <col min="21" max="21" width="17.5" style="3" bestFit="1" customWidth="1"/>
    <col min="22" max="22" width="18.33203125" style="3" bestFit="1" customWidth="1"/>
    <col min="23" max="23" width="10" style="3" customWidth="1"/>
    <col min="24" max="24" width="12.1640625" style="3" customWidth="1" outlineLevel="1"/>
    <col min="25" max="25" width="11.33203125" style="3" bestFit="1" customWidth="1"/>
    <col min="26" max="26" width="11.6640625" style="3" bestFit="1" customWidth="1"/>
    <col min="27" max="27" width="10.6640625" style="3" bestFit="1" customWidth="1"/>
    <col min="28" max="28" width="9.33203125" style="3" bestFit="1" customWidth="1"/>
    <col min="29" max="29" width="13" style="3" bestFit="1" customWidth="1"/>
    <col min="30" max="30" width="8.83203125" style="13" bestFit="1" customWidth="1" outlineLevel="1"/>
    <col min="31" max="31" width="8" style="14" bestFit="1" customWidth="1" outlineLevel="1"/>
    <col min="32" max="32" width="12" style="14" bestFit="1" customWidth="1" outlineLevel="1"/>
    <col min="33" max="33" width="15" style="10" bestFit="1" customWidth="1" collapsed="1"/>
    <col min="34" max="35" width="14.83203125" style="3" bestFit="1" customWidth="1"/>
    <col min="36" max="36" width="6.6640625" style="3" bestFit="1" customWidth="1"/>
    <col min="37" max="37" width="9.33203125" style="3" bestFit="1" customWidth="1"/>
    <col min="38" max="38" width="10.33203125" style="3" bestFit="1" customWidth="1"/>
    <col min="39" max="39" width="7.6640625" style="3" bestFit="1" customWidth="1"/>
    <col min="40" max="40" width="4" style="3" bestFit="1" customWidth="1"/>
    <col min="41" max="16384" width="13" style="3"/>
  </cols>
  <sheetData>
    <row r="1" spans="1:41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/>
      <c r="U1" s="26" t="s">
        <v>50</v>
      </c>
      <c r="V1" s="26" t="s">
        <v>52</v>
      </c>
      <c r="W1" s="29" t="s">
        <v>31</v>
      </c>
      <c r="X1" s="28" t="s">
        <v>4</v>
      </c>
      <c r="Y1" s="28" t="s">
        <v>5</v>
      </c>
      <c r="Z1" s="28" t="s">
        <v>6</v>
      </c>
      <c r="AA1" s="28" t="s">
        <v>7</v>
      </c>
      <c r="AB1" s="28" t="s">
        <v>8</v>
      </c>
      <c r="AC1" s="33" t="s">
        <v>9</v>
      </c>
      <c r="AD1" s="34" t="s">
        <v>16</v>
      </c>
      <c r="AE1" s="34" t="s">
        <v>17</v>
      </c>
      <c r="AF1" s="34" t="s">
        <v>27</v>
      </c>
      <c r="AG1" s="33" t="s">
        <v>10</v>
      </c>
      <c r="AH1" s="28" t="s">
        <v>11</v>
      </c>
      <c r="AI1" s="28" t="s">
        <v>12</v>
      </c>
      <c r="AJ1" s="28" t="s">
        <v>38</v>
      </c>
      <c r="AK1" s="28" t="s">
        <v>40</v>
      </c>
      <c r="AL1" s="28" t="s">
        <v>42</v>
      </c>
      <c r="AM1" s="28" t="s">
        <v>44</v>
      </c>
      <c r="AN1" s="28" t="s">
        <v>46</v>
      </c>
      <c r="AO1" s="36" t="s">
        <v>174</v>
      </c>
    </row>
    <row r="2" spans="1:41" ht="21" customHeight="1" x14ac:dyDescent="0.15">
      <c r="A2" s="16" t="str">
        <f>B2&amp;"_"&amp;C2&amp;"-"&amp;G2&amp;"/"&amp;L2&amp;"&lt;lv"&amp;R2&amp;"&gt;s"&amp;AB2</f>
        <v>60029_1-1/28&lt;lv60&gt;s2</v>
      </c>
      <c r="B2" s="22">
        <v>60029</v>
      </c>
      <c r="C2" s="21">
        <v>1</v>
      </c>
      <c r="D2" s="2" t="str">
        <f>B2&amp;"_"&amp;C2</f>
        <v>60029_1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オイラーチャレンジ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>オイラーチャレンジ</v>
      </c>
      <c r="G2" s="21">
        <v>1</v>
      </c>
      <c r="H2" s="15" t="str">
        <f>B2&amp;"_"&amp;C2&amp;"-"&amp;G2</f>
        <v>60029_1-1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343</v>
      </c>
      <c r="L2" s="20">
        <v>28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現場急行 パトラインカスタム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5">
        <v>2</v>
      </c>
      <c r="T2" s="184">
        <f>10037*S2</f>
        <v>20074</v>
      </c>
      <c r="U2" s="25">
        <v>1.5</v>
      </c>
      <c r="V2" s="5">
        <v>0</v>
      </c>
      <c r="W2" s="4"/>
      <c r="X2" s="137">
        <v>60029900</v>
      </c>
      <c r="Y2" s="6">
        <v>1</v>
      </c>
      <c r="Z2" s="6">
        <v>100</v>
      </c>
      <c r="AA2" s="6">
        <v>0</v>
      </c>
      <c r="AB2" s="136">
        <v>2</v>
      </c>
      <c r="AC2" s="24">
        <f>L2</f>
        <v>28</v>
      </c>
      <c r="AD2" s="4" t="str">
        <f ca="1">VLOOKUP($AC2,OFFSET([4]characters!$A$1,0,0,COUNTA([4]characters!$A:$A),MATCH(AD$1,[4]characters!$1:$1,0)-MATCH("character_id",[4]characters!$1:$1,0)+1),MATCH(AD$1,[4]characters!$1:$1,0)-MATCH("character_id",[4]characters!$1:$1,0)+1,FALSE)</f>
        <v>現場急行 パトラインカスタム</v>
      </c>
      <c r="AE2" s="4">
        <f ca="1">VLOOKUP($AC2,OFFSET([4]characters!$A$1,0,0,COUNTA([4]characters!$A:$A),MATCH(AE$1,[4]characters!$1:$1,0)-MATCH("character_id",[4]characters!$1:$1,0)+1),MATCH(AE$1,[4]characters!$1:$1,0)-MATCH("character_id",[4]characters!$1:$1,0)+1,FALSE)</f>
        <v>2</v>
      </c>
      <c r="AF2" s="4" t="str">
        <f ca="1">VLOOKUP($AC2,OFFSET([4]characters!$A$1,0,0,COUNTA([4]characters!$A:$A),MATCH(AF$1,[4]characters!$1:$1,0)-MATCH("character_id",[4]characters!$1:$1,0)+1),MATCH(AF$1,[4]characters!$1:$1,0)-MATCH("character_id",[4]characters!$1:$1,0)+1,FALSE)</f>
        <v>Drop1N</v>
      </c>
      <c r="AG2" s="7">
        <v>1</v>
      </c>
      <c r="AH2" s="24">
        <f ca="1">AE2</f>
        <v>2</v>
      </c>
      <c r="AI2" s="8">
        <v>0</v>
      </c>
      <c r="AJ2" s="7">
        <v>0</v>
      </c>
      <c r="AK2" s="7">
        <v>0</v>
      </c>
      <c r="AL2" s="7">
        <v>0</v>
      </c>
      <c r="AM2" s="7">
        <v>0</v>
      </c>
      <c r="AN2" s="7">
        <v>1</v>
      </c>
      <c r="AO2" s="69">
        <v>1</v>
      </c>
    </row>
    <row r="3" spans="1:41" ht="21" customHeight="1" x14ac:dyDescent="0.15">
      <c r="A3" s="16" t="str">
        <f t="shared" ref="A3:A12" si="0">B3&amp;"_"&amp;C3&amp;"-"&amp;G3&amp;"/"&amp;L3&amp;"&lt;lv"&amp;R3&amp;"&gt;s"&amp;AB3</f>
        <v>60029_1-1/28&lt;lv61&gt;s2</v>
      </c>
      <c r="B3" s="22">
        <v>60029</v>
      </c>
      <c r="C3" s="21">
        <v>1</v>
      </c>
      <c r="D3" s="2" t="str">
        <f t="shared" ref="D3:D12" si="1">B3&amp;"_"&amp;C3</f>
        <v>60029_1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オイラーチャレンジ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>オイラーチャレンジ</v>
      </c>
      <c r="G3" s="21">
        <v>1</v>
      </c>
      <c r="H3" s="15" t="str">
        <f t="shared" ref="H3:H12" si="2">B3&amp;"_"&amp;C3&amp;"-"&amp;G3</f>
        <v>60029_1-1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343</v>
      </c>
      <c r="L3" s="20">
        <v>28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現場急行 パトラインカスタム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61</v>
      </c>
      <c r="S3" s="25">
        <v>2</v>
      </c>
      <c r="T3" s="184">
        <f>10201*S3</f>
        <v>20402</v>
      </c>
      <c r="U3" s="25">
        <v>1.9</v>
      </c>
      <c r="V3" s="5">
        <v>0</v>
      </c>
      <c r="W3" s="4"/>
      <c r="X3" s="137">
        <v>0</v>
      </c>
      <c r="Y3" s="6">
        <v>1</v>
      </c>
      <c r="Z3" s="6">
        <v>100</v>
      </c>
      <c r="AA3" s="6">
        <v>0</v>
      </c>
      <c r="AB3" s="136">
        <v>2</v>
      </c>
      <c r="AC3" s="24">
        <f t="shared" ref="AC3:AC12" si="3">L3</f>
        <v>28</v>
      </c>
      <c r="AD3" s="4" t="str">
        <f ca="1">VLOOKUP($AC3,OFFSET([4]characters!$A$1,0,0,COUNTA([4]characters!$A:$A),MATCH(AD$1,[4]characters!$1:$1,0)-MATCH("character_id",[4]characters!$1:$1,0)+1),MATCH(AD$1,[4]characters!$1:$1,0)-MATCH("character_id",[4]characters!$1:$1,0)+1,FALSE)</f>
        <v>現場急行 パトラインカスタム</v>
      </c>
      <c r="AE3" s="4">
        <f ca="1">VLOOKUP($AC3,OFFSET([4]characters!$A$1,0,0,COUNTA([4]characters!$A:$A),MATCH(AE$1,[4]characters!$1:$1,0)-MATCH("character_id",[4]characters!$1:$1,0)+1),MATCH(AE$1,[4]characters!$1:$1,0)-MATCH("character_id",[4]characters!$1:$1,0)+1,FALSE)</f>
        <v>2</v>
      </c>
      <c r="AF3" s="4" t="str">
        <f ca="1">VLOOKUP($AC3,OFFSET([4]characters!$A$1,0,0,COUNTA([4]characters!$A:$A),MATCH(AF$1,[4]characters!$1:$1,0)-MATCH("character_id",[4]characters!$1:$1,0)+1),MATCH(AF$1,[4]characters!$1:$1,0)-MATCH("character_id",[4]characters!$1:$1,0)+1,FALSE)</f>
        <v>Drop1N</v>
      </c>
      <c r="AG3" s="7">
        <v>1</v>
      </c>
      <c r="AH3" s="24">
        <f t="shared" ref="AH3:AH12" ca="1" si="4">AE3</f>
        <v>2</v>
      </c>
      <c r="AI3" s="8">
        <v>0</v>
      </c>
      <c r="AJ3" s="7">
        <v>0</v>
      </c>
      <c r="AK3" s="7">
        <v>0</v>
      </c>
      <c r="AL3" s="7">
        <v>0</v>
      </c>
      <c r="AM3" s="7">
        <v>0</v>
      </c>
      <c r="AN3" s="7">
        <v>1</v>
      </c>
      <c r="AO3" s="69">
        <v>1</v>
      </c>
    </row>
    <row r="4" spans="1:41" ht="21" customHeight="1" x14ac:dyDescent="0.15">
      <c r="A4" s="16" t="str">
        <f t="shared" si="0"/>
        <v>60029_1-1/28&lt;lv62&gt;s3</v>
      </c>
      <c r="B4" s="22">
        <v>60029</v>
      </c>
      <c r="C4" s="21">
        <v>1</v>
      </c>
      <c r="D4" s="2" t="str">
        <f t="shared" si="1"/>
        <v>60029_1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オイラーチャレンジ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>オイラーチャレンジ</v>
      </c>
      <c r="G4" s="21">
        <v>1</v>
      </c>
      <c r="H4" s="15" t="str">
        <f t="shared" si="2"/>
        <v>60029_1-1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343</v>
      </c>
      <c r="L4" s="20">
        <v>28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現場急行 パトラインカスタム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62</v>
      </c>
      <c r="S4" s="25">
        <v>2</v>
      </c>
      <c r="T4" s="184">
        <f>10364*S4</f>
        <v>20728</v>
      </c>
      <c r="U4" s="25">
        <v>1.9</v>
      </c>
      <c r="V4" s="5">
        <v>0</v>
      </c>
      <c r="W4" s="4"/>
      <c r="X4" s="137">
        <v>0</v>
      </c>
      <c r="Y4" s="6">
        <v>1</v>
      </c>
      <c r="Z4" s="6">
        <v>100</v>
      </c>
      <c r="AA4" s="6">
        <v>0</v>
      </c>
      <c r="AB4" s="136">
        <v>3</v>
      </c>
      <c r="AC4" s="24">
        <f t="shared" si="3"/>
        <v>28</v>
      </c>
      <c r="AD4" s="4" t="str">
        <f ca="1">VLOOKUP($AC4,OFFSET([4]characters!$A$1,0,0,COUNTA([4]characters!$A:$A),MATCH(AD$1,[4]characters!$1:$1,0)-MATCH("character_id",[4]characters!$1:$1,0)+1),MATCH(AD$1,[4]characters!$1:$1,0)-MATCH("character_id",[4]characters!$1:$1,0)+1,FALSE)</f>
        <v>現場急行 パトラインカスタム</v>
      </c>
      <c r="AE4" s="4">
        <f ca="1">VLOOKUP($AC4,OFFSET([4]characters!$A$1,0,0,COUNTA([4]characters!$A:$A),MATCH(AE$1,[4]characters!$1:$1,0)-MATCH("character_id",[4]characters!$1:$1,0)+1),MATCH(AE$1,[4]characters!$1:$1,0)-MATCH("character_id",[4]characters!$1:$1,0)+1,FALSE)</f>
        <v>2</v>
      </c>
      <c r="AF4" s="4" t="str">
        <f ca="1">VLOOKUP($AC4,OFFSET([4]characters!$A$1,0,0,COUNTA([4]characters!$A:$A),MATCH(AF$1,[4]characters!$1:$1,0)-MATCH("character_id",[4]characters!$1:$1,0)+1),MATCH(AF$1,[4]characters!$1:$1,0)-MATCH("character_id",[4]characters!$1:$1,0)+1,FALSE)</f>
        <v>Drop1N</v>
      </c>
      <c r="AG4" s="7">
        <v>1</v>
      </c>
      <c r="AH4" s="24">
        <f t="shared" ca="1" si="4"/>
        <v>2</v>
      </c>
      <c r="AI4" s="8">
        <v>0</v>
      </c>
      <c r="AJ4" s="7">
        <v>0</v>
      </c>
      <c r="AK4" s="7">
        <v>0</v>
      </c>
      <c r="AL4" s="7">
        <v>0</v>
      </c>
      <c r="AM4" s="7">
        <v>0</v>
      </c>
      <c r="AN4" s="7">
        <v>1</v>
      </c>
      <c r="AO4" s="69">
        <v>1</v>
      </c>
    </row>
    <row r="5" spans="1:41" ht="21" customHeight="1" x14ac:dyDescent="0.15">
      <c r="A5" s="16" t="str">
        <f t="shared" si="0"/>
        <v>60029_1-1/28&lt;lv63&gt;s3</v>
      </c>
      <c r="B5" s="22">
        <v>60029</v>
      </c>
      <c r="C5" s="21">
        <v>1</v>
      </c>
      <c r="D5" s="2" t="str">
        <f t="shared" si="1"/>
        <v>60029_1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オイラーチャレンジ </v>
      </c>
      <c r="F5" s="4" t="str">
        <f ca="1">VLOOKUP($D5,OFFSET([2]stages!$A$1,0,0,COUNTA([2]stages!$A:$A),MATCH(F$1,[2]stages!$2:$2,0)-MATCH($D$1,[2]stages!$2:$2,0)+1),MATCH(F$1,[2]stages!$2:$2,0)-MATCH($D$1,[2]stages!$2:$2,0)+1,FALSE)</f>
        <v>オイラーチャレンジ</v>
      </c>
      <c r="G5" s="21">
        <v>1</v>
      </c>
      <c r="H5" s="15" t="str">
        <f t="shared" si="2"/>
        <v>60029_1-1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343</v>
      </c>
      <c r="L5" s="20">
        <v>28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現場急行 パトラインカスタム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63</v>
      </c>
      <c r="S5" s="25">
        <v>2</v>
      </c>
      <c r="T5" s="184">
        <f>10527*S5</f>
        <v>21054</v>
      </c>
      <c r="U5" s="25">
        <v>2.9</v>
      </c>
      <c r="V5" s="5">
        <v>0</v>
      </c>
      <c r="W5" s="4"/>
      <c r="X5" s="137">
        <v>0</v>
      </c>
      <c r="Y5" s="6">
        <v>1</v>
      </c>
      <c r="Z5" s="6">
        <v>100</v>
      </c>
      <c r="AA5" s="6">
        <v>0</v>
      </c>
      <c r="AB5" s="136">
        <v>3</v>
      </c>
      <c r="AC5" s="24">
        <f t="shared" si="3"/>
        <v>28</v>
      </c>
      <c r="AD5" s="4" t="str">
        <f ca="1">VLOOKUP($AC5,OFFSET([4]characters!$A$1,0,0,COUNTA([4]characters!$A:$A),MATCH(AD$1,[4]characters!$1:$1,0)-MATCH("character_id",[4]characters!$1:$1,0)+1),MATCH(AD$1,[4]characters!$1:$1,0)-MATCH("character_id",[4]characters!$1:$1,0)+1,FALSE)</f>
        <v>現場急行 パトラインカスタム</v>
      </c>
      <c r="AE5" s="4">
        <f ca="1">VLOOKUP($AC5,OFFSET([4]characters!$A$1,0,0,COUNTA([4]characters!$A:$A),MATCH(AE$1,[4]characters!$1:$1,0)-MATCH("character_id",[4]characters!$1:$1,0)+1),MATCH(AE$1,[4]characters!$1:$1,0)-MATCH("character_id",[4]characters!$1:$1,0)+1,FALSE)</f>
        <v>2</v>
      </c>
      <c r="AF5" s="4" t="str">
        <f ca="1">VLOOKUP($AC5,OFFSET([4]characters!$A$1,0,0,COUNTA([4]characters!$A:$A),MATCH(AF$1,[4]characters!$1:$1,0)-MATCH("character_id",[4]characters!$1:$1,0)+1),MATCH(AF$1,[4]characters!$1:$1,0)-MATCH("character_id",[4]characters!$1:$1,0)+1,FALSE)</f>
        <v>Drop1N</v>
      </c>
      <c r="AG5" s="7">
        <v>1</v>
      </c>
      <c r="AH5" s="24">
        <f t="shared" ca="1" si="4"/>
        <v>2</v>
      </c>
      <c r="AI5" s="8">
        <v>0</v>
      </c>
      <c r="AJ5" s="7">
        <v>0</v>
      </c>
      <c r="AK5" s="7">
        <v>0</v>
      </c>
      <c r="AL5" s="7">
        <v>0</v>
      </c>
      <c r="AM5" s="7">
        <v>0</v>
      </c>
      <c r="AN5" s="7">
        <v>1</v>
      </c>
      <c r="AO5" s="69">
        <v>1</v>
      </c>
    </row>
    <row r="6" spans="1:41" ht="21" customHeight="1" x14ac:dyDescent="0.15">
      <c r="A6" s="16" t="str">
        <f t="shared" si="0"/>
        <v>60029_1-2/36&lt;lv40&gt;s3</v>
      </c>
      <c r="B6" s="145">
        <v>60029</v>
      </c>
      <c r="C6" s="146">
        <v>1</v>
      </c>
      <c r="D6" s="146" t="str">
        <f t="shared" si="1"/>
        <v>60029_1</v>
      </c>
      <c r="E6" s="147" t="str">
        <f ca="1">VLOOKUP($B6,OFFSET([2]quests!$A$1,0,0,COUNTA([2]quests!$A:$A),MATCH(E$1,[2]quests!$1:$1,0)-MATCH($B$1,[2]quests!$1:$1,0)+1),MATCH(E$1,[2]quests!$1:$1,0)-MATCH($B$1,[2]quests!$1:$1,0)+1,FALSE)</f>
        <v xml:space="preserve">オイラーチャレンジ </v>
      </c>
      <c r="F6" s="147" t="str">
        <f ca="1">VLOOKUP($D6,OFFSET([2]stages!$A$1,0,0,COUNTA([2]stages!$A:$A),MATCH(F$1,[2]stages!$2:$2,0)-MATCH($D$1,[2]stages!$2:$2,0)+1),MATCH(F$1,[2]stages!$2:$2,0)-MATCH($D$1,[2]stages!$2:$2,0)+1,FALSE)</f>
        <v>オイラーチャレンジ</v>
      </c>
      <c r="G6" s="146">
        <v>2</v>
      </c>
      <c r="H6" s="148" t="str">
        <f t="shared" si="2"/>
        <v>60029_1-2</v>
      </c>
      <c r="I6" s="147">
        <f ca="1">VLOOKUP($H6,OFFSET(floors!$A$1,0,0,COUNTA(floors!$A:$A),MATCH(I$1,floors!$1:$1,0)-MATCH($H$1,floors!$1:$1,0)+1),MATCH(I$1,floors!$1:$1,0)-MATCH($H$1,floors!$1:$1,0)+1,FALSE)</f>
        <v>60</v>
      </c>
      <c r="J6" s="147">
        <f ca="1">VLOOKUP($H6,OFFSET(floors!$A$1,0,0,COUNTA(floors!$A:$A),MATCH(J$1,floors!$1:$1,0)-MATCH($H$1,floors!$1:$1,0)+1),MATCH(J$1,floors!$1:$1,0)-MATCH($H$1,floors!$1:$1,0)+1,FALSE)</f>
        <v>60</v>
      </c>
      <c r="K6" s="149" t="s">
        <v>343</v>
      </c>
      <c r="L6" s="146">
        <v>36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オフィス追尾型移動地雷F3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151">
        <v>40</v>
      </c>
      <c r="S6" s="150">
        <v>1.2</v>
      </c>
      <c r="T6" s="184">
        <f>25145*S6</f>
        <v>30174</v>
      </c>
      <c r="U6" s="150">
        <v>0.4</v>
      </c>
      <c r="V6" s="151">
        <v>0</v>
      </c>
      <c r="W6" s="4"/>
      <c r="X6" s="147">
        <v>60029100</v>
      </c>
      <c r="Y6" s="152">
        <v>0</v>
      </c>
      <c r="Z6" s="152">
        <v>100</v>
      </c>
      <c r="AA6" s="152">
        <v>0</v>
      </c>
      <c r="AB6" s="153">
        <v>3</v>
      </c>
      <c r="AC6" s="24">
        <f t="shared" si="3"/>
        <v>36</v>
      </c>
      <c r="AD6" s="4" t="str">
        <f ca="1">VLOOKUP($AC6,OFFSET([4]characters!$A$1,0,0,COUNTA([4]characters!$A:$A),MATCH(AD$1,[4]characters!$1:$1,0)-MATCH("character_id",[4]characters!$1:$1,0)+1),MATCH(AD$1,[4]characters!$1:$1,0)-MATCH("character_id",[4]characters!$1:$1,0)+1,FALSE)</f>
        <v>オフィス追尾型移動地雷F3</v>
      </c>
      <c r="AE6" s="4">
        <f ca="1">VLOOKUP($AC6,OFFSET([4]characters!$A$1,0,0,COUNTA([4]characters!$A:$A),MATCH(AE$1,[4]characters!$1:$1,0)-MATCH("character_id",[4]characters!$1:$1,0)+1),MATCH(AE$1,[4]characters!$1:$1,0)-MATCH("character_id",[4]characters!$1:$1,0)+1,FALSE)</f>
        <v>3</v>
      </c>
      <c r="AF6" s="4" t="str">
        <f ca="1">VLOOKUP($AC6,OFFSET([4]characters!$A$1,0,0,COUNTA([4]characters!$A:$A),MATCH(AF$1,[4]characters!$1:$1,0)-MATCH("character_id",[4]characters!$1:$1,0)+1),MATCH(AF$1,[4]characters!$1:$1,0)-MATCH("character_id",[4]characters!$1:$1,0)+1,FALSE)</f>
        <v>Drop1S</v>
      </c>
      <c r="AG6" s="7">
        <v>1</v>
      </c>
      <c r="AH6" s="24">
        <f t="shared" ca="1" si="4"/>
        <v>3</v>
      </c>
      <c r="AI6" s="8">
        <v>0</v>
      </c>
      <c r="AJ6" s="7">
        <v>0</v>
      </c>
      <c r="AK6" s="7">
        <v>0</v>
      </c>
      <c r="AL6" s="7">
        <v>0</v>
      </c>
      <c r="AM6" s="7">
        <v>0</v>
      </c>
      <c r="AN6" s="7">
        <v>1</v>
      </c>
      <c r="AO6" s="69">
        <v>1</v>
      </c>
    </row>
    <row r="7" spans="1:41" ht="21" customHeight="1" x14ac:dyDescent="0.15">
      <c r="A7" s="16" t="str">
        <f t="shared" si="0"/>
        <v>60029_1-2/36&lt;lv41&gt;s3</v>
      </c>
      <c r="B7" s="145">
        <v>60029</v>
      </c>
      <c r="C7" s="146">
        <v>1</v>
      </c>
      <c r="D7" s="146" t="str">
        <f t="shared" si="1"/>
        <v>60029_1</v>
      </c>
      <c r="E7" s="147" t="str">
        <f ca="1">VLOOKUP($B7,OFFSET([2]quests!$A$1,0,0,COUNTA([2]quests!$A:$A),MATCH(E$1,[2]quests!$1:$1,0)-MATCH($B$1,[2]quests!$1:$1,0)+1),MATCH(E$1,[2]quests!$1:$1,0)-MATCH($B$1,[2]quests!$1:$1,0)+1,FALSE)</f>
        <v xml:space="preserve">オイラーチャレンジ </v>
      </c>
      <c r="F7" s="147" t="str">
        <f ca="1">VLOOKUP($D7,OFFSET([2]stages!$A$1,0,0,COUNTA([2]stages!$A:$A),MATCH(F$1,[2]stages!$2:$2,0)-MATCH($D$1,[2]stages!$2:$2,0)+1),MATCH(F$1,[2]stages!$2:$2,0)-MATCH($D$1,[2]stages!$2:$2,0)+1,FALSE)</f>
        <v>オイラーチャレンジ</v>
      </c>
      <c r="G7" s="146">
        <v>2</v>
      </c>
      <c r="H7" s="148" t="str">
        <f t="shared" si="2"/>
        <v>60029_1-2</v>
      </c>
      <c r="I7" s="147">
        <f ca="1">VLOOKUP($H7,OFFSET(floors!$A$1,0,0,COUNTA(floors!$A:$A),MATCH(I$1,floors!$1:$1,0)-MATCH($H$1,floors!$1:$1,0)+1),MATCH(I$1,floors!$1:$1,0)-MATCH($H$1,floors!$1:$1,0)+1,FALSE)</f>
        <v>60</v>
      </c>
      <c r="J7" s="147">
        <f ca="1">VLOOKUP($H7,OFFSET(floors!$A$1,0,0,COUNTA(floors!$A:$A),MATCH(J$1,floors!$1:$1,0)-MATCH($H$1,floors!$1:$1,0)+1),MATCH(J$1,floors!$1:$1,0)-MATCH($H$1,floors!$1:$1,0)+1,FALSE)</f>
        <v>60</v>
      </c>
      <c r="K7" s="149" t="s">
        <v>343</v>
      </c>
      <c r="L7" s="146">
        <v>36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オフィス追尾型移動地雷F3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151">
        <v>41</v>
      </c>
      <c r="S7" s="150">
        <v>1.2</v>
      </c>
      <c r="T7" s="184">
        <f>25751*S7</f>
        <v>30901.199999999997</v>
      </c>
      <c r="U7" s="150">
        <v>0.4</v>
      </c>
      <c r="V7" s="151">
        <v>0</v>
      </c>
      <c r="W7" s="4"/>
      <c r="X7" s="147">
        <v>60029100</v>
      </c>
      <c r="Y7" s="152">
        <v>0</v>
      </c>
      <c r="Z7" s="152">
        <v>100</v>
      </c>
      <c r="AA7" s="152">
        <v>0</v>
      </c>
      <c r="AB7" s="153">
        <v>3</v>
      </c>
      <c r="AC7" s="24">
        <f t="shared" si="3"/>
        <v>36</v>
      </c>
      <c r="AD7" s="4" t="str">
        <f ca="1">VLOOKUP($AC7,OFFSET([4]characters!$A$1,0,0,COUNTA([4]characters!$A:$A),MATCH(AD$1,[4]characters!$1:$1,0)-MATCH("character_id",[4]characters!$1:$1,0)+1),MATCH(AD$1,[4]characters!$1:$1,0)-MATCH("character_id",[4]characters!$1:$1,0)+1,FALSE)</f>
        <v>オフィス追尾型移動地雷F3</v>
      </c>
      <c r="AE7" s="4">
        <f ca="1">VLOOKUP($AC7,OFFSET([4]characters!$A$1,0,0,COUNTA([4]characters!$A:$A),MATCH(AE$1,[4]characters!$1:$1,0)-MATCH("character_id",[4]characters!$1:$1,0)+1),MATCH(AE$1,[4]characters!$1:$1,0)-MATCH("character_id",[4]characters!$1:$1,0)+1,FALSE)</f>
        <v>3</v>
      </c>
      <c r="AF7" s="4" t="str">
        <f ca="1">VLOOKUP($AC7,OFFSET([4]characters!$A$1,0,0,COUNTA([4]characters!$A:$A),MATCH(AF$1,[4]characters!$1:$1,0)-MATCH("character_id",[4]characters!$1:$1,0)+1),MATCH(AF$1,[4]characters!$1:$1,0)-MATCH("character_id",[4]characters!$1:$1,0)+1,FALSE)</f>
        <v>Drop1S</v>
      </c>
      <c r="AG7" s="7">
        <v>1</v>
      </c>
      <c r="AH7" s="24">
        <f t="shared" ca="1" si="4"/>
        <v>3</v>
      </c>
      <c r="AI7" s="8">
        <v>0</v>
      </c>
      <c r="AJ7" s="7">
        <v>0</v>
      </c>
      <c r="AK7" s="7">
        <v>0</v>
      </c>
      <c r="AL7" s="7">
        <v>0</v>
      </c>
      <c r="AM7" s="7">
        <v>0</v>
      </c>
      <c r="AN7" s="7">
        <v>1</v>
      </c>
      <c r="AO7" s="69">
        <v>1</v>
      </c>
    </row>
    <row r="8" spans="1:41" ht="21" customHeight="1" x14ac:dyDescent="0.15">
      <c r="A8" s="16" t="str">
        <f t="shared" si="0"/>
        <v>60029_1-2/36&lt;lv42&gt;s3</v>
      </c>
      <c r="B8" s="145">
        <v>60029</v>
      </c>
      <c r="C8" s="146">
        <v>1</v>
      </c>
      <c r="D8" s="146" t="str">
        <f t="shared" si="1"/>
        <v>60029_1</v>
      </c>
      <c r="E8" s="147" t="str">
        <f ca="1">VLOOKUP($B8,OFFSET([2]quests!$A$1,0,0,COUNTA([2]quests!$A:$A),MATCH(E$1,[2]quests!$1:$1,0)-MATCH($B$1,[2]quests!$1:$1,0)+1),MATCH(E$1,[2]quests!$1:$1,0)-MATCH($B$1,[2]quests!$1:$1,0)+1,FALSE)</f>
        <v xml:space="preserve">オイラーチャレンジ </v>
      </c>
      <c r="F8" s="147" t="str">
        <f ca="1">VLOOKUP($D8,OFFSET([2]stages!$A$1,0,0,COUNTA([2]stages!$A:$A),MATCH(F$1,[2]stages!$2:$2,0)-MATCH($D$1,[2]stages!$2:$2,0)+1),MATCH(F$1,[2]stages!$2:$2,0)-MATCH($D$1,[2]stages!$2:$2,0)+1,FALSE)</f>
        <v>オイラーチャレンジ</v>
      </c>
      <c r="G8" s="146">
        <v>2</v>
      </c>
      <c r="H8" s="148" t="str">
        <f t="shared" si="2"/>
        <v>60029_1-2</v>
      </c>
      <c r="I8" s="147">
        <f ca="1">VLOOKUP($H8,OFFSET(floors!$A$1,0,0,COUNTA(floors!$A:$A),MATCH(I$1,floors!$1:$1,0)-MATCH($H$1,floors!$1:$1,0)+1),MATCH(I$1,floors!$1:$1,0)-MATCH($H$1,floors!$1:$1,0)+1,FALSE)</f>
        <v>60</v>
      </c>
      <c r="J8" s="147">
        <f ca="1">VLOOKUP($H8,OFFSET(floors!$A$1,0,0,COUNTA(floors!$A:$A),MATCH(J$1,floors!$1:$1,0)-MATCH($H$1,floors!$1:$1,0)+1),MATCH(J$1,floors!$1:$1,0)-MATCH($H$1,floors!$1:$1,0)+1,FALSE)</f>
        <v>60</v>
      </c>
      <c r="K8" s="149" t="s">
        <v>343</v>
      </c>
      <c r="L8" s="146">
        <v>36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オフィス追尾型移動地雷F3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151">
        <v>42</v>
      </c>
      <c r="S8" s="150">
        <v>1.2</v>
      </c>
      <c r="T8" s="184">
        <f>26357*S8</f>
        <v>31628.399999999998</v>
      </c>
      <c r="U8" s="150">
        <v>0.4</v>
      </c>
      <c r="V8" s="151">
        <v>0</v>
      </c>
      <c r="W8" s="4"/>
      <c r="X8" s="147">
        <v>60029100</v>
      </c>
      <c r="Y8" s="152">
        <v>0</v>
      </c>
      <c r="Z8" s="152">
        <v>100</v>
      </c>
      <c r="AA8" s="152">
        <v>0</v>
      </c>
      <c r="AB8" s="153">
        <v>3</v>
      </c>
      <c r="AC8" s="24">
        <f t="shared" si="3"/>
        <v>36</v>
      </c>
      <c r="AD8" s="4" t="str">
        <f ca="1">VLOOKUP($AC8,OFFSET([4]characters!$A$1,0,0,COUNTA([4]characters!$A:$A),MATCH(AD$1,[4]characters!$1:$1,0)-MATCH("character_id",[4]characters!$1:$1,0)+1),MATCH(AD$1,[4]characters!$1:$1,0)-MATCH("character_id",[4]characters!$1:$1,0)+1,FALSE)</f>
        <v>オフィス追尾型移動地雷F3</v>
      </c>
      <c r="AE8" s="4">
        <f ca="1">VLOOKUP($AC8,OFFSET([4]characters!$A$1,0,0,COUNTA([4]characters!$A:$A),MATCH(AE$1,[4]characters!$1:$1,0)-MATCH("character_id",[4]characters!$1:$1,0)+1),MATCH(AE$1,[4]characters!$1:$1,0)-MATCH("character_id",[4]characters!$1:$1,0)+1,FALSE)</f>
        <v>3</v>
      </c>
      <c r="AF8" s="4" t="str">
        <f ca="1">VLOOKUP($AC8,OFFSET([4]characters!$A$1,0,0,COUNTA([4]characters!$A:$A),MATCH(AF$1,[4]characters!$1:$1,0)-MATCH("character_id",[4]characters!$1:$1,0)+1),MATCH(AF$1,[4]characters!$1:$1,0)-MATCH("character_id",[4]characters!$1:$1,0)+1,FALSE)</f>
        <v>Drop1S</v>
      </c>
      <c r="AG8" s="7">
        <v>1</v>
      </c>
      <c r="AH8" s="24">
        <f t="shared" ca="1" si="4"/>
        <v>3</v>
      </c>
      <c r="AI8" s="8">
        <v>0</v>
      </c>
      <c r="AJ8" s="7">
        <v>0</v>
      </c>
      <c r="AK8" s="7">
        <v>0</v>
      </c>
      <c r="AL8" s="7">
        <v>0</v>
      </c>
      <c r="AM8" s="7">
        <v>0</v>
      </c>
      <c r="AN8" s="7">
        <v>1</v>
      </c>
      <c r="AO8" s="69">
        <v>1</v>
      </c>
    </row>
    <row r="9" spans="1:41" ht="21" customHeight="1" x14ac:dyDescent="0.15">
      <c r="A9" s="16" t="str">
        <f t="shared" si="0"/>
        <v>60029_1-3/492&lt;lv60&gt;s2</v>
      </c>
      <c r="B9" s="22">
        <v>60029</v>
      </c>
      <c r="C9" s="21">
        <v>1</v>
      </c>
      <c r="D9" s="2" t="str">
        <f t="shared" si="1"/>
        <v>60029_1</v>
      </c>
      <c r="E9" s="4" t="str">
        <f ca="1">VLOOKUP($B9,OFFSET([2]quests!$A$1,0,0,COUNTA([2]quests!$A:$A),MATCH(E$1,[2]quests!$1:$1,0)-MATCH($B$1,[2]quests!$1:$1,0)+1),MATCH(E$1,[2]quests!$1:$1,0)-MATCH($B$1,[2]quests!$1:$1,0)+1,FALSE)</f>
        <v xml:space="preserve">オイラーチャレンジ </v>
      </c>
      <c r="F9" s="4" t="str">
        <f ca="1">VLOOKUP($D9,OFFSET([2]stages!$A$1,0,0,COUNTA([2]stages!$A:$A),MATCH(F$1,[2]stages!$2:$2,0)-MATCH($D$1,[2]stages!$2:$2,0)+1),MATCH(F$1,[2]stages!$2:$2,0)-MATCH($D$1,[2]stages!$2:$2,0)+1,FALSE)</f>
        <v>オイラーチャレンジ</v>
      </c>
      <c r="G9" s="21">
        <v>3</v>
      </c>
      <c r="H9" s="15" t="str">
        <f t="shared" si="2"/>
        <v>60029_1-3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492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ブートレグ・ペロー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5">
        <v>2.4</v>
      </c>
      <c r="T9" s="184">
        <f>115928*S9</f>
        <v>278227.20000000001</v>
      </c>
      <c r="U9" s="25">
        <v>1.1000000000000001</v>
      </c>
      <c r="V9" s="5">
        <v>0</v>
      </c>
      <c r="W9" s="4"/>
      <c r="X9" s="137">
        <v>60029200</v>
      </c>
      <c r="Y9" s="6">
        <v>0</v>
      </c>
      <c r="Z9" s="6">
        <v>100</v>
      </c>
      <c r="AA9" s="6">
        <v>1</v>
      </c>
      <c r="AB9" s="136">
        <v>2</v>
      </c>
      <c r="AC9" s="24">
        <f t="shared" si="3"/>
        <v>492</v>
      </c>
      <c r="AD9" s="4" t="str">
        <f ca="1">VLOOKUP($AC9,OFFSET([4]characters!$A$1,0,0,COUNTA([4]characters!$A:$A),MATCH(AD$1,[4]characters!$1:$1,0)-MATCH("character_id",[4]characters!$1:$1,0)+1),MATCH(AD$1,[4]characters!$1:$1,0)-MATCH("character_id",[4]characters!$1:$1,0)+1,FALSE)</f>
        <v>ブートレグ・ペロー</v>
      </c>
      <c r="AE9" s="4">
        <f ca="1">VLOOKUP($AC9,OFFSET([4]characters!$A$1,0,0,COUNTA([4]characters!$A:$A),MATCH(AE$1,[4]characters!$1:$1,0)-MATCH("character_id",[4]characters!$1:$1,0)+1),MATCH(AE$1,[4]characters!$1:$1,0)-MATCH("character_id",[4]characters!$1:$1,0)+1,FALSE)</f>
        <v>4</v>
      </c>
      <c r="AF9" s="4" t="str">
        <f ca="1">VLOOKUP($AC9,OFFSET([4]characters!$A$1,0,0,COUNTA([4]characters!$A:$A),MATCH(AF$1,[4]characters!$1:$1,0)-MATCH("character_id",[4]characters!$1:$1,0)+1),MATCH(AF$1,[4]characters!$1:$1,0)-MATCH("character_id",[4]characters!$1:$1,0)+1,FALSE)</f>
        <v>PremiumSS</v>
      </c>
      <c r="AG9" s="7">
        <v>1</v>
      </c>
      <c r="AH9" s="24">
        <f t="shared" ca="1" si="4"/>
        <v>4</v>
      </c>
      <c r="AI9" s="8">
        <v>0</v>
      </c>
      <c r="AJ9" s="7">
        <v>0</v>
      </c>
      <c r="AK9" s="7">
        <v>0</v>
      </c>
      <c r="AL9" s="7">
        <v>0</v>
      </c>
      <c r="AM9" s="7">
        <v>0</v>
      </c>
      <c r="AN9" s="7">
        <v>1</v>
      </c>
      <c r="AO9" s="69">
        <v>1</v>
      </c>
    </row>
    <row r="10" spans="1:41" ht="21" customHeight="1" x14ac:dyDescent="0.15">
      <c r="A10" s="16" t="str">
        <f t="shared" si="0"/>
        <v>60029_1-4/437&lt;lv60&gt;s2</v>
      </c>
      <c r="B10" s="145">
        <v>60029</v>
      </c>
      <c r="C10" s="146">
        <v>1</v>
      </c>
      <c r="D10" s="146" t="str">
        <f t="shared" si="1"/>
        <v>60029_1</v>
      </c>
      <c r="E10" s="147" t="str">
        <f ca="1">VLOOKUP($B10,OFFSET([2]quests!$A$1,0,0,COUNTA([2]quests!$A:$A),MATCH(E$1,[2]quests!$1:$1,0)-MATCH($B$1,[2]quests!$1:$1,0)+1),MATCH(E$1,[2]quests!$1:$1,0)-MATCH($B$1,[2]quests!$1:$1,0)+1,FALSE)</f>
        <v xml:space="preserve">オイラーチャレンジ </v>
      </c>
      <c r="F10" s="147" t="str">
        <f ca="1">VLOOKUP($D10,OFFSET([2]stages!$A$1,0,0,COUNTA([2]stages!$A:$A),MATCH(F$1,[2]stages!$2:$2,0)-MATCH($D$1,[2]stages!$2:$2,0)+1),MATCH(F$1,[2]stages!$2:$2,0)-MATCH($D$1,[2]stages!$2:$2,0)+1,FALSE)</f>
        <v>オイラーチャレンジ</v>
      </c>
      <c r="G10" s="146">
        <v>4</v>
      </c>
      <c r="H10" s="148" t="str">
        <f t="shared" si="2"/>
        <v>60029_1-4</v>
      </c>
      <c r="I10" s="147">
        <f ca="1">VLOOKUP($H10,OFFSET(floors!$A$1,0,0,COUNTA(floors!$A:$A),MATCH(I$1,floors!$1:$1,0)-MATCH($H$1,floors!$1:$1,0)+1),MATCH(I$1,floors!$1:$1,0)-MATCH($H$1,floors!$1:$1,0)+1,FALSE)</f>
        <v>60</v>
      </c>
      <c r="J10" s="147">
        <f ca="1">VLOOKUP($H10,OFFSET(floors!$A$1,0,0,COUNTA(floors!$A:$A),MATCH(J$1,floors!$1:$1,0)-MATCH($H$1,floors!$1:$1,0)+1),MATCH(J$1,floors!$1:$1,0)-MATCH($H$1,floors!$1:$1,0)+1,FALSE)</f>
        <v>60</v>
      </c>
      <c r="K10" s="149" t="s">
        <v>343</v>
      </c>
      <c r="L10" s="146">
        <v>437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忘却者 カカシ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151">
        <v>60</v>
      </c>
      <c r="S10" s="150">
        <v>2.8</v>
      </c>
      <c r="T10" s="184">
        <f>68991*S10</f>
        <v>193174.8</v>
      </c>
      <c r="U10" s="150">
        <v>0.8</v>
      </c>
      <c r="V10" s="151">
        <v>0</v>
      </c>
      <c r="W10" s="4"/>
      <c r="X10" s="147">
        <v>60029400</v>
      </c>
      <c r="Y10" s="152">
        <v>0</v>
      </c>
      <c r="Z10" s="152">
        <v>100</v>
      </c>
      <c r="AA10" s="152">
        <v>2</v>
      </c>
      <c r="AB10" s="153">
        <v>2</v>
      </c>
      <c r="AC10" s="24">
        <f t="shared" si="3"/>
        <v>437</v>
      </c>
      <c r="AD10" s="4" t="str">
        <f ca="1">VLOOKUP($AC10,OFFSET([4]characters!$A$1,0,0,COUNTA([4]characters!$A:$A),MATCH(AD$1,[4]characters!$1:$1,0)-MATCH("character_id",[4]characters!$1:$1,0)+1),MATCH(AD$1,[4]characters!$1:$1,0)-MATCH("character_id",[4]characters!$1:$1,0)+1,FALSE)</f>
        <v>忘却者 カカシ</v>
      </c>
      <c r="AE10" s="4">
        <f ca="1">VLOOKUP($AC10,OFFSET([4]characters!$A$1,0,0,COUNTA([4]characters!$A:$A),MATCH(AE$1,[4]characters!$1:$1,0)-MATCH("character_id",[4]characters!$1:$1,0)+1),MATCH(AE$1,[4]characters!$1:$1,0)-MATCH("character_id",[4]characters!$1:$1,0)+1,FALSE)</f>
        <v>4</v>
      </c>
      <c r="AF10" s="4" t="str">
        <f ca="1">VLOOKUP($AC10,OFFSET([4]characters!$A$1,0,0,COUNTA([4]characters!$A:$A),MATCH(AF$1,[4]characters!$1:$1,0)-MATCH("character_id",[4]characters!$1:$1,0)+1),MATCH(AF$1,[4]characters!$1:$1,0)-MATCH("character_id",[4]characters!$1:$1,0)+1,FALSE)</f>
        <v>PremiumS</v>
      </c>
      <c r="AG10" s="7">
        <v>1</v>
      </c>
      <c r="AH10" s="24">
        <f t="shared" ca="1" si="4"/>
        <v>4</v>
      </c>
      <c r="AI10" s="8">
        <v>0</v>
      </c>
      <c r="AJ10" s="7">
        <v>0</v>
      </c>
      <c r="AK10" s="7">
        <v>0</v>
      </c>
      <c r="AL10" s="7">
        <v>0</v>
      </c>
      <c r="AM10" s="7">
        <v>0</v>
      </c>
      <c r="AN10" s="7">
        <v>1</v>
      </c>
      <c r="AO10" s="69">
        <v>1</v>
      </c>
    </row>
    <row r="11" spans="1:41" ht="21" customHeight="1" x14ac:dyDescent="0.15">
      <c r="A11" s="16" t="str">
        <f t="shared" si="0"/>
        <v>60029_1-4/281&lt;lv60&gt;s2</v>
      </c>
      <c r="B11" s="145">
        <v>60029</v>
      </c>
      <c r="C11" s="146">
        <v>1</v>
      </c>
      <c r="D11" s="146" t="str">
        <f t="shared" si="1"/>
        <v>60029_1</v>
      </c>
      <c r="E11" s="147" t="str">
        <f ca="1">VLOOKUP($B11,OFFSET([2]quests!$A$1,0,0,COUNTA([2]quests!$A:$A),MATCH(E$1,[2]quests!$1:$1,0)-MATCH($B$1,[2]quests!$1:$1,0)+1),MATCH(E$1,[2]quests!$1:$1,0)-MATCH($B$1,[2]quests!$1:$1,0)+1,FALSE)</f>
        <v xml:space="preserve">オイラーチャレンジ </v>
      </c>
      <c r="F11" s="147" t="str">
        <f ca="1">VLOOKUP($D11,OFFSET([2]stages!$A$1,0,0,COUNTA([2]stages!$A:$A),MATCH(F$1,[2]stages!$2:$2,0)-MATCH($D$1,[2]stages!$2:$2,0)+1),MATCH(F$1,[2]stages!$2:$2,0)-MATCH($D$1,[2]stages!$2:$2,0)+1,FALSE)</f>
        <v>オイラーチャレンジ</v>
      </c>
      <c r="G11" s="146">
        <v>4</v>
      </c>
      <c r="H11" s="148" t="str">
        <f t="shared" si="2"/>
        <v>60029_1-4</v>
      </c>
      <c r="I11" s="147">
        <f ca="1">VLOOKUP($H11,OFFSET(floors!$A$1,0,0,COUNTA(floors!$A:$A),MATCH(I$1,floors!$1:$1,0)-MATCH($H$1,floors!$1:$1,0)+1),MATCH(I$1,floors!$1:$1,0)-MATCH($H$1,floors!$1:$1,0)+1,FALSE)</f>
        <v>60</v>
      </c>
      <c r="J11" s="147">
        <f ca="1">VLOOKUP($H11,OFFSET(floors!$A$1,0,0,COUNTA(floors!$A:$A),MATCH(J$1,floors!$1:$1,0)-MATCH($H$1,floors!$1:$1,0)+1),MATCH(J$1,floors!$1:$1,0)-MATCH($H$1,floors!$1:$1,0)+1,FALSE)</f>
        <v>60</v>
      </c>
      <c r="K11" s="149" t="s">
        <v>343</v>
      </c>
      <c r="L11" s="146">
        <v>281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リンドブルム・コンデンス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151">
        <v>60</v>
      </c>
      <c r="S11" s="150">
        <v>2</v>
      </c>
      <c r="T11" s="184">
        <f>93782*S11</f>
        <v>187564</v>
      </c>
      <c r="U11" s="150">
        <v>1.3</v>
      </c>
      <c r="V11" s="151">
        <v>0</v>
      </c>
      <c r="W11" s="4"/>
      <c r="X11" s="147">
        <v>60029500</v>
      </c>
      <c r="Y11" s="152">
        <v>0</v>
      </c>
      <c r="Z11" s="152">
        <v>100</v>
      </c>
      <c r="AA11" s="152">
        <v>1</v>
      </c>
      <c r="AB11" s="153">
        <v>2</v>
      </c>
      <c r="AC11" s="24">
        <f t="shared" si="3"/>
        <v>281</v>
      </c>
      <c r="AD11" s="4" t="str">
        <f ca="1">VLOOKUP($AC11,OFFSET([4]characters!$A$1,0,0,COUNTA([4]characters!$A:$A),MATCH(AD$1,[4]characters!$1:$1,0)-MATCH("character_id",[4]characters!$1:$1,0)+1),MATCH(AD$1,[4]characters!$1:$1,0)-MATCH("character_id",[4]characters!$1:$1,0)+1,FALSE)</f>
        <v>リンドブルム・コンデンス</v>
      </c>
      <c r="AE11" s="4">
        <f ca="1">VLOOKUP($AC11,OFFSET([4]characters!$A$1,0,0,COUNTA([4]characters!$A:$A),MATCH(AE$1,[4]characters!$1:$1,0)-MATCH("character_id",[4]characters!$1:$1,0)+1),MATCH(AE$1,[4]characters!$1:$1,0)-MATCH("character_id",[4]characters!$1:$1,0)+1,FALSE)</f>
        <v>4</v>
      </c>
      <c r="AF11" s="4" t="str">
        <f ca="1">VLOOKUP($AC11,OFFSET([4]characters!$A$1,0,0,COUNTA([4]characters!$A:$A),MATCH(AF$1,[4]characters!$1:$1,0)-MATCH("character_id",[4]characters!$1:$1,0)+1),MATCH(AF$1,[4]characters!$1:$1,0)-MATCH("character_id",[4]characters!$1:$1,0)+1,FALSE)</f>
        <v>DropWizW</v>
      </c>
      <c r="AG11" s="7">
        <v>1</v>
      </c>
      <c r="AH11" s="24">
        <f t="shared" ca="1" si="4"/>
        <v>4</v>
      </c>
      <c r="AI11" s="8">
        <v>0</v>
      </c>
      <c r="AJ11" s="7">
        <v>0</v>
      </c>
      <c r="AK11" s="7">
        <v>0</v>
      </c>
      <c r="AL11" s="7">
        <v>0</v>
      </c>
      <c r="AM11" s="7">
        <v>0</v>
      </c>
      <c r="AN11" s="7">
        <v>1</v>
      </c>
      <c r="AO11" s="69">
        <v>1</v>
      </c>
    </row>
    <row r="12" spans="1:41" ht="21" customHeight="1" x14ac:dyDescent="0.15">
      <c r="A12" s="16" t="str">
        <f t="shared" si="0"/>
        <v>60029_1-5/378&lt;lv60&gt;s2</v>
      </c>
      <c r="B12" s="22">
        <v>60029</v>
      </c>
      <c r="C12" s="21">
        <v>1</v>
      </c>
      <c r="D12" s="2" t="str">
        <f t="shared" si="1"/>
        <v>60029_1</v>
      </c>
      <c r="E12" s="4" t="str">
        <f ca="1">VLOOKUP($B12,OFFSET([2]quests!$A$1,0,0,COUNTA([2]quests!$A:$A),MATCH(E$1,[2]quests!$1:$1,0)-MATCH($B$1,[2]quests!$1:$1,0)+1),MATCH(E$1,[2]quests!$1:$1,0)-MATCH($B$1,[2]quests!$1:$1,0)+1,FALSE)</f>
        <v xml:space="preserve">オイラーチャレンジ </v>
      </c>
      <c r="F12" s="4" t="str">
        <f ca="1">VLOOKUP($D12,OFFSET([2]stages!$A$1,0,0,COUNTA([2]stages!$A:$A),MATCH(F$1,[2]stages!$2:$2,0)-MATCH($D$1,[2]stages!$2:$2,0)+1),MATCH(F$1,[2]stages!$2:$2,0)-MATCH($D$1,[2]stages!$2:$2,0)+1,FALSE)</f>
        <v>オイラーチャレンジ</v>
      </c>
      <c r="G12" s="21">
        <v>5</v>
      </c>
      <c r="H12" s="15" t="str">
        <f t="shared" si="2"/>
        <v>60029_1-5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2</v>
      </c>
      <c r="L12" s="20">
        <v>378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オイラー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PremiumSSS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60</v>
      </c>
      <c r="S12" s="25">
        <v>4.8</v>
      </c>
      <c r="T12" s="184">
        <f>76657*S12</f>
        <v>367953.6</v>
      </c>
      <c r="U12" s="25">
        <v>1.2</v>
      </c>
      <c r="V12" s="5">
        <v>0</v>
      </c>
      <c r="W12" s="4"/>
      <c r="X12" s="137">
        <v>60029600</v>
      </c>
      <c r="Y12" s="6">
        <v>0</v>
      </c>
      <c r="Z12" s="6">
        <v>100</v>
      </c>
      <c r="AA12" s="6">
        <v>1</v>
      </c>
      <c r="AB12" s="136">
        <v>2</v>
      </c>
      <c r="AC12" s="24">
        <f t="shared" si="3"/>
        <v>378</v>
      </c>
      <c r="AD12" s="4" t="str">
        <f ca="1">VLOOKUP($AC12,OFFSET([4]characters!$A$1,0,0,COUNTA([4]characters!$A:$A),MATCH(AD$1,[4]characters!$1:$1,0)-MATCH("character_id",[4]characters!$1:$1,0)+1),MATCH(AD$1,[4]characters!$1:$1,0)-MATCH("character_id",[4]characters!$1:$1,0)+1,FALSE)</f>
        <v>オイラー</v>
      </c>
      <c r="AE12" s="4">
        <f ca="1">VLOOKUP($AC12,OFFSET([4]characters!$A$1,0,0,COUNTA([4]characters!$A:$A),MATCH(AE$1,[4]characters!$1:$1,0)-MATCH("character_id",[4]characters!$1:$1,0)+1),MATCH(AE$1,[4]characters!$1:$1,0)-MATCH("character_id",[4]characters!$1:$1,0)+1,FALSE)</f>
        <v>4</v>
      </c>
      <c r="AF12" s="4" t="str">
        <f ca="1">VLOOKUP($AC12,OFFSET([4]characters!$A$1,0,0,COUNTA([4]characters!$A:$A),MATCH(AF$1,[4]characters!$1:$1,0)-MATCH("character_id",[4]characters!$1:$1,0)+1),MATCH(AF$1,[4]characters!$1:$1,0)-MATCH("character_id",[4]characters!$1:$1,0)+1,FALSE)</f>
        <v>PremiumSSS</v>
      </c>
      <c r="AG12" s="7">
        <v>1</v>
      </c>
      <c r="AH12" s="24">
        <f t="shared" ca="1" si="4"/>
        <v>4</v>
      </c>
      <c r="AI12" s="8">
        <v>0</v>
      </c>
      <c r="AJ12" s="7">
        <v>0</v>
      </c>
      <c r="AK12" s="7">
        <v>0</v>
      </c>
      <c r="AL12" s="7">
        <v>0</v>
      </c>
      <c r="AM12" s="7">
        <v>0</v>
      </c>
      <c r="AN12" s="7">
        <v>1</v>
      </c>
      <c r="AO12" s="69">
        <v>1</v>
      </c>
    </row>
    <row r="13" spans="1:41" ht="21" customHeight="1" x14ac:dyDescent="0.15">
      <c r="T13" s="185">
        <f>SUM(T2:T12)</f>
        <v>1201881.2000000002</v>
      </c>
    </row>
    <row r="14" spans="1:41" ht="21" customHeight="1" x14ac:dyDescent="0.15">
      <c r="T14" s="185">
        <f>T13+enemy_habitat_S!U5</f>
        <v>2296996.9000000004</v>
      </c>
    </row>
  </sheetData>
  <sheetProtection selectLockedCells="1" selectUnlockedCells="1"/>
  <autoFilter ref="B1:AI2"/>
  <phoneticPr fontId="9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Z6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3" sqref="V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4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8.33203125" style="3" bestFit="1" customWidth="1"/>
    <col min="24" max="24" width="16.6640625" style="3" customWidth="1"/>
    <col min="25" max="25" width="10" style="3" bestFit="1" customWidth="1" outlineLevel="1"/>
    <col min="26" max="26" width="9.33203125" style="3" bestFit="1" customWidth="1"/>
    <col min="27" max="16384" width="13" style="3"/>
  </cols>
  <sheetData>
    <row r="1" spans="1:26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/>
      <c r="V1" s="26" t="s">
        <v>50</v>
      </c>
      <c r="W1" s="26" t="s">
        <v>52</v>
      </c>
      <c r="X1" s="28" t="s">
        <v>126</v>
      </c>
      <c r="Y1" s="29" t="s">
        <v>125</v>
      </c>
      <c r="Z1" s="28" t="s">
        <v>8</v>
      </c>
    </row>
    <row r="2" spans="1:26" ht="21" customHeight="1" x14ac:dyDescent="0.15">
      <c r="A2" s="16" t="str">
        <f>B2&amp;"_"&amp;C2&amp;"-"&amp;G2&amp;"/"&amp;M2&amp;"&lt;lv"&amp;S2&amp;"&gt;sq"&amp;K2&amp;"st"&amp;L2</f>
        <v>60029_1-3/493&lt;lv60&gt;sq1st2</v>
      </c>
      <c r="B2" s="22">
        <v>60029</v>
      </c>
      <c r="C2" s="21">
        <v>1</v>
      </c>
      <c r="D2" s="2" t="str">
        <f>B2&amp;"_"&amp;C2</f>
        <v>60029_1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オイラーチャレンジ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>オイラーチャレンジ</v>
      </c>
      <c r="G2" s="21">
        <v>3</v>
      </c>
      <c r="H2" s="15" t="str">
        <f>B2&amp;"_"&amp;C2&amp;"-"&amp;G2</f>
        <v>60029_1-3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138">
        <v>493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跋扈の機脚 ブートレグ・ペロー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2</v>
      </c>
      <c r="U2" s="184">
        <f>151598*T2</f>
        <v>303196</v>
      </c>
      <c r="V2" s="25">
        <v>1</v>
      </c>
      <c r="W2" s="5">
        <v>0</v>
      </c>
      <c r="X2" s="4"/>
      <c r="Y2" s="139">
        <v>60029300</v>
      </c>
      <c r="Z2" s="140">
        <v>2</v>
      </c>
    </row>
    <row r="3" spans="1:26" ht="21" customHeight="1" x14ac:dyDescent="0.15">
      <c r="A3" s="16" t="str">
        <f t="shared" ref="A3:A4" si="0">B3&amp;"_"&amp;C3&amp;"-"&amp;G3&amp;"/"&amp;M3&amp;"&lt;lv"&amp;S3&amp;"&gt;sq"&amp;K3&amp;"st"&amp;L3</f>
        <v>60029_1-5/379&lt;lv60&gt;sq2st2</v>
      </c>
      <c r="B3" s="145">
        <v>60029</v>
      </c>
      <c r="C3" s="146">
        <v>1</v>
      </c>
      <c r="D3" s="146" t="str">
        <f t="shared" ref="D3:D4" si="1">B3&amp;"_"&amp;C3</f>
        <v>60029_1</v>
      </c>
      <c r="E3" s="147" t="str">
        <f ca="1">VLOOKUP($B3,OFFSET([2]quests!$A$1,0,0,COUNTA([2]quests!$A:$A),MATCH(E$1,[2]quests!$1:$1,0)-MATCH($B$1,[2]quests!$1:$1,0)+1),MATCH(E$1,[2]quests!$1:$1,0)-MATCH($B$1,[2]quests!$1:$1,0)+1,FALSE)</f>
        <v xml:space="preserve">オイラーチャレンジ </v>
      </c>
      <c r="F3" s="147" t="str">
        <f ca="1">VLOOKUP($D3,OFFSET([2]stages!$A$1,0,0,COUNTA([2]stages!$A:$A),MATCH(F$1,[2]stages!$2:$2,0)-MATCH($D$1,[2]stages!$2:$2,0)+1),MATCH(F$1,[2]stages!$2:$2,0)-MATCH($D$1,[2]stages!$2:$2,0)+1,FALSE)</f>
        <v>オイラーチャレンジ</v>
      </c>
      <c r="G3" s="146">
        <v>5</v>
      </c>
      <c r="H3" s="148" t="str">
        <f t="shared" ref="H3:H4" si="2">B3&amp;"_"&amp;C3&amp;"-"&amp;G3</f>
        <v>60029_1-5</v>
      </c>
      <c r="I3" s="147">
        <f ca="1">VLOOKUP($H3,OFFSET(floors!$A$1,0,0,COUNTA(floors!$A:$A),MATCH(I$1,floors!$1:$1,0)-MATCH($H$1,floors!$1:$1,0)+1),MATCH(I$1,floors!$1:$1,0)-MATCH($H$1,floors!$1:$1,0)+1,FALSE)</f>
        <v>60</v>
      </c>
      <c r="J3" s="147">
        <f ca="1">VLOOKUP($H3,OFFSET(floors!$A$1,0,0,COUNTA(floors!$A:$A),MATCH(J$1,floors!$1:$1,0)-MATCH($H$1,floors!$1:$1,0)+1),MATCH(J$1,floors!$1:$1,0)-MATCH($H$1,floors!$1:$1,0)+1,FALSE)</f>
        <v>60</v>
      </c>
      <c r="K3" s="149">
        <v>2</v>
      </c>
      <c r="L3" s="149">
        <v>2</v>
      </c>
      <c r="M3" s="148">
        <v>379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幾何の機刃 オイラー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51">
        <v>60</v>
      </c>
      <c r="T3" s="150">
        <v>3.9</v>
      </c>
      <c r="U3" s="184">
        <f>100243*T3</f>
        <v>390947.7</v>
      </c>
      <c r="V3" s="150">
        <v>1.1000000000000001</v>
      </c>
      <c r="W3" s="151">
        <v>0</v>
      </c>
      <c r="X3" s="4"/>
      <c r="Y3" s="154">
        <v>60029700</v>
      </c>
      <c r="Z3" s="155">
        <v>2</v>
      </c>
    </row>
    <row r="4" spans="1:26" ht="21" customHeight="1" x14ac:dyDescent="0.15">
      <c r="A4" s="16" t="str">
        <f t="shared" si="0"/>
        <v>60029_1-5/798&lt;lv60&gt;sq2st3</v>
      </c>
      <c r="B4" s="145">
        <v>60029</v>
      </c>
      <c r="C4" s="146">
        <v>1</v>
      </c>
      <c r="D4" s="146" t="str">
        <f t="shared" si="1"/>
        <v>60029_1</v>
      </c>
      <c r="E4" s="147" t="str">
        <f ca="1">VLOOKUP($B4,OFFSET([2]quests!$A$1,0,0,COUNTA([2]quests!$A:$A),MATCH(E$1,[2]quests!$1:$1,0)-MATCH($B$1,[2]quests!$1:$1,0)+1),MATCH(E$1,[2]quests!$1:$1,0)-MATCH($B$1,[2]quests!$1:$1,0)+1,FALSE)</f>
        <v xml:space="preserve">オイラーチャレンジ </v>
      </c>
      <c r="F4" s="147" t="str">
        <f ca="1">VLOOKUP($D4,OFFSET([2]stages!$A$1,0,0,COUNTA([2]stages!$A:$A),MATCH(F$1,[2]stages!$2:$2,0)-MATCH($D$1,[2]stages!$2:$2,0)+1),MATCH(F$1,[2]stages!$2:$2,0)-MATCH($D$1,[2]stages!$2:$2,0)+1,FALSE)</f>
        <v>オイラーチャレンジ</v>
      </c>
      <c r="G4" s="146">
        <v>5</v>
      </c>
      <c r="H4" s="148" t="str">
        <f t="shared" si="2"/>
        <v>60029_1-5</v>
      </c>
      <c r="I4" s="147">
        <f ca="1">VLOOKUP($H4,OFFSET(floors!$A$1,0,0,COUNTA(floors!$A:$A),MATCH(I$1,floors!$1:$1,0)-MATCH($H$1,floors!$1:$1,0)+1),MATCH(I$1,floors!$1:$1,0)-MATCH($H$1,floors!$1:$1,0)+1,FALSE)</f>
        <v>60</v>
      </c>
      <c r="J4" s="147">
        <f ca="1">VLOOKUP($H4,OFFSET(floors!$A$1,0,0,COUNTA(floors!$A:$A),MATCH(J$1,floors!$1:$1,0)-MATCH($H$1,floors!$1:$1,0)+1),MATCH(J$1,floors!$1:$1,0)-MATCH($H$1,floors!$1:$1,0)+1,FALSE)</f>
        <v>60</v>
      </c>
      <c r="K4" s="149">
        <v>2</v>
      </c>
      <c r="L4" s="149">
        <v>3</v>
      </c>
      <c r="M4" s="148">
        <v>798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煌式の大機刃 オイラー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51">
        <v>60</v>
      </c>
      <c r="T4" s="150">
        <v>4</v>
      </c>
      <c r="U4" s="184">
        <f>100243*T4</f>
        <v>400972</v>
      </c>
      <c r="V4" s="150">
        <v>0.9</v>
      </c>
      <c r="W4" s="151">
        <v>0</v>
      </c>
      <c r="X4" s="4"/>
      <c r="Y4" s="154">
        <v>60029800</v>
      </c>
      <c r="Z4" s="155">
        <v>1</v>
      </c>
    </row>
    <row r="5" spans="1:26" ht="21" customHeight="1" x14ac:dyDescent="0.15">
      <c r="U5" s="185">
        <f>SUM(U2:U4)</f>
        <v>1095115.7</v>
      </c>
      <c r="V5" s="185"/>
    </row>
    <row r="6" spans="1:26" ht="21" customHeight="1" x14ac:dyDescent="0.15">
      <c r="U6" s="185">
        <f>U5+enemy_habitats!T13</f>
        <v>2296996.9000000004</v>
      </c>
    </row>
  </sheetData>
  <sheetProtection selectLockedCells="1" selectUnlockedCells="1"/>
  <autoFilter ref="B1:Z2"/>
  <phoneticPr fontId="9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J11" sqref="J1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60029100_60029101</v>
      </c>
      <c r="B2" s="47">
        <v>60029100</v>
      </c>
      <c r="C2" s="47">
        <v>60029101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ピガガッ！！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自爆攻撃</v>
      </c>
      <c r="F2" s="47">
        <v>60029101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" s="47"/>
      <c r="Q2" s="47"/>
      <c r="R2" s="47"/>
    </row>
    <row r="3" spans="1:18" ht="21" customHeight="1" x14ac:dyDescent="0.15">
      <c r="A3" s="39" t="str">
        <f t="shared" ref="A3:A27" si="1">B3&amp;"_"&amp;C3</f>
        <v>60029100_60029102</v>
      </c>
      <c r="B3" s="47">
        <v>60029100</v>
      </c>
      <c r="C3" s="47">
        <v>60029102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ガガ…ピー！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今にもスパークしそうだ！</v>
      </c>
      <c r="F3" s="47">
        <v>60029102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7"/>
      <c r="Q3" s="47"/>
      <c r="R3" s="47"/>
    </row>
    <row r="4" spans="1:18" ht="21" customHeight="1" x14ac:dyDescent="0.15">
      <c r="A4" s="39" t="str">
        <f t="shared" si="1"/>
        <v>60029200_60029201</v>
      </c>
      <c r="B4" s="156">
        <v>60029200</v>
      </c>
      <c r="C4" s="156">
        <v>60029201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こいつの凄さを見せてやるニャ！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ランダムで赤の時限式ダメージパネルに最大10個変換+_x000D_解除するまで種族ドラゴン以外の攻撃をカウンター</v>
      </c>
      <c r="F4" s="156">
        <v>60029201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60029200_60029202</v>
      </c>
      <c r="B5" s="156">
        <v>60029200</v>
      </c>
      <c r="C5" s="156">
        <v>60029202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出力全開だニャ！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5" s="156">
        <v>60029202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1"/>
        <v>60029300_60029301</v>
      </c>
      <c r="B6" s="47">
        <v>60029300</v>
      </c>
      <c r="C6" s="47">
        <v>60029301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本気でいくニャー！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赤属性以外のダメージ50%軽減+_x000D_4ターン赤属性以外のユニットにスキルバインド</v>
      </c>
      <c r="F6" s="47">
        <v>60029301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60029300_60029302</v>
      </c>
      <c r="B7" s="47">
        <v>60029300</v>
      </c>
      <c r="C7" s="47">
        <v>60029302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必殺の一撃だニャ！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7" s="47">
        <v>60029302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" s="47"/>
      <c r="Q7" s="47"/>
      <c r="R7" s="47"/>
    </row>
    <row r="8" spans="1:18" ht="21" customHeight="1" x14ac:dyDescent="0.15">
      <c r="A8" s="39" t="str">
        <f t="shared" si="1"/>
        <v>60029300_60029303</v>
      </c>
      <c r="B8" s="47">
        <v>60029300</v>
      </c>
      <c r="C8" s="47">
        <v>60029303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エネルギーチャージだニャ！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次ターン強力な攻撃！</v>
      </c>
      <c r="F8" s="47">
        <v>60029303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60029300_60029304</v>
      </c>
      <c r="B9" s="47">
        <v>60029300</v>
      </c>
      <c r="C9" s="47">
        <v>60029304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突撃だニャー！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7">
        <v>60029304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60029300_60029305</v>
      </c>
      <c r="B10" s="47">
        <v>60029300</v>
      </c>
      <c r="C10" s="47">
        <v>60029305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コッパミジンにしてやるニャー！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ランダムで赤の時限式ダメージパネルに最大10個変換+_x000D_クリティカル！</v>
      </c>
      <c r="F10" s="47">
        <v>60029305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60029400_60029401</v>
      </c>
      <c r="B11" s="156">
        <v>60029400</v>
      </c>
      <c r="C11" s="156">
        <v>60029401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追い払ってやるゼェ！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5ターン敵全体の攻撃力UP</v>
      </c>
      <c r="F11" s="156">
        <v>60029401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60029400_60029402</v>
      </c>
      <c r="B12" s="156">
        <v>60029400</v>
      </c>
      <c r="C12" s="156">
        <v>60029402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オトリになるのは_x000D_得意だゼェ！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12" s="156">
        <v>60029402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60029500_60029501</v>
      </c>
      <c r="B13" s="47">
        <v>60029500</v>
      </c>
      <c r="C13" s="47">
        <v>60029501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ギュイイーン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次ターン強力な攻撃！</v>
      </c>
      <c r="F13" s="47">
        <v>60029501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60029500_60029502</v>
      </c>
      <c r="B14" s="47">
        <v>60029500</v>
      </c>
      <c r="C14" s="47">
        <v>60029502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タオス！タオス！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47">
        <v>60029502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60029500_60029503</v>
      </c>
      <c r="B15" s="47">
        <v>60029500</v>
      </c>
      <c r="C15" s="47">
        <v>60029503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リミッターカイジョ！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リンドブルムの攻撃頻度UP</v>
      </c>
      <c r="F15" s="47">
        <v>60029503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60029600_60029601</v>
      </c>
      <c r="B16" s="156">
        <v>60029600</v>
      </c>
      <c r="C16" s="156">
        <v>60029601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あなたは[player_ranking_grade]の挑戦者ね！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4ターン赤属性以外のユニットにスキルバインド+_x000D_状態異常耐性</v>
      </c>
      <c r="F16" s="156">
        <v>60029601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60029600_60029602</v>
      </c>
      <c r="B17" s="156">
        <v>60029600</v>
      </c>
      <c r="C17" s="156">
        <v>60029602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いくわよ！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何かを試されているようだ</v>
      </c>
      <c r="F17" s="156">
        <v>60029602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7"/>
      <c r="Q17" s="47"/>
      <c r="R17" s="47"/>
    </row>
    <row r="18" spans="1:18" ht="21" customHeight="1" x14ac:dyDescent="0.15">
      <c r="A18" s="39" t="str">
        <f t="shared" si="1"/>
        <v>60029600_60029603</v>
      </c>
      <c r="B18" s="156">
        <v>60029600</v>
      </c>
      <c r="C18" s="156">
        <v>60029603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これならどうかしら？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ランダムで緑の時限式ダメージパネルに最大5個変換+_x000D_5回連続攻撃</v>
      </c>
      <c r="F18" s="156">
        <v>60029603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7"/>
      <c r="Q18" s="47"/>
      <c r="R18" s="47"/>
    </row>
    <row r="19" spans="1:18" ht="21" customHeight="1" x14ac:dyDescent="0.15">
      <c r="A19" s="39" t="str">
        <f t="shared" si="1"/>
        <v>60029600_60029604</v>
      </c>
      <c r="B19" s="156">
        <v>60029600</v>
      </c>
      <c r="C19" s="156">
        <v>60029604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なかなかやるわね…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156">
        <v>60029604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60029700_60029701</v>
      </c>
      <c r="B20" s="47">
        <v>60029700</v>
      </c>
      <c r="C20" s="47">
        <v>60029701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ここまでは想定通りね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状態異常耐性+1ターン黄パネルを_x000D_緑の時限式ダメージパネルとしてドロップ</v>
      </c>
      <c r="F20" s="47">
        <v>60029701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60029700_60029702</v>
      </c>
      <c r="B21" s="47">
        <v>60029700</v>
      </c>
      <c r="C21" s="47">
        <v>60029702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次はこれよ！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1" s="47">
        <v>60029702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7"/>
      <c r="Q21" s="47"/>
      <c r="R21" s="47"/>
    </row>
    <row r="22" spans="1:18" ht="21" customHeight="1" x14ac:dyDescent="0.15">
      <c r="A22" s="39" t="str">
        <f t="shared" si="1"/>
        <v>60029700_60029703</v>
      </c>
      <c r="B22" s="47">
        <v>60029700</v>
      </c>
      <c r="C22" s="47">
        <v>60029703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いい反応ね…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2" s="47">
        <v>60029703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1"/>
        <v>60029700_60029704</v>
      </c>
      <c r="B23" s="47">
        <v>60029700</v>
      </c>
      <c r="C23" s="47">
        <v>60029704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見せてあげる！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ランダムで緑の時限式ダメージパネルに最大8個変換+_x000D_8回連続攻撃</v>
      </c>
      <c r="F23" s="47">
        <v>60029704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3" s="47"/>
      <c r="Q23" s="47"/>
      <c r="R23" s="47"/>
    </row>
    <row r="24" spans="1:18" ht="21" customHeight="1" x14ac:dyDescent="0.15">
      <c r="A24" s="39" t="str">
        <f t="shared" si="1"/>
        <v>60029800_60029801</v>
      </c>
      <c r="B24" s="156">
        <v>60029800</v>
      </c>
      <c r="C24" s="156">
        <v>60029801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最終段階に移行しましょう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4" s="156">
        <v>60029801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60029800_60029802</v>
      </c>
      <c r="B25" s="156">
        <v>60029800</v>
      </c>
      <c r="C25" s="156">
        <v>60029802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これは耐えられるかしら？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ランダムで緑の時限式ダメージパネルに最大4個変換+_x000D_4回連続攻撃</v>
      </c>
      <c r="F25" s="156">
        <v>60029802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60029800_60029803</v>
      </c>
      <c r="B26" s="156">
        <v>60029800</v>
      </c>
      <c r="C26" s="156">
        <v>60029803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そろそろ限界かしら？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ランダムで緑の時限式ダメージパネルに最大6個変換+_x000D_6回連続攻撃</v>
      </c>
      <c r="F26" s="156">
        <v>60029803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60029800_60029804</v>
      </c>
      <c r="B27" s="156">
        <v>60029800</v>
      </c>
      <c r="C27" s="156">
        <v>60029804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予想以上の結果だわ…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でも…これならどうかしら！？_x000D_【ランダムで緑の時限式ダメージパネルに最大20個変換】</v>
      </c>
      <c r="F27" s="156">
        <v>60029804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" si="2">B28&amp;"_"&amp;C28</f>
        <v>60029900_60029901</v>
      </c>
      <c r="B28" s="47">
        <v>60029900</v>
      </c>
      <c r="C28" s="47">
        <v>60029901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特別緊急配備！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種族ドラゴンのスキルゲージを3ターン減少</v>
      </c>
      <c r="F28" s="47">
        <v>60029901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</sheetData>
  <autoFilter ref="A1:R1"/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8"/>
  <sheetViews>
    <sheetView showGridLines="0" zoomScale="80" zoomScaleNormal="80" zoomScalePageLayoutView="80" workbookViewId="0">
      <pane ySplit="1" topLeftCell="A26" activePane="bottomLeft" state="frozenSplit"/>
      <selection pane="bottomLeft" activeCell="F10" sqref="F10"/>
    </sheetView>
  </sheetViews>
  <sheetFormatPr baseColWidth="12" defaultColWidth="12.83203125" defaultRowHeight="48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48" customHeight="1" x14ac:dyDescent="0.15">
      <c r="A1" s="40" t="s">
        <v>78</v>
      </c>
      <c r="B1" s="40" t="s">
        <v>79</v>
      </c>
      <c r="C1" s="40" t="s">
        <v>80</v>
      </c>
      <c r="D1" s="40" t="s">
        <v>124</v>
      </c>
      <c r="E1" s="40" t="s">
        <v>81</v>
      </c>
      <c r="F1" s="40" t="s">
        <v>82</v>
      </c>
      <c r="G1" s="41" t="s">
        <v>129</v>
      </c>
      <c r="H1" s="41" t="s">
        <v>135</v>
      </c>
      <c r="I1" s="41" t="s">
        <v>137</v>
      </c>
      <c r="J1" s="41" t="s">
        <v>136</v>
      </c>
      <c r="K1" s="41" t="s">
        <v>138</v>
      </c>
      <c r="L1" s="41" t="s">
        <v>130</v>
      </c>
      <c r="M1" s="41" t="s">
        <v>128</v>
      </c>
      <c r="N1" s="41" t="s">
        <v>131</v>
      </c>
      <c r="O1" s="41" t="s">
        <v>139</v>
      </c>
      <c r="P1" s="41" t="s">
        <v>140</v>
      </c>
      <c r="Q1" s="41" t="s">
        <v>141</v>
      </c>
      <c r="R1" s="41" t="s">
        <v>142</v>
      </c>
      <c r="S1" s="41" t="s">
        <v>132</v>
      </c>
      <c r="T1" s="41" t="s">
        <v>133</v>
      </c>
      <c r="U1" s="41" t="s">
        <v>143</v>
      </c>
      <c r="V1" s="41" t="s">
        <v>144</v>
      </c>
      <c r="W1" s="41" t="s">
        <v>145</v>
      </c>
      <c r="X1" s="41" t="s">
        <v>146</v>
      </c>
      <c r="Y1" s="41" t="s">
        <v>134</v>
      </c>
      <c r="Z1" s="41" t="s">
        <v>75</v>
      </c>
      <c r="AA1" s="41" t="s">
        <v>76</v>
      </c>
      <c r="AB1" s="41" t="s">
        <v>77</v>
      </c>
    </row>
    <row r="2" spans="1:28" ht="48" customHeight="1" x14ac:dyDescent="0.15">
      <c r="A2" s="47">
        <v>60029101</v>
      </c>
      <c r="B2" s="47" t="s">
        <v>417</v>
      </c>
      <c r="C2" s="50">
        <v>3</v>
      </c>
      <c r="D2" s="50" t="s">
        <v>372</v>
      </c>
      <c r="E2" s="51" t="s">
        <v>462</v>
      </c>
      <c r="F2" s="51" t="s">
        <v>438</v>
      </c>
      <c r="G2" s="63" t="str">
        <f>IFERROR(LEFT(B2,FIND("],",B2)),B2)</f>
        <v>[effect:enemy_message, val1:1.2, val2:1.2]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>IFERROR(RIGHT(B2,LEN(B2)-FIND("],",B2)-1),"none")</f>
        <v xml:space="preserve">[effect:kamikaze, val:0.4]    </v>
      </c>
      <c r="N2" s="48" t="str">
        <f>IFERROR(LEFT(M2,FIND("],",M2)+S14),M2)</f>
        <v xml:space="preserve">[effect:kamikaze, val:0.4]    </v>
      </c>
      <c r="O2" s="63">
        <f>FIND("effect:",N2)+7</f>
        <v>9</v>
      </c>
      <c r="P2" s="63">
        <f>IFERROR(FIND(",",N2),LEN(N2))</f>
        <v>17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IFERROR(VLOOKUP(MID(N2,Q2,R2-Q2),[5]skilldef!$C:$D,2,FALSE),"-") &amp; " / " &amp; IFERROR(VLOOKUP(MID(N2,O2,P2-O2),[5]skilldef!$A:$B,2,FALSE),"-")</f>
        <v>- / 自爆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48" customHeight="1" x14ac:dyDescent="0.15">
      <c r="A3" s="47">
        <v>60029102</v>
      </c>
      <c r="B3" s="47" t="s">
        <v>432</v>
      </c>
      <c r="C3" s="50">
        <v>3</v>
      </c>
      <c r="D3" s="50" t="s">
        <v>373</v>
      </c>
      <c r="E3" s="51" t="s">
        <v>389</v>
      </c>
      <c r="F3" s="51" t="s">
        <v>374</v>
      </c>
      <c r="G3" s="63" t="str">
        <f t="shared" ref="G3:G28" si="0">IFERROR(LEFT(B3,FIND("],",B3)),B3)</f>
        <v>[effect:enemy_message, val1:1.2, val2:1.2]</v>
      </c>
      <c r="H3" s="63">
        <f t="shared" ref="H3:H28" si="1">FIND("effect:",G3)+7</f>
        <v>9</v>
      </c>
      <c r="I3" s="63">
        <f t="shared" ref="I3:I28" si="2">IFERROR(FIND(",",G3),LEN(G3))</f>
        <v>22</v>
      </c>
      <c r="J3" s="63" t="e">
        <f t="shared" ref="J3:J28" si="3">FIND("target:",G3)+7</f>
        <v>#VALUE!</v>
      </c>
      <c r="K3" s="63">
        <f t="shared" ref="K3:K28" si="4">FIND(",",G3,I3+1)</f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ref="M3:M28" si="5">IFERROR(RIGHT(B3,LEN(B3)-FIND("],",B3)-1),"none")</f>
        <v>none</v>
      </c>
      <c r="N3" s="48" t="str">
        <f>IFERROR(LEFT(M3,FIND("],",M3)+S15),M3)</f>
        <v>none</v>
      </c>
      <c r="O3" s="63" t="e">
        <f t="shared" ref="O3:O28" si="6">FIND("effect:",N3)+7</f>
        <v>#VALUE!</v>
      </c>
      <c r="P3" s="63">
        <f t="shared" ref="P3:P28" si="7">IFERROR(FIND(",",N3),LEN(N3))</f>
        <v>4</v>
      </c>
      <c r="Q3" s="63" t="e">
        <f t="shared" ref="Q3:Q28" si="8">FIND("target:",N3)+7</f>
        <v>#VALUE!</v>
      </c>
      <c r="R3" s="63" t="e">
        <f t="shared" ref="R3:R28" si="9">FIND(",",N3,P3+1)</f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ref="T3:T28" si="10">IFERROR(RIGHT(M3,LEN(M3)-FIND("],",M3)-1),"none")</f>
        <v>none</v>
      </c>
      <c r="U3" s="63" t="e">
        <f t="shared" ref="U3:U28" si="11">FIND("effect:",T3)+7</f>
        <v>#VALUE!</v>
      </c>
      <c r="V3" s="63">
        <f t="shared" ref="V3:V28" si="12">IFERROR(FIND(",",T3),LEN(T3))</f>
        <v>4</v>
      </c>
      <c r="W3" s="63" t="e">
        <f t="shared" ref="W3:W28" si="13">FIND("target:",T3)+7</f>
        <v>#VALUE!</v>
      </c>
      <c r="X3" s="63" t="e">
        <f t="shared" ref="X3:X28" si="14">FIND(",",T3,V3+1)</f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48" customHeight="1" x14ac:dyDescent="0.15">
      <c r="A4" s="156">
        <v>60029201</v>
      </c>
      <c r="B4" s="156" t="s">
        <v>448</v>
      </c>
      <c r="C4" s="157">
        <v>3</v>
      </c>
      <c r="D4" s="157" t="s">
        <v>373</v>
      </c>
      <c r="E4" s="158" t="s">
        <v>391</v>
      </c>
      <c r="F4" s="158" t="s">
        <v>446</v>
      </c>
      <c r="G4" s="63" t="str">
        <f t="shared" ref="G4" si="15">IFERROR(LEFT(B4,FIND("],",B4)),B4)</f>
        <v>[effect:enemy_message, val1:1.5, val2:4.9]</v>
      </c>
      <c r="H4" s="63">
        <f t="shared" ref="H4" si="16">FIND("effect:",G4)+7</f>
        <v>9</v>
      </c>
      <c r="I4" s="63">
        <f t="shared" ref="I4" si="17">IFERROR(FIND(",",G4),LEN(G4))</f>
        <v>22</v>
      </c>
      <c r="J4" s="63" t="e">
        <f t="shared" ref="J4" si="18">FIND("target:",G4)+7</f>
        <v>#VALUE!</v>
      </c>
      <c r="K4" s="63">
        <f t="shared" ref="K4" si="19">FIND(",",G4,I4+1)</f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ref="M4" si="20">IFERROR(RIGHT(B4,LEN(B4)-FIND("],",B4)-1),"none")</f>
        <v>[effect:force_change_block, new_block:time_bomb, target:block_all, ignore01:block_positive, ignore02:block_negative, count:10, val:0.2, min_time_count:3, max_time_count:3],[effect:enemy_counter, target:myself, invoke_condition:unit_dragon/not, counter_target:attacker, turn:-1, val:0.2, animation:enemy_counter]</v>
      </c>
      <c r="N4" s="48" t="str">
        <f>IFERROR(LEFT(M4,FIND("],",M4)+S15),M4)</f>
        <v>[effect:force_change_block, new_block:time_bomb, target:block_all, ignore01:block_positive, ignore02:block_negative, count:10, val:0.2, min_time_count:3, max_time_count:3],[effect:enemy_counter, target:myself, invoke_condition:unit_dragon/not, counter_target:attacker, turn:-1, val:0.2, animation:enemy_counter]</v>
      </c>
      <c r="O4" s="63">
        <f t="shared" ref="O4" si="21">FIND("effect:",N4)+7</f>
        <v>9</v>
      </c>
      <c r="P4" s="63">
        <f t="shared" ref="P4" si="22">IFERROR(FIND(",",N4),LEN(N4))</f>
        <v>27</v>
      </c>
      <c r="Q4" s="63">
        <f t="shared" ref="Q4" si="23">FIND("target:",N4)+7</f>
        <v>57</v>
      </c>
      <c r="R4" s="63">
        <f t="shared" ref="R4" si="24">FIND(",",N4,P4+1)</f>
        <v>48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ref="T4" si="25">IFERROR(RIGHT(M4,LEN(M4)-FIND("],",M4)-1),"none")</f>
        <v>[effect:enemy_counter, target:myself, invoke_condition:unit_dragon/not, counter_target:attacker, turn:-1, val:0.2, animation:enemy_counter]</v>
      </c>
      <c r="U4" s="63">
        <f t="shared" ref="U4" si="26">FIND("effect:",T4)+7</f>
        <v>9</v>
      </c>
      <c r="V4" s="63">
        <f t="shared" ref="V4" si="27">IFERROR(FIND(",",T4),LEN(T4))</f>
        <v>22</v>
      </c>
      <c r="W4" s="63">
        <f t="shared" ref="W4" si="28">FIND("target:",T4)+7</f>
        <v>31</v>
      </c>
      <c r="X4" s="63">
        <f t="shared" ref="X4" si="29">FIND(",",T4,V4+1)</f>
        <v>37</v>
      </c>
      <c r="Y4" s="63" t="str">
        <f>IFERROR(VLOOKUP(MID(T4,W4,X4-W4),[5]skilldef!$C:$D,2,FALSE),"-") &amp; " / " &amp; IFERROR(VLOOKUP(MID(T4,U4,V4-U4),[5]skilldef!$A:$B,2,FALSE),"-")</f>
        <v>自分自身に / カウンター</v>
      </c>
      <c r="Z4" s="50"/>
      <c r="AA4" s="52"/>
      <c r="AB4" s="50"/>
    </row>
    <row r="5" spans="1:28" ht="48" customHeight="1" x14ac:dyDescent="0.15">
      <c r="A5" s="156">
        <v>60029202</v>
      </c>
      <c r="B5" s="156" t="s">
        <v>418</v>
      </c>
      <c r="C5" s="157">
        <v>3</v>
      </c>
      <c r="D5" s="157" t="s">
        <v>373</v>
      </c>
      <c r="E5" s="158" t="s">
        <v>390</v>
      </c>
      <c r="F5" s="158" t="s">
        <v>429</v>
      </c>
      <c r="G5" s="63" t="str">
        <f t="shared" si="0"/>
        <v>[effect:enemy_message, val1:1.2,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 xml:space="preserve">[effect:rush, count:4, val:0.27]    </v>
      </c>
      <c r="N5" s="48" t="str">
        <f>IFERROR(LEFT(M5,FIND("],",M5)+S16),M5)</f>
        <v xml:space="preserve">[effect:rush, count:4, val:0.27]    </v>
      </c>
      <c r="O5" s="63">
        <f t="shared" si="6"/>
        <v>9</v>
      </c>
      <c r="P5" s="63">
        <f t="shared" si="7"/>
        <v>13</v>
      </c>
      <c r="Q5" s="63" t="e">
        <f t="shared" si="8"/>
        <v>#VALUE!</v>
      </c>
      <c r="R5" s="63">
        <f t="shared" si="9"/>
        <v>22</v>
      </c>
      <c r="S5" s="63" t="str">
        <f>IFERROR(VLOOKUP(MID(N5,Q5,R5-Q5),[5]skilldef!$C:$D,2,FALSE),"-") &amp; " / " &amp; IFERROR(VLOOKUP(MID(N5,O5,P5-O5),[5]skilldef!$A:$B,2,FALSE),"-")</f>
        <v>- / 連続攻撃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48" customHeight="1" x14ac:dyDescent="0.15">
      <c r="A6" s="47">
        <v>60029301</v>
      </c>
      <c r="B6" s="141" t="s">
        <v>450</v>
      </c>
      <c r="C6" s="50">
        <v>3</v>
      </c>
      <c r="D6" s="142" t="s">
        <v>302</v>
      </c>
      <c r="E6" s="143" t="s">
        <v>385</v>
      </c>
      <c r="F6" s="188" t="s">
        <v>449</v>
      </c>
      <c r="G6" s="63" t="str">
        <f>IFERROR(LEFT(B6,FIND("],",B6)),B6)</f>
        <v>[effect:enemy_message, val1:1.2, val2:3.8]</v>
      </c>
      <c r="H6" s="63">
        <f>FIND("effect:",G6)+7</f>
        <v>9</v>
      </c>
      <c r="I6" s="63">
        <f>IFERROR(FIND(",",G6),LEN(G6))</f>
        <v>22</v>
      </c>
      <c r="J6" s="63" t="e">
        <f>FIND("target:",G6)+7</f>
        <v>#VALUE!</v>
      </c>
      <c r="K6" s="63">
        <f>FIND(",",G6,I6+1)</f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>IFERROR(RIGHT(B6,LEN(B6)-FIND("],",B6)-1),"none")</f>
        <v>[effect:reduction, target:myself, reduction_target:unit_red/not, turn:-1, val:0.5, animation:reduction_one03],[effect:hungup, target:unit_red/not, turn:4, rate:1, animation:hungup03]</v>
      </c>
      <c r="N6" s="48" t="str">
        <f>IFERROR(LEFT(M6,FIND("],",M6)+S37),M6)</f>
        <v>[effect:reduction, target:myself, reduction_target:unit_red/not, turn:-1, val:0.5, animation:reduction_one03]</v>
      </c>
      <c r="O6" s="63">
        <f>FIND("effect:",N6)+7</f>
        <v>9</v>
      </c>
      <c r="P6" s="63">
        <f>IFERROR(FIND(",",N6),LEN(N6))</f>
        <v>18</v>
      </c>
      <c r="Q6" s="63">
        <f>FIND("target:",N6)+7</f>
        <v>27</v>
      </c>
      <c r="R6" s="63">
        <f>FIND(",",N6,P6+1)</f>
        <v>33</v>
      </c>
      <c r="S6" s="63" t="str">
        <f>IFERROR(VLOOKUP(MID(N6,Q6,R6-Q6),[5]skilldef!$C:$D,2,FALSE),"-") &amp; " / " &amp; IFERROR(VLOOKUP(MID(N6,O6,P6-O6),[5]skilldef!$A:$B,2,FALSE),"-")</f>
        <v>自分自身に / -</v>
      </c>
      <c r="T6" s="48" t="str">
        <f>IFERROR(RIGHT(M6,LEN(M6)-FIND("],",M6)-1),"none")</f>
        <v>[effect:hungup, target:unit_red/not, turn:4, rate:1, animation:hungup03]</v>
      </c>
      <c r="U6" s="63">
        <f>FIND("effect:",T6)+7</f>
        <v>9</v>
      </c>
      <c r="V6" s="63">
        <f>IFERROR(FIND(",",T6),LEN(T6))</f>
        <v>15</v>
      </c>
      <c r="W6" s="63">
        <f>FIND("target:",T6)+7</f>
        <v>24</v>
      </c>
      <c r="X6" s="63">
        <f>FIND(",",T6,V6+1)</f>
        <v>36</v>
      </c>
      <c r="Y6" s="63" t="str">
        <f>IFERROR(VLOOKUP(MID(T6,W6,X6-W6),[5]skilldef!$C:$D,2,FALSE),"-") &amp; " / " &amp; IFERROR(VLOOKUP(MID(T6,U6,V6-U6),[5]skilldef!$A:$B,2,FALSE),"-")</f>
        <v>- / ハングアップ</v>
      </c>
      <c r="Z6" s="50"/>
      <c r="AA6" s="52"/>
      <c r="AB6" s="50"/>
    </row>
    <row r="7" spans="1:28" ht="48" customHeight="1" x14ac:dyDescent="0.15">
      <c r="A7" s="47">
        <v>60029302</v>
      </c>
      <c r="B7" s="47" t="s">
        <v>433</v>
      </c>
      <c r="C7" s="50">
        <v>3</v>
      </c>
      <c r="D7" s="50" t="s">
        <v>373</v>
      </c>
      <c r="E7" s="51" t="s">
        <v>392</v>
      </c>
      <c r="F7" s="51" t="s">
        <v>404</v>
      </c>
      <c r="G7" s="63" t="str">
        <f t="shared" si="0"/>
        <v>[effect:enemy_message, val1:1.2, val2:1.3]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[effect:break_attack_fix, target:unit_all, val:0, lowest_val:1700, count:-1, block01:block_red]</v>
      </c>
      <c r="N7" s="48" t="str">
        <f>IFERROR(LEFT(M7,FIND("],",M7)+S18),M7)</f>
        <v>[effect:break_attack_fix, target:unit_all, val:0, lowest_val:1700, count:-1, block01:block_red]</v>
      </c>
      <c r="O7" s="63">
        <f t="shared" si="6"/>
        <v>9</v>
      </c>
      <c r="P7" s="63">
        <f t="shared" si="7"/>
        <v>25</v>
      </c>
      <c r="Q7" s="63">
        <f t="shared" si="8"/>
        <v>34</v>
      </c>
      <c r="R7" s="63">
        <f t="shared" si="9"/>
        <v>42</v>
      </c>
      <c r="S7" s="63" t="str">
        <f>IFERROR(VLOOKUP(MID(N7,Q7,R7-Q7),[5]skilldef!$C:$D,2,FALSE),"-") &amp; " / " &amp; IFERROR(VLOOKUP(MID(N7,O7,P7-O7),[5]skilldef!$A:$B,2,FALSE),"-")</f>
        <v>味方全体に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48" customHeight="1" x14ac:dyDescent="0.15">
      <c r="A8" s="47">
        <v>60029303</v>
      </c>
      <c r="B8" s="47" t="s">
        <v>434</v>
      </c>
      <c r="C8" s="50">
        <v>3</v>
      </c>
      <c r="D8" s="50" t="s">
        <v>373</v>
      </c>
      <c r="E8" s="51" t="s">
        <v>393</v>
      </c>
      <c r="F8" s="51" t="s">
        <v>405</v>
      </c>
      <c r="G8" s="63" t="str">
        <f t="shared" si="0"/>
        <v>[effect:enemy_message, val1:1.3, val2:1.2]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>none</v>
      </c>
      <c r="N8" s="48" t="str">
        <f>IFERROR(LEFT(M8,FIND("],",M8)+S19),M8)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48" customHeight="1" x14ac:dyDescent="0.15">
      <c r="A9" s="47">
        <v>60029304</v>
      </c>
      <c r="B9" s="47" t="s">
        <v>420</v>
      </c>
      <c r="C9" s="50">
        <v>3</v>
      </c>
      <c r="D9" s="50" t="s">
        <v>373</v>
      </c>
      <c r="E9" s="51" t="s">
        <v>394</v>
      </c>
      <c r="F9" s="51" t="s">
        <v>400</v>
      </c>
      <c r="G9" s="63" t="str">
        <f t="shared" si="0"/>
        <v>[effect:enemy_message, val1:1.2, val2:1.2]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5"/>
        <v>[effect:spread, val:0.35]</v>
      </c>
      <c r="N9" s="48" t="str">
        <f>IFERROR(LEFT(M9,FIND("],",M9)+S20),M9)</f>
        <v>[effect:spread, val:0.35]</v>
      </c>
      <c r="O9" s="63">
        <f t="shared" si="6"/>
        <v>9</v>
      </c>
      <c r="P9" s="63">
        <f t="shared" si="7"/>
        <v>15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IFERROR(VLOOKUP(MID(N9,Q9,R9-Q9),[5]skilldef!$C:$D,2,FALSE),"-") &amp; " / " &amp; IFERROR(VLOOKUP(MID(N9,O9,P9-O9),[5]skilldef!$A:$B,2,FALSE),"-")</f>
        <v>- / 全体攻撃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48" customHeight="1" x14ac:dyDescent="0.15">
      <c r="A10" s="47">
        <v>60029305</v>
      </c>
      <c r="B10" s="141" t="s">
        <v>444</v>
      </c>
      <c r="C10" s="50">
        <v>3</v>
      </c>
      <c r="D10" s="142" t="s">
        <v>302</v>
      </c>
      <c r="E10" s="143" t="s">
        <v>395</v>
      </c>
      <c r="F10" s="143" t="s">
        <v>443</v>
      </c>
      <c r="G10" s="63" t="str">
        <f>IFERROR(LEFT(B10,FIND("],",B10)),B10)</f>
        <v>[effect:enemy_message, val1:1.5, val2:3.3]</v>
      </c>
      <c r="H10" s="63">
        <f>FIND("effect:",G10)+7</f>
        <v>9</v>
      </c>
      <c r="I10" s="63">
        <f>IFERROR(FIND(",",G10),LEN(G10))</f>
        <v>22</v>
      </c>
      <c r="J10" s="63" t="e">
        <f>FIND("target:",G10)+7</f>
        <v>#VALUE!</v>
      </c>
      <c r="K10" s="63">
        <f>FIND(",",G10,I10+1)</f>
        <v>32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>IFERROR(RIGHT(B10,LEN(B10)-FIND("],",B10)-1),"none")</f>
        <v>[effect:force_change_block, new_block:time_bomb, target:block_all, ignore01:block_positive, ignore02:block_negative, count:10, val:0.2, min_time_count:2, max_time_count:2],[effect:critical, val:1.3]</v>
      </c>
      <c r="N10" s="48" t="str">
        <f>IFERROR(LEFT(M10,FIND("],",M10)+S36),M10)</f>
        <v>[effect:force_change_block, new_block:time_bomb, target:block_all, ignore01:block_positive, ignore02:block_negative, count:10, val:0.2, min_time_count:2, max_time_count:2]</v>
      </c>
      <c r="O10" s="63">
        <f>FIND("effect:",N10)+7</f>
        <v>9</v>
      </c>
      <c r="P10" s="63">
        <f>IFERROR(FIND(",",N10),LEN(N10))</f>
        <v>27</v>
      </c>
      <c r="Q10" s="63">
        <f>FIND("target:",N10)+7</f>
        <v>57</v>
      </c>
      <c r="R10" s="63">
        <f>FIND(",",N10,P10+1)</f>
        <v>48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>IFERROR(RIGHT(M10,LEN(M10)-FIND("],",M10)-1),"none")</f>
        <v>[effect:critical, val:1.3]</v>
      </c>
      <c r="U10" s="63">
        <f>FIND("effect:",T10)+7</f>
        <v>9</v>
      </c>
      <c r="V10" s="63">
        <f>IFERROR(FIND(",",T10),LEN(T10))</f>
        <v>17</v>
      </c>
      <c r="W10" s="63" t="e">
        <f>FIND("target:",T10)+7</f>
        <v>#VALUE!</v>
      </c>
      <c r="X10" s="63" t="e">
        <f>FIND(",",T10,V10+1)</f>
        <v>#VALUE!</v>
      </c>
      <c r="Y10" s="63" t="str">
        <f>IFERROR(VLOOKUP(MID(T10,W10,X10-W10),[5]skilldef!$C:$D,2,FALSE),"-") &amp; " / " &amp; IFERROR(VLOOKUP(MID(T10,U10,V10-U10),[5]skilldef!$A:$B,2,FALSE),"-")</f>
        <v>- / 大攻撃</v>
      </c>
      <c r="Z10" s="50"/>
      <c r="AA10" s="52"/>
      <c r="AB10" s="50"/>
    </row>
    <row r="11" spans="1:28" ht="48" customHeight="1" x14ac:dyDescent="0.15">
      <c r="A11" s="156">
        <v>60029401</v>
      </c>
      <c r="B11" s="156" t="s">
        <v>451</v>
      </c>
      <c r="C11" s="157">
        <v>3</v>
      </c>
      <c r="D11" s="157" t="s">
        <v>373</v>
      </c>
      <c r="E11" s="158" t="s">
        <v>376</v>
      </c>
      <c r="F11" s="158" t="s">
        <v>422</v>
      </c>
      <c r="G11" s="63" t="str">
        <f t="shared" si="0"/>
        <v>[effect:enemy_message, val1:1.2, val2:1.3]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 xml:space="preserve">[effect:enhance_enemy, target:enemy_all, turn:5, status:attack, val:0.3, calc:mul, animation:enemy_enhance_attack]    </v>
      </c>
      <c r="N11" s="48" t="str">
        <f t="shared" ref="N11:N13" si="30">IFERROR(LEFT(M11,FIND("],",M11)+S21),M11)</f>
        <v xml:space="preserve">[effect:enhance_enemy, target:enemy_all, turn:5, status:attack, val:0.3, calc:mul, animation:enemy_enhance_attack]    </v>
      </c>
      <c r="O11" s="63">
        <f t="shared" si="6"/>
        <v>9</v>
      </c>
      <c r="P11" s="63">
        <f t="shared" si="7"/>
        <v>22</v>
      </c>
      <c r="Q11" s="63">
        <f t="shared" si="8"/>
        <v>31</v>
      </c>
      <c r="R11" s="63">
        <f t="shared" si="9"/>
        <v>40</v>
      </c>
      <c r="S11" s="63" t="str">
        <f>IFERROR(VLOOKUP(MID(N11,Q11,R11-Q11),[5]skilldef!$C:$D,2,FALSE),"-") &amp; " / " &amp; IFERROR(VLOOKUP(MID(N11,O11,P11-O11),[5]skilldef!$A:$B,2,FALSE),"-")</f>
        <v>敵全体に / ステータス強化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48" customHeight="1" x14ac:dyDescent="0.15">
      <c r="A12" s="156">
        <v>60029402</v>
      </c>
      <c r="B12" s="156" t="s">
        <v>435</v>
      </c>
      <c r="C12" s="157">
        <v>3</v>
      </c>
      <c r="D12" s="157" t="s">
        <v>373</v>
      </c>
      <c r="E12" s="158" t="s">
        <v>461</v>
      </c>
      <c r="F12" s="158" t="s">
        <v>423</v>
      </c>
      <c r="G12" s="63" t="str">
        <f t="shared" si="0"/>
        <v>[effect:enemy_message, val1:1.4, val2:1.3]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 xml:space="preserve">[effect:enhance_enemy, target:enemy_all, turn:3, status:defense, val:4000, calc:add, animation:enemy_enhance_defense]    </v>
      </c>
      <c r="N12" s="48" t="str">
        <f t="shared" si="30"/>
        <v xml:space="preserve">[effect:enhance_enemy, target:enemy_all, turn:3, status:defense, val:4000, calc:add, animation:enemy_enhance_defense]    </v>
      </c>
      <c r="O12" s="63">
        <f t="shared" si="6"/>
        <v>9</v>
      </c>
      <c r="P12" s="63">
        <f t="shared" si="7"/>
        <v>22</v>
      </c>
      <c r="Q12" s="63">
        <f t="shared" si="8"/>
        <v>31</v>
      </c>
      <c r="R12" s="63">
        <f t="shared" si="9"/>
        <v>40</v>
      </c>
      <c r="S12" s="63" t="str">
        <f>IFERROR(VLOOKUP(MID(N12,Q12,R12-Q12),[5]skilldef!$C:$D,2,FALSE),"-") &amp; " / " &amp; IFERROR(VLOOKUP(MID(N12,O12,P12-O12),[5]skilldef!$A:$B,2,FALSE),"-")</f>
        <v>敵全体に / ステータス強化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48" customHeight="1" x14ac:dyDescent="0.15">
      <c r="A13" s="47">
        <v>60029501</v>
      </c>
      <c r="B13" s="47" t="s">
        <v>432</v>
      </c>
      <c r="C13" s="50">
        <v>3</v>
      </c>
      <c r="D13" s="50" t="s">
        <v>373</v>
      </c>
      <c r="E13" s="51" t="s">
        <v>377</v>
      </c>
      <c r="F13" s="51" t="s">
        <v>430</v>
      </c>
      <c r="G13" s="63" t="str">
        <f t="shared" si="0"/>
        <v>[effect:enemy_message, val1:1.2,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none</v>
      </c>
      <c r="N13" s="48" t="str">
        <f t="shared" si="30"/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48" customHeight="1" x14ac:dyDescent="0.15">
      <c r="A14" s="47">
        <v>60029502</v>
      </c>
      <c r="B14" s="47" t="s">
        <v>420</v>
      </c>
      <c r="C14" s="50">
        <v>3</v>
      </c>
      <c r="D14" s="50" t="s">
        <v>373</v>
      </c>
      <c r="E14" s="51" t="s">
        <v>378</v>
      </c>
      <c r="F14" s="51" t="s">
        <v>400</v>
      </c>
      <c r="G14" s="63" t="str">
        <f t="shared" si="0"/>
        <v>[effect:enemy_message, val1:1.2, val2:1.2]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[effect:spread, val:0.35]</v>
      </c>
      <c r="N14" s="48" t="str">
        <f>IFERROR(LEFT(M14,FIND("],",M14)+S24),M14)</f>
        <v>[effect:spread, val:0.35]</v>
      </c>
      <c r="O14" s="63">
        <f t="shared" si="6"/>
        <v>9</v>
      </c>
      <c r="P14" s="63">
        <f t="shared" si="7"/>
        <v>15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IFERROR(VLOOKUP(MID(N14,Q14,R14-Q14),[5]skilldef!$C:$D,2,FALSE),"-") &amp; " / " &amp; IFERROR(VLOOKUP(MID(N14,O14,P14-O14),[5]skilldef!$A:$B,2,FALSE),"-")</f>
        <v>- / 全体攻撃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48" customHeight="1" x14ac:dyDescent="0.15">
      <c r="A15" s="47">
        <v>60029503</v>
      </c>
      <c r="B15" s="47" t="s">
        <v>436</v>
      </c>
      <c r="C15" s="50">
        <v>3</v>
      </c>
      <c r="D15" s="50" t="s">
        <v>373</v>
      </c>
      <c r="E15" s="51" t="s">
        <v>379</v>
      </c>
      <c r="F15" s="51" t="s">
        <v>424</v>
      </c>
      <c r="G15" s="63" t="str">
        <f t="shared" si="0"/>
        <v>[effect:enemy_message, val1:1.2, val2:1.3]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5"/>
        <v xml:space="preserve">[effect:freq_turn, target:myself, turn:-1, val:1, animation:enemy_freq_turn]    </v>
      </c>
      <c r="N15" s="48" t="str">
        <f>IFERROR(LEFT(M15,FIND("],",M15)+S25),M15)</f>
        <v xml:space="preserve">[effect:freq_turn, target:myself, turn:-1, val:1, animation:enemy_freq_turn]    </v>
      </c>
      <c r="O15" s="63">
        <f t="shared" si="6"/>
        <v>9</v>
      </c>
      <c r="P15" s="63">
        <f t="shared" si="7"/>
        <v>18</v>
      </c>
      <c r="Q15" s="63">
        <f t="shared" si="8"/>
        <v>27</v>
      </c>
      <c r="R15" s="63">
        <f t="shared" si="9"/>
        <v>33</v>
      </c>
      <c r="S15" s="63" t="str">
        <f>IFERROR(VLOOKUP(MID(N15,Q15,R15-Q15),[5]skilldef!$C:$D,2,FALSE),"-") &amp; " / " &amp; IFERROR(VLOOKUP(MID(N15,O15,P15-O15),[5]skilldef!$A:$B,2,FALSE),"-")</f>
        <v>自分自身に / 攻撃頻度がUP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48" customHeight="1" x14ac:dyDescent="0.15">
      <c r="A16" s="156">
        <v>60029601</v>
      </c>
      <c r="B16" s="156" t="s">
        <v>456</v>
      </c>
      <c r="C16" s="157">
        <v>3</v>
      </c>
      <c r="D16" s="157" t="s">
        <v>373</v>
      </c>
      <c r="E16" s="158" t="s">
        <v>455</v>
      </c>
      <c r="F16" s="158" t="s">
        <v>452</v>
      </c>
      <c r="G16" s="63" t="str">
        <f t="shared" si="0"/>
        <v>[effect:enemy_message, val1:1.5, val2:2.9]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5"/>
        <v>[effect:hungup, target:unit_red/not, turn:4, rate:1, animation:hungup03],[effect:tolerance, target:myself, turn:-1, count:-1, tolerance_effect:all, animation:enemy_tolerance]</v>
      </c>
      <c r="N16" s="48" t="str">
        <f>IFERROR(LEFT(M16,FIND("],",M16)+S26),M16)</f>
        <v>[effect:hungup, target:unit_red/not, turn:4, rate:1, animation:hungup03],[effect:tolerance, target:myself, turn:-1, count:-1, tolerance_effect:all, animation:enemy_tolerance]</v>
      </c>
      <c r="O16" s="63">
        <f t="shared" si="6"/>
        <v>9</v>
      </c>
      <c r="P16" s="63">
        <f t="shared" si="7"/>
        <v>15</v>
      </c>
      <c r="Q16" s="63">
        <f t="shared" si="8"/>
        <v>24</v>
      </c>
      <c r="R16" s="63">
        <f t="shared" si="9"/>
        <v>36</v>
      </c>
      <c r="S16" s="63" t="str">
        <f>IFERROR(VLOOKUP(MID(N16,Q16,R16-Q16),[5]skilldef!$C:$D,2,FALSE),"-") &amp; " / " &amp; IFERROR(VLOOKUP(MID(N16,O16,P16-O16),[5]skilldef!$A:$B,2,FALSE),"-")</f>
        <v>- / ハングアップ</v>
      </c>
      <c r="T16" s="48" t="str">
        <f t="shared" si="10"/>
        <v>[effect:tolerance, target:myself, turn:-1, count:-1, tolerance_effect:all, animation:enemy_tolerance]</v>
      </c>
      <c r="U16" s="63">
        <f t="shared" si="11"/>
        <v>9</v>
      </c>
      <c r="V16" s="63">
        <f t="shared" si="12"/>
        <v>18</v>
      </c>
      <c r="W16" s="63">
        <f t="shared" si="13"/>
        <v>27</v>
      </c>
      <c r="X16" s="63">
        <f t="shared" si="14"/>
        <v>33</v>
      </c>
      <c r="Y16" s="63" t="str">
        <f>IFERROR(VLOOKUP(MID(T16,W16,X16-W16),[5]skilldef!$C:$D,2,FALSE),"-") &amp; " / " &amp; IFERROR(VLOOKUP(MID(T16,U16,V16-U16),[5]skilldef!$A:$B,2,FALSE),"-")</f>
        <v>自分自身に / 状態異常耐性</v>
      </c>
      <c r="Z16" s="50"/>
      <c r="AA16" s="52"/>
      <c r="AB16" s="50"/>
    </row>
    <row r="17" spans="1:28" ht="48" customHeight="1" x14ac:dyDescent="0.15">
      <c r="A17" s="156">
        <v>60029602</v>
      </c>
      <c r="B17" s="156" t="s">
        <v>419</v>
      </c>
      <c r="C17" s="157">
        <v>3</v>
      </c>
      <c r="D17" s="157" t="s">
        <v>373</v>
      </c>
      <c r="E17" s="158" t="s">
        <v>396</v>
      </c>
      <c r="F17" s="158" t="s">
        <v>397</v>
      </c>
      <c r="G17" s="63" t="str">
        <f t="shared" si="0"/>
        <v>[effect:enemy_message, val1:1.2, val2:1.2]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 xml:space="preserve">[effect:rush, count:1, val:1]    </v>
      </c>
      <c r="N17" s="48" t="str">
        <f>IFERROR(LEFT(M17,FIND("],",M17)+S27),M17)</f>
        <v xml:space="preserve">[effect:rush, count:1, val:1]    </v>
      </c>
      <c r="O17" s="63">
        <f t="shared" si="6"/>
        <v>9</v>
      </c>
      <c r="P17" s="63">
        <f t="shared" si="7"/>
        <v>13</v>
      </c>
      <c r="Q17" s="63" t="e">
        <f t="shared" si="8"/>
        <v>#VALUE!</v>
      </c>
      <c r="R17" s="63">
        <f t="shared" si="9"/>
        <v>22</v>
      </c>
      <c r="S17" s="63" t="str">
        <f>IFERROR(VLOOKUP(MID(N17,Q17,R17-Q17),[5]skilldef!$C:$D,2,FALSE),"-") &amp; " / " &amp; IFERROR(VLOOKUP(MID(N17,O17,P17-O17),[5]skilldef!$A:$B,2,FALSE),"-")</f>
        <v>- / 連続攻撃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48" customHeight="1" x14ac:dyDescent="0.15">
      <c r="A18" s="156">
        <v>60029603</v>
      </c>
      <c r="B18" s="156" t="s">
        <v>457</v>
      </c>
      <c r="C18" s="157">
        <v>3</v>
      </c>
      <c r="D18" s="157" t="s">
        <v>373</v>
      </c>
      <c r="E18" s="158" t="s">
        <v>398</v>
      </c>
      <c r="F18" s="158" t="s">
        <v>445</v>
      </c>
      <c r="G18" s="63" t="str">
        <f t="shared" si="0"/>
        <v>[effect:enemy_message, val1:1.2, val2:3.1]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5"/>
        <v xml:space="preserve">[effect:force_change_block, new_block:time_bomb, target:block_all, ignore01:block_positive, ignore02:block_negative, count:5, val:0.2, min_time_count:3, max_time_count:3],[effect:rush, count:5, val:0.25]    </v>
      </c>
      <c r="N18" s="48" t="str">
        <f>IFERROR(LEFT(M18,FIND("],",M18)+#REF!),M18)</f>
        <v xml:space="preserve">[effect:force_change_block, new_block:time_bomb, target:block_all, ignore01:block_positive, ignore02:block_negative, count:5, val:0.2, min_time_count:3, max_time_count:3],[effect:rush, count:5, val:0.25]    </v>
      </c>
      <c r="O18" s="63">
        <f t="shared" si="6"/>
        <v>9</v>
      </c>
      <c r="P18" s="63">
        <f t="shared" si="7"/>
        <v>27</v>
      </c>
      <c r="Q18" s="63">
        <f t="shared" si="8"/>
        <v>57</v>
      </c>
      <c r="R18" s="63">
        <f t="shared" si="9"/>
        <v>48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 xml:space="preserve">[effect:rush, count:5, val:0.25]    </v>
      </c>
      <c r="U18" s="63">
        <f t="shared" si="11"/>
        <v>9</v>
      </c>
      <c r="V18" s="63">
        <f t="shared" si="12"/>
        <v>13</v>
      </c>
      <c r="W18" s="63" t="e">
        <f t="shared" si="13"/>
        <v>#VALUE!</v>
      </c>
      <c r="X18" s="63">
        <f t="shared" si="14"/>
        <v>22</v>
      </c>
      <c r="Y18" s="63" t="str">
        <f>IFERROR(VLOOKUP(MID(T18,W18,X18-W18),[5]skilldef!$C:$D,2,FALSE),"-") &amp; " / " &amp; IFERROR(VLOOKUP(MID(T18,U18,V18-U18),[5]skilldef!$A:$B,2,FALSE),"-")</f>
        <v>- / 連続攻撃</v>
      </c>
      <c r="Z18" s="50"/>
      <c r="AA18" s="52"/>
      <c r="AB18" s="50"/>
    </row>
    <row r="19" spans="1:28" ht="48" customHeight="1" x14ac:dyDescent="0.15">
      <c r="A19" s="156">
        <v>60029604</v>
      </c>
      <c r="B19" s="156" t="s">
        <v>420</v>
      </c>
      <c r="C19" s="157">
        <v>3</v>
      </c>
      <c r="D19" s="157" t="s">
        <v>373</v>
      </c>
      <c r="E19" s="158" t="s">
        <v>399</v>
      </c>
      <c r="F19" s="158" t="s">
        <v>375</v>
      </c>
      <c r="G19" s="63" t="str">
        <f t="shared" si="0"/>
        <v>[effect:enemy_message, val1:1.2, val2:1.2]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5"/>
        <v>[effect:spread, val:0.35]</v>
      </c>
      <c r="N19" s="48" t="str">
        <f>IFERROR(LEFT(M19,FIND("],",M19)+S10),M19)</f>
        <v>[effect:spread, val:0.35]</v>
      </c>
      <c r="O19" s="63">
        <f t="shared" si="6"/>
        <v>9</v>
      </c>
      <c r="P19" s="63">
        <f t="shared" si="7"/>
        <v>15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IFERROR(VLOOKUP(MID(N19,Q19,R19-Q19),[5]skilldef!$C:$D,2,FALSE),"-") &amp; " / " &amp; IFERROR(VLOOKUP(MID(N19,O19,P19-O19),[5]skilldef!$A:$B,2,FALSE),"-")</f>
        <v>- / 全体攻撃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48" customHeight="1" x14ac:dyDescent="0.15">
      <c r="A20" s="47">
        <v>60029701</v>
      </c>
      <c r="B20" s="47" t="s">
        <v>460</v>
      </c>
      <c r="C20" s="50">
        <v>3</v>
      </c>
      <c r="D20" s="50" t="s">
        <v>373</v>
      </c>
      <c r="E20" s="51" t="s">
        <v>380</v>
      </c>
      <c r="F20" s="51" t="s">
        <v>459</v>
      </c>
      <c r="G20" s="63" t="str">
        <f t="shared" si="0"/>
        <v>[effect:enemy_message, val1:1.2, val2:3.1]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si="5"/>
        <v>[effect:tolerance, target:myself, turn:-1, count:-1, tolerance_effect:all, animation:enemy_tolerance],[effect:drop_block, block_type:time_bomb, block_color:block_green, color:block_yellow, val:0.1, rate:1, turn:1, min_time_count:3, max_time_count:3]</v>
      </c>
      <c r="N20" s="48" t="str">
        <f>IFERROR(LEFT(M20,FIND("],",M20)+S6),M20)</f>
        <v>[effect:tolerance, target:myself, turn:-1, count:-1, tolerance_effect:all, animation:enemy_tolerance],[effect:drop_block, block_type:time_bomb, block_color:block_green, color:block_yellow, val:0.1, rate:1, turn:1, min_time_count:3, max_time_count:3]</v>
      </c>
      <c r="O20" s="63">
        <f t="shared" si="6"/>
        <v>9</v>
      </c>
      <c r="P20" s="63">
        <f t="shared" si="7"/>
        <v>18</v>
      </c>
      <c r="Q20" s="63">
        <f t="shared" si="8"/>
        <v>27</v>
      </c>
      <c r="R20" s="63">
        <f t="shared" si="9"/>
        <v>33</v>
      </c>
      <c r="S20" s="63" t="str">
        <f>IFERROR(VLOOKUP(MID(N20,Q20,R20-Q20),[5]skilldef!$C:$D,2,FALSE),"-") &amp; " / " &amp; IFERROR(VLOOKUP(MID(N20,O20,P20-O20),[5]skilldef!$A:$B,2,FALSE),"-")</f>
        <v>自分自身に / 状態異常耐性</v>
      </c>
      <c r="T20" s="48" t="str">
        <f t="shared" si="10"/>
        <v>[effect:drop_block, block_type:time_bomb, block_color:block_green, color:block_yellow, val:0.1, rate:1, turn:1, min_time_count:3, max_time_count:3]</v>
      </c>
      <c r="U20" s="63">
        <f t="shared" si="11"/>
        <v>9</v>
      </c>
      <c r="V20" s="63">
        <f t="shared" si="12"/>
        <v>19</v>
      </c>
      <c r="W20" s="63" t="e">
        <f t="shared" si="13"/>
        <v>#VALUE!</v>
      </c>
      <c r="X20" s="63">
        <f t="shared" si="14"/>
        <v>41</v>
      </c>
      <c r="Y20" s="63" t="str">
        <f>IFERROR(VLOOKUP(MID(T20,W20,X20-W20),[5]skilldef!$C:$D,2,FALSE),"-") &amp; " / " &amp; IFERROR(VLOOKUP(MID(T20,U20,V20-U20),[5]skilldef!$A:$B,2,FALSE),"-")</f>
        <v>- / 特定ブロックの割合ドロップ</v>
      </c>
      <c r="Z20" s="50"/>
      <c r="AA20" s="52"/>
      <c r="AB20" s="50"/>
    </row>
    <row r="21" spans="1:28" ht="48" customHeight="1" x14ac:dyDescent="0.15">
      <c r="A21" s="47">
        <v>60029702</v>
      </c>
      <c r="B21" s="47" t="s">
        <v>442</v>
      </c>
      <c r="C21" s="50">
        <v>3</v>
      </c>
      <c r="D21" s="50" t="s">
        <v>373</v>
      </c>
      <c r="E21" s="51" t="s">
        <v>381</v>
      </c>
      <c r="F21" s="51" t="s">
        <v>431</v>
      </c>
      <c r="G21" s="63" t="str">
        <f t="shared" si="0"/>
        <v>[effect:enemy_message, val1:1.2, val2:1.2]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[effect:critical, val:1.15]</v>
      </c>
      <c r="N21" s="48" t="str">
        <f>IFERROR(LEFT(M21,FIND("],",M21)+S28),M21)</f>
        <v>[effect:critical, val:1.15]</v>
      </c>
      <c r="O21" s="63">
        <f t="shared" si="6"/>
        <v>9</v>
      </c>
      <c r="P21" s="63">
        <f t="shared" si="7"/>
        <v>17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IFERROR(VLOOKUP(MID(N21,Q21,R21-Q21),[5]skilldef!$C:$D,2,FALSE),"-") &amp; " / " &amp; IFERROR(VLOOKUP(MID(N21,O21,P21-O21),[5]skilldef!$A:$B,2,FALSE),"-")</f>
        <v>- / 大攻撃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48" customHeight="1" x14ac:dyDescent="0.15">
      <c r="A22" s="47">
        <v>60029703</v>
      </c>
      <c r="B22" s="47" t="s">
        <v>420</v>
      </c>
      <c r="C22" s="50">
        <v>3</v>
      </c>
      <c r="D22" s="50" t="s">
        <v>373</v>
      </c>
      <c r="E22" s="51" t="s">
        <v>382</v>
      </c>
      <c r="F22" s="51" t="s">
        <v>400</v>
      </c>
      <c r="G22" s="63" t="str">
        <f t="shared" si="0"/>
        <v>[effect:enemy_message, val1:1.2, val2:1.2]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[effect:spread, val:0.35]</v>
      </c>
      <c r="N22" s="48" t="str">
        <f>IFERROR(LEFT(M22,FIND("],",M22)+S29),M22)</f>
        <v>[effect:spread, val:0.35]</v>
      </c>
      <c r="O22" s="63">
        <f t="shared" si="6"/>
        <v>9</v>
      </c>
      <c r="P22" s="63">
        <f t="shared" si="7"/>
        <v>15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IFERROR(VLOOKUP(MID(N22,Q22,R22-Q22),[5]skilldef!$C:$D,2,FALSE),"-") &amp; " / " &amp; IFERROR(VLOOKUP(MID(N22,O22,P22-O22),[5]skilldef!$A:$B,2,FALSE),"-")</f>
        <v>- / 全体攻撃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48" customHeight="1" x14ac:dyDescent="0.15">
      <c r="A23" s="47">
        <v>60029704</v>
      </c>
      <c r="B23" s="47" t="s">
        <v>458</v>
      </c>
      <c r="C23" s="50">
        <v>3</v>
      </c>
      <c r="D23" s="50" t="s">
        <v>373</v>
      </c>
      <c r="E23" s="51" t="s">
        <v>401</v>
      </c>
      <c r="F23" s="51" t="s">
        <v>425</v>
      </c>
      <c r="G23" s="63" t="str">
        <f t="shared" si="0"/>
        <v>[effect:enemy_message, val1:1.2, val2:3.1]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>[effect:force_change_block, new_block:time_bomb, target:block_all, ignore01:block_positive, ignore02:block_negative, count:8, val:0.1, min_time_count:3, max_time_count:3],[effect:rush, count:8, val:0.15]</v>
      </c>
      <c r="N23" s="48" t="str">
        <f>IFERROR(LEFT(M23,FIND("],",M23)+S30),M23)</f>
        <v>[effect:force_change_block, new_block:time_bomb, target:block_all, ignore01:block_positive, ignore02:block_negative, count:8, val:0.1, min_time_count:3, max_time_count:3]</v>
      </c>
      <c r="O23" s="63">
        <f t="shared" si="6"/>
        <v>9</v>
      </c>
      <c r="P23" s="63">
        <f t="shared" si="7"/>
        <v>27</v>
      </c>
      <c r="Q23" s="63">
        <f t="shared" si="8"/>
        <v>57</v>
      </c>
      <c r="R23" s="63">
        <f t="shared" si="9"/>
        <v>48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si="10"/>
        <v>[effect:rush, count:8, val:0.15]</v>
      </c>
      <c r="U23" s="63">
        <f t="shared" si="11"/>
        <v>9</v>
      </c>
      <c r="V23" s="63">
        <f t="shared" si="12"/>
        <v>13</v>
      </c>
      <c r="W23" s="63" t="e">
        <f t="shared" si="13"/>
        <v>#VALUE!</v>
      </c>
      <c r="X23" s="63">
        <f t="shared" si="14"/>
        <v>22</v>
      </c>
      <c r="Y23" s="63" t="str">
        <f>IFERROR(VLOOKUP(MID(T23,W23,X23-W23),[5]skilldef!$C:$D,2,FALSE),"-") &amp; " / " &amp; IFERROR(VLOOKUP(MID(T23,U23,V23-U23),[5]skilldef!$A:$B,2,FALSE),"-")</f>
        <v>- / 連続攻撃</v>
      </c>
      <c r="Z23" s="50"/>
      <c r="AA23" s="52"/>
      <c r="AB23" s="50"/>
    </row>
    <row r="24" spans="1:28" ht="48" customHeight="1" x14ac:dyDescent="0.15">
      <c r="A24" s="156">
        <v>60029801</v>
      </c>
      <c r="B24" s="156" t="s">
        <v>421</v>
      </c>
      <c r="C24" s="157">
        <v>3</v>
      </c>
      <c r="D24" s="157" t="s">
        <v>373</v>
      </c>
      <c r="E24" s="158" t="s">
        <v>383</v>
      </c>
      <c r="F24" s="158" t="s">
        <v>439</v>
      </c>
      <c r="G24" s="63" t="str">
        <f t="shared" si="0"/>
        <v>[effect:enemy_message, val1:1.2, val2:1.2]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[effect:tolerance, target:myself, turn:-1, count:-1, tolerance_effect:all, animation:enemy_tolerance],[effect:fix_speed, target:myself, turn:1]</v>
      </c>
      <c r="N24" s="48" t="str">
        <f t="shared" ref="N24:N27" si="31">IFERROR(LEFT(M24,FIND("],",M24)+S31),M24)</f>
        <v>[effect:tolerance, target:myself, turn:-1, count:-1, tolerance_effect:all, animation:enemy_tolerance]</v>
      </c>
      <c r="O24" s="63">
        <f t="shared" si="6"/>
        <v>9</v>
      </c>
      <c r="P24" s="63">
        <f t="shared" si="7"/>
        <v>18</v>
      </c>
      <c r="Q24" s="63">
        <f t="shared" si="8"/>
        <v>27</v>
      </c>
      <c r="R24" s="63">
        <f t="shared" si="9"/>
        <v>33</v>
      </c>
      <c r="S24" s="63" t="str">
        <f>IFERROR(VLOOKUP(MID(N24,Q24,R24-Q24),[5]skilldef!$C:$D,2,FALSE),"-") &amp; " / " &amp; IFERROR(VLOOKUP(MID(N24,O24,P24-O24),[5]skilldef!$A:$B,2,FALSE),"-")</f>
        <v>自分自身に / 状態異常耐性</v>
      </c>
      <c r="T24" s="48" t="str">
        <f t="shared" si="10"/>
        <v>[effect:fix_speed, target:myself, turn:1]</v>
      </c>
      <c r="U24" s="63">
        <f t="shared" si="11"/>
        <v>9</v>
      </c>
      <c r="V24" s="63">
        <f t="shared" si="12"/>
        <v>18</v>
      </c>
      <c r="W24" s="63">
        <f t="shared" si="13"/>
        <v>27</v>
      </c>
      <c r="X24" s="63">
        <f t="shared" si="14"/>
        <v>33</v>
      </c>
      <c r="Y24" s="63" t="str">
        <f>IFERROR(VLOOKUP(MID(T24,W24,X24-W24),[5]skilldef!$C:$D,2,FALSE),"-") &amp; " / " &amp; IFERROR(VLOOKUP(MID(T24,U24,V24-U24),[5]skilldef!$A:$B,2,FALSE),"-")</f>
        <v>自分自身に / 行動値設定</v>
      </c>
      <c r="Z24" s="50"/>
      <c r="AA24" s="52"/>
      <c r="AB24" s="50"/>
    </row>
    <row r="25" spans="1:28" ht="48" customHeight="1" x14ac:dyDescent="0.15">
      <c r="A25" s="156">
        <v>60029802</v>
      </c>
      <c r="B25" s="156" t="s">
        <v>453</v>
      </c>
      <c r="C25" s="157">
        <v>3</v>
      </c>
      <c r="D25" s="157" t="s">
        <v>373</v>
      </c>
      <c r="E25" s="158" t="s">
        <v>402</v>
      </c>
      <c r="F25" s="158" t="s">
        <v>426</v>
      </c>
      <c r="G25" s="63" t="str">
        <f t="shared" si="0"/>
        <v>[effect:enemy_message, val1:1.2, val2:3.1]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5"/>
        <v>[effect:force_change_block, new_block:time_bomb, target:block_all, ignore01:block_positive, ignore02:block_negative, count:4, val:0.2, min_time_count:3, max_time_count:3],[effect:rush, count:4, val:0.29]</v>
      </c>
      <c r="N25" s="48" t="str">
        <f t="shared" si="31"/>
        <v>[effect:force_change_block, new_block:time_bomb, target:block_all, ignore01:block_positive, ignore02:block_negative, count:4, val:0.2, min_time_count:3, max_time_count:3]</v>
      </c>
      <c r="O25" s="63">
        <f t="shared" si="6"/>
        <v>9</v>
      </c>
      <c r="P25" s="63">
        <f t="shared" si="7"/>
        <v>27</v>
      </c>
      <c r="Q25" s="63">
        <f t="shared" si="8"/>
        <v>57</v>
      </c>
      <c r="R25" s="63">
        <f t="shared" si="9"/>
        <v>48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[effect:rush, count:4, val:0.29]</v>
      </c>
      <c r="U25" s="63">
        <f t="shared" si="11"/>
        <v>9</v>
      </c>
      <c r="V25" s="63">
        <f t="shared" si="12"/>
        <v>13</v>
      </c>
      <c r="W25" s="63" t="e">
        <f t="shared" si="13"/>
        <v>#VALUE!</v>
      </c>
      <c r="X25" s="63">
        <f t="shared" si="14"/>
        <v>22</v>
      </c>
      <c r="Y25" s="63" t="str">
        <f>IFERROR(VLOOKUP(MID(T25,W25,X25-W25),[5]skilldef!$C:$D,2,FALSE),"-") &amp; " / " &amp; IFERROR(VLOOKUP(MID(T25,U25,V25-U25),[5]skilldef!$A:$B,2,FALSE),"-")</f>
        <v>- / 連続攻撃</v>
      </c>
      <c r="Z25" s="50"/>
      <c r="AA25" s="52"/>
      <c r="AB25" s="50"/>
    </row>
    <row r="26" spans="1:28" ht="48" customHeight="1" x14ac:dyDescent="0.15">
      <c r="A26" s="156">
        <v>60029803</v>
      </c>
      <c r="B26" s="156" t="s">
        <v>437</v>
      </c>
      <c r="C26" s="157">
        <v>3</v>
      </c>
      <c r="D26" s="157" t="s">
        <v>373</v>
      </c>
      <c r="E26" s="158" t="s">
        <v>403</v>
      </c>
      <c r="F26" s="158" t="s">
        <v>427</v>
      </c>
      <c r="G26" s="63" t="str">
        <f t="shared" si="0"/>
        <v>[effect:enemy_message, val1:1.2, val2:3.1]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>[effect:force_change_block, new_block:time_bomb, target:block_all, ignore01:block_positive, ignore02:block_negative, count:6, val:0.2, min_time_count:3, max_time_count:3],[effect:rush, count:6, val:0.2]</v>
      </c>
      <c r="N26" s="48" t="str">
        <f t="shared" si="31"/>
        <v>[effect:force_change_block, new_block:time_bomb, target:block_all, ignore01:block_positive, ignore02:block_negative, count:6, val:0.2, min_time_count:3, max_time_count:3]</v>
      </c>
      <c r="O26" s="63">
        <f t="shared" si="6"/>
        <v>9</v>
      </c>
      <c r="P26" s="63">
        <f t="shared" si="7"/>
        <v>27</v>
      </c>
      <c r="Q26" s="63">
        <f t="shared" si="8"/>
        <v>57</v>
      </c>
      <c r="R26" s="63">
        <f t="shared" si="9"/>
        <v>48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[effect:rush, count:6, val:0.2]</v>
      </c>
      <c r="U26" s="63">
        <f t="shared" si="11"/>
        <v>9</v>
      </c>
      <c r="V26" s="63">
        <f t="shared" si="12"/>
        <v>13</v>
      </c>
      <c r="W26" s="63" t="e">
        <f t="shared" si="13"/>
        <v>#VALUE!</v>
      </c>
      <c r="X26" s="63">
        <f t="shared" si="14"/>
        <v>22</v>
      </c>
      <c r="Y26" s="63" t="str">
        <f>IFERROR(VLOOKUP(MID(T26,W26,X26-W26),[5]skilldef!$C:$D,2,FALSE),"-") &amp; " / " &amp; IFERROR(VLOOKUP(MID(T26,U26,V26-U26),[5]skilldef!$A:$B,2,FALSE),"-")</f>
        <v>- / 連続攻撃</v>
      </c>
      <c r="Z26" s="50"/>
      <c r="AA26" s="52"/>
      <c r="AB26" s="50"/>
    </row>
    <row r="27" spans="1:28" ht="48" customHeight="1" x14ac:dyDescent="0.15">
      <c r="A27" s="156">
        <v>60029804</v>
      </c>
      <c r="B27" s="156" t="s">
        <v>440</v>
      </c>
      <c r="C27" s="157">
        <v>3</v>
      </c>
      <c r="D27" s="157" t="s">
        <v>373</v>
      </c>
      <c r="E27" s="158" t="s">
        <v>384</v>
      </c>
      <c r="F27" s="158" t="s">
        <v>441</v>
      </c>
      <c r="G27" s="63" t="str">
        <f t="shared" si="0"/>
        <v>[effect:enemy_message, val1:1.2, val2:4.1]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[effect:force_change_block, new_block:time_bomb, target:block_all, ignore01:block_positive, ignore02:block_negative, count:20, val:0.1, min_time_count:1, max_time_count:1]</v>
      </c>
      <c r="N27" s="48" t="str">
        <f t="shared" si="31"/>
        <v>[effect:force_change_block, new_block:time_bomb, target:block_all, ignore01:block_positive, ignore02:block_negative, count:20, val:0.1, min_time_count:1, max_time_count:1]</v>
      </c>
      <c r="O27" s="63">
        <f t="shared" si="6"/>
        <v>9</v>
      </c>
      <c r="P27" s="63">
        <f t="shared" si="7"/>
        <v>27</v>
      </c>
      <c r="Q27" s="63">
        <f t="shared" si="8"/>
        <v>57</v>
      </c>
      <c r="R27" s="63">
        <f t="shared" si="9"/>
        <v>48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48" customHeight="1" x14ac:dyDescent="0.15">
      <c r="A28" s="47">
        <v>60029901</v>
      </c>
      <c r="B28" s="47" t="s">
        <v>454</v>
      </c>
      <c r="C28" s="50">
        <v>3</v>
      </c>
      <c r="D28" s="50" t="s">
        <v>373</v>
      </c>
      <c r="E28" s="51" t="s">
        <v>428</v>
      </c>
      <c r="F28" s="51" t="s">
        <v>447</v>
      </c>
      <c r="G28" s="63" t="str">
        <f t="shared" si="0"/>
        <v>[effect:enemy_message, val1:1.2, val2:2.0]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[effect:sp_boost, target:unit_dragon, val:3, animation:sp_boost_one02]</v>
      </c>
      <c r="N28" s="48" t="str">
        <f>IFERROR(LEFT(M28,FIND("],",M28)+S39),M28)</f>
        <v>[effect:sp_boost, target:unit_dragon, val:3, animation:sp_boost_one02]</v>
      </c>
      <c r="O28" s="63">
        <f t="shared" si="6"/>
        <v>9</v>
      </c>
      <c r="P28" s="63">
        <f t="shared" si="7"/>
        <v>17</v>
      </c>
      <c r="Q28" s="63">
        <f t="shared" si="8"/>
        <v>26</v>
      </c>
      <c r="R28" s="63">
        <f t="shared" si="9"/>
        <v>37</v>
      </c>
      <c r="S28" s="63" t="str">
        <f>IFERROR(VLOOKUP(MID(N28,Q28,R28-Q28),[5]skilldef!$C:$D,2,FALSE),"-") &amp; " / " &amp; IFERROR(VLOOKUP(MID(N28,O28,P28-O28),[5]skilldef!$A:$B,2,FALSE),"-")</f>
        <v>ドラゴンの味方に / -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</sheetData>
  <autoFilter ref="A1:AB1"/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8"/>
  <sheetViews>
    <sheetView showGridLines="0" zoomScale="75" zoomScaleNormal="75" zoomScalePageLayoutView="75" workbookViewId="0">
      <pane ySplit="1" topLeftCell="A2" activePane="bottomLeft" state="frozenSplit"/>
      <selection pane="bottomLeft" activeCell="G17" sqref="G1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thickBot="1" x14ac:dyDescent="0.2">
      <c r="A1" s="53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60029101</v>
      </c>
      <c r="B2" s="144">
        <v>0</v>
      </c>
      <c r="C2" s="144" t="s">
        <v>386</v>
      </c>
      <c r="D2" s="144">
        <v>70</v>
      </c>
      <c r="E2" s="144" t="s">
        <v>386</v>
      </c>
      <c r="F2" s="144" t="s">
        <v>386</v>
      </c>
      <c r="G2" s="144">
        <v>1</v>
      </c>
      <c r="H2" s="144" t="s">
        <v>386</v>
      </c>
      <c r="I2" s="144" t="s">
        <v>386</v>
      </c>
      <c r="J2" s="48">
        <f t="shared" ref="J2" si="0">D2</f>
        <v>70</v>
      </c>
    </row>
    <row r="3" spans="1:11" ht="21" customHeight="1" x14ac:dyDescent="0.15">
      <c r="A3" s="47">
        <v>60029102</v>
      </c>
      <c r="B3" s="47">
        <v>0</v>
      </c>
      <c r="C3" s="47" t="s">
        <v>386</v>
      </c>
      <c r="D3" s="47">
        <v>60</v>
      </c>
      <c r="E3" s="47" t="s">
        <v>386</v>
      </c>
      <c r="F3" s="47" t="s">
        <v>386</v>
      </c>
      <c r="G3" s="47">
        <v>1</v>
      </c>
      <c r="H3" s="47" t="s">
        <v>386</v>
      </c>
      <c r="I3" s="47" t="s">
        <v>386</v>
      </c>
      <c r="J3" s="48">
        <f t="shared" ref="J3:J28" si="1">D3</f>
        <v>60</v>
      </c>
    </row>
    <row r="4" spans="1:11" ht="21" customHeight="1" x14ac:dyDescent="0.15">
      <c r="A4" s="156">
        <v>60029201</v>
      </c>
      <c r="B4" s="156">
        <v>1</v>
      </c>
      <c r="C4" s="156" t="s">
        <v>386</v>
      </c>
      <c r="D4" s="156">
        <v>100</v>
      </c>
      <c r="E4" s="156" t="s">
        <v>386</v>
      </c>
      <c r="F4" s="156" t="s">
        <v>386</v>
      </c>
      <c r="G4" s="156">
        <v>1</v>
      </c>
      <c r="H4" s="156" t="s">
        <v>386</v>
      </c>
      <c r="I4" s="156" t="s">
        <v>386</v>
      </c>
      <c r="J4" s="48">
        <f t="shared" ref="J4" si="2">D4</f>
        <v>100</v>
      </c>
    </row>
    <row r="5" spans="1:11" ht="21" customHeight="1" x14ac:dyDescent="0.15">
      <c r="A5" s="156">
        <v>60029202</v>
      </c>
      <c r="B5" s="156">
        <v>0</v>
      </c>
      <c r="C5" s="156" t="s">
        <v>386</v>
      </c>
      <c r="D5" s="156">
        <v>50</v>
      </c>
      <c r="E5" s="156" t="s">
        <v>386</v>
      </c>
      <c r="F5" s="156" t="s">
        <v>386</v>
      </c>
      <c r="G5" s="156" t="s">
        <v>386</v>
      </c>
      <c r="H5" s="156" t="s">
        <v>386</v>
      </c>
      <c r="I5" s="156" t="s">
        <v>386</v>
      </c>
      <c r="J5" s="48">
        <f t="shared" si="1"/>
        <v>50</v>
      </c>
    </row>
    <row r="6" spans="1:11" ht="21" customHeight="1" x14ac:dyDescent="0.15">
      <c r="A6" s="47">
        <v>60029301</v>
      </c>
      <c r="B6" s="47">
        <v>1</v>
      </c>
      <c r="C6" s="47" t="s">
        <v>386</v>
      </c>
      <c r="D6" s="47">
        <v>100</v>
      </c>
      <c r="E6" s="47" t="s">
        <v>386</v>
      </c>
      <c r="F6" s="47" t="s">
        <v>386</v>
      </c>
      <c r="G6" s="47">
        <v>1</v>
      </c>
      <c r="H6" s="47" t="s">
        <v>386</v>
      </c>
      <c r="I6" s="47" t="s">
        <v>386</v>
      </c>
      <c r="J6" s="48">
        <f t="shared" ref="J6" si="3">D6</f>
        <v>100</v>
      </c>
    </row>
    <row r="7" spans="1:11" ht="21" customHeight="1" x14ac:dyDescent="0.15">
      <c r="A7" s="47">
        <v>60029302</v>
      </c>
      <c r="B7" s="47">
        <v>0</v>
      </c>
      <c r="C7" s="47" t="s">
        <v>386</v>
      </c>
      <c r="D7" s="47">
        <v>60</v>
      </c>
      <c r="E7" s="47">
        <v>75</v>
      </c>
      <c r="F7" s="47" t="s">
        <v>386</v>
      </c>
      <c r="G7" s="47" t="s">
        <v>386</v>
      </c>
      <c r="H7" s="47" t="s">
        <v>386</v>
      </c>
      <c r="I7" s="47" t="s">
        <v>386</v>
      </c>
      <c r="J7" s="48">
        <f t="shared" si="1"/>
        <v>60</v>
      </c>
    </row>
    <row r="8" spans="1:11" ht="21" customHeight="1" x14ac:dyDescent="0.15">
      <c r="A8" s="47">
        <v>60029303</v>
      </c>
      <c r="B8" s="47">
        <v>0</v>
      </c>
      <c r="C8" s="47">
        <v>100</v>
      </c>
      <c r="D8" s="47">
        <v>100</v>
      </c>
      <c r="E8" s="47">
        <v>50</v>
      </c>
      <c r="F8" s="47" t="s">
        <v>386</v>
      </c>
      <c r="G8" s="47">
        <v>1</v>
      </c>
      <c r="H8" s="47" t="s">
        <v>386</v>
      </c>
      <c r="I8" s="47" t="s">
        <v>386</v>
      </c>
      <c r="J8" s="48">
        <f t="shared" si="1"/>
        <v>100</v>
      </c>
    </row>
    <row r="9" spans="1:11" ht="21" customHeight="1" x14ac:dyDescent="0.15">
      <c r="A9" s="47">
        <v>60029304</v>
      </c>
      <c r="B9" s="47">
        <v>0</v>
      </c>
      <c r="C9" s="47">
        <v>90</v>
      </c>
      <c r="D9" s="47">
        <v>100</v>
      </c>
      <c r="E9" s="47">
        <v>50</v>
      </c>
      <c r="F9" s="47" t="s">
        <v>386</v>
      </c>
      <c r="G9" s="47">
        <v>1</v>
      </c>
      <c r="H9" s="47" t="s">
        <v>386</v>
      </c>
      <c r="I9" s="47" t="s">
        <v>386</v>
      </c>
      <c r="J9" s="48">
        <f t="shared" si="1"/>
        <v>100</v>
      </c>
    </row>
    <row r="10" spans="1:11" ht="21" customHeight="1" x14ac:dyDescent="0.15">
      <c r="A10" s="47">
        <v>60029305</v>
      </c>
      <c r="B10" s="47">
        <v>0</v>
      </c>
      <c r="C10" s="47">
        <v>110</v>
      </c>
      <c r="D10" s="47">
        <v>100</v>
      </c>
      <c r="E10" s="47">
        <v>33</v>
      </c>
      <c r="F10" s="47" t="s">
        <v>386</v>
      </c>
      <c r="G10" s="47">
        <v>1</v>
      </c>
      <c r="H10" s="47" t="s">
        <v>386</v>
      </c>
      <c r="I10" s="47" t="s">
        <v>386</v>
      </c>
      <c r="J10" s="48">
        <f>D10</f>
        <v>100</v>
      </c>
    </row>
    <row r="11" spans="1:11" ht="21" customHeight="1" x14ac:dyDescent="0.15">
      <c r="A11" s="156">
        <v>60029401</v>
      </c>
      <c r="B11" s="156">
        <v>0</v>
      </c>
      <c r="C11" s="156" t="s">
        <v>386</v>
      </c>
      <c r="D11" s="156">
        <v>100</v>
      </c>
      <c r="E11" s="156">
        <v>80</v>
      </c>
      <c r="F11" s="156" t="s">
        <v>386</v>
      </c>
      <c r="G11" s="156">
        <v>1</v>
      </c>
      <c r="H11" s="156" t="s">
        <v>386</v>
      </c>
      <c r="I11" s="156" t="s">
        <v>386</v>
      </c>
      <c r="J11" s="48">
        <f t="shared" si="1"/>
        <v>100</v>
      </c>
    </row>
    <row r="12" spans="1:11" ht="21" customHeight="1" x14ac:dyDescent="0.15">
      <c r="A12" s="156">
        <v>60029402</v>
      </c>
      <c r="B12" s="156">
        <v>0</v>
      </c>
      <c r="C12" s="156" t="s">
        <v>386</v>
      </c>
      <c r="D12" s="156">
        <v>100</v>
      </c>
      <c r="E12" s="156">
        <v>50</v>
      </c>
      <c r="F12" s="156" t="s">
        <v>386</v>
      </c>
      <c r="G12" s="156">
        <v>1</v>
      </c>
      <c r="H12" s="156" t="s">
        <v>386</v>
      </c>
      <c r="I12" s="156" t="s">
        <v>386</v>
      </c>
      <c r="J12" s="48">
        <f t="shared" si="1"/>
        <v>100</v>
      </c>
    </row>
    <row r="13" spans="1:11" ht="21" customHeight="1" x14ac:dyDescent="0.15">
      <c r="A13" s="47">
        <v>60029501</v>
      </c>
      <c r="B13" s="47">
        <v>0</v>
      </c>
      <c r="C13" s="47">
        <v>100</v>
      </c>
      <c r="D13" s="47">
        <v>100</v>
      </c>
      <c r="E13" s="47" t="s">
        <v>386</v>
      </c>
      <c r="F13" s="47" t="s">
        <v>386</v>
      </c>
      <c r="G13" s="47">
        <v>1</v>
      </c>
      <c r="H13" s="47" t="s">
        <v>386</v>
      </c>
      <c r="I13" s="47" t="s">
        <v>386</v>
      </c>
      <c r="J13" s="48">
        <f t="shared" si="1"/>
        <v>100</v>
      </c>
    </row>
    <row r="14" spans="1:11" ht="21" customHeight="1" x14ac:dyDescent="0.15">
      <c r="A14" s="47">
        <v>60029502</v>
      </c>
      <c r="B14" s="47">
        <v>0</v>
      </c>
      <c r="C14" s="47">
        <v>90</v>
      </c>
      <c r="D14" s="47">
        <v>100</v>
      </c>
      <c r="E14" s="47" t="s">
        <v>386</v>
      </c>
      <c r="F14" s="47" t="s">
        <v>386</v>
      </c>
      <c r="G14" s="47">
        <v>1</v>
      </c>
      <c r="H14" s="47" t="s">
        <v>386</v>
      </c>
      <c r="I14" s="47" t="s">
        <v>386</v>
      </c>
      <c r="J14" s="48">
        <f t="shared" si="1"/>
        <v>100</v>
      </c>
    </row>
    <row r="15" spans="1:11" ht="21" customHeight="1" x14ac:dyDescent="0.15">
      <c r="A15" s="47">
        <v>60029503</v>
      </c>
      <c r="B15" s="47">
        <v>0</v>
      </c>
      <c r="C15" s="47" t="s">
        <v>386</v>
      </c>
      <c r="D15" s="47">
        <v>100</v>
      </c>
      <c r="E15" s="47">
        <v>50</v>
      </c>
      <c r="F15" s="47" t="s">
        <v>386</v>
      </c>
      <c r="G15" s="47">
        <v>1</v>
      </c>
      <c r="H15" s="47" t="s">
        <v>386</v>
      </c>
      <c r="I15" s="47" t="s">
        <v>386</v>
      </c>
      <c r="J15" s="48">
        <f t="shared" si="1"/>
        <v>100</v>
      </c>
    </row>
    <row r="16" spans="1:11" ht="21" customHeight="1" x14ac:dyDescent="0.15">
      <c r="A16" s="156">
        <v>60029601</v>
      </c>
      <c r="B16" s="156">
        <v>1</v>
      </c>
      <c r="C16" s="156" t="s">
        <v>386</v>
      </c>
      <c r="D16" s="156">
        <v>100</v>
      </c>
      <c r="E16" s="156" t="s">
        <v>386</v>
      </c>
      <c r="F16" s="156" t="s">
        <v>386</v>
      </c>
      <c r="G16" s="156">
        <v>1</v>
      </c>
      <c r="H16" s="156" t="s">
        <v>386</v>
      </c>
      <c r="I16" s="156" t="s">
        <v>386</v>
      </c>
      <c r="J16" s="48">
        <f t="shared" si="1"/>
        <v>100</v>
      </c>
    </row>
    <row r="17" spans="1:10" ht="21" customHeight="1" x14ac:dyDescent="0.15">
      <c r="A17" s="156">
        <v>60029602</v>
      </c>
      <c r="B17" s="156">
        <v>0</v>
      </c>
      <c r="C17" s="156" t="s">
        <v>386</v>
      </c>
      <c r="D17" s="156">
        <v>50</v>
      </c>
      <c r="E17" s="156" t="s">
        <v>386</v>
      </c>
      <c r="F17" s="156" t="s">
        <v>386</v>
      </c>
      <c r="G17" s="156">
        <v>1</v>
      </c>
      <c r="H17" s="156" t="s">
        <v>386</v>
      </c>
      <c r="I17" s="156" t="s">
        <v>386</v>
      </c>
      <c r="J17" s="48">
        <f t="shared" si="1"/>
        <v>50</v>
      </c>
    </row>
    <row r="18" spans="1:10" ht="21" customHeight="1" x14ac:dyDescent="0.15">
      <c r="A18" s="156">
        <v>60029603</v>
      </c>
      <c r="B18" s="156">
        <v>0</v>
      </c>
      <c r="C18" s="156" t="s">
        <v>386</v>
      </c>
      <c r="D18" s="156">
        <v>50</v>
      </c>
      <c r="E18" s="156" t="s">
        <v>386</v>
      </c>
      <c r="F18" s="156" t="s">
        <v>386</v>
      </c>
      <c r="G18" s="156" t="s">
        <v>386</v>
      </c>
      <c r="H18" s="156" t="s">
        <v>386</v>
      </c>
      <c r="I18" s="156" t="s">
        <v>386</v>
      </c>
      <c r="J18" s="48">
        <f t="shared" si="1"/>
        <v>50</v>
      </c>
    </row>
    <row r="19" spans="1:10" ht="21" customHeight="1" x14ac:dyDescent="0.15">
      <c r="A19" s="156">
        <v>60029604</v>
      </c>
      <c r="B19" s="156">
        <v>0</v>
      </c>
      <c r="C19" s="156" t="s">
        <v>386</v>
      </c>
      <c r="D19" s="156">
        <v>100</v>
      </c>
      <c r="E19" s="156">
        <v>50</v>
      </c>
      <c r="F19" s="156" t="s">
        <v>386</v>
      </c>
      <c r="G19" s="156">
        <v>1</v>
      </c>
      <c r="H19" s="156" t="s">
        <v>386</v>
      </c>
      <c r="I19" s="156" t="s">
        <v>386</v>
      </c>
      <c r="J19" s="48">
        <f t="shared" si="1"/>
        <v>100</v>
      </c>
    </row>
    <row r="20" spans="1:10" ht="21" customHeight="1" x14ac:dyDescent="0.15">
      <c r="A20" s="47">
        <v>60029701</v>
      </c>
      <c r="B20" s="47">
        <v>1</v>
      </c>
      <c r="C20" s="47" t="s">
        <v>343</v>
      </c>
      <c r="D20" s="47">
        <v>100</v>
      </c>
      <c r="E20" s="47" t="s">
        <v>386</v>
      </c>
      <c r="F20" s="47" t="s">
        <v>386</v>
      </c>
      <c r="G20" s="47">
        <v>1</v>
      </c>
      <c r="H20" s="47" t="s">
        <v>386</v>
      </c>
      <c r="I20" s="47" t="s">
        <v>386</v>
      </c>
      <c r="J20" s="48">
        <f t="shared" si="1"/>
        <v>100</v>
      </c>
    </row>
    <row r="21" spans="1:10" ht="21" customHeight="1" x14ac:dyDescent="0.15">
      <c r="A21" s="47">
        <v>60029702</v>
      </c>
      <c r="B21" s="47">
        <v>0</v>
      </c>
      <c r="C21" s="47" t="s">
        <v>386</v>
      </c>
      <c r="D21" s="47">
        <v>50</v>
      </c>
      <c r="E21" s="47" t="s">
        <v>386</v>
      </c>
      <c r="F21" s="47" t="s">
        <v>386</v>
      </c>
      <c r="G21" s="47">
        <v>1</v>
      </c>
      <c r="H21" s="47" t="s">
        <v>386</v>
      </c>
      <c r="I21" s="47" t="s">
        <v>386</v>
      </c>
      <c r="J21" s="48">
        <f t="shared" si="1"/>
        <v>50</v>
      </c>
    </row>
    <row r="22" spans="1:10" ht="21" customHeight="1" x14ac:dyDescent="0.15">
      <c r="A22" s="47">
        <v>60029703</v>
      </c>
      <c r="B22" s="47">
        <v>0</v>
      </c>
      <c r="C22" s="47" t="s">
        <v>386</v>
      </c>
      <c r="D22" s="47">
        <v>50</v>
      </c>
      <c r="E22" s="47" t="s">
        <v>386</v>
      </c>
      <c r="F22" s="47" t="s">
        <v>386</v>
      </c>
      <c r="G22" s="47" t="s">
        <v>386</v>
      </c>
      <c r="H22" s="47" t="s">
        <v>386</v>
      </c>
      <c r="I22" s="47" t="s">
        <v>386</v>
      </c>
      <c r="J22" s="48">
        <f t="shared" si="1"/>
        <v>50</v>
      </c>
    </row>
    <row r="23" spans="1:10" ht="21" customHeight="1" x14ac:dyDescent="0.15">
      <c r="A23" s="47">
        <v>60029704</v>
      </c>
      <c r="B23" s="47">
        <v>0</v>
      </c>
      <c r="C23" s="47">
        <v>1</v>
      </c>
      <c r="D23" s="47">
        <v>80</v>
      </c>
      <c r="E23" s="47">
        <v>75</v>
      </c>
      <c r="F23" s="47" t="s">
        <v>386</v>
      </c>
      <c r="G23" s="47">
        <v>3</v>
      </c>
      <c r="H23" s="47" t="s">
        <v>386</v>
      </c>
      <c r="I23" s="47" t="s">
        <v>386</v>
      </c>
      <c r="J23" s="48">
        <f t="shared" si="1"/>
        <v>80</v>
      </c>
    </row>
    <row r="24" spans="1:10" ht="21" customHeight="1" x14ac:dyDescent="0.15">
      <c r="A24" s="156">
        <v>60029801</v>
      </c>
      <c r="B24" s="156">
        <v>1</v>
      </c>
      <c r="C24" s="156" t="s">
        <v>386</v>
      </c>
      <c r="D24" s="156">
        <v>100</v>
      </c>
      <c r="E24" s="156" t="s">
        <v>386</v>
      </c>
      <c r="F24" s="156" t="s">
        <v>386</v>
      </c>
      <c r="G24" s="156">
        <v>1</v>
      </c>
      <c r="H24" s="156" t="s">
        <v>386</v>
      </c>
      <c r="I24" s="156" t="s">
        <v>386</v>
      </c>
      <c r="J24" s="48">
        <f t="shared" si="1"/>
        <v>100</v>
      </c>
    </row>
    <row r="25" spans="1:10" ht="21" customHeight="1" x14ac:dyDescent="0.15">
      <c r="A25" s="156">
        <v>60029802</v>
      </c>
      <c r="B25" s="156">
        <v>0</v>
      </c>
      <c r="C25" s="156">
        <v>60</v>
      </c>
      <c r="D25" s="156">
        <v>100</v>
      </c>
      <c r="E25" s="156">
        <v>90</v>
      </c>
      <c r="F25" s="156" t="s">
        <v>386</v>
      </c>
      <c r="G25" s="156">
        <v>1</v>
      </c>
      <c r="H25" s="156" t="s">
        <v>386</v>
      </c>
      <c r="I25" s="156" t="s">
        <v>386</v>
      </c>
      <c r="J25" s="48">
        <f t="shared" si="1"/>
        <v>100</v>
      </c>
    </row>
    <row r="26" spans="1:10" ht="21" customHeight="1" x14ac:dyDescent="0.15">
      <c r="A26" s="156">
        <v>60029803</v>
      </c>
      <c r="B26" s="156">
        <v>0</v>
      </c>
      <c r="C26" s="156">
        <v>80</v>
      </c>
      <c r="D26" s="156">
        <v>100</v>
      </c>
      <c r="E26" s="156">
        <v>70</v>
      </c>
      <c r="F26" s="156" t="s">
        <v>386</v>
      </c>
      <c r="G26" s="156">
        <v>1</v>
      </c>
      <c r="H26" s="156" t="s">
        <v>386</v>
      </c>
      <c r="I26" s="156" t="s">
        <v>386</v>
      </c>
      <c r="J26" s="48">
        <f t="shared" si="1"/>
        <v>100</v>
      </c>
    </row>
    <row r="27" spans="1:10" ht="21" customHeight="1" x14ac:dyDescent="0.15">
      <c r="A27" s="156">
        <v>60029804</v>
      </c>
      <c r="B27" s="156">
        <v>0</v>
      </c>
      <c r="C27" s="156">
        <v>100</v>
      </c>
      <c r="D27" s="156">
        <v>100</v>
      </c>
      <c r="E27" s="156">
        <v>50</v>
      </c>
      <c r="F27" s="156" t="s">
        <v>386</v>
      </c>
      <c r="G27" s="156">
        <v>1</v>
      </c>
      <c r="H27" s="156" t="s">
        <v>386</v>
      </c>
      <c r="I27" s="156" t="s">
        <v>386</v>
      </c>
      <c r="J27" s="48">
        <f t="shared" si="1"/>
        <v>100</v>
      </c>
    </row>
    <row r="28" spans="1:10" ht="21" customHeight="1" x14ac:dyDescent="0.15">
      <c r="A28" s="47">
        <v>60029901</v>
      </c>
      <c r="B28" s="47">
        <v>1</v>
      </c>
      <c r="C28" s="47" t="s">
        <v>327</v>
      </c>
      <c r="D28" s="47">
        <v>100</v>
      </c>
      <c r="E28" s="47" t="s">
        <v>327</v>
      </c>
      <c r="F28" s="47" t="s">
        <v>327</v>
      </c>
      <c r="G28" s="47">
        <v>1</v>
      </c>
      <c r="H28" s="47" t="s">
        <v>327</v>
      </c>
      <c r="I28" s="47" t="s">
        <v>327</v>
      </c>
      <c r="J28" s="48">
        <f t="shared" si="1"/>
        <v>100</v>
      </c>
    </row>
  </sheetData>
  <autoFilter ref="A1:G1"/>
  <phoneticPr fontId="9"/>
  <conditionalFormatting sqref="K29:K1048576 K1:K2">
    <cfRule type="duplicateValues" dxfId="4" priority="6"/>
  </conditionalFormatting>
  <conditionalFormatting sqref="K6">
    <cfRule type="duplicateValues" dxfId="3" priority="4"/>
  </conditionalFormatting>
  <conditionalFormatting sqref="K7:K27 K3 K5">
    <cfRule type="duplicateValues" dxfId="2" priority="12"/>
  </conditionalFormatting>
  <conditionalFormatting sqref="K4">
    <cfRule type="duplicateValues" dxfId="1" priority="3"/>
  </conditionalFormatting>
  <conditionalFormatting sqref="K2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"/>
  <sheetViews>
    <sheetView workbookViewId="0">
      <selection activeCell="E11" sqref="E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147</v>
      </c>
      <c r="B1" s="64" t="s">
        <v>148</v>
      </c>
      <c r="C1" s="65" t="s">
        <v>149</v>
      </c>
      <c r="D1" s="70" t="s">
        <v>150</v>
      </c>
      <c r="E1" s="66" t="s">
        <v>151</v>
      </c>
      <c r="F1" s="64" t="s">
        <v>152</v>
      </c>
      <c r="G1" s="64" t="s">
        <v>153</v>
      </c>
      <c r="H1" s="64" t="s">
        <v>154</v>
      </c>
      <c r="I1" s="64" t="s">
        <v>155</v>
      </c>
      <c r="J1" s="64" t="s">
        <v>156</v>
      </c>
      <c r="K1" s="64" t="s">
        <v>157</v>
      </c>
      <c r="L1" s="64" t="s">
        <v>158</v>
      </c>
      <c r="M1" s="64" t="s">
        <v>159</v>
      </c>
      <c r="N1" s="64" t="s">
        <v>160</v>
      </c>
      <c r="O1" s="64" t="s">
        <v>161</v>
      </c>
      <c r="P1" s="64" t="s">
        <v>162</v>
      </c>
      <c r="Q1" s="64" t="s">
        <v>163</v>
      </c>
      <c r="R1" s="64" t="s">
        <v>164</v>
      </c>
    </row>
  </sheetData>
  <phoneticPr fontId="9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16" sqref="E16"/>
    </sheetView>
  </sheetViews>
  <sheetFormatPr baseColWidth="12" defaultColWidth="13" defaultRowHeight="15" outlineLevelCol="1" x14ac:dyDescent="0.15"/>
  <cols>
    <col min="1" max="1" width="13" style="8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183</v>
      </c>
      <c r="B1" s="71" t="s">
        <v>184</v>
      </c>
      <c r="C1" s="76" t="s">
        <v>185</v>
      </c>
      <c r="D1" s="76" t="s">
        <v>33</v>
      </c>
      <c r="E1" s="71" t="s">
        <v>186</v>
      </c>
      <c r="F1" s="76" t="s">
        <v>187</v>
      </c>
      <c r="G1" s="76" t="s">
        <v>33</v>
      </c>
      <c r="H1" s="71" t="s">
        <v>188</v>
      </c>
      <c r="I1" s="84" t="s">
        <v>190</v>
      </c>
      <c r="J1" s="78" t="s">
        <v>124</v>
      </c>
      <c r="K1" s="77" t="s">
        <v>181</v>
      </c>
      <c r="L1" s="85" t="s">
        <v>180</v>
      </c>
      <c r="M1" s="79" t="s">
        <v>191</v>
      </c>
    </row>
  </sheetData>
  <phoneticPr fontId="9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2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183</v>
      </c>
      <c r="B1" s="71" t="s">
        <v>147</v>
      </c>
      <c r="C1" s="76" t="s">
        <v>185</v>
      </c>
      <c r="D1" s="76" t="s">
        <v>33</v>
      </c>
      <c r="E1" s="71" t="s">
        <v>186</v>
      </c>
      <c r="F1" s="76" t="s">
        <v>18</v>
      </c>
      <c r="G1" s="76" t="s">
        <v>33</v>
      </c>
      <c r="H1" s="71" t="s">
        <v>188</v>
      </c>
      <c r="I1" s="83" t="s">
        <v>189</v>
      </c>
      <c r="J1" s="84" t="s">
        <v>190</v>
      </c>
      <c r="K1" s="78" t="s">
        <v>124</v>
      </c>
      <c r="L1" s="77" t="s">
        <v>181</v>
      </c>
      <c r="M1" s="85" t="s">
        <v>180</v>
      </c>
      <c r="N1" s="79" t="s">
        <v>191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2017-04-14T12:31:32Z</dcterms:modified>
</cp:coreProperties>
</file>