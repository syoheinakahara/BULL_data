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7460" tabRatio="943" activeTab="2"/>
  </bookViews>
  <sheets>
    <sheet name="確率の考え方" sheetId="110" r:id="rId1"/>
    <sheet name="Sheet1" sheetId="107" r:id="rId2"/>
    <sheet name="output" sheetId="103" r:id="rId3"/>
    <sheet name="input_503101" sheetId="157" r:id="rId4"/>
    <sheet name="tables_503101" sheetId="158" r:id="rId5"/>
    <sheet name="input_503103" sheetId="153" r:id="rId6"/>
    <sheet name="tables_503103" sheetId="154" r:id="rId7"/>
    <sheet name="input_503104" sheetId="160" r:id="rId8"/>
    <sheet name="tables_503104" sheetId="161" r:id="rId9"/>
    <sheet name="tables_settle_503104" sheetId="159" r:id="rId10"/>
    <sheet name="input_503105" sheetId="162" r:id="rId11"/>
    <sheet name="tables_503105" sheetId="163" r:id="rId12"/>
    <sheet name="input_503106" sheetId="164" r:id="rId13"/>
    <sheet name="tables_503106" sheetId="165" r:id="rId14"/>
    <sheet name="input_503100" sheetId="166" r:id="rId15"/>
    <sheet name="tables_503100" sheetId="167" r:id="rId16"/>
    <sheet name="gacha_bonus_tables" sheetId="98" r:id="rId17"/>
    <sheet name="R6追加前" sheetId="111" r:id="rId18"/>
    <sheet name="R6開放" sheetId="112" r:id="rId19"/>
  </sheets>
  <externalReferences>
    <externalReference r:id="rId20"/>
  </externalReferences>
  <definedNames>
    <definedName name="_xlnm._FilterDatabase" localSheetId="16" hidden="1">gacha_bonus_tables!$A$1:$F$1</definedName>
    <definedName name="_xlnm._FilterDatabase" localSheetId="15" hidden="1">tables_503100!$A$1:$V$294</definedName>
    <definedName name="_xlnm._FilterDatabase" localSheetId="4" hidden="1">tables_503101!$A$1:$V$294</definedName>
    <definedName name="_xlnm._FilterDatabase" localSheetId="6" hidden="1">tables_503103!$A$1:$V$294</definedName>
    <definedName name="_xlnm._FilterDatabase" localSheetId="8" hidden="1">tables_503104!$A$1:$V$294</definedName>
    <definedName name="_xlnm._FilterDatabase" localSheetId="11" hidden="1">tables_503105!$A$1:$V$294</definedName>
    <definedName name="_xlnm._FilterDatabase" localSheetId="13" hidden="1">tables_503106!$A$1:$V$294</definedName>
    <definedName name="_xlnm._FilterDatabase" localSheetId="9" hidden="1">tables_settle_503104!$A$1:$V$1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8" i="103" l="1"/>
  <c r="E8" i="103"/>
  <c r="A2" i="160"/>
  <c r="A3" i="159"/>
  <c r="A2" i="159"/>
  <c r="I2" i="159"/>
  <c r="D2" i="159"/>
  <c r="I3" i="159"/>
  <c r="D3" i="159"/>
  <c r="J2" i="159"/>
  <c r="E2" i="159"/>
  <c r="F2" i="159"/>
  <c r="C2" i="159"/>
  <c r="H2" i="159"/>
  <c r="K2" i="159"/>
  <c r="L2" i="159"/>
  <c r="M2" i="159"/>
  <c r="N2" i="159"/>
  <c r="P2" i="159"/>
  <c r="J3" i="159"/>
  <c r="E3" i="159"/>
  <c r="F3" i="159"/>
  <c r="C3" i="159"/>
  <c r="H3" i="159"/>
  <c r="K3" i="159"/>
  <c r="L3" i="159"/>
  <c r="M3" i="159"/>
  <c r="N3" i="159"/>
  <c r="P3" i="159"/>
  <c r="A2" i="153"/>
  <c r="I2" i="167"/>
  <c r="J2" i="167"/>
  <c r="D2" i="167"/>
  <c r="E2" i="167"/>
  <c r="C2" i="167"/>
  <c r="I3" i="167"/>
  <c r="J3" i="167"/>
  <c r="D3" i="167"/>
  <c r="E3" i="167"/>
  <c r="C3" i="167"/>
  <c r="I4" i="167"/>
  <c r="J4" i="167"/>
  <c r="D4" i="167"/>
  <c r="E4" i="167"/>
  <c r="C4" i="167"/>
  <c r="I5" i="167"/>
  <c r="J5" i="167"/>
  <c r="D5" i="167"/>
  <c r="E5" i="167"/>
  <c r="C5" i="167"/>
  <c r="I6" i="167"/>
  <c r="J6" i="167"/>
  <c r="D6" i="167"/>
  <c r="E6" i="167"/>
  <c r="C6" i="167"/>
  <c r="I7" i="167"/>
  <c r="J7" i="167"/>
  <c r="D7" i="167"/>
  <c r="E7" i="167"/>
  <c r="C7" i="167"/>
  <c r="I8" i="167"/>
  <c r="J8" i="167"/>
  <c r="D8" i="167"/>
  <c r="E8" i="167"/>
  <c r="C8" i="167"/>
  <c r="I9" i="167"/>
  <c r="J9" i="167"/>
  <c r="D9" i="167"/>
  <c r="E9" i="167"/>
  <c r="C9" i="167"/>
  <c r="I10" i="167"/>
  <c r="J10" i="167"/>
  <c r="D10" i="167"/>
  <c r="E10" i="167"/>
  <c r="C10" i="167"/>
  <c r="I11" i="167"/>
  <c r="J11" i="167"/>
  <c r="D11" i="167"/>
  <c r="E11" i="167"/>
  <c r="C11" i="167"/>
  <c r="I12" i="167"/>
  <c r="J12" i="167"/>
  <c r="D12" i="167"/>
  <c r="E12" i="167"/>
  <c r="C12" i="167"/>
  <c r="I13" i="167"/>
  <c r="J13" i="167"/>
  <c r="D13" i="167"/>
  <c r="E13" i="167"/>
  <c r="C13" i="167"/>
  <c r="I14" i="167"/>
  <c r="J14" i="167"/>
  <c r="D14" i="167"/>
  <c r="E14" i="167"/>
  <c r="C14" i="167"/>
  <c r="I15" i="167"/>
  <c r="J15" i="167"/>
  <c r="D15" i="167"/>
  <c r="E15" i="167"/>
  <c r="C15" i="167"/>
  <c r="I16" i="167"/>
  <c r="J16" i="167"/>
  <c r="D16" i="167"/>
  <c r="E16" i="167"/>
  <c r="C16" i="167"/>
  <c r="I17" i="167"/>
  <c r="J17" i="167"/>
  <c r="D17" i="167"/>
  <c r="E17" i="167"/>
  <c r="C17" i="167"/>
  <c r="I18" i="167"/>
  <c r="J18" i="167"/>
  <c r="D18" i="167"/>
  <c r="E18" i="167"/>
  <c r="C18" i="167"/>
  <c r="I19" i="167"/>
  <c r="J19" i="167"/>
  <c r="D19" i="167"/>
  <c r="E19" i="167"/>
  <c r="C19" i="167"/>
  <c r="I20" i="167"/>
  <c r="J20" i="167"/>
  <c r="D20" i="167"/>
  <c r="E20" i="167"/>
  <c r="C20" i="167"/>
  <c r="I21" i="167"/>
  <c r="J21" i="167"/>
  <c r="D21" i="167"/>
  <c r="E21" i="167"/>
  <c r="C21" i="167"/>
  <c r="I22" i="167"/>
  <c r="J22" i="167"/>
  <c r="D22" i="167"/>
  <c r="E22" i="167"/>
  <c r="C22" i="167"/>
  <c r="I23" i="167"/>
  <c r="J23" i="167"/>
  <c r="D23" i="167"/>
  <c r="E23" i="167"/>
  <c r="C23" i="167"/>
  <c r="I24" i="167"/>
  <c r="J24" i="167"/>
  <c r="D24" i="167"/>
  <c r="E24" i="167"/>
  <c r="C24" i="167"/>
  <c r="I25" i="167"/>
  <c r="J25" i="167"/>
  <c r="D25" i="167"/>
  <c r="E25" i="167"/>
  <c r="C25" i="167"/>
  <c r="I26" i="167"/>
  <c r="J26" i="167"/>
  <c r="D26" i="167"/>
  <c r="E26" i="167"/>
  <c r="C26" i="167"/>
  <c r="I27" i="167"/>
  <c r="J27" i="167"/>
  <c r="D27" i="167"/>
  <c r="E27" i="167"/>
  <c r="C27" i="167"/>
  <c r="I28" i="167"/>
  <c r="J28" i="167"/>
  <c r="D28" i="167"/>
  <c r="E28" i="167"/>
  <c r="C28" i="167"/>
  <c r="I29" i="167"/>
  <c r="J29" i="167"/>
  <c r="D29" i="167"/>
  <c r="E29" i="167"/>
  <c r="C29" i="167"/>
  <c r="I30" i="167"/>
  <c r="J30" i="167"/>
  <c r="D30" i="167"/>
  <c r="E30" i="167"/>
  <c r="C30" i="167"/>
  <c r="I31" i="167"/>
  <c r="J31" i="167"/>
  <c r="D31" i="167"/>
  <c r="E31" i="167"/>
  <c r="C31" i="167"/>
  <c r="I32" i="167"/>
  <c r="J32" i="167"/>
  <c r="D32" i="167"/>
  <c r="E32" i="167"/>
  <c r="C32" i="167"/>
  <c r="I33" i="167"/>
  <c r="J33" i="167"/>
  <c r="D33" i="167"/>
  <c r="E33" i="167"/>
  <c r="C33" i="167"/>
  <c r="I34" i="167"/>
  <c r="J34" i="167"/>
  <c r="D34" i="167"/>
  <c r="E34" i="167"/>
  <c r="C34" i="167"/>
  <c r="I35" i="167"/>
  <c r="J35" i="167"/>
  <c r="D35" i="167"/>
  <c r="E35" i="167"/>
  <c r="C35" i="167"/>
  <c r="I36" i="167"/>
  <c r="J36" i="167"/>
  <c r="D36" i="167"/>
  <c r="E36" i="167"/>
  <c r="C36" i="167"/>
  <c r="I37" i="167"/>
  <c r="J37" i="167"/>
  <c r="D37" i="167"/>
  <c r="E37" i="167"/>
  <c r="C37" i="167"/>
  <c r="I38" i="167"/>
  <c r="J38" i="167"/>
  <c r="D38" i="167"/>
  <c r="E38" i="167"/>
  <c r="C38" i="167"/>
  <c r="I39" i="167"/>
  <c r="J39" i="167"/>
  <c r="D39" i="167"/>
  <c r="E39" i="167"/>
  <c r="C39" i="167"/>
  <c r="I40" i="167"/>
  <c r="J40" i="167"/>
  <c r="D40" i="167"/>
  <c r="E40" i="167"/>
  <c r="C40" i="167"/>
  <c r="I41" i="167"/>
  <c r="J41" i="167"/>
  <c r="D41" i="167"/>
  <c r="E41" i="167"/>
  <c r="C41" i="167"/>
  <c r="I42" i="167"/>
  <c r="D42" i="167"/>
  <c r="J42" i="167"/>
  <c r="E42" i="167"/>
  <c r="C42" i="167"/>
  <c r="I43" i="167"/>
  <c r="D43" i="167"/>
  <c r="J43" i="167"/>
  <c r="E43" i="167"/>
  <c r="C43" i="167"/>
  <c r="I44" i="167"/>
  <c r="D44" i="167"/>
  <c r="J44" i="167"/>
  <c r="E44" i="167"/>
  <c r="C44" i="167"/>
  <c r="I45" i="167"/>
  <c r="D45" i="167"/>
  <c r="J45" i="167"/>
  <c r="E45" i="167"/>
  <c r="C45" i="167"/>
  <c r="I46" i="167"/>
  <c r="D46" i="167"/>
  <c r="J46" i="167"/>
  <c r="E46" i="167"/>
  <c r="C46" i="167"/>
  <c r="I47" i="167"/>
  <c r="D47" i="167"/>
  <c r="J47" i="167"/>
  <c r="E47" i="167"/>
  <c r="C47" i="167"/>
  <c r="I48" i="167"/>
  <c r="D48" i="167"/>
  <c r="J48" i="167"/>
  <c r="E48" i="167"/>
  <c r="C48" i="167"/>
  <c r="I49" i="167"/>
  <c r="D49" i="167"/>
  <c r="J49" i="167"/>
  <c r="E49" i="167"/>
  <c r="C49" i="167"/>
  <c r="I50" i="167"/>
  <c r="D50" i="167"/>
  <c r="J50" i="167"/>
  <c r="E50" i="167"/>
  <c r="C50" i="167"/>
  <c r="I51" i="167"/>
  <c r="D51" i="167"/>
  <c r="J51" i="167"/>
  <c r="E51" i="167"/>
  <c r="C51" i="167"/>
  <c r="I52" i="167"/>
  <c r="D52" i="167"/>
  <c r="J52" i="167"/>
  <c r="E52" i="167"/>
  <c r="C52" i="167"/>
  <c r="I53" i="167"/>
  <c r="D53" i="167"/>
  <c r="J53" i="167"/>
  <c r="E53" i="167"/>
  <c r="C53" i="167"/>
  <c r="I54" i="167"/>
  <c r="D54" i="167"/>
  <c r="J54" i="167"/>
  <c r="E54" i="167"/>
  <c r="C54" i="167"/>
  <c r="I55" i="167"/>
  <c r="D55" i="167"/>
  <c r="J55" i="167"/>
  <c r="E55" i="167"/>
  <c r="C55" i="167"/>
  <c r="I56" i="167"/>
  <c r="D56" i="167"/>
  <c r="J56" i="167"/>
  <c r="E56" i="167"/>
  <c r="C56" i="167"/>
  <c r="I57" i="167"/>
  <c r="D57" i="167"/>
  <c r="J57" i="167"/>
  <c r="E57" i="167"/>
  <c r="C57" i="167"/>
  <c r="I58" i="167"/>
  <c r="D58" i="167"/>
  <c r="J58" i="167"/>
  <c r="E58" i="167"/>
  <c r="C58" i="167"/>
  <c r="I59" i="167"/>
  <c r="D59" i="167"/>
  <c r="J59" i="167"/>
  <c r="E59" i="167"/>
  <c r="C59" i="167"/>
  <c r="I60" i="167"/>
  <c r="D60" i="167"/>
  <c r="J60" i="167"/>
  <c r="E60" i="167"/>
  <c r="C60" i="167"/>
  <c r="I61" i="167"/>
  <c r="D61" i="167"/>
  <c r="J61" i="167"/>
  <c r="E61" i="167"/>
  <c r="C61" i="167"/>
  <c r="I62" i="167"/>
  <c r="D62" i="167"/>
  <c r="J62" i="167"/>
  <c r="E62" i="167"/>
  <c r="C62" i="167"/>
  <c r="I63" i="167"/>
  <c r="D63" i="167"/>
  <c r="J63" i="167"/>
  <c r="E63" i="167"/>
  <c r="C63" i="167"/>
  <c r="I64" i="167"/>
  <c r="D64" i="167"/>
  <c r="J64" i="167"/>
  <c r="E64" i="167"/>
  <c r="C64" i="167"/>
  <c r="I65" i="167"/>
  <c r="D65" i="167"/>
  <c r="J65" i="167"/>
  <c r="E65" i="167"/>
  <c r="C65" i="167"/>
  <c r="I66" i="167"/>
  <c r="D66" i="167"/>
  <c r="J66" i="167"/>
  <c r="E66" i="167"/>
  <c r="C66" i="167"/>
  <c r="I67" i="167"/>
  <c r="D67" i="167"/>
  <c r="J67" i="167"/>
  <c r="E67" i="167"/>
  <c r="C67" i="167"/>
  <c r="I68" i="167"/>
  <c r="D68" i="167"/>
  <c r="J68" i="167"/>
  <c r="E68" i="167"/>
  <c r="C68" i="167"/>
  <c r="I69" i="167"/>
  <c r="D69" i="167"/>
  <c r="J69" i="167"/>
  <c r="E69" i="167"/>
  <c r="C69" i="167"/>
  <c r="I70" i="167"/>
  <c r="D70" i="167"/>
  <c r="J70" i="167"/>
  <c r="E70" i="167"/>
  <c r="C70" i="167"/>
  <c r="I71" i="167"/>
  <c r="D71" i="167"/>
  <c r="J71" i="167"/>
  <c r="E71" i="167"/>
  <c r="C71" i="167"/>
  <c r="I72" i="167"/>
  <c r="D72" i="167"/>
  <c r="J72" i="167"/>
  <c r="E72" i="167"/>
  <c r="C72" i="167"/>
  <c r="I73" i="167"/>
  <c r="D73" i="167"/>
  <c r="J73" i="167"/>
  <c r="E73" i="167"/>
  <c r="C73" i="167"/>
  <c r="I74" i="167"/>
  <c r="D74" i="167"/>
  <c r="J74" i="167"/>
  <c r="E74" i="167"/>
  <c r="C74" i="167"/>
  <c r="I75" i="167"/>
  <c r="D75" i="167"/>
  <c r="J75" i="167"/>
  <c r="E75" i="167"/>
  <c r="C75" i="167"/>
  <c r="I76" i="167"/>
  <c r="D76" i="167"/>
  <c r="J76" i="167"/>
  <c r="E76" i="167"/>
  <c r="C76" i="167"/>
  <c r="I77" i="167"/>
  <c r="D77" i="167"/>
  <c r="J77" i="167"/>
  <c r="E77" i="167"/>
  <c r="C77" i="167"/>
  <c r="I78" i="167"/>
  <c r="D78" i="167"/>
  <c r="J78" i="167"/>
  <c r="E78" i="167"/>
  <c r="C78" i="167"/>
  <c r="I79" i="167"/>
  <c r="D79" i="167"/>
  <c r="J79" i="167"/>
  <c r="E79" i="167"/>
  <c r="C79" i="167"/>
  <c r="I80" i="167"/>
  <c r="D80" i="167"/>
  <c r="J80" i="167"/>
  <c r="E80" i="167"/>
  <c r="C80" i="167"/>
  <c r="I81" i="167"/>
  <c r="D81" i="167"/>
  <c r="J81" i="167"/>
  <c r="E81" i="167"/>
  <c r="C81" i="167"/>
  <c r="I82" i="167"/>
  <c r="D82" i="167"/>
  <c r="J82" i="167"/>
  <c r="E82" i="167"/>
  <c r="C82" i="167"/>
  <c r="I83" i="167"/>
  <c r="D83" i="167"/>
  <c r="J83" i="167"/>
  <c r="E83" i="167"/>
  <c r="C83" i="167"/>
  <c r="I84" i="167"/>
  <c r="D84" i="167"/>
  <c r="J84" i="167"/>
  <c r="E84" i="167"/>
  <c r="C84" i="167"/>
  <c r="I85" i="167"/>
  <c r="D85" i="167"/>
  <c r="J85" i="167"/>
  <c r="E85" i="167"/>
  <c r="C85" i="167"/>
  <c r="I86" i="167"/>
  <c r="D86" i="167"/>
  <c r="J86" i="167"/>
  <c r="E86" i="167"/>
  <c r="C86" i="167"/>
  <c r="I87" i="167"/>
  <c r="D87" i="167"/>
  <c r="J87" i="167"/>
  <c r="E87" i="167"/>
  <c r="C87" i="167"/>
  <c r="I88" i="167"/>
  <c r="D88" i="167"/>
  <c r="J88" i="167"/>
  <c r="E88" i="167"/>
  <c r="C88" i="167"/>
  <c r="I89" i="167"/>
  <c r="D89" i="167"/>
  <c r="J89" i="167"/>
  <c r="E89" i="167"/>
  <c r="C89" i="167"/>
  <c r="I90" i="167"/>
  <c r="D90" i="167"/>
  <c r="J90" i="167"/>
  <c r="E90" i="167"/>
  <c r="C90" i="167"/>
  <c r="I91" i="167"/>
  <c r="D91" i="167"/>
  <c r="J91" i="167"/>
  <c r="E91" i="167"/>
  <c r="C91" i="167"/>
  <c r="I92" i="167"/>
  <c r="D92" i="167"/>
  <c r="J92" i="167"/>
  <c r="E92" i="167"/>
  <c r="C92" i="167"/>
  <c r="I93" i="167"/>
  <c r="D93" i="167"/>
  <c r="J93" i="167"/>
  <c r="E93" i="167"/>
  <c r="C93" i="167"/>
  <c r="I94" i="167"/>
  <c r="D94" i="167"/>
  <c r="J94" i="167"/>
  <c r="E94" i="167"/>
  <c r="C94" i="167"/>
  <c r="I95" i="167"/>
  <c r="D95" i="167"/>
  <c r="J95" i="167"/>
  <c r="E95" i="167"/>
  <c r="C95" i="167"/>
  <c r="I96" i="167"/>
  <c r="D96" i="167"/>
  <c r="J96" i="167"/>
  <c r="E96" i="167"/>
  <c r="C96" i="167"/>
  <c r="I97" i="167"/>
  <c r="D97" i="167"/>
  <c r="J97" i="167"/>
  <c r="E97" i="167"/>
  <c r="C97" i="167"/>
  <c r="I98" i="167"/>
  <c r="D98" i="167"/>
  <c r="J98" i="167"/>
  <c r="E98" i="167"/>
  <c r="C98" i="167"/>
  <c r="I99" i="167"/>
  <c r="D99" i="167"/>
  <c r="J99" i="167"/>
  <c r="E99" i="167"/>
  <c r="C99" i="167"/>
  <c r="I100" i="167"/>
  <c r="D100" i="167"/>
  <c r="J100" i="167"/>
  <c r="E100" i="167"/>
  <c r="C100" i="167"/>
  <c r="I101" i="167"/>
  <c r="D101" i="167"/>
  <c r="J101" i="167"/>
  <c r="E101" i="167"/>
  <c r="C101" i="167"/>
  <c r="I102" i="167"/>
  <c r="D102" i="167"/>
  <c r="J102" i="167"/>
  <c r="E102" i="167"/>
  <c r="C102" i="167"/>
  <c r="I103" i="167"/>
  <c r="D103" i="167"/>
  <c r="J103" i="167"/>
  <c r="E103" i="167"/>
  <c r="C103" i="167"/>
  <c r="I104" i="167"/>
  <c r="D104" i="167"/>
  <c r="J104" i="167"/>
  <c r="E104" i="167"/>
  <c r="C104" i="167"/>
  <c r="I105" i="167"/>
  <c r="D105" i="167"/>
  <c r="J105" i="167"/>
  <c r="E105" i="167"/>
  <c r="C105" i="167"/>
  <c r="I106" i="167"/>
  <c r="D106" i="167"/>
  <c r="J106" i="167"/>
  <c r="E106" i="167"/>
  <c r="C106" i="167"/>
  <c r="I107" i="167"/>
  <c r="D107" i="167"/>
  <c r="J107" i="167"/>
  <c r="E107" i="167"/>
  <c r="C107" i="167"/>
  <c r="I108" i="167"/>
  <c r="D108" i="167"/>
  <c r="J108" i="167"/>
  <c r="E108" i="167"/>
  <c r="C108" i="167"/>
  <c r="I109" i="167"/>
  <c r="D109" i="167"/>
  <c r="J109" i="167"/>
  <c r="E109" i="167"/>
  <c r="C109" i="167"/>
  <c r="I110" i="167"/>
  <c r="D110" i="167"/>
  <c r="J110" i="167"/>
  <c r="E110" i="167"/>
  <c r="C110" i="167"/>
  <c r="I111" i="167"/>
  <c r="D111" i="167"/>
  <c r="J111" i="167"/>
  <c r="E111" i="167"/>
  <c r="C111" i="167"/>
  <c r="I112" i="167"/>
  <c r="D112" i="167"/>
  <c r="J112" i="167"/>
  <c r="E112" i="167"/>
  <c r="C112" i="167"/>
  <c r="I113" i="167"/>
  <c r="D113" i="167"/>
  <c r="J113" i="167"/>
  <c r="E113" i="167"/>
  <c r="C113" i="167"/>
  <c r="I114" i="167"/>
  <c r="D114" i="167"/>
  <c r="J114" i="167"/>
  <c r="E114" i="167"/>
  <c r="C114" i="167"/>
  <c r="I115" i="167"/>
  <c r="D115" i="167"/>
  <c r="J115" i="167"/>
  <c r="E115" i="167"/>
  <c r="C115" i="167"/>
  <c r="I116" i="167"/>
  <c r="D116" i="167"/>
  <c r="J116" i="167"/>
  <c r="E116" i="167"/>
  <c r="C116" i="167"/>
  <c r="I117" i="167"/>
  <c r="D117" i="167"/>
  <c r="J117" i="167"/>
  <c r="E117" i="167"/>
  <c r="C117" i="167"/>
  <c r="I118" i="167"/>
  <c r="D118" i="167"/>
  <c r="J118" i="167"/>
  <c r="E118" i="167"/>
  <c r="C118" i="167"/>
  <c r="I119" i="167"/>
  <c r="D119" i="167"/>
  <c r="J119" i="167"/>
  <c r="E119" i="167"/>
  <c r="C119" i="167"/>
  <c r="I120" i="167"/>
  <c r="D120" i="167"/>
  <c r="J120" i="167"/>
  <c r="E120" i="167"/>
  <c r="C120" i="167"/>
  <c r="I121" i="167"/>
  <c r="D121" i="167"/>
  <c r="J121" i="167"/>
  <c r="E121" i="167"/>
  <c r="C121" i="167"/>
  <c r="I122" i="167"/>
  <c r="D122" i="167"/>
  <c r="J122" i="167"/>
  <c r="E122" i="167"/>
  <c r="C122" i="167"/>
  <c r="I123" i="167"/>
  <c r="D123" i="167"/>
  <c r="J123" i="167"/>
  <c r="E123" i="167"/>
  <c r="C123" i="167"/>
  <c r="I124" i="167"/>
  <c r="D124" i="167"/>
  <c r="J124" i="167"/>
  <c r="E124" i="167"/>
  <c r="C124" i="167"/>
  <c r="I125" i="167"/>
  <c r="D125" i="167"/>
  <c r="J125" i="167"/>
  <c r="E125" i="167"/>
  <c r="C125" i="167"/>
  <c r="I126" i="167"/>
  <c r="D126" i="167"/>
  <c r="J126" i="167"/>
  <c r="E126" i="167"/>
  <c r="C126" i="167"/>
  <c r="I127" i="167"/>
  <c r="D127" i="167"/>
  <c r="J127" i="167"/>
  <c r="E127" i="167"/>
  <c r="C127" i="167"/>
  <c r="I128" i="167"/>
  <c r="D128" i="167"/>
  <c r="J128" i="167"/>
  <c r="E128" i="167"/>
  <c r="C128" i="167"/>
  <c r="I129" i="167"/>
  <c r="D129" i="167"/>
  <c r="J129" i="167"/>
  <c r="E129" i="167"/>
  <c r="C129" i="167"/>
  <c r="I130" i="167"/>
  <c r="D130" i="167"/>
  <c r="J130" i="167"/>
  <c r="E130" i="167"/>
  <c r="C130" i="167"/>
  <c r="I131" i="167"/>
  <c r="D131" i="167"/>
  <c r="J131" i="167"/>
  <c r="E131" i="167"/>
  <c r="C131" i="167"/>
  <c r="I132" i="167"/>
  <c r="D132" i="167"/>
  <c r="J132" i="167"/>
  <c r="E132" i="167"/>
  <c r="C132" i="167"/>
  <c r="I133" i="167"/>
  <c r="D133" i="167"/>
  <c r="J133" i="167"/>
  <c r="E133" i="167"/>
  <c r="C133" i="167"/>
  <c r="I134" i="167"/>
  <c r="D134" i="167"/>
  <c r="J134" i="167"/>
  <c r="E134" i="167"/>
  <c r="C134" i="167"/>
  <c r="I135" i="167"/>
  <c r="D135" i="167"/>
  <c r="J135" i="167"/>
  <c r="E135" i="167"/>
  <c r="C135" i="167"/>
  <c r="I136" i="167"/>
  <c r="D136" i="167"/>
  <c r="J136" i="167"/>
  <c r="E136" i="167"/>
  <c r="C136" i="167"/>
  <c r="I137" i="167"/>
  <c r="D137" i="167"/>
  <c r="J137" i="167"/>
  <c r="E137" i="167"/>
  <c r="C137" i="167"/>
  <c r="I138" i="167"/>
  <c r="D138" i="167"/>
  <c r="J138" i="167"/>
  <c r="E138" i="167"/>
  <c r="C138" i="167"/>
  <c r="I139" i="167"/>
  <c r="D139" i="167"/>
  <c r="J139" i="167"/>
  <c r="E139" i="167"/>
  <c r="C139" i="167"/>
  <c r="I140" i="167"/>
  <c r="D140" i="167"/>
  <c r="J140" i="167"/>
  <c r="E140" i="167"/>
  <c r="C140" i="167"/>
  <c r="I141" i="167"/>
  <c r="D141" i="167"/>
  <c r="J141" i="167"/>
  <c r="E141" i="167"/>
  <c r="C141" i="167"/>
  <c r="I142" i="167"/>
  <c r="D142" i="167"/>
  <c r="J142" i="167"/>
  <c r="E142" i="167"/>
  <c r="C142" i="167"/>
  <c r="I143" i="167"/>
  <c r="D143" i="167"/>
  <c r="J143" i="167"/>
  <c r="E143" i="167"/>
  <c r="C143" i="167"/>
  <c r="I144" i="167"/>
  <c r="D144" i="167"/>
  <c r="J144" i="167"/>
  <c r="E144" i="167"/>
  <c r="C144" i="167"/>
  <c r="I145" i="167"/>
  <c r="D145" i="167"/>
  <c r="J145" i="167"/>
  <c r="E145" i="167"/>
  <c r="C145" i="167"/>
  <c r="I146" i="167"/>
  <c r="D146" i="167"/>
  <c r="J146" i="167"/>
  <c r="E146" i="167"/>
  <c r="C146" i="167"/>
  <c r="I147" i="167"/>
  <c r="D147" i="167"/>
  <c r="J147" i="167"/>
  <c r="E147" i="167"/>
  <c r="C147" i="167"/>
  <c r="I148" i="167"/>
  <c r="D148" i="167"/>
  <c r="J148" i="167"/>
  <c r="E148" i="167"/>
  <c r="C148" i="167"/>
  <c r="I149" i="167"/>
  <c r="D149" i="167"/>
  <c r="J149" i="167"/>
  <c r="E149" i="167"/>
  <c r="C149" i="167"/>
  <c r="I150" i="167"/>
  <c r="D150" i="167"/>
  <c r="J150" i="167"/>
  <c r="E150" i="167"/>
  <c r="C150" i="167"/>
  <c r="I151" i="167"/>
  <c r="D151" i="167"/>
  <c r="J151" i="167"/>
  <c r="E151" i="167"/>
  <c r="C151" i="167"/>
  <c r="I152" i="167"/>
  <c r="D152" i="167"/>
  <c r="J152" i="167"/>
  <c r="E152" i="167"/>
  <c r="C152" i="167"/>
  <c r="I153" i="167"/>
  <c r="D153" i="167"/>
  <c r="J153" i="167"/>
  <c r="E153" i="167"/>
  <c r="C153" i="167"/>
  <c r="I154" i="167"/>
  <c r="D154" i="167"/>
  <c r="J154" i="167"/>
  <c r="E154" i="167"/>
  <c r="C154" i="167"/>
  <c r="I155" i="167"/>
  <c r="D155" i="167"/>
  <c r="J155" i="167"/>
  <c r="E155" i="167"/>
  <c r="C155" i="167"/>
  <c r="I156" i="167"/>
  <c r="D156" i="167"/>
  <c r="J156" i="167"/>
  <c r="E156" i="167"/>
  <c r="C156" i="167"/>
  <c r="I157" i="167"/>
  <c r="D157" i="167"/>
  <c r="J157" i="167"/>
  <c r="E157" i="167"/>
  <c r="C157" i="167"/>
  <c r="I158" i="167"/>
  <c r="D158" i="167"/>
  <c r="J158" i="167"/>
  <c r="E158" i="167"/>
  <c r="C158" i="167"/>
  <c r="I159" i="167"/>
  <c r="D159" i="167"/>
  <c r="J159" i="167"/>
  <c r="E159" i="167"/>
  <c r="C159" i="167"/>
  <c r="I160" i="167"/>
  <c r="D160" i="167"/>
  <c r="J160" i="167"/>
  <c r="E160" i="167"/>
  <c r="C160" i="167"/>
  <c r="I161" i="167"/>
  <c r="D161" i="167"/>
  <c r="J161" i="167"/>
  <c r="E161" i="167"/>
  <c r="C161" i="167"/>
  <c r="I162" i="167"/>
  <c r="D162" i="167"/>
  <c r="J162" i="167"/>
  <c r="E162" i="167"/>
  <c r="C162" i="167"/>
  <c r="I163" i="167"/>
  <c r="D163" i="167"/>
  <c r="J163" i="167"/>
  <c r="E163" i="167"/>
  <c r="C163" i="167"/>
  <c r="I164" i="167"/>
  <c r="D164" i="167"/>
  <c r="J164" i="167"/>
  <c r="E164" i="167"/>
  <c r="C164" i="167"/>
  <c r="I165" i="167"/>
  <c r="D165" i="167"/>
  <c r="J165" i="167"/>
  <c r="E165" i="167"/>
  <c r="C165" i="167"/>
  <c r="I166" i="167"/>
  <c r="D166" i="167"/>
  <c r="J166" i="167"/>
  <c r="E166" i="167"/>
  <c r="C166" i="167"/>
  <c r="I167" i="167"/>
  <c r="D167" i="167"/>
  <c r="J167" i="167"/>
  <c r="E167" i="167"/>
  <c r="C167" i="167"/>
  <c r="I168" i="167"/>
  <c r="D168" i="167"/>
  <c r="J168" i="167"/>
  <c r="E168" i="167"/>
  <c r="C168" i="167"/>
  <c r="I169" i="167"/>
  <c r="D169" i="167"/>
  <c r="J169" i="167"/>
  <c r="E169" i="167"/>
  <c r="C169" i="167"/>
  <c r="I170" i="167"/>
  <c r="D170" i="167"/>
  <c r="J170" i="167"/>
  <c r="E170" i="167"/>
  <c r="C170" i="167"/>
  <c r="I171" i="167"/>
  <c r="D171" i="167"/>
  <c r="J171" i="167"/>
  <c r="E171" i="167"/>
  <c r="C171" i="167"/>
  <c r="I172" i="167"/>
  <c r="D172" i="167"/>
  <c r="J172" i="167"/>
  <c r="E172" i="167"/>
  <c r="C172" i="167"/>
  <c r="I173" i="167"/>
  <c r="D173" i="167"/>
  <c r="J173" i="167"/>
  <c r="E173" i="167"/>
  <c r="C173" i="167"/>
  <c r="I174" i="167"/>
  <c r="D174" i="167"/>
  <c r="J174" i="167"/>
  <c r="E174" i="167"/>
  <c r="C174" i="167"/>
  <c r="I175" i="167"/>
  <c r="D175" i="167"/>
  <c r="J175" i="167"/>
  <c r="E175" i="167"/>
  <c r="C175" i="167"/>
  <c r="I176" i="167"/>
  <c r="D176" i="167"/>
  <c r="J176" i="167"/>
  <c r="E176" i="167"/>
  <c r="C176" i="167"/>
  <c r="I177" i="167"/>
  <c r="D177" i="167"/>
  <c r="J177" i="167"/>
  <c r="E177" i="167"/>
  <c r="C177" i="167"/>
  <c r="I178" i="167"/>
  <c r="D178" i="167"/>
  <c r="J178" i="167"/>
  <c r="E178" i="167"/>
  <c r="C178" i="167"/>
  <c r="I179" i="167"/>
  <c r="D179" i="167"/>
  <c r="J179" i="167"/>
  <c r="E179" i="167"/>
  <c r="C179" i="167"/>
  <c r="I180" i="167"/>
  <c r="D180" i="167"/>
  <c r="J180" i="167"/>
  <c r="E180" i="167"/>
  <c r="C180" i="167"/>
  <c r="I181" i="167"/>
  <c r="D181" i="167"/>
  <c r="J181" i="167"/>
  <c r="E181" i="167"/>
  <c r="C181" i="167"/>
  <c r="I182" i="167"/>
  <c r="D182" i="167"/>
  <c r="J182" i="167"/>
  <c r="E182" i="167"/>
  <c r="C182" i="167"/>
  <c r="I183" i="167"/>
  <c r="D183" i="167"/>
  <c r="J183" i="167"/>
  <c r="E183" i="167"/>
  <c r="C183" i="167"/>
  <c r="I184" i="167"/>
  <c r="D184" i="167"/>
  <c r="J184" i="167"/>
  <c r="E184" i="167"/>
  <c r="C184" i="167"/>
  <c r="I185" i="167"/>
  <c r="D185" i="167"/>
  <c r="J185" i="167"/>
  <c r="E185" i="167"/>
  <c r="C185" i="167"/>
  <c r="I186" i="167"/>
  <c r="D186" i="167"/>
  <c r="J186" i="167"/>
  <c r="E186" i="167"/>
  <c r="C186" i="167"/>
  <c r="I187" i="167"/>
  <c r="D187" i="167"/>
  <c r="J187" i="167"/>
  <c r="E187" i="167"/>
  <c r="C187" i="167"/>
  <c r="I188" i="167"/>
  <c r="D188" i="167"/>
  <c r="J188" i="167"/>
  <c r="E188" i="167"/>
  <c r="C188" i="167"/>
  <c r="I189" i="167"/>
  <c r="D189" i="167"/>
  <c r="J189" i="167"/>
  <c r="E189" i="167"/>
  <c r="C189" i="167"/>
  <c r="I190" i="167"/>
  <c r="D190" i="167"/>
  <c r="J190" i="167"/>
  <c r="E190" i="167"/>
  <c r="C190" i="167"/>
  <c r="I191" i="167"/>
  <c r="D191" i="167"/>
  <c r="J191" i="167"/>
  <c r="E191" i="167"/>
  <c r="C191" i="167"/>
  <c r="I192" i="167"/>
  <c r="D192" i="167"/>
  <c r="J192" i="167"/>
  <c r="E192" i="167"/>
  <c r="C192" i="167"/>
  <c r="I193" i="167"/>
  <c r="D193" i="167"/>
  <c r="J193" i="167"/>
  <c r="E193" i="167"/>
  <c r="C193" i="167"/>
  <c r="I194" i="167"/>
  <c r="D194" i="167"/>
  <c r="J194" i="167"/>
  <c r="E194" i="167"/>
  <c r="C194" i="167"/>
  <c r="I195" i="167"/>
  <c r="D195" i="167"/>
  <c r="J195" i="167"/>
  <c r="E195" i="167"/>
  <c r="C195" i="167"/>
  <c r="I196" i="167"/>
  <c r="D196" i="167"/>
  <c r="J196" i="167"/>
  <c r="E196" i="167"/>
  <c r="C196" i="167"/>
  <c r="I197" i="167"/>
  <c r="D197" i="167"/>
  <c r="J197" i="167"/>
  <c r="E197" i="167"/>
  <c r="C197" i="167"/>
  <c r="I198" i="167"/>
  <c r="D198" i="167"/>
  <c r="J198" i="167"/>
  <c r="E198" i="167"/>
  <c r="C198" i="167"/>
  <c r="I199" i="167"/>
  <c r="D199" i="167"/>
  <c r="J199" i="167"/>
  <c r="E199" i="167"/>
  <c r="C199" i="167"/>
  <c r="I200" i="167"/>
  <c r="D200" i="167"/>
  <c r="J200" i="167"/>
  <c r="E200" i="167"/>
  <c r="C200" i="167"/>
  <c r="I201" i="167"/>
  <c r="D201" i="167"/>
  <c r="J201" i="167"/>
  <c r="E201" i="167"/>
  <c r="C201" i="167"/>
  <c r="I202" i="167"/>
  <c r="D202" i="167"/>
  <c r="J202" i="167"/>
  <c r="E202" i="167"/>
  <c r="C202" i="167"/>
  <c r="I203" i="167"/>
  <c r="D203" i="167"/>
  <c r="J203" i="167"/>
  <c r="E203" i="167"/>
  <c r="C203" i="167"/>
  <c r="I204" i="167"/>
  <c r="D204" i="167"/>
  <c r="J204" i="167"/>
  <c r="E204" i="167"/>
  <c r="C204" i="167"/>
  <c r="I205" i="167"/>
  <c r="D205" i="167"/>
  <c r="J205" i="167"/>
  <c r="E205" i="167"/>
  <c r="C205" i="167"/>
  <c r="I206" i="167"/>
  <c r="D206" i="167"/>
  <c r="J206" i="167"/>
  <c r="E206" i="167"/>
  <c r="C206" i="167"/>
  <c r="I207" i="167"/>
  <c r="D207" i="167"/>
  <c r="J207" i="167"/>
  <c r="E207" i="167"/>
  <c r="C207" i="167"/>
  <c r="I208" i="167"/>
  <c r="D208" i="167"/>
  <c r="J208" i="167"/>
  <c r="E208" i="167"/>
  <c r="C208" i="167"/>
  <c r="I209" i="167"/>
  <c r="D209" i="167"/>
  <c r="J209" i="167"/>
  <c r="E209" i="167"/>
  <c r="C209" i="167"/>
  <c r="I210" i="167"/>
  <c r="D210" i="167"/>
  <c r="J210" i="167"/>
  <c r="E210" i="167"/>
  <c r="C210" i="167"/>
  <c r="I211" i="167"/>
  <c r="D211" i="167"/>
  <c r="J211" i="167"/>
  <c r="E211" i="167"/>
  <c r="C211" i="167"/>
  <c r="I212" i="167"/>
  <c r="D212" i="167"/>
  <c r="J212" i="167"/>
  <c r="E212" i="167"/>
  <c r="C212" i="167"/>
  <c r="I213" i="167"/>
  <c r="D213" i="167"/>
  <c r="J213" i="167"/>
  <c r="E213" i="167"/>
  <c r="C213" i="167"/>
  <c r="I214" i="167"/>
  <c r="D214" i="167"/>
  <c r="J214" i="167"/>
  <c r="E214" i="167"/>
  <c r="C214" i="167"/>
  <c r="I215" i="167"/>
  <c r="J215" i="167"/>
  <c r="D215" i="167"/>
  <c r="E215" i="167"/>
  <c r="C215" i="167"/>
  <c r="I216" i="167"/>
  <c r="J216" i="167"/>
  <c r="D216" i="167"/>
  <c r="E216" i="167"/>
  <c r="C216" i="167"/>
  <c r="I217" i="167"/>
  <c r="J217" i="167"/>
  <c r="D217" i="167"/>
  <c r="E217" i="167"/>
  <c r="C217" i="167"/>
  <c r="I218" i="167"/>
  <c r="J218" i="167"/>
  <c r="D218" i="167"/>
  <c r="E218" i="167"/>
  <c r="C218" i="167"/>
  <c r="I219" i="167"/>
  <c r="J219" i="167"/>
  <c r="D219" i="167"/>
  <c r="E219" i="167"/>
  <c r="C219" i="167"/>
  <c r="I220" i="167"/>
  <c r="J220" i="167"/>
  <c r="D220" i="167"/>
  <c r="E220" i="167"/>
  <c r="C220" i="167"/>
  <c r="I221" i="167"/>
  <c r="D221" i="167"/>
  <c r="J221" i="167"/>
  <c r="E221" i="167"/>
  <c r="C221" i="167"/>
  <c r="I222" i="167"/>
  <c r="D222" i="167"/>
  <c r="J222" i="167"/>
  <c r="E222" i="167"/>
  <c r="C222" i="167"/>
  <c r="I223" i="167"/>
  <c r="D223" i="167"/>
  <c r="J223" i="167"/>
  <c r="E223" i="167"/>
  <c r="C223" i="167"/>
  <c r="I224" i="167"/>
  <c r="D224" i="167"/>
  <c r="J224" i="167"/>
  <c r="E224" i="167"/>
  <c r="C224" i="167"/>
  <c r="I225" i="167"/>
  <c r="D225" i="167"/>
  <c r="J225" i="167"/>
  <c r="E225" i="167"/>
  <c r="C225" i="167"/>
  <c r="I226" i="167"/>
  <c r="D226" i="167"/>
  <c r="J226" i="167"/>
  <c r="E226" i="167"/>
  <c r="C226" i="167"/>
  <c r="I227" i="167"/>
  <c r="D227" i="167"/>
  <c r="J227" i="167"/>
  <c r="E227" i="167"/>
  <c r="C227" i="167"/>
  <c r="I228" i="167"/>
  <c r="D228" i="167"/>
  <c r="J228" i="167"/>
  <c r="E228" i="167"/>
  <c r="C228" i="167"/>
  <c r="I229" i="167"/>
  <c r="D229" i="167"/>
  <c r="J229" i="167"/>
  <c r="E229" i="167"/>
  <c r="C229" i="167"/>
  <c r="I230" i="167"/>
  <c r="D230" i="167"/>
  <c r="J230" i="167"/>
  <c r="E230" i="167"/>
  <c r="C230" i="167"/>
  <c r="I231" i="167"/>
  <c r="D231" i="167"/>
  <c r="J231" i="167"/>
  <c r="E231" i="167"/>
  <c r="C231" i="167"/>
  <c r="I232" i="167"/>
  <c r="D232" i="167"/>
  <c r="J232" i="167"/>
  <c r="E232" i="167"/>
  <c r="C232" i="167"/>
  <c r="I233" i="167"/>
  <c r="D233" i="167"/>
  <c r="J233" i="167"/>
  <c r="E233" i="167"/>
  <c r="C233" i="167"/>
  <c r="I234" i="167"/>
  <c r="D234" i="167"/>
  <c r="J234" i="167"/>
  <c r="E234" i="167"/>
  <c r="C234" i="167"/>
  <c r="I235" i="167"/>
  <c r="D235" i="167"/>
  <c r="J235" i="167"/>
  <c r="E235" i="167"/>
  <c r="C235" i="167"/>
  <c r="I236" i="167"/>
  <c r="D236" i="167"/>
  <c r="J236" i="167"/>
  <c r="E236" i="167"/>
  <c r="C236" i="167"/>
  <c r="I237" i="167"/>
  <c r="D237" i="167"/>
  <c r="J237" i="167"/>
  <c r="E237" i="167"/>
  <c r="C237" i="167"/>
  <c r="I238" i="167"/>
  <c r="D238" i="167"/>
  <c r="J238" i="167"/>
  <c r="E238" i="167"/>
  <c r="C238" i="167"/>
  <c r="I239" i="167"/>
  <c r="D239" i="167"/>
  <c r="J239" i="167"/>
  <c r="E239" i="167"/>
  <c r="C239" i="167"/>
  <c r="I240" i="167"/>
  <c r="D240" i="167"/>
  <c r="J240" i="167"/>
  <c r="E240" i="167"/>
  <c r="C240" i="167"/>
  <c r="I241" i="167"/>
  <c r="D241" i="167"/>
  <c r="J241" i="167"/>
  <c r="E241" i="167"/>
  <c r="C241" i="167"/>
  <c r="I242" i="167"/>
  <c r="D242" i="167"/>
  <c r="J242" i="167"/>
  <c r="E242" i="167"/>
  <c r="C242" i="167"/>
  <c r="I243" i="167"/>
  <c r="D243" i="167"/>
  <c r="J243" i="167"/>
  <c r="E243" i="167"/>
  <c r="C243" i="167"/>
  <c r="I244" i="167"/>
  <c r="D244" i="167"/>
  <c r="J244" i="167"/>
  <c r="E244" i="167"/>
  <c r="C244" i="167"/>
  <c r="I245" i="167"/>
  <c r="D245" i="167"/>
  <c r="J245" i="167"/>
  <c r="E245" i="167"/>
  <c r="C245" i="167"/>
  <c r="I246" i="167"/>
  <c r="D246" i="167"/>
  <c r="J246" i="167"/>
  <c r="E246" i="167"/>
  <c r="C246" i="167"/>
  <c r="I247" i="167"/>
  <c r="D247" i="167"/>
  <c r="J247" i="167"/>
  <c r="E247" i="167"/>
  <c r="C247" i="167"/>
  <c r="I248" i="167"/>
  <c r="D248" i="167"/>
  <c r="J248" i="167"/>
  <c r="E248" i="167"/>
  <c r="C248" i="167"/>
  <c r="I249" i="167"/>
  <c r="D249" i="167"/>
  <c r="J249" i="167"/>
  <c r="E249" i="167"/>
  <c r="C249" i="167"/>
  <c r="I250" i="167"/>
  <c r="D250" i="167"/>
  <c r="J250" i="167"/>
  <c r="E250" i="167"/>
  <c r="C250" i="167"/>
  <c r="I251" i="167"/>
  <c r="D251" i="167"/>
  <c r="J251" i="167"/>
  <c r="E251" i="167"/>
  <c r="C251" i="167"/>
  <c r="I252" i="167"/>
  <c r="D252" i="167"/>
  <c r="J252" i="167"/>
  <c r="E252" i="167"/>
  <c r="C252" i="167"/>
  <c r="I253" i="167"/>
  <c r="D253" i="167"/>
  <c r="J253" i="167"/>
  <c r="E253" i="167"/>
  <c r="C253" i="167"/>
  <c r="I254" i="167"/>
  <c r="D254" i="167"/>
  <c r="J254" i="167"/>
  <c r="E254" i="167"/>
  <c r="C254" i="167"/>
  <c r="I255" i="167"/>
  <c r="D255" i="167"/>
  <c r="J255" i="167"/>
  <c r="E255" i="167"/>
  <c r="C255" i="167"/>
  <c r="I256" i="167"/>
  <c r="D256" i="167"/>
  <c r="J256" i="167"/>
  <c r="E256" i="167"/>
  <c r="C256" i="167"/>
  <c r="I257" i="167"/>
  <c r="D257" i="167"/>
  <c r="J257" i="167"/>
  <c r="E257" i="167"/>
  <c r="C257" i="167"/>
  <c r="I258" i="167"/>
  <c r="D258" i="167"/>
  <c r="J258" i="167"/>
  <c r="E258" i="167"/>
  <c r="C258" i="167"/>
  <c r="I259" i="167"/>
  <c r="D259" i="167"/>
  <c r="J259" i="167"/>
  <c r="E259" i="167"/>
  <c r="C259" i="167"/>
  <c r="I260" i="167"/>
  <c r="D260" i="167"/>
  <c r="J260" i="167"/>
  <c r="E260" i="167"/>
  <c r="C260" i="167"/>
  <c r="I261" i="167"/>
  <c r="D261" i="167"/>
  <c r="J261" i="167"/>
  <c r="E261" i="167"/>
  <c r="C261" i="167"/>
  <c r="I262" i="167"/>
  <c r="D262" i="167"/>
  <c r="J262" i="167"/>
  <c r="E262" i="167"/>
  <c r="C262" i="167"/>
  <c r="I263" i="167"/>
  <c r="D263" i="167"/>
  <c r="J263" i="167"/>
  <c r="E263" i="167"/>
  <c r="C263" i="167"/>
  <c r="I264" i="167"/>
  <c r="D264" i="167"/>
  <c r="J264" i="167"/>
  <c r="E264" i="167"/>
  <c r="C264" i="167"/>
  <c r="I265" i="167"/>
  <c r="D265" i="167"/>
  <c r="J265" i="167"/>
  <c r="E265" i="167"/>
  <c r="C265" i="167"/>
  <c r="I266" i="167"/>
  <c r="D266" i="167"/>
  <c r="J266" i="167"/>
  <c r="E266" i="167"/>
  <c r="C266" i="167"/>
  <c r="I267" i="167"/>
  <c r="D267" i="167"/>
  <c r="J267" i="167"/>
  <c r="E267" i="167"/>
  <c r="C267" i="167"/>
  <c r="I268" i="167"/>
  <c r="D268" i="167"/>
  <c r="J268" i="167"/>
  <c r="E268" i="167"/>
  <c r="C268" i="167"/>
  <c r="I269" i="167"/>
  <c r="D269" i="167"/>
  <c r="J269" i="167"/>
  <c r="E269" i="167"/>
  <c r="C269" i="167"/>
  <c r="I270" i="167"/>
  <c r="D270" i="167"/>
  <c r="J270" i="167"/>
  <c r="E270" i="167"/>
  <c r="C270" i="167"/>
  <c r="I271" i="167"/>
  <c r="D271" i="167"/>
  <c r="J271" i="167"/>
  <c r="E271" i="167"/>
  <c r="C271" i="167"/>
  <c r="I272" i="167"/>
  <c r="D272" i="167"/>
  <c r="J272" i="167"/>
  <c r="E272" i="167"/>
  <c r="C272" i="167"/>
  <c r="I273" i="167"/>
  <c r="D273" i="167"/>
  <c r="J273" i="167"/>
  <c r="E273" i="167"/>
  <c r="C273" i="167"/>
  <c r="I274" i="167"/>
  <c r="D274" i="167"/>
  <c r="J274" i="167"/>
  <c r="E274" i="167"/>
  <c r="C274" i="167"/>
  <c r="I275" i="167"/>
  <c r="D275" i="167"/>
  <c r="J275" i="167"/>
  <c r="E275" i="167"/>
  <c r="C275" i="167"/>
  <c r="I276" i="167"/>
  <c r="D276" i="167"/>
  <c r="J276" i="167"/>
  <c r="E276" i="167"/>
  <c r="C276" i="167"/>
  <c r="I277" i="167"/>
  <c r="D277" i="167"/>
  <c r="J277" i="167"/>
  <c r="E277" i="167"/>
  <c r="C277" i="167"/>
  <c r="I278" i="167"/>
  <c r="D278" i="167"/>
  <c r="J278" i="167"/>
  <c r="E278" i="167"/>
  <c r="C278" i="167"/>
  <c r="I279" i="167"/>
  <c r="D279" i="167"/>
  <c r="J279" i="167"/>
  <c r="E279" i="167"/>
  <c r="C279" i="167"/>
  <c r="I280" i="167"/>
  <c r="D280" i="167"/>
  <c r="J280" i="167"/>
  <c r="E280" i="167"/>
  <c r="C280" i="167"/>
  <c r="I281" i="167"/>
  <c r="D281" i="167"/>
  <c r="J281" i="167"/>
  <c r="E281" i="167"/>
  <c r="C281" i="167"/>
  <c r="I282" i="167"/>
  <c r="D282" i="167"/>
  <c r="J282" i="167"/>
  <c r="E282" i="167"/>
  <c r="C282" i="167"/>
  <c r="I283" i="167"/>
  <c r="D283" i="167"/>
  <c r="J283" i="167"/>
  <c r="E283" i="167"/>
  <c r="C283" i="167"/>
  <c r="I284" i="167"/>
  <c r="D284" i="167"/>
  <c r="J284" i="167"/>
  <c r="E284" i="167"/>
  <c r="C284" i="167"/>
  <c r="I285" i="167"/>
  <c r="D285" i="167"/>
  <c r="J285" i="167"/>
  <c r="E285" i="167"/>
  <c r="C285" i="167"/>
  <c r="I286" i="167"/>
  <c r="D286" i="167"/>
  <c r="J286" i="167"/>
  <c r="E286" i="167"/>
  <c r="C286" i="167"/>
  <c r="I287" i="167"/>
  <c r="D287" i="167"/>
  <c r="J287" i="167"/>
  <c r="E287" i="167"/>
  <c r="C287" i="167"/>
  <c r="I288" i="167"/>
  <c r="D288" i="167"/>
  <c r="J288" i="167"/>
  <c r="E288" i="167"/>
  <c r="C288" i="167"/>
  <c r="I289" i="167"/>
  <c r="D289" i="167"/>
  <c r="J289" i="167"/>
  <c r="E289" i="167"/>
  <c r="C289" i="167"/>
  <c r="I290" i="167"/>
  <c r="D290" i="167"/>
  <c r="J290" i="167"/>
  <c r="E290" i="167"/>
  <c r="C290" i="167"/>
  <c r="I291" i="167"/>
  <c r="D291" i="167"/>
  <c r="J291" i="167"/>
  <c r="E291" i="167"/>
  <c r="C291" i="167"/>
  <c r="I292" i="167"/>
  <c r="D292" i="167"/>
  <c r="J292" i="167"/>
  <c r="E292" i="167"/>
  <c r="C292" i="167"/>
  <c r="I293" i="167"/>
  <c r="D293" i="167"/>
  <c r="J293" i="167"/>
  <c r="E293" i="167"/>
  <c r="C293" i="167"/>
  <c r="I294" i="167"/>
  <c r="D294" i="167"/>
  <c r="J294" i="167"/>
  <c r="E294" i="167"/>
  <c r="C294" i="167"/>
  <c r="I295" i="167"/>
  <c r="D295" i="167"/>
  <c r="J295" i="167"/>
  <c r="E295" i="167"/>
  <c r="C295" i="167"/>
  <c r="I296" i="167"/>
  <c r="D296" i="167"/>
  <c r="J296" i="167"/>
  <c r="E296" i="167"/>
  <c r="C296" i="167"/>
  <c r="I297" i="167"/>
  <c r="D297" i="167"/>
  <c r="J297" i="167"/>
  <c r="E297" i="167"/>
  <c r="C297" i="167"/>
  <c r="I298" i="167"/>
  <c r="D298" i="167"/>
  <c r="J298" i="167"/>
  <c r="E298" i="167"/>
  <c r="C298" i="167"/>
  <c r="I299" i="167"/>
  <c r="D299" i="167"/>
  <c r="J299" i="167"/>
  <c r="E299" i="167"/>
  <c r="C299" i="167"/>
  <c r="I300" i="167"/>
  <c r="D300" i="167"/>
  <c r="J300" i="167"/>
  <c r="E300" i="167"/>
  <c r="C300" i="167"/>
  <c r="I301" i="167"/>
  <c r="D301" i="167"/>
  <c r="J301" i="167"/>
  <c r="E301" i="167"/>
  <c r="C301" i="167"/>
  <c r="I302" i="167"/>
  <c r="D302" i="167"/>
  <c r="J302" i="167"/>
  <c r="E302" i="167"/>
  <c r="C302" i="167"/>
  <c r="I303" i="167"/>
  <c r="D303" i="167"/>
  <c r="J303" i="167"/>
  <c r="E303" i="167"/>
  <c r="C303" i="167"/>
  <c r="I304" i="167"/>
  <c r="D304" i="167"/>
  <c r="J304" i="167"/>
  <c r="E304" i="167"/>
  <c r="C304" i="167"/>
  <c r="I305" i="167"/>
  <c r="D305" i="167"/>
  <c r="J305" i="167"/>
  <c r="E305" i="167"/>
  <c r="C305" i="167"/>
  <c r="I306" i="167"/>
  <c r="D306" i="167"/>
  <c r="J306" i="167"/>
  <c r="E306" i="167"/>
  <c r="C306" i="167"/>
  <c r="I307" i="167"/>
  <c r="D307" i="167"/>
  <c r="J307" i="167"/>
  <c r="E307" i="167"/>
  <c r="C307" i="167"/>
  <c r="I308" i="167"/>
  <c r="D308" i="167"/>
  <c r="J308" i="167"/>
  <c r="E308" i="167"/>
  <c r="C308" i="167"/>
  <c r="I309" i="167"/>
  <c r="D309" i="167"/>
  <c r="J309" i="167"/>
  <c r="E309" i="167"/>
  <c r="C309" i="167"/>
  <c r="I310" i="167"/>
  <c r="D310" i="167"/>
  <c r="J310" i="167"/>
  <c r="E310" i="167"/>
  <c r="C310" i="167"/>
  <c r="I311" i="167"/>
  <c r="D311" i="167"/>
  <c r="J311" i="167"/>
  <c r="E311" i="167"/>
  <c r="C311" i="167"/>
  <c r="I312" i="167"/>
  <c r="D312" i="167"/>
  <c r="J312" i="167"/>
  <c r="E312" i="167"/>
  <c r="C312" i="167"/>
  <c r="I313" i="167"/>
  <c r="D313" i="167"/>
  <c r="J313" i="167"/>
  <c r="E313" i="167"/>
  <c r="C313" i="167"/>
  <c r="I314" i="167"/>
  <c r="D314" i="167"/>
  <c r="J314" i="167"/>
  <c r="E314" i="167"/>
  <c r="C314" i="167"/>
  <c r="I315" i="167"/>
  <c r="D315" i="167"/>
  <c r="J315" i="167"/>
  <c r="E315" i="167"/>
  <c r="C315" i="167"/>
  <c r="I316" i="167"/>
  <c r="D316" i="167"/>
  <c r="J316" i="167"/>
  <c r="E316" i="167"/>
  <c r="C316" i="167"/>
  <c r="I317" i="167"/>
  <c r="D317" i="167"/>
  <c r="J317" i="167"/>
  <c r="E317" i="167"/>
  <c r="C317" i="167"/>
  <c r="I318" i="167"/>
  <c r="D318" i="167"/>
  <c r="J318" i="167"/>
  <c r="E318" i="167"/>
  <c r="C318" i="167"/>
  <c r="I319" i="167"/>
  <c r="D319" i="167"/>
  <c r="J319" i="167"/>
  <c r="E319" i="167"/>
  <c r="C319" i="167"/>
  <c r="I320" i="167"/>
  <c r="D320" i="167"/>
  <c r="J320" i="167"/>
  <c r="E320" i="167"/>
  <c r="C320" i="167"/>
  <c r="I321" i="167"/>
  <c r="D321" i="167"/>
  <c r="J321" i="167"/>
  <c r="E321" i="167"/>
  <c r="C321" i="167"/>
  <c r="I322" i="167"/>
  <c r="D322" i="167"/>
  <c r="J322" i="167"/>
  <c r="E322" i="167"/>
  <c r="C322" i="167"/>
  <c r="I323" i="167"/>
  <c r="D323" i="167"/>
  <c r="J323" i="167"/>
  <c r="E323" i="167"/>
  <c r="C323" i="167"/>
  <c r="I324" i="167"/>
  <c r="D324" i="167"/>
  <c r="J324" i="167"/>
  <c r="E324" i="167"/>
  <c r="C324" i="167"/>
  <c r="I325" i="167"/>
  <c r="D325" i="167"/>
  <c r="J325" i="167"/>
  <c r="E325" i="167"/>
  <c r="C325" i="167"/>
  <c r="I326" i="167"/>
  <c r="D326" i="167"/>
  <c r="J326" i="167"/>
  <c r="E326" i="167"/>
  <c r="C326" i="167"/>
  <c r="I327" i="167"/>
  <c r="D327" i="167"/>
  <c r="J327" i="167"/>
  <c r="E327" i="167"/>
  <c r="C327" i="167"/>
  <c r="I328" i="167"/>
  <c r="D328" i="167"/>
  <c r="J328" i="167"/>
  <c r="E328" i="167"/>
  <c r="C328" i="167"/>
  <c r="I329" i="167"/>
  <c r="D329" i="167"/>
  <c r="J329" i="167"/>
  <c r="E329" i="167"/>
  <c r="C329" i="167"/>
  <c r="I330" i="167"/>
  <c r="D330" i="167"/>
  <c r="J330" i="167"/>
  <c r="E330" i="167"/>
  <c r="C330" i="167"/>
  <c r="I331" i="167"/>
  <c r="D331" i="167"/>
  <c r="J331" i="167"/>
  <c r="E331" i="167"/>
  <c r="C331" i="167"/>
  <c r="I332" i="167"/>
  <c r="D332" i="167"/>
  <c r="J332" i="167"/>
  <c r="E332" i="167"/>
  <c r="C332" i="167"/>
  <c r="I333" i="167"/>
  <c r="D333" i="167"/>
  <c r="J333" i="167"/>
  <c r="E333" i="167"/>
  <c r="C333" i="167"/>
  <c r="I334" i="167"/>
  <c r="D334" i="167"/>
  <c r="J334" i="167"/>
  <c r="E334" i="167"/>
  <c r="C334" i="167"/>
  <c r="I335" i="167"/>
  <c r="D335" i="167"/>
  <c r="J335" i="167"/>
  <c r="E335" i="167"/>
  <c r="C335" i="167"/>
  <c r="I336" i="167"/>
  <c r="D336" i="167"/>
  <c r="J336" i="167"/>
  <c r="E336" i="167"/>
  <c r="C336" i="167"/>
  <c r="I337" i="167"/>
  <c r="D337" i="167"/>
  <c r="J337" i="167"/>
  <c r="E337" i="167"/>
  <c r="C337" i="167"/>
  <c r="I338" i="167"/>
  <c r="D338" i="167"/>
  <c r="J338" i="167"/>
  <c r="E338" i="167"/>
  <c r="C338" i="167"/>
  <c r="I339" i="167"/>
  <c r="D339" i="167"/>
  <c r="J339" i="167"/>
  <c r="E339" i="167"/>
  <c r="C339" i="167"/>
  <c r="I340" i="167"/>
  <c r="D340" i="167"/>
  <c r="J340" i="167"/>
  <c r="E340" i="167"/>
  <c r="C340" i="167"/>
  <c r="I341" i="167"/>
  <c r="D341" i="167"/>
  <c r="J341" i="167"/>
  <c r="E341" i="167"/>
  <c r="C341" i="167"/>
  <c r="I342" i="167"/>
  <c r="D342" i="167"/>
  <c r="J342" i="167"/>
  <c r="E342" i="167"/>
  <c r="C342" i="167"/>
  <c r="I343" i="167"/>
  <c r="D343" i="167"/>
  <c r="J343" i="167"/>
  <c r="E343" i="167"/>
  <c r="C343" i="167"/>
  <c r="I344" i="167"/>
  <c r="D344" i="167"/>
  <c r="J344" i="167"/>
  <c r="E344" i="167"/>
  <c r="C344" i="167"/>
  <c r="I345" i="167"/>
  <c r="D345" i="167"/>
  <c r="J345" i="167"/>
  <c r="E345" i="167"/>
  <c r="C345" i="167"/>
  <c r="I346" i="167"/>
  <c r="D346" i="167"/>
  <c r="J346" i="167"/>
  <c r="E346" i="167"/>
  <c r="C346" i="167"/>
  <c r="F5" i="166"/>
  <c r="F6" i="166"/>
  <c r="A36" i="166"/>
  <c r="R3" i="166"/>
  <c r="O346" i="167"/>
  <c r="A2" i="166"/>
  <c r="A346" i="167"/>
  <c r="B10" i="166"/>
  <c r="E6" i="166"/>
  <c r="Q3" i="166"/>
  <c r="Q4" i="166"/>
  <c r="Q5" i="166"/>
  <c r="Q6" i="166"/>
  <c r="Q7" i="166"/>
  <c r="Q8" i="166"/>
  <c r="Q9" i="166"/>
  <c r="Q10" i="166"/>
  <c r="Q11" i="166"/>
  <c r="Q12" i="166"/>
  <c r="Q13" i="166"/>
  <c r="Q14" i="166"/>
  <c r="Q15" i="166"/>
  <c r="Q16" i="166"/>
  <c r="Q17" i="166"/>
  <c r="Q18" i="166"/>
  <c r="Q19" i="166"/>
  <c r="Q20" i="166"/>
  <c r="E23" i="166"/>
  <c r="B23" i="166"/>
  <c r="G23" i="166"/>
  <c r="H23" i="166"/>
  <c r="O345" i="167"/>
  <c r="A345" i="167"/>
  <c r="E22" i="166"/>
  <c r="B22" i="166"/>
  <c r="G22" i="166"/>
  <c r="H22" i="166"/>
  <c r="O344" i="167"/>
  <c r="A344" i="167"/>
  <c r="E5" i="166"/>
  <c r="E29" i="166"/>
  <c r="B29" i="166"/>
  <c r="G29" i="166"/>
  <c r="H29" i="166"/>
  <c r="O343" i="167"/>
  <c r="A343" i="167"/>
  <c r="O342" i="167"/>
  <c r="A342" i="167"/>
  <c r="O341" i="167"/>
  <c r="A341" i="167"/>
  <c r="O340" i="167"/>
  <c r="A340" i="167"/>
  <c r="O339" i="167"/>
  <c r="A339" i="167"/>
  <c r="O338" i="167"/>
  <c r="A338" i="167"/>
  <c r="O337" i="167"/>
  <c r="A337" i="167"/>
  <c r="O336" i="167"/>
  <c r="A336" i="167"/>
  <c r="O335" i="167"/>
  <c r="A335" i="167"/>
  <c r="O334" i="167"/>
  <c r="A334" i="167"/>
  <c r="O333" i="167"/>
  <c r="A333" i="167"/>
  <c r="O332" i="167"/>
  <c r="A332" i="167"/>
  <c r="O331" i="167"/>
  <c r="A331" i="167"/>
  <c r="O330" i="167"/>
  <c r="A330" i="167"/>
  <c r="O329" i="167"/>
  <c r="A329" i="167"/>
  <c r="O328" i="167"/>
  <c r="A328" i="167"/>
  <c r="O327" i="167"/>
  <c r="A327" i="167"/>
  <c r="O326" i="167"/>
  <c r="A326" i="167"/>
  <c r="O325" i="167"/>
  <c r="A325" i="167"/>
  <c r="O324" i="167"/>
  <c r="A324" i="167"/>
  <c r="O323" i="167"/>
  <c r="A323" i="167"/>
  <c r="O322" i="167"/>
  <c r="A322" i="167"/>
  <c r="O321" i="167"/>
  <c r="A321" i="167"/>
  <c r="O320" i="167"/>
  <c r="A320" i="167"/>
  <c r="O319" i="167"/>
  <c r="A319" i="167"/>
  <c r="O318" i="167"/>
  <c r="A318" i="167"/>
  <c r="O317" i="167"/>
  <c r="A317" i="167"/>
  <c r="O316" i="167"/>
  <c r="A316" i="167"/>
  <c r="O315" i="167"/>
  <c r="A315" i="167"/>
  <c r="O314" i="167"/>
  <c r="A314" i="167"/>
  <c r="O313" i="167"/>
  <c r="A313" i="167"/>
  <c r="O312" i="167"/>
  <c r="A312" i="167"/>
  <c r="O311" i="167"/>
  <c r="A311" i="167"/>
  <c r="O310" i="167"/>
  <c r="A310" i="167"/>
  <c r="O309" i="167"/>
  <c r="A309" i="167"/>
  <c r="O308" i="167"/>
  <c r="A308" i="167"/>
  <c r="O307" i="167"/>
  <c r="A307" i="167"/>
  <c r="O306" i="167"/>
  <c r="A306" i="167"/>
  <c r="O305" i="167"/>
  <c r="A305" i="167"/>
  <c r="O304" i="167"/>
  <c r="A304" i="167"/>
  <c r="O303" i="167"/>
  <c r="A303" i="167"/>
  <c r="O302" i="167"/>
  <c r="A302" i="167"/>
  <c r="O301" i="167"/>
  <c r="A301" i="167"/>
  <c r="O300" i="167"/>
  <c r="A300" i="167"/>
  <c r="O299" i="167"/>
  <c r="A299" i="167"/>
  <c r="O298" i="167"/>
  <c r="A298" i="167"/>
  <c r="O297" i="167"/>
  <c r="A297" i="167"/>
  <c r="O296" i="167"/>
  <c r="A296" i="167"/>
  <c r="O295" i="167"/>
  <c r="A295" i="167"/>
  <c r="O294" i="167"/>
  <c r="A294" i="167"/>
  <c r="O293" i="167"/>
  <c r="A293" i="167"/>
  <c r="O292" i="167"/>
  <c r="A292" i="167"/>
  <c r="O291" i="167"/>
  <c r="A291" i="167"/>
  <c r="O290" i="167"/>
  <c r="A290" i="167"/>
  <c r="O289" i="167"/>
  <c r="A289" i="167"/>
  <c r="O288" i="167"/>
  <c r="A288" i="167"/>
  <c r="O287" i="167"/>
  <c r="A287" i="167"/>
  <c r="O286" i="167"/>
  <c r="A286" i="167"/>
  <c r="O285" i="167"/>
  <c r="A285" i="167"/>
  <c r="O284" i="167"/>
  <c r="A284" i="167"/>
  <c r="E28" i="166"/>
  <c r="B28" i="166"/>
  <c r="E26" i="166"/>
  <c r="B26" i="166"/>
  <c r="B21" i="166"/>
  <c r="G21" i="166"/>
  <c r="E21" i="166"/>
  <c r="H21" i="166"/>
  <c r="O283" i="167"/>
  <c r="A283" i="167"/>
  <c r="E20" i="166"/>
  <c r="B20" i="166"/>
  <c r="G20" i="166"/>
  <c r="H20" i="166"/>
  <c r="O282" i="167"/>
  <c r="A282" i="167"/>
  <c r="E19" i="166"/>
  <c r="B19" i="166"/>
  <c r="G19" i="166"/>
  <c r="H19" i="166"/>
  <c r="O281" i="167"/>
  <c r="A281" i="167"/>
  <c r="O280" i="167"/>
  <c r="A280" i="167"/>
  <c r="O279" i="167"/>
  <c r="A279" i="167"/>
  <c r="O278" i="167"/>
  <c r="A278" i="167"/>
  <c r="G28" i="166"/>
  <c r="H28" i="166"/>
  <c r="O277" i="167"/>
  <c r="A277" i="167"/>
  <c r="E27" i="166"/>
  <c r="B27" i="166"/>
  <c r="G27" i="166"/>
  <c r="H27" i="166"/>
  <c r="O276" i="167"/>
  <c r="A276" i="167"/>
  <c r="O275" i="167"/>
  <c r="A275" i="167"/>
  <c r="O274" i="167"/>
  <c r="A274" i="167"/>
  <c r="O273" i="167"/>
  <c r="A273" i="167"/>
  <c r="O272" i="167"/>
  <c r="A272" i="167"/>
  <c r="O271" i="167"/>
  <c r="A271" i="167"/>
  <c r="O270" i="167"/>
  <c r="A270" i="167"/>
  <c r="O269" i="167"/>
  <c r="A269" i="167"/>
  <c r="O268" i="167"/>
  <c r="A268" i="167"/>
  <c r="O267" i="167"/>
  <c r="A267" i="167"/>
  <c r="O266" i="167"/>
  <c r="A266" i="167"/>
  <c r="O265" i="167"/>
  <c r="A265" i="167"/>
  <c r="O264" i="167"/>
  <c r="A264" i="167"/>
  <c r="O263" i="167"/>
  <c r="A263" i="167"/>
  <c r="O262" i="167"/>
  <c r="A262" i="167"/>
  <c r="O261" i="167"/>
  <c r="A261" i="167"/>
  <c r="O260" i="167"/>
  <c r="A260" i="167"/>
  <c r="O259" i="167"/>
  <c r="A259" i="167"/>
  <c r="O258" i="167"/>
  <c r="A258" i="167"/>
  <c r="O257" i="167"/>
  <c r="A257" i="167"/>
  <c r="O256" i="167"/>
  <c r="A256" i="167"/>
  <c r="O255" i="167"/>
  <c r="A255" i="167"/>
  <c r="O254" i="167"/>
  <c r="A254" i="167"/>
  <c r="O253" i="167"/>
  <c r="A253" i="167"/>
  <c r="O252" i="167"/>
  <c r="A252" i="167"/>
  <c r="O251" i="167"/>
  <c r="A251" i="167"/>
  <c r="O250" i="167"/>
  <c r="A250" i="167"/>
  <c r="O249" i="167"/>
  <c r="A249" i="167"/>
  <c r="O248" i="167"/>
  <c r="A248" i="167"/>
  <c r="O247" i="167"/>
  <c r="A247" i="167"/>
  <c r="O246" i="167"/>
  <c r="A246" i="167"/>
  <c r="O245" i="167"/>
  <c r="A245" i="167"/>
  <c r="O244" i="167"/>
  <c r="A244" i="167"/>
  <c r="O243" i="167"/>
  <c r="A243" i="167"/>
  <c r="O242" i="167"/>
  <c r="A242" i="167"/>
  <c r="O241" i="167"/>
  <c r="A241" i="167"/>
  <c r="O240" i="167"/>
  <c r="A240" i="167"/>
  <c r="O239" i="167"/>
  <c r="A239" i="167"/>
  <c r="O238" i="167"/>
  <c r="A238" i="167"/>
  <c r="O237" i="167"/>
  <c r="A237" i="167"/>
  <c r="O236" i="167"/>
  <c r="A236" i="167"/>
  <c r="O235" i="167"/>
  <c r="A235" i="167"/>
  <c r="O234" i="167"/>
  <c r="A234" i="167"/>
  <c r="O233" i="167"/>
  <c r="A233" i="167"/>
  <c r="O232" i="167"/>
  <c r="A232" i="167"/>
  <c r="O231" i="167"/>
  <c r="A231" i="167"/>
  <c r="O230" i="167"/>
  <c r="A230" i="167"/>
  <c r="O229" i="167"/>
  <c r="A229" i="167"/>
  <c r="O228" i="167"/>
  <c r="A228" i="167"/>
  <c r="O227" i="167"/>
  <c r="A227" i="167"/>
  <c r="O226" i="167"/>
  <c r="A226" i="167"/>
  <c r="O225" i="167"/>
  <c r="A225" i="167"/>
  <c r="O224" i="167"/>
  <c r="A224" i="167"/>
  <c r="O223" i="167"/>
  <c r="A223" i="167"/>
  <c r="O222" i="167"/>
  <c r="A222" i="167"/>
  <c r="O221" i="167"/>
  <c r="A221" i="167"/>
  <c r="O220" i="167"/>
  <c r="A220" i="167"/>
  <c r="O219" i="167"/>
  <c r="A219" i="167"/>
  <c r="O218" i="167"/>
  <c r="A218" i="167"/>
  <c r="O217" i="167"/>
  <c r="A217" i="167"/>
  <c r="O216" i="167"/>
  <c r="A216" i="167"/>
  <c r="O215" i="167"/>
  <c r="A215" i="167"/>
  <c r="O214" i="167"/>
  <c r="A214" i="167"/>
  <c r="O213" i="167"/>
  <c r="A213" i="167"/>
  <c r="O212" i="167"/>
  <c r="A212" i="167"/>
  <c r="O211" i="167"/>
  <c r="A211" i="167"/>
  <c r="O210" i="167"/>
  <c r="A210" i="167"/>
  <c r="O209" i="167"/>
  <c r="A209" i="167"/>
  <c r="O208" i="167"/>
  <c r="A208" i="167"/>
  <c r="O207" i="167"/>
  <c r="A207" i="167"/>
  <c r="O206" i="167"/>
  <c r="A206" i="167"/>
  <c r="O205" i="167"/>
  <c r="A205" i="167"/>
  <c r="O204" i="167"/>
  <c r="A204" i="167"/>
  <c r="O203" i="167"/>
  <c r="A203" i="167"/>
  <c r="O202" i="167"/>
  <c r="A202" i="167"/>
  <c r="O201" i="167"/>
  <c r="A201" i="167"/>
  <c r="O200" i="167"/>
  <c r="A200" i="167"/>
  <c r="O199" i="167"/>
  <c r="A199" i="167"/>
  <c r="O198" i="167"/>
  <c r="A198" i="167"/>
  <c r="O197" i="167"/>
  <c r="A197" i="167"/>
  <c r="O196" i="167"/>
  <c r="A196" i="167"/>
  <c r="O195" i="167"/>
  <c r="A195" i="167"/>
  <c r="O194" i="167"/>
  <c r="A194" i="167"/>
  <c r="O193" i="167"/>
  <c r="A193" i="167"/>
  <c r="O192" i="167"/>
  <c r="A192" i="167"/>
  <c r="O191" i="167"/>
  <c r="A191" i="167"/>
  <c r="O190" i="167"/>
  <c r="A190" i="167"/>
  <c r="O189" i="167"/>
  <c r="A189" i="167"/>
  <c r="O188" i="167"/>
  <c r="A188" i="167"/>
  <c r="O187" i="167"/>
  <c r="A187" i="167"/>
  <c r="O186" i="167"/>
  <c r="A186" i="167"/>
  <c r="O185" i="167"/>
  <c r="A185" i="167"/>
  <c r="O184" i="167"/>
  <c r="A184" i="167"/>
  <c r="O183" i="167"/>
  <c r="A183" i="167"/>
  <c r="O182" i="167"/>
  <c r="A182" i="167"/>
  <c r="O181" i="167"/>
  <c r="A181" i="167"/>
  <c r="O180" i="167"/>
  <c r="A180" i="167"/>
  <c r="O179" i="167"/>
  <c r="A179" i="167"/>
  <c r="O178" i="167"/>
  <c r="A178" i="167"/>
  <c r="O177" i="167"/>
  <c r="A177" i="167"/>
  <c r="O176" i="167"/>
  <c r="A176" i="167"/>
  <c r="O175" i="167"/>
  <c r="A175" i="167"/>
  <c r="O174" i="167"/>
  <c r="A174" i="167"/>
  <c r="O173" i="167"/>
  <c r="A173" i="167"/>
  <c r="O172" i="167"/>
  <c r="A172" i="167"/>
  <c r="O171" i="167"/>
  <c r="A171" i="167"/>
  <c r="O170" i="167"/>
  <c r="A170" i="167"/>
  <c r="O169" i="167"/>
  <c r="A169" i="167"/>
  <c r="O168" i="167"/>
  <c r="A168" i="167"/>
  <c r="O167" i="167"/>
  <c r="A167" i="167"/>
  <c r="O166" i="167"/>
  <c r="A166" i="167"/>
  <c r="O165" i="167"/>
  <c r="A165" i="167"/>
  <c r="O164" i="167"/>
  <c r="A164" i="167"/>
  <c r="O163" i="167"/>
  <c r="A163" i="167"/>
  <c r="O162" i="167"/>
  <c r="A162" i="167"/>
  <c r="O161" i="167"/>
  <c r="A161" i="167"/>
  <c r="O160" i="167"/>
  <c r="A160" i="167"/>
  <c r="O159" i="167"/>
  <c r="A159" i="167"/>
  <c r="O158" i="167"/>
  <c r="A158" i="167"/>
  <c r="O157" i="167"/>
  <c r="A157" i="167"/>
  <c r="O156" i="167"/>
  <c r="A156" i="167"/>
  <c r="O155" i="167"/>
  <c r="A155" i="167"/>
  <c r="O154" i="167"/>
  <c r="A154" i="167"/>
  <c r="O153" i="167"/>
  <c r="A153" i="167"/>
  <c r="O152" i="167"/>
  <c r="A152" i="167"/>
  <c r="O151" i="167"/>
  <c r="A151" i="167"/>
  <c r="O150" i="167"/>
  <c r="A150" i="167"/>
  <c r="O149" i="167"/>
  <c r="A149" i="167"/>
  <c r="O148" i="167"/>
  <c r="A148" i="167"/>
  <c r="O147" i="167"/>
  <c r="A147" i="167"/>
  <c r="O146" i="167"/>
  <c r="A146" i="167"/>
  <c r="O145" i="167"/>
  <c r="A145" i="167"/>
  <c r="O144" i="167"/>
  <c r="A144" i="167"/>
  <c r="O143" i="167"/>
  <c r="A143" i="167"/>
  <c r="O142" i="167"/>
  <c r="A142" i="167"/>
  <c r="O141" i="167"/>
  <c r="A141" i="167"/>
  <c r="O140" i="167"/>
  <c r="A140" i="167"/>
  <c r="O139" i="167"/>
  <c r="A139" i="167"/>
  <c r="O138" i="167"/>
  <c r="A138" i="167"/>
  <c r="O137" i="167"/>
  <c r="A137" i="167"/>
  <c r="O136" i="167"/>
  <c r="A136" i="167"/>
  <c r="O135" i="167"/>
  <c r="A135" i="167"/>
  <c r="O134" i="167"/>
  <c r="A134" i="167"/>
  <c r="O133" i="167"/>
  <c r="A133" i="167"/>
  <c r="O132" i="167"/>
  <c r="A132" i="167"/>
  <c r="O131" i="167"/>
  <c r="A131" i="167"/>
  <c r="O130" i="167"/>
  <c r="A130" i="167"/>
  <c r="O129" i="167"/>
  <c r="A129" i="167"/>
  <c r="O128" i="167"/>
  <c r="A128" i="167"/>
  <c r="O127" i="167"/>
  <c r="A127" i="167"/>
  <c r="O126" i="167"/>
  <c r="A126" i="167"/>
  <c r="O125" i="167"/>
  <c r="A125" i="167"/>
  <c r="O124" i="167"/>
  <c r="A124" i="167"/>
  <c r="O123" i="167"/>
  <c r="A123" i="167"/>
  <c r="O122" i="167"/>
  <c r="A122" i="167"/>
  <c r="O121" i="167"/>
  <c r="A121" i="167"/>
  <c r="O120" i="167"/>
  <c r="A120" i="167"/>
  <c r="O119" i="167"/>
  <c r="A119" i="167"/>
  <c r="O118" i="167"/>
  <c r="A118" i="167"/>
  <c r="O117" i="167"/>
  <c r="A117" i="167"/>
  <c r="O116" i="167"/>
  <c r="A116" i="167"/>
  <c r="O115" i="167"/>
  <c r="A115" i="167"/>
  <c r="O114" i="167"/>
  <c r="A114" i="167"/>
  <c r="G26" i="166"/>
  <c r="H26" i="166"/>
  <c r="O113" i="167"/>
  <c r="A113" i="167"/>
  <c r="E25" i="166"/>
  <c r="B25" i="166"/>
  <c r="G25" i="166"/>
  <c r="H25" i="166"/>
  <c r="O112" i="167"/>
  <c r="A112" i="167"/>
  <c r="E24" i="166"/>
  <c r="B24" i="166"/>
  <c r="G24" i="166"/>
  <c r="H24" i="166"/>
  <c r="O111" i="167"/>
  <c r="A111" i="167"/>
  <c r="O110" i="167"/>
  <c r="A110" i="167"/>
  <c r="O109" i="167"/>
  <c r="A109" i="167"/>
  <c r="O108" i="167"/>
  <c r="A108" i="167"/>
  <c r="O107" i="167"/>
  <c r="A107" i="167"/>
  <c r="O106" i="167"/>
  <c r="A106" i="167"/>
  <c r="O105" i="167"/>
  <c r="A105" i="167"/>
  <c r="O104" i="167"/>
  <c r="A104" i="167"/>
  <c r="O103" i="167"/>
  <c r="A103" i="167"/>
  <c r="O102" i="167"/>
  <c r="A102" i="167"/>
  <c r="O101" i="167"/>
  <c r="A101" i="167"/>
  <c r="O100" i="167"/>
  <c r="A100" i="167"/>
  <c r="O99" i="167"/>
  <c r="A99" i="167"/>
  <c r="O98" i="167"/>
  <c r="A98" i="167"/>
  <c r="O97" i="167"/>
  <c r="A97" i="167"/>
  <c r="O96" i="167"/>
  <c r="A96" i="167"/>
  <c r="O95" i="167"/>
  <c r="A95" i="167"/>
  <c r="O94" i="167"/>
  <c r="A94" i="167"/>
  <c r="O93" i="167"/>
  <c r="A93" i="167"/>
  <c r="O92" i="167"/>
  <c r="A92" i="167"/>
  <c r="O91" i="167"/>
  <c r="A91" i="167"/>
  <c r="O90" i="167"/>
  <c r="A90" i="167"/>
  <c r="O89" i="167"/>
  <c r="A89" i="167"/>
  <c r="O88" i="167"/>
  <c r="A88" i="167"/>
  <c r="O87" i="167"/>
  <c r="A87" i="167"/>
  <c r="O86" i="167"/>
  <c r="A86" i="167"/>
  <c r="O85" i="167"/>
  <c r="A85" i="167"/>
  <c r="O84" i="167"/>
  <c r="A84" i="167"/>
  <c r="O83" i="167"/>
  <c r="A83" i="167"/>
  <c r="O82" i="167"/>
  <c r="A82" i="167"/>
  <c r="O81" i="167"/>
  <c r="A81" i="167"/>
  <c r="O80" i="167"/>
  <c r="A80" i="167"/>
  <c r="O79" i="167"/>
  <c r="A79" i="167"/>
  <c r="O78" i="167"/>
  <c r="A78" i="167"/>
  <c r="O77" i="167"/>
  <c r="A77" i="167"/>
  <c r="O76" i="167"/>
  <c r="A76" i="167"/>
  <c r="O75" i="167"/>
  <c r="A75" i="167"/>
  <c r="O74" i="167"/>
  <c r="A74" i="167"/>
  <c r="O73" i="167"/>
  <c r="A73" i="167"/>
  <c r="O72" i="167"/>
  <c r="A72" i="167"/>
  <c r="O71" i="167"/>
  <c r="A71" i="167"/>
  <c r="O70" i="167"/>
  <c r="A70" i="167"/>
  <c r="O69" i="167"/>
  <c r="A69" i="167"/>
  <c r="O68" i="167"/>
  <c r="A68" i="167"/>
  <c r="O67" i="167"/>
  <c r="A67" i="167"/>
  <c r="O66" i="167"/>
  <c r="A66" i="167"/>
  <c r="O65" i="167"/>
  <c r="A65" i="167"/>
  <c r="O64" i="167"/>
  <c r="A64" i="167"/>
  <c r="O63" i="167"/>
  <c r="A63" i="167"/>
  <c r="O62" i="167"/>
  <c r="A62" i="167"/>
  <c r="O61" i="167"/>
  <c r="A61" i="167"/>
  <c r="O60" i="167"/>
  <c r="A60" i="167"/>
  <c r="O59" i="167"/>
  <c r="A59" i="167"/>
  <c r="O58" i="167"/>
  <c r="A58" i="167"/>
  <c r="O57" i="167"/>
  <c r="A57" i="167"/>
  <c r="O56" i="167"/>
  <c r="A56" i="167"/>
  <c r="O55" i="167"/>
  <c r="A55" i="167"/>
  <c r="O54" i="167"/>
  <c r="A54" i="167"/>
  <c r="O53" i="167"/>
  <c r="A53" i="167"/>
  <c r="O52" i="167"/>
  <c r="A52" i="167"/>
  <c r="O51" i="167"/>
  <c r="A51" i="167"/>
  <c r="O50" i="167"/>
  <c r="A50" i="167"/>
  <c r="O49" i="167"/>
  <c r="A49" i="167"/>
  <c r="O48" i="167"/>
  <c r="A48" i="167"/>
  <c r="O47" i="167"/>
  <c r="A47" i="167"/>
  <c r="O46" i="167"/>
  <c r="A46" i="167"/>
  <c r="O45" i="167"/>
  <c r="A45" i="167"/>
  <c r="O44" i="167"/>
  <c r="A44" i="167"/>
  <c r="O43" i="167"/>
  <c r="A43" i="167"/>
  <c r="O42" i="167"/>
  <c r="A42" i="167"/>
  <c r="B17" i="166"/>
  <c r="E18" i="166"/>
  <c r="B18" i="166"/>
  <c r="G18" i="166"/>
  <c r="H18" i="166"/>
  <c r="O41" i="167"/>
  <c r="A41" i="167"/>
  <c r="G17" i="166"/>
  <c r="E17" i="166"/>
  <c r="H17" i="166"/>
  <c r="O40" i="167"/>
  <c r="A40" i="167"/>
  <c r="O39" i="167"/>
  <c r="A39" i="167"/>
  <c r="O38" i="167"/>
  <c r="A38" i="167"/>
  <c r="O37" i="167"/>
  <c r="A37" i="167"/>
  <c r="O36" i="167"/>
  <c r="A36" i="167"/>
  <c r="O35" i="167"/>
  <c r="A35" i="167"/>
  <c r="O34" i="167"/>
  <c r="A34" i="167"/>
  <c r="O33" i="167"/>
  <c r="A33" i="167"/>
  <c r="O32" i="167"/>
  <c r="A32" i="167"/>
  <c r="O31" i="167"/>
  <c r="A31" i="167"/>
  <c r="O30" i="167"/>
  <c r="A30" i="167"/>
  <c r="O29" i="167"/>
  <c r="A29" i="167"/>
  <c r="O28" i="167"/>
  <c r="A28" i="167"/>
  <c r="O27" i="167"/>
  <c r="A27" i="167"/>
  <c r="O26" i="167"/>
  <c r="A26" i="167"/>
  <c r="O25" i="167"/>
  <c r="A25" i="167"/>
  <c r="O24" i="167"/>
  <c r="A24" i="167"/>
  <c r="O23" i="167"/>
  <c r="A23" i="167"/>
  <c r="O22" i="167"/>
  <c r="A22" i="167"/>
  <c r="O21" i="167"/>
  <c r="A21" i="167"/>
  <c r="O20" i="167"/>
  <c r="A20" i="167"/>
  <c r="O19" i="167"/>
  <c r="A19" i="167"/>
  <c r="O18" i="167"/>
  <c r="A18" i="167"/>
  <c r="O17" i="167"/>
  <c r="A17" i="167"/>
  <c r="O16" i="167"/>
  <c r="A16" i="167"/>
  <c r="O15" i="167"/>
  <c r="A15" i="167"/>
  <c r="O14" i="167"/>
  <c r="A14" i="167"/>
  <c r="O13" i="167"/>
  <c r="A13" i="167"/>
  <c r="O12" i="167"/>
  <c r="A12" i="167"/>
  <c r="O11" i="167"/>
  <c r="A11" i="167"/>
  <c r="O10" i="167"/>
  <c r="A10" i="167"/>
  <c r="O9" i="167"/>
  <c r="A9" i="167"/>
  <c r="O8" i="167"/>
  <c r="A8" i="167"/>
  <c r="O7" i="167"/>
  <c r="A7" i="167"/>
  <c r="O6" i="167"/>
  <c r="A6" i="167"/>
  <c r="O5" i="167"/>
  <c r="A5" i="167"/>
  <c r="O4" i="167"/>
  <c r="A4" i="167"/>
  <c r="O3" i="167"/>
  <c r="A3" i="167"/>
  <c r="O2" i="167"/>
  <c r="A2" i="167"/>
  <c r="A2" i="164"/>
  <c r="P314" i="167"/>
  <c r="P317" i="167"/>
  <c r="P321" i="167"/>
  <c r="P328" i="167"/>
  <c r="P2" i="167"/>
  <c r="P3" i="167"/>
  <c r="P4" i="167"/>
  <c r="P5" i="167"/>
  <c r="P6" i="167"/>
  <c r="P7" i="167"/>
  <c r="P8" i="167"/>
  <c r="P9" i="167"/>
  <c r="P10" i="167"/>
  <c r="P11" i="167"/>
  <c r="P12" i="167"/>
  <c r="P13" i="167"/>
  <c r="P14" i="167"/>
  <c r="P15" i="167"/>
  <c r="P16" i="167"/>
  <c r="P17" i="167"/>
  <c r="P18" i="167"/>
  <c r="P19" i="167"/>
  <c r="P20" i="167"/>
  <c r="P21" i="167"/>
  <c r="P22" i="167"/>
  <c r="P23" i="167"/>
  <c r="P24" i="167"/>
  <c r="P25" i="167"/>
  <c r="P26" i="167"/>
  <c r="P27" i="167"/>
  <c r="P28" i="167"/>
  <c r="P29" i="167"/>
  <c r="P30" i="167"/>
  <c r="P31" i="167"/>
  <c r="P32" i="167"/>
  <c r="P33" i="167"/>
  <c r="P34" i="167"/>
  <c r="P35" i="167"/>
  <c r="P36" i="167"/>
  <c r="P37" i="167"/>
  <c r="P38" i="167"/>
  <c r="P39" i="167"/>
  <c r="P40" i="167"/>
  <c r="P41" i="167"/>
  <c r="P42" i="167"/>
  <c r="P43" i="167"/>
  <c r="P44" i="167"/>
  <c r="P45" i="167"/>
  <c r="P46" i="167"/>
  <c r="P47" i="167"/>
  <c r="P48" i="167"/>
  <c r="P49" i="167"/>
  <c r="P50" i="167"/>
  <c r="P51" i="167"/>
  <c r="P52" i="167"/>
  <c r="P53" i="167"/>
  <c r="P54" i="167"/>
  <c r="P55" i="167"/>
  <c r="P56" i="167"/>
  <c r="P57" i="167"/>
  <c r="P58" i="167"/>
  <c r="P59" i="167"/>
  <c r="P60" i="167"/>
  <c r="P61" i="167"/>
  <c r="P62" i="167"/>
  <c r="P63" i="167"/>
  <c r="P64" i="167"/>
  <c r="P65" i="167"/>
  <c r="P66" i="167"/>
  <c r="P67" i="167"/>
  <c r="P68" i="167"/>
  <c r="P69" i="167"/>
  <c r="P70" i="167"/>
  <c r="P71" i="167"/>
  <c r="P72" i="167"/>
  <c r="P73" i="167"/>
  <c r="P74" i="167"/>
  <c r="P75" i="167"/>
  <c r="P76" i="167"/>
  <c r="P77" i="167"/>
  <c r="P78" i="167"/>
  <c r="P79" i="167"/>
  <c r="P80" i="167"/>
  <c r="P81" i="167"/>
  <c r="P82" i="167"/>
  <c r="P83" i="167"/>
  <c r="P84" i="167"/>
  <c r="P85" i="167"/>
  <c r="P86" i="167"/>
  <c r="P87" i="167"/>
  <c r="P88" i="167"/>
  <c r="P89" i="167"/>
  <c r="P90" i="167"/>
  <c r="P91" i="167"/>
  <c r="P92" i="167"/>
  <c r="P93" i="167"/>
  <c r="P94" i="167"/>
  <c r="P95" i="167"/>
  <c r="P96" i="167"/>
  <c r="P97" i="167"/>
  <c r="P98" i="167"/>
  <c r="P99" i="167"/>
  <c r="P100" i="167"/>
  <c r="P101" i="167"/>
  <c r="P102" i="167"/>
  <c r="P103" i="167"/>
  <c r="P104" i="167"/>
  <c r="P105" i="167"/>
  <c r="P106" i="167"/>
  <c r="P107" i="167"/>
  <c r="P108" i="167"/>
  <c r="P109" i="167"/>
  <c r="P110" i="167"/>
  <c r="P111" i="167"/>
  <c r="P112" i="167"/>
  <c r="P113" i="167"/>
  <c r="P114" i="167"/>
  <c r="P115" i="167"/>
  <c r="P116" i="167"/>
  <c r="P117" i="167"/>
  <c r="P118" i="167"/>
  <c r="P119" i="167"/>
  <c r="P120" i="167"/>
  <c r="P121" i="167"/>
  <c r="P122" i="167"/>
  <c r="P123" i="167"/>
  <c r="P124" i="167"/>
  <c r="P125" i="167"/>
  <c r="P126" i="167"/>
  <c r="P127" i="167"/>
  <c r="P128" i="167"/>
  <c r="P129" i="167"/>
  <c r="P130" i="167"/>
  <c r="P131" i="167"/>
  <c r="P132" i="167"/>
  <c r="P133" i="167"/>
  <c r="P134" i="167"/>
  <c r="P135" i="167"/>
  <c r="P136" i="167"/>
  <c r="P137" i="167"/>
  <c r="P138" i="167"/>
  <c r="P139" i="167"/>
  <c r="P140" i="167"/>
  <c r="P141" i="167"/>
  <c r="P142" i="167"/>
  <c r="P143" i="167"/>
  <c r="P144" i="167"/>
  <c r="P145" i="167"/>
  <c r="P146" i="167"/>
  <c r="P147" i="167"/>
  <c r="P148" i="167"/>
  <c r="P149" i="167"/>
  <c r="P150" i="167"/>
  <c r="P151" i="167"/>
  <c r="P152" i="167"/>
  <c r="P153" i="167"/>
  <c r="P154" i="167"/>
  <c r="P155" i="167"/>
  <c r="P156" i="167"/>
  <c r="P157" i="167"/>
  <c r="P158" i="167"/>
  <c r="P159" i="167"/>
  <c r="P160" i="167"/>
  <c r="P161" i="167"/>
  <c r="P162" i="167"/>
  <c r="P163" i="167"/>
  <c r="P164" i="167"/>
  <c r="P165" i="167"/>
  <c r="P166" i="167"/>
  <c r="P167" i="167"/>
  <c r="P168" i="167"/>
  <c r="P169" i="167"/>
  <c r="P170" i="167"/>
  <c r="P171" i="167"/>
  <c r="P172" i="167"/>
  <c r="P173" i="167"/>
  <c r="P174" i="167"/>
  <c r="P175" i="167"/>
  <c r="P176" i="167"/>
  <c r="P177" i="167"/>
  <c r="P178" i="167"/>
  <c r="P179" i="167"/>
  <c r="P180" i="167"/>
  <c r="P181" i="167"/>
  <c r="P182" i="167"/>
  <c r="P183" i="167"/>
  <c r="P184" i="167"/>
  <c r="P185" i="167"/>
  <c r="P186" i="167"/>
  <c r="P187" i="167"/>
  <c r="P188" i="167"/>
  <c r="P189" i="167"/>
  <c r="P190" i="167"/>
  <c r="P191" i="167"/>
  <c r="P192" i="167"/>
  <c r="P193" i="167"/>
  <c r="P194" i="167"/>
  <c r="P195" i="167"/>
  <c r="P196" i="167"/>
  <c r="P197" i="167"/>
  <c r="P198" i="167"/>
  <c r="P199" i="167"/>
  <c r="P200" i="167"/>
  <c r="P201" i="167"/>
  <c r="P202" i="167"/>
  <c r="P203" i="167"/>
  <c r="P204" i="167"/>
  <c r="P205" i="167"/>
  <c r="P206" i="167"/>
  <c r="P207" i="167"/>
  <c r="P208" i="167"/>
  <c r="P209" i="167"/>
  <c r="P210" i="167"/>
  <c r="P211" i="167"/>
  <c r="P212" i="167"/>
  <c r="P213" i="167"/>
  <c r="P214" i="167"/>
  <c r="P215" i="167"/>
  <c r="P216" i="167"/>
  <c r="P217" i="167"/>
  <c r="P218" i="167"/>
  <c r="P219" i="167"/>
  <c r="P220" i="167"/>
  <c r="P221" i="167"/>
  <c r="P222" i="167"/>
  <c r="P223" i="167"/>
  <c r="P224" i="167"/>
  <c r="P225" i="167"/>
  <c r="P226" i="167"/>
  <c r="P227" i="167"/>
  <c r="P228" i="167"/>
  <c r="P229" i="167"/>
  <c r="P230" i="167"/>
  <c r="P231" i="167"/>
  <c r="P232" i="167"/>
  <c r="P233" i="167"/>
  <c r="P234" i="167"/>
  <c r="P235" i="167"/>
  <c r="P236" i="167"/>
  <c r="P237" i="167"/>
  <c r="P238" i="167"/>
  <c r="P239" i="167"/>
  <c r="P240" i="167"/>
  <c r="P241" i="167"/>
  <c r="P242" i="167"/>
  <c r="P243" i="167"/>
  <c r="P244" i="167"/>
  <c r="P245" i="167"/>
  <c r="P246" i="167"/>
  <c r="P247" i="167"/>
  <c r="P248" i="167"/>
  <c r="P249" i="167"/>
  <c r="P250" i="167"/>
  <c r="P251" i="167"/>
  <c r="P252" i="167"/>
  <c r="P253" i="167"/>
  <c r="P254" i="167"/>
  <c r="P255" i="167"/>
  <c r="P256" i="167"/>
  <c r="P257" i="167"/>
  <c r="P258" i="167"/>
  <c r="P259" i="167"/>
  <c r="P260" i="167"/>
  <c r="P261" i="167"/>
  <c r="P262" i="167"/>
  <c r="P263" i="167"/>
  <c r="P264" i="167"/>
  <c r="P265" i="167"/>
  <c r="P266" i="167"/>
  <c r="P267" i="167"/>
  <c r="P268" i="167"/>
  <c r="P269" i="167"/>
  <c r="P270" i="167"/>
  <c r="P271" i="167"/>
  <c r="P272" i="167"/>
  <c r="P273" i="167"/>
  <c r="P274" i="167"/>
  <c r="P275" i="167"/>
  <c r="P276" i="167"/>
  <c r="P277" i="167"/>
  <c r="P278" i="167"/>
  <c r="P279" i="167"/>
  <c r="P280" i="167"/>
  <c r="P281" i="167"/>
  <c r="P282" i="167"/>
  <c r="P283" i="167"/>
  <c r="P284" i="167"/>
  <c r="P285" i="167"/>
  <c r="P286" i="167"/>
  <c r="P287" i="167"/>
  <c r="P288" i="167"/>
  <c r="P289" i="167"/>
  <c r="P290" i="167"/>
  <c r="P291" i="167"/>
  <c r="P292" i="167"/>
  <c r="P293" i="167"/>
  <c r="P294" i="167"/>
  <c r="P295" i="167"/>
  <c r="P296" i="167"/>
  <c r="P297" i="167"/>
  <c r="P298" i="167"/>
  <c r="P299" i="167"/>
  <c r="P300" i="167"/>
  <c r="P301" i="167"/>
  <c r="P302" i="167"/>
  <c r="P303" i="167"/>
  <c r="P304" i="167"/>
  <c r="P305" i="167"/>
  <c r="P306" i="167"/>
  <c r="P307" i="167"/>
  <c r="P308" i="167"/>
  <c r="P309" i="167"/>
  <c r="P310" i="167"/>
  <c r="P311" i="167"/>
  <c r="P312" i="167"/>
  <c r="P313" i="167"/>
  <c r="P315" i="167"/>
  <c r="P316" i="167"/>
  <c r="P318" i="167"/>
  <c r="P319" i="167"/>
  <c r="P320" i="167"/>
  <c r="P322" i="167"/>
  <c r="P323" i="167"/>
  <c r="P324" i="167"/>
  <c r="P325" i="167"/>
  <c r="P326" i="167"/>
  <c r="P327" i="167"/>
  <c r="P329" i="167"/>
  <c r="P330" i="167"/>
  <c r="P331" i="167"/>
  <c r="P332" i="167"/>
  <c r="P333" i="167"/>
  <c r="P334" i="167"/>
  <c r="P335" i="167"/>
  <c r="P336" i="167"/>
  <c r="P337" i="167"/>
  <c r="P338" i="167"/>
  <c r="P339" i="167"/>
  <c r="P340" i="167"/>
  <c r="P341" i="167"/>
  <c r="P342" i="167"/>
  <c r="P343" i="167"/>
  <c r="P344" i="167"/>
  <c r="P345" i="167"/>
  <c r="P346" i="167"/>
  <c r="F49" i="166"/>
  <c r="F48" i="166"/>
  <c r="F47" i="166"/>
  <c r="F46" i="166"/>
  <c r="B46" i="166"/>
  <c r="F45" i="166"/>
  <c r="B45" i="166"/>
  <c r="B44" i="166"/>
  <c r="B43" i="166"/>
  <c r="F42" i="166"/>
  <c r="B42" i="166"/>
  <c r="F41" i="166"/>
  <c r="B41" i="166"/>
  <c r="F40" i="166"/>
  <c r="B40" i="166"/>
  <c r="E31" i="166"/>
  <c r="E30" i="166"/>
  <c r="I314" i="165"/>
  <c r="D314" i="165"/>
  <c r="J314" i="165"/>
  <c r="E314" i="165"/>
  <c r="C314" i="165"/>
  <c r="I2" i="165"/>
  <c r="J2" i="165"/>
  <c r="D2" i="165"/>
  <c r="E2" i="165"/>
  <c r="C2" i="165"/>
  <c r="I3" i="165"/>
  <c r="J3" i="165"/>
  <c r="D3" i="165"/>
  <c r="E3" i="165"/>
  <c r="C3" i="165"/>
  <c r="I4" i="165"/>
  <c r="J4" i="165"/>
  <c r="D4" i="165"/>
  <c r="E4" i="165"/>
  <c r="C4" i="165"/>
  <c r="I5" i="165"/>
  <c r="J5" i="165"/>
  <c r="D5" i="165"/>
  <c r="E5" i="165"/>
  <c r="C5" i="165"/>
  <c r="I6" i="165"/>
  <c r="J6" i="165"/>
  <c r="D6" i="165"/>
  <c r="E6" i="165"/>
  <c r="C6" i="165"/>
  <c r="I7" i="165"/>
  <c r="J7" i="165"/>
  <c r="D7" i="165"/>
  <c r="E7" i="165"/>
  <c r="C7" i="165"/>
  <c r="I8" i="165"/>
  <c r="J8" i="165"/>
  <c r="D8" i="165"/>
  <c r="E8" i="165"/>
  <c r="C8" i="165"/>
  <c r="I9" i="165"/>
  <c r="J9" i="165"/>
  <c r="D9" i="165"/>
  <c r="E9" i="165"/>
  <c r="C9" i="165"/>
  <c r="I10" i="165"/>
  <c r="J10" i="165"/>
  <c r="D10" i="165"/>
  <c r="E10" i="165"/>
  <c r="C10" i="165"/>
  <c r="I11" i="165"/>
  <c r="J11" i="165"/>
  <c r="D11" i="165"/>
  <c r="E11" i="165"/>
  <c r="C11" i="165"/>
  <c r="I12" i="165"/>
  <c r="J12" i="165"/>
  <c r="D12" i="165"/>
  <c r="E12" i="165"/>
  <c r="C12" i="165"/>
  <c r="I13" i="165"/>
  <c r="J13" i="165"/>
  <c r="D13" i="165"/>
  <c r="E13" i="165"/>
  <c r="C13" i="165"/>
  <c r="I14" i="165"/>
  <c r="J14" i="165"/>
  <c r="D14" i="165"/>
  <c r="E14" i="165"/>
  <c r="C14" i="165"/>
  <c r="I15" i="165"/>
  <c r="J15" i="165"/>
  <c r="D15" i="165"/>
  <c r="E15" i="165"/>
  <c r="C15" i="165"/>
  <c r="I16" i="165"/>
  <c r="J16" i="165"/>
  <c r="D16" i="165"/>
  <c r="E16" i="165"/>
  <c r="C16" i="165"/>
  <c r="I17" i="165"/>
  <c r="J17" i="165"/>
  <c r="D17" i="165"/>
  <c r="E17" i="165"/>
  <c r="C17" i="165"/>
  <c r="I18" i="165"/>
  <c r="J18" i="165"/>
  <c r="D18" i="165"/>
  <c r="E18" i="165"/>
  <c r="C18" i="165"/>
  <c r="I19" i="165"/>
  <c r="J19" i="165"/>
  <c r="D19" i="165"/>
  <c r="E19" i="165"/>
  <c r="C19" i="165"/>
  <c r="I20" i="165"/>
  <c r="J20" i="165"/>
  <c r="D20" i="165"/>
  <c r="E20" i="165"/>
  <c r="C20" i="165"/>
  <c r="I21" i="165"/>
  <c r="J21" i="165"/>
  <c r="D21" i="165"/>
  <c r="E21" i="165"/>
  <c r="C21" i="165"/>
  <c r="I22" i="165"/>
  <c r="J22" i="165"/>
  <c r="D22" i="165"/>
  <c r="E22" i="165"/>
  <c r="C22" i="165"/>
  <c r="I23" i="165"/>
  <c r="J23" i="165"/>
  <c r="D23" i="165"/>
  <c r="E23" i="165"/>
  <c r="C23" i="165"/>
  <c r="I24" i="165"/>
  <c r="J24" i="165"/>
  <c r="D24" i="165"/>
  <c r="E24" i="165"/>
  <c r="C24" i="165"/>
  <c r="I25" i="165"/>
  <c r="J25" i="165"/>
  <c r="D25" i="165"/>
  <c r="E25" i="165"/>
  <c r="C25" i="165"/>
  <c r="I26" i="165"/>
  <c r="J26" i="165"/>
  <c r="D26" i="165"/>
  <c r="E26" i="165"/>
  <c r="C26" i="165"/>
  <c r="I27" i="165"/>
  <c r="J27" i="165"/>
  <c r="D27" i="165"/>
  <c r="E27" i="165"/>
  <c r="C27" i="165"/>
  <c r="I28" i="165"/>
  <c r="J28" i="165"/>
  <c r="D28" i="165"/>
  <c r="E28" i="165"/>
  <c r="C28" i="165"/>
  <c r="I29" i="165"/>
  <c r="J29" i="165"/>
  <c r="D29" i="165"/>
  <c r="E29" i="165"/>
  <c r="C29" i="165"/>
  <c r="I30" i="165"/>
  <c r="J30" i="165"/>
  <c r="D30" i="165"/>
  <c r="E30" i="165"/>
  <c r="C30" i="165"/>
  <c r="I31" i="165"/>
  <c r="J31" i="165"/>
  <c r="D31" i="165"/>
  <c r="E31" i="165"/>
  <c r="C31" i="165"/>
  <c r="I32" i="165"/>
  <c r="J32" i="165"/>
  <c r="D32" i="165"/>
  <c r="E32" i="165"/>
  <c r="C32" i="165"/>
  <c r="I33" i="165"/>
  <c r="J33" i="165"/>
  <c r="D33" i="165"/>
  <c r="E33" i="165"/>
  <c r="C33" i="165"/>
  <c r="I34" i="165"/>
  <c r="J34" i="165"/>
  <c r="D34" i="165"/>
  <c r="E34" i="165"/>
  <c r="C34" i="165"/>
  <c r="I35" i="165"/>
  <c r="J35" i="165"/>
  <c r="D35" i="165"/>
  <c r="E35" i="165"/>
  <c r="C35" i="165"/>
  <c r="I36" i="165"/>
  <c r="J36" i="165"/>
  <c r="D36" i="165"/>
  <c r="E36" i="165"/>
  <c r="C36" i="165"/>
  <c r="I37" i="165"/>
  <c r="J37" i="165"/>
  <c r="D37" i="165"/>
  <c r="E37" i="165"/>
  <c r="C37" i="165"/>
  <c r="I38" i="165"/>
  <c r="J38" i="165"/>
  <c r="D38" i="165"/>
  <c r="E38" i="165"/>
  <c r="C38" i="165"/>
  <c r="I39" i="165"/>
  <c r="J39" i="165"/>
  <c r="D39" i="165"/>
  <c r="E39" i="165"/>
  <c r="C39" i="165"/>
  <c r="I40" i="165"/>
  <c r="J40" i="165"/>
  <c r="D40" i="165"/>
  <c r="E40" i="165"/>
  <c r="C40" i="165"/>
  <c r="I41" i="165"/>
  <c r="J41" i="165"/>
  <c r="D41" i="165"/>
  <c r="E41" i="165"/>
  <c r="C41" i="165"/>
  <c r="I42" i="165"/>
  <c r="D42" i="165"/>
  <c r="J42" i="165"/>
  <c r="E42" i="165"/>
  <c r="C42" i="165"/>
  <c r="I43" i="165"/>
  <c r="D43" i="165"/>
  <c r="J43" i="165"/>
  <c r="E43" i="165"/>
  <c r="C43" i="165"/>
  <c r="I44" i="165"/>
  <c r="D44" i="165"/>
  <c r="J44" i="165"/>
  <c r="E44" i="165"/>
  <c r="C44" i="165"/>
  <c r="I45" i="165"/>
  <c r="D45" i="165"/>
  <c r="J45" i="165"/>
  <c r="E45" i="165"/>
  <c r="C45" i="165"/>
  <c r="I46" i="165"/>
  <c r="D46" i="165"/>
  <c r="J46" i="165"/>
  <c r="E46" i="165"/>
  <c r="C46" i="165"/>
  <c r="I47" i="165"/>
  <c r="D47" i="165"/>
  <c r="J47" i="165"/>
  <c r="E47" i="165"/>
  <c r="C47" i="165"/>
  <c r="I48" i="165"/>
  <c r="D48" i="165"/>
  <c r="J48" i="165"/>
  <c r="E48" i="165"/>
  <c r="C48" i="165"/>
  <c r="I49" i="165"/>
  <c r="D49" i="165"/>
  <c r="J49" i="165"/>
  <c r="E49" i="165"/>
  <c r="C49" i="165"/>
  <c r="I50" i="165"/>
  <c r="D50" i="165"/>
  <c r="J50" i="165"/>
  <c r="E50" i="165"/>
  <c r="C50" i="165"/>
  <c r="I51" i="165"/>
  <c r="D51" i="165"/>
  <c r="J51" i="165"/>
  <c r="E51" i="165"/>
  <c r="C51" i="165"/>
  <c r="I52" i="165"/>
  <c r="D52" i="165"/>
  <c r="J52" i="165"/>
  <c r="E52" i="165"/>
  <c r="C52" i="165"/>
  <c r="I53" i="165"/>
  <c r="D53" i="165"/>
  <c r="J53" i="165"/>
  <c r="E53" i="165"/>
  <c r="C53" i="165"/>
  <c r="I54" i="165"/>
  <c r="D54" i="165"/>
  <c r="J54" i="165"/>
  <c r="E54" i="165"/>
  <c r="C54" i="165"/>
  <c r="I55" i="165"/>
  <c r="D55" i="165"/>
  <c r="J55" i="165"/>
  <c r="E55" i="165"/>
  <c r="C55" i="165"/>
  <c r="I56" i="165"/>
  <c r="D56" i="165"/>
  <c r="J56" i="165"/>
  <c r="E56" i="165"/>
  <c r="C56" i="165"/>
  <c r="I57" i="165"/>
  <c r="D57" i="165"/>
  <c r="J57" i="165"/>
  <c r="E57" i="165"/>
  <c r="C57" i="165"/>
  <c r="I58" i="165"/>
  <c r="D58" i="165"/>
  <c r="J58" i="165"/>
  <c r="E58" i="165"/>
  <c r="C58" i="165"/>
  <c r="I59" i="165"/>
  <c r="D59" i="165"/>
  <c r="J59" i="165"/>
  <c r="E59" i="165"/>
  <c r="C59" i="165"/>
  <c r="I60" i="165"/>
  <c r="D60" i="165"/>
  <c r="J60" i="165"/>
  <c r="E60" i="165"/>
  <c r="C60" i="165"/>
  <c r="I61" i="165"/>
  <c r="D61" i="165"/>
  <c r="J61" i="165"/>
  <c r="E61" i="165"/>
  <c r="C61" i="165"/>
  <c r="I62" i="165"/>
  <c r="D62" i="165"/>
  <c r="J62" i="165"/>
  <c r="E62" i="165"/>
  <c r="C62" i="165"/>
  <c r="I63" i="165"/>
  <c r="D63" i="165"/>
  <c r="J63" i="165"/>
  <c r="E63" i="165"/>
  <c r="C63" i="165"/>
  <c r="I64" i="165"/>
  <c r="D64" i="165"/>
  <c r="J64" i="165"/>
  <c r="E64" i="165"/>
  <c r="C64" i="165"/>
  <c r="I65" i="165"/>
  <c r="D65" i="165"/>
  <c r="J65" i="165"/>
  <c r="E65" i="165"/>
  <c r="C65" i="165"/>
  <c r="I66" i="165"/>
  <c r="D66" i="165"/>
  <c r="J66" i="165"/>
  <c r="E66" i="165"/>
  <c r="C66" i="165"/>
  <c r="I67" i="165"/>
  <c r="D67" i="165"/>
  <c r="J67" i="165"/>
  <c r="E67" i="165"/>
  <c r="C67" i="165"/>
  <c r="I68" i="165"/>
  <c r="D68" i="165"/>
  <c r="J68" i="165"/>
  <c r="E68" i="165"/>
  <c r="C68" i="165"/>
  <c r="I69" i="165"/>
  <c r="D69" i="165"/>
  <c r="J69" i="165"/>
  <c r="E69" i="165"/>
  <c r="C69" i="165"/>
  <c r="I70" i="165"/>
  <c r="D70" i="165"/>
  <c r="J70" i="165"/>
  <c r="E70" i="165"/>
  <c r="C70" i="165"/>
  <c r="I71" i="165"/>
  <c r="D71" i="165"/>
  <c r="J71" i="165"/>
  <c r="E71" i="165"/>
  <c r="C71" i="165"/>
  <c r="I72" i="165"/>
  <c r="D72" i="165"/>
  <c r="J72" i="165"/>
  <c r="E72" i="165"/>
  <c r="C72" i="165"/>
  <c r="I73" i="165"/>
  <c r="D73" i="165"/>
  <c r="J73" i="165"/>
  <c r="E73" i="165"/>
  <c r="C73" i="165"/>
  <c r="I74" i="165"/>
  <c r="D74" i="165"/>
  <c r="J74" i="165"/>
  <c r="E74" i="165"/>
  <c r="C74" i="165"/>
  <c r="I75" i="165"/>
  <c r="D75" i="165"/>
  <c r="J75" i="165"/>
  <c r="E75" i="165"/>
  <c r="C75" i="165"/>
  <c r="I76" i="165"/>
  <c r="D76" i="165"/>
  <c r="J76" i="165"/>
  <c r="E76" i="165"/>
  <c r="C76" i="165"/>
  <c r="I77" i="165"/>
  <c r="D77" i="165"/>
  <c r="J77" i="165"/>
  <c r="E77" i="165"/>
  <c r="C77" i="165"/>
  <c r="I78" i="165"/>
  <c r="D78" i="165"/>
  <c r="J78" i="165"/>
  <c r="E78" i="165"/>
  <c r="C78" i="165"/>
  <c r="I79" i="165"/>
  <c r="D79" i="165"/>
  <c r="J79" i="165"/>
  <c r="E79" i="165"/>
  <c r="C79" i="165"/>
  <c r="I80" i="165"/>
  <c r="D80" i="165"/>
  <c r="J80" i="165"/>
  <c r="E80" i="165"/>
  <c r="C80" i="165"/>
  <c r="I81" i="165"/>
  <c r="D81" i="165"/>
  <c r="J81" i="165"/>
  <c r="E81" i="165"/>
  <c r="C81" i="165"/>
  <c r="I82" i="165"/>
  <c r="D82" i="165"/>
  <c r="J82" i="165"/>
  <c r="E82" i="165"/>
  <c r="C82" i="165"/>
  <c r="I83" i="165"/>
  <c r="D83" i="165"/>
  <c r="J83" i="165"/>
  <c r="E83" i="165"/>
  <c r="C83" i="165"/>
  <c r="I84" i="165"/>
  <c r="D84" i="165"/>
  <c r="J84" i="165"/>
  <c r="E84" i="165"/>
  <c r="C84" i="165"/>
  <c r="I85" i="165"/>
  <c r="D85" i="165"/>
  <c r="J85" i="165"/>
  <c r="E85" i="165"/>
  <c r="C85" i="165"/>
  <c r="I86" i="165"/>
  <c r="D86" i="165"/>
  <c r="J86" i="165"/>
  <c r="E86" i="165"/>
  <c r="C86" i="165"/>
  <c r="I87" i="165"/>
  <c r="D87" i="165"/>
  <c r="J87" i="165"/>
  <c r="E87" i="165"/>
  <c r="C87" i="165"/>
  <c r="I88" i="165"/>
  <c r="D88" i="165"/>
  <c r="J88" i="165"/>
  <c r="E88" i="165"/>
  <c r="C88" i="165"/>
  <c r="I89" i="165"/>
  <c r="D89" i="165"/>
  <c r="J89" i="165"/>
  <c r="E89" i="165"/>
  <c r="C89" i="165"/>
  <c r="I90" i="165"/>
  <c r="D90" i="165"/>
  <c r="J90" i="165"/>
  <c r="E90" i="165"/>
  <c r="C90" i="165"/>
  <c r="I91" i="165"/>
  <c r="D91" i="165"/>
  <c r="J91" i="165"/>
  <c r="E91" i="165"/>
  <c r="C91" i="165"/>
  <c r="I92" i="165"/>
  <c r="D92" i="165"/>
  <c r="J92" i="165"/>
  <c r="E92" i="165"/>
  <c r="C92" i="165"/>
  <c r="I93" i="165"/>
  <c r="D93" i="165"/>
  <c r="J93" i="165"/>
  <c r="E93" i="165"/>
  <c r="C93" i="165"/>
  <c r="I94" i="165"/>
  <c r="D94" i="165"/>
  <c r="J94" i="165"/>
  <c r="E94" i="165"/>
  <c r="C94" i="165"/>
  <c r="I95" i="165"/>
  <c r="D95" i="165"/>
  <c r="J95" i="165"/>
  <c r="E95" i="165"/>
  <c r="C95" i="165"/>
  <c r="I96" i="165"/>
  <c r="D96" i="165"/>
  <c r="J96" i="165"/>
  <c r="E96" i="165"/>
  <c r="C96" i="165"/>
  <c r="I97" i="165"/>
  <c r="D97" i="165"/>
  <c r="J97" i="165"/>
  <c r="E97" i="165"/>
  <c r="C97" i="165"/>
  <c r="I98" i="165"/>
  <c r="D98" i="165"/>
  <c r="J98" i="165"/>
  <c r="E98" i="165"/>
  <c r="C98" i="165"/>
  <c r="I99" i="165"/>
  <c r="D99" i="165"/>
  <c r="J99" i="165"/>
  <c r="E99" i="165"/>
  <c r="C99" i="165"/>
  <c r="I100" i="165"/>
  <c r="D100" i="165"/>
  <c r="J100" i="165"/>
  <c r="E100" i="165"/>
  <c r="C100" i="165"/>
  <c r="I101" i="165"/>
  <c r="D101" i="165"/>
  <c r="J101" i="165"/>
  <c r="E101" i="165"/>
  <c r="C101" i="165"/>
  <c r="I102" i="165"/>
  <c r="D102" i="165"/>
  <c r="J102" i="165"/>
  <c r="E102" i="165"/>
  <c r="C102" i="165"/>
  <c r="I103" i="165"/>
  <c r="D103" i="165"/>
  <c r="J103" i="165"/>
  <c r="E103" i="165"/>
  <c r="C103" i="165"/>
  <c r="I104" i="165"/>
  <c r="D104" i="165"/>
  <c r="J104" i="165"/>
  <c r="E104" i="165"/>
  <c r="C104" i="165"/>
  <c r="I105" i="165"/>
  <c r="D105" i="165"/>
  <c r="J105" i="165"/>
  <c r="E105" i="165"/>
  <c r="C105" i="165"/>
  <c r="I106" i="165"/>
  <c r="D106" i="165"/>
  <c r="J106" i="165"/>
  <c r="E106" i="165"/>
  <c r="C106" i="165"/>
  <c r="I107" i="165"/>
  <c r="D107" i="165"/>
  <c r="J107" i="165"/>
  <c r="E107" i="165"/>
  <c r="C107" i="165"/>
  <c r="I108" i="165"/>
  <c r="D108" i="165"/>
  <c r="J108" i="165"/>
  <c r="E108" i="165"/>
  <c r="C108" i="165"/>
  <c r="I109" i="165"/>
  <c r="D109" i="165"/>
  <c r="J109" i="165"/>
  <c r="E109" i="165"/>
  <c r="C109" i="165"/>
  <c r="I110" i="165"/>
  <c r="D110" i="165"/>
  <c r="J110" i="165"/>
  <c r="E110" i="165"/>
  <c r="C110" i="165"/>
  <c r="I111" i="165"/>
  <c r="D111" i="165"/>
  <c r="J111" i="165"/>
  <c r="E111" i="165"/>
  <c r="C111" i="165"/>
  <c r="I112" i="165"/>
  <c r="D112" i="165"/>
  <c r="J112" i="165"/>
  <c r="E112" i="165"/>
  <c r="C112" i="165"/>
  <c r="I113" i="165"/>
  <c r="D113" i="165"/>
  <c r="J113" i="165"/>
  <c r="E113" i="165"/>
  <c r="C113" i="165"/>
  <c r="I114" i="165"/>
  <c r="D114" i="165"/>
  <c r="J114" i="165"/>
  <c r="E114" i="165"/>
  <c r="C114" i="165"/>
  <c r="I115" i="165"/>
  <c r="D115" i="165"/>
  <c r="J115" i="165"/>
  <c r="E115" i="165"/>
  <c r="C115" i="165"/>
  <c r="I116" i="165"/>
  <c r="D116" i="165"/>
  <c r="J116" i="165"/>
  <c r="E116" i="165"/>
  <c r="C116" i="165"/>
  <c r="I117" i="165"/>
  <c r="D117" i="165"/>
  <c r="J117" i="165"/>
  <c r="E117" i="165"/>
  <c r="C117" i="165"/>
  <c r="I118" i="165"/>
  <c r="D118" i="165"/>
  <c r="J118" i="165"/>
  <c r="E118" i="165"/>
  <c r="C118" i="165"/>
  <c r="I119" i="165"/>
  <c r="D119" i="165"/>
  <c r="J119" i="165"/>
  <c r="E119" i="165"/>
  <c r="C119" i="165"/>
  <c r="I120" i="165"/>
  <c r="D120" i="165"/>
  <c r="J120" i="165"/>
  <c r="E120" i="165"/>
  <c r="C120" i="165"/>
  <c r="I121" i="165"/>
  <c r="D121" i="165"/>
  <c r="J121" i="165"/>
  <c r="E121" i="165"/>
  <c r="C121" i="165"/>
  <c r="I122" i="165"/>
  <c r="D122" i="165"/>
  <c r="J122" i="165"/>
  <c r="E122" i="165"/>
  <c r="C122" i="165"/>
  <c r="I123" i="165"/>
  <c r="D123" i="165"/>
  <c r="J123" i="165"/>
  <c r="E123" i="165"/>
  <c r="C123" i="165"/>
  <c r="I124" i="165"/>
  <c r="D124" i="165"/>
  <c r="J124" i="165"/>
  <c r="E124" i="165"/>
  <c r="C124" i="165"/>
  <c r="I125" i="165"/>
  <c r="D125" i="165"/>
  <c r="J125" i="165"/>
  <c r="E125" i="165"/>
  <c r="C125" i="165"/>
  <c r="I126" i="165"/>
  <c r="D126" i="165"/>
  <c r="J126" i="165"/>
  <c r="E126" i="165"/>
  <c r="C126" i="165"/>
  <c r="I127" i="165"/>
  <c r="D127" i="165"/>
  <c r="J127" i="165"/>
  <c r="E127" i="165"/>
  <c r="C127" i="165"/>
  <c r="I128" i="165"/>
  <c r="D128" i="165"/>
  <c r="J128" i="165"/>
  <c r="E128" i="165"/>
  <c r="C128" i="165"/>
  <c r="I129" i="165"/>
  <c r="D129" i="165"/>
  <c r="J129" i="165"/>
  <c r="E129" i="165"/>
  <c r="C129" i="165"/>
  <c r="I130" i="165"/>
  <c r="D130" i="165"/>
  <c r="J130" i="165"/>
  <c r="E130" i="165"/>
  <c r="C130" i="165"/>
  <c r="I131" i="165"/>
  <c r="D131" i="165"/>
  <c r="J131" i="165"/>
  <c r="E131" i="165"/>
  <c r="C131" i="165"/>
  <c r="I132" i="165"/>
  <c r="D132" i="165"/>
  <c r="J132" i="165"/>
  <c r="E132" i="165"/>
  <c r="C132" i="165"/>
  <c r="I133" i="165"/>
  <c r="D133" i="165"/>
  <c r="J133" i="165"/>
  <c r="E133" i="165"/>
  <c r="C133" i="165"/>
  <c r="I134" i="165"/>
  <c r="D134" i="165"/>
  <c r="J134" i="165"/>
  <c r="E134" i="165"/>
  <c r="C134" i="165"/>
  <c r="I135" i="165"/>
  <c r="D135" i="165"/>
  <c r="J135" i="165"/>
  <c r="E135" i="165"/>
  <c r="C135" i="165"/>
  <c r="I136" i="165"/>
  <c r="D136" i="165"/>
  <c r="J136" i="165"/>
  <c r="E136" i="165"/>
  <c r="C136" i="165"/>
  <c r="I137" i="165"/>
  <c r="D137" i="165"/>
  <c r="J137" i="165"/>
  <c r="E137" i="165"/>
  <c r="C137" i="165"/>
  <c r="I138" i="165"/>
  <c r="D138" i="165"/>
  <c r="J138" i="165"/>
  <c r="E138" i="165"/>
  <c r="C138" i="165"/>
  <c r="I139" i="165"/>
  <c r="D139" i="165"/>
  <c r="J139" i="165"/>
  <c r="E139" i="165"/>
  <c r="C139" i="165"/>
  <c r="I140" i="165"/>
  <c r="D140" i="165"/>
  <c r="J140" i="165"/>
  <c r="E140" i="165"/>
  <c r="C140" i="165"/>
  <c r="I141" i="165"/>
  <c r="D141" i="165"/>
  <c r="J141" i="165"/>
  <c r="E141" i="165"/>
  <c r="C141" i="165"/>
  <c r="I142" i="165"/>
  <c r="D142" i="165"/>
  <c r="J142" i="165"/>
  <c r="E142" i="165"/>
  <c r="C142" i="165"/>
  <c r="I143" i="165"/>
  <c r="D143" i="165"/>
  <c r="J143" i="165"/>
  <c r="E143" i="165"/>
  <c r="C143" i="165"/>
  <c r="I144" i="165"/>
  <c r="D144" i="165"/>
  <c r="J144" i="165"/>
  <c r="E144" i="165"/>
  <c r="C144" i="165"/>
  <c r="I145" i="165"/>
  <c r="D145" i="165"/>
  <c r="J145" i="165"/>
  <c r="E145" i="165"/>
  <c r="C145" i="165"/>
  <c r="I146" i="165"/>
  <c r="D146" i="165"/>
  <c r="J146" i="165"/>
  <c r="E146" i="165"/>
  <c r="C146" i="165"/>
  <c r="I147" i="165"/>
  <c r="D147" i="165"/>
  <c r="J147" i="165"/>
  <c r="E147" i="165"/>
  <c r="C147" i="165"/>
  <c r="I148" i="165"/>
  <c r="D148" i="165"/>
  <c r="J148" i="165"/>
  <c r="E148" i="165"/>
  <c r="C148" i="165"/>
  <c r="I149" i="165"/>
  <c r="D149" i="165"/>
  <c r="J149" i="165"/>
  <c r="E149" i="165"/>
  <c r="C149" i="165"/>
  <c r="I150" i="165"/>
  <c r="D150" i="165"/>
  <c r="J150" i="165"/>
  <c r="E150" i="165"/>
  <c r="C150" i="165"/>
  <c r="I151" i="165"/>
  <c r="D151" i="165"/>
  <c r="J151" i="165"/>
  <c r="E151" i="165"/>
  <c r="C151" i="165"/>
  <c r="I152" i="165"/>
  <c r="D152" i="165"/>
  <c r="J152" i="165"/>
  <c r="E152" i="165"/>
  <c r="C152" i="165"/>
  <c r="I153" i="165"/>
  <c r="D153" i="165"/>
  <c r="J153" i="165"/>
  <c r="E153" i="165"/>
  <c r="C153" i="165"/>
  <c r="I154" i="165"/>
  <c r="D154" i="165"/>
  <c r="J154" i="165"/>
  <c r="E154" i="165"/>
  <c r="C154" i="165"/>
  <c r="I155" i="165"/>
  <c r="D155" i="165"/>
  <c r="J155" i="165"/>
  <c r="E155" i="165"/>
  <c r="C155" i="165"/>
  <c r="I156" i="165"/>
  <c r="D156" i="165"/>
  <c r="J156" i="165"/>
  <c r="E156" i="165"/>
  <c r="C156" i="165"/>
  <c r="I157" i="165"/>
  <c r="D157" i="165"/>
  <c r="J157" i="165"/>
  <c r="E157" i="165"/>
  <c r="C157" i="165"/>
  <c r="I158" i="165"/>
  <c r="D158" i="165"/>
  <c r="J158" i="165"/>
  <c r="E158" i="165"/>
  <c r="C158" i="165"/>
  <c r="I159" i="165"/>
  <c r="D159" i="165"/>
  <c r="J159" i="165"/>
  <c r="E159" i="165"/>
  <c r="C159" i="165"/>
  <c r="I160" i="165"/>
  <c r="D160" i="165"/>
  <c r="J160" i="165"/>
  <c r="E160" i="165"/>
  <c r="C160" i="165"/>
  <c r="I161" i="165"/>
  <c r="D161" i="165"/>
  <c r="J161" i="165"/>
  <c r="E161" i="165"/>
  <c r="C161" i="165"/>
  <c r="I162" i="165"/>
  <c r="D162" i="165"/>
  <c r="J162" i="165"/>
  <c r="E162" i="165"/>
  <c r="C162" i="165"/>
  <c r="I163" i="165"/>
  <c r="D163" i="165"/>
  <c r="J163" i="165"/>
  <c r="E163" i="165"/>
  <c r="C163" i="165"/>
  <c r="I164" i="165"/>
  <c r="D164" i="165"/>
  <c r="J164" i="165"/>
  <c r="E164" i="165"/>
  <c r="C164" i="165"/>
  <c r="I165" i="165"/>
  <c r="D165" i="165"/>
  <c r="J165" i="165"/>
  <c r="E165" i="165"/>
  <c r="C165" i="165"/>
  <c r="I166" i="165"/>
  <c r="D166" i="165"/>
  <c r="J166" i="165"/>
  <c r="E166" i="165"/>
  <c r="C166" i="165"/>
  <c r="I167" i="165"/>
  <c r="D167" i="165"/>
  <c r="J167" i="165"/>
  <c r="E167" i="165"/>
  <c r="C167" i="165"/>
  <c r="I168" i="165"/>
  <c r="D168" i="165"/>
  <c r="J168" i="165"/>
  <c r="E168" i="165"/>
  <c r="C168" i="165"/>
  <c r="I169" i="165"/>
  <c r="D169" i="165"/>
  <c r="J169" i="165"/>
  <c r="E169" i="165"/>
  <c r="C169" i="165"/>
  <c r="I170" i="165"/>
  <c r="D170" i="165"/>
  <c r="J170" i="165"/>
  <c r="E170" i="165"/>
  <c r="C170" i="165"/>
  <c r="I171" i="165"/>
  <c r="D171" i="165"/>
  <c r="J171" i="165"/>
  <c r="E171" i="165"/>
  <c r="C171" i="165"/>
  <c r="I172" i="165"/>
  <c r="D172" i="165"/>
  <c r="J172" i="165"/>
  <c r="E172" i="165"/>
  <c r="C172" i="165"/>
  <c r="I173" i="165"/>
  <c r="D173" i="165"/>
  <c r="J173" i="165"/>
  <c r="E173" i="165"/>
  <c r="C173" i="165"/>
  <c r="I174" i="165"/>
  <c r="D174" i="165"/>
  <c r="J174" i="165"/>
  <c r="E174" i="165"/>
  <c r="C174" i="165"/>
  <c r="I175" i="165"/>
  <c r="D175" i="165"/>
  <c r="J175" i="165"/>
  <c r="E175" i="165"/>
  <c r="C175" i="165"/>
  <c r="I176" i="165"/>
  <c r="D176" i="165"/>
  <c r="J176" i="165"/>
  <c r="E176" i="165"/>
  <c r="C176" i="165"/>
  <c r="I177" i="165"/>
  <c r="D177" i="165"/>
  <c r="J177" i="165"/>
  <c r="E177" i="165"/>
  <c r="C177" i="165"/>
  <c r="I178" i="165"/>
  <c r="D178" i="165"/>
  <c r="J178" i="165"/>
  <c r="E178" i="165"/>
  <c r="C178" i="165"/>
  <c r="I179" i="165"/>
  <c r="D179" i="165"/>
  <c r="J179" i="165"/>
  <c r="E179" i="165"/>
  <c r="C179" i="165"/>
  <c r="I180" i="165"/>
  <c r="D180" i="165"/>
  <c r="J180" i="165"/>
  <c r="E180" i="165"/>
  <c r="C180" i="165"/>
  <c r="I181" i="165"/>
  <c r="D181" i="165"/>
  <c r="J181" i="165"/>
  <c r="E181" i="165"/>
  <c r="C181" i="165"/>
  <c r="I182" i="165"/>
  <c r="D182" i="165"/>
  <c r="J182" i="165"/>
  <c r="E182" i="165"/>
  <c r="C182" i="165"/>
  <c r="I183" i="165"/>
  <c r="D183" i="165"/>
  <c r="J183" i="165"/>
  <c r="E183" i="165"/>
  <c r="C183" i="165"/>
  <c r="I184" i="165"/>
  <c r="D184" i="165"/>
  <c r="J184" i="165"/>
  <c r="E184" i="165"/>
  <c r="C184" i="165"/>
  <c r="I185" i="165"/>
  <c r="D185" i="165"/>
  <c r="J185" i="165"/>
  <c r="E185" i="165"/>
  <c r="C185" i="165"/>
  <c r="I186" i="165"/>
  <c r="D186" i="165"/>
  <c r="J186" i="165"/>
  <c r="E186" i="165"/>
  <c r="C186" i="165"/>
  <c r="I187" i="165"/>
  <c r="D187" i="165"/>
  <c r="J187" i="165"/>
  <c r="E187" i="165"/>
  <c r="C187" i="165"/>
  <c r="I188" i="165"/>
  <c r="D188" i="165"/>
  <c r="J188" i="165"/>
  <c r="E188" i="165"/>
  <c r="C188" i="165"/>
  <c r="I189" i="165"/>
  <c r="D189" i="165"/>
  <c r="J189" i="165"/>
  <c r="E189" i="165"/>
  <c r="C189" i="165"/>
  <c r="I190" i="165"/>
  <c r="D190" i="165"/>
  <c r="J190" i="165"/>
  <c r="E190" i="165"/>
  <c r="C190" i="165"/>
  <c r="I191" i="165"/>
  <c r="D191" i="165"/>
  <c r="J191" i="165"/>
  <c r="E191" i="165"/>
  <c r="C191" i="165"/>
  <c r="I192" i="165"/>
  <c r="D192" i="165"/>
  <c r="J192" i="165"/>
  <c r="E192" i="165"/>
  <c r="C192" i="165"/>
  <c r="I193" i="165"/>
  <c r="D193" i="165"/>
  <c r="J193" i="165"/>
  <c r="E193" i="165"/>
  <c r="C193" i="165"/>
  <c r="I194" i="165"/>
  <c r="D194" i="165"/>
  <c r="J194" i="165"/>
  <c r="E194" i="165"/>
  <c r="C194" i="165"/>
  <c r="I195" i="165"/>
  <c r="D195" i="165"/>
  <c r="J195" i="165"/>
  <c r="E195" i="165"/>
  <c r="C195" i="165"/>
  <c r="I196" i="165"/>
  <c r="D196" i="165"/>
  <c r="J196" i="165"/>
  <c r="E196" i="165"/>
  <c r="C196" i="165"/>
  <c r="I197" i="165"/>
  <c r="D197" i="165"/>
  <c r="J197" i="165"/>
  <c r="E197" i="165"/>
  <c r="C197" i="165"/>
  <c r="I198" i="165"/>
  <c r="D198" i="165"/>
  <c r="J198" i="165"/>
  <c r="E198" i="165"/>
  <c r="C198" i="165"/>
  <c r="I199" i="165"/>
  <c r="D199" i="165"/>
  <c r="J199" i="165"/>
  <c r="E199" i="165"/>
  <c r="C199" i="165"/>
  <c r="I200" i="165"/>
  <c r="D200" i="165"/>
  <c r="J200" i="165"/>
  <c r="E200" i="165"/>
  <c r="C200" i="165"/>
  <c r="I201" i="165"/>
  <c r="D201" i="165"/>
  <c r="J201" i="165"/>
  <c r="E201" i="165"/>
  <c r="C201" i="165"/>
  <c r="I202" i="165"/>
  <c r="D202" i="165"/>
  <c r="J202" i="165"/>
  <c r="E202" i="165"/>
  <c r="C202" i="165"/>
  <c r="I203" i="165"/>
  <c r="D203" i="165"/>
  <c r="J203" i="165"/>
  <c r="E203" i="165"/>
  <c r="C203" i="165"/>
  <c r="I204" i="165"/>
  <c r="D204" i="165"/>
  <c r="J204" i="165"/>
  <c r="E204" i="165"/>
  <c r="C204" i="165"/>
  <c r="I205" i="165"/>
  <c r="D205" i="165"/>
  <c r="J205" i="165"/>
  <c r="E205" i="165"/>
  <c r="C205" i="165"/>
  <c r="I206" i="165"/>
  <c r="D206" i="165"/>
  <c r="J206" i="165"/>
  <c r="E206" i="165"/>
  <c r="C206" i="165"/>
  <c r="I207" i="165"/>
  <c r="D207" i="165"/>
  <c r="J207" i="165"/>
  <c r="E207" i="165"/>
  <c r="C207" i="165"/>
  <c r="I208" i="165"/>
  <c r="D208" i="165"/>
  <c r="J208" i="165"/>
  <c r="E208" i="165"/>
  <c r="C208" i="165"/>
  <c r="I209" i="165"/>
  <c r="D209" i="165"/>
  <c r="J209" i="165"/>
  <c r="E209" i="165"/>
  <c r="C209" i="165"/>
  <c r="I210" i="165"/>
  <c r="D210" i="165"/>
  <c r="J210" i="165"/>
  <c r="E210" i="165"/>
  <c r="C210" i="165"/>
  <c r="I211" i="165"/>
  <c r="D211" i="165"/>
  <c r="J211" i="165"/>
  <c r="E211" i="165"/>
  <c r="C211" i="165"/>
  <c r="I212" i="165"/>
  <c r="D212" i="165"/>
  <c r="J212" i="165"/>
  <c r="E212" i="165"/>
  <c r="C212" i="165"/>
  <c r="I213" i="165"/>
  <c r="D213" i="165"/>
  <c r="J213" i="165"/>
  <c r="E213" i="165"/>
  <c r="C213" i="165"/>
  <c r="I214" i="165"/>
  <c r="D214" i="165"/>
  <c r="J214" i="165"/>
  <c r="E214" i="165"/>
  <c r="C214" i="165"/>
  <c r="I215" i="165"/>
  <c r="J215" i="165"/>
  <c r="D215" i="165"/>
  <c r="E215" i="165"/>
  <c r="C215" i="165"/>
  <c r="I216" i="165"/>
  <c r="J216" i="165"/>
  <c r="D216" i="165"/>
  <c r="E216" i="165"/>
  <c r="C216" i="165"/>
  <c r="I217" i="165"/>
  <c r="J217" i="165"/>
  <c r="D217" i="165"/>
  <c r="E217" i="165"/>
  <c r="C217" i="165"/>
  <c r="I218" i="165"/>
  <c r="J218" i="165"/>
  <c r="D218" i="165"/>
  <c r="E218" i="165"/>
  <c r="C218" i="165"/>
  <c r="I219" i="165"/>
  <c r="J219" i="165"/>
  <c r="D219" i="165"/>
  <c r="E219" i="165"/>
  <c r="C219" i="165"/>
  <c r="I220" i="165"/>
  <c r="J220" i="165"/>
  <c r="D220" i="165"/>
  <c r="E220" i="165"/>
  <c r="C220" i="165"/>
  <c r="I221" i="165"/>
  <c r="D221" i="165"/>
  <c r="J221" i="165"/>
  <c r="E221" i="165"/>
  <c r="C221" i="165"/>
  <c r="I222" i="165"/>
  <c r="D222" i="165"/>
  <c r="J222" i="165"/>
  <c r="E222" i="165"/>
  <c r="C222" i="165"/>
  <c r="I223" i="165"/>
  <c r="D223" i="165"/>
  <c r="J223" i="165"/>
  <c r="E223" i="165"/>
  <c r="C223" i="165"/>
  <c r="I224" i="165"/>
  <c r="D224" i="165"/>
  <c r="J224" i="165"/>
  <c r="E224" i="165"/>
  <c r="C224" i="165"/>
  <c r="I225" i="165"/>
  <c r="D225" i="165"/>
  <c r="J225" i="165"/>
  <c r="E225" i="165"/>
  <c r="C225" i="165"/>
  <c r="I226" i="165"/>
  <c r="D226" i="165"/>
  <c r="J226" i="165"/>
  <c r="E226" i="165"/>
  <c r="C226" i="165"/>
  <c r="I227" i="165"/>
  <c r="D227" i="165"/>
  <c r="J227" i="165"/>
  <c r="E227" i="165"/>
  <c r="C227" i="165"/>
  <c r="I228" i="165"/>
  <c r="D228" i="165"/>
  <c r="J228" i="165"/>
  <c r="E228" i="165"/>
  <c r="C228" i="165"/>
  <c r="I229" i="165"/>
  <c r="D229" i="165"/>
  <c r="J229" i="165"/>
  <c r="E229" i="165"/>
  <c r="C229" i="165"/>
  <c r="I230" i="165"/>
  <c r="D230" i="165"/>
  <c r="J230" i="165"/>
  <c r="E230" i="165"/>
  <c r="C230" i="165"/>
  <c r="I231" i="165"/>
  <c r="D231" i="165"/>
  <c r="J231" i="165"/>
  <c r="E231" i="165"/>
  <c r="C231" i="165"/>
  <c r="I232" i="165"/>
  <c r="D232" i="165"/>
  <c r="J232" i="165"/>
  <c r="E232" i="165"/>
  <c r="C232" i="165"/>
  <c r="I233" i="165"/>
  <c r="D233" i="165"/>
  <c r="J233" i="165"/>
  <c r="E233" i="165"/>
  <c r="C233" i="165"/>
  <c r="I234" i="165"/>
  <c r="D234" i="165"/>
  <c r="J234" i="165"/>
  <c r="E234" i="165"/>
  <c r="C234" i="165"/>
  <c r="I235" i="165"/>
  <c r="D235" i="165"/>
  <c r="J235" i="165"/>
  <c r="E235" i="165"/>
  <c r="C235" i="165"/>
  <c r="I236" i="165"/>
  <c r="D236" i="165"/>
  <c r="J236" i="165"/>
  <c r="E236" i="165"/>
  <c r="C236" i="165"/>
  <c r="I237" i="165"/>
  <c r="D237" i="165"/>
  <c r="J237" i="165"/>
  <c r="E237" i="165"/>
  <c r="C237" i="165"/>
  <c r="I238" i="165"/>
  <c r="D238" i="165"/>
  <c r="J238" i="165"/>
  <c r="E238" i="165"/>
  <c r="C238" i="165"/>
  <c r="I239" i="165"/>
  <c r="D239" i="165"/>
  <c r="J239" i="165"/>
  <c r="E239" i="165"/>
  <c r="C239" i="165"/>
  <c r="I240" i="165"/>
  <c r="D240" i="165"/>
  <c r="J240" i="165"/>
  <c r="E240" i="165"/>
  <c r="C240" i="165"/>
  <c r="I241" i="165"/>
  <c r="D241" i="165"/>
  <c r="J241" i="165"/>
  <c r="E241" i="165"/>
  <c r="C241" i="165"/>
  <c r="I242" i="165"/>
  <c r="D242" i="165"/>
  <c r="J242" i="165"/>
  <c r="E242" i="165"/>
  <c r="C242" i="165"/>
  <c r="I243" i="165"/>
  <c r="D243" i="165"/>
  <c r="J243" i="165"/>
  <c r="E243" i="165"/>
  <c r="C243" i="165"/>
  <c r="I244" i="165"/>
  <c r="D244" i="165"/>
  <c r="J244" i="165"/>
  <c r="E244" i="165"/>
  <c r="C244" i="165"/>
  <c r="I245" i="165"/>
  <c r="D245" i="165"/>
  <c r="J245" i="165"/>
  <c r="E245" i="165"/>
  <c r="C245" i="165"/>
  <c r="I246" i="165"/>
  <c r="D246" i="165"/>
  <c r="J246" i="165"/>
  <c r="E246" i="165"/>
  <c r="C246" i="165"/>
  <c r="I247" i="165"/>
  <c r="D247" i="165"/>
  <c r="J247" i="165"/>
  <c r="E247" i="165"/>
  <c r="C247" i="165"/>
  <c r="I248" i="165"/>
  <c r="D248" i="165"/>
  <c r="J248" i="165"/>
  <c r="E248" i="165"/>
  <c r="C248" i="165"/>
  <c r="I249" i="165"/>
  <c r="D249" i="165"/>
  <c r="J249" i="165"/>
  <c r="E249" i="165"/>
  <c r="C249" i="165"/>
  <c r="I250" i="165"/>
  <c r="D250" i="165"/>
  <c r="J250" i="165"/>
  <c r="E250" i="165"/>
  <c r="C250" i="165"/>
  <c r="I251" i="165"/>
  <c r="D251" i="165"/>
  <c r="J251" i="165"/>
  <c r="E251" i="165"/>
  <c r="C251" i="165"/>
  <c r="I252" i="165"/>
  <c r="D252" i="165"/>
  <c r="J252" i="165"/>
  <c r="E252" i="165"/>
  <c r="C252" i="165"/>
  <c r="I253" i="165"/>
  <c r="D253" i="165"/>
  <c r="J253" i="165"/>
  <c r="E253" i="165"/>
  <c r="C253" i="165"/>
  <c r="I254" i="165"/>
  <c r="D254" i="165"/>
  <c r="J254" i="165"/>
  <c r="E254" i="165"/>
  <c r="C254" i="165"/>
  <c r="I255" i="165"/>
  <c r="D255" i="165"/>
  <c r="J255" i="165"/>
  <c r="E255" i="165"/>
  <c r="C255" i="165"/>
  <c r="I256" i="165"/>
  <c r="D256" i="165"/>
  <c r="J256" i="165"/>
  <c r="E256" i="165"/>
  <c r="C256" i="165"/>
  <c r="I257" i="165"/>
  <c r="D257" i="165"/>
  <c r="J257" i="165"/>
  <c r="E257" i="165"/>
  <c r="C257" i="165"/>
  <c r="I258" i="165"/>
  <c r="D258" i="165"/>
  <c r="J258" i="165"/>
  <c r="E258" i="165"/>
  <c r="C258" i="165"/>
  <c r="I259" i="165"/>
  <c r="D259" i="165"/>
  <c r="J259" i="165"/>
  <c r="E259" i="165"/>
  <c r="C259" i="165"/>
  <c r="I260" i="165"/>
  <c r="D260" i="165"/>
  <c r="J260" i="165"/>
  <c r="E260" i="165"/>
  <c r="C260" i="165"/>
  <c r="I261" i="165"/>
  <c r="D261" i="165"/>
  <c r="J261" i="165"/>
  <c r="E261" i="165"/>
  <c r="C261" i="165"/>
  <c r="I262" i="165"/>
  <c r="D262" i="165"/>
  <c r="J262" i="165"/>
  <c r="E262" i="165"/>
  <c r="C262" i="165"/>
  <c r="I263" i="165"/>
  <c r="D263" i="165"/>
  <c r="J263" i="165"/>
  <c r="E263" i="165"/>
  <c r="C263" i="165"/>
  <c r="I264" i="165"/>
  <c r="D264" i="165"/>
  <c r="J264" i="165"/>
  <c r="E264" i="165"/>
  <c r="C264" i="165"/>
  <c r="I265" i="165"/>
  <c r="D265" i="165"/>
  <c r="J265" i="165"/>
  <c r="E265" i="165"/>
  <c r="C265" i="165"/>
  <c r="I266" i="165"/>
  <c r="D266" i="165"/>
  <c r="J266" i="165"/>
  <c r="E266" i="165"/>
  <c r="C266" i="165"/>
  <c r="I267" i="165"/>
  <c r="D267" i="165"/>
  <c r="J267" i="165"/>
  <c r="E267" i="165"/>
  <c r="C267" i="165"/>
  <c r="I268" i="165"/>
  <c r="D268" i="165"/>
  <c r="J268" i="165"/>
  <c r="E268" i="165"/>
  <c r="C268" i="165"/>
  <c r="I269" i="165"/>
  <c r="D269" i="165"/>
  <c r="J269" i="165"/>
  <c r="E269" i="165"/>
  <c r="C269" i="165"/>
  <c r="I270" i="165"/>
  <c r="D270" i="165"/>
  <c r="J270" i="165"/>
  <c r="E270" i="165"/>
  <c r="C270" i="165"/>
  <c r="I271" i="165"/>
  <c r="D271" i="165"/>
  <c r="J271" i="165"/>
  <c r="E271" i="165"/>
  <c r="C271" i="165"/>
  <c r="I272" i="165"/>
  <c r="D272" i="165"/>
  <c r="J272" i="165"/>
  <c r="E272" i="165"/>
  <c r="C272" i="165"/>
  <c r="I273" i="165"/>
  <c r="D273" i="165"/>
  <c r="J273" i="165"/>
  <c r="E273" i="165"/>
  <c r="C273" i="165"/>
  <c r="I274" i="165"/>
  <c r="D274" i="165"/>
  <c r="J274" i="165"/>
  <c r="E274" i="165"/>
  <c r="C274" i="165"/>
  <c r="I275" i="165"/>
  <c r="D275" i="165"/>
  <c r="J275" i="165"/>
  <c r="E275" i="165"/>
  <c r="C275" i="165"/>
  <c r="I276" i="165"/>
  <c r="D276" i="165"/>
  <c r="J276" i="165"/>
  <c r="E276" i="165"/>
  <c r="C276" i="165"/>
  <c r="I277" i="165"/>
  <c r="D277" i="165"/>
  <c r="J277" i="165"/>
  <c r="E277" i="165"/>
  <c r="C277" i="165"/>
  <c r="I278" i="165"/>
  <c r="D278" i="165"/>
  <c r="J278" i="165"/>
  <c r="E278" i="165"/>
  <c r="C278" i="165"/>
  <c r="I279" i="165"/>
  <c r="D279" i="165"/>
  <c r="J279" i="165"/>
  <c r="E279" i="165"/>
  <c r="C279" i="165"/>
  <c r="I280" i="165"/>
  <c r="D280" i="165"/>
  <c r="J280" i="165"/>
  <c r="E280" i="165"/>
  <c r="C280" i="165"/>
  <c r="I281" i="165"/>
  <c r="D281" i="165"/>
  <c r="J281" i="165"/>
  <c r="E281" i="165"/>
  <c r="C281" i="165"/>
  <c r="I282" i="165"/>
  <c r="D282" i="165"/>
  <c r="J282" i="165"/>
  <c r="E282" i="165"/>
  <c r="C282" i="165"/>
  <c r="I283" i="165"/>
  <c r="D283" i="165"/>
  <c r="J283" i="165"/>
  <c r="E283" i="165"/>
  <c r="C283" i="165"/>
  <c r="I284" i="165"/>
  <c r="D284" i="165"/>
  <c r="J284" i="165"/>
  <c r="E284" i="165"/>
  <c r="C284" i="165"/>
  <c r="I285" i="165"/>
  <c r="D285" i="165"/>
  <c r="J285" i="165"/>
  <c r="E285" i="165"/>
  <c r="C285" i="165"/>
  <c r="I286" i="165"/>
  <c r="D286" i="165"/>
  <c r="J286" i="165"/>
  <c r="E286" i="165"/>
  <c r="C286" i="165"/>
  <c r="I287" i="165"/>
  <c r="D287" i="165"/>
  <c r="J287" i="165"/>
  <c r="E287" i="165"/>
  <c r="C287" i="165"/>
  <c r="I288" i="165"/>
  <c r="D288" i="165"/>
  <c r="J288" i="165"/>
  <c r="E288" i="165"/>
  <c r="C288" i="165"/>
  <c r="I289" i="165"/>
  <c r="D289" i="165"/>
  <c r="J289" i="165"/>
  <c r="E289" i="165"/>
  <c r="C289" i="165"/>
  <c r="I290" i="165"/>
  <c r="D290" i="165"/>
  <c r="J290" i="165"/>
  <c r="E290" i="165"/>
  <c r="C290" i="165"/>
  <c r="I291" i="165"/>
  <c r="D291" i="165"/>
  <c r="J291" i="165"/>
  <c r="E291" i="165"/>
  <c r="C291" i="165"/>
  <c r="I292" i="165"/>
  <c r="D292" i="165"/>
  <c r="J292" i="165"/>
  <c r="E292" i="165"/>
  <c r="C292" i="165"/>
  <c r="I293" i="165"/>
  <c r="D293" i="165"/>
  <c r="J293" i="165"/>
  <c r="E293" i="165"/>
  <c r="C293" i="165"/>
  <c r="I294" i="165"/>
  <c r="D294" i="165"/>
  <c r="J294" i="165"/>
  <c r="E294" i="165"/>
  <c r="C294" i="165"/>
  <c r="I295" i="165"/>
  <c r="D295" i="165"/>
  <c r="J295" i="165"/>
  <c r="E295" i="165"/>
  <c r="C295" i="165"/>
  <c r="I296" i="165"/>
  <c r="D296" i="165"/>
  <c r="J296" i="165"/>
  <c r="E296" i="165"/>
  <c r="C296" i="165"/>
  <c r="I297" i="165"/>
  <c r="D297" i="165"/>
  <c r="J297" i="165"/>
  <c r="E297" i="165"/>
  <c r="C297" i="165"/>
  <c r="I298" i="165"/>
  <c r="D298" i="165"/>
  <c r="J298" i="165"/>
  <c r="E298" i="165"/>
  <c r="C298" i="165"/>
  <c r="I299" i="165"/>
  <c r="D299" i="165"/>
  <c r="J299" i="165"/>
  <c r="E299" i="165"/>
  <c r="C299" i="165"/>
  <c r="I300" i="165"/>
  <c r="D300" i="165"/>
  <c r="J300" i="165"/>
  <c r="E300" i="165"/>
  <c r="C300" i="165"/>
  <c r="I301" i="165"/>
  <c r="D301" i="165"/>
  <c r="J301" i="165"/>
  <c r="E301" i="165"/>
  <c r="C301" i="165"/>
  <c r="I302" i="165"/>
  <c r="D302" i="165"/>
  <c r="J302" i="165"/>
  <c r="E302" i="165"/>
  <c r="C302" i="165"/>
  <c r="I303" i="165"/>
  <c r="D303" i="165"/>
  <c r="J303" i="165"/>
  <c r="E303" i="165"/>
  <c r="C303" i="165"/>
  <c r="I304" i="165"/>
  <c r="D304" i="165"/>
  <c r="J304" i="165"/>
  <c r="E304" i="165"/>
  <c r="C304" i="165"/>
  <c r="I305" i="165"/>
  <c r="D305" i="165"/>
  <c r="J305" i="165"/>
  <c r="E305" i="165"/>
  <c r="C305" i="165"/>
  <c r="I306" i="165"/>
  <c r="D306" i="165"/>
  <c r="J306" i="165"/>
  <c r="E306" i="165"/>
  <c r="C306" i="165"/>
  <c r="I307" i="165"/>
  <c r="D307" i="165"/>
  <c r="J307" i="165"/>
  <c r="E307" i="165"/>
  <c r="C307" i="165"/>
  <c r="I308" i="165"/>
  <c r="D308" i="165"/>
  <c r="J308" i="165"/>
  <c r="E308" i="165"/>
  <c r="C308" i="165"/>
  <c r="I309" i="165"/>
  <c r="D309" i="165"/>
  <c r="J309" i="165"/>
  <c r="E309" i="165"/>
  <c r="C309" i="165"/>
  <c r="I310" i="165"/>
  <c r="D310" i="165"/>
  <c r="J310" i="165"/>
  <c r="E310" i="165"/>
  <c r="C310" i="165"/>
  <c r="I311" i="165"/>
  <c r="D311" i="165"/>
  <c r="J311" i="165"/>
  <c r="E311" i="165"/>
  <c r="C311" i="165"/>
  <c r="I312" i="165"/>
  <c r="D312" i="165"/>
  <c r="J312" i="165"/>
  <c r="E312" i="165"/>
  <c r="C312" i="165"/>
  <c r="I313" i="165"/>
  <c r="D313" i="165"/>
  <c r="J313" i="165"/>
  <c r="E313" i="165"/>
  <c r="C313" i="165"/>
  <c r="I315" i="165"/>
  <c r="D315" i="165"/>
  <c r="J315" i="165"/>
  <c r="E315" i="165"/>
  <c r="C315" i="165"/>
  <c r="I316" i="165"/>
  <c r="D316" i="165"/>
  <c r="J316" i="165"/>
  <c r="E316" i="165"/>
  <c r="C316" i="165"/>
  <c r="I317" i="165"/>
  <c r="D317" i="165"/>
  <c r="J317" i="165"/>
  <c r="E317" i="165"/>
  <c r="C317" i="165"/>
  <c r="I318" i="165"/>
  <c r="D318" i="165"/>
  <c r="J318" i="165"/>
  <c r="E318" i="165"/>
  <c r="C318" i="165"/>
  <c r="I319" i="165"/>
  <c r="D319" i="165"/>
  <c r="J319" i="165"/>
  <c r="E319" i="165"/>
  <c r="C319" i="165"/>
  <c r="I320" i="165"/>
  <c r="D320" i="165"/>
  <c r="J320" i="165"/>
  <c r="E320" i="165"/>
  <c r="C320" i="165"/>
  <c r="I321" i="165"/>
  <c r="D321" i="165"/>
  <c r="J321" i="165"/>
  <c r="E321" i="165"/>
  <c r="C321" i="165"/>
  <c r="I322" i="165"/>
  <c r="D322" i="165"/>
  <c r="J322" i="165"/>
  <c r="E322" i="165"/>
  <c r="C322" i="165"/>
  <c r="I323" i="165"/>
  <c r="D323" i="165"/>
  <c r="J323" i="165"/>
  <c r="E323" i="165"/>
  <c r="C323" i="165"/>
  <c r="I324" i="165"/>
  <c r="D324" i="165"/>
  <c r="J324" i="165"/>
  <c r="E324" i="165"/>
  <c r="C324" i="165"/>
  <c r="I325" i="165"/>
  <c r="D325" i="165"/>
  <c r="J325" i="165"/>
  <c r="E325" i="165"/>
  <c r="C325" i="165"/>
  <c r="I326" i="165"/>
  <c r="D326" i="165"/>
  <c r="J326" i="165"/>
  <c r="E326" i="165"/>
  <c r="C326" i="165"/>
  <c r="I327" i="165"/>
  <c r="D327" i="165"/>
  <c r="J327" i="165"/>
  <c r="E327" i="165"/>
  <c r="C327" i="165"/>
  <c r="I328" i="165"/>
  <c r="D328" i="165"/>
  <c r="J328" i="165"/>
  <c r="E328" i="165"/>
  <c r="C328" i="165"/>
  <c r="I329" i="165"/>
  <c r="D329" i="165"/>
  <c r="J329" i="165"/>
  <c r="E329" i="165"/>
  <c r="C329" i="165"/>
  <c r="I330" i="165"/>
  <c r="D330" i="165"/>
  <c r="J330" i="165"/>
  <c r="E330" i="165"/>
  <c r="C330" i="165"/>
  <c r="I331" i="165"/>
  <c r="D331" i="165"/>
  <c r="J331" i="165"/>
  <c r="E331" i="165"/>
  <c r="C331" i="165"/>
  <c r="I332" i="165"/>
  <c r="D332" i="165"/>
  <c r="J332" i="165"/>
  <c r="E332" i="165"/>
  <c r="C332" i="165"/>
  <c r="I333" i="165"/>
  <c r="D333" i="165"/>
  <c r="J333" i="165"/>
  <c r="E333" i="165"/>
  <c r="C333" i="165"/>
  <c r="I334" i="165"/>
  <c r="D334" i="165"/>
  <c r="J334" i="165"/>
  <c r="E334" i="165"/>
  <c r="C334" i="165"/>
  <c r="I335" i="165"/>
  <c r="D335" i="165"/>
  <c r="J335" i="165"/>
  <c r="E335" i="165"/>
  <c r="C335" i="165"/>
  <c r="I336" i="165"/>
  <c r="D336" i="165"/>
  <c r="J336" i="165"/>
  <c r="E336" i="165"/>
  <c r="C336" i="165"/>
  <c r="I337" i="165"/>
  <c r="D337" i="165"/>
  <c r="J337" i="165"/>
  <c r="E337" i="165"/>
  <c r="C337" i="165"/>
  <c r="I338" i="165"/>
  <c r="D338" i="165"/>
  <c r="J338" i="165"/>
  <c r="E338" i="165"/>
  <c r="C338" i="165"/>
  <c r="I339" i="165"/>
  <c r="D339" i="165"/>
  <c r="J339" i="165"/>
  <c r="E339" i="165"/>
  <c r="C339" i="165"/>
  <c r="I340" i="165"/>
  <c r="D340" i="165"/>
  <c r="J340" i="165"/>
  <c r="E340" i="165"/>
  <c r="C340" i="165"/>
  <c r="I341" i="165"/>
  <c r="D341" i="165"/>
  <c r="J341" i="165"/>
  <c r="E341" i="165"/>
  <c r="C341" i="165"/>
  <c r="I342" i="165"/>
  <c r="D342" i="165"/>
  <c r="J342" i="165"/>
  <c r="E342" i="165"/>
  <c r="C342" i="165"/>
  <c r="I343" i="165"/>
  <c r="D343" i="165"/>
  <c r="J343" i="165"/>
  <c r="E343" i="165"/>
  <c r="C343" i="165"/>
  <c r="I344" i="165"/>
  <c r="D344" i="165"/>
  <c r="J344" i="165"/>
  <c r="E344" i="165"/>
  <c r="C344" i="165"/>
  <c r="I345" i="165"/>
  <c r="D345" i="165"/>
  <c r="J345" i="165"/>
  <c r="E345" i="165"/>
  <c r="C345" i="165"/>
  <c r="I346" i="165"/>
  <c r="D346" i="165"/>
  <c r="J346" i="165"/>
  <c r="E346" i="165"/>
  <c r="C346" i="165"/>
  <c r="F5" i="164"/>
  <c r="F6" i="164"/>
  <c r="A36" i="164"/>
  <c r="E5" i="164"/>
  <c r="Q3" i="164"/>
  <c r="Q4" i="164"/>
  <c r="Q5" i="164"/>
  <c r="Q6" i="164"/>
  <c r="Q7" i="164"/>
  <c r="Q8" i="164"/>
  <c r="Q9" i="164"/>
  <c r="Q10" i="164"/>
  <c r="Q11" i="164"/>
  <c r="Q12" i="164"/>
  <c r="Q13" i="164"/>
  <c r="Q14" i="164"/>
  <c r="Q15" i="164"/>
  <c r="Q16" i="164"/>
  <c r="Q17" i="164"/>
  <c r="Q18" i="164"/>
  <c r="Q19" i="164"/>
  <c r="Q20" i="164"/>
  <c r="E29" i="164"/>
  <c r="B29" i="164"/>
  <c r="G29" i="164"/>
  <c r="H29" i="164"/>
  <c r="O314" i="165"/>
  <c r="E6" i="164"/>
  <c r="E19" i="164"/>
  <c r="B19" i="164"/>
  <c r="E24" i="164"/>
  <c r="B24" i="164"/>
  <c r="B17" i="164"/>
  <c r="G17" i="164"/>
  <c r="E17" i="164"/>
  <c r="H17" i="164"/>
  <c r="O2" i="165"/>
  <c r="E18" i="164"/>
  <c r="B18" i="164"/>
  <c r="G18" i="164"/>
  <c r="H18" i="164"/>
  <c r="O3" i="165"/>
  <c r="O4" i="165"/>
  <c r="O5" i="165"/>
  <c r="O6" i="165"/>
  <c r="O7" i="165"/>
  <c r="O8" i="165"/>
  <c r="O9" i="165"/>
  <c r="O10" i="165"/>
  <c r="O11" i="165"/>
  <c r="O12" i="165"/>
  <c r="O13" i="165"/>
  <c r="O14" i="165"/>
  <c r="O15" i="165"/>
  <c r="O16" i="165"/>
  <c r="O17" i="165"/>
  <c r="O18" i="165"/>
  <c r="O19" i="165"/>
  <c r="O20" i="165"/>
  <c r="O21" i="165"/>
  <c r="O22" i="165"/>
  <c r="O23" i="165"/>
  <c r="O24" i="165"/>
  <c r="O25" i="165"/>
  <c r="O26" i="165"/>
  <c r="O27" i="165"/>
  <c r="O28" i="165"/>
  <c r="O29" i="165"/>
  <c r="O30" i="165"/>
  <c r="O31" i="165"/>
  <c r="O32" i="165"/>
  <c r="O33" i="165"/>
  <c r="O34" i="165"/>
  <c r="O35" i="165"/>
  <c r="O36" i="165"/>
  <c r="O37" i="165"/>
  <c r="O38" i="165"/>
  <c r="O39" i="165"/>
  <c r="O40" i="165"/>
  <c r="O41" i="165"/>
  <c r="G24" i="164"/>
  <c r="H24" i="164"/>
  <c r="O42" i="165"/>
  <c r="E25" i="164"/>
  <c r="B25" i="164"/>
  <c r="G25" i="164"/>
  <c r="H25" i="164"/>
  <c r="O43" i="165"/>
  <c r="E26" i="164"/>
  <c r="B26" i="164"/>
  <c r="G26" i="164"/>
  <c r="H26" i="164"/>
  <c r="O44" i="165"/>
  <c r="O45" i="165"/>
  <c r="O46" i="165"/>
  <c r="O47" i="165"/>
  <c r="O48" i="165"/>
  <c r="O49" i="165"/>
  <c r="O50" i="165"/>
  <c r="G19" i="164"/>
  <c r="H19" i="164"/>
  <c r="O51" i="165"/>
  <c r="E20" i="164"/>
  <c r="B20" i="164"/>
  <c r="G20" i="164"/>
  <c r="H20" i="164"/>
  <c r="O52" i="165"/>
  <c r="E23" i="164"/>
  <c r="B23" i="164"/>
  <c r="E28" i="164"/>
  <c r="B28" i="164"/>
  <c r="B21" i="164"/>
  <c r="G21" i="164"/>
  <c r="E21" i="164"/>
  <c r="H21" i="164"/>
  <c r="O53" i="165"/>
  <c r="O54" i="165"/>
  <c r="O55" i="165"/>
  <c r="O56" i="165"/>
  <c r="O57" i="165"/>
  <c r="O58" i="165"/>
  <c r="O59" i="165"/>
  <c r="O60" i="165"/>
  <c r="O61" i="165"/>
  <c r="O62" i="165"/>
  <c r="O63" i="165"/>
  <c r="O64" i="165"/>
  <c r="O65" i="165"/>
  <c r="O66" i="165"/>
  <c r="O67" i="165"/>
  <c r="O68" i="165"/>
  <c r="O69" i="165"/>
  <c r="O70" i="165"/>
  <c r="O71" i="165"/>
  <c r="O72" i="165"/>
  <c r="O73" i="165"/>
  <c r="O74" i="165"/>
  <c r="O75" i="165"/>
  <c r="O76" i="165"/>
  <c r="O77" i="165"/>
  <c r="O78" i="165"/>
  <c r="O79" i="165"/>
  <c r="O80" i="165"/>
  <c r="O81" i="165"/>
  <c r="O82" i="165"/>
  <c r="O83" i="165"/>
  <c r="O84" i="165"/>
  <c r="O85" i="165"/>
  <c r="O86" i="165"/>
  <c r="O87" i="165"/>
  <c r="O88" i="165"/>
  <c r="O89" i="165"/>
  <c r="O90" i="165"/>
  <c r="O91" i="165"/>
  <c r="O92" i="165"/>
  <c r="O93" i="165"/>
  <c r="O94" i="165"/>
  <c r="O95" i="165"/>
  <c r="O96" i="165"/>
  <c r="O97" i="165"/>
  <c r="O98" i="165"/>
  <c r="O99" i="165"/>
  <c r="O100" i="165"/>
  <c r="O101" i="165"/>
  <c r="O102" i="165"/>
  <c r="O103" i="165"/>
  <c r="O104" i="165"/>
  <c r="O105" i="165"/>
  <c r="O106" i="165"/>
  <c r="O107" i="165"/>
  <c r="O108" i="165"/>
  <c r="O109" i="165"/>
  <c r="O110" i="165"/>
  <c r="O111" i="165"/>
  <c r="O112" i="165"/>
  <c r="O113" i="165"/>
  <c r="O114" i="165"/>
  <c r="O115" i="165"/>
  <c r="O116" i="165"/>
  <c r="O117" i="165"/>
  <c r="O118" i="165"/>
  <c r="O119" i="165"/>
  <c r="O120" i="165"/>
  <c r="O121" i="165"/>
  <c r="O122" i="165"/>
  <c r="O123" i="165"/>
  <c r="O124" i="165"/>
  <c r="O125" i="165"/>
  <c r="O126" i="165"/>
  <c r="O127" i="165"/>
  <c r="O128" i="165"/>
  <c r="O129" i="165"/>
  <c r="O130" i="165"/>
  <c r="O131" i="165"/>
  <c r="O132" i="165"/>
  <c r="O133" i="165"/>
  <c r="O134" i="165"/>
  <c r="O135" i="165"/>
  <c r="O136" i="165"/>
  <c r="O137" i="165"/>
  <c r="E27" i="164"/>
  <c r="B27" i="164"/>
  <c r="G27" i="164"/>
  <c r="H27" i="164"/>
  <c r="O138" i="165"/>
  <c r="G28" i="164"/>
  <c r="H28" i="164"/>
  <c r="O139" i="165"/>
  <c r="O140" i="165"/>
  <c r="O141" i="165"/>
  <c r="O142" i="165"/>
  <c r="O143" i="165"/>
  <c r="O144" i="165"/>
  <c r="O145" i="165"/>
  <c r="O146" i="165"/>
  <c r="O147" i="165"/>
  <c r="O148" i="165"/>
  <c r="O149" i="165"/>
  <c r="O150" i="165"/>
  <c r="O151" i="165"/>
  <c r="O152" i="165"/>
  <c r="O153" i="165"/>
  <c r="O154" i="165"/>
  <c r="O155" i="165"/>
  <c r="O156" i="165"/>
  <c r="O157" i="165"/>
  <c r="O158" i="165"/>
  <c r="O159" i="165"/>
  <c r="O160" i="165"/>
  <c r="O161" i="165"/>
  <c r="O162" i="165"/>
  <c r="O163" i="165"/>
  <c r="O164" i="165"/>
  <c r="O165" i="165"/>
  <c r="O166" i="165"/>
  <c r="O167" i="165"/>
  <c r="O168" i="165"/>
  <c r="O169" i="165"/>
  <c r="O170" i="165"/>
  <c r="O171" i="165"/>
  <c r="O172" i="165"/>
  <c r="O173" i="165"/>
  <c r="O174" i="165"/>
  <c r="O175" i="165"/>
  <c r="O176" i="165"/>
  <c r="O177" i="165"/>
  <c r="O178" i="165"/>
  <c r="O179" i="165"/>
  <c r="O180" i="165"/>
  <c r="O181" i="165"/>
  <c r="O182" i="165"/>
  <c r="O183" i="165"/>
  <c r="O184" i="165"/>
  <c r="O185" i="165"/>
  <c r="O186" i="165"/>
  <c r="O187" i="165"/>
  <c r="O188" i="165"/>
  <c r="O189" i="165"/>
  <c r="O190" i="165"/>
  <c r="O191" i="165"/>
  <c r="O192" i="165"/>
  <c r="O193" i="165"/>
  <c r="O194" i="165"/>
  <c r="O195" i="165"/>
  <c r="O196" i="165"/>
  <c r="O197" i="165"/>
  <c r="O198" i="165"/>
  <c r="O199" i="165"/>
  <c r="O200" i="165"/>
  <c r="O201" i="165"/>
  <c r="O202" i="165"/>
  <c r="O203" i="165"/>
  <c r="O204" i="165"/>
  <c r="O205" i="165"/>
  <c r="O206" i="165"/>
  <c r="O207" i="165"/>
  <c r="O208" i="165"/>
  <c r="O209" i="165"/>
  <c r="O210" i="165"/>
  <c r="O211" i="165"/>
  <c r="O212" i="165"/>
  <c r="O213" i="165"/>
  <c r="O214" i="165"/>
  <c r="G23" i="164"/>
  <c r="H23" i="164"/>
  <c r="O215" i="165"/>
  <c r="O216" i="165"/>
  <c r="O217" i="165"/>
  <c r="O218" i="165"/>
  <c r="O219" i="165"/>
  <c r="O220" i="165"/>
  <c r="O221" i="165"/>
  <c r="O222" i="165"/>
  <c r="O223" i="165"/>
  <c r="O224" i="165"/>
  <c r="O225" i="165"/>
  <c r="O226" i="165"/>
  <c r="O227" i="165"/>
  <c r="O228" i="165"/>
  <c r="O229" i="165"/>
  <c r="O230" i="165"/>
  <c r="O231" i="165"/>
  <c r="O232" i="165"/>
  <c r="O233" i="165"/>
  <c r="O234" i="165"/>
  <c r="O235" i="165"/>
  <c r="O236" i="165"/>
  <c r="O237" i="165"/>
  <c r="O238" i="165"/>
  <c r="O239" i="165"/>
  <c r="O240" i="165"/>
  <c r="O241" i="165"/>
  <c r="O242" i="165"/>
  <c r="O243" i="165"/>
  <c r="O244" i="165"/>
  <c r="O245" i="165"/>
  <c r="O246" i="165"/>
  <c r="O247" i="165"/>
  <c r="O248" i="165"/>
  <c r="O249" i="165"/>
  <c r="O250" i="165"/>
  <c r="O251" i="165"/>
  <c r="O252" i="165"/>
  <c r="O253" i="165"/>
  <c r="O254" i="165"/>
  <c r="O255" i="165"/>
  <c r="O256" i="165"/>
  <c r="O257" i="165"/>
  <c r="O258" i="165"/>
  <c r="O259" i="165"/>
  <c r="O260" i="165"/>
  <c r="O261" i="165"/>
  <c r="E22" i="164"/>
  <c r="B22" i="164"/>
  <c r="G22" i="164"/>
  <c r="H22" i="164"/>
  <c r="O262" i="165"/>
  <c r="O263" i="165"/>
  <c r="O264" i="165"/>
  <c r="O265" i="165"/>
  <c r="O266" i="165"/>
  <c r="O267" i="165"/>
  <c r="O268" i="165"/>
  <c r="O269" i="165"/>
  <c r="O270" i="165"/>
  <c r="O271" i="165"/>
  <c r="O272" i="165"/>
  <c r="O273" i="165"/>
  <c r="O274" i="165"/>
  <c r="O275" i="165"/>
  <c r="O276" i="165"/>
  <c r="O277" i="165"/>
  <c r="O278" i="165"/>
  <c r="O279" i="165"/>
  <c r="O280" i="165"/>
  <c r="O281" i="165"/>
  <c r="O282" i="165"/>
  <c r="O283" i="165"/>
  <c r="O284" i="165"/>
  <c r="O285" i="165"/>
  <c r="O286" i="165"/>
  <c r="O287" i="165"/>
  <c r="O288" i="165"/>
  <c r="O289" i="165"/>
  <c r="O290" i="165"/>
  <c r="O291" i="165"/>
  <c r="O292" i="165"/>
  <c r="O293" i="165"/>
  <c r="O294" i="165"/>
  <c r="O295" i="165"/>
  <c r="O296" i="165"/>
  <c r="O297" i="165"/>
  <c r="O298" i="165"/>
  <c r="O299" i="165"/>
  <c r="O300" i="165"/>
  <c r="O301" i="165"/>
  <c r="O302" i="165"/>
  <c r="O303" i="165"/>
  <c r="O304" i="165"/>
  <c r="O305" i="165"/>
  <c r="O306" i="165"/>
  <c r="O307" i="165"/>
  <c r="O308" i="165"/>
  <c r="O309" i="165"/>
  <c r="O310" i="165"/>
  <c r="O311" i="165"/>
  <c r="O312" i="165"/>
  <c r="O313" i="165"/>
  <c r="O315" i="165"/>
  <c r="O316" i="165"/>
  <c r="O317" i="165"/>
  <c r="O318" i="165"/>
  <c r="O319" i="165"/>
  <c r="O320" i="165"/>
  <c r="O321" i="165"/>
  <c r="O322" i="165"/>
  <c r="O323" i="165"/>
  <c r="O324" i="165"/>
  <c r="O325" i="165"/>
  <c r="O326" i="165"/>
  <c r="O327" i="165"/>
  <c r="O328" i="165"/>
  <c r="O329" i="165"/>
  <c r="O330" i="165"/>
  <c r="O331" i="165"/>
  <c r="O332" i="165"/>
  <c r="O333" i="165"/>
  <c r="O334" i="165"/>
  <c r="O335" i="165"/>
  <c r="O336" i="165"/>
  <c r="O337" i="165"/>
  <c r="O338" i="165"/>
  <c r="O339" i="165"/>
  <c r="O340" i="165"/>
  <c r="O341" i="165"/>
  <c r="O342" i="165"/>
  <c r="O343" i="165"/>
  <c r="O344" i="165"/>
  <c r="O345" i="165"/>
  <c r="R3" i="164"/>
  <c r="O346" i="165"/>
  <c r="P314" i="165"/>
  <c r="P317" i="165"/>
  <c r="P321" i="165"/>
  <c r="P328" i="165"/>
  <c r="P2" i="165"/>
  <c r="P3" i="165"/>
  <c r="P4" i="165"/>
  <c r="P5" i="165"/>
  <c r="P6" i="165"/>
  <c r="P7" i="165"/>
  <c r="P8" i="165"/>
  <c r="P9" i="165"/>
  <c r="P10" i="165"/>
  <c r="P11" i="165"/>
  <c r="P12" i="165"/>
  <c r="P13" i="165"/>
  <c r="P14" i="165"/>
  <c r="P15" i="165"/>
  <c r="P16" i="165"/>
  <c r="P17" i="165"/>
  <c r="P18" i="165"/>
  <c r="P19" i="165"/>
  <c r="P20" i="165"/>
  <c r="P21" i="165"/>
  <c r="P22" i="165"/>
  <c r="P23" i="165"/>
  <c r="P24" i="165"/>
  <c r="P25" i="165"/>
  <c r="P26" i="165"/>
  <c r="P27" i="165"/>
  <c r="P28" i="165"/>
  <c r="P29" i="165"/>
  <c r="P30" i="165"/>
  <c r="P31" i="165"/>
  <c r="P32" i="165"/>
  <c r="P33" i="165"/>
  <c r="P34" i="165"/>
  <c r="P35" i="165"/>
  <c r="P36" i="165"/>
  <c r="P37" i="165"/>
  <c r="P38" i="165"/>
  <c r="P39" i="165"/>
  <c r="P40" i="165"/>
  <c r="P41" i="165"/>
  <c r="P42" i="165"/>
  <c r="P43" i="165"/>
  <c r="P44" i="165"/>
  <c r="P45" i="165"/>
  <c r="P46" i="165"/>
  <c r="P47" i="165"/>
  <c r="P48" i="165"/>
  <c r="P49" i="165"/>
  <c r="P50" i="165"/>
  <c r="P51" i="165"/>
  <c r="P52" i="165"/>
  <c r="P53" i="165"/>
  <c r="P54" i="165"/>
  <c r="P55" i="165"/>
  <c r="P56" i="165"/>
  <c r="P57" i="165"/>
  <c r="P58" i="165"/>
  <c r="P59" i="165"/>
  <c r="P60" i="165"/>
  <c r="P61" i="165"/>
  <c r="P62" i="165"/>
  <c r="P63" i="165"/>
  <c r="P64" i="165"/>
  <c r="P65" i="165"/>
  <c r="P66" i="165"/>
  <c r="P67" i="165"/>
  <c r="P68" i="165"/>
  <c r="P69" i="165"/>
  <c r="P70" i="165"/>
  <c r="P71" i="165"/>
  <c r="P72" i="165"/>
  <c r="P73" i="165"/>
  <c r="P74" i="165"/>
  <c r="P75" i="165"/>
  <c r="P76" i="165"/>
  <c r="P77" i="165"/>
  <c r="P78" i="165"/>
  <c r="P79" i="165"/>
  <c r="P80" i="165"/>
  <c r="P81" i="165"/>
  <c r="P82" i="165"/>
  <c r="P83" i="165"/>
  <c r="P84" i="165"/>
  <c r="P85" i="165"/>
  <c r="P86" i="165"/>
  <c r="P87" i="165"/>
  <c r="P88" i="165"/>
  <c r="P89" i="165"/>
  <c r="P90" i="165"/>
  <c r="P91" i="165"/>
  <c r="P92" i="165"/>
  <c r="P93" i="165"/>
  <c r="P94" i="165"/>
  <c r="P95" i="165"/>
  <c r="P96" i="165"/>
  <c r="P97" i="165"/>
  <c r="P98" i="165"/>
  <c r="P99" i="165"/>
  <c r="P100" i="165"/>
  <c r="P101" i="165"/>
  <c r="P102" i="165"/>
  <c r="P103" i="165"/>
  <c r="P104" i="165"/>
  <c r="P105" i="165"/>
  <c r="P106" i="165"/>
  <c r="P107" i="165"/>
  <c r="P108" i="165"/>
  <c r="P109" i="165"/>
  <c r="P110" i="165"/>
  <c r="P111" i="165"/>
  <c r="P112" i="165"/>
  <c r="P113" i="165"/>
  <c r="P114" i="165"/>
  <c r="P115" i="165"/>
  <c r="P116" i="165"/>
  <c r="P117" i="165"/>
  <c r="P118" i="165"/>
  <c r="P119" i="165"/>
  <c r="P120" i="165"/>
  <c r="P121" i="165"/>
  <c r="P122" i="165"/>
  <c r="P123" i="165"/>
  <c r="P124" i="165"/>
  <c r="P125" i="165"/>
  <c r="P126" i="165"/>
  <c r="P127" i="165"/>
  <c r="P128" i="165"/>
  <c r="P129" i="165"/>
  <c r="P130" i="165"/>
  <c r="P131" i="165"/>
  <c r="P132" i="165"/>
  <c r="P133" i="165"/>
  <c r="P134" i="165"/>
  <c r="P135" i="165"/>
  <c r="P136" i="165"/>
  <c r="P137" i="165"/>
  <c r="P138" i="165"/>
  <c r="P139" i="165"/>
  <c r="P140" i="165"/>
  <c r="P141" i="165"/>
  <c r="P142" i="165"/>
  <c r="P143" i="165"/>
  <c r="P144" i="165"/>
  <c r="P145" i="165"/>
  <c r="P146" i="165"/>
  <c r="P147" i="165"/>
  <c r="P148" i="165"/>
  <c r="P149" i="165"/>
  <c r="P150" i="165"/>
  <c r="P151" i="165"/>
  <c r="P152" i="165"/>
  <c r="P153" i="165"/>
  <c r="P154" i="165"/>
  <c r="P155" i="165"/>
  <c r="P156" i="165"/>
  <c r="P157" i="165"/>
  <c r="P158" i="165"/>
  <c r="P159" i="165"/>
  <c r="P160" i="165"/>
  <c r="P161" i="165"/>
  <c r="P162" i="165"/>
  <c r="P163" i="165"/>
  <c r="P164" i="165"/>
  <c r="P165" i="165"/>
  <c r="P166" i="165"/>
  <c r="P167" i="165"/>
  <c r="P168" i="165"/>
  <c r="P169" i="165"/>
  <c r="P170" i="165"/>
  <c r="P171" i="165"/>
  <c r="P172" i="165"/>
  <c r="P173" i="165"/>
  <c r="P174" i="165"/>
  <c r="P175" i="165"/>
  <c r="P176" i="165"/>
  <c r="P177" i="165"/>
  <c r="P178" i="165"/>
  <c r="P179" i="165"/>
  <c r="P180" i="165"/>
  <c r="P181" i="165"/>
  <c r="P182" i="165"/>
  <c r="P183" i="165"/>
  <c r="P184" i="165"/>
  <c r="P185" i="165"/>
  <c r="P186" i="165"/>
  <c r="P187" i="165"/>
  <c r="P188" i="165"/>
  <c r="P189" i="165"/>
  <c r="P190" i="165"/>
  <c r="P191" i="165"/>
  <c r="P192" i="165"/>
  <c r="P193" i="165"/>
  <c r="P194" i="165"/>
  <c r="P195" i="165"/>
  <c r="P196" i="165"/>
  <c r="P197" i="165"/>
  <c r="P198" i="165"/>
  <c r="P199" i="165"/>
  <c r="P200" i="165"/>
  <c r="P201" i="165"/>
  <c r="P202" i="165"/>
  <c r="P203" i="165"/>
  <c r="P204" i="165"/>
  <c r="P205" i="165"/>
  <c r="P206" i="165"/>
  <c r="P207" i="165"/>
  <c r="P208" i="165"/>
  <c r="P209" i="165"/>
  <c r="P210" i="165"/>
  <c r="P211" i="165"/>
  <c r="P212" i="165"/>
  <c r="P213" i="165"/>
  <c r="P214" i="165"/>
  <c r="P215" i="165"/>
  <c r="P216" i="165"/>
  <c r="P217" i="165"/>
  <c r="P218" i="165"/>
  <c r="P219" i="165"/>
  <c r="P220" i="165"/>
  <c r="P221" i="165"/>
  <c r="P222" i="165"/>
  <c r="P223" i="165"/>
  <c r="P224" i="165"/>
  <c r="P225" i="165"/>
  <c r="P226" i="165"/>
  <c r="P227" i="165"/>
  <c r="P228" i="165"/>
  <c r="P229" i="165"/>
  <c r="P230" i="165"/>
  <c r="P231" i="165"/>
  <c r="P232" i="165"/>
  <c r="P233" i="165"/>
  <c r="P234" i="165"/>
  <c r="P235" i="165"/>
  <c r="P236" i="165"/>
  <c r="P237" i="165"/>
  <c r="P238" i="165"/>
  <c r="P239" i="165"/>
  <c r="P240" i="165"/>
  <c r="P241" i="165"/>
  <c r="P242" i="165"/>
  <c r="P243" i="165"/>
  <c r="P244" i="165"/>
  <c r="P245" i="165"/>
  <c r="P246" i="165"/>
  <c r="P247" i="165"/>
  <c r="P248" i="165"/>
  <c r="P249" i="165"/>
  <c r="P250" i="165"/>
  <c r="P251" i="165"/>
  <c r="P252" i="165"/>
  <c r="P253" i="165"/>
  <c r="P254" i="165"/>
  <c r="P255" i="165"/>
  <c r="P256" i="165"/>
  <c r="P257" i="165"/>
  <c r="P258" i="165"/>
  <c r="P259" i="165"/>
  <c r="P260" i="165"/>
  <c r="P261" i="165"/>
  <c r="P262" i="165"/>
  <c r="P263" i="165"/>
  <c r="P264" i="165"/>
  <c r="P265" i="165"/>
  <c r="P266" i="165"/>
  <c r="P267" i="165"/>
  <c r="P268" i="165"/>
  <c r="P269" i="165"/>
  <c r="P270" i="165"/>
  <c r="P271" i="165"/>
  <c r="P272" i="165"/>
  <c r="P273" i="165"/>
  <c r="P274" i="165"/>
  <c r="P275" i="165"/>
  <c r="P276" i="165"/>
  <c r="P277" i="165"/>
  <c r="P278" i="165"/>
  <c r="P279" i="165"/>
  <c r="P280" i="165"/>
  <c r="P281" i="165"/>
  <c r="P282" i="165"/>
  <c r="P283" i="165"/>
  <c r="P284" i="165"/>
  <c r="P285" i="165"/>
  <c r="P286" i="165"/>
  <c r="P287" i="165"/>
  <c r="P288" i="165"/>
  <c r="P289" i="165"/>
  <c r="P290" i="165"/>
  <c r="P291" i="165"/>
  <c r="P292" i="165"/>
  <c r="P293" i="165"/>
  <c r="P294" i="165"/>
  <c r="P295" i="165"/>
  <c r="P296" i="165"/>
  <c r="P297" i="165"/>
  <c r="P298" i="165"/>
  <c r="P299" i="165"/>
  <c r="P300" i="165"/>
  <c r="P301" i="165"/>
  <c r="P302" i="165"/>
  <c r="P303" i="165"/>
  <c r="P304" i="165"/>
  <c r="P305" i="165"/>
  <c r="P306" i="165"/>
  <c r="P307" i="165"/>
  <c r="P308" i="165"/>
  <c r="P309" i="165"/>
  <c r="P310" i="165"/>
  <c r="P311" i="165"/>
  <c r="P312" i="165"/>
  <c r="P313" i="165"/>
  <c r="P315" i="165"/>
  <c r="P316" i="165"/>
  <c r="P318" i="165"/>
  <c r="P319" i="165"/>
  <c r="P320" i="165"/>
  <c r="P322" i="165"/>
  <c r="P323" i="165"/>
  <c r="P324" i="165"/>
  <c r="P325" i="165"/>
  <c r="P326" i="165"/>
  <c r="P327" i="165"/>
  <c r="P329" i="165"/>
  <c r="P330" i="165"/>
  <c r="P331" i="165"/>
  <c r="P332" i="165"/>
  <c r="P333" i="165"/>
  <c r="P334" i="165"/>
  <c r="P335" i="165"/>
  <c r="P336" i="165"/>
  <c r="P337" i="165"/>
  <c r="P338" i="165"/>
  <c r="P339" i="165"/>
  <c r="P340" i="165"/>
  <c r="P341" i="165"/>
  <c r="P342" i="165"/>
  <c r="P343" i="165"/>
  <c r="P344" i="165"/>
  <c r="P345" i="165"/>
  <c r="P346" i="165"/>
  <c r="F2" i="167"/>
  <c r="F3" i="167"/>
  <c r="F4" i="167"/>
  <c r="F5" i="167"/>
  <c r="F6" i="167"/>
  <c r="F7" i="167"/>
  <c r="F8" i="167"/>
  <c r="F9" i="167"/>
  <c r="F10" i="167"/>
  <c r="F11" i="167"/>
  <c r="F12" i="167"/>
  <c r="F13" i="167"/>
  <c r="F14" i="167"/>
  <c r="F15" i="167"/>
  <c r="F16" i="167"/>
  <c r="F17" i="167"/>
  <c r="F18" i="167"/>
  <c r="F19" i="167"/>
  <c r="F20" i="167"/>
  <c r="F21" i="167"/>
  <c r="F22" i="167"/>
  <c r="F23" i="167"/>
  <c r="F24" i="167"/>
  <c r="F25" i="167"/>
  <c r="F26" i="167"/>
  <c r="F27" i="167"/>
  <c r="F28" i="167"/>
  <c r="F29" i="167"/>
  <c r="F30" i="167"/>
  <c r="F31" i="167"/>
  <c r="F32" i="167"/>
  <c r="F33" i="167"/>
  <c r="F34" i="167"/>
  <c r="F35" i="167"/>
  <c r="F36" i="167"/>
  <c r="F37" i="167"/>
  <c r="F38" i="167"/>
  <c r="F39" i="167"/>
  <c r="F40" i="167"/>
  <c r="F41" i="167"/>
  <c r="F42" i="167"/>
  <c r="F43" i="167"/>
  <c r="F44" i="167"/>
  <c r="F45" i="167"/>
  <c r="F46" i="167"/>
  <c r="F47" i="167"/>
  <c r="F48" i="167"/>
  <c r="F49" i="167"/>
  <c r="F50" i="167"/>
  <c r="F51" i="167"/>
  <c r="F52" i="167"/>
  <c r="F53" i="167"/>
  <c r="F54" i="167"/>
  <c r="F55" i="167"/>
  <c r="F56" i="167"/>
  <c r="F57" i="167"/>
  <c r="F58" i="167"/>
  <c r="F59" i="167"/>
  <c r="F60" i="167"/>
  <c r="F61" i="167"/>
  <c r="F62" i="167"/>
  <c r="F63" i="167"/>
  <c r="F64" i="167"/>
  <c r="F65" i="167"/>
  <c r="F66" i="167"/>
  <c r="F67" i="167"/>
  <c r="F68" i="167"/>
  <c r="F69" i="167"/>
  <c r="F70" i="167"/>
  <c r="F71" i="167"/>
  <c r="F72" i="167"/>
  <c r="F73" i="167"/>
  <c r="F74" i="167"/>
  <c r="F75" i="167"/>
  <c r="F76" i="167"/>
  <c r="F77" i="167"/>
  <c r="F78" i="167"/>
  <c r="F79" i="167"/>
  <c r="F80" i="167"/>
  <c r="F81" i="167"/>
  <c r="F82" i="167"/>
  <c r="F83" i="167"/>
  <c r="F84" i="167"/>
  <c r="F85" i="167"/>
  <c r="F86" i="167"/>
  <c r="F87" i="167"/>
  <c r="F88" i="167"/>
  <c r="F89" i="167"/>
  <c r="F90" i="167"/>
  <c r="F91" i="167"/>
  <c r="F92" i="167"/>
  <c r="F93" i="167"/>
  <c r="F94" i="167"/>
  <c r="F95" i="167"/>
  <c r="F96" i="167"/>
  <c r="F97" i="167"/>
  <c r="F98" i="167"/>
  <c r="F99" i="167"/>
  <c r="F100" i="167"/>
  <c r="F101" i="167"/>
  <c r="F102" i="167"/>
  <c r="F103" i="167"/>
  <c r="F104" i="167"/>
  <c r="F105" i="167"/>
  <c r="F106" i="167"/>
  <c r="F107" i="167"/>
  <c r="F108" i="167"/>
  <c r="F109" i="167"/>
  <c r="F110" i="167"/>
  <c r="F111" i="167"/>
  <c r="F112" i="167"/>
  <c r="F113" i="167"/>
  <c r="F114" i="167"/>
  <c r="F115" i="167"/>
  <c r="F116" i="167"/>
  <c r="F117" i="167"/>
  <c r="F118" i="167"/>
  <c r="F119" i="167"/>
  <c r="F120" i="167"/>
  <c r="F121" i="167"/>
  <c r="F122" i="167"/>
  <c r="F123" i="167"/>
  <c r="F124" i="167"/>
  <c r="F125" i="167"/>
  <c r="F126" i="167"/>
  <c r="F127" i="167"/>
  <c r="F128" i="167"/>
  <c r="F129" i="167"/>
  <c r="F130" i="167"/>
  <c r="F131" i="167"/>
  <c r="F132" i="167"/>
  <c r="F133" i="167"/>
  <c r="F134" i="167"/>
  <c r="F135" i="167"/>
  <c r="F136" i="167"/>
  <c r="F137" i="167"/>
  <c r="F138" i="167"/>
  <c r="F139" i="167"/>
  <c r="F140" i="167"/>
  <c r="F141" i="167"/>
  <c r="F142" i="167"/>
  <c r="F143" i="167"/>
  <c r="F144" i="167"/>
  <c r="F145" i="167"/>
  <c r="F146" i="167"/>
  <c r="F147" i="167"/>
  <c r="F148" i="167"/>
  <c r="F149" i="167"/>
  <c r="F150" i="167"/>
  <c r="F151" i="167"/>
  <c r="F152" i="167"/>
  <c r="F153" i="167"/>
  <c r="F154" i="167"/>
  <c r="F155" i="167"/>
  <c r="F156" i="167"/>
  <c r="F157" i="167"/>
  <c r="F158" i="167"/>
  <c r="F159" i="167"/>
  <c r="F160" i="167"/>
  <c r="F161" i="167"/>
  <c r="F162" i="167"/>
  <c r="F163" i="167"/>
  <c r="F164" i="167"/>
  <c r="F165" i="167"/>
  <c r="F166" i="167"/>
  <c r="F167" i="167"/>
  <c r="F168" i="167"/>
  <c r="F169" i="167"/>
  <c r="F170" i="167"/>
  <c r="F171" i="167"/>
  <c r="F172" i="167"/>
  <c r="F173" i="167"/>
  <c r="F174" i="167"/>
  <c r="F175" i="167"/>
  <c r="F176" i="167"/>
  <c r="F177" i="167"/>
  <c r="F178" i="167"/>
  <c r="F179" i="167"/>
  <c r="F180" i="167"/>
  <c r="F181" i="167"/>
  <c r="F182" i="167"/>
  <c r="F183" i="167"/>
  <c r="F184" i="167"/>
  <c r="F185" i="167"/>
  <c r="F186" i="167"/>
  <c r="F187" i="167"/>
  <c r="F188" i="167"/>
  <c r="F189" i="167"/>
  <c r="F190" i="167"/>
  <c r="F191" i="167"/>
  <c r="F192" i="167"/>
  <c r="F193" i="167"/>
  <c r="F194" i="167"/>
  <c r="F195" i="167"/>
  <c r="F196" i="167"/>
  <c r="F197" i="167"/>
  <c r="F198" i="167"/>
  <c r="F199" i="167"/>
  <c r="F200" i="167"/>
  <c r="F201" i="167"/>
  <c r="F202" i="167"/>
  <c r="F203" i="167"/>
  <c r="F204" i="167"/>
  <c r="F205" i="167"/>
  <c r="F206" i="167"/>
  <c r="F207" i="167"/>
  <c r="F208" i="167"/>
  <c r="F209" i="167"/>
  <c r="F210" i="167"/>
  <c r="F211" i="167"/>
  <c r="F212" i="167"/>
  <c r="F213" i="167"/>
  <c r="F214" i="167"/>
  <c r="F215" i="167"/>
  <c r="F216" i="167"/>
  <c r="F217" i="167"/>
  <c r="F218" i="167"/>
  <c r="F219" i="167"/>
  <c r="F220" i="167"/>
  <c r="F221" i="167"/>
  <c r="F222" i="167"/>
  <c r="F223" i="167"/>
  <c r="F224" i="167"/>
  <c r="F225" i="167"/>
  <c r="F226" i="167"/>
  <c r="F227" i="167"/>
  <c r="F228" i="167"/>
  <c r="F229" i="167"/>
  <c r="F230" i="167"/>
  <c r="F231" i="167"/>
  <c r="F232" i="167"/>
  <c r="F233" i="167"/>
  <c r="F234" i="167"/>
  <c r="F235" i="167"/>
  <c r="F236" i="167"/>
  <c r="F237" i="167"/>
  <c r="F238" i="167"/>
  <c r="F239" i="167"/>
  <c r="F240" i="167"/>
  <c r="F241" i="167"/>
  <c r="F242" i="167"/>
  <c r="F243" i="167"/>
  <c r="F244" i="167"/>
  <c r="F245" i="167"/>
  <c r="F246" i="167"/>
  <c r="F247" i="167"/>
  <c r="F248" i="167"/>
  <c r="F249" i="167"/>
  <c r="F250" i="167"/>
  <c r="F251" i="167"/>
  <c r="F252" i="167"/>
  <c r="F253" i="167"/>
  <c r="F254" i="167"/>
  <c r="F255" i="167"/>
  <c r="F256" i="167"/>
  <c r="F257" i="167"/>
  <c r="F258" i="167"/>
  <c r="F259" i="167"/>
  <c r="F260" i="167"/>
  <c r="F261" i="167"/>
  <c r="F262" i="167"/>
  <c r="F263" i="167"/>
  <c r="F264" i="167"/>
  <c r="F265" i="167"/>
  <c r="F266" i="167"/>
  <c r="F267" i="167"/>
  <c r="F268" i="167"/>
  <c r="F269" i="167"/>
  <c r="F270" i="167"/>
  <c r="F271" i="167"/>
  <c r="F272" i="167"/>
  <c r="F273" i="167"/>
  <c r="F274" i="167"/>
  <c r="F275" i="167"/>
  <c r="F276" i="167"/>
  <c r="F277" i="167"/>
  <c r="F278" i="167"/>
  <c r="F279" i="167"/>
  <c r="F280" i="167"/>
  <c r="F281" i="167"/>
  <c r="F282" i="167"/>
  <c r="F283" i="167"/>
  <c r="F284" i="167"/>
  <c r="F285" i="167"/>
  <c r="F286" i="167"/>
  <c r="F287" i="167"/>
  <c r="F288" i="167"/>
  <c r="F289" i="167"/>
  <c r="F290" i="167"/>
  <c r="F291" i="167"/>
  <c r="F292" i="167"/>
  <c r="F293" i="167"/>
  <c r="F294" i="167"/>
  <c r="F295" i="167"/>
  <c r="F296" i="167"/>
  <c r="F297" i="167"/>
  <c r="F298" i="167"/>
  <c r="F299" i="167"/>
  <c r="F300" i="167"/>
  <c r="F301" i="167"/>
  <c r="F302" i="167"/>
  <c r="F303" i="167"/>
  <c r="F304" i="167"/>
  <c r="F305" i="167"/>
  <c r="F306" i="167"/>
  <c r="F307" i="167"/>
  <c r="F308" i="167"/>
  <c r="F309" i="167"/>
  <c r="F310" i="167"/>
  <c r="F311" i="167"/>
  <c r="F312" i="167"/>
  <c r="F313" i="167"/>
  <c r="F314" i="167"/>
  <c r="F315" i="167"/>
  <c r="F316" i="167"/>
  <c r="F317" i="167"/>
  <c r="F318" i="167"/>
  <c r="F319" i="167"/>
  <c r="F320" i="167"/>
  <c r="F321" i="167"/>
  <c r="F322" i="167"/>
  <c r="F323" i="167"/>
  <c r="F324" i="167"/>
  <c r="F325" i="167"/>
  <c r="F326" i="167"/>
  <c r="F327" i="167"/>
  <c r="F328" i="167"/>
  <c r="F329" i="167"/>
  <c r="F330" i="167"/>
  <c r="F331" i="167"/>
  <c r="F332" i="167"/>
  <c r="F333" i="167"/>
  <c r="F334" i="167"/>
  <c r="F335" i="167"/>
  <c r="F336" i="167"/>
  <c r="F337" i="167"/>
  <c r="F338" i="167"/>
  <c r="F339" i="167"/>
  <c r="F340" i="167"/>
  <c r="F341" i="167"/>
  <c r="F342" i="167"/>
  <c r="F343" i="167"/>
  <c r="F344" i="167"/>
  <c r="F345" i="167"/>
  <c r="N346" i="167"/>
  <c r="M346" i="167"/>
  <c r="L346" i="167"/>
  <c r="K346" i="167"/>
  <c r="H346" i="167"/>
  <c r="F346" i="167"/>
  <c r="N345" i="167"/>
  <c r="M345" i="167"/>
  <c r="L345" i="167"/>
  <c r="K345" i="167"/>
  <c r="H345" i="167"/>
  <c r="N344" i="167"/>
  <c r="M344" i="167"/>
  <c r="L344" i="167"/>
  <c r="K344" i="167"/>
  <c r="H344" i="167"/>
  <c r="N343" i="167"/>
  <c r="M343" i="167"/>
  <c r="L343" i="167"/>
  <c r="K343" i="167"/>
  <c r="H343" i="167"/>
  <c r="N342" i="167"/>
  <c r="M342" i="167"/>
  <c r="L342" i="167"/>
  <c r="K342" i="167"/>
  <c r="H342" i="167"/>
  <c r="N341" i="167"/>
  <c r="M341" i="167"/>
  <c r="L341" i="167"/>
  <c r="K341" i="167"/>
  <c r="H341" i="167"/>
  <c r="N340" i="167"/>
  <c r="M340" i="167"/>
  <c r="L340" i="167"/>
  <c r="K340" i="167"/>
  <c r="H340" i="167"/>
  <c r="N339" i="167"/>
  <c r="M339" i="167"/>
  <c r="L339" i="167"/>
  <c r="K339" i="167"/>
  <c r="H339" i="167"/>
  <c r="N338" i="167"/>
  <c r="M338" i="167"/>
  <c r="L338" i="167"/>
  <c r="K338" i="167"/>
  <c r="H338" i="167"/>
  <c r="N337" i="167"/>
  <c r="M337" i="167"/>
  <c r="L337" i="167"/>
  <c r="K337" i="167"/>
  <c r="H337" i="167"/>
  <c r="N336" i="167"/>
  <c r="M336" i="167"/>
  <c r="L336" i="167"/>
  <c r="K336" i="167"/>
  <c r="H336" i="167"/>
  <c r="N335" i="167"/>
  <c r="M335" i="167"/>
  <c r="L335" i="167"/>
  <c r="K335" i="167"/>
  <c r="H335" i="167"/>
  <c r="N334" i="167"/>
  <c r="M334" i="167"/>
  <c r="L334" i="167"/>
  <c r="K334" i="167"/>
  <c r="H334" i="167"/>
  <c r="N333" i="167"/>
  <c r="M333" i="167"/>
  <c r="L333" i="167"/>
  <c r="K333" i="167"/>
  <c r="H333" i="167"/>
  <c r="N332" i="167"/>
  <c r="M332" i="167"/>
  <c r="L332" i="167"/>
  <c r="K332" i="167"/>
  <c r="H332" i="167"/>
  <c r="N331" i="167"/>
  <c r="M331" i="167"/>
  <c r="L331" i="167"/>
  <c r="K331" i="167"/>
  <c r="H331" i="167"/>
  <c r="N330" i="167"/>
  <c r="M330" i="167"/>
  <c r="L330" i="167"/>
  <c r="K330" i="167"/>
  <c r="H330" i="167"/>
  <c r="N329" i="167"/>
  <c r="M329" i="167"/>
  <c r="L329" i="167"/>
  <c r="K329" i="167"/>
  <c r="H329" i="167"/>
  <c r="N328" i="167"/>
  <c r="M328" i="167"/>
  <c r="L328" i="167"/>
  <c r="K328" i="167"/>
  <c r="H328" i="167"/>
  <c r="N327" i="167"/>
  <c r="M327" i="167"/>
  <c r="L327" i="167"/>
  <c r="K327" i="167"/>
  <c r="H327" i="167"/>
  <c r="N326" i="167"/>
  <c r="M326" i="167"/>
  <c r="L326" i="167"/>
  <c r="K326" i="167"/>
  <c r="H326" i="167"/>
  <c r="N325" i="167"/>
  <c r="M325" i="167"/>
  <c r="L325" i="167"/>
  <c r="K325" i="167"/>
  <c r="H325" i="167"/>
  <c r="N324" i="167"/>
  <c r="M324" i="167"/>
  <c r="L324" i="167"/>
  <c r="K324" i="167"/>
  <c r="H324" i="167"/>
  <c r="N323" i="167"/>
  <c r="M323" i="167"/>
  <c r="L323" i="167"/>
  <c r="K323" i="167"/>
  <c r="H323" i="167"/>
  <c r="N322" i="167"/>
  <c r="M322" i="167"/>
  <c r="L322" i="167"/>
  <c r="K322" i="167"/>
  <c r="H322" i="167"/>
  <c r="N321" i="167"/>
  <c r="M321" i="167"/>
  <c r="L321" i="167"/>
  <c r="K321" i="167"/>
  <c r="H321" i="167"/>
  <c r="N320" i="167"/>
  <c r="M320" i="167"/>
  <c r="L320" i="167"/>
  <c r="K320" i="167"/>
  <c r="H320" i="167"/>
  <c r="N319" i="167"/>
  <c r="M319" i="167"/>
  <c r="L319" i="167"/>
  <c r="K319" i="167"/>
  <c r="H319" i="167"/>
  <c r="N318" i="167"/>
  <c r="M318" i="167"/>
  <c r="L318" i="167"/>
  <c r="K318" i="167"/>
  <c r="H318" i="167"/>
  <c r="N317" i="167"/>
  <c r="M317" i="167"/>
  <c r="L317" i="167"/>
  <c r="K317" i="167"/>
  <c r="H317" i="167"/>
  <c r="N316" i="167"/>
  <c r="M316" i="167"/>
  <c r="L316" i="167"/>
  <c r="K316" i="167"/>
  <c r="H316" i="167"/>
  <c r="N315" i="167"/>
  <c r="M315" i="167"/>
  <c r="L315" i="167"/>
  <c r="K315" i="167"/>
  <c r="H315" i="167"/>
  <c r="N314" i="167"/>
  <c r="M314" i="167"/>
  <c r="L314" i="167"/>
  <c r="K314" i="167"/>
  <c r="H314" i="167"/>
  <c r="N313" i="167"/>
  <c r="M313" i="167"/>
  <c r="L313" i="167"/>
  <c r="K313" i="167"/>
  <c r="H313" i="167"/>
  <c r="N312" i="167"/>
  <c r="M312" i="167"/>
  <c r="L312" i="167"/>
  <c r="K312" i="167"/>
  <c r="H312" i="167"/>
  <c r="N311" i="167"/>
  <c r="M311" i="167"/>
  <c r="L311" i="167"/>
  <c r="K311" i="167"/>
  <c r="H311" i="167"/>
  <c r="N310" i="167"/>
  <c r="M310" i="167"/>
  <c r="L310" i="167"/>
  <c r="K310" i="167"/>
  <c r="H310" i="167"/>
  <c r="N309" i="167"/>
  <c r="M309" i="167"/>
  <c r="L309" i="167"/>
  <c r="K309" i="167"/>
  <c r="H309" i="167"/>
  <c r="N308" i="167"/>
  <c r="M308" i="167"/>
  <c r="L308" i="167"/>
  <c r="K308" i="167"/>
  <c r="H308" i="167"/>
  <c r="N307" i="167"/>
  <c r="M307" i="167"/>
  <c r="L307" i="167"/>
  <c r="K307" i="167"/>
  <c r="H307" i="167"/>
  <c r="N306" i="167"/>
  <c r="M306" i="167"/>
  <c r="L306" i="167"/>
  <c r="K306" i="167"/>
  <c r="H306" i="167"/>
  <c r="N305" i="167"/>
  <c r="M305" i="167"/>
  <c r="L305" i="167"/>
  <c r="K305" i="167"/>
  <c r="H305" i="167"/>
  <c r="N304" i="167"/>
  <c r="M304" i="167"/>
  <c r="L304" i="167"/>
  <c r="K304" i="167"/>
  <c r="H304" i="167"/>
  <c r="N303" i="167"/>
  <c r="M303" i="167"/>
  <c r="L303" i="167"/>
  <c r="K303" i="167"/>
  <c r="H303" i="167"/>
  <c r="N302" i="167"/>
  <c r="M302" i="167"/>
  <c r="L302" i="167"/>
  <c r="K302" i="167"/>
  <c r="H302" i="167"/>
  <c r="N301" i="167"/>
  <c r="M301" i="167"/>
  <c r="L301" i="167"/>
  <c r="K301" i="167"/>
  <c r="H301" i="167"/>
  <c r="N300" i="167"/>
  <c r="M300" i="167"/>
  <c r="L300" i="167"/>
  <c r="K300" i="167"/>
  <c r="H300" i="167"/>
  <c r="N299" i="167"/>
  <c r="M299" i="167"/>
  <c r="L299" i="167"/>
  <c r="K299" i="167"/>
  <c r="H299" i="167"/>
  <c r="N298" i="167"/>
  <c r="M298" i="167"/>
  <c r="L298" i="167"/>
  <c r="K298" i="167"/>
  <c r="H298" i="167"/>
  <c r="N297" i="167"/>
  <c r="M297" i="167"/>
  <c r="L297" i="167"/>
  <c r="K297" i="167"/>
  <c r="H297" i="167"/>
  <c r="N296" i="167"/>
  <c r="M296" i="167"/>
  <c r="L296" i="167"/>
  <c r="K296" i="167"/>
  <c r="H296" i="167"/>
  <c r="N295" i="167"/>
  <c r="M295" i="167"/>
  <c r="L295" i="167"/>
  <c r="K295" i="167"/>
  <c r="H295" i="167"/>
  <c r="N294" i="167"/>
  <c r="M294" i="167"/>
  <c r="L294" i="167"/>
  <c r="K294" i="167"/>
  <c r="H294" i="167"/>
  <c r="N293" i="167"/>
  <c r="M293" i="167"/>
  <c r="L293" i="167"/>
  <c r="K293" i="167"/>
  <c r="H293" i="167"/>
  <c r="N292" i="167"/>
  <c r="M292" i="167"/>
  <c r="L292" i="167"/>
  <c r="K292" i="167"/>
  <c r="H292" i="167"/>
  <c r="N291" i="167"/>
  <c r="M291" i="167"/>
  <c r="L291" i="167"/>
  <c r="K291" i="167"/>
  <c r="H291" i="167"/>
  <c r="N290" i="167"/>
  <c r="M290" i="167"/>
  <c r="L290" i="167"/>
  <c r="K290" i="167"/>
  <c r="H290" i="167"/>
  <c r="N289" i="167"/>
  <c r="M289" i="167"/>
  <c r="L289" i="167"/>
  <c r="K289" i="167"/>
  <c r="H289" i="167"/>
  <c r="N288" i="167"/>
  <c r="M288" i="167"/>
  <c r="L288" i="167"/>
  <c r="K288" i="167"/>
  <c r="H288" i="167"/>
  <c r="N287" i="167"/>
  <c r="M287" i="167"/>
  <c r="L287" i="167"/>
  <c r="K287" i="167"/>
  <c r="H287" i="167"/>
  <c r="N286" i="167"/>
  <c r="M286" i="167"/>
  <c r="L286" i="167"/>
  <c r="K286" i="167"/>
  <c r="H286" i="167"/>
  <c r="N285" i="167"/>
  <c r="M285" i="167"/>
  <c r="L285" i="167"/>
  <c r="K285" i="167"/>
  <c r="H285" i="167"/>
  <c r="N284" i="167"/>
  <c r="M284" i="167"/>
  <c r="L284" i="167"/>
  <c r="K284" i="167"/>
  <c r="H284" i="167"/>
  <c r="N283" i="167"/>
  <c r="M283" i="167"/>
  <c r="L283" i="167"/>
  <c r="K283" i="167"/>
  <c r="H283" i="167"/>
  <c r="N282" i="167"/>
  <c r="M282" i="167"/>
  <c r="L282" i="167"/>
  <c r="K282" i="167"/>
  <c r="H282" i="167"/>
  <c r="N281" i="167"/>
  <c r="M281" i="167"/>
  <c r="L281" i="167"/>
  <c r="K281" i="167"/>
  <c r="H281" i="167"/>
  <c r="N280" i="167"/>
  <c r="M280" i="167"/>
  <c r="L280" i="167"/>
  <c r="K280" i="167"/>
  <c r="H280" i="167"/>
  <c r="N279" i="167"/>
  <c r="M279" i="167"/>
  <c r="L279" i="167"/>
  <c r="K279" i="167"/>
  <c r="H279" i="167"/>
  <c r="N278" i="167"/>
  <c r="M278" i="167"/>
  <c r="L278" i="167"/>
  <c r="K278" i="167"/>
  <c r="H278" i="167"/>
  <c r="N277" i="167"/>
  <c r="M277" i="167"/>
  <c r="L277" i="167"/>
  <c r="K277" i="167"/>
  <c r="H277" i="167"/>
  <c r="N276" i="167"/>
  <c r="M276" i="167"/>
  <c r="L276" i="167"/>
  <c r="K276" i="167"/>
  <c r="H276" i="167"/>
  <c r="N275" i="167"/>
  <c r="M275" i="167"/>
  <c r="L275" i="167"/>
  <c r="K275" i="167"/>
  <c r="H275" i="167"/>
  <c r="N274" i="167"/>
  <c r="M274" i="167"/>
  <c r="L274" i="167"/>
  <c r="K274" i="167"/>
  <c r="H274" i="167"/>
  <c r="N273" i="167"/>
  <c r="M273" i="167"/>
  <c r="L273" i="167"/>
  <c r="K273" i="167"/>
  <c r="H273" i="167"/>
  <c r="N272" i="167"/>
  <c r="M272" i="167"/>
  <c r="L272" i="167"/>
  <c r="K272" i="167"/>
  <c r="H272" i="167"/>
  <c r="N271" i="167"/>
  <c r="M271" i="167"/>
  <c r="L271" i="167"/>
  <c r="K271" i="167"/>
  <c r="H271" i="167"/>
  <c r="N270" i="167"/>
  <c r="M270" i="167"/>
  <c r="L270" i="167"/>
  <c r="K270" i="167"/>
  <c r="H270" i="167"/>
  <c r="N269" i="167"/>
  <c r="M269" i="167"/>
  <c r="L269" i="167"/>
  <c r="K269" i="167"/>
  <c r="H269" i="167"/>
  <c r="N268" i="167"/>
  <c r="M268" i="167"/>
  <c r="L268" i="167"/>
  <c r="K268" i="167"/>
  <c r="H268" i="167"/>
  <c r="N267" i="167"/>
  <c r="M267" i="167"/>
  <c r="L267" i="167"/>
  <c r="K267" i="167"/>
  <c r="H267" i="167"/>
  <c r="N266" i="167"/>
  <c r="M266" i="167"/>
  <c r="L266" i="167"/>
  <c r="K266" i="167"/>
  <c r="H266" i="167"/>
  <c r="N265" i="167"/>
  <c r="M265" i="167"/>
  <c r="L265" i="167"/>
  <c r="K265" i="167"/>
  <c r="H265" i="167"/>
  <c r="N264" i="167"/>
  <c r="M264" i="167"/>
  <c r="L264" i="167"/>
  <c r="K264" i="167"/>
  <c r="H264" i="167"/>
  <c r="N263" i="167"/>
  <c r="M263" i="167"/>
  <c r="L263" i="167"/>
  <c r="K263" i="167"/>
  <c r="H263" i="167"/>
  <c r="N262" i="167"/>
  <c r="M262" i="167"/>
  <c r="L262" i="167"/>
  <c r="K262" i="167"/>
  <c r="H262" i="167"/>
  <c r="N261" i="167"/>
  <c r="M261" i="167"/>
  <c r="L261" i="167"/>
  <c r="K261" i="167"/>
  <c r="H261" i="167"/>
  <c r="N260" i="167"/>
  <c r="M260" i="167"/>
  <c r="L260" i="167"/>
  <c r="K260" i="167"/>
  <c r="H260" i="167"/>
  <c r="N259" i="167"/>
  <c r="M259" i="167"/>
  <c r="L259" i="167"/>
  <c r="K259" i="167"/>
  <c r="H259" i="167"/>
  <c r="N258" i="167"/>
  <c r="M258" i="167"/>
  <c r="L258" i="167"/>
  <c r="K258" i="167"/>
  <c r="H258" i="167"/>
  <c r="N257" i="167"/>
  <c r="M257" i="167"/>
  <c r="L257" i="167"/>
  <c r="K257" i="167"/>
  <c r="H257" i="167"/>
  <c r="N256" i="167"/>
  <c r="M256" i="167"/>
  <c r="L256" i="167"/>
  <c r="K256" i="167"/>
  <c r="H256" i="167"/>
  <c r="N255" i="167"/>
  <c r="M255" i="167"/>
  <c r="L255" i="167"/>
  <c r="K255" i="167"/>
  <c r="H255" i="167"/>
  <c r="N254" i="167"/>
  <c r="M254" i="167"/>
  <c r="L254" i="167"/>
  <c r="K254" i="167"/>
  <c r="H254" i="167"/>
  <c r="N253" i="167"/>
  <c r="M253" i="167"/>
  <c r="L253" i="167"/>
  <c r="K253" i="167"/>
  <c r="H253" i="167"/>
  <c r="N252" i="167"/>
  <c r="M252" i="167"/>
  <c r="L252" i="167"/>
  <c r="K252" i="167"/>
  <c r="H252" i="167"/>
  <c r="N251" i="167"/>
  <c r="M251" i="167"/>
  <c r="L251" i="167"/>
  <c r="K251" i="167"/>
  <c r="H251" i="167"/>
  <c r="N250" i="167"/>
  <c r="M250" i="167"/>
  <c r="L250" i="167"/>
  <c r="K250" i="167"/>
  <c r="H250" i="167"/>
  <c r="N249" i="167"/>
  <c r="M249" i="167"/>
  <c r="L249" i="167"/>
  <c r="K249" i="167"/>
  <c r="H249" i="167"/>
  <c r="N248" i="167"/>
  <c r="M248" i="167"/>
  <c r="L248" i="167"/>
  <c r="K248" i="167"/>
  <c r="H248" i="167"/>
  <c r="N247" i="167"/>
  <c r="M247" i="167"/>
  <c r="L247" i="167"/>
  <c r="K247" i="167"/>
  <c r="H247" i="167"/>
  <c r="N246" i="167"/>
  <c r="M246" i="167"/>
  <c r="L246" i="167"/>
  <c r="K246" i="167"/>
  <c r="H246" i="167"/>
  <c r="N245" i="167"/>
  <c r="M245" i="167"/>
  <c r="L245" i="167"/>
  <c r="K245" i="167"/>
  <c r="H245" i="167"/>
  <c r="N244" i="167"/>
  <c r="M244" i="167"/>
  <c r="L244" i="167"/>
  <c r="K244" i="167"/>
  <c r="H244" i="167"/>
  <c r="N243" i="167"/>
  <c r="M243" i="167"/>
  <c r="L243" i="167"/>
  <c r="K243" i="167"/>
  <c r="H243" i="167"/>
  <c r="N242" i="167"/>
  <c r="M242" i="167"/>
  <c r="L242" i="167"/>
  <c r="K242" i="167"/>
  <c r="H242" i="167"/>
  <c r="N241" i="167"/>
  <c r="M241" i="167"/>
  <c r="L241" i="167"/>
  <c r="K241" i="167"/>
  <c r="H241" i="167"/>
  <c r="N240" i="167"/>
  <c r="M240" i="167"/>
  <c r="L240" i="167"/>
  <c r="K240" i="167"/>
  <c r="H240" i="167"/>
  <c r="N239" i="167"/>
  <c r="M239" i="167"/>
  <c r="L239" i="167"/>
  <c r="K239" i="167"/>
  <c r="H239" i="167"/>
  <c r="N238" i="167"/>
  <c r="M238" i="167"/>
  <c r="L238" i="167"/>
  <c r="K238" i="167"/>
  <c r="H238" i="167"/>
  <c r="N237" i="167"/>
  <c r="M237" i="167"/>
  <c r="L237" i="167"/>
  <c r="K237" i="167"/>
  <c r="H237" i="167"/>
  <c r="N236" i="167"/>
  <c r="M236" i="167"/>
  <c r="L236" i="167"/>
  <c r="K236" i="167"/>
  <c r="H236" i="167"/>
  <c r="N235" i="167"/>
  <c r="M235" i="167"/>
  <c r="L235" i="167"/>
  <c r="K235" i="167"/>
  <c r="H235" i="167"/>
  <c r="N234" i="167"/>
  <c r="M234" i="167"/>
  <c r="L234" i="167"/>
  <c r="K234" i="167"/>
  <c r="H234" i="167"/>
  <c r="N233" i="167"/>
  <c r="M233" i="167"/>
  <c r="L233" i="167"/>
  <c r="K233" i="167"/>
  <c r="H233" i="167"/>
  <c r="N232" i="167"/>
  <c r="M232" i="167"/>
  <c r="L232" i="167"/>
  <c r="K232" i="167"/>
  <c r="H232" i="167"/>
  <c r="N231" i="167"/>
  <c r="M231" i="167"/>
  <c r="L231" i="167"/>
  <c r="K231" i="167"/>
  <c r="H231" i="167"/>
  <c r="N230" i="167"/>
  <c r="M230" i="167"/>
  <c r="L230" i="167"/>
  <c r="K230" i="167"/>
  <c r="H230" i="167"/>
  <c r="N229" i="167"/>
  <c r="M229" i="167"/>
  <c r="L229" i="167"/>
  <c r="K229" i="167"/>
  <c r="H229" i="167"/>
  <c r="N228" i="167"/>
  <c r="M228" i="167"/>
  <c r="L228" i="167"/>
  <c r="K228" i="167"/>
  <c r="H228" i="167"/>
  <c r="N227" i="167"/>
  <c r="M227" i="167"/>
  <c r="L227" i="167"/>
  <c r="K227" i="167"/>
  <c r="H227" i="167"/>
  <c r="N226" i="167"/>
  <c r="M226" i="167"/>
  <c r="L226" i="167"/>
  <c r="K226" i="167"/>
  <c r="H226" i="167"/>
  <c r="N225" i="167"/>
  <c r="M225" i="167"/>
  <c r="L225" i="167"/>
  <c r="K225" i="167"/>
  <c r="H225" i="167"/>
  <c r="N224" i="167"/>
  <c r="M224" i="167"/>
  <c r="L224" i="167"/>
  <c r="K224" i="167"/>
  <c r="H224" i="167"/>
  <c r="N223" i="167"/>
  <c r="M223" i="167"/>
  <c r="L223" i="167"/>
  <c r="K223" i="167"/>
  <c r="H223" i="167"/>
  <c r="N222" i="167"/>
  <c r="M222" i="167"/>
  <c r="L222" i="167"/>
  <c r="K222" i="167"/>
  <c r="H222" i="167"/>
  <c r="N221" i="167"/>
  <c r="M221" i="167"/>
  <c r="L221" i="167"/>
  <c r="K221" i="167"/>
  <c r="H221" i="167"/>
  <c r="N220" i="167"/>
  <c r="M220" i="167"/>
  <c r="L220" i="167"/>
  <c r="K220" i="167"/>
  <c r="H220" i="167"/>
  <c r="N219" i="167"/>
  <c r="M219" i="167"/>
  <c r="L219" i="167"/>
  <c r="K219" i="167"/>
  <c r="H219" i="167"/>
  <c r="N218" i="167"/>
  <c r="M218" i="167"/>
  <c r="L218" i="167"/>
  <c r="K218" i="167"/>
  <c r="H218" i="167"/>
  <c r="N217" i="167"/>
  <c r="M217" i="167"/>
  <c r="L217" i="167"/>
  <c r="K217" i="167"/>
  <c r="H217" i="167"/>
  <c r="N216" i="167"/>
  <c r="M216" i="167"/>
  <c r="L216" i="167"/>
  <c r="K216" i="167"/>
  <c r="H216" i="167"/>
  <c r="N215" i="167"/>
  <c r="M215" i="167"/>
  <c r="L215" i="167"/>
  <c r="K215" i="167"/>
  <c r="H215" i="167"/>
  <c r="N214" i="167"/>
  <c r="M214" i="167"/>
  <c r="L214" i="167"/>
  <c r="K214" i="167"/>
  <c r="H214" i="167"/>
  <c r="N213" i="167"/>
  <c r="M213" i="167"/>
  <c r="L213" i="167"/>
  <c r="K213" i="167"/>
  <c r="H213" i="167"/>
  <c r="N212" i="167"/>
  <c r="M212" i="167"/>
  <c r="L212" i="167"/>
  <c r="K212" i="167"/>
  <c r="H212" i="167"/>
  <c r="N211" i="167"/>
  <c r="M211" i="167"/>
  <c r="L211" i="167"/>
  <c r="K211" i="167"/>
  <c r="H211" i="167"/>
  <c r="N210" i="167"/>
  <c r="M210" i="167"/>
  <c r="L210" i="167"/>
  <c r="K210" i="167"/>
  <c r="H210" i="167"/>
  <c r="N209" i="167"/>
  <c r="M209" i="167"/>
  <c r="L209" i="167"/>
  <c r="K209" i="167"/>
  <c r="H209" i="167"/>
  <c r="N208" i="167"/>
  <c r="M208" i="167"/>
  <c r="L208" i="167"/>
  <c r="K208" i="167"/>
  <c r="H208" i="167"/>
  <c r="N207" i="167"/>
  <c r="M207" i="167"/>
  <c r="L207" i="167"/>
  <c r="K207" i="167"/>
  <c r="H207" i="167"/>
  <c r="N206" i="167"/>
  <c r="M206" i="167"/>
  <c r="L206" i="167"/>
  <c r="K206" i="167"/>
  <c r="H206" i="167"/>
  <c r="N205" i="167"/>
  <c r="M205" i="167"/>
  <c r="L205" i="167"/>
  <c r="K205" i="167"/>
  <c r="H205" i="167"/>
  <c r="N204" i="167"/>
  <c r="M204" i="167"/>
  <c r="L204" i="167"/>
  <c r="K204" i="167"/>
  <c r="H204" i="167"/>
  <c r="N203" i="167"/>
  <c r="M203" i="167"/>
  <c r="L203" i="167"/>
  <c r="K203" i="167"/>
  <c r="H203" i="167"/>
  <c r="N202" i="167"/>
  <c r="M202" i="167"/>
  <c r="L202" i="167"/>
  <c r="K202" i="167"/>
  <c r="H202" i="167"/>
  <c r="N201" i="167"/>
  <c r="M201" i="167"/>
  <c r="L201" i="167"/>
  <c r="K201" i="167"/>
  <c r="H201" i="167"/>
  <c r="N200" i="167"/>
  <c r="M200" i="167"/>
  <c r="L200" i="167"/>
  <c r="K200" i="167"/>
  <c r="H200" i="167"/>
  <c r="N199" i="167"/>
  <c r="M199" i="167"/>
  <c r="L199" i="167"/>
  <c r="K199" i="167"/>
  <c r="H199" i="167"/>
  <c r="N198" i="167"/>
  <c r="M198" i="167"/>
  <c r="L198" i="167"/>
  <c r="K198" i="167"/>
  <c r="H198" i="167"/>
  <c r="N197" i="167"/>
  <c r="M197" i="167"/>
  <c r="L197" i="167"/>
  <c r="K197" i="167"/>
  <c r="H197" i="167"/>
  <c r="N196" i="167"/>
  <c r="M196" i="167"/>
  <c r="L196" i="167"/>
  <c r="K196" i="167"/>
  <c r="H196" i="167"/>
  <c r="N195" i="167"/>
  <c r="M195" i="167"/>
  <c r="L195" i="167"/>
  <c r="K195" i="167"/>
  <c r="H195" i="167"/>
  <c r="N194" i="167"/>
  <c r="M194" i="167"/>
  <c r="L194" i="167"/>
  <c r="K194" i="167"/>
  <c r="H194" i="167"/>
  <c r="N193" i="167"/>
  <c r="M193" i="167"/>
  <c r="L193" i="167"/>
  <c r="K193" i="167"/>
  <c r="H193" i="167"/>
  <c r="N192" i="167"/>
  <c r="M192" i="167"/>
  <c r="L192" i="167"/>
  <c r="K192" i="167"/>
  <c r="H192" i="167"/>
  <c r="N191" i="167"/>
  <c r="M191" i="167"/>
  <c r="L191" i="167"/>
  <c r="K191" i="167"/>
  <c r="H191" i="167"/>
  <c r="N190" i="167"/>
  <c r="M190" i="167"/>
  <c r="L190" i="167"/>
  <c r="K190" i="167"/>
  <c r="H190" i="167"/>
  <c r="N189" i="167"/>
  <c r="M189" i="167"/>
  <c r="L189" i="167"/>
  <c r="K189" i="167"/>
  <c r="H189" i="167"/>
  <c r="N188" i="167"/>
  <c r="M188" i="167"/>
  <c r="L188" i="167"/>
  <c r="K188" i="167"/>
  <c r="H188" i="167"/>
  <c r="N187" i="167"/>
  <c r="M187" i="167"/>
  <c r="L187" i="167"/>
  <c r="K187" i="167"/>
  <c r="H187" i="167"/>
  <c r="N186" i="167"/>
  <c r="M186" i="167"/>
  <c r="L186" i="167"/>
  <c r="K186" i="167"/>
  <c r="H186" i="167"/>
  <c r="N185" i="167"/>
  <c r="M185" i="167"/>
  <c r="L185" i="167"/>
  <c r="K185" i="167"/>
  <c r="H185" i="167"/>
  <c r="N184" i="167"/>
  <c r="M184" i="167"/>
  <c r="L184" i="167"/>
  <c r="K184" i="167"/>
  <c r="H184" i="167"/>
  <c r="N183" i="167"/>
  <c r="M183" i="167"/>
  <c r="L183" i="167"/>
  <c r="K183" i="167"/>
  <c r="H183" i="167"/>
  <c r="N182" i="167"/>
  <c r="M182" i="167"/>
  <c r="L182" i="167"/>
  <c r="K182" i="167"/>
  <c r="H182" i="167"/>
  <c r="N181" i="167"/>
  <c r="M181" i="167"/>
  <c r="L181" i="167"/>
  <c r="K181" i="167"/>
  <c r="H181" i="167"/>
  <c r="N180" i="167"/>
  <c r="M180" i="167"/>
  <c r="L180" i="167"/>
  <c r="K180" i="167"/>
  <c r="H180" i="167"/>
  <c r="N179" i="167"/>
  <c r="M179" i="167"/>
  <c r="L179" i="167"/>
  <c r="K179" i="167"/>
  <c r="H179" i="167"/>
  <c r="N178" i="167"/>
  <c r="M178" i="167"/>
  <c r="L178" i="167"/>
  <c r="K178" i="167"/>
  <c r="H178" i="167"/>
  <c r="N177" i="167"/>
  <c r="M177" i="167"/>
  <c r="L177" i="167"/>
  <c r="K177" i="167"/>
  <c r="H177" i="167"/>
  <c r="N176" i="167"/>
  <c r="M176" i="167"/>
  <c r="L176" i="167"/>
  <c r="K176" i="167"/>
  <c r="H176" i="167"/>
  <c r="N175" i="167"/>
  <c r="M175" i="167"/>
  <c r="L175" i="167"/>
  <c r="K175" i="167"/>
  <c r="H175" i="167"/>
  <c r="N174" i="167"/>
  <c r="M174" i="167"/>
  <c r="L174" i="167"/>
  <c r="K174" i="167"/>
  <c r="H174" i="167"/>
  <c r="N173" i="167"/>
  <c r="M173" i="167"/>
  <c r="L173" i="167"/>
  <c r="K173" i="167"/>
  <c r="H173" i="167"/>
  <c r="N172" i="167"/>
  <c r="M172" i="167"/>
  <c r="L172" i="167"/>
  <c r="K172" i="167"/>
  <c r="H172" i="167"/>
  <c r="N171" i="167"/>
  <c r="M171" i="167"/>
  <c r="L171" i="167"/>
  <c r="K171" i="167"/>
  <c r="H171" i="167"/>
  <c r="N170" i="167"/>
  <c r="M170" i="167"/>
  <c r="L170" i="167"/>
  <c r="K170" i="167"/>
  <c r="H170" i="167"/>
  <c r="N169" i="167"/>
  <c r="M169" i="167"/>
  <c r="L169" i="167"/>
  <c r="K169" i="167"/>
  <c r="H169" i="167"/>
  <c r="N168" i="167"/>
  <c r="M168" i="167"/>
  <c r="L168" i="167"/>
  <c r="K168" i="167"/>
  <c r="H168" i="167"/>
  <c r="N167" i="167"/>
  <c r="M167" i="167"/>
  <c r="L167" i="167"/>
  <c r="K167" i="167"/>
  <c r="H167" i="167"/>
  <c r="N166" i="167"/>
  <c r="M166" i="167"/>
  <c r="L166" i="167"/>
  <c r="K166" i="167"/>
  <c r="H166" i="167"/>
  <c r="N165" i="167"/>
  <c r="M165" i="167"/>
  <c r="L165" i="167"/>
  <c r="K165" i="167"/>
  <c r="H165" i="167"/>
  <c r="N164" i="167"/>
  <c r="M164" i="167"/>
  <c r="L164" i="167"/>
  <c r="K164" i="167"/>
  <c r="H164" i="167"/>
  <c r="N163" i="167"/>
  <c r="M163" i="167"/>
  <c r="L163" i="167"/>
  <c r="K163" i="167"/>
  <c r="H163" i="167"/>
  <c r="N162" i="167"/>
  <c r="M162" i="167"/>
  <c r="L162" i="167"/>
  <c r="K162" i="167"/>
  <c r="H162" i="167"/>
  <c r="N161" i="167"/>
  <c r="M161" i="167"/>
  <c r="L161" i="167"/>
  <c r="K161" i="167"/>
  <c r="H161" i="167"/>
  <c r="N160" i="167"/>
  <c r="M160" i="167"/>
  <c r="L160" i="167"/>
  <c r="K160" i="167"/>
  <c r="H160" i="167"/>
  <c r="N159" i="167"/>
  <c r="M159" i="167"/>
  <c r="L159" i="167"/>
  <c r="K159" i="167"/>
  <c r="H159" i="167"/>
  <c r="N158" i="167"/>
  <c r="M158" i="167"/>
  <c r="L158" i="167"/>
  <c r="K158" i="167"/>
  <c r="H158" i="167"/>
  <c r="N157" i="167"/>
  <c r="M157" i="167"/>
  <c r="L157" i="167"/>
  <c r="K157" i="167"/>
  <c r="H157" i="167"/>
  <c r="N156" i="167"/>
  <c r="M156" i="167"/>
  <c r="L156" i="167"/>
  <c r="K156" i="167"/>
  <c r="H156" i="167"/>
  <c r="N155" i="167"/>
  <c r="M155" i="167"/>
  <c r="L155" i="167"/>
  <c r="K155" i="167"/>
  <c r="H155" i="167"/>
  <c r="N154" i="167"/>
  <c r="M154" i="167"/>
  <c r="L154" i="167"/>
  <c r="K154" i="167"/>
  <c r="H154" i="167"/>
  <c r="N153" i="167"/>
  <c r="M153" i="167"/>
  <c r="L153" i="167"/>
  <c r="K153" i="167"/>
  <c r="H153" i="167"/>
  <c r="N152" i="167"/>
  <c r="M152" i="167"/>
  <c r="L152" i="167"/>
  <c r="K152" i="167"/>
  <c r="H152" i="167"/>
  <c r="N151" i="167"/>
  <c r="M151" i="167"/>
  <c r="L151" i="167"/>
  <c r="K151" i="167"/>
  <c r="H151" i="167"/>
  <c r="N150" i="167"/>
  <c r="M150" i="167"/>
  <c r="L150" i="167"/>
  <c r="K150" i="167"/>
  <c r="H150" i="167"/>
  <c r="N149" i="167"/>
  <c r="M149" i="167"/>
  <c r="L149" i="167"/>
  <c r="K149" i="167"/>
  <c r="H149" i="167"/>
  <c r="N148" i="167"/>
  <c r="M148" i="167"/>
  <c r="L148" i="167"/>
  <c r="K148" i="167"/>
  <c r="H148" i="167"/>
  <c r="N147" i="167"/>
  <c r="M147" i="167"/>
  <c r="L147" i="167"/>
  <c r="K147" i="167"/>
  <c r="H147" i="167"/>
  <c r="N146" i="167"/>
  <c r="M146" i="167"/>
  <c r="L146" i="167"/>
  <c r="K146" i="167"/>
  <c r="H146" i="167"/>
  <c r="N145" i="167"/>
  <c r="M145" i="167"/>
  <c r="L145" i="167"/>
  <c r="K145" i="167"/>
  <c r="H145" i="167"/>
  <c r="N144" i="167"/>
  <c r="M144" i="167"/>
  <c r="L144" i="167"/>
  <c r="K144" i="167"/>
  <c r="H144" i="167"/>
  <c r="N143" i="167"/>
  <c r="M143" i="167"/>
  <c r="L143" i="167"/>
  <c r="K143" i="167"/>
  <c r="H143" i="167"/>
  <c r="N142" i="167"/>
  <c r="M142" i="167"/>
  <c r="L142" i="167"/>
  <c r="K142" i="167"/>
  <c r="H142" i="167"/>
  <c r="N141" i="167"/>
  <c r="M141" i="167"/>
  <c r="L141" i="167"/>
  <c r="K141" i="167"/>
  <c r="H141" i="167"/>
  <c r="N140" i="167"/>
  <c r="M140" i="167"/>
  <c r="L140" i="167"/>
  <c r="K140" i="167"/>
  <c r="H140" i="167"/>
  <c r="N139" i="167"/>
  <c r="M139" i="167"/>
  <c r="L139" i="167"/>
  <c r="K139" i="167"/>
  <c r="H139" i="167"/>
  <c r="N138" i="167"/>
  <c r="M138" i="167"/>
  <c r="L138" i="167"/>
  <c r="K138" i="167"/>
  <c r="H138" i="167"/>
  <c r="N137" i="167"/>
  <c r="M137" i="167"/>
  <c r="L137" i="167"/>
  <c r="K137" i="167"/>
  <c r="H137" i="167"/>
  <c r="N136" i="167"/>
  <c r="M136" i="167"/>
  <c r="L136" i="167"/>
  <c r="K136" i="167"/>
  <c r="H136" i="167"/>
  <c r="N135" i="167"/>
  <c r="M135" i="167"/>
  <c r="L135" i="167"/>
  <c r="K135" i="167"/>
  <c r="H135" i="167"/>
  <c r="N134" i="167"/>
  <c r="M134" i="167"/>
  <c r="L134" i="167"/>
  <c r="K134" i="167"/>
  <c r="H134" i="167"/>
  <c r="N133" i="167"/>
  <c r="M133" i="167"/>
  <c r="L133" i="167"/>
  <c r="K133" i="167"/>
  <c r="H133" i="167"/>
  <c r="N132" i="167"/>
  <c r="M132" i="167"/>
  <c r="L132" i="167"/>
  <c r="K132" i="167"/>
  <c r="H132" i="167"/>
  <c r="N131" i="167"/>
  <c r="M131" i="167"/>
  <c r="L131" i="167"/>
  <c r="K131" i="167"/>
  <c r="H131" i="167"/>
  <c r="N130" i="167"/>
  <c r="M130" i="167"/>
  <c r="L130" i="167"/>
  <c r="K130" i="167"/>
  <c r="H130" i="167"/>
  <c r="N129" i="167"/>
  <c r="M129" i="167"/>
  <c r="L129" i="167"/>
  <c r="K129" i="167"/>
  <c r="H129" i="167"/>
  <c r="N128" i="167"/>
  <c r="M128" i="167"/>
  <c r="L128" i="167"/>
  <c r="K128" i="167"/>
  <c r="H128" i="167"/>
  <c r="N127" i="167"/>
  <c r="M127" i="167"/>
  <c r="L127" i="167"/>
  <c r="K127" i="167"/>
  <c r="H127" i="167"/>
  <c r="N126" i="167"/>
  <c r="M126" i="167"/>
  <c r="L126" i="167"/>
  <c r="K126" i="167"/>
  <c r="H126" i="167"/>
  <c r="N125" i="167"/>
  <c r="M125" i="167"/>
  <c r="L125" i="167"/>
  <c r="K125" i="167"/>
  <c r="H125" i="167"/>
  <c r="N124" i="167"/>
  <c r="M124" i="167"/>
  <c r="L124" i="167"/>
  <c r="K124" i="167"/>
  <c r="H124" i="167"/>
  <c r="N123" i="167"/>
  <c r="M123" i="167"/>
  <c r="L123" i="167"/>
  <c r="K123" i="167"/>
  <c r="H123" i="167"/>
  <c r="N122" i="167"/>
  <c r="M122" i="167"/>
  <c r="L122" i="167"/>
  <c r="K122" i="167"/>
  <c r="H122" i="167"/>
  <c r="N121" i="167"/>
  <c r="M121" i="167"/>
  <c r="L121" i="167"/>
  <c r="K121" i="167"/>
  <c r="H121" i="167"/>
  <c r="N120" i="167"/>
  <c r="M120" i="167"/>
  <c r="L120" i="167"/>
  <c r="K120" i="167"/>
  <c r="H120" i="167"/>
  <c r="N119" i="167"/>
  <c r="M119" i="167"/>
  <c r="L119" i="167"/>
  <c r="K119" i="167"/>
  <c r="H119" i="167"/>
  <c r="N118" i="167"/>
  <c r="M118" i="167"/>
  <c r="L118" i="167"/>
  <c r="K118" i="167"/>
  <c r="H118" i="167"/>
  <c r="N117" i="167"/>
  <c r="M117" i="167"/>
  <c r="L117" i="167"/>
  <c r="K117" i="167"/>
  <c r="H117" i="167"/>
  <c r="N116" i="167"/>
  <c r="M116" i="167"/>
  <c r="L116" i="167"/>
  <c r="K116" i="167"/>
  <c r="H116" i="167"/>
  <c r="N115" i="167"/>
  <c r="M115" i="167"/>
  <c r="L115" i="167"/>
  <c r="K115" i="167"/>
  <c r="H115" i="167"/>
  <c r="N114" i="167"/>
  <c r="M114" i="167"/>
  <c r="L114" i="167"/>
  <c r="K114" i="167"/>
  <c r="H114" i="167"/>
  <c r="N113" i="167"/>
  <c r="M113" i="167"/>
  <c r="L113" i="167"/>
  <c r="K113" i="167"/>
  <c r="H113" i="167"/>
  <c r="N112" i="167"/>
  <c r="M112" i="167"/>
  <c r="L112" i="167"/>
  <c r="K112" i="167"/>
  <c r="H112" i="167"/>
  <c r="N111" i="167"/>
  <c r="M111" i="167"/>
  <c r="L111" i="167"/>
  <c r="K111" i="167"/>
  <c r="H111" i="167"/>
  <c r="N110" i="167"/>
  <c r="M110" i="167"/>
  <c r="L110" i="167"/>
  <c r="K110" i="167"/>
  <c r="H110" i="167"/>
  <c r="N109" i="167"/>
  <c r="M109" i="167"/>
  <c r="L109" i="167"/>
  <c r="K109" i="167"/>
  <c r="H109" i="167"/>
  <c r="N108" i="167"/>
  <c r="M108" i="167"/>
  <c r="L108" i="167"/>
  <c r="K108" i="167"/>
  <c r="H108" i="167"/>
  <c r="N107" i="167"/>
  <c r="M107" i="167"/>
  <c r="L107" i="167"/>
  <c r="K107" i="167"/>
  <c r="H107" i="167"/>
  <c r="N106" i="167"/>
  <c r="M106" i="167"/>
  <c r="L106" i="167"/>
  <c r="K106" i="167"/>
  <c r="H106" i="167"/>
  <c r="N105" i="167"/>
  <c r="M105" i="167"/>
  <c r="L105" i="167"/>
  <c r="K105" i="167"/>
  <c r="H105" i="167"/>
  <c r="N104" i="167"/>
  <c r="M104" i="167"/>
  <c r="L104" i="167"/>
  <c r="K104" i="167"/>
  <c r="H104" i="167"/>
  <c r="N103" i="167"/>
  <c r="M103" i="167"/>
  <c r="L103" i="167"/>
  <c r="K103" i="167"/>
  <c r="H103" i="167"/>
  <c r="N102" i="167"/>
  <c r="M102" i="167"/>
  <c r="L102" i="167"/>
  <c r="K102" i="167"/>
  <c r="H102" i="167"/>
  <c r="N101" i="167"/>
  <c r="M101" i="167"/>
  <c r="L101" i="167"/>
  <c r="K101" i="167"/>
  <c r="H101" i="167"/>
  <c r="N100" i="167"/>
  <c r="M100" i="167"/>
  <c r="L100" i="167"/>
  <c r="K100" i="167"/>
  <c r="H100" i="167"/>
  <c r="N99" i="167"/>
  <c r="M99" i="167"/>
  <c r="L99" i="167"/>
  <c r="K99" i="167"/>
  <c r="H99" i="167"/>
  <c r="N98" i="167"/>
  <c r="M98" i="167"/>
  <c r="L98" i="167"/>
  <c r="K98" i="167"/>
  <c r="H98" i="167"/>
  <c r="N97" i="167"/>
  <c r="M97" i="167"/>
  <c r="L97" i="167"/>
  <c r="K97" i="167"/>
  <c r="H97" i="167"/>
  <c r="N96" i="167"/>
  <c r="M96" i="167"/>
  <c r="L96" i="167"/>
  <c r="K96" i="167"/>
  <c r="H96" i="167"/>
  <c r="N95" i="167"/>
  <c r="M95" i="167"/>
  <c r="L95" i="167"/>
  <c r="K95" i="167"/>
  <c r="H95" i="167"/>
  <c r="N94" i="167"/>
  <c r="M94" i="167"/>
  <c r="L94" i="167"/>
  <c r="K94" i="167"/>
  <c r="H94" i="167"/>
  <c r="N93" i="167"/>
  <c r="M93" i="167"/>
  <c r="L93" i="167"/>
  <c r="K93" i="167"/>
  <c r="H93" i="167"/>
  <c r="N92" i="167"/>
  <c r="M92" i="167"/>
  <c r="L92" i="167"/>
  <c r="K92" i="167"/>
  <c r="H92" i="167"/>
  <c r="N91" i="167"/>
  <c r="M91" i="167"/>
  <c r="L91" i="167"/>
  <c r="K91" i="167"/>
  <c r="H91" i="167"/>
  <c r="N90" i="167"/>
  <c r="M90" i="167"/>
  <c r="L90" i="167"/>
  <c r="K90" i="167"/>
  <c r="H90" i="167"/>
  <c r="N89" i="167"/>
  <c r="M89" i="167"/>
  <c r="L89" i="167"/>
  <c r="K89" i="167"/>
  <c r="H89" i="167"/>
  <c r="N88" i="167"/>
  <c r="M88" i="167"/>
  <c r="L88" i="167"/>
  <c r="K88" i="167"/>
  <c r="H88" i="167"/>
  <c r="N87" i="167"/>
  <c r="M87" i="167"/>
  <c r="L87" i="167"/>
  <c r="K87" i="167"/>
  <c r="H87" i="167"/>
  <c r="N86" i="167"/>
  <c r="M86" i="167"/>
  <c r="L86" i="167"/>
  <c r="K86" i="167"/>
  <c r="H86" i="167"/>
  <c r="N85" i="167"/>
  <c r="M85" i="167"/>
  <c r="L85" i="167"/>
  <c r="K85" i="167"/>
  <c r="H85" i="167"/>
  <c r="N84" i="167"/>
  <c r="M84" i="167"/>
  <c r="L84" i="167"/>
  <c r="K84" i="167"/>
  <c r="H84" i="167"/>
  <c r="N83" i="167"/>
  <c r="M83" i="167"/>
  <c r="L83" i="167"/>
  <c r="K83" i="167"/>
  <c r="H83" i="167"/>
  <c r="N82" i="167"/>
  <c r="M82" i="167"/>
  <c r="L82" i="167"/>
  <c r="K82" i="167"/>
  <c r="H82" i="167"/>
  <c r="N81" i="167"/>
  <c r="M81" i="167"/>
  <c r="L81" i="167"/>
  <c r="K81" i="167"/>
  <c r="H81" i="167"/>
  <c r="N80" i="167"/>
  <c r="M80" i="167"/>
  <c r="L80" i="167"/>
  <c r="K80" i="167"/>
  <c r="H80" i="167"/>
  <c r="N79" i="167"/>
  <c r="M79" i="167"/>
  <c r="L79" i="167"/>
  <c r="K79" i="167"/>
  <c r="H79" i="167"/>
  <c r="N78" i="167"/>
  <c r="M78" i="167"/>
  <c r="L78" i="167"/>
  <c r="K78" i="167"/>
  <c r="H78" i="167"/>
  <c r="N77" i="167"/>
  <c r="M77" i="167"/>
  <c r="L77" i="167"/>
  <c r="K77" i="167"/>
  <c r="H77" i="167"/>
  <c r="N76" i="167"/>
  <c r="M76" i="167"/>
  <c r="L76" i="167"/>
  <c r="K76" i="167"/>
  <c r="H76" i="167"/>
  <c r="N75" i="167"/>
  <c r="M75" i="167"/>
  <c r="L75" i="167"/>
  <c r="K75" i="167"/>
  <c r="H75" i="167"/>
  <c r="N74" i="167"/>
  <c r="M74" i="167"/>
  <c r="L74" i="167"/>
  <c r="K74" i="167"/>
  <c r="H74" i="167"/>
  <c r="N73" i="167"/>
  <c r="M73" i="167"/>
  <c r="L73" i="167"/>
  <c r="K73" i="167"/>
  <c r="H73" i="167"/>
  <c r="N72" i="167"/>
  <c r="M72" i="167"/>
  <c r="L72" i="167"/>
  <c r="K72" i="167"/>
  <c r="H72" i="167"/>
  <c r="N71" i="167"/>
  <c r="M71" i="167"/>
  <c r="L71" i="167"/>
  <c r="K71" i="167"/>
  <c r="H71" i="167"/>
  <c r="N70" i="167"/>
  <c r="M70" i="167"/>
  <c r="L70" i="167"/>
  <c r="K70" i="167"/>
  <c r="H70" i="167"/>
  <c r="N69" i="167"/>
  <c r="M69" i="167"/>
  <c r="L69" i="167"/>
  <c r="K69" i="167"/>
  <c r="H69" i="167"/>
  <c r="N68" i="167"/>
  <c r="M68" i="167"/>
  <c r="L68" i="167"/>
  <c r="K68" i="167"/>
  <c r="H68" i="167"/>
  <c r="N67" i="167"/>
  <c r="M67" i="167"/>
  <c r="L67" i="167"/>
  <c r="K67" i="167"/>
  <c r="H67" i="167"/>
  <c r="N66" i="167"/>
  <c r="M66" i="167"/>
  <c r="L66" i="167"/>
  <c r="K66" i="167"/>
  <c r="H66" i="167"/>
  <c r="N65" i="167"/>
  <c r="M65" i="167"/>
  <c r="L65" i="167"/>
  <c r="K65" i="167"/>
  <c r="H65" i="167"/>
  <c r="N64" i="167"/>
  <c r="M64" i="167"/>
  <c r="L64" i="167"/>
  <c r="K64" i="167"/>
  <c r="H64" i="167"/>
  <c r="N63" i="167"/>
  <c r="M63" i="167"/>
  <c r="L63" i="167"/>
  <c r="K63" i="167"/>
  <c r="H63" i="167"/>
  <c r="N62" i="167"/>
  <c r="M62" i="167"/>
  <c r="L62" i="167"/>
  <c r="K62" i="167"/>
  <c r="H62" i="167"/>
  <c r="N61" i="167"/>
  <c r="M61" i="167"/>
  <c r="L61" i="167"/>
  <c r="K61" i="167"/>
  <c r="H61" i="167"/>
  <c r="N60" i="167"/>
  <c r="M60" i="167"/>
  <c r="L60" i="167"/>
  <c r="K60" i="167"/>
  <c r="H60" i="167"/>
  <c r="N59" i="167"/>
  <c r="M59" i="167"/>
  <c r="L59" i="167"/>
  <c r="K59" i="167"/>
  <c r="H59" i="167"/>
  <c r="N58" i="167"/>
  <c r="M58" i="167"/>
  <c r="L58" i="167"/>
  <c r="K58" i="167"/>
  <c r="H58" i="167"/>
  <c r="N57" i="167"/>
  <c r="M57" i="167"/>
  <c r="L57" i="167"/>
  <c r="K57" i="167"/>
  <c r="H57" i="167"/>
  <c r="N56" i="167"/>
  <c r="M56" i="167"/>
  <c r="L56" i="167"/>
  <c r="K56" i="167"/>
  <c r="H56" i="167"/>
  <c r="N55" i="167"/>
  <c r="M55" i="167"/>
  <c r="L55" i="167"/>
  <c r="K55" i="167"/>
  <c r="H55" i="167"/>
  <c r="N54" i="167"/>
  <c r="M54" i="167"/>
  <c r="L54" i="167"/>
  <c r="K54" i="167"/>
  <c r="H54" i="167"/>
  <c r="N53" i="167"/>
  <c r="M53" i="167"/>
  <c r="L53" i="167"/>
  <c r="K53" i="167"/>
  <c r="H53" i="167"/>
  <c r="N52" i="167"/>
  <c r="M52" i="167"/>
  <c r="L52" i="167"/>
  <c r="K52" i="167"/>
  <c r="H52" i="167"/>
  <c r="N51" i="167"/>
  <c r="M51" i="167"/>
  <c r="L51" i="167"/>
  <c r="K51" i="167"/>
  <c r="H51" i="167"/>
  <c r="N50" i="167"/>
  <c r="M50" i="167"/>
  <c r="L50" i="167"/>
  <c r="K50" i="167"/>
  <c r="H50" i="167"/>
  <c r="N49" i="167"/>
  <c r="M49" i="167"/>
  <c r="L49" i="167"/>
  <c r="K49" i="167"/>
  <c r="H49" i="167"/>
  <c r="N48" i="167"/>
  <c r="M48" i="167"/>
  <c r="L48" i="167"/>
  <c r="K48" i="167"/>
  <c r="H48" i="167"/>
  <c r="N47" i="167"/>
  <c r="M47" i="167"/>
  <c r="L47" i="167"/>
  <c r="K47" i="167"/>
  <c r="H47" i="167"/>
  <c r="N46" i="167"/>
  <c r="M46" i="167"/>
  <c r="L46" i="167"/>
  <c r="K46" i="167"/>
  <c r="H46" i="167"/>
  <c r="N45" i="167"/>
  <c r="M45" i="167"/>
  <c r="L45" i="167"/>
  <c r="K45" i="167"/>
  <c r="H45" i="167"/>
  <c r="N44" i="167"/>
  <c r="M44" i="167"/>
  <c r="L44" i="167"/>
  <c r="K44" i="167"/>
  <c r="H44" i="167"/>
  <c r="N43" i="167"/>
  <c r="M43" i="167"/>
  <c r="L43" i="167"/>
  <c r="K43" i="167"/>
  <c r="H43" i="167"/>
  <c r="N42" i="167"/>
  <c r="M42" i="167"/>
  <c r="L42" i="167"/>
  <c r="K42" i="167"/>
  <c r="H42" i="167"/>
  <c r="N41" i="167"/>
  <c r="M41" i="167"/>
  <c r="L41" i="167"/>
  <c r="K41" i="167"/>
  <c r="H41" i="167"/>
  <c r="N40" i="167"/>
  <c r="M40" i="167"/>
  <c r="L40" i="167"/>
  <c r="K40" i="167"/>
  <c r="H40" i="167"/>
  <c r="N39" i="167"/>
  <c r="M39" i="167"/>
  <c r="L39" i="167"/>
  <c r="K39" i="167"/>
  <c r="H39" i="167"/>
  <c r="N38" i="167"/>
  <c r="M38" i="167"/>
  <c r="L38" i="167"/>
  <c r="K38" i="167"/>
  <c r="H38" i="167"/>
  <c r="N37" i="167"/>
  <c r="M37" i="167"/>
  <c r="L37" i="167"/>
  <c r="K37" i="167"/>
  <c r="H37" i="167"/>
  <c r="N36" i="167"/>
  <c r="M36" i="167"/>
  <c r="L36" i="167"/>
  <c r="K36" i="167"/>
  <c r="H36" i="167"/>
  <c r="N35" i="167"/>
  <c r="M35" i="167"/>
  <c r="L35" i="167"/>
  <c r="K35" i="167"/>
  <c r="H35" i="167"/>
  <c r="N34" i="167"/>
  <c r="M34" i="167"/>
  <c r="L34" i="167"/>
  <c r="K34" i="167"/>
  <c r="H34" i="167"/>
  <c r="N33" i="167"/>
  <c r="M33" i="167"/>
  <c r="L33" i="167"/>
  <c r="K33" i="167"/>
  <c r="H33" i="167"/>
  <c r="N32" i="167"/>
  <c r="M32" i="167"/>
  <c r="L32" i="167"/>
  <c r="K32" i="167"/>
  <c r="H32" i="167"/>
  <c r="N31" i="167"/>
  <c r="M31" i="167"/>
  <c r="L31" i="167"/>
  <c r="K31" i="167"/>
  <c r="H31" i="167"/>
  <c r="N30" i="167"/>
  <c r="M30" i="167"/>
  <c r="L30" i="167"/>
  <c r="K30" i="167"/>
  <c r="H30" i="167"/>
  <c r="N29" i="167"/>
  <c r="M29" i="167"/>
  <c r="L29" i="167"/>
  <c r="K29" i="167"/>
  <c r="H29" i="167"/>
  <c r="N28" i="167"/>
  <c r="M28" i="167"/>
  <c r="L28" i="167"/>
  <c r="K28" i="167"/>
  <c r="H28" i="167"/>
  <c r="N27" i="167"/>
  <c r="M27" i="167"/>
  <c r="L27" i="167"/>
  <c r="K27" i="167"/>
  <c r="H27" i="167"/>
  <c r="N26" i="167"/>
  <c r="M26" i="167"/>
  <c r="L26" i="167"/>
  <c r="K26" i="167"/>
  <c r="H26" i="167"/>
  <c r="N25" i="167"/>
  <c r="M25" i="167"/>
  <c r="L25" i="167"/>
  <c r="K25" i="167"/>
  <c r="H25" i="167"/>
  <c r="N24" i="167"/>
  <c r="M24" i="167"/>
  <c r="L24" i="167"/>
  <c r="K24" i="167"/>
  <c r="H24" i="167"/>
  <c r="N23" i="167"/>
  <c r="M23" i="167"/>
  <c r="L23" i="167"/>
  <c r="K23" i="167"/>
  <c r="H23" i="167"/>
  <c r="N22" i="167"/>
  <c r="M22" i="167"/>
  <c r="L22" i="167"/>
  <c r="K22" i="167"/>
  <c r="H22" i="167"/>
  <c r="N21" i="167"/>
  <c r="M21" i="167"/>
  <c r="L21" i="167"/>
  <c r="K21" i="167"/>
  <c r="H21" i="167"/>
  <c r="N20" i="167"/>
  <c r="M20" i="167"/>
  <c r="L20" i="167"/>
  <c r="K20" i="167"/>
  <c r="H20" i="167"/>
  <c r="N19" i="167"/>
  <c r="M19" i="167"/>
  <c r="L19" i="167"/>
  <c r="K19" i="167"/>
  <c r="H19" i="167"/>
  <c r="N18" i="167"/>
  <c r="M18" i="167"/>
  <c r="L18" i="167"/>
  <c r="K18" i="167"/>
  <c r="H18" i="167"/>
  <c r="N17" i="167"/>
  <c r="M17" i="167"/>
  <c r="L17" i="167"/>
  <c r="K17" i="167"/>
  <c r="H17" i="167"/>
  <c r="N16" i="167"/>
  <c r="M16" i="167"/>
  <c r="L16" i="167"/>
  <c r="K16" i="167"/>
  <c r="H16" i="167"/>
  <c r="N15" i="167"/>
  <c r="M15" i="167"/>
  <c r="L15" i="167"/>
  <c r="K15" i="167"/>
  <c r="H15" i="167"/>
  <c r="N14" i="167"/>
  <c r="M14" i="167"/>
  <c r="L14" i="167"/>
  <c r="K14" i="167"/>
  <c r="H14" i="167"/>
  <c r="N13" i="167"/>
  <c r="M13" i="167"/>
  <c r="L13" i="167"/>
  <c r="K13" i="167"/>
  <c r="H13" i="167"/>
  <c r="N12" i="167"/>
  <c r="M12" i="167"/>
  <c r="L12" i="167"/>
  <c r="K12" i="167"/>
  <c r="H12" i="167"/>
  <c r="N11" i="167"/>
  <c r="M11" i="167"/>
  <c r="L11" i="167"/>
  <c r="K11" i="167"/>
  <c r="H11" i="167"/>
  <c r="N10" i="167"/>
  <c r="M10" i="167"/>
  <c r="L10" i="167"/>
  <c r="K10" i="167"/>
  <c r="H10" i="167"/>
  <c r="N9" i="167"/>
  <c r="M9" i="167"/>
  <c r="L9" i="167"/>
  <c r="K9" i="167"/>
  <c r="H9" i="167"/>
  <c r="N8" i="167"/>
  <c r="M8" i="167"/>
  <c r="L8" i="167"/>
  <c r="K8" i="167"/>
  <c r="H8" i="167"/>
  <c r="N7" i="167"/>
  <c r="M7" i="167"/>
  <c r="L7" i="167"/>
  <c r="K7" i="167"/>
  <c r="H7" i="167"/>
  <c r="N6" i="167"/>
  <c r="M6" i="167"/>
  <c r="L6" i="167"/>
  <c r="K6" i="167"/>
  <c r="H6" i="167"/>
  <c r="N5" i="167"/>
  <c r="M5" i="167"/>
  <c r="L5" i="167"/>
  <c r="K5" i="167"/>
  <c r="H5" i="167"/>
  <c r="N4" i="167"/>
  <c r="M4" i="167"/>
  <c r="L4" i="167"/>
  <c r="K4" i="167"/>
  <c r="H4" i="167"/>
  <c r="N3" i="167"/>
  <c r="M3" i="167"/>
  <c r="L3" i="167"/>
  <c r="K3" i="167"/>
  <c r="H3" i="167"/>
  <c r="N2" i="167"/>
  <c r="M2" i="167"/>
  <c r="L2" i="167"/>
  <c r="K2" i="167"/>
  <c r="H2" i="167"/>
  <c r="G48" i="166"/>
  <c r="B47" i="166"/>
  <c r="C40" i="166"/>
  <c r="C41" i="166"/>
  <c r="C42" i="166"/>
  <c r="C43" i="166"/>
  <c r="C44" i="166"/>
  <c r="C45" i="166"/>
  <c r="C46" i="166"/>
  <c r="C47" i="166"/>
  <c r="G42" i="166"/>
  <c r="G41" i="166"/>
  <c r="G40" i="166"/>
  <c r="F35" i="166"/>
  <c r="F34" i="166"/>
  <c r="B30" i="166"/>
  <c r="B32" i="166"/>
  <c r="C19" i="166"/>
  <c r="C20" i="166"/>
  <c r="C21" i="166"/>
  <c r="C22" i="166"/>
  <c r="C23" i="166"/>
  <c r="C24" i="166"/>
  <c r="C25" i="166"/>
  <c r="C26" i="166"/>
  <c r="C27" i="166"/>
  <c r="C28" i="166"/>
  <c r="C29" i="166"/>
  <c r="C30" i="166"/>
  <c r="C31" i="166"/>
  <c r="C32" i="166"/>
  <c r="D32" i="166"/>
  <c r="G31" i="166"/>
  <c r="H31" i="166"/>
  <c r="I31" i="166"/>
  <c r="J31" i="166"/>
  <c r="F31" i="166"/>
  <c r="D31" i="166"/>
  <c r="G30" i="166"/>
  <c r="H30" i="166"/>
  <c r="I30" i="166"/>
  <c r="J30" i="166"/>
  <c r="F30" i="166"/>
  <c r="D30" i="166"/>
  <c r="I29" i="166"/>
  <c r="J29" i="166"/>
  <c r="F29" i="166"/>
  <c r="D29" i="166"/>
  <c r="I28" i="166"/>
  <c r="J28" i="166"/>
  <c r="F28" i="166"/>
  <c r="D28" i="166"/>
  <c r="I27" i="166"/>
  <c r="J27" i="166"/>
  <c r="F27" i="166"/>
  <c r="D27" i="166"/>
  <c r="I26" i="166"/>
  <c r="J26" i="166"/>
  <c r="F26" i="166"/>
  <c r="D26" i="166"/>
  <c r="I25" i="166"/>
  <c r="J25" i="166"/>
  <c r="F25" i="166"/>
  <c r="D25" i="166"/>
  <c r="I24" i="166"/>
  <c r="J24" i="166"/>
  <c r="F24" i="166"/>
  <c r="D24" i="166"/>
  <c r="I23" i="166"/>
  <c r="J23" i="166"/>
  <c r="F23" i="166"/>
  <c r="D23" i="166"/>
  <c r="I22" i="166"/>
  <c r="J22" i="166"/>
  <c r="F22" i="166"/>
  <c r="D22" i="166"/>
  <c r="I21" i="166"/>
  <c r="J21" i="166"/>
  <c r="F21" i="166"/>
  <c r="D21" i="166"/>
  <c r="R20" i="166"/>
  <c r="P20" i="166"/>
  <c r="O20" i="166"/>
  <c r="M20" i="166"/>
  <c r="I20" i="166"/>
  <c r="J20" i="166"/>
  <c r="F20" i="166"/>
  <c r="D20" i="166"/>
  <c r="R19" i="166"/>
  <c r="P19" i="166"/>
  <c r="O19" i="166"/>
  <c r="M19" i="166"/>
  <c r="I19" i="166"/>
  <c r="J19" i="166"/>
  <c r="F19" i="166"/>
  <c r="D19" i="166"/>
  <c r="R18" i="166"/>
  <c r="P18" i="166"/>
  <c r="O18" i="166"/>
  <c r="M18" i="166"/>
  <c r="I18" i="166"/>
  <c r="J18" i="166"/>
  <c r="F18" i="166"/>
  <c r="C18" i="166"/>
  <c r="D18" i="166"/>
  <c r="R17" i="166"/>
  <c r="P17" i="166"/>
  <c r="O17" i="166"/>
  <c r="M17" i="166"/>
  <c r="I17" i="166"/>
  <c r="J17" i="166"/>
  <c r="F17" i="166"/>
  <c r="C17" i="166"/>
  <c r="D17" i="166"/>
  <c r="V16" i="166"/>
  <c r="R16" i="166"/>
  <c r="P16" i="166"/>
  <c r="O16" i="166"/>
  <c r="M16" i="166"/>
  <c r="V15" i="166"/>
  <c r="R15" i="166"/>
  <c r="P15" i="166"/>
  <c r="O15" i="166"/>
  <c r="M15" i="166"/>
  <c r="V14" i="166"/>
  <c r="R14" i="166"/>
  <c r="P14" i="166"/>
  <c r="O14" i="166"/>
  <c r="M14" i="166"/>
  <c r="V13" i="166"/>
  <c r="R13" i="166"/>
  <c r="P13" i="166"/>
  <c r="O13" i="166"/>
  <c r="M13" i="166"/>
  <c r="V12" i="166"/>
  <c r="R12" i="166"/>
  <c r="P12" i="166"/>
  <c r="O12" i="166"/>
  <c r="M12" i="166"/>
  <c r="V11" i="166"/>
  <c r="R11" i="166"/>
  <c r="P11" i="166"/>
  <c r="O11" i="166"/>
  <c r="M11" i="166"/>
  <c r="V10" i="166"/>
  <c r="R10" i="166"/>
  <c r="P10" i="166"/>
  <c r="O10" i="166"/>
  <c r="M10" i="166"/>
  <c r="V9" i="166"/>
  <c r="R9" i="166"/>
  <c r="P9" i="166"/>
  <c r="O9" i="166"/>
  <c r="M9" i="166"/>
  <c r="V8" i="166"/>
  <c r="R8" i="166"/>
  <c r="P8" i="166"/>
  <c r="O8" i="166"/>
  <c r="M8" i="166"/>
  <c r="V7" i="166"/>
  <c r="R7" i="166"/>
  <c r="P7" i="166"/>
  <c r="O7" i="166"/>
  <c r="M7" i="166"/>
  <c r="V6" i="166"/>
  <c r="R6" i="166"/>
  <c r="P6" i="166"/>
  <c r="O6" i="166"/>
  <c r="M6" i="166"/>
  <c r="V5" i="166"/>
  <c r="R5" i="166"/>
  <c r="P5" i="166"/>
  <c r="O5" i="166"/>
  <c r="M5" i="166"/>
  <c r="V4" i="166"/>
  <c r="R4" i="166"/>
  <c r="P4" i="166"/>
  <c r="O4" i="166"/>
  <c r="M4" i="166"/>
  <c r="V3" i="166"/>
  <c r="P3" i="166"/>
  <c r="O3" i="166"/>
  <c r="M3" i="166"/>
  <c r="V2" i="166"/>
  <c r="A346" i="165"/>
  <c r="B10" i="164"/>
  <c r="A345" i="165"/>
  <c r="A344" i="165"/>
  <c r="A343" i="165"/>
  <c r="A342" i="165"/>
  <c r="A341" i="165"/>
  <c r="A340" i="165"/>
  <c r="A339" i="165"/>
  <c r="A338" i="165"/>
  <c r="A337" i="165"/>
  <c r="A336" i="165"/>
  <c r="A335" i="165"/>
  <c r="A334" i="165"/>
  <c r="A333" i="165"/>
  <c r="A332" i="165"/>
  <c r="A331" i="165"/>
  <c r="A330" i="165"/>
  <c r="A329" i="165"/>
  <c r="A328" i="165"/>
  <c r="A327" i="165"/>
  <c r="A326" i="165"/>
  <c r="A325" i="165"/>
  <c r="A324" i="165"/>
  <c r="A323" i="165"/>
  <c r="A322" i="165"/>
  <c r="A321" i="165"/>
  <c r="A320" i="165"/>
  <c r="A319" i="165"/>
  <c r="A318" i="165"/>
  <c r="A317" i="165"/>
  <c r="A316" i="165"/>
  <c r="A315" i="165"/>
  <c r="A314" i="165"/>
  <c r="A313" i="165"/>
  <c r="A312" i="165"/>
  <c r="A311" i="165"/>
  <c r="A310" i="165"/>
  <c r="A309" i="165"/>
  <c r="A308" i="165"/>
  <c r="A307" i="165"/>
  <c r="A306" i="165"/>
  <c r="A305" i="165"/>
  <c r="A304" i="165"/>
  <c r="A303" i="165"/>
  <c r="A302" i="165"/>
  <c r="A301" i="165"/>
  <c r="A300" i="165"/>
  <c r="A299" i="165"/>
  <c r="A298" i="165"/>
  <c r="A297" i="165"/>
  <c r="A296" i="165"/>
  <c r="A295" i="165"/>
  <c r="A294" i="165"/>
  <c r="A293" i="165"/>
  <c r="A292" i="165"/>
  <c r="A291" i="165"/>
  <c r="A290" i="165"/>
  <c r="A289" i="165"/>
  <c r="A288" i="165"/>
  <c r="A287" i="165"/>
  <c r="A286" i="165"/>
  <c r="A285" i="165"/>
  <c r="A284" i="165"/>
  <c r="A283" i="165"/>
  <c r="A282" i="165"/>
  <c r="A281" i="165"/>
  <c r="A280" i="165"/>
  <c r="A279" i="165"/>
  <c r="A278" i="165"/>
  <c r="A277" i="165"/>
  <c r="A276" i="165"/>
  <c r="A275" i="165"/>
  <c r="A274" i="165"/>
  <c r="A273" i="165"/>
  <c r="A272" i="165"/>
  <c r="A271" i="165"/>
  <c r="A270" i="165"/>
  <c r="A269" i="165"/>
  <c r="A268" i="165"/>
  <c r="A267" i="165"/>
  <c r="A266" i="165"/>
  <c r="A265" i="165"/>
  <c r="A264" i="165"/>
  <c r="A263" i="165"/>
  <c r="A262" i="165"/>
  <c r="A261" i="165"/>
  <c r="A260" i="165"/>
  <c r="A259" i="165"/>
  <c r="A258" i="165"/>
  <c r="A257" i="165"/>
  <c r="A256" i="165"/>
  <c r="A255" i="165"/>
  <c r="A254" i="165"/>
  <c r="A253" i="165"/>
  <c r="A252" i="165"/>
  <c r="A251" i="165"/>
  <c r="A250" i="165"/>
  <c r="A249" i="165"/>
  <c r="A248" i="165"/>
  <c r="A247" i="165"/>
  <c r="A246" i="165"/>
  <c r="A245" i="165"/>
  <c r="A244" i="165"/>
  <c r="A243" i="165"/>
  <c r="A242" i="165"/>
  <c r="A241" i="165"/>
  <c r="A240" i="165"/>
  <c r="A239" i="165"/>
  <c r="A238" i="165"/>
  <c r="A237" i="165"/>
  <c r="A236" i="165"/>
  <c r="A235" i="165"/>
  <c r="A234" i="165"/>
  <c r="A233" i="165"/>
  <c r="A232" i="165"/>
  <c r="A231" i="165"/>
  <c r="A230" i="165"/>
  <c r="A229" i="165"/>
  <c r="A228" i="165"/>
  <c r="A227" i="165"/>
  <c r="A226" i="165"/>
  <c r="A225" i="165"/>
  <c r="A224" i="165"/>
  <c r="A223" i="165"/>
  <c r="A222" i="165"/>
  <c r="A221" i="165"/>
  <c r="A220" i="165"/>
  <c r="A219" i="165"/>
  <c r="A218" i="165"/>
  <c r="A217" i="165"/>
  <c r="A216" i="165"/>
  <c r="A215" i="165"/>
  <c r="A214" i="165"/>
  <c r="A213" i="165"/>
  <c r="A212" i="165"/>
  <c r="A211" i="165"/>
  <c r="A210" i="165"/>
  <c r="A209" i="165"/>
  <c r="A208" i="165"/>
  <c r="A207" i="165"/>
  <c r="A206" i="165"/>
  <c r="A205" i="165"/>
  <c r="A204" i="165"/>
  <c r="A203" i="165"/>
  <c r="A202" i="165"/>
  <c r="A201" i="165"/>
  <c r="A200" i="165"/>
  <c r="A199" i="165"/>
  <c r="A198" i="165"/>
  <c r="A197" i="165"/>
  <c r="A196" i="165"/>
  <c r="A195" i="165"/>
  <c r="A194" i="165"/>
  <c r="A193" i="165"/>
  <c r="A192" i="165"/>
  <c r="A191" i="165"/>
  <c r="A190" i="165"/>
  <c r="A189" i="165"/>
  <c r="A188" i="165"/>
  <c r="A187" i="165"/>
  <c r="A186" i="165"/>
  <c r="A185" i="165"/>
  <c r="A184" i="165"/>
  <c r="A183" i="165"/>
  <c r="A182" i="165"/>
  <c r="A181" i="165"/>
  <c r="A180" i="165"/>
  <c r="A179" i="165"/>
  <c r="A178" i="165"/>
  <c r="A177" i="165"/>
  <c r="A176" i="165"/>
  <c r="A175" i="165"/>
  <c r="A174" i="165"/>
  <c r="A173" i="165"/>
  <c r="A172" i="165"/>
  <c r="A171" i="165"/>
  <c r="A170" i="165"/>
  <c r="A169" i="165"/>
  <c r="A168" i="165"/>
  <c r="A167" i="165"/>
  <c r="A166" i="165"/>
  <c r="A165" i="165"/>
  <c r="A164" i="165"/>
  <c r="A163" i="165"/>
  <c r="A162" i="165"/>
  <c r="A161" i="165"/>
  <c r="A160" i="165"/>
  <c r="A159" i="165"/>
  <c r="A158" i="165"/>
  <c r="A157" i="165"/>
  <c r="A156" i="165"/>
  <c r="A155" i="165"/>
  <c r="A154" i="165"/>
  <c r="A153" i="165"/>
  <c r="A152" i="165"/>
  <c r="A151" i="165"/>
  <c r="A150" i="165"/>
  <c r="A149" i="165"/>
  <c r="A148" i="165"/>
  <c r="A147" i="165"/>
  <c r="A146" i="165"/>
  <c r="A145" i="165"/>
  <c r="A144" i="165"/>
  <c r="A143" i="165"/>
  <c r="A142" i="165"/>
  <c r="A141" i="165"/>
  <c r="A140" i="165"/>
  <c r="A139" i="165"/>
  <c r="A138" i="165"/>
  <c r="A137" i="165"/>
  <c r="A136" i="165"/>
  <c r="A135" i="165"/>
  <c r="A134" i="165"/>
  <c r="A133" i="165"/>
  <c r="A132" i="165"/>
  <c r="A131" i="165"/>
  <c r="A130" i="165"/>
  <c r="A129" i="165"/>
  <c r="A128" i="165"/>
  <c r="A127" i="165"/>
  <c r="A126" i="165"/>
  <c r="A125" i="165"/>
  <c r="A124" i="165"/>
  <c r="A123" i="165"/>
  <c r="A122" i="165"/>
  <c r="A121" i="165"/>
  <c r="A120" i="165"/>
  <c r="A119" i="165"/>
  <c r="A118" i="165"/>
  <c r="A117" i="165"/>
  <c r="A116" i="165"/>
  <c r="A115" i="165"/>
  <c r="A114" i="165"/>
  <c r="A113" i="165"/>
  <c r="A112" i="165"/>
  <c r="A111" i="165"/>
  <c r="A110" i="165"/>
  <c r="A109" i="165"/>
  <c r="A108" i="165"/>
  <c r="A107" i="165"/>
  <c r="A106" i="165"/>
  <c r="A105" i="165"/>
  <c r="A104" i="165"/>
  <c r="A103" i="165"/>
  <c r="A102" i="165"/>
  <c r="A101" i="165"/>
  <c r="A100" i="165"/>
  <c r="A99" i="165"/>
  <c r="A98" i="165"/>
  <c r="A97" i="165"/>
  <c r="A96" i="165"/>
  <c r="A95" i="165"/>
  <c r="A94" i="165"/>
  <c r="A93" i="165"/>
  <c r="A92" i="165"/>
  <c r="A91" i="165"/>
  <c r="A90" i="165"/>
  <c r="A89" i="165"/>
  <c r="A88" i="165"/>
  <c r="A87" i="165"/>
  <c r="A86" i="165"/>
  <c r="A85" i="165"/>
  <c r="A84" i="165"/>
  <c r="A83" i="165"/>
  <c r="A82" i="165"/>
  <c r="A81" i="165"/>
  <c r="A80" i="165"/>
  <c r="A79" i="165"/>
  <c r="A78" i="165"/>
  <c r="A77" i="165"/>
  <c r="A76" i="165"/>
  <c r="A75" i="165"/>
  <c r="A74" i="165"/>
  <c r="A73" i="165"/>
  <c r="A72" i="165"/>
  <c r="A71" i="165"/>
  <c r="A70" i="165"/>
  <c r="A69" i="165"/>
  <c r="A68" i="165"/>
  <c r="A67" i="165"/>
  <c r="A66" i="165"/>
  <c r="A65" i="165"/>
  <c r="A64" i="165"/>
  <c r="A63" i="165"/>
  <c r="A62" i="165"/>
  <c r="A61" i="165"/>
  <c r="A60" i="165"/>
  <c r="A59" i="165"/>
  <c r="A58" i="165"/>
  <c r="A57" i="165"/>
  <c r="A56" i="165"/>
  <c r="A55" i="165"/>
  <c r="A54" i="165"/>
  <c r="A53" i="165"/>
  <c r="A52" i="165"/>
  <c r="A51" i="165"/>
  <c r="A50" i="165"/>
  <c r="A49" i="165"/>
  <c r="A48" i="165"/>
  <c r="A47" i="165"/>
  <c r="A46" i="165"/>
  <c r="A45" i="165"/>
  <c r="A44" i="165"/>
  <c r="A43" i="165"/>
  <c r="A42" i="165"/>
  <c r="A41" i="165"/>
  <c r="A40" i="165"/>
  <c r="A39" i="165"/>
  <c r="A38" i="165"/>
  <c r="A37" i="165"/>
  <c r="A36" i="165"/>
  <c r="A35" i="165"/>
  <c r="A34" i="165"/>
  <c r="A33" i="165"/>
  <c r="A32" i="165"/>
  <c r="A31" i="165"/>
  <c r="A30" i="165"/>
  <c r="A29" i="165"/>
  <c r="A28" i="165"/>
  <c r="A27" i="165"/>
  <c r="A26" i="165"/>
  <c r="A25" i="165"/>
  <c r="A24" i="165"/>
  <c r="A23" i="165"/>
  <c r="A22" i="165"/>
  <c r="A21" i="165"/>
  <c r="A20" i="165"/>
  <c r="A19" i="165"/>
  <c r="A18" i="165"/>
  <c r="A17" i="165"/>
  <c r="A16" i="165"/>
  <c r="A15" i="165"/>
  <c r="A14" i="165"/>
  <c r="A13" i="165"/>
  <c r="A12" i="165"/>
  <c r="A11" i="165"/>
  <c r="A10" i="165"/>
  <c r="A9" i="165"/>
  <c r="A8" i="165"/>
  <c r="A7" i="165"/>
  <c r="A6" i="165"/>
  <c r="A5" i="165"/>
  <c r="A4" i="165"/>
  <c r="A3" i="165"/>
  <c r="A2" i="165"/>
  <c r="A2" i="162"/>
  <c r="F49" i="164"/>
  <c r="F48" i="164"/>
  <c r="F47" i="164"/>
  <c r="F46" i="164"/>
  <c r="B46" i="164"/>
  <c r="F45" i="164"/>
  <c r="B45" i="164"/>
  <c r="B44" i="164"/>
  <c r="B43" i="164"/>
  <c r="F42" i="164"/>
  <c r="B42" i="164"/>
  <c r="F41" i="164"/>
  <c r="B41" i="164"/>
  <c r="F40" i="164"/>
  <c r="B40" i="164"/>
  <c r="E31" i="164"/>
  <c r="E30" i="164"/>
  <c r="F2" i="165"/>
  <c r="F3" i="165"/>
  <c r="F4" i="165"/>
  <c r="F5" i="165"/>
  <c r="F6" i="165"/>
  <c r="F7" i="165"/>
  <c r="F8" i="165"/>
  <c r="F9" i="165"/>
  <c r="F10" i="165"/>
  <c r="F11" i="165"/>
  <c r="F12" i="165"/>
  <c r="F13" i="165"/>
  <c r="F14" i="165"/>
  <c r="F15" i="165"/>
  <c r="F16" i="165"/>
  <c r="F17" i="165"/>
  <c r="F18" i="165"/>
  <c r="F19" i="165"/>
  <c r="F20" i="165"/>
  <c r="F21" i="165"/>
  <c r="F22" i="165"/>
  <c r="F23" i="165"/>
  <c r="F24" i="165"/>
  <c r="F25" i="165"/>
  <c r="F26" i="165"/>
  <c r="F27" i="165"/>
  <c r="F28" i="165"/>
  <c r="F29" i="165"/>
  <c r="F30" i="165"/>
  <c r="F31" i="165"/>
  <c r="F32" i="165"/>
  <c r="F33" i="165"/>
  <c r="F34" i="165"/>
  <c r="F35" i="165"/>
  <c r="F36" i="165"/>
  <c r="F37" i="165"/>
  <c r="F38" i="165"/>
  <c r="F39" i="165"/>
  <c r="F40" i="165"/>
  <c r="F41" i="165"/>
  <c r="F42" i="165"/>
  <c r="F43" i="165"/>
  <c r="F44" i="165"/>
  <c r="F45" i="165"/>
  <c r="F46" i="165"/>
  <c r="F47" i="165"/>
  <c r="F48" i="165"/>
  <c r="F49" i="165"/>
  <c r="F50" i="165"/>
  <c r="F51" i="165"/>
  <c r="F52" i="165"/>
  <c r="F53" i="165"/>
  <c r="F54" i="165"/>
  <c r="F55" i="165"/>
  <c r="F56" i="165"/>
  <c r="F57" i="165"/>
  <c r="F58" i="165"/>
  <c r="F59" i="165"/>
  <c r="F60" i="165"/>
  <c r="F61" i="165"/>
  <c r="F62" i="165"/>
  <c r="F63" i="165"/>
  <c r="F64" i="165"/>
  <c r="F65" i="165"/>
  <c r="F66" i="165"/>
  <c r="F67" i="165"/>
  <c r="F68" i="165"/>
  <c r="F69" i="165"/>
  <c r="F70" i="165"/>
  <c r="F71" i="165"/>
  <c r="F72" i="165"/>
  <c r="F73" i="165"/>
  <c r="F74" i="165"/>
  <c r="F75" i="165"/>
  <c r="F76" i="165"/>
  <c r="F77" i="165"/>
  <c r="F78" i="165"/>
  <c r="F79" i="165"/>
  <c r="F80" i="165"/>
  <c r="F81" i="165"/>
  <c r="F82" i="165"/>
  <c r="F83" i="165"/>
  <c r="F84" i="165"/>
  <c r="F85" i="165"/>
  <c r="F86" i="165"/>
  <c r="F87" i="165"/>
  <c r="F88" i="165"/>
  <c r="F89" i="165"/>
  <c r="F90" i="165"/>
  <c r="F91" i="165"/>
  <c r="F92" i="165"/>
  <c r="F93" i="165"/>
  <c r="F94" i="165"/>
  <c r="F95" i="165"/>
  <c r="F96" i="165"/>
  <c r="F97" i="165"/>
  <c r="F98" i="165"/>
  <c r="F99" i="165"/>
  <c r="F100" i="165"/>
  <c r="F101" i="165"/>
  <c r="F102" i="165"/>
  <c r="F103" i="165"/>
  <c r="F104" i="165"/>
  <c r="F105" i="165"/>
  <c r="F106" i="165"/>
  <c r="F107" i="165"/>
  <c r="F108" i="165"/>
  <c r="F109" i="165"/>
  <c r="F110" i="165"/>
  <c r="F111" i="165"/>
  <c r="F112" i="165"/>
  <c r="F113" i="165"/>
  <c r="F114" i="165"/>
  <c r="F115" i="165"/>
  <c r="F116" i="165"/>
  <c r="F117" i="165"/>
  <c r="F118" i="165"/>
  <c r="F119" i="165"/>
  <c r="F120" i="165"/>
  <c r="F121" i="165"/>
  <c r="F122" i="165"/>
  <c r="F123" i="165"/>
  <c r="F124" i="165"/>
  <c r="F125" i="165"/>
  <c r="F126" i="165"/>
  <c r="F127" i="165"/>
  <c r="F128" i="165"/>
  <c r="F129" i="165"/>
  <c r="F130" i="165"/>
  <c r="F131" i="165"/>
  <c r="F132" i="165"/>
  <c r="F133" i="165"/>
  <c r="F134" i="165"/>
  <c r="F135" i="165"/>
  <c r="F136" i="165"/>
  <c r="F137" i="165"/>
  <c r="F138" i="165"/>
  <c r="F139" i="165"/>
  <c r="F140" i="165"/>
  <c r="F141" i="165"/>
  <c r="F142" i="165"/>
  <c r="F143" i="165"/>
  <c r="F144" i="165"/>
  <c r="F145" i="165"/>
  <c r="F146" i="165"/>
  <c r="F147" i="165"/>
  <c r="F148" i="165"/>
  <c r="F149" i="165"/>
  <c r="F150" i="165"/>
  <c r="F151" i="165"/>
  <c r="F152" i="165"/>
  <c r="F153" i="165"/>
  <c r="F154" i="165"/>
  <c r="F155" i="165"/>
  <c r="F156" i="165"/>
  <c r="F157" i="165"/>
  <c r="F158" i="165"/>
  <c r="F159" i="165"/>
  <c r="F160" i="165"/>
  <c r="F161" i="165"/>
  <c r="F162" i="165"/>
  <c r="F163" i="165"/>
  <c r="F164" i="165"/>
  <c r="F165" i="165"/>
  <c r="F166" i="165"/>
  <c r="F167" i="165"/>
  <c r="F168" i="165"/>
  <c r="F169" i="165"/>
  <c r="F170" i="165"/>
  <c r="F171" i="165"/>
  <c r="F172" i="165"/>
  <c r="F173" i="165"/>
  <c r="F174" i="165"/>
  <c r="F175" i="165"/>
  <c r="F176" i="165"/>
  <c r="F177" i="165"/>
  <c r="F178" i="165"/>
  <c r="F179" i="165"/>
  <c r="F180" i="165"/>
  <c r="F181" i="165"/>
  <c r="F182" i="165"/>
  <c r="F183" i="165"/>
  <c r="F184" i="165"/>
  <c r="F185" i="165"/>
  <c r="F186" i="165"/>
  <c r="F187" i="165"/>
  <c r="F188" i="165"/>
  <c r="F189" i="165"/>
  <c r="F190" i="165"/>
  <c r="F191" i="165"/>
  <c r="F192" i="165"/>
  <c r="F193" i="165"/>
  <c r="F194" i="165"/>
  <c r="F195" i="165"/>
  <c r="F196" i="165"/>
  <c r="F197" i="165"/>
  <c r="F198" i="165"/>
  <c r="F199" i="165"/>
  <c r="F200" i="165"/>
  <c r="F201" i="165"/>
  <c r="F202" i="165"/>
  <c r="F203" i="165"/>
  <c r="F204" i="165"/>
  <c r="F205" i="165"/>
  <c r="F206" i="165"/>
  <c r="F207" i="165"/>
  <c r="F208" i="165"/>
  <c r="F209" i="165"/>
  <c r="F210" i="165"/>
  <c r="F211" i="165"/>
  <c r="F212" i="165"/>
  <c r="F213" i="165"/>
  <c r="F214" i="165"/>
  <c r="F215" i="165"/>
  <c r="F216" i="165"/>
  <c r="F217" i="165"/>
  <c r="F218" i="165"/>
  <c r="F219" i="165"/>
  <c r="F220" i="165"/>
  <c r="F221" i="165"/>
  <c r="F222" i="165"/>
  <c r="F223" i="165"/>
  <c r="F224" i="165"/>
  <c r="F225" i="165"/>
  <c r="F226" i="165"/>
  <c r="F227" i="165"/>
  <c r="F228" i="165"/>
  <c r="F229" i="165"/>
  <c r="F230" i="165"/>
  <c r="F231" i="165"/>
  <c r="F232" i="165"/>
  <c r="F233" i="165"/>
  <c r="F234" i="165"/>
  <c r="F235" i="165"/>
  <c r="F236" i="165"/>
  <c r="F237" i="165"/>
  <c r="F238" i="165"/>
  <c r="F239" i="165"/>
  <c r="F240" i="165"/>
  <c r="F241" i="165"/>
  <c r="F242" i="165"/>
  <c r="F243" i="165"/>
  <c r="F244" i="165"/>
  <c r="F245" i="165"/>
  <c r="F246" i="165"/>
  <c r="F247" i="165"/>
  <c r="F248" i="165"/>
  <c r="F249" i="165"/>
  <c r="F250" i="165"/>
  <c r="F251" i="165"/>
  <c r="F252" i="165"/>
  <c r="F253" i="165"/>
  <c r="F254" i="165"/>
  <c r="F255" i="165"/>
  <c r="F256" i="165"/>
  <c r="F257" i="165"/>
  <c r="F258" i="165"/>
  <c r="F259" i="165"/>
  <c r="F260" i="165"/>
  <c r="F261" i="165"/>
  <c r="F262" i="165"/>
  <c r="F263" i="165"/>
  <c r="F264" i="165"/>
  <c r="F265" i="165"/>
  <c r="F266" i="165"/>
  <c r="F267" i="165"/>
  <c r="F268" i="165"/>
  <c r="F269" i="165"/>
  <c r="F270" i="165"/>
  <c r="F271" i="165"/>
  <c r="F272" i="165"/>
  <c r="F273" i="165"/>
  <c r="F274" i="165"/>
  <c r="F275" i="165"/>
  <c r="F276" i="165"/>
  <c r="F277" i="165"/>
  <c r="F278" i="165"/>
  <c r="F279" i="165"/>
  <c r="F280" i="165"/>
  <c r="F281" i="165"/>
  <c r="F282" i="165"/>
  <c r="F283" i="165"/>
  <c r="F284" i="165"/>
  <c r="F285" i="165"/>
  <c r="F286" i="165"/>
  <c r="F287" i="165"/>
  <c r="F288" i="165"/>
  <c r="F289" i="165"/>
  <c r="F290" i="165"/>
  <c r="F291" i="165"/>
  <c r="F292" i="165"/>
  <c r="F293" i="165"/>
  <c r="F294" i="165"/>
  <c r="F295" i="165"/>
  <c r="F296" i="165"/>
  <c r="F297" i="165"/>
  <c r="F298" i="165"/>
  <c r="F299" i="165"/>
  <c r="F300" i="165"/>
  <c r="F301" i="165"/>
  <c r="F302" i="165"/>
  <c r="F303" i="165"/>
  <c r="F304" i="165"/>
  <c r="F305" i="165"/>
  <c r="F306" i="165"/>
  <c r="F307" i="165"/>
  <c r="F308" i="165"/>
  <c r="F309" i="165"/>
  <c r="F310" i="165"/>
  <c r="F311" i="165"/>
  <c r="F312" i="165"/>
  <c r="F313" i="165"/>
  <c r="F314" i="165"/>
  <c r="F315" i="165"/>
  <c r="F316" i="165"/>
  <c r="F317" i="165"/>
  <c r="F318" i="165"/>
  <c r="F319" i="165"/>
  <c r="F320" i="165"/>
  <c r="F321" i="165"/>
  <c r="F322" i="165"/>
  <c r="F323" i="165"/>
  <c r="F324" i="165"/>
  <c r="F325" i="165"/>
  <c r="F326" i="165"/>
  <c r="F327" i="165"/>
  <c r="F328" i="165"/>
  <c r="F329" i="165"/>
  <c r="F330" i="165"/>
  <c r="F331" i="165"/>
  <c r="F332" i="165"/>
  <c r="F333" i="165"/>
  <c r="F334" i="165"/>
  <c r="F335" i="165"/>
  <c r="F336" i="165"/>
  <c r="F337" i="165"/>
  <c r="F338" i="165"/>
  <c r="F339" i="165"/>
  <c r="F340" i="165"/>
  <c r="F341" i="165"/>
  <c r="F342" i="165"/>
  <c r="F343" i="165"/>
  <c r="F344" i="165"/>
  <c r="F345" i="165"/>
  <c r="N346" i="165"/>
  <c r="M346" i="165"/>
  <c r="L346" i="165"/>
  <c r="K346" i="165"/>
  <c r="H346" i="165"/>
  <c r="F346" i="165"/>
  <c r="N345" i="165"/>
  <c r="M345" i="165"/>
  <c r="L345" i="165"/>
  <c r="K345" i="165"/>
  <c r="H345" i="165"/>
  <c r="N344" i="165"/>
  <c r="M344" i="165"/>
  <c r="L344" i="165"/>
  <c r="K344" i="165"/>
  <c r="H344" i="165"/>
  <c r="N343" i="165"/>
  <c r="M343" i="165"/>
  <c r="L343" i="165"/>
  <c r="K343" i="165"/>
  <c r="H343" i="165"/>
  <c r="N342" i="165"/>
  <c r="M342" i="165"/>
  <c r="L342" i="165"/>
  <c r="K342" i="165"/>
  <c r="H342" i="165"/>
  <c r="N341" i="165"/>
  <c r="M341" i="165"/>
  <c r="L341" i="165"/>
  <c r="K341" i="165"/>
  <c r="H341" i="165"/>
  <c r="N340" i="165"/>
  <c r="M340" i="165"/>
  <c r="L340" i="165"/>
  <c r="K340" i="165"/>
  <c r="H340" i="165"/>
  <c r="N339" i="165"/>
  <c r="M339" i="165"/>
  <c r="L339" i="165"/>
  <c r="K339" i="165"/>
  <c r="H339" i="165"/>
  <c r="N338" i="165"/>
  <c r="M338" i="165"/>
  <c r="L338" i="165"/>
  <c r="K338" i="165"/>
  <c r="H338" i="165"/>
  <c r="N337" i="165"/>
  <c r="M337" i="165"/>
  <c r="L337" i="165"/>
  <c r="K337" i="165"/>
  <c r="H337" i="165"/>
  <c r="N336" i="165"/>
  <c r="M336" i="165"/>
  <c r="L336" i="165"/>
  <c r="K336" i="165"/>
  <c r="H336" i="165"/>
  <c r="N335" i="165"/>
  <c r="M335" i="165"/>
  <c r="L335" i="165"/>
  <c r="K335" i="165"/>
  <c r="H335" i="165"/>
  <c r="N334" i="165"/>
  <c r="M334" i="165"/>
  <c r="L334" i="165"/>
  <c r="K334" i="165"/>
  <c r="H334" i="165"/>
  <c r="N333" i="165"/>
  <c r="M333" i="165"/>
  <c r="L333" i="165"/>
  <c r="K333" i="165"/>
  <c r="H333" i="165"/>
  <c r="N332" i="165"/>
  <c r="M332" i="165"/>
  <c r="L332" i="165"/>
  <c r="K332" i="165"/>
  <c r="H332" i="165"/>
  <c r="N331" i="165"/>
  <c r="M331" i="165"/>
  <c r="L331" i="165"/>
  <c r="K331" i="165"/>
  <c r="H331" i="165"/>
  <c r="N330" i="165"/>
  <c r="M330" i="165"/>
  <c r="L330" i="165"/>
  <c r="K330" i="165"/>
  <c r="H330" i="165"/>
  <c r="N329" i="165"/>
  <c r="M329" i="165"/>
  <c r="L329" i="165"/>
  <c r="K329" i="165"/>
  <c r="H329" i="165"/>
  <c r="N328" i="165"/>
  <c r="M328" i="165"/>
  <c r="L328" i="165"/>
  <c r="K328" i="165"/>
  <c r="H328" i="165"/>
  <c r="N327" i="165"/>
  <c r="M327" i="165"/>
  <c r="L327" i="165"/>
  <c r="K327" i="165"/>
  <c r="H327" i="165"/>
  <c r="N326" i="165"/>
  <c r="M326" i="165"/>
  <c r="L326" i="165"/>
  <c r="K326" i="165"/>
  <c r="H326" i="165"/>
  <c r="N325" i="165"/>
  <c r="M325" i="165"/>
  <c r="L325" i="165"/>
  <c r="K325" i="165"/>
  <c r="H325" i="165"/>
  <c r="N324" i="165"/>
  <c r="M324" i="165"/>
  <c r="L324" i="165"/>
  <c r="K324" i="165"/>
  <c r="H324" i="165"/>
  <c r="N323" i="165"/>
  <c r="M323" i="165"/>
  <c r="L323" i="165"/>
  <c r="K323" i="165"/>
  <c r="H323" i="165"/>
  <c r="N322" i="165"/>
  <c r="M322" i="165"/>
  <c r="L322" i="165"/>
  <c r="K322" i="165"/>
  <c r="H322" i="165"/>
  <c r="N321" i="165"/>
  <c r="M321" i="165"/>
  <c r="L321" i="165"/>
  <c r="K321" i="165"/>
  <c r="H321" i="165"/>
  <c r="N320" i="165"/>
  <c r="M320" i="165"/>
  <c r="L320" i="165"/>
  <c r="K320" i="165"/>
  <c r="H320" i="165"/>
  <c r="N319" i="165"/>
  <c r="M319" i="165"/>
  <c r="L319" i="165"/>
  <c r="K319" i="165"/>
  <c r="H319" i="165"/>
  <c r="N318" i="165"/>
  <c r="M318" i="165"/>
  <c r="L318" i="165"/>
  <c r="K318" i="165"/>
  <c r="H318" i="165"/>
  <c r="N317" i="165"/>
  <c r="M317" i="165"/>
  <c r="L317" i="165"/>
  <c r="K317" i="165"/>
  <c r="H317" i="165"/>
  <c r="N316" i="165"/>
  <c r="M316" i="165"/>
  <c r="L316" i="165"/>
  <c r="K316" i="165"/>
  <c r="H316" i="165"/>
  <c r="N315" i="165"/>
  <c r="M315" i="165"/>
  <c r="L315" i="165"/>
  <c r="K315" i="165"/>
  <c r="H315" i="165"/>
  <c r="N314" i="165"/>
  <c r="M314" i="165"/>
  <c r="L314" i="165"/>
  <c r="K314" i="165"/>
  <c r="H314" i="165"/>
  <c r="N313" i="165"/>
  <c r="M313" i="165"/>
  <c r="L313" i="165"/>
  <c r="K313" i="165"/>
  <c r="H313" i="165"/>
  <c r="N312" i="165"/>
  <c r="M312" i="165"/>
  <c r="L312" i="165"/>
  <c r="K312" i="165"/>
  <c r="H312" i="165"/>
  <c r="N311" i="165"/>
  <c r="M311" i="165"/>
  <c r="L311" i="165"/>
  <c r="K311" i="165"/>
  <c r="H311" i="165"/>
  <c r="N310" i="165"/>
  <c r="M310" i="165"/>
  <c r="L310" i="165"/>
  <c r="K310" i="165"/>
  <c r="H310" i="165"/>
  <c r="N309" i="165"/>
  <c r="M309" i="165"/>
  <c r="L309" i="165"/>
  <c r="K309" i="165"/>
  <c r="H309" i="165"/>
  <c r="N308" i="165"/>
  <c r="M308" i="165"/>
  <c r="L308" i="165"/>
  <c r="K308" i="165"/>
  <c r="H308" i="165"/>
  <c r="N307" i="165"/>
  <c r="M307" i="165"/>
  <c r="L307" i="165"/>
  <c r="K307" i="165"/>
  <c r="H307" i="165"/>
  <c r="N306" i="165"/>
  <c r="M306" i="165"/>
  <c r="L306" i="165"/>
  <c r="K306" i="165"/>
  <c r="H306" i="165"/>
  <c r="N305" i="165"/>
  <c r="M305" i="165"/>
  <c r="L305" i="165"/>
  <c r="K305" i="165"/>
  <c r="H305" i="165"/>
  <c r="N304" i="165"/>
  <c r="M304" i="165"/>
  <c r="L304" i="165"/>
  <c r="K304" i="165"/>
  <c r="H304" i="165"/>
  <c r="N303" i="165"/>
  <c r="M303" i="165"/>
  <c r="L303" i="165"/>
  <c r="K303" i="165"/>
  <c r="H303" i="165"/>
  <c r="N302" i="165"/>
  <c r="M302" i="165"/>
  <c r="L302" i="165"/>
  <c r="K302" i="165"/>
  <c r="H302" i="165"/>
  <c r="N301" i="165"/>
  <c r="M301" i="165"/>
  <c r="L301" i="165"/>
  <c r="K301" i="165"/>
  <c r="H301" i="165"/>
  <c r="N300" i="165"/>
  <c r="M300" i="165"/>
  <c r="L300" i="165"/>
  <c r="K300" i="165"/>
  <c r="H300" i="165"/>
  <c r="N299" i="165"/>
  <c r="M299" i="165"/>
  <c r="L299" i="165"/>
  <c r="K299" i="165"/>
  <c r="H299" i="165"/>
  <c r="N298" i="165"/>
  <c r="M298" i="165"/>
  <c r="L298" i="165"/>
  <c r="K298" i="165"/>
  <c r="H298" i="165"/>
  <c r="N297" i="165"/>
  <c r="M297" i="165"/>
  <c r="L297" i="165"/>
  <c r="K297" i="165"/>
  <c r="H297" i="165"/>
  <c r="N296" i="165"/>
  <c r="M296" i="165"/>
  <c r="L296" i="165"/>
  <c r="K296" i="165"/>
  <c r="H296" i="165"/>
  <c r="N295" i="165"/>
  <c r="M295" i="165"/>
  <c r="L295" i="165"/>
  <c r="K295" i="165"/>
  <c r="H295" i="165"/>
  <c r="N294" i="165"/>
  <c r="M294" i="165"/>
  <c r="L294" i="165"/>
  <c r="K294" i="165"/>
  <c r="H294" i="165"/>
  <c r="N293" i="165"/>
  <c r="M293" i="165"/>
  <c r="L293" i="165"/>
  <c r="K293" i="165"/>
  <c r="H293" i="165"/>
  <c r="N292" i="165"/>
  <c r="M292" i="165"/>
  <c r="L292" i="165"/>
  <c r="K292" i="165"/>
  <c r="H292" i="165"/>
  <c r="N291" i="165"/>
  <c r="M291" i="165"/>
  <c r="L291" i="165"/>
  <c r="K291" i="165"/>
  <c r="H291" i="165"/>
  <c r="N290" i="165"/>
  <c r="M290" i="165"/>
  <c r="L290" i="165"/>
  <c r="K290" i="165"/>
  <c r="H290" i="165"/>
  <c r="N289" i="165"/>
  <c r="M289" i="165"/>
  <c r="L289" i="165"/>
  <c r="K289" i="165"/>
  <c r="H289" i="165"/>
  <c r="N288" i="165"/>
  <c r="M288" i="165"/>
  <c r="L288" i="165"/>
  <c r="K288" i="165"/>
  <c r="H288" i="165"/>
  <c r="N287" i="165"/>
  <c r="M287" i="165"/>
  <c r="L287" i="165"/>
  <c r="K287" i="165"/>
  <c r="H287" i="165"/>
  <c r="N286" i="165"/>
  <c r="M286" i="165"/>
  <c r="L286" i="165"/>
  <c r="K286" i="165"/>
  <c r="H286" i="165"/>
  <c r="N285" i="165"/>
  <c r="M285" i="165"/>
  <c r="L285" i="165"/>
  <c r="K285" i="165"/>
  <c r="H285" i="165"/>
  <c r="N284" i="165"/>
  <c r="M284" i="165"/>
  <c r="L284" i="165"/>
  <c r="K284" i="165"/>
  <c r="H284" i="165"/>
  <c r="N283" i="165"/>
  <c r="M283" i="165"/>
  <c r="L283" i="165"/>
  <c r="K283" i="165"/>
  <c r="H283" i="165"/>
  <c r="N282" i="165"/>
  <c r="M282" i="165"/>
  <c r="L282" i="165"/>
  <c r="K282" i="165"/>
  <c r="H282" i="165"/>
  <c r="N281" i="165"/>
  <c r="M281" i="165"/>
  <c r="L281" i="165"/>
  <c r="K281" i="165"/>
  <c r="H281" i="165"/>
  <c r="N280" i="165"/>
  <c r="M280" i="165"/>
  <c r="L280" i="165"/>
  <c r="K280" i="165"/>
  <c r="H280" i="165"/>
  <c r="N279" i="165"/>
  <c r="M279" i="165"/>
  <c r="L279" i="165"/>
  <c r="K279" i="165"/>
  <c r="H279" i="165"/>
  <c r="N278" i="165"/>
  <c r="M278" i="165"/>
  <c r="L278" i="165"/>
  <c r="K278" i="165"/>
  <c r="H278" i="165"/>
  <c r="N277" i="165"/>
  <c r="M277" i="165"/>
  <c r="L277" i="165"/>
  <c r="K277" i="165"/>
  <c r="H277" i="165"/>
  <c r="N276" i="165"/>
  <c r="M276" i="165"/>
  <c r="L276" i="165"/>
  <c r="K276" i="165"/>
  <c r="H276" i="165"/>
  <c r="N275" i="165"/>
  <c r="M275" i="165"/>
  <c r="L275" i="165"/>
  <c r="K275" i="165"/>
  <c r="H275" i="165"/>
  <c r="N274" i="165"/>
  <c r="M274" i="165"/>
  <c r="L274" i="165"/>
  <c r="K274" i="165"/>
  <c r="H274" i="165"/>
  <c r="N273" i="165"/>
  <c r="M273" i="165"/>
  <c r="L273" i="165"/>
  <c r="K273" i="165"/>
  <c r="H273" i="165"/>
  <c r="N272" i="165"/>
  <c r="M272" i="165"/>
  <c r="L272" i="165"/>
  <c r="K272" i="165"/>
  <c r="H272" i="165"/>
  <c r="N271" i="165"/>
  <c r="M271" i="165"/>
  <c r="L271" i="165"/>
  <c r="K271" i="165"/>
  <c r="H271" i="165"/>
  <c r="N270" i="165"/>
  <c r="M270" i="165"/>
  <c r="L270" i="165"/>
  <c r="K270" i="165"/>
  <c r="H270" i="165"/>
  <c r="N269" i="165"/>
  <c r="M269" i="165"/>
  <c r="L269" i="165"/>
  <c r="K269" i="165"/>
  <c r="H269" i="165"/>
  <c r="N268" i="165"/>
  <c r="M268" i="165"/>
  <c r="L268" i="165"/>
  <c r="K268" i="165"/>
  <c r="H268" i="165"/>
  <c r="N267" i="165"/>
  <c r="M267" i="165"/>
  <c r="L267" i="165"/>
  <c r="K267" i="165"/>
  <c r="H267" i="165"/>
  <c r="N266" i="165"/>
  <c r="M266" i="165"/>
  <c r="L266" i="165"/>
  <c r="K266" i="165"/>
  <c r="H266" i="165"/>
  <c r="N265" i="165"/>
  <c r="M265" i="165"/>
  <c r="L265" i="165"/>
  <c r="K265" i="165"/>
  <c r="H265" i="165"/>
  <c r="N264" i="165"/>
  <c r="M264" i="165"/>
  <c r="L264" i="165"/>
  <c r="K264" i="165"/>
  <c r="H264" i="165"/>
  <c r="N263" i="165"/>
  <c r="M263" i="165"/>
  <c r="L263" i="165"/>
  <c r="K263" i="165"/>
  <c r="H263" i="165"/>
  <c r="N262" i="165"/>
  <c r="M262" i="165"/>
  <c r="L262" i="165"/>
  <c r="K262" i="165"/>
  <c r="H262" i="165"/>
  <c r="N261" i="165"/>
  <c r="M261" i="165"/>
  <c r="L261" i="165"/>
  <c r="K261" i="165"/>
  <c r="H261" i="165"/>
  <c r="N260" i="165"/>
  <c r="M260" i="165"/>
  <c r="L260" i="165"/>
  <c r="K260" i="165"/>
  <c r="H260" i="165"/>
  <c r="N259" i="165"/>
  <c r="M259" i="165"/>
  <c r="L259" i="165"/>
  <c r="K259" i="165"/>
  <c r="H259" i="165"/>
  <c r="N258" i="165"/>
  <c r="M258" i="165"/>
  <c r="L258" i="165"/>
  <c r="K258" i="165"/>
  <c r="H258" i="165"/>
  <c r="N257" i="165"/>
  <c r="M257" i="165"/>
  <c r="L257" i="165"/>
  <c r="K257" i="165"/>
  <c r="H257" i="165"/>
  <c r="N256" i="165"/>
  <c r="M256" i="165"/>
  <c r="L256" i="165"/>
  <c r="K256" i="165"/>
  <c r="H256" i="165"/>
  <c r="N255" i="165"/>
  <c r="M255" i="165"/>
  <c r="L255" i="165"/>
  <c r="K255" i="165"/>
  <c r="H255" i="165"/>
  <c r="N254" i="165"/>
  <c r="M254" i="165"/>
  <c r="L254" i="165"/>
  <c r="K254" i="165"/>
  <c r="H254" i="165"/>
  <c r="N253" i="165"/>
  <c r="M253" i="165"/>
  <c r="L253" i="165"/>
  <c r="K253" i="165"/>
  <c r="H253" i="165"/>
  <c r="N252" i="165"/>
  <c r="M252" i="165"/>
  <c r="L252" i="165"/>
  <c r="K252" i="165"/>
  <c r="H252" i="165"/>
  <c r="N251" i="165"/>
  <c r="M251" i="165"/>
  <c r="L251" i="165"/>
  <c r="K251" i="165"/>
  <c r="H251" i="165"/>
  <c r="N250" i="165"/>
  <c r="M250" i="165"/>
  <c r="L250" i="165"/>
  <c r="K250" i="165"/>
  <c r="H250" i="165"/>
  <c r="N249" i="165"/>
  <c r="M249" i="165"/>
  <c r="L249" i="165"/>
  <c r="K249" i="165"/>
  <c r="H249" i="165"/>
  <c r="N248" i="165"/>
  <c r="M248" i="165"/>
  <c r="L248" i="165"/>
  <c r="K248" i="165"/>
  <c r="H248" i="165"/>
  <c r="N247" i="165"/>
  <c r="M247" i="165"/>
  <c r="L247" i="165"/>
  <c r="K247" i="165"/>
  <c r="H247" i="165"/>
  <c r="N246" i="165"/>
  <c r="M246" i="165"/>
  <c r="L246" i="165"/>
  <c r="K246" i="165"/>
  <c r="H246" i="165"/>
  <c r="N245" i="165"/>
  <c r="M245" i="165"/>
  <c r="L245" i="165"/>
  <c r="K245" i="165"/>
  <c r="H245" i="165"/>
  <c r="N244" i="165"/>
  <c r="M244" i="165"/>
  <c r="L244" i="165"/>
  <c r="K244" i="165"/>
  <c r="H244" i="165"/>
  <c r="N243" i="165"/>
  <c r="M243" i="165"/>
  <c r="L243" i="165"/>
  <c r="K243" i="165"/>
  <c r="H243" i="165"/>
  <c r="N242" i="165"/>
  <c r="M242" i="165"/>
  <c r="L242" i="165"/>
  <c r="K242" i="165"/>
  <c r="H242" i="165"/>
  <c r="N241" i="165"/>
  <c r="M241" i="165"/>
  <c r="L241" i="165"/>
  <c r="K241" i="165"/>
  <c r="H241" i="165"/>
  <c r="N240" i="165"/>
  <c r="M240" i="165"/>
  <c r="L240" i="165"/>
  <c r="K240" i="165"/>
  <c r="H240" i="165"/>
  <c r="N239" i="165"/>
  <c r="M239" i="165"/>
  <c r="L239" i="165"/>
  <c r="K239" i="165"/>
  <c r="H239" i="165"/>
  <c r="N238" i="165"/>
  <c r="M238" i="165"/>
  <c r="L238" i="165"/>
  <c r="K238" i="165"/>
  <c r="H238" i="165"/>
  <c r="N237" i="165"/>
  <c r="M237" i="165"/>
  <c r="L237" i="165"/>
  <c r="K237" i="165"/>
  <c r="H237" i="165"/>
  <c r="N236" i="165"/>
  <c r="M236" i="165"/>
  <c r="L236" i="165"/>
  <c r="K236" i="165"/>
  <c r="H236" i="165"/>
  <c r="N235" i="165"/>
  <c r="M235" i="165"/>
  <c r="L235" i="165"/>
  <c r="K235" i="165"/>
  <c r="H235" i="165"/>
  <c r="N234" i="165"/>
  <c r="M234" i="165"/>
  <c r="L234" i="165"/>
  <c r="K234" i="165"/>
  <c r="H234" i="165"/>
  <c r="N233" i="165"/>
  <c r="M233" i="165"/>
  <c r="L233" i="165"/>
  <c r="K233" i="165"/>
  <c r="H233" i="165"/>
  <c r="N232" i="165"/>
  <c r="M232" i="165"/>
  <c r="L232" i="165"/>
  <c r="K232" i="165"/>
  <c r="H232" i="165"/>
  <c r="N231" i="165"/>
  <c r="M231" i="165"/>
  <c r="L231" i="165"/>
  <c r="K231" i="165"/>
  <c r="H231" i="165"/>
  <c r="N230" i="165"/>
  <c r="M230" i="165"/>
  <c r="L230" i="165"/>
  <c r="K230" i="165"/>
  <c r="H230" i="165"/>
  <c r="N229" i="165"/>
  <c r="M229" i="165"/>
  <c r="L229" i="165"/>
  <c r="K229" i="165"/>
  <c r="H229" i="165"/>
  <c r="N228" i="165"/>
  <c r="M228" i="165"/>
  <c r="L228" i="165"/>
  <c r="K228" i="165"/>
  <c r="H228" i="165"/>
  <c r="N227" i="165"/>
  <c r="M227" i="165"/>
  <c r="L227" i="165"/>
  <c r="K227" i="165"/>
  <c r="H227" i="165"/>
  <c r="N226" i="165"/>
  <c r="M226" i="165"/>
  <c r="L226" i="165"/>
  <c r="K226" i="165"/>
  <c r="H226" i="165"/>
  <c r="N225" i="165"/>
  <c r="M225" i="165"/>
  <c r="L225" i="165"/>
  <c r="K225" i="165"/>
  <c r="H225" i="165"/>
  <c r="N224" i="165"/>
  <c r="M224" i="165"/>
  <c r="L224" i="165"/>
  <c r="K224" i="165"/>
  <c r="H224" i="165"/>
  <c r="N223" i="165"/>
  <c r="M223" i="165"/>
  <c r="L223" i="165"/>
  <c r="K223" i="165"/>
  <c r="H223" i="165"/>
  <c r="N222" i="165"/>
  <c r="M222" i="165"/>
  <c r="L222" i="165"/>
  <c r="K222" i="165"/>
  <c r="H222" i="165"/>
  <c r="N221" i="165"/>
  <c r="M221" i="165"/>
  <c r="L221" i="165"/>
  <c r="K221" i="165"/>
  <c r="H221" i="165"/>
  <c r="N220" i="165"/>
  <c r="M220" i="165"/>
  <c r="L220" i="165"/>
  <c r="K220" i="165"/>
  <c r="H220" i="165"/>
  <c r="N219" i="165"/>
  <c r="M219" i="165"/>
  <c r="L219" i="165"/>
  <c r="K219" i="165"/>
  <c r="H219" i="165"/>
  <c r="N218" i="165"/>
  <c r="M218" i="165"/>
  <c r="L218" i="165"/>
  <c r="K218" i="165"/>
  <c r="H218" i="165"/>
  <c r="N217" i="165"/>
  <c r="M217" i="165"/>
  <c r="L217" i="165"/>
  <c r="K217" i="165"/>
  <c r="H217" i="165"/>
  <c r="N216" i="165"/>
  <c r="M216" i="165"/>
  <c r="L216" i="165"/>
  <c r="K216" i="165"/>
  <c r="H216" i="165"/>
  <c r="N215" i="165"/>
  <c r="M215" i="165"/>
  <c r="L215" i="165"/>
  <c r="K215" i="165"/>
  <c r="H215" i="165"/>
  <c r="N214" i="165"/>
  <c r="M214" i="165"/>
  <c r="L214" i="165"/>
  <c r="K214" i="165"/>
  <c r="H214" i="165"/>
  <c r="N213" i="165"/>
  <c r="M213" i="165"/>
  <c r="L213" i="165"/>
  <c r="K213" i="165"/>
  <c r="H213" i="165"/>
  <c r="N212" i="165"/>
  <c r="M212" i="165"/>
  <c r="L212" i="165"/>
  <c r="K212" i="165"/>
  <c r="H212" i="165"/>
  <c r="N211" i="165"/>
  <c r="M211" i="165"/>
  <c r="L211" i="165"/>
  <c r="K211" i="165"/>
  <c r="H211" i="165"/>
  <c r="N210" i="165"/>
  <c r="M210" i="165"/>
  <c r="L210" i="165"/>
  <c r="K210" i="165"/>
  <c r="H210" i="165"/>
  <c r="N209" i="165"/>
  <c r="M209" i="165"/>
  <c r="L209" i="165"/>
  <c r="K209" i="165"/>
  <c r="H209" i="165"/>
  <c r="N208" i="165"/>
  <c r="M208" i="165"/>
  <c r="L208" i="165"/>
  <c r="K208" i="165"/>
  <c r="H208" i="165"/>
  <c r="N207" i="165"/>
  <c r="M207" i="165"/>
  <c r="L207" i="165"/>
  <c r="K207" i="165"/>
  <c r="H207" i="165"/>
  <c r="N206" i="165"/>
  <c r="M206" i="165"/>
  <c r="L206" i="165"/>
  <c r="K206" i="165"/>
  <c r="H206" i="165"/>
  <c r="N205" i="165"/>
  <c r="M205" i="165"/>
  <c r="L205" i="165"/>
  <c r="K205" i="165"/>
  <c r="H205" i="165"/>
  <c r="N204" i="165"/>
  <c r="M204" i="165"/>
  <c r="L204" i="165"/>
  <c r="K204" i="165"/>
  <c r="H204" i="165"/>
  <c r="N203" i="165"/>
  <c r="M203" i="165"/>
  <c r="L203" i="165"/>
  <c r="K203" i="165"/>
  <c r="H203" i="165"/>
  <c r="N202" i="165"/>
  <c r="M202" i="165"/>
  <c r="L202" i="165"/>
  <c r="K202" i="165"/>
  <c r="H202" i="165"/>
  <c r="N201" i="165"/>
  <c r="M201" i="165"/>
  <c r="L201" i="165"/>
  <c r="K201" i="165"/>
  <c r="H201" i="165"/>
  <c r="N200" i="165"/>
  <c r="M200" i="165"/>
  <c r="L200" i="165"/>
  <c r="K200" i="165"/>
  <c r="H200" i="165"/>
  <c r="N199" i="165"/>
  <c r="M199" i="165"/>
  <c r="L199" i="165"/>
  <c r="K199" i="165"/>
  <c r="H199" i="165"/>
  <c r="N198" i="165"/>
  <c r="M198" i="165"/>
  <c r="L198" i="165"/>
  <c r="K198" i="165"/>
  <c r="H198" i="165"/>
  <c r="N197" i="165"/>
  <c r="M197" i="165"/>
  <c r="L197" i="165"/>
  <c r="K197" i="165"/>
  <c r="H197" i="165"/>
  <c r="N196" i="165"/>
  <c r="M196" i="165"/>
  <c r="L196" i="165"/>
  <c r="K196" i="165"/>
  <c r="H196" i="165"/>
  <c r="N195" i="165"/>
  <c r="M195" i="165"/>
  <c r="L195" i="165"/>
  <c r="K195" i="165"/>
  <c r="H195" i="165"/>
  <c r="N194" i="165"/>
  <c r="M194" i="165"/>
  <c r="L194" i="165"/>
  <c r="K194" i="165"/>
  <c r="H194" i="165"/>
  <c r="N193" i="165"/>
  <c r="M193" i="165"/>
  <c r="L193" i="165"/>
  <c r="K193" i="165"/>
  <c r="H193" i="165"/>
  <c r="N192" i="165"/>
  <c r="M192" i="165"/>
  <c r="L192" i="165"/>
  <c r="K192" i="165"/>
  <c r="H192" i="165"/>
  <c r="N191" i="165"/>
  <c r="M191" i="165"/>
  <c r="L191" i="165"/>
  <c r="K191" i="165"/>
  <c r="H191" i="165"/>
  <c r="N190" i="165"/>
  <c r="M190" i="165"/>
  <c r="L190" i="165"/>
  <c r="K190" i="165"/>
  <c r="H190" i="165"/>
  <c r="N189" i="165"/>
  <c r="M189" i="165"/>
  <c r="L189" i="165"/>
  <c r="K189" i="165"/>
  <c r="H189" i="165"/>
  <c r="N188" i="165"/>
  <c r="M188" i="165"/>
  <c r="L188" i="165"/>
  <c r="K188" i="165"/>
  <c r="H188" i="165"/>
  <c r="N187" i="165"/>
  <c r="M187" i="165"/>
  <c r="L187" i="165"/>
  <c r="K187" i="165"/>
  <c r="H187" i="165"/>
  <c r="N186" i="165"/>
  <c r="M186" i="165"/>
  <c r="L186" i="165"/>
  <c r="K186" i="165"/>
  <c r="H186" i="165"/>
  <c r="N185" i="165"/>
  <c r="M185" i="165"/>
  <c r="L185" i="165"/>
  <c r="K185" i="165"/>
  <c r="H185" i="165"/>
  <c r="N184" i="165"/>
  <c r="M184" i="165"/>
  <c r="L184" i="165"/>
  <c r="K184" i="165"/>
  <c r="H184" i="165"/>
  <c r="N183" i="165"/>
  <c r="M183" i="165"/>
  <c r="L183" i="165"/>
  <c r="K183" i="165"/>
  <c r="H183" i="165"/>
  <c r="N182" i="165"/>
  <c r="M182" i="165"/>
  <c r="L182" i="165"/>
  <c r="K182" i="165"/>
  <c r="H182" i="165"/>
  <c r="N181" i="165"/>
  <c r="M181" i="165"/>
  <c r="L181" i="165"/>
  <c r="K181" i="165"/>
  <c r="H181" i="165"/>
  <c r="N180" i="165"/>
  <c r="M180" i="165"/>
  <c r="L180" i="165"/>
  <c r="K180" i="165"/>
  <c r="H180" i="165"/>
  <c r="N179" i="165"/>
  <c r="M179" i="165"/>
  <c r="L179" i="165"/>
  <c r="K179" i="165"/>
  <c r="H179" i="165"/>
  <c r="N178" i="165"/>
  <c r="M178" i="165"/>
  <c r="L178" i="165"/>
  <c r="K178" i="165"/>
  <c r="H178" i="165"/>
  <c r="N177" i="165"/>
  <c r="M177" i="165"/>
  <c r="L177" i="165"/>
  <c r="K177" i="165"/>
  <c r="H177" i="165"/>
  <c r="N176" i="165"/>
  <c r="M176" i="165"/>
  <c r="L176" i="165"/>
  <c r="K176" i="165"/>
  <c r="H176" i="165"/>
  <c r="N175" i="165"/>
  <c r="M175" i="165"/>
  <c r="L175" i="165"/>
  <c r="K175" i="165"/>
  <c r="H175" i="165"/>
  <c r="N174" i="165"/>
  <c r="M174" i="165"/>
  <c r="L174" i="165"/>
  <c r="K174" i="165"/>
  <c r="H174" i="165"/>
  <c r="N173" i="165"/>
  <c r="M173" i="165"/>
  <c r="L173" i="165"/>
  <c r="K173" i="165"/>
  <c r="H173" i="165"/>
  <c r="N172" i="165"/>
  <c r="M172" i="165"/>
  <c r="L172" i="165"/>
  <c r="K172" i="165"/>
  <c r="H172" i="165"/>
  <c r="N171" i="165"/>
  <c r="M171" i="165"/>
  <c r="L171" i="165"/>
  <c r="K171" i="165"/>
  <c r="H171" i="165"/>
  <c r="N170" i="165"/>
  <c r="M170" i="165"/>
  <c r="L170" i="165"/>
  <c r="K170" i="165"/>
  <c r="H170" i="165"/>
  <c r="N169" i="165"/>
  <c r="M169" i="165"/>
  <c r="L169" i="165"/>
  <c r="K169" i="165"/>
  <c r="H169" i="165"/>
  <c r="N168" i="165"/>
  <c r="M168" i="165"/>
  <c r="L168" i="165"/>
  <c r="K168" i="165"/>
  <c r="H168" i="165"/>
  <c r="N167" i="165"/>
  <c r="M167" i="165"/>
  <c r="L167" i="165"/>
  <c r="K167" i="165"/>
  <c r="H167" i="165"/>
  <c r="N166" i="165"/>
  <c r="M166" i="165"/>
  <c r="L166" i="165"/>
  <c r="K166" i="165"/>
  <c r="H166" i="165"/>
  <c r="N165" i="165"/>
  <c r="M165" i="165"/>
  <c r="L165" i="165"/>
  <c r="K165" i="165"/>
  <c r="H165" i="165"/>
  <c r="N164" i="165"/>
  <c r="M164" i="165"/>
  <c r="L164" i="165"/>
  <c r="K164" i="165"/>
  <c r="H164" i="165"/>
  <c r="N163" i="165"/>
  <c r="M163" i="165"/>
  <c r="L163" i="165"/>
  <c r="K163" i="165"/>
  <c r="H163" i="165"/>
  <c r="N162" i="165"/>
  <c r="M162" i="165"/>
  <c r="L162" i="165"/>
  <c r="K162" i="165"/>
  <c r="H162" i="165"/>
  <c r="N161" i="165"/>
  <c r="M161" i="165"/>
  <c r="L161" i="165"/>
  <c r="K161" i="165"/>
  <c r="H161" i="165"/>
  <c r="N160" i="165"/>
  <c r="M160" i="165"/>
  <c r="L160" i="165"/>
  <c r="K160" i="165"/>
  <c r="H160" i="165"/>
  <c r="N159" i="165"/>
  <c r="M159" i="165"/>
  <c r="L159" i="165"/>
  <c r="K159" i="165"/>
  <c r="H159" i="165"/>
  <c r="N158" i="165"/>
  <c r="M158" i="165"/>
  <c r="L158" i="165"/>
  <c r="K158" i="165"/>
  <c r="H158" i="165"/>
  <c r="N157" i="165"/>
  <c r="M157" i="165"/>
  <c r="L157" i="165"/>
  <c r="K157" i="165"/>
  <c r="H157" i="165"/>
  <c r="N156" i="165"/>
  <c r="M156" i="165"/>
  <c r="L156" i="165"/>
  <c r="K156" i="165"/>
  <c r="H156" i="165"/>
  <c r="N155" i="165"/>
  <c r="M155" i="165"/>
  <c r="L155" i="165"/>
  <c r="K155" i="165"/>
  <c r="H155" i="165"/>
  <c r="N154" i="165"/>
  <c r="M154" i="165"/>
  <c r="L154" i="165"/>
  <c r="K154" i="165"/>
  <c r="H154" i="165"/>
  <c r="N153" i="165"/>
  <c r="M153" i="165"/>
  <c r="L153" i="165"/>
  <c r="K153" i="165"/>
  <c r="H153" i="165"/>
  <c r="N152" i="165"/>
  <c r="M152" i="165"/>
  <c r="L152" i="165"/>
  <c r="K152" i="165"/>
  <c r="H152" i="165"/>
  <c r="N151" i="165"/>
  <c r="M151" i="165"/>
  <c r="L151" i="165"/>
  <c r="K151" i="165"/>
  <c r="H151" i="165"/>
  <c r="N150" i="165"/>
  <c r="M150" i="165"/>
  <c r="L150" i="165"/>
  <c r="K150" i="165"/>
  <c r="H150" i="165"/>
  <c r="N149" i="165"/>
  <c r="M149" i="165"/>
  <c r="L149" i="165"/>
  <c r="K149" i="165"/>
  <c r="H149" i="165"/>
  <c r="N148" i="165"/>
  <c r="M148" i="165"/>
  <c r="L148" i="165"/>
  <c r="K148" i="165"/>
  <c r="H148" i="165"/>
  <c r="N147" i="165"/>
  <c r="M147" i="165"/>
  <c r="L147" i="165"/>
  <c r="K147" i="165"/>
  <c r="H147" i="165"/>
  <c r="N146" i="165"/>
  <c r="M146" i="165"/>
  <c r="L146" i="165"/>
  <c r="K146" i="165"/>
  <c r="H146" i="165"/>
  <c r="N145" i="165"/>
  <c r="M145" i="165"/>
  <c r="L145" i="165"/>
  <c r="K145" i="165"/>
  <c r="H145" i="165"/>
  <c r="N144" i="165"/>
  <c r="M144" i="165"/>
  <c r="L144" i="165"/>
  <c r="K144" i="165"/>
  <c r="H144" i="165"/>
  <c r="N143" i="165"/>
  <c r="M143" i="165"/>
  <c r="L143" i="165"/>
  <c r="K143" i="165"/>
  <c r="H143" i="165"/>
  <c r="N142" i="165"/>
  <c r="M142" i="165"/>
  <c r="L142" i="165"/>
  <c r="K142" i="165"/>
  <c r="H142" i="165"/>
  <c r="N141" i="165"/>
  <c r="M141" i="165"/>
  <c r="L141" i="165"/>
  <c r="K141" i="165"/>
  <c r="H141" i="165"/>
  <c r="N140" i="165"/>
  <c r="M140" i="165"/>
  <c r="L140" i="165"/>
  <c r="K140" i="165"/>
  <c r="H140" i="165"/>
  <c r="N139" i="165"/>
  <c r="M139" i="165"/>
  <c r="L139" i="165"/>
  <c r="K139" i="165"/>
  <c r="H139" i="165"/>
  <c r="N138" i="165"/>
  <c r="M138" i="165"/>
  <c r="L138" i="165"/>
  <c r="K138" i="165"/>
  <c r="H138" i="165"/>
  <c r="N137" i="165"/>
  <c r="M137" i="165"/>
  <c r="L137" i="165"/>
  <c r="K137" i="165"/>
  <c r="H137" i="165"/>
  <c r="N136" i="165"/>
  <c r="M136" i="165"/>
  <c r="L136" i="165"/>
  <c r="K136" i="165"/>
  <c r="H136" i="165"/>
  <c r="N135" i="165"/>
  <c r="M135" i="165"/>
  <c r="L135" i="165"/>
  <c r="K135" i="165"/>
  <c r="H135" i="165"/>
  <c r="N134" i="165"/>
  <c r="M134" i="165"/>
  <c r="L134" i="165"/>
  <c r="K134" i="165"/>
  <c r="H134" i="165"/>
  <c r="N133" i="165"/>
  <c r="M133" i="165"/>
  <c r="L133" i="165"/>
  <c r="K133" i="165"/>
  <c r="H133" i="165"/>
  <c r="N132" i="165"/>
  <c r="M132" i="165"/>
  <c r="L132" i="165"/>
  <c r="K132" i="165"/>
  <c r="H132" i="165"/>
  <c r="N131" i="165"/>
  <c r="M131" i="165"/>
  <c r="L131" i="165"/>
  <c r="K131" i="165"/>
  <c r="H131" i="165"/>
  <c r="N130" i="165"/>
  <c r="M130" i="165"/>
  <c r="L130" i="165"/>
  <c r="K130" i="165"/>
  <c r="H130" i="165"/>
  <c r="N129" i="165"/>
  <c r="M129" i="165"/>
  <c r="L129" i="165"/>
  <c r="K129" i="165"/>
  <c r="H129" i="165"/>
  <c r="N128" i="165"/>
  <c r="M128" i="165"/>
  <c r="L128" i="165"/>
  <c r="K128" i="165"/>
  <c r="H128" i="165"/>
  <c r="N127" i="165"/>
  <c r="M127" i="165"/>
  <c r="L127" i="165"/>
  <c r="K127" i="165"/>
  <c r="H127" i="165"/>
  <c r="N126" i="165"/>
  <c r="M126" i="165"/>
  <c r="L126" i="165"/>
  <c r="K126" i="165"/>
  <c r="H126" i="165"/>
  <c r="N125" i="165"/>
  <c r="M125" i="165"/>
  <c r="L125" i="165"/>
  <c r="K125" i="165"/>
  <c r="H125" i="165"/>
  <c r="N124" i="165"/>
  <c r="M124" i="165"/>
  <c r="L124" i="165"/>
  <c r="K124" i="165"/>
  <c r="H124" i="165"/>
  <c r="N123" i="165"/>
  <c r="M123" i="165"/>
  <c r="L123" i="165"/>
  <c r="K123" i="165"/>
  <c r="H123" i="165"/>
  <c r="N122" i="165"/>
  <c r="M122" i="165"/>
  <c r="L122" i="165"/>
  <c r="K122" i="165"/>
  <c r="H122" i="165"/>
  <c r="N121" i="165"/>
  <c r="M121" i="165"/>
  <c r="L121" i="165"/>
  <c r="K121" i="165"/>
  <c r="H121" i="165"/>
  <c r="N120" i="165"/>
  <c r="M120" i="165"/>
  <c r="L120" i="165"/>
  <c r="K120" i="165"/>
  <c r="H120" i="165"/>
  <c r="N119" i="165"/>
  <c r="M119" i="165"/>
  <c r="L119" i="165"/>
  <c r="K119" i="165"/>
  <c r="H119" i="165"/>
  <c r="N118" i="165"/>
  <c r="M118" i="165"/>
  <c r="L118" i="165"/>
  <c r="K118" i="165"/>
  <c r="H118" i="165"/>
  <c r="N117" i="165"/>
  <c r="M117" i="165"/>
  <c r="L117" i="165"/>
  <c r="K117" i="165"/>
  <c r="H117" i="165"/>
  <c r="N116" i="165"/>
  <c r="M116" i="165"/>
  <c r="L116" i="165"/>
  <c r="K116" i="165"/>
  <c r="H116" i="165"/>
  <c r="N115" i="165"/>
  <c r="M115" i="165"/>
  <c r="L115" i="165"/>
  <c r="K115" i="165"/>
  <c r="H115" i="165"/>
  <c r="N114" i="165"/>
  <c r="M114" i="165"/>
  <c r="L114" i="165"/>
  <c r="K114" i="165"/>
  <c r="H114" i="165"/>
  <c r="N113" i="165"/>
  <c r="M113" i="165"/>
  <c r="L113" i="165"/>
  <c r="K113" i="165"/>
  <c r="H113" i="165"/>
  <c r="N112" i="165"/>
  <c r="M112" i="165"/>
  <c r="L112" i="165"/>
  <c r="K112" i="165"/>
  <c r="H112" i="165"/>
  <c r="N111" i="165"/>
  <c r="M111" i="165"/>
  <c r="L111" i="165"/>
  <c r="K111" i="165"/>
  <c r="H111" i="165"/>
  <c r="N110" i="165"/>
  <c r="M110" i="165"/>
  <c r="L110" i="165"/>
  <c r="K110" i="165"/>
  <c r="H110" i="165"/>
  <c r="N109" i="165"/>
  <c r="M109" i="165"/>
  <c r="L109" i="165"/>
  <c r="K109" i="165"/>
  <c r="H109" i="165"/>
  <c r="N108" i="165"/>
  <c r="M108" i="165"/>
  <c r="L108" i="165"/>
  <c r="K108" i="165"/>
  <c r="H108" i="165"/>
  <c r="N107" i="165"/>
  <c r="M107" i="165"/>
  <c r="L107" i="165"/>
  <c r="K107" i="165"/>
  <c r="H107" i="165"/>
  <c r="N106" i="165"/>
  <c r="M106" i="165"/>
  <c r="L106" i="165"/>
  <c r="K106" i="165"/>
  <c r="H106" i="165"/>
  <c r="N105" i="165"/>
  <c r="M105" i="165"/>
  <c r="L105" i="165"/>
  <c r="K105" i="165"/>
  <c r="H105" i="165"/>
  <c r="N104" i="165"/>
  <c r="M104" i="165"/>
  <c r="L104" i="165"/>
  <c r="K104" i="165"/>
  <c r="H104" i="165"/>
  <c r="N103" i="165"/>
  <c r="M103" i="165"/>
  <c r="L103" i="165"/>
  <c r="K103" i="165"/>
  <c r="H103" i="165"/>
  <c r="N102" i="165"/>
  <c r="M102" i="165"/>
  <c r="L102" i="165"/>
  <c r="K102" i="165"/>
  <c r="H102" i="165"/>
  <c r="N101" i="165"/>
  <c r="M101" i="165"/>
  <c r="L101" i="165"/>
  <c r="K101" i="165"/>
  <c r="H101" i="165"/>
  <c r="N100" i="165"/>
  <c r="M100" i="165"/>
  <c r="L100" i="165"/>
  <c r="K100" i="165"/>
  <c r="H100" i="165"/>
  <c r="N99" i="165"/>
  <c r="M99" i="165"/>
  <c r="L99" i="165"/>
  <c r="K99" i="165"/>
  <c r="H99" i="165"/>
  <c r="N98" i="165"/>
  <c r="M98" i="165"/>
  <c r="L98" i="165"/>
  <c r="K98" i="165"/>
  <c r="H98" i="165"/>
  <c r="N97" i="165"/>
  <c r="M97" i="165"/>
  <c r="L97" i="165"/>
  <c r="K97" i="165"/>
  <c r="H97" i="165"/>
  <c r="N96" i="165"/>
  <c r="M96" i="165"/>
  <c r="L96" i="165"/>
  <c r="K96" i="165"/>
  <c r="H96" i="165"/>
  <c r="N95" i="165"/>
  <c r="M95" i="165"/>
  <c r="L95" i="165"/>
  <c r="K95" i="165"/>
  <c r="H95" i="165"/>
  <c r="N94" i="165"/>
  <c r="M94" i="165"/>
  <c r="L94" i="165"/>
  <c r="K94" i="165"/>
  <c r="H94" i="165"/>
  <c r="N93" i="165"/>
  <c r="M93" i="165"/>
  <c r="L93" i="165"/>
  <c r="K93" i="165"/>
  <c r="H93" i="165"/>
  <c r="N92" i="165"/>
  <c r="M92" i="165"/>
  <c r="L92" i="165"/>
  <c r="K92" i="165"/>
  <c r="H92" i="165"/>
  <c r="N91" i="165"/>
  <c r="M91" i="165"/>
  <c r="L91" i="165"/>
  <c r="K91" i="165"/>
  <c r="H91" i="165"/>
  <c r="N90" i="165"/>
  <c r="M90" i="165"/>
  <c r="L90" i="165"/>
  <c r="K90" i="165"/>
  <c r="H90" i="165"/>
  <c r="N89" i="165"/>
  <c r="M89" i="165"/>
  <c r="L89" i="165"/>
  <c r="K89" i="165"/>
  <c r="H89" i="165"/>
  <c r="N88" i="165"/>
  <c r="M88" i="165"/>
  <c r="L88" i="165"/>
  <c r="K88" i="165"/>
  <c r="H88" i="165"/>
  <c r="N87" i="165"/>
  <c r="M87" i="165"/>
  <c r="L87" i="165"/>
  <c r="K87" i="165"/>
  <c r="H87" i="165"/>
  <c r="N86" i="165"/>
  <c r="M86" i="165"/>
  <c r="L86" i="165"/>
  <c r="K86" i="165"/>
  <c r="H86" i="165"/>
  <c r="N85" i="165"/>
  <c r="M85" i="165"/>
  <c r="L85" i="165"/>
  <c r="K85" i="165"/>
  <c r="H85" i="165"/>
  <c r="N84" i="165"/>
  <c r="M84" i="165"/>
  <c r="L84" i="165"/>
  <c r="K84" i="165"/>
  <c r="H84" i="165"/>
  <c r="N83" i="165"/>
  <c r="M83" i="165"/>
  <c r="L83" i="165"/>
  <c r="K83" i="165"/>
  <c r="H83" i="165"/>
  <c r="N82" i="165"/>
  <c r="M82" i="165"/>
  <c r="L82" i="165"/>
  <c r="K82" i="165"/>
  <c r="H82" i="165"/>
  <c r="N81" i="165"/>
  <c r="M81" i="165"/>
  <c r="L81" i="165"/>
  <c r="K81" i="165"/>
  <c r="H81" i="165"/>
  <c r="N80" i="165"/>
  <c r="M80" i="165"/>
  <c r="L80" i="165"/>
  <c r="K80" i="165"/>
  <c r="H80" i="165"/>
  <c r="N79" i="165"/>
  <c r="M79" i="165"/>
  <c r="L79" i="165"/>
  <c r="K79" i="165"/>
  <c r="H79" i="165"/>
  <c r="N78" i="165"/>
  <c r="M78" i="165"/>
  <c r="L78" i="165"/>
  <c r="K78" i="165"/>
  <c r="H78" i="165"/>
  <c r="N77" i="165"/>
  <c r="M77" i="165"/>
  <c r="L77" i="165"/>
  <c r="K77" i="165"/>
  <c r="H77" i="165"/>
  <c r="N76" i="165"/>
  <c r="M76" i="165"/>
  <c r="L76" i="165"/>
  <c r="K76" i="165"/>
  <c r="H76" i="165"/>
  <c r="N75" i="165"/>
  <c r="M75" i="165"/>
  <c r="L75" i="165"/>
  <c r="K75" i="165"/>
  <c r="H75" i="165"/>
  <c r="N74" i="165"/>
  <c r="M74" i="165"/>
  <c r="L74" i="165"/>
  <c r="K74" i="165"/>
  <c r="H74" i="165"/>
  <c r="N73" i="165"/>
  <c r="M73" i="165"/>
  <c r="L73" i="165"/>
  <c r="K73" i="165"/>
  <c r="H73" i="165"/>
  <c r="N72" i="165"/>
  <c r="M72" i="165"/>
  <c r="L72" i="165"/>
  <c r="K72" i="165"/>
  <c r="H72" i="165"/>
  <c r="N71" i="165"/>
  <c r="M71" i="165"/>
  <c r="L71" i="165"/>
  <c r="K71" i="165"/>
  <c r="H71" i="165"/>
  <c r="N70" i="165"/>
  <c r="M70" i="165"/>
  <c r="L70" i="165"/>
  <c r="K70" i="165"/>
  <c r="H70" i="165"/>
  <c r="N69" i="165"/>
  <c r="M69" i="165"/>
  <c r="L69" i="165"/>
  <c r="K69" i="165"/>
  <c r="H69" i="165"/>
  <c r="N68" i="165"/>
  <c r="M68" i="165"/>
  <c r="L68" i="165"/>
  <c r="K68" i="165"/>
  <c r="H68" i="165"/>
  <c r="N67" i="165"/>
  <c r="M67" i="165"/>
  <c r="L67" i="165"/>
  <c r="K67" i="165"/>
  <c r="H67" i="165"/>
  <c r="N66" i="165"/>
  <c r="M66" i="165"/>
  <c r="L66" i="165"/>
  <c r="K66" i="165"/>
  <c r="H66" i="165"/>
  <c r="N65" i="165"/>
  <c r="M65" i="165"/>
  <c r="L65" i="165"/>
  <c r="K65" i="165"/>
  <c r="H65" i="165"/>
  <c r="N64" i="165"/>
  <c r="M64" i="165"/>
  <c r="L64" i="165"/>
  <c r="K64" i="165"/>
  <c r="H64" i="165"/>
  <c r="N63" i="165"/>
  <c r="M63" i="165"/>
  <c r="L63" i="165"/>
  <c r="K63" i="165"/>
  <c r="H63" i="165"/>
  <c r="N62" i="165"/>
  <c r="M62" i="165"/>
  <c r="L62" i="165"/>
  <c r="K62" i="165"/>
  <c r="H62" i="165"/>
  <c r="N61" i="165"/>
  <c r="M61" i="165"/>
  <c r="L61" i="165"/>
  <c r="K61" i="165"/>
  <c r="H61" i="165"/>
  <c r="N60" i="165"/>
  <c r="M60" i="165"/>
  <c r="L60" i="165"/>
  <c r="K60" i="165"/>
  <c r="H60" i="165"/>
  <c r="N59" i="165"/>
  <c r="M59" i="165"/>
  <c r="L59" i="165"/>
  <c r="K59" i="165"/>
  <c r="H59" i="165"/>
  <c r="N58" i="165"/>
  <c r="M58" i="165"/>
  <c r="L58" i="165"/>
  <c r="K58" i="165"/>
  <c r="H58" i="165"/>
  <c r="N57" i="165"/>
  <c r="M57" i="165"/>
  <c r="L57" i="165"/>
  <c r="K57" i="165"/>
  <c r="H57" i="165"/>
  <c r="N56" i="165"/>
  <c r="M56" i="165"/>
  <c r="L56" i="165"/>
  <c r="K56" i="165"/>
  <c r="H56" i="165"/>
  <c r="N55" i="165"/>
  <c r="M55" i="165"/>
  <c r="L55" i="165"/>
  <c r="K55" i="165"/>
  <c r="H55" i="165"/>
  <c r="N54" i="165"/>
  <c r="M54" i="165"/>
  <c r="L54" i="165"/>
  <c r="K54" i="165"/>
  <c r="H54" i="165"/>
  <c r="N53" i="165"/>
  <c r="M53" i="165"/>
  <c r="L53" i="165"/>
  <c r="K53" i="165"/>
  <c r="H53" i="165"/>
  <c r="N52" i="165"/>
  <c r="M52" i="165"/>
  <c r="L52" i="165"/>
  <c r="K52" i="165"/>
  <c r="H52" i="165"/>
  <c r="N51" i="165"/>
  <c r="M51" i="165"/>
  <c r="L51" i="165"/>
  <c r="K51" i="165"/>
  <c r="H51" i="165"/>
  <c r="N50" i="165"/>
  <c r="M50" i="165"/>
  <c r="L50" i="165"/>
  <c r="K50" i="165"/>
  <c r="H50" i="165"/>
  <c r="N49" i="165"/>
  <c r="M49" i="165"/>
  <c r="L49" i="165"/>
  <c r="K49" i="165"/>
  <c r="H49" i="165"/>
  <c r="N48" i="165"/>
  <c r="M48" i="165"/>
  <c r="L48" i="165"/>
  <c r="K48" i="165"/>
  <c r="H48" i="165"/>
  <c r="N47" i="165"/>
  <c r="M47" i="165"/>
  <c r="L47" i="165"/>
  <c r="K47" i="165"/>
  <c r="H47" i="165"/>
  <c r="N46" i="165"/>
  <c r="M46" i="165"/>
  <c r="L46" i="165"/>
  <c r="K46" i="165"/>
  <c r="H46" i="165"/>
  <c r="N45" i="165"/>
  <c r="M45" i="165"/>
  <c r="L45" i="165"/>
  <c r="K45" i="165"/>
  <c r="H45" i="165"/>
  <c r="N44" i="165"/>
  <c r="M44" i="165"/>
  <c r="L44" i="165"/>
  <c r="K44" i="165"/>
  <c r="H44" i="165"/>
  <c r="N43" i="165"/>
  <c r="M43" i="165"/>
  <c r="L43" i="165"/>
  <c r="K43" i="165"/>
  <c r="H43" i="165"/>
  <c r="N42" i="165"/>
  <c r="M42" i="165"/>
  <c r="L42" i="165"/>
  <c r="K42" i="165"/>
  <c r="H42" i="165"/>
  <c r="N41" i="165"/>
  <c r="M41" i="165"/>
  <c r="L41" i="165"/>
  <c r="K41" i="165"/>
  <c r="H41" i="165"/>
  <c r="N40" i="165"/>
  <c r="M40" i="165"/>
  <c r="L40" i="165"/>
  <c r="K40" i="165"/>
  <c r="H40" i="165"/>
  <c r="N39" i="165"/>
  <c r="M39" i="165"/>
  <c r="L39" i="165"/>
  <c r="K39" i="165"/>
  <c r="H39" i="165"/>
  <c r="N38" i="165"/>
  <c r="M38" i="165"/>
  <c r="L38" i="165"/>
  <c r="K38" i="165"/>
  <c r="H38" i="165"/>
  <c r="N37" i="165"/>
  <c r="M37" i="165"/>
  <c r="L37" i="165"/>
  <c r="K37" i="165"/>
  <c r="H37" i="165"/>
  <c r="N36" i="165"/>
  <c r="M36" i="165"/>
  <c r="L36" i="165"/>
  <c r="K36" i="165"/>
  <c r="H36" i="165"/>
  <c r="N35" i="165"/>
  <c r="M35" i="165"/>
  <c r="L35" i="165"/>
  <c r="K35" i="165"/>
  <c r="H35" i="165"/>
  <c r="N34" i="165"/>
  <c r="M34" i="165"/>
  <c r="L34" i="165"/>
  <c r="K34" i="165"/>
  <c r="H34" i="165"/>
  <c r="N33" i="165"/>
  <c r="M33" i="165"/>
  <c r="L33" i="165"/>
  <c r="K33" i="165"/>
  <c r="H33" i="165"/>
  <c r="N32" i="165"/>
  <c r="M32" i="165"/>
  <c r="L32" i="165"/>
  <c r="K32" i="165"/>
  <c r="H32" i="165"/>
  <c r="N31" i="165"/>
  <c r="M31" i="165"/>
  <c r="L31" i="165"/>
  <c r="K31" i="165"/>
  <c r="H31" i="165"/>
  <c r="N30" i="165"/>
  <c r="M30" i="165"/>
  <c r="L30" i="165"/>
  <c r="K30" i="165"/>
  <c r="H30" i="165"/>
  <c r="N29" i="165"/>
  <c r="M29" i="165"/>
  <c r="L29" i="165"/>
  <c r="K29" i="165"/>
  <c r="H29" i="165"/>
  <c r="N28" i="165"/>
  <c r="M28" i="165"/>
  <c r="L28" i="165"/>
  <c r="K28" i="165"/>
  <c r="H28" i="165"/>
  <c r="N27" i="165"/>
  <c r="M27" i="165"/>
  <c r="L27" i="165"/>
  <c r="K27" i="165"/>
  <c r="H27" i="165"/>
  <c r="N26" i="165"/>
  <c r="M26" i="165"/>
  <c r="L26" i="165"/>
  <c r="K26" i="165"/>
  <c r="H26" i="165"/>
  <c r="N25" i="165"/>
  <c r="M25" i="165"/>
  <c r="L25" i="165"/>
  <c r="K25" i="165"/>
  <c r="H25" i="165"/>
  <c r="N24" i="165"/>
  <c r="M24" i="165"/>
  <c r="L24" i="165"/>
  <c r="K24" i="165"/>
  <c r="H24" i="165"/>
  <c r="N23" i="165"/>
  <c r="M23" i="165"/>
  <c r="L23" i="165"/>
  <c r="K23" i="165"/>
  <c r="H23" i="165"/>
  <c r="N22" i="165"/>
  <c r="M22" i="165"/>
  <c r="L22" i="165"/>
  <c r="K22" i="165"/>
  <c r="H22" i="165"/>
  <c r="N21" i="165"/>
  <c r="M21" i="165"/>
  <c r="L21" i="165"/>
  <c r="K21" i="165"/>
  <c r="H21" i="165"/>
  <c r="N20" i="165"/>
  <c r="M20" i="165"/>
  <c r="L20" i="165"/>
  <c r="K20" i="165"/>
  <c r="H20" i="165"/>
  <c r="N19" i="165"/>
  <c r="M19" i="165"/>
  <c r="L19" i="165"/>
  <c r="K19" i="165"/>
  <c r="H19" i="165"/>
  <c r="N18" i="165"/>
  <c r="M18" i="165"/>
  <c r="L18" i="165"/>
  <c r="K18" i="165"/>
  <c r="H18" i="165"/>
  <c r="N17" i="165"/>
  <c r="M17" i="165"/>
  <c r="L17" i="165"/>
  <c r="K17" i="165"/>
  <c r="H17" i="165"/>
  <c r="N16" i="165"/>
  <c r="M16" i="165"/>
  <c r="L16" i="165"/>
  <c r="K16" i="165"/>
  <c r="H16" i="165"/>
  <c r="N15" i="165"/>
  <c r="M15" i="165"/>
  <c r="L15" i="165"/>
  <c r="K15" i="165"/>
  <c r="H15" i="165"/>
  <c r="N14" i="165"/>
  <c r="M14" i="165"/>
  <c r="L14" i="165"/>
  <c r="K14" i="165"/>
  <c r="H14" i="165"/>
  <c r="N13" i="165"/>
  <c r="M13" i="165"/>
  <c r="L13" i="165"/>
  <c r="K13" i="165"/>
  <c r="H13" i="165"/>
  <c r="N12" i="165"/>
  <c r="M12" i="165"/>
  <c r="L12" i="165"/>
  <c r="K12" i="165"/>
  <c r="H12" i="165"/>
  <c r="N11" i="165"/>
  <c r="M11" i="165"/>
  <c r="L11" i="165"/>
  <c r="K11" i="165"/>
  <c r="H11" i="165"/>
  <c r="N10" i="165"/>
  <c r="M10" i="165"/>
  <c r="L10" i="165"/>
  <c r="K10" i="165"/>
  <c r="H10" i="165"/>
  <c r="N9" i="165"/>
  <c r="M9" i="165"/>
  <c r="L9" i="165"/>
  <c r="K9" i="165"/>
  <c r="H9" i="165"/>
  <c r="N8" i="165"/>
  <c r="M8" i="165"/>
  <c r="L8" i="165"/>
  <c r="K8" i="165"/>
  <c r="H8" i="165"/>
  <c r="N7" i="165"/>
  <c r="M7" i="165"/>
  <c r="L7" i="165"/>
  <c r="K7" i="165"/>
  <c r="H7" i="165"/>
  <c r="N6" i="165"/>
  <c r="M6" i="165"/>
  <c r="L6" i="165"/>
  <c r="K6" i="165"/>
  <c r="H6" i="165"/>
  <c r="N5" i="165"/>
  <c r="M5" i="165"/>
  <c r="L5" i="165"/>
  <c r="K5" i="165"/>
  <c r="H5" i="165"/>
  <c r="N4" i="165"/>
  <c r="M4" i="165"/>
  <c r="L4" i="165"/>
  <c r="K4" i="165"/>
  <c r="H4" i="165"/>
  <c r="N3" i="165"/>
  <c r="M3" i="165"/>
  <c r="L3" i="165"/>
  <c r="K3" i="165"/>
  <c r="H3" i="165"/>
  <c r="N2" i="165"/>
  <c r="M2" i="165"/>
  <c r="L2" i="165"/>
  <c r="K2" i="165"/>
  <c r="H2" i="165"/>
  <c r="I314" i="163"/>
  <c r="D314" i="163"/>
  <c r="J314" i="163"/>
  <c r="E314" i="163"/>
  <c r="C314" i="163"/>
  <c r="I2" i="163"/>
  <c r="J2" i="163"/>
  <c r="D2" i="163"/>
  <c r="E2" i="163"/>
  <c r="C2" i="163"/>
  <c r="I3" i="163"/>
  <c r="J3" i="163"/>
  <c r="D3" i="163"/>
  <c r="E3" i="163"/>
  <c r="C3" i="163"/>
  <c r="I4" i="163"/>
  <c r="J4" i="163"/>
  <c r="D4" i="163"/>
  <c r="E4" i="163"/>
  <c r="C4" i="163"/>
  <c r="I5" i="163"/>
  <c r="J5" i="163"/>
  <c r="D5" i="163"/>
  <c r="E5" i="163"/>
  <c r="C5" i="163"/>
  <c r="I6" i="163"/>
  <c r="J6" i="163"/>
  <c r="D6" i="163"/>
  <c r="E6" i="163"/>
  <c r="C6" i="163"/>
  <c r="I7" i="163"/>
  <c r="J7" i="163"/>
  <c r="D7" i="163"/>
  <c r="E7" i="163"/>
  <c r="C7" i="163"/>
  <c r="I8" i="163"/>
  <c r="J8" i="163"/>
  <c r="D8" i="163"/>
  <c r="E8" i="163"/>
  <c r="C8" i="163"/>
  <c r="I9" i="163"/>
  <c r="J9" i="163"/>
  <c r="D9" i="163"/>
  <c r="E9" i="163"/>
  <c r="C9" i="163"/>
  <c r="I10" i="163"/>
  <c r="J10" i="163"/>
  <c r="D10" i="163"/>
  <c r="E10" i="163"/>
  <c r="C10" i="163"/>
  <c r="I11" i="163"/>
  <c r="J11" i="163"/>
  <c r="D11" i="163"/>
  <c r="E11" i="163"/>
  <c r="C11" i="163"/>
  <c r="I12" i="163"/>
  <c r="J12" i="163"/>
  <c r="D12" i="163"/>
  <c r="E12" i="163"/>
  <c r="C12" i="163"/>
  <c r="I13" i="163"/>
  <c r="J13" i="163"/>
  <c r="D13" i="163"/>
  <c r="E13" i="163"/>
  <c r="C13" i="163"/>
  <c r="I14" i="163"/>
  <c r="J14" i="163"/>
  <c r="D14" i="163"/>
  <c r="E14" i="163"/>
  <c r="C14" i="163"/>
  <c r="I15" i="163"/>
  <c r="J15" i="163"/>
  <c r="D15" i="163"/>
  <c r="E15" i="163"/>
  <c r="C15" i="163"/>
  <c r="I16" i="163"/>
  <c r="J16" i="163"/>
  <c r="D16" i="163"/>
  <c r="E16" i="163"/>
  <c r="C16" i="163"/>
  <c r="I17" i="163"/>
  <c r="J17" i="163"/>
  <c r="D17" i="163"/>
  <c r="E17" i="163"/>
  <c r="C17" i="163"/>
  <c r="I18" i="163"/>
  <c r="J18" i="163"/>
  <c r="D18" i="163"/>
  <c r="E18" i="163"/>
  <c r="C18" i="163"/>
  <c r="I19" i="163"/>
  <c r="J19" i="163"/>
  <c r="D19" i="163"/>
  <c r="E19" i="163"/>
  <c r="C19" i="163"/>
  <c r="I20" i="163"/>
  <c r="J20" i="163"/>
  <c r="D20" i="163"/>
  <c r="E20" i="163"/>
  <c r="C20" i="163"/>
  <c r="I21" i="163"/>
  <c r="J21" i="163"/>
  <c r="D21" i="163"/>
  <c r="E21" i="163"/>
  <c r="C21" i="163"/>
  <c r="I22" i="163"/>
  <c r="J22" i="163"/>
  <c r="D22" i="163"/>
  <c r="E22" i="163"/>
  <c r="C22" i="163"/>
  <c r="I23" i="163"/>
  <c r="J23" i="163"/>
  <c r="D23" i="163"/>
  <c r="E23" i="163"/>
  <c r="C23" i="163"/>
  <c r="I24" i="163"/>
  <c r="J24" i="163"/>
  <c r="D24" i="163"/>
  <c r="E24" i="163"/>
  <c r="C24" i="163"/>
  <c r="I25" i="163"/>
  <c r="J25" i="163"/>
  <c r="D25" i="163"/>
  <c r="E25" i="163"/>
  <c r="C25" i="163"/>
  <c r="I26" i="163"/>
  <c r="J26" i="163"/>
  <c r="D26" i="163"/>
  <c r="E26" i="163"/>
  <c r="C26" i="163"/>
  <c r="I27" i="163"/>
  <c r="J27" i="163"/>
  <c r="D27" i="163"/>
  <c r="E27" i="163"/>
  <c r="C27" i="163"/>
  <c r="I28" i="163"/>
  <c r="J28" i="163"/>
  <c r="D28" i="163"/>
  <c r="E28" i="163"/>
  <c r="C28" i="163"/>
  <c r="I29" i="163"/>
  <c r="J29" i="163"/>
  <c r="D29" i="163"/>
  <c r="E29" i="163"/>
  <c r="C29" i="163"/>
  <c r="I30" i="163"/>
  <c r="J30" i="163"/>
  <c r="D30" i="163"/>
  <c r="E30" i="163"/>
  <c r="C30" i="163"/>
  <c r="I31" i="163"/>
  <c r="J31" i="163"/>
  <c r="D31" i="163"/>
  <c r="E31" i="163"/>
  <c r="C31" i="163"/>
  <c r="I32" i="163"/>
  <c r="J32" i="163"/>
  <c r="D32" i="163"/>
  <c r="E32" i="163"/>
  <c r="C32" i="163"/>
  <c r="I33" i="163"/>
  <c r="J33" i="163"/>
  <c r="D33" i="163"/>
  <c r="E33" i="163"/>
  <c r="C33" i="163"/>
  <c r="I34" i="163"/>
  <c r="J34" i="163"/>
  <c r="D34" i="163"/>
  <c r="E34" i="163"/>
  <c r="C34" i="163"/>
  <c r="I35" i="163"/>
  <c r="J35" i="163"/>
  <c r="D35" i="163"/>
  <c r="E35" i="163"/>
  <c r="C35" i="163"/>
  <c r="I36" i="163"/>
  <c r="J36" i="163"/>
  <c r="D36" i="163"/>
  <c r="E36" i="163"/>
  <c r="C36" i="163"/>
  <c r="I37" i="163"/>
  <c r="J37" i="163"/>
  <c r="D37" i="163"/>
  <c r="E37" i="163"/>
  <c r="C37" i="163"/>
  <c r="I38" i="163"/>
  <c r="J38" i="163"/>
  <c r="D38" i="163"/>
  <c r="E38" i="163"/>
  <c r="C38" i="163"/>
  <c r="I39" i="163"/>
  <c r="J39" i="163"/>
  <c r="D39" i="163"/>
  <c r="E39" i="163"/>
  <c r="C39" i="163"/>
  <c r="I40" i="163"/>
  <c r="J40" i="163"/>
  <c r="D40" i="163"/>
  <c r="E40" i="163"/>
  <c r="C40" i="163"/>
  <c r="I41" i="163"/>
  <c r="J41" i="163"/>
  <c r="D41" i="163"/>
  <c r="E41" i="163"/>
  <c r="C41" i="163"/>
  <c r="I42" i="163"/>
  <c r="D42" i="163"/>
  <c r="J42" i="163"/>
  <c r="E42" i="163"/>
  <c r="C42" i="163"/>
  <c r="I43" i="163"/>
  <c r="D43" i="163"/>
  <c r="J43" i="163"/>
  <c r="E43" i="163"/>
  <c r="C43" i="163"/>
  <c r="I44" i="163"/>
  <c r="D44" i="163"/>
  <c r="J44" i="163"/>
  <c r="E44" i="163"/>
  <c r="C44" i="163"/>
  <c r="I45" i="163"/>
  <c r="D45" i="163"/>
  <c r="J45" i="163"/>
  <c r="E45" i="163"/>
  <c r="C45" i="163"/>
  <c r="I46" i="163"/>
  <c r="D46" i="163"/>
  <c r="J46" i="163"/>
  <c r="E46" i="163"/>
  <c r="C46" i="163"/>
  <c r="I47" i="163"/>
  <c r="D47" i="163"/>
  <c r="J47" i="163"/>
  <c r="E47" i="163"/>
  <c r="C47" i="163"/>
  <c r="I48" i="163"/>
  <c r="D48" i="163"/>
  <c r="J48" i="163"/>
  <c r="E48" i="163"/>
  <c r="C48" i="163"/>
  <c r="I49" i="163"/>
  <c r="D49" i="163"/>
  <c r="J49" i="163"/>
  <c r="E49" i="163"/>
  <c r="C49" i="163"/>
  <c r="I50" i="163"/>
  <c r="D50" i="163"/>
  <c r="J50" i="163"/>
  <c r="E50" i="163"/>
  <c r="C50" i="163"/>
  <c r="I51" i="163"/>
  <c r="D51" i="163"/>
  <c r="J51" i="163"/>
  <c r="E51" i="163"/>
  <c r="C51" i="163"/>
  <c r="I52" i="163"/>
  <c r="D52" i="163"/>
  <c r="J52" i="163"/>
  <c r="E52" i="163"/>
  <c r="C52" i="163"/>
  <c r="I53" i="163"/>
  <c r="D53" i="163"/>
  <c r="J53" i="163"/>
  <c r="E53" i="163"/>
  <c r="C53" i="163"/>
  <c r="I54" i="163"/>
  <c r="D54" i="163"/>
  <c r="J54" i="163"/>
  <c r="E54" i="163"/>
  <c r="C54" i="163"/>
  <c r="I55" i="163"/>
  <c r="D55" i="163"/>
  <c r="J55" i="163"/>
  <c r="E55" i="163"/>
  <c r="C55" i="163"/>
  <c r="I56" i="163"/>
  <c r="D56" i="163"/>
  <c r="J56" i="163"/>
  <c r="E56" i="163"/>
  <c r="C56" i="163"/>
  <c r="I57" i="163"/>
  <c r="D57" i="163"/>
  <c r="J57" i="163"/>
  <c r="E57" i="163"/>
  <c r="C57" i="163"/>
  <c r="I58" i="163"/>
  <c r="D58" i="163"/>
  <c r="J58" i="163"/>
  <c r="E58" i="163"/>
  <c r="C58" i="163"/>
  <c r="I59" i="163"/>
  <c r="D59" i="163"/>
  <c r="J59" i="163"/>
  <c r="E59" i="163"/>
  <c r="C59" i="163"/>
  <c r="I60" i="163"/>
  <c r="D60" i="163"/>
  <c r="J60" i="163"/>
  <c r="E60" i="163"/>
  <c r="C60" i="163"/>
  <c r="I61" i="163"/>
  <c r="D61" i="163"/>
  <c r="J61" i="163"/>
  <c r="E61" i="163"/>
  <c r="C61" i="163"/>
  <c r="I62" i="163"/>
  <c r="D62" i="163"/>
  <c r="J62" i="163"/>
  <c r="E62" i="163"/>
  <c r="C62" i="163"/>
  <c r="I63" i="163"/>
  <c r="D63" i="163"/>
  <c r="J63" i="163"/>
  <c r="E63" i="163"/>
  <c r="C63" i="163"/>
  <c r="I64" i="163"/>
  <c r="D64" i="163"/>
  <c r="J64" i="163"/>
  <c r="E64" i="163"/>
  <c r="C64" i="163"/>
  <c r="I65" i="163"/>
  <c r="D65" i="163"/>
  <c r="J65" i="163"/>
  <c r="E65" i="163"/>
  <c r="C65" i="163"/>
  <c r="I66" i="163"/>
  <c r="D66" i="163"/>
  <c r="J66" i="163"/>
  <c r="E66" i="163"/>
  <c r="C66" i="163"/>
  <c r="I67" i="163"/>
  <c r="D67" i="163"/>
  <c r="J67" i="163"/>
  <c r="E67" i="163"/>
  <c r="C67" i="163"/>
  <c r="I68" i="163"/>
  <c r="D68" i="163"/>
  <c r="J68" i="163"/>
  <c r="E68" i="163"/>
  <c r="C68" i="163"/>
  <c r="I69" i="163"/>
  <c r="D69" i="163"/>
  <c r="J69" i="163"/>
  <c r="E69" i="163"/>
  <c r="C69" i="163"/>
  <c r="I70" i="163"/>
  <c r="D70" i="163"/>
  <c r="J70" i="163"/>
  <c r="E70" i="163"/>
  <c r="C70" i="163"/>
  <c r="I71" i="163"/>
  <c r="D71" i="163"/>
  <c r="J71" i="163"/>
  <c r="E71" i="163"/>
  <c r="C71" i="163"/>
  <c r="I72" i="163"/>
  <c r="D72" i="163"/>
  <c r="J72" i="163"/>
  <c r="E72" i="163"/>
  <c r="C72" i="163"/>
  <c r="I73" i="163"/>
  <c r="D73" i="163"/>
  <c r="J73" i="163"/>
  <c r="E73" i="163"/>
  <c r="C73" i="163"/>
  <c r="I74" i="163"/>
  <c r="D74" i="163"/>
  <c r="J74" i="163"/>
  <c r="E74" i="163"/>
  <c r="C74" i="163"/>
  <c r="I75" i="163"/>
  <c r="D75" i="163"/>
  <c r="J75" i="163"/>
  <c r="E75" i="163"/>
  <c r="C75" i="163"/>
  <c r="I76" i="163"/>
  <c r="D76" i="163"/>
  <c r="J76" i="163"/>
  <c r="E76" i="163"/>
  <c r="C76" i="163"/>
  <c r="I77" i="163"/>
  <c r="D77" i="163"/>
  <c r="J77" i="163"/>
  <c r="E77" i="163"/>
  <c r="C77" i="163"/>
  <c r="I78" i="163"/>
  <c r="D78" i="163"/>
  <c r="J78" i="163"/>
  <c r="E78" i="163"/>
  <c r="C78" i="163"/>
  <c r="I79" i="163"/>
  <c r="D79" i="163"/>
  <c r="J79" i="163"/>
  <c r="E79" i="163"/>
  <c r="C79" i="163"/>
  <c r="I80" i="163"/>
  <c r="D80" i="163"/>
  <c r="J80" i="163"/>
  <c r="E80" i="163"/>
  <c r="C80" i="163"/>
  <c r="I81" i="163"/>
  <c r="D81" i="163"/>
  <c r="J81" i="163"/>
  <c r="E81" i="163"/>
  <c r="C81" i="163"/>
  <c r="I82" i="163"/>
  <c r="D82" i="163"/>
  <c r="J82" i="163"/>
  <c r="E82" i="163"/>
  <c r="C82" i="163"/>
  <c r="I83" i="163"/>
  <c r="D83" i="163"/>
  <c r="J83" i="163"/>
  <c r="E83" i="163"/>
  <c r="C83" i="163"/>
  <c r="I84" i="163"/>
  <c r="D84" i="163"/>
  <c r="J84" i="163"/>
  <c r="E84" i="163"/>
  <c r="C84" i="163"/>
  <c r="I85" i="163"/>
  <c r="D85" i="163"/>
  <c r="J85" i="163"/>
  <c r="E85" i="163"/>
  <c r="C85" i="163"/>
  <c r="I86" i="163"/>
  <c r="D86" i="163"/>
  <c r="J86" i="163"/>
  <c r="E86" i="163"/>
  <c r="C86" i="163"/>
  <c r="I87" i="163"/>
  <c r="D87" i="163"/>
  <c r="J87" i="163"/>
  <c r="E87" i="163"/>
  <c r="C87" i="163"/>
  <c r="I88" i="163"/>
  <c r="D88" i="163"/>
  <c r="J88" i="163"/>
  <c r="E88" i="163"/>
  <c r="C88" i="163"/>
  <c r="I89" i="163"/>
  <c r="D89" i="163"/>
  <c r="J89" i="163"/>
  <c r="E89" i="163"/>
  <c r="C89" i="163"/>
  <c r="I90" i="163"/>
  <c r="D90" i="163"/>
  <c r="J90" i="163"/>
  <c r="E90" i="163"/>
  <c r="C90" i="163"/>
  <c r="I91" i="163"/>
  <c r="D91" i="163"/>
  <c r="J91" i="163"/>
  <c r="E91" i="163"/>
  <c r="C91" i="163"/>
  <c r="I92" i="163"/>
  <c r="D92" i="163"/>
  <c r="J92" i="163"/>
  <c r="E92" i="163"/>
  <c r="C92" i="163"/>
  <c r="I93" i="163"/>
  <c r="D93" i="163"/>
  <c r="J93" i="163"/>
  <c r="E93" i="163"/>
  <c r="C93" i="163"/>
  <c r="I94" i="163"/>
  <c r="D94" i="163"/>
  <c r="J94" i="163"/>
  <c r="E94" i="163"/>
  <c r="C94" i="163"/>
  <c r="I95" i="163"/>
  <c r="D95" i="163"/>
  <c r="J95" i="163"/>
  <c r="E95" i="163"/>
  <c r="C95" i="163"/>
  <c r="I96" i="163"/>
  <c r="D96" i="163"/>
  <c r="J96" i="163"/>
  <c r="E96" i="163"/>
  <c r="C96" i="163"/>
  <c r="I97" i="163"/>
  <c r="D97" i="163"/>
  <c r="J97" i="163"/>
  <c r="E97" i="163"/>
  <c r="C97" i="163"/>
  <c r="I98" i="163"/>
  <c r="D98" i="163"/>
  <c r="J98" i="163"/>
  <c r="E98" i="163"/>
  <c r="C98" i="163"/>
  <c r="I99" i="163"/>
  <c r="D99" i="163"/>
  <c r="J99" i="163"/>
  <c r="E99" i="163"/>
  <c r="C99" i="163"/>
  <c r="I100" i="163"/>
  <c r="D100" i="163"/>
  <c r="J100" i="163"/>
  <c r="E100" i="163"/>
  <c r="C100" i="163"/>
  <c r="I101" i="163"/>
  <c r="D101" i="163"/>
  <c r="J101" i="163"/>
  <c r="E101" i="163"/>
  <c r="C101" i="163"/>
  <c r="I102" i="163"/>
  <c r="D102" i="163"/>
  <c r="J102" i="163"/>
  <c r="E102" i="163"/>
  <c r="C102" i="163"/>
  <c r="I103" i="163"/>
  <c r="D103" i="163"/>
  <c r="J103" i="163"/>
  <c r="E103" i="163"/>
  <c r="C103" i="163"/>
  <c r="I104" i="163"/>
  <c r="D104" i="163"/>
  <c r="J104" i="163"/>
  <c r="E104" i="163"/>
  <c r="C104" i="163"/>
  <c r="I105" i="163"/>
  <c r="D105" i="163"/>
  <c r="J105" i="163"/>
  <c r="E105" i="163"/>
  <c r="C105" i="163"/>
  <c r="I106" i="163"/>
  <c r="D106" i="163"/>
  <c r="J106" i="163"/>
  <c r="E106" i="163"/>
  <c r="C106" i="163"/>
  <c r="I107" i="163"/>
  <c r="D107" i="163"/>
  <c r="J107" i="163"/>
  <c r="E107" i="163"/>
  <c r="C107" i="163"/>
  <c r="I108" i="163"/>
  <c r="D108" i="163"/>
  <c r="J108" i="163"/>
  <c r="E108" i="163"/>
  <c r="C108" i="163"/>
  <c r="I109" i="163"/>
  <c r="D109" i="163"/>
  <c r="J109" i="163"/>
  <c r="E109" i="163"/>
  <c r="C109" i="163"/>
  <c r="I110" i="163"/>
  <c r="D110" i="163"/>
  <c r="J110" i="163"/>
  <c r="E110" i="163"/>
  <c r="C110" i="163"/>
  <c r="I111" i="163"/>
  <c r="D111" i="163"/>
  <c r="J111" i="163"/>
  <c r="E111" i="163"/>
  <c r="C111" i="163"/>
  <c r="I112" i="163"/>
  <c r="D112" i="163"/>
  <c r="J112" i="163"/>
  <c r="E112" i="163"/>
  <c r="C112" i="163"/>
  <c r="I113" i="163"/>
  <c r="D113" i="163"/>
  <c r="J113" i="163"/>
  <c r="E113" i="163"/>
  <c r="C113" i="163"/>
  <c r="I114" i="163"/>
  <c r="D114" i="163"/>
  <c r="J114" i="163"/>
  <c r="E114" i="163"/>
  <c r="C114" i="163"/>
  <c r="I115" i="163"/>
  <c r="D115" i="163"/>
  <c r="J115" i="163"/>
  <c r="E115" i="163"/>
  <c r="C115" i="163"/>
  <c r="I116" i="163"/>
  <c r="D116" i="163"/>
  <c r="J116" i="163"/>
  <c r="E116" i="163"/>
  <c r="C116" i="163"/>
  <c r="I117" i="163"/>
  <c r="D117" i="163"/>
  <c r="J117" i="163"/>
  <c r="E117" i="163"/>
  <c r="C117" i="163"/>
  <c r="I118" i="163"/>
  <c r="D118" i="163"/>
  <c r="J118" i="163"/>
  <c r="E118" i="163"/>
  <c r="C118" i="163"/>
  <c r="I119" i="163"/>
  <c r="D119" i="163"/>
  <c r="J119" i="163"/>
  <c r="E119" i="163"/>
  <c r="C119" i="163"/>
  <c r="I120" i="163"/>
  <c r="D120" i="163"/>
  <c r="J120" i="163"/>
  <c r="E120" i="163"/>
  <c r="C120" i="163"/>
  <c r="I121" i="163"/>
  <c r="D121" i="163"/>
  <c r="J121" i="163"/>
  <c r="E121" i="163"/>
  <c r="C121" i="163"/>
  <c r="I122" i="163"/>
  <c r="D122" i="163"/>
  <c r="J122" i="163"/>
  <c r="E122" i="163"/>
  <c r="C122" i="163"/>
  <c r="I123" i="163"/>
  <c r="D123" i="163"/>
  <c r="J123" i="163"/>
  <c r="E123" i="163"/>
  <c r="C123" i="163"/>
  <c r="I124" i="163"/>
  <c r="D124" i="163"/>
  <c r="J124" i="163"/>
  <c r="E124" i="163"/>
  <c r="C124" i="163"/>
  <c r="I125" i="163"/>
  <c r="D125" i="163"/>
  <c r="J125" i="163"/>
  <c r="E125" i="163"/>
  <c r="C125" i="163"/>
  <c r="I126" i="163"/>
  <c r="D126" i="163"/>
  <c r="J126" i="163"/>
  <c r="E126" i="163"/>
  <c r="C126" i="163"/>
  <c r="I127" i="163"/>
  <c r="D127" i="163"/>
  <c r="J127" i="163"/>
  <c r="E127" i="163"/>
  <c r="C127" i="163"/>
  <c r="I128" i="163"/>
  <c r="D128" i="163"/>
  <c r="J128" i="163"/>
  <c r="E128" i="163"/>
  <c r="C128" i="163"/>
  <c r="I129" i="163"/>
  <c r="D129" i="163"/>
  <c r="J129" i="163"/>
  <c r="E129" i="163"/>
  <c r="C129" i="163"/>
  <c r="I130" i="163"/>
  <c r="D130" i="163"/>
  <c r="J130" i="163"/>
  <c r="E130" i="163"/>
  <c r="C130" i="163"/>
  <c r="I131" i="163"/>
  <c r="D131" i="163"/>
  <c r="J131" i="163"/>
  <c r="E131" i="163"/>
  <c r="C131" i="163"/>
  <c r="I132" i="163"/>
  <c r="D132" i="163"/>
  <c r="J132" i="163"/>
  <c r="E132" i="163"/>
  <c r="C132" i="163"/>
  <c r="I133" i="163"/>
  <c r="D133" i="163"/>
  <c r="J133" i="163"/>
  <c r="E133" i="163"/>
  <c r="C133" i="163"/>
  <c r="I134" i="163"/>
  <c r="D134" i="163"/>
  <c r="J134" i="163"/>
  <c r="E134" i="163"/>
  <c r="C134" i="163"/>
  <c r="I135" i="163"/>
  <c r="D135" i="163"/>
  <c r="J135" i="163"/>
  <c r="E135" i="163"/>
  <c r="C135" i="163"/>
  <c r="I136" i="163"/>
  <c r="D136" i="163"/>
  <c r="J136" i="163"/>
  <c r="E136" i="163"/>
  <c r="C136" i="163"/>
  <c r="I137" i="163"/>
  <c r="D137" i="163"/>
  <c r="J137" i="163"/>
  <c r="E137" i="163"/>
  <c r="C137" i="163"/>
  <c r="I138" i="163"/>
  <c r="D138" i="163"/>
  <c r="J138" i="163"/>
  <c r="E138" i="163"/>
  <c r="C138" i="163"/>
  <c r="I139" i="163"/>
  <c r="D139" i="163"/>
  <c r="J139" i="163"/>
  <c r="E139" i="163"/>
  <c r="C139" i="163"/>
  <c r="I140" i="163"/>
  <c r="D140" i="163"/>
  <c r="J140" i="163"/>
  <c r="E140" i="163"/>
  <c r="C140" i="163"/>
  <c r="I141" i="163"/>
  <c r="D141" i="163"/>
  <c r="J141" i="163"/>
  <c r="E141" i="163"/>
  <c r="C141" i="163"/>
  <c r="I142" i="163"/>
  <c r="D142" i="163"/>
  <c r="J142" i="163"/>
  <c r="E142" i="163"/>
  <c r="C142" i="163"/>
  <c r="I143" i="163"/>
  <c r="D143" i="163"/>
  <c r="J143" i="163"/>
  <c r="E143" i="163"/>
  <c r="C143" i="163"/>
  <c r="I144" i="163"/>
  <c r="D144" i="163"/>
  <c r="J144" i="163"/>
  <c r="E144" i="163"/>
  <c r="C144" i="163"/>
  <c r="I145" i="163"/>
  <c r="D145" i="163"/>
  <c r="J145" i="163"/>
  <c r="E145" i="163"/>
  <c r="C145" i="163"/>
  <c r="I146" i="163"/>
  <c r="D146" i="163"/>
  <c r="J146" i="163"/>
  <c r="E146" i="163"/>
  <c r="C146" i="163"/>
  <c r="I147" i="163"/>
  <c r="D147" i="163"/>
  <c r="J147" i="163"/>
  <c r="E147" i="163"/>
  <c r="C147" i="163"/>
  <c r="I148" i="163"/>
  <c r="D148" i="163"/>
  <c r="J148" i="163"/>
  <c r="E148" i="163"/>
  <c r="C148" i="163"/>
  <c r="I149" i="163"/>
  <c r="D149" i="163"/>
  <c r="J149" i="163"/>
  <c r="E149" i="163"/>
  <c r="C149" i="163"/>
  <c r="I150" i="163"/>
  <c r="D150" i="163"/>
  <c r="J150" i="163"/>
  <c r="E150" i="163"/>
  <c r="C150" i="163"/>
  <c r="I151" i="163"/>
  <c r="D151" i="163"/>
  <c r="J151" i="163"/>
  <c r="E151" i="163"/>
  <c r="C151" i="163"/>
  <c r="I152" i="163"/>
  <c r="D152" i="163"/>
  <c r="J152" i="163"/>
  <c r="E152" i="163"/>
  <c r="C152" i="163"/>
  <c r="I153" i="163"/>
  <c r="D153" i="163"/>
  <c r="J153" i="163"/>
  <c r="E153" i="163"/>
  <c r="C153" i="163"/>
  <c r="I154" i="163"/>
  <c r="D154" i="163"/>
  <c r="J154" i="163"/>
  <c r="E154" i="163"/>
  <c r="C154" i="163"/>
  <c r="I155" i="163"/>
  <c r="D155" i="163"/>
  <c r="J155" i="163"/>
  <c r="E155" i="163"/>
  <c r="C155" i="163"/>
  <c r="I156" i="163"/>
  <c r="D156" i="163"/>
  <c r="J156" i="163"/>
  <c r="E156" i="163"/>
  <c r="C156" i="163"/>
  <c r="I157" i="163"/>
  <c r="D157" i="163"/>
  <c r="J157" i="163"/>
  <c r="E157" i="163"/>
  <c r="C157" i="163"/>
  <c r="I158" i="163"/>
  <c r="D158" i="163"/>
  <c r="J158" i="163"/>
  <c r="E158" i="163"/>
  <c r="C158" i="163"/>
  <c r="I159" i="163"/>
  <c r="D159" i="163"/>
  <c r="J159" i="163"/>
  <c r="E159" i="163"/>
  <c r="C159" i="163"/>
  <c r="I160" i="163"/>
  <c r="D160" i="163"/>
  <c r="J160" i="163"/>
  <c r="E160" i="163"/>
  <c r="C160" i="163"/>
  <c r="I161" i="163"/>
  <c r="D161" i="163"/>
  <c r="J161" i="163"/>
  <c r="E161" i="163"/>
  <c r="C161" i="163"/>
  <c r="I162" i="163"/>
  <c r="D162" i="163"/>
  <c r="J162" i="163"/>
  <c r="E162" i="163"/>
  <c r="C162" i="163"/>
  <c r="I163" i="163"/>
  <c r="D163" i="163"/>
  <c r="J163" i="163"/>
  <c r="E163" i="163"/>
  <c r="C163" i="163"/>
  <c r="I164" i="163"/>
  <c r="D164" i="163"/>
  <c r="J164" i="163"/>
  <c r="E164" i="163"/>
  <c r="C164" i="163"/>
  <c r="I165" i="163"/>
  <c r="D165" i="163"/>
  <c r="J165" i="163"/>
  <c r="E165" i="163"/>
  <c r="C165" i="163"/>
  <c r="I166" i="163"/>
  <c r="D166" i="163"/>
  <c r="J166" i="163"/>
  <c r="E166" i="163"/>
  <c r="C166" i="163"/>
  <c r="I167" i="163"/>
  <c r="D167" i="163"/>
  <c r="J167" i="163"/>
  <c r="E167" i="163"/>
  <c r="C167" i="163"/>
  <c r="I168" i="163"/>
  <c r="D168" i="163"/>
  <c r="J168" i="163"/>
  <c r="E168" i="163"/>
  <c r="C168" i="163"/>
  <c r="I169" i="163"/>
  <c r="D169" i="163"/>
  <c r="J169" i="163"/>
  <c r="E169" i="163"/>
  <c r="C169" i="163"/>
  <c r="I170" i="163"/>
  <c r="D170" i="163"/>
  <c r="J170" i="163"/>
  <c r="E170" i="163"/>
  <c r="C170" i="163"/>
  <c r="I171" i="163"/>
  <c r="D171" i="163"/>
  <c r="J171" i="163"/>
  <c r="E171" i="163"/>
  <c r="C171" i="163"/>
  <c r="I172" i="163"/>
  <c r="D172" i="163"/>
  <c r="J172" i="163"/>
  <c r="E172" i="163"/>
  <c r="C172" i="163"/>
  <c r="I173" i="163"/>
  <c r="D173" i="163"/>
  <c r="J173" i="163"/>
  <c r="E173" i="163"/>
  <c r="C173" i="163"/>
  <c r="I174" i="163"/>
  <c r="D174" i="163"/>
  <c r="J174" i="163"/>
  <c r="E174" i="163"/>
  <c r="C174" i="163"/>
  <c r="I175" i="163"/>
  <c r="D175" i="163"/>
  <c r="J175" i="163"/>
  <c r="E175" i="163"/>
  <c r="C175" i="163"/>
  <c r="I176" i="163"/>
  <c r="D176" i="163"/>
  <c r="J176" i="163"/>
  <c r="E176" i="163"/>
  <c r="C176" i="163"/>
  <c r="I177" i="163"/>
  <c r="D177" i="163"/>
  <c r="J177" i="163"/>
  <c r="E177" i="163"/>
  <c r="C177" i="163"/>
  <c r="I178" i="163"/>
  <c r="D178" i="163"/>
  <c r="J178" i="163"/>
  <c r="E178" i="163"/>
  <c r="C178" i="163"/>
  <c r="I179" i="163"/>
  <c r="D179" i="163"/>
  <c r="J179" i="163"/>
  <c r="E179" i="163"/>
  <c r="C179" i="163"/>
  <c r="I180" i="163"/>
  <c r="D180" i="163"/>
  <c r="J180" i="163"/>
  <c r="E180" i="163"/>
  <c r="C180" i="163"/>
  <c r="I181" i="163"/>
  <c r="D181" i="163"/>
  <c r="J181" i="163"/>
  <c r="E181" i="163"/>
  <c r="C181" i="163"/>
  <c r="I182" i="163"/>
  <c r="D182" i="163"/>
  <c r="J182" i="163"/>
  <c r="E182" i="163"/>
  <c r="C182" i="163"/>
  <c r="I183" i="163"/>
  <c r="D183" i="163"/>
  <c r="J183" i="163"/>
  <c r="E183" i="163"/>
  <c r="C183" i="163"/>
  <c r="I184" i="163"/>
  <c r="D184" i="163"/>
  <c r="J184" i="163"/>
  <c r="E184" i="163"/>
  <c r="C184" i="163"/>
  <c r="I185" i="163"/>
  <c r="D185" i="163"/>
  <c r="J185" i="163"/>
  <c r="E185" i="163"/>
  <c r="C185" i="163"/>
  <c r="I186" i="163"/>
  <c r="D186" i="163"/>
  <c r="J186" i="163"/>
  <c r="E186" i="163"/>
  <c r="C186" i="163"/>
  <c r="I187" i="163"/>
  <c r="D187" i="163"/>
  <c r="J187" i="163"/>
  <c r="E187" i="163"/>
  <c r="C187" i="163"/>
  <c r="I188" i="163"/>
  <c r="D188" i="163"/>
  <c r="J188" i="163"/>
  <c r="E188" i="163"/>
  <c r="C188" i="163"/>
  <c r="I189" i="163"/>
  <c r="D189" i="163"/>
  <c r="J189" i="163"/>
  <c r="E189" i="163"/>
  <c r="C189" i="163"/>
  <c r="I190" i="163"/>
  <c r="D190" i="163"/>
  <c r="J190" i="163"/>
  <c r="E190" i="163"/>
  <c r="C190" i="163"/>
  <c r="I191" i="163"/>
  <c r="D191" i="163"/>
  <c r="J191" i="163"/>
  <c r="E191" i="163"/>
  <c r="C191" i="163"/>
  <c r="I192" i="163"/>
  <c r="D192" i="163"/>
  <c r="J192" i="163"/>
  <c r="E192" i="163"/>
  <c r="C192" i="163"/>
  <c r="I193" i="163"/>
  <c r="D193" i="163"/>
  <c r="J193" i="163"/>
  <c r="E193" i="163"/>
  <c r="C193" i="163"/>
  <c r="I194" i="163"/>
  <c r="D194" i="163"/>
  <c r="J194" i="163"/>
  <c r="E194" i="163"/>
  <c r="C194" i="163"/>
  <c r="I195" i="163"/>
  <c r="D195" i="163"/>
  <c r="J195" i="163"/>
  <c r="E195" i="163"/>
  <c r="C195" i="163"/>
  <c r="I196" i="163"/>
  <c r="D196" i="163"/>
  <c r="J196" i="163"/>
  <c r="E196" i="163"/>
  <c r="C196" i="163"/>
  <c r="I197" i="163"/>
  <c r="D197" i="163"/>
  <c r="J197" i="163"/>
  <c r="E197" i="163"/>
  <c r="C197" i="163"/>
  <c r="I198" i="163"/>
  <c r="D198" i="163"/>
  <c r="J198" i="163"/>
  <c r="E198" i="163"/>
  <c r="C198" i="163"/>
  <c r="I199" i="163"/>
  <c r="D199" i="163"/>
  <c r="J199" i="163"/>
  <c r="E199" i="163"/>
  <c r="C199" i="163"/>
  <c r="I200" i="163"/>
  <c r="D200" i="163"/>
  <c r="J200" i="163"/>
  <c r="E200" i="163"/>
  <c r="C200" i="163"/>
  <c r="I201" i="163"/>
  <c r="D201" i="163"/>
  <c r="J201" i="163"/>
  <c r="E201" i="163"/>
  <c r="C201" i="163"/>
  <c r="I202" i="163"/>
  <c r="D202" i="163"/>
  <c r="J202" i="163"/>
  <c r="E202" i="163"/>
  <c r="C202" i="163"/>
  <c r="I203" i="163"/>
  <c r="D203" i="163"/>
  <c r="J203" i="163"/>
  <c r="E203" i="163"/>
  <c r="C203" i="163"/>
  <c r="I204" i="163"/>
  <c r="D204" i="163"/>
  <c r="J204" i="163"/>
  <c r="E204" i="163"/>
  <c r="C204" i="163"/>
  <c r="I205" i="163"/>
  <c r="D205" i="163"/>
  <c r="J205" i="163"/>
  <c r="E205" i="163"/>
  <c r="C205" i="163"/>
  <c r="I206" i="163"/>
  <c r="D206" i="163"/>
  <c r="J206" i="163"/>
  <c r="E206" i="163"/>
  <c r="C206" i="163"/>
  <c r="I207" i="163"/>
  <c r="D207" i="163"/>
  <c r="J207" i="163"/>
  <c r="E207" i="163"/>
  <c r="C207" i="163"/>
  <c r="I208" i="163"/>
  <c r="D208" i="163"/>
  <c r="J208" i="163"/>
  <c r="E208" i="163"/>
  <c r="C208" i="163"/>
  <c r="I209" i="163"/>
  <c r="D209" i="163"/>
  <c r="J209" i="163"/>
  <c r="E209" i="163"/>
  <c r="C209" i="163"/>
  <c r="I210" i="163"/>
  <c r="D210" i="163"/>
  <c r="J210" i="163"/>
  <c r="E210" i="163"/>
  <c r="C210" i="163"/>
  <c r="I211" i="163"/>
  <c r="D211" i="163"/>
  <c r="J211" i="163"/>
  <c r="E211" i="163"/>
  <c r="C211" i="163"/>
  <c r="I212" i="163"/>
  <c r="D212" i="163"/>
  <c r="J212" i="163"/>
  <c r="E212" i="163"/>
  <c r="C212" i="163"/>
  <c r="I213" i="163"/>
  <c r="D213" i="163"/>
  <c r="J213" i="163"/>
  <c r="E213" i="163"/>
  <c r="C213" i="163"/>
  <c r="I214" i="163"/>
  <c r="D214" i="163"/>
  <c r="J214" i="163"/>
  <c r="E214" i="163"/>
  <c r="C214" i="163"/>
  <c r="I215" i="163"/>
  <c r="J215" i="163"/>
  <c r="D215" i="163"/>
  <c r="E215" i="163"/>
  <c r="C215" i="163"/>
  <c r="I216" i="163"/>
  <c r="J216" i="163"/>
  <c r="D216" i="163"/>
  <c r="E216" i="163"/>
  <c r="C216" i="163"/>
  <c r="I217" i="163"/>
  <c r="J217" i="163"/>
  <c r="D217" i="163"/>
  <c r="E217" i="163"/>
  <c r="C217" i="163"/>
  <c r="I218" i="163"/>
  <c r="J218" i="163"/>
  <c r="D218" i="163"/>
  <c r="E218" i="163"/>
  <c r="C218" i="163"/>
  <c r="I219" i="163"/>
  <c r="J219" i="163"/>
  <c r="D219" i="163"/>
  <c r="E219" i="163"/>
  <c r="C219" i="163"/>
  <c r="I220" i="163"/>
  <c r="J220" i="163"/>
  <c r="D220" i="163"/>
  <c r="E220" i="163"/>
  <c r="C220" i="163"/>
  <c r="I221" i="163"/>
  <c r="D221" i="163"/>
  <c r="J221" i="163"/>
  <c r="E221" i="163"/>
  <c r="C221" i="163"/>
  <c r="I222" i="163"/>
  <c r="D222" i="163"/>
  <c r="J222" i="163"/>
  <c r="E222" i="163"/>
  <c r="C222" i="163"/>
  <c r="I223" i="163"/>
  <c r="D223" i="163"/>
  <c r="J223" i="163"/>
  <c r="E223" i="163"/>
  <c r="C223" i="163"/>
  <c r="I224" i="163"/>
  <c r="D224" i="163"/>
  <c r="J224" i="163"/>
  <c r="E224" i="163"/>
  <c r="C224" i="163"/>
  <c r="I225" i="163"/>
  <c r="D225" i="163"/>
  <c r="J225" i="163"/>
  <c r="E225" i="163"/>
  <c r="C225" i="163"/>
  <c r="I226" i="163"/>
  <c r="D226" i="163"/>
  <c r="J226" i="163"/>
  <c r="E226" i="163"/>
  <c r="C226" i="163"/>
  <c r="I227" i="163"/>
  <c r="D227" i="163"/>
  <c r="J227" i="163"/>
  <c r="E227" i="163"/>
  <c r="C227" i="163"/>
  <c r="I228" i="163"/>
  <c r="D228" i="163"/>
  <c r="J228" i="163"/>
  <c r="E228" i="163"/>
  <c r="C228" i="163"/>
  <c r="I229" i="163"/>
  <c r="D229" i="163"/>
  <c r="J229" i="163"/>
  <c r="E229" i="163"/>
  <c r="C229" i="163"/>
  <c r="I230" i="163"/>
  <c r="D230" i="163"/>
  <c r="J230" i="163"/>
  <c r="E230" i="163"/>
  <c r="C230" i="163"/>
  <c r="I231" i="163"/>
  <c r="D231" i="163"/>
  <c r="J231" i="163"/>
  <c r="E231" i="163"/>
  <c r="C231" i="163"/>
  <c r="I232" i="163"/>
  <c r="D232" i="163"/>
  <c r="J232" i="163"/>
  <c r="E232" i="163"/>
  <c r="C232" i="163"/>
  <c r="I233" i="163"/>
  <c r="D233" i="163"/>
  <c r="J233" i="163"/>
  <c r="E233" i="163"/>
  <c r="C233" i="163"/>
  <c r="I234" i="163"/>
  <c r="D234" i="163"/>
  <c r="J234" i="163"/>
  <c r="E234" i="163"/>
  <c r="C234" i="163"/>
  <c r="I235" i="163"/>
  <c r="D235" i="163"/>
  <c r="J235" i="163"/>
  <c r="E235" i="163"/>
  <c r="C235" i="163"/>
  <c r="I236" i="163"/>
  <c r="D236" i="163"/>
  <c r="J236" i="163"/>
  <c r="E236" i="163"/>
  <c r="C236" i="163"/>
  <c r="I237" i="163"/>
  <c r="D237" i="163"/>
  <c r="J237" i="163"/>
  <c r="E237" i="163"/>
  <c r="C237" i="163"/>
  <c r="I238" i="163"/>
  <c r="D238" i="163"/>
  <c r="J238" i="163"/>
  <c r="E238" i="163"/>
  <c r="C238" i="163"/>
  <c r="I239" i="163"/>
  <c r="D239" i="163"/>
  <c r="J239" i="163"/>
  <c r="E239" i="163"/>
  <c r="C239" i="163"/>
  <c r="I240" i="163"/>
  <c r="D240" i="163"/>
  <c r="J240" i="163"/>
  <c r="E240" i="163"/>
  <c r="C240" i="163"/>
  <c r="I241" i="163"/>
  <c r="D241" i="163"/>
  <c r="J241" i="163"/>
  <c r="E241" i="163"/>
  <c r="C241" i="163"/>
  <c r="I242" i="163"/>
  <c r="D242" i="163"/>
  <c r="J242" i="163"/>
  <c r="E242" i="163"/>
  <c r="C242" i="163"/>
  <c r="I243" i="163"/>
  <c r="D243" i="163"/>
  <c r="J243" i="163"/>
  <c r="E243" i="163"/>
  <c r="C243" i="163"/>
  <c r="I244" i="163"/>
  <c r="D244" i="163"/>
  <c r="J244" i="163"/>
  <c r="E244" i="163"/>
  <c r="C244" i="163"/>
  <c r="I245" i="163"/>
  <c r="D245" i="163"/>
  <c r="J245" i="163"/>
  <c r="E245" i="163"/>
  <c r="C245" i="163"/>
  <c r="I246" i="163"/>
  <c r="D246" i="163"/>
  <c r="J246" i="163"/>
  <c r="E246" i="163"/>
  <c r="C246" i="163"/>
  <c r="I247" i="163"/>
  <c r="D247" i="163"/>
  <c r="J247" i="163"/>
  <c r="E247" i="163"/>
  <c r="C247" i="163"/>
  <c r="I248" i="163"/>
  <c r="D248" i="163"/>
  <c r="J248" i="163"/>
  <c r="E248" i="163"/>
  <c r="C248" i="163"/>
  <c r="I249" i="163"/>
  <c r="D249" i="163"/>
  <c r="J249" i="163"/>
  <c r="E249" i="163"/>
  <c r="C249" i="163"/>
  <c r="I250" i="163"/>
  <c r="D250" i="163"/>
  <c r="J250" i="163"/>
  <c r="E250" i="163"/>
  <c r="C250" i="163"/>
  <c r="I251" i="163"/>
  <c r="D251" i="163"/>
  <c r="J251" i="163"/>
  <c r="E251" i="163"/>
  <c r="C251" i="163"/>
  <c r="I252" i="163"/>
  <c r="D252" i="163"/>
  <c r="J252" i="163"/>
  <c r="E252" i="163"/>
  <c r="C252" i="163"/>
  <c r="I253" i="163"/>
  <c r="D253" i="163"/>
  <c r="J253" i="163"/>
  <c r="E253" i="163"/>
  <c r="C253" i="163"/>
  <c r="I254" i="163"/>
  <c r="D254" i="163"/>
  <c r="J254" i="163"/>
  <c r="E254" i="163"/>
  <c r="C254" i="163"/>
  <c r="I255" i="163"/>
  <c r="D255" i="163"/>
  <c r="J255" i="163"/>
  <c r="E255" i="163"/>
  <c r="C255" i="163"/>
  <c r="I256" i="163"/>
  <c r="D256" i="163"/>
  <c r="J256" i="163"/>
  <c r="E256" i="163"/>
  <c r="C256" i="163"/>
  <c r="I257" i="163"/>
  <c r="D257" i="163"/>
  <c r="J257" i="163"/>
  <c r="E257" i="163"/>
  <c r="C257" i="163"/>
  <c r="I258" i="163"/>
  <c r="D258" i="163"/>
  <c r="J258" i="163"/>
  <c r="E258" i="163"/>
  <c r="C258" i="163"/>
  <c r="I259" i="163"/>
  <c r="D259" i="163"/>
  <c r="J259" i="163"/>
  <c r="E259" i="163"/>
  <c r="C259" i="163"/>
  <c r="I260" i="163"/>
  <c r="D260" i="163"/>
  <c r="J260" i="163"/>
  <c r="E260" i="163"/>
  <c r="C260" i="163"/>
  <c r="I261" i="163"/>
  <c r="D261" i="163"/>
  <c r="J261" i="163"/>
  <c r="E261" i="163"/>
  <c r="C261" i="163"/>
  <c r="I262" i="163"/>
  <c r="D262" i="163"/>
  <c r="J262" i="163"/>
  <c r="E262" i="163"/>
  <c r="C262" i="163"/>
  <c r="I263" i="163"/>
  <c r="D263" i="163"/>
  <c r="J263" i="163"/>
  <c r="E263" i="163"/>
  <c r="C263" i="163"/>
  <c r="I264" i="163"/>
  <c r="D264" i="163"/>
  <c r="J264" i="163"/>
  <c r="E264" i="163"/>
  <c r="C264" i="163"/>
  <c r="I265" i="163"/>
  <c r="D265" i="163"/>
  <c r="J265" i="163"/>
  <c r="E265" i="163"/>
  <c r="C265" i="163"/>
  <c r="I266" i="163"/>
  <c r="D266" i="163"/>
  <c r="J266" i="163"/>
  <c r="E266" i="163"/>
  <c r="C266" i="163"/>
  <c r="I267" i="163"/>
  <c r="D267" i="163"/>
  <c r="J267" i="163"/>
  <c r="E267" i="163"/>
  <c r="C267" i="163"/>
  <c r="I268" i="163"/>
  <c r="D268" i="163"/>
  <c r="J268" i="163"/>
  <c r="E268" i="163"/>
  <c r="C268" i="163"/>
  <c r="I269" i="163"/>
  <c r="D269" i="163"/>
  <c r="J269" i="163"/>
  <c r="E269" i="163"/>
  <c r="C269" i="163"/>
  <c r="I270" i="163"/>
  <c r="D270" i="163"/>
  <c r="J270" i="163"/>
  <c r="E270" i="163"/>
  <c r="C270" i="163"/>
  <c r="I271" i="163"/>
  <c r="D271" i="163"/>
  <c r="J271" i="163"/>
  <c r="E271" i="163"/>
  <c r="C271" i="163"/>
  <c r="I272" i="163"/>
  <c r="D272" i="163"/>
  <c r="J272" i="163"/>
  <c r="E272" i="163"/>
  <c r="C272" i="163"/>
  <c r="I273" i="163"/>
  <c r="D273" i="163"/>
  <c r="J273" i="163"/>
  <c r="E273" i="163"/>
  <c r="C273" i="163"/>
  <c r="I274" i="163"/>
  <c r="D274" i="163"/>
  <c r="J274" i="163"/>
  <c r="E274" i="163"/>
  <c r="C274" i="163"/>
  <c r="I275" i="163"/>
  <c r="D275" i="163"/>
  <c r="J275" i="163"/>
  <c r="E275" i="163"/>
  <c r="C275" i="163"/>
  <c r="I276" i="163"/>
  <c r="D276" i="163"/>
  <c r="J276" i="163"/>
  <c r="E276" i="163"/>
  <c r="C276" i="163"/>
  <c r="I277" i="163"/>
  <c r="D277" i="163"/>
  <c r="J277" i="163"/>
  <c r="E277" i="163"/>
  <c r="C277" i="163"/>
  <c r="I278" i="163"/>
  <c r="D278" i="163"/>
  <c r="J278" i="163"/>
  <c r="E278" i="163"/>
  <c r="C278" i="163"/>
  <c r="I279" i="163"/>
  <c r="D279" i="163"/>
  <c r="J279" i="163"/>
  <c r="E279" i="163"/>
  <c r="C279" i="163"/>
  <c r="I280" i="163"/>
  <c r="D280" i="163"/>
  <c r="J280" i="163"/>
  <c r="E280" i="163"/>
  <c r="C280" i="163"/>
  <c r="I281" i="163"/>
  <c r="D281" i="163"/>
  <c r="J281" i="163"/>
  <c r="E281" i="163"/>
  <c r="C281" i="163"/>
  <c r="I282" i="163"/>
  <c r="D282" i="163"/>
  <c r="J282" i="163"/>
  <c r="E282" i="163"/>
  <c r="C282" i="163"/>
  <c r="I283" i="163"/>
  <c r="D283" i="163"/>
  <c r="J283" i="163"/>
  <c r="E283" i="163"/>
  <c r="C283" i="163"/>
  <c r="I284" i="163"/>
  <c r="D284" i="163"/>
  <c r="J284" i="163"/>
  <c r="E284" i="163"/>
  <c r="C284" i="163"/>
  <c r="I285" i="163"/>
  <c r="D285" i="163"/>
  <c r="J285" i="163"/>
  <c r="E285" i="163"/>
  <c r="C285" i="163"/>
  <c r="I286" i="163"/>
  <c r="D286" i="163"/>
  <c r="J286" i="163"/>
  <c r="E286" i="163"/>
  <c r="C286" i="163"/>
  <c r="I287" i="163"/>
  <c r="D287" i="163"/>
  <c r="J287" i="163"/>
  <c r="E287" i="163"/>
  <c r="C287" i="163"/>
  <c r="I288" i="163"/>
  <c r="D288" i="163"/>
  <c r="J288" i="163"/>
  <c r="E288" i="163"/>
  <c r="C288" i="163"/>
  <c r="I289" i="163"/>
  <c r="D289" i="163"/>
  <c r="J289" i="163"/>
  <c r="E289" i="163"/>
  <c r="C289" i="163"/>
  <c r="I290" i="163"/>
  <c r="D290" i="163"/>
  <c r="J290" i="163"/>
  <c r="E290" i="163"/>
  <c r="C290" i="163"/>
  <c r="I291" i="163"/>
  <c r="D291" i="163"/>
  <c r="J291" i="163"/>
  <c r="E291" i="163"/>
  <c r="C291" i="163"/>
  <c r="I292" i="163"/>
  <c r="D292" i="163"/>
  <c r="J292" i="163"/>
  <c r="E292" i="163"/>
  <c r="C292" i="163"/>
  <c r="I293" i="163"/>
  <c r="D293" i="163"/>
  <c r="J293" i="163"/>
  <c r="E293" i="163"/>
  <c r="C293" i="163"/>
  <c r="I294" i="163"/>
  <c r="D294" i="163"/>
  <c r="J294" i="163"/>
  <c r="E294" i="163"/>
  <c r="C294" i="163"/>
  <c r="I295" i="163"/>
  <c r="D295" i="163"/>
  <c r="J295" i="163"/>
  <c r="E295" i="163"/>
  <c r="C295" i="163"/>
  <c r="I296" i="163"/>
  <c r="D296" i="163"/>
  <c r="J296" i="163"/>
  <c r="E296" i="163"/>
  <c r="C296" i="163"/>
  <c r="I297" i="163"/>
  <c r="D297" i="163"/>
  <c r="J297" i="163"/>
  <c r="E297" i="163"/>
  <c r="C297" i="163"/>
  <c r="I298" i="163"/>
  <c r="D298" i="163"/>
  <c r="J298" i="163"/>
  <c r="E298" i="163"/>
  <c r="C298" i="163"/>
  <c r="I299" i="163"/>
  <c r="D299" i="163"/>
  <c r="J299" i="163"/>
  <c r="E299" i="163"/>
  <c r="C299" i="163"/>
  <c r="I300" i="163"/>
  <c r="D300" i="163"/>
  <c r="J300" i="163"/>
  <c r="E300" i="163"/>
  <c r="C300" i="163"/>
  <c r="I301" i="163"/>
  <c r="D301" i="163"/>
  <c r="J301" i="163"/>
  <c r="E301" i="163"/>
  <c r="C301" i="163"/>
  <c r="I302" i="163"/>
  <c r="D302" i="163"/>
  <c r="J302" i="163"/>
  <c r="E302" i="163"/>
  <c r="C302" i="163"/>
  <c r="I303" i="163"/>
  <c r="D303" i="163"/>
  <c r="J303" i="163"/>
  <c r="E303" i="163"/>
  <c r="C303" i="163"/>
  <c r="I304" i="163"/>
  <c r="D304" i="163"/>
  <c r="J304" i="163"/>
  <c r="E304" i="163"/>
  <c r="C304" i="163"/>
  <c r="I305" i="163"/>
  <c r="D305" i="163"/>
  <c r="J305" i="163"/>
  <c r="E305" i="163"/>
  <c r="C305" i="163"/>
  <c r="I306" i="163"/>
  <c r="D306" i="163"/>
  <c r="J306" i="163"/>
  <c r="E306" i="163"/>
  <c r="C306" i="163"/>
  <c r="I307" i="163"/>
  <c r="D307" i="163"/>
  <c r="J307" i="163"/>
  <c r="E307" i="163"/>
  <c r="C307" i="163"/>
  <c r="I308" i="163"/>
  <c r="D308" i="163"/>
  <c r="J308" i="163"/>
  <c r="E308" i="163"/>
  <c r="C308" i="163"/>
  <c r="I309" i="163"/>
  <c r="D309" i="163"/>
  <c r="J309" i="163"/>
  <c r="E309" i="163"/>
  <c r="C309" i="163"/>
  <c r="I310" i="163"/>
  <c r="D310" i="163"/>
  <c r="J310" i="163"/>
  <c r="E310" i="163"/>
  <c r="C310" i="163"/>
  <c r="I311" i="163"/>
  <c r="D311" i="163"/>
  <c r="J311" i="163"/>
  <c r="E311" i="163"/>
  <c r="C311" i="163"/>
  <c r="I312" i="163"/>
  <c r="D312" i="163"/>
  <c r="J312" i="163"/>
  <c r="E312" i="163"/>
  <c r="C312" i="163"/>
  <c r="I313" i="163"/>
  <c r="D313" i="163"/>
  <c r="J313" i="163"/>
  <c r="E313" i="163"/>
  <c r="C313" i="163"/>
  <c r="I315" i="163"/>
  <c r="D315" i="163"/>
  <c r="J315" i="163"/>
  <c r="E315" i="163"/>
  <c r="C315" i="163"/>
  <c r="I316" i="163"/>
  <c r="D316" i="163"/>
  <c r="J316" i="163"/>
  <c r="E316" i="163"/>
  <c r="C316" i="163"/>
  <c r="I317" i="163"/>
  <c r="D317" i="163"/>
  <c r="J317" i="163"/>
  <c r="E317" i="163"/>
  <c r="C317" i="163"/>
  <c r="I318" i="163"/>
  <c r="D318" i="163"/>
  <c r="J318" i="163"/>
  <c r="E318" i="163"/>
  <c r="C318" i="163"/>
  <c r="I319" i="163"/>
  <c r="D319" i="163"/>
  <c r="J319" i="163"/>
  <c r="E319" i="163"/>
  <c r="C319" i="163"/>
  <c r="I320" i="163"/>
  <c r="D320" i="163"/>
  <c r="J320" i="163"/>
  <c r="E320" i="163"/>
  <c r="C320" i="163"/>
  <c r="I321" i="163"/>
  <c r="D321" i="163"/>
  <c r="J321" i="163"/>
  <c r="E321" i="163"/>
  <c r="C321" i="163"/>
  <c r="I322" i="163"/>
  <c r="D322" i="163"/>
  <c r="J322" i="163"/>
  <c r="E322" i="163"/>
  <c r="C322" i="163"/>
  <c r="I323" i="163"/>
  <c r="D323" i="163"/>
  <c r="J323" i="163"/>
  <c r="E323" i="163"/>
  <c r="C323" i="163"/>
  <c r="I324" i="163"/>
  <c r="D324" i="163"/>
  <c r="J324" i="163"/>
  <c r="E324" i="163"/>
  <c r="C324" i="163"/>
  <c r="I325" i="163"/>
  <c r="D325" i="163"/>
  <c r="J325" i="163"/>
  <c r="E325" i="163"/>
  <c r="C325" i="163"/>
  <c r="I326" i="163"/>
  <c r="D326" i="163"/>
  <c r="J326" i="163"/>
  <c r="E326" i="163"/>
  <c r="C326" i="163"/>
  <c r="I327" i="163"/>
  <c r="D327" i="163"/>
  <c r="J327" i="163"/>
  <c r="E327" i="163"/>
  <c r="C327" i="163"/>
  <c r="I328" i="163"/>
  <c r="D328" i="163"/>
  <c r="J328" i="163"/>
  <c r="E328" i="163"/>
  <c r="C328" i="163"/>
  <c r="I329" i="163"/>
  <c r="D329" i="163"/>
  <c r="J329" i="163"/>
  <c r="E329" i="163"/>
  <c r="C329" i="163"/>
  <c r="I330" i="163"/>
  <c r="D330" i="163"/>
  <c r="J330" i="163"/>
  <c r="E330" i="163"/>
  <c r="C330" i="163"/>
  <c r="I331" i="163"/>
  <c r="D331" i="163"/>
  <c r="J331" i="163"/>
  <c r="E331" i="163"/>
  <c r="C331" i="163"/>
  <c r="I332" i="163"/>
  <c r="D332" i="163"/>
  <c r="J332" i="163"/>
  <c r="E332" i="163"/>
  <c r="C332" i="163"/>
  <c r="I333" i="163"/>
  <c r="D333" i="163"/>
  <c r="J333" i="163"/>
  <c r="E333" i="163"/>
  <c r="C333" i="163"/>
  <c r="I334" i="163"/>
  <c r="D334" i="163"/>
  <c r="J334" i="163"/>
  <c r="E334" i="163"/>
  <c r="C334" i="163"/>
  <c r="I335" i="163"/>
  <c r="D335" i="163"/>
  <c r="J335" i="163"/>
  <c r="E335" i="163"/>
  <c r="C335" i="163"/>
  <c r="I336" i="163"/>
  <c r="D336" i="163"/>
  <c r="J336" i="163"/>
  <c r="E336" i="163"/>
  <c r="C336" i="163"/>
  <c r="I337" i="163"/>
  <c r="D337" i="163"/>
  <c r="J337" i="163"/>
  <c r="E337" i="163"/>
  <c r="C337" i="163"/>
  <c r="I338" i="163"/>
  <c r="D338" i="163"/>
  <c r="J338" i="163"/>
  <c r="E338" i="163"/>
  <c r="C338" i="163"/>
  <c r="I339" i="163"/>
  <c r="D339" i="163"/>
  <c r="J339" i="163"/>
  <c r="E339" i="163"/>
  <c r="C339" i="163"/>
  <c r="I340" i="163"/>
  <c r="D340" i="163"/>
  <c r="J340" i="163"/>
  <c r="E340" i="163"/>
  <c r="C340" i="163"/>
  <c r="I341" i="163"/>
  <c r="D341" i="163"/>
  <c r="J341" i="163"/>
  <c r="E341" i="163"/>
  <c r="C341" i="163"/>
  <c r="I342" i="163"/>
  <c r="D342" i="163"/>
  <c r="J342" i="163"/>
  <c r="E342" i="163"/>
  <c r="C342" i="163"/>
  <c r="I343" i="163"/>
  <c r="D343" i="163"/>
  <c r="J343" i="163"/>
  <c r="E343" i="163"/>
  <c r="C343" i="163"/>
  <c r="I344" i="163"/>
  <c r="D344" i="163"/>
  <c r="J344" i="163"/>
  <c r="E344" i="163"/>
  <c r="C344" i="163"/>
  <c r="I345" i="163"/>
  <c r="D345" i="163"/>
  <c r="J345" i="163"/>
  <c r="E345" i="163"/>
  <c r="C345" i="163"/>
  <c r="I346" i="163"/>
  <c r="D346" i="163"/>
  <c r="J346" i="163"/>
  <c r="E346" i="163"/>
  <c r="C346" i="163"/>
  <c r="F5" i="162"/>
  <c r="F6" i="162"/>
  <c r="A36" i="162"/>
  <c r="E5" i="162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29" i="162"/>
  <c r="B29" i="162"/>
  <c r="G29" i="162"/>
  <c r="H29" i="162"/>
  <c r="O314" i="163"/>
  <c r="E6" i="162"/>
  <c r="E19" i="162"/>
  <c r="B19" i="162"/>
  <c r="E24" i="162"/>
  <c r="B24" i="162"/>
  <c r="B17" i="162"/>
  <c r="G17" i="162"/>
  <c r="E17" i="162"/>
  <c r="H17" i="162"/>
  <c r="O2" i="163"/>
  <c r="E18" i="162"/>
  <c r="B18" i="162"/>
  <c r="G18" i="162"/>
  <c r="H18" i="162"/>
  <c r="O3" i="163"/>
  <c r="O4" i="163"/>
  <c r="O5" i="163"/>
  <c r="O6" i="163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G24" i="162"/>
  <c r="H24" i="162"/>
  <c r="O42" i="163"/>
  <c r="E25" i="162"/>
  <c r="B25" i="162"/>
  <c r="G25" i="162"/>
  <c r="H25" i="162"/>
  <c r="O43" i="163"/>
  <c r="E26" i="162"/>
  <c r="B26" i="162"/>
  <c r="G26" i="162"/>
  <c r="H26" i="162"/>
  <c r="O44" i="163"/>
  <c r="O45" i="163"/>
  <c r="O46" i="163"/>
  <c r="O47" i="163"/>
  <c r="O48" i="163"/>
  <c r="O49" i="163"/>
  <c r="O50" i="163"/>
  <c r="G19" i="162"/>
  <c r="H19" i="162"/>
  <c r="O51" i="163"/>
  <c r="E20" i="162"/>
  <c r="B20" i="162"/>
  <c r="G20" i="162"/>
  <c r="H20" i="162"/>
  <c r="O52" i="163"/>
  <c r="E23" i="162"/>
  <c r="B23" i="162"/>
  <c r="E28" i="162"/>
  <c r="B28" i="162"/>
  <c r="B21" i="162"/>
  <c r="G21" i="162"/>
  <c r="E21" i="162"/>
  <c r="H21" i="162"/>
  <c r="O53" i="163"/>
  <c r="O54" i="163"/>
  <c r="O55" i="163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E27" i="162"/>
  <c r="B27" i="162"/>
  <c r="G27" i="162"/>
  <c r="H27" i="162"/>
  <c r="O138" i="163"/>
  <c r="G28" i="162"/>
  <c r="H28" i="162"/>
  <c r="O139" i="163"/>
  <c r="O140" i="163"/>
  <c r="O141" i="163"/>
  <c r="O142" i="163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G23" i="162"/>
  <c r="H23" i="162"/>
  <c r="O215" i="163"/>
  <c r="O216" i="163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O260" i="163"/>
  <c r="O261" i="163"/>
  <c r="E22" i="162"/>
  <c r="B22" i="162"/>
  <c r="G22" i="162"/>
  <c r="H22" i="162"/>
  <c r="O262" i="163"/>
  <c r="O263" i="163"/>
  <c r="O264" i="163"/>
  <c r="O265" i="163"/>
  <c r="O266" i="163"/>
  <c r="O267" i="163"/>
  <c r="O268" i="163"/>
  <c r="O269" i="163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O331" i="163"/>
  <c r="O332" i="163"/>
  <c r="O333" i="163"/>
  <c r="O334" i="163"/>
  <c r="O335" i="163"/>
  <c r="O336" i="163"/>
  <c r="O337" i="163"/>
  <c r="O338" i="163"/>
  <c r="O339" i="163"/>
  <c r="O340" i="163"/>
  <c r="O341" i="163"/>
  <c r="O342" i="163"/>
  <c r="O343" i="163"/>
  <c r="O344" i="163"/>
  <c r="O345" i="163"/>
  <c r="R3" i="162"/>
  <c r="O346" i="163"/>
  <c r="P314" i="163"/>
  <c r="P317" i="163"/>
  <c r="P321" i="163"/>
  <c r="P328" i="163"/>
  <c r="P2" i="163"/>
  <c r="P3" i="163"/>
  <c r="P4" i="163"/>
  <c r="P5" i="163"/>
  <c r="P6" i="163"/>
  <c r="P7" i="163"/>
  <c r="P8" i="163"/>
  <c r="P9" i="163"/>
  <c r="P10" i="163"/>
  <c r="P11" i="163"/>
  <c r="P12" i="163"/>
  <c r="P13" i="163"/>
  <c r="P14" i="163"/>
  <c r="P15" i="163"/>
  <c r="P16" i="163"/>
  <c r="P17" i="163"/>
  <c r="P18" i="163"/>
  <c r="P19" i="163"/>
  <c r="P20" i="163"/>
  <c r="P21" i="163"/>
  <c r="P22" i="163"/>
  <c r="P23" i="163"/>
  <c r="P24" i="163"/>
  <c r="P25" i="163"/>
  <c r="P26" i="163"/>
  <c r="P27" i="163"/>
  <c r="P28" i="163"/>
  <c r="P29" i="163"/>
  <c r="P30" i="163"/>
  <c r="P31" i="163"/>
  <c r="P32" i="163"/>
  <c r="P33" i="163"/>
  <c r="P34" i="163"/>
  <c r="P35" i="163"/>
  <c r="P36" i="163"/>
  <c r="P37" i="163"/>
  <c r="P38" i="163"/>
  <c r="P39" i="163"/>
  <c r="P40" i="163"/>
  <c r="P41" i="163"/>
  <c r="P42" i="163"/>
  <c r="P43" i="163"/>
  <c r="P44" i="163"/>
  <c r="P45" i="163"/>
  <c r="P46" i="163"/>
  <c r="P47" i="163"/>
  <c r="P48" i="163"/>
  <c r="P49" i="163"/>
  <c r="P50" i="163"/>
  <c r="P51" i="163"/>
  <c r="P52" i="163"/>
  <c r="P53" i="163"/>
  <c r="P54" i="163"/>
  <c r="P55" i="163"/>
  <c r="P56" i="163"/>
  <c r="P57" i="163"/>
  <c r="P58" i="163"/>
  <c r="P59" i="163"/>
  <c r="P60" i="163"/>
  <c r="P61" i="163"/>
  <c r="P62" i="163"/>
  <c r="P63" i="163"/>
  <c r="P64" i="163"/>
  <c r="P65" i="163"/>
  <c r="P66" i="163"/>
  <c r="P67" i="163"/>
  <c r="P68" i="163"/>
  <c r="P69" i="163"/>
  <c r="P70" i="163"/>
  <c r="P71" i="163"/>
  <c r="P72" i="163"/>
  <c r="P73" i="163"/>
  <c r="P74" i="163"/>
  <c r="P75" i="163"/>
  <c r="P76" i="163"/>
  <c r="P77" i="163"/>
  <c r="P78" i="163"/>
  <c r="P79" i="163"/>
  <c r="P80" i="163"/>
  <c r="P81" i="163"/>
  <c r="P82" i="163"/>
  <c r="P83" i="163"/>
  <c r="P84" i="163"/>
  <c r="P85" i="163"/>
  <c r="P86" i="163"/>
  <c r="P87" i="163"/>
  <c r="P88" i="163"/>
  <c r="P89" i="163"/>
  <c r="P90" i="163"/>
  <c r="P91" i="163"/>
  <c r="P92" i="163"/>
  <c r="P93" i="163"/>
  <c r="P94" i="163"/>
  <c r="P95" i="163"/>
  <c r="P96" i="163"/>
  <c r="P97" i="163"/>
  <c r="P98" i="163"/>
  <c r="P99" i="163"/>
  <c r="P100" i="163"/>
  <c r="P101" i="163"/>
  <c r="P102" i="163"/>
  <c r="P103" i="163"/>
  <c r="P104" i="163"/>
  <c r="P105" i="163"/>
  <c r="P106" i="163"/>
  <c r="P107" i="163"/>
  <c r="P108" i="163"/>
  <c r="P109" i="163"/>
  <c r="P110" i="163"/>
  <c r="P111" i="163"/>
  <c r="P112" i="163"/>
  <c r="P113" i="163"/>
  <c r="P114" i="163"/>
  <c r="P115" i="163"/>
  <c r="P116" i="163"/>
  <c r="P117" i="163"/>
  <c r="P118" i="163"/>
  <c r="P119" i="163"/>
  <c r="P120" i="163"/>
  <c r="P121" i="163"/>
  <c r="P122" i="163"/>
  <c r="P123" i="163"/>
  <c r="P124" i="163"/>
  <c r="P125" i="163"/>
  <c r="P126" i="163"/>
  <c r="P127" i="163"/>
  <c r="P128" i="163"/>
  <c r="P129" i="163"/>
  <c r="P130" i="163"/>
  <c r="P131" i="163"/>
  <c r="P132" i="163"/>
  <c r="P133" i="163"/>
  <c r="P134" i="163"/>
  <c r="P135" i="163"/>
  <c r="P136" i="163"/>
  <c r="P137" i="163"/>
  <c r="P138" i="163"/>
  <c r="P139" i="163"/>
  <c r="P140" i="163"/>
  <c r="P141" i="163"/>
  <c r="P142" i="163"/>
  <c r="P143" i="163"/>
  <c r="P144" i="163"/>
  <c r="P145" i="163"/>
  <c r="P146" i="163"/>
  <c r="P147" i="163"/>
  <c r="P148" i="163"/>
  <c r="P149" i="163"/>
  <c r="P150" i="163"/>
  <c r="P151" i="163"/>
  <c r="P152" i="163"/>
  <c r="P153" i="163"/>
  <c r="P154" i="163"/>
  <c r="P155" i="163"/>
  <c r="P156" i="163"/>
  <c r="P157" i="163"/>
  <c r="P158" i="163"/>
  <c r="P159" i="163"/>
  <c r="P160" i="163"/>
  <c r="P161" i="163"/>
  <c r="P162" i="163"/>
  <c r="P163" i="163"/>
  <c r="P164" i="163"/>
  <c r="P165" i="163"/>
  <c r="P166" i="163"/>
  <c r="P167" i="163"/>
  <c r="P168" i="163"/>
  <c r="P169" i="163"/>
  <c r="P170" i="163"/>
  <c r="P171" i="163"/>
  <c r="P172" i="163"/>
  <c r="P173" i="163"/>
  <c r="P174" i="163"/>
  <c r="P175" i="163"/>
  <c r="P176" i="163"/>
  <c r="P177" i="163"/>
  <c r="P178" i="163"/>
  <c r="P179" i="163"/>
  <c r="P180" i="163"/>
  <c r="P181" i="163"/>
  <c r="P182" i="163"/>
  <c r="P183" i="163"/>
  <c r="P184" i="163"/>
  <c r="P185" i="163"/>
  <c r="P186" i="163"/>
  <c r="P187" i="163"/>
  <c r="P188" i="163"/>
  <c r="P189" i="163"/>
  <c r="P190" i="163"/>
  <c r="P191" i="163"/>
  <c r="P192" i="163"/>
  <c r="P193" i="163"/>
  <c r="P194" i="163"/>
  <c r="P195" i="163"/>
  <c r="P196" i="163"/>
  <c r="P197" i="163"/>
  <c r="P198" i="163"/>
  <c r="P199" i="163"/>
  <c r="P200" i="163"/>
  <c r="P201" i="163"/>
  <c r="P202" i="163"/>
  <c r="P203" i="163"/>
  <c r="P204" i="163"/>
  <c r="P205" i="163"/>
  <c r="P206" i="163"/>
  <c r="P207" i="163"/>
  <c r="P208" i="163"/>
  <c r="P209" i="163"/>
  <c r="P210" i="163"/>
  <c r="P211" i="163"/>
  <c r="P212" i="163"/>
  <c r="P213" i="163"/>
  <c r="P214" i="163"/>
  <c r="P215" i="163"/>
  <c r="P216" i="163"/>
  <c r="P217" i="163"/>
  <c r="P218" i="163"/>
  <c r="P219" i="163"/>
  <c r="P220" i="163"/>
  <c r="P221" i="163"/>
  <c r="P222" i="163"/>
  <c r="P223" i="163"/>
  <c r="P224" i="163"/>
  <c r="P225" i="163"/>
  <c r="P226" i="163"/>
  <c r="P227" i="163"/>
  <c r="P228" i="163"/>
  <c r="P229" i="163"/>
  <c r="P230" i="163"/>
  <c r="P231" i="163"/>
  <c r="P232" i="163"/>
  <c r="P233" i="163"/>
  <c r="P234" i="163"/>
  <c r="P235" i="163"/>
  <c r="P236" i="163"/>
  <c r="P237" i="163"/>
  <c r="P238" i="163"/>
  <c r="P239" i="163"/>
  <c r="P240" i="163"/>
  <c r="P241" i="163"/>
  <c r="P242" i="163"/>
  <c r="P243" i="163"/>
  <c r="P244" i="163"/>
  <c r="P245" i="163"/>
  <c r="P246" i="163"/>
  <c r="P247" i="163"/>
  <c r="P248" i="163"/>
  <c r="P249" i="163"/>
  <c r="P250" i="163"/>
  <c r="P251" i="163"/>
  <c r="P252" i="163"/>
  <c r="P253" i="163"/>
  <c r="P254" i="163"/>
  <c r="P255" i="163"/>
  <c r="P256" i="163"/>
  <c r="P257" i="163"/>
  <c r="P258" i="163"/>
  <c r="P259" i="163"/>
  <c r="P260" i="163"/>
  <c r="P261" i="163"/>
  <c r="P262" i="163"/>
  <c r="P263" i="163"/>
  <c r="P264" i="163"/>
  <c r="P265" i="163"/>
  <c r="P266" i="163"/>
  <c r="P267" i="163"/>
  <c r="P268" i="163"/>
  <c r="P269" i="163"/>
  <c r="P270" i="163"/>
  <c r="P271" i="163"/>
  <c r="P272" i="163"/>
  <c r="P273" i="163"/>
  <c r="P274" i="163"/>
  <c r="P275" i="163"/>
  <c r="P276" i="163"/>
  <c r="P277" i="163"/>
  <c r="P278" i="163"/>
  <c r="P279" i="163"/>
  <c r="P280" i="163"/>
  <c r="P281" i="163"/>
  <c r="P282" i="163"/>
  <c r="P283" i="163"/>
  <c r="P284" i="163"/>
  <c r="P285" i="163"/>
  <c r="P286" i="163"/>
  <c r="P287" i="163"/>
  <c r="P288" i="163"/>
  <c r="P289" i="163"/>
  <c r="P290" i="163"/>
  <c r="P291" i="163"/>
  <c r="P292" i="163"/>
  <c r="P293" i="163"/>
  <c r="P294" i="163"/>
  <c r="P295" i="163"/>
  <c r="P296" i="163"/>
  <c r="P297" i="163"/>
  <c r="P298" i="163"/>
  <c r="P299" i="163"/>
  <c r="P300" i="163"/>
  <c r="P301" i="163"/>
  <c r="P302" i="163"/>
  <c r="P303" i="163"/>
  <c r="P304" i="163"/>
  <c r="P305" i="163"/>
  <c r="P306" i="163"/>
  <c r="P307" i="163"/>
  <c r="P308" i="163"/>
  <c r="P309" i="163"/>
  <c r="P310" i="163"/>
  <c r="P311" i="163"/>
  <c r="P312" i="163"/>
  <c r="P313" i="163"/>
  <c r="P315" i="163"/>
  <c r="P316" i="163"/>
  <c r="P318" i="163"/>
  <c r="P319" i="163"/>
  <c r="P320" i="163"/>
  <c r="P322" i="163"/>
  <c r="P323" i="163"/>
  <c r="P324" i="163"/>
  <c r="P325" i="163"/>
  <c r="P326" i="163"/>
  <c r="P327" i="163"/>
  <c r="P329" i="163"/>
  <c r="P330" i="163"/>
  <c r="P331" i="163"/>
  <c r="P332" i="163"/>
  <c r="P333" i="163"/>
  <c r="P334" i="163"/>
  <c r="P335" i="163"/>
  <c r="P336" i="163"/>
  <c r="P337" i="163"/>
  <c r="P338" i="163"/>
  <c r="P339" i="163"/>
  <c r="P340" i="163"/>
  <c r="P341" i="163"/>
  <c r="P342" i="163"/>
  <c r="P343" i="163"/>
  <c r="P344" i="163"/>
  <c r="P345" i="163"/>
  <c r="P346" i="163"/>
  <c r="G48" i="164"/>
  <c r="B47" i="164"/>
  <c r="C40" i="164"/>
  <c r="C41" i="164"/>
  <c r="C42" i="164"/>
  <c r="C43" i="164"/>
  <c r="C44" i="164"/>
  <c r="C45" i="164"/>
  <c r="C46" i="164"/>
  <c r="C47" i="164"/>
  <c r="G42" i="164"/>
  <c r="G41" i="164"/>
  <c r="G40" i="164"/>
  <c r="F35" i="164"/>
  <c r="F34" i="164"/>
  <c r="B30" i="164"/>
  <c r="B32" i="164"/>
  <c r="C19" i="164"/>
  <c r="C20" i="164"/>
  <c r="C21" i="164"/>
  <c r="C22" i="164"/>
  <c r="C23" i="164"/>
  <c r="C24" i="164"/>
  <c r="C25" i="164"/>
  <c r="C26" i="164"/>
  <c r="C27" i="164"/>
  <c r="C28" i="164"/>
  <c r="C29" i="164"/>
  <c r="C30" i="164"/>
  <c r="C31" i="164"/>
  <c r="C32" i="164"/>
  <c r="D32" i="164"/>
  <c r="G31" i="164"/>
  <c r="H31" i="164"/>
  <c r="I31" i="164"/>
  <c r="J31" i="164"/>
  <c r="F31" i="164"/>
  <c r="D31" i="164"/>
  <c r="G30" i="164"/>
  <c r="H30" i="164"/>
  <c r="I30" i="164"/>
  <c r="J30" i="164"/>
  <c r="F30" i="164"/>
  <c r="D30" i="164"/>
  <c r="I29" i="164"/>
  <c r="J29" i="164"/>
  <c r="F29" i="164"/>
  <c r="D29" i="164"/>
  <c r="I28" i="164"/>
  <c r="J28" i="164"/>
  <c r="F28" i="164"/>
  <c r="D28" i="164"/>
  <c r="I27" i="164"/>
  <c r="J27" i="164"/>
  <c r="F27" i="164"/>
  <c r="D27" i="164"/>
  <c r="I26" i="164"/>
  <c r="J26" i="164"/>
  <c r="F26" i="164"/>
  <c r="D26" i="164"/>
  <c r="I25" i="164"/>
  <c r="J25" i="164"/>
  <c r="F25" i="164"/>
  <c r="D25" i="164"/>
  <c r="I24" i="164"/>
  <c r="J24" i="164"/>
  <c r="F24" i="164"/>
  <c r="D24" i="164"/>
  <c r="I23" i="164"/>
  <c r="J23" i="164"/>
  <c r="F23" i="164"/>
  <c r="D23" i="164"/>
  <c r="I22" i="164"/>
  <c r="J22" i="164"/>
  <c r="F22" i="164"/>
  <c r="D22" i="164"/>
  <c r="I21" i="164"/>
  <c r="J21" i="164"/>
  <c r="F21" i="164"/>
  <c r="D21" i="164"/>
  <c r="R20" i="164"/>
  <c r="P20" i="164"/>
  <c r="O20" i="164"/>
  <c r="M20" i="164"/>
  <c r="I20" i="164"/>
  <c r="J20" i="164"/>
  <c r="F20" i="164"/>
  <c r="D20" i="164"/>
  <c r="R19" i="164"/>
  <c r="P19" i="164"/>
  <c r="O19" i="164"/>
  <c r="M19" i="164"/>
  <c r="I19" i="164"/>
  <c r="J19" i="164"/>
  <c r="F19" i="164"/>
  <c r="D19" i="164"/>
  <c r="R18" i="164"/>
  <c r="P18" i="164"/>
  <c r="O18" i="164"/>
  <c r="M18" i="164"/>
  <c r="I18" i="164"/>
  <c r="J18" i="164"/>
  <c r="F18" i="164"/>
  <c r="C18" i="164"/>
  <c r="D18" i="164"/>
  <c r="R17" i="164"/>
  <c r="P17" i="164"/>
  <c r="O17" i="164"/>
  <c r="M17" i="164"/>
  <c r="I17" i="164"/>
  <c r="J17" i="164"/>
  <c r="F17" i="164"/>
  <c r="C17" i="164"/>
  <c r="D17" i="164"/>
  <c r="V16" i="164"/>
  <c r="R16" i="164"/>
  <c r="P16" i="164"/>
  <c r="O16" i="164"/>
  <c r="M16" i="164"/>
  <c r="V15" i="164"/>
  <c r="R15" i="164"/>
  <c r="P15" i="164"/>
  <c r="O15" i="164"/>
  <c r="M15" i="164"/>
  <c r="V14" i="164"/>
  <c r="R14" i="164"/>
  <c r="P14" i="164"/>
  <c r="O14" i="164"/>
  <c r="M14" i="164"/>
  <c r="V13" i="164"/>
  <c r="R13" i="164"/>
  <c r="P13" i="164"/>
  <c r="O13" i="164"/>
  <c r="M13" i="164"/>
  <c r="V12" i="164"/>
  <c r="R12" i="164"/>
  <c r="P12" i="164"/>
  <c r="O12" i="164"/>
  <c r="M12" i="164"/>
  <c r="V11" i="164"/>
  <c r="R11" i="164"/>
  <c r="P11" i="164"/>
  <c r="O11" i="164"/>
  <c r="M11" i="164"/>
  <c r="V10" i="164"/>
  <c r="R10" i="164"/>
  <c r="P10" i="164"/>
  <c r="O10" i="164"/>
  <c r="M10" i="164"/>
  <c r="V9" i="164"/>
  <c r="R9" i="164"/>
  <c r="P9" i="164"/>
  <c r="O9" i="164"/>
  <c r="M9" i="164"/>
  <c r="V8" i="164"/>
  <c r="R8" i="164"/>
  <c r="P8" i="164"/>
  <c r="O8" i="164"/>
  <c r="M8" i="164"/>
  <c r="V7" i="164"/>
  <c r="R7" i="164"/>
  <c r="P7" i="164"/>
  <c r="O7" i="164"/>
  <c r="M7" i="164"/>
  <c r="V6" i="164"/>
  <c r="R6" i="164"/>
  <c r="P6" i="164"/>
  <c r="O6" i="164"/>
  <c r="M6" i="164"/>
  <c r="V5" i="164"/>
  <c r="R5" i="164"/>
  <c r="P5" i="164"/>
  <c r="O5" i="164"/>
  <c r="M5" i="164"/>
  <c r="V4" i="164"/>
  <c r="R4" i="164"/>
  <c r="P4" i="164"/>
  <c r="O4" i="164"/>
  <c r="M4" i="164"/>
  <c r="V3" i="164"/>
  <c r="P3" i="164"/>
  <c r="O3" i="164"/>
  <c r="M3" i="164"/>
  <c r="V2" i="164"/>
  <c r="A346" i="163"/>
  <c r="B10" i="162"/>
  <c r="A345" i="163"/>
  <c r="A344" i="163"/>
  <c r="A343" i="163"/>
  <c r="A342" i="163"/>
  <c r="A341" i="163"/>
  <c r="A340" i="163"/>
  <c r="A339" i="163"/>
  <c r="A338" i="163"/>
  <c r="A337" i="163"/>
  <c r="A336" i="163"/>
  <c r="A335" i="163"/>
  <c r="A334" i="163"/>
  <c r="A333" i="163"/>
  <c r="A332" i="163"/>
  <c r="A331" i="163"/>
  <c r="A330" i="163"/>
  <c r="A329" i="163"/>
  <c r="A328" i="163"/>
  <c r="A327" i="163"/>
  <c r="A326" i="163"/>
  <c r="A325" i="163"/>
  <c r="A324" i="163"/>
  <c r="A323" i="163"/>
  <c r="A322" i="163"/>
  <c r="A321" i="163"/>
  <c r="A320" i="163"/>
  <c r="A319" i="163"/>
  <c r="A318" i="163"/>
  <c r="A317" i="163"/>
  <c r="A316" i="163"/>
  <c r="A315" i="163"/>
  <c r="A314" i="163"/>
  <c r="A313" i="163"/>
  <c r="A312" i="163"/>
  <c r="A311" i="163"/>
  <c r="A310" i="163"/>
  <c r="A309" i="163"/>
  <c r="A308" i="163"/>
  <c r="A307" i="163"/>
  <c r="A306" i="163"/>
  <c r="A305" i="163"/>
  <c r="A304" i="163"/>
  <c r="A303" i="163"/>
  <c r="A302" i="163"/>
  <c r="A301" i="163"/>
  <c r="A300" i="163"/>
  <c r="A299" i="163"/>
  <c r="A298" i="163"/>
  <c r="A297" i="163"/>
  <c r="A296" i="163"/>
  <c r="A295" i="163"/>
  <c r="A294" i="163"/>
  <c r="A293" i="163"/>
  <c r="A292" i="163"/>
  <c r="A291" i="163"/>
  <c r="A290" i="163"/>
  <c r="A289" i="163"/>
  <c r="A288" i="163"/>
  <c r="A287" i="163"/>
  <c r="A286" i="163"/>
  <c r="A285" i="163"/>
  <c r="A284" i="163"/>
  <c r="A283" i="163"/>
  <c r="A282" i="163"/>
  <c r="A281" i="163"/>
  <c r="A280" i="163"/>
  <c r="A279" i="163"/>
  <c r="A278" i="163"/>
  <c r="A277" i="163"/>
  <c r="A276" i="163"/>
  <c r="A275" i="163"/>
  <c r="A274" i="163"/>
  <c r="A273" i="163"/>
  <c r="A272" i="163"/>
  <c r="A271" i="163"/>
  <c r="A270" i="163"/>
  <c r="A269" i="163"/>
  <c r="A268" i="163"/>
  <c r="A267" i="163"/>
  <c r="A266" i="163"/>
  <c r="A265" i="163"/>
  <c r="A264" i="163"/>
  <c r="A263" i="163"/>
  <c r="A262" i="163"/>
  <c r="A261" i="163"/>
  <c r="A260" i="163"/>
  <c r="A259" i="163"/>
  <c r="A258" i="163"/>
  <c r="A257" i="163"/>
  <c r="A256" i="163"/>
  <c r="A255" i="163"/>
  <c r="A254" i="163"/>
  <c r="A253" i="163"/>
  <c r="A252" i="163"/>
  <c r="A251" i="163"/>
  <c r="A250" i="163"/>
  <c r="A249" i="163"/>
  <c r="A248" i="163"/>
  <c r="A247" i="163"/>
  <c r="A246" i="163"/>
  <c r="A245" i="163"/>
  <c r="A244" i="163"/>
  <c r="A243" i="163"/>
  <c r="A242" i="163"/>
  <c r="A241" i="163"/>
  <c r="A240" i="163"/>
  <c r="A239" i="163"/>
  <c r="A238" i="163"/>
  <c r="A237" i="163"/>
  <c r="A236" i="163"/>
  <c r="A235" i="163"/>
  <c r="A234" i="163"/>
  <c r="A233" i="163"/>
  <c r="A232" i="163"/>
  <c r="A231" i="163"/>
  <c r="A230" i="163"/>
  <c r="A229" i="163"/>
  <c r="A228" i="163"/>
  <c r="A227" i="163"/>
  <c r="A226" i="163"/>
  <c r="A225" i="163"/>
  <c r="A224" i="163"/>
  <c r="A223" i="163"/>
  <c r="A222" i="163"/>
  <c r="A221" i="163"/>
  <c r="A220" i="163"/>
  <c r="A219" i="163"/>
  <c r="A218" i="163"/>
  <c r="A217" i="163"/>
  <c r="A216" i="163"/>
  <c r="A215" i="163"/>
  <c r="A214" i="163"/>
  <c r="A213" i="163"/>
  <c r="A212" i="163"/>
  <c r="A211" i="163"/>
  <c r="A210" i="163"/>
  <c r="A209" i="163"/>
  <c r="A208" i="163"/>
  <c r="A207" i="163"/>
  <c r="A206" i="163"/>
  <c r="A205" i="163"/>
  <c r="A204" i="163"/>
  <c r="A203" i="163"/>
  <c r="A202" i="163"/>
  <c r="A201" i="163"/>
  <c r="A200" i="163"/>
  <c r="A199" i="163"/>
  <c r="A198" i="163"/>
  <c r="A197" i="163"/>
  <c r="A196" i="163"/>
  <c r="A195" i="163"/>
  <c r="A194" i="163"/>
  <c r="A193" i="163"/>
  <c r="A192" i="163"/>
  <c r="A191" i="163"/>
  <c r="A190" i="163"/>
  <c r="A189" i="163"/>
  <c r="A188" i="163"/>
  <c r="A187" i="163"/>
  <c r="A186" i="163"/>
  <c r="A185" i="163"/>
  <c r="A184" i="163"/>
  <c r="A183" i="163"/>
  <c r="A182" i="163"/>
  <c r="A181" i="163"/>
  <c r="A180" i="163"/>
  <c r="A179" i="163"/>
  <c r="A178" i="163"/>
  <c r="A177" i="163"/>
  <c r="A176" i="163"/>
  <c r="A175" i="163"/>
  <c r="A174" i="163"/>
  <c r="A173" i="163"/>
  <c r="A172" i="163"/>
  <c r="A171" i="163"/>
  <c r="A170" i="163"/>
  <c r="A169" i="163"/>
  <c r="A168" i="163"/>
  <c r="A167" i="163"/>
  <c r="A166" i="163"/>
  <c r="A165" i="163"/>
  <c r="A164" i="163"/>
  <c r="A163" i="163"/>
  <c r="A162" i="163"/>
  <c r="A161" i="163"/>
  <c r="A160" i="163"/>
  <c r="A159" i="163"/>
  <c r="A158" i="163"/>
  <c r="A157" i="163"/>
  <c r="A156" i="163"/>
  <c r="A155" i="163"/>
  <c r="A154" i="163"/>
  <c r="A153" i="163"/>
  <c r="A152" i="163"/>
  <c r="A151" i="163"/>
  <c r="A150" i="163"/>
  <c r="A149" i="163"/>
  <c r="A148" i="163"/>
  <c r="A147" i="163"/>
  <c r="A146" i="163"/>
  <c r="A145" i="163"/>
  <c r="A144" i="163"/>
  <c r="A143" i="163"/>
  <c r="A142" i="163"/>
  <c r="A141" i="163"/>
  <c r="A140" i="163"/>
  <c r="A139" i="163"/>
  <c r="A138" i="163"/>
  <c r="A137" i="163"/>
  <c r="A136" i="163"/>
  <c r="A135" i="163"/>
  <c r="A134" i="163"/>
  <c r="A133" i="163"/>
  <c r="A132" i="163"/>
  <c r="A131" i="163"/>
  <c r="A130" i="163"/>
  <c r="A129" i="163"/>
  <c r="A128" i="163"/>
  <c r="A127" i="163"/>
  <c r="A126" i="163"/>
  <c r="A125" i="163"/>
  <c r="A124" i="163"/>
  <c r="A123" i="163"/>
  <c r="A122" i="163"/>
  <c r="A121" i="163"/>
  <c r="A120" i="163"/>
  <c r="A119" i="163"/>
  <c r="A118" i="163"/>
  <c r="A117" i="163"/>
  <c r="A116" i="163"/>
  <c r="A115" i="163"/>
  <c r="A114" i="163"/>
  <c r="A113" i="163"/>
  <c r="A112" i="163"/>
  <c r="A111" i="163"/>
  <c r="A110" i="163"/>
  <c r="A109" i="163"/>
  <c r="A108" i="163"/>
  <c r="A107" i="163"/>
  <c r="A106" i="163"/>
  <c r="A105" i="163"/>
  <c r="A104" i="163"/>
  <c r="A103" i="163"/>
  <c r="A102" i="163"/>
  <c r="A101" i="163"/>
  <c r="A100" i="163"/>
  <c r="A99" i="163"/>
  <c r="A98" i="163"/>
  <c r="A97" i="163"/>
  <c r="A96" i="163"/>
  <c r="A95" i="163"/>
  <c r="A94" i="163"/>
  <c r="A93" i="163"/>
  <c r="A92" i="163"/>
  <c r="A91" i="163"/>
  <c r="A90" i="163"/>
  <c r="A89" i="163"/>
  <c r="A88" i="163"/>
  <c r="A87" i="163"/>
  <c r="A86" i="163"/>
  <c r="A85" i="163"/>
  <c r="A84" i="163"/>
  <c r="A83" i="163"/>
  <c r="A82" i="163"/>
  <c r="A81" i="163"/>
  <c r="A80" i="163"/>
  <c r="A79" i="163"/>
  <c r="A78" i="163"/>
  <c r="A77" i="163"/>
  <c r="A76" i="163"/>
  <c r="A75" i="163"/>
  <c r="A74" i="163"/>
  <c r="A73" i="163"/>
  <c r="A72" i="163"/>
  <c r="A71" i="163"/>
  <c r="A70" i="163"/>
  <c r="A69" i="163"/>
  <c r="A68" i="163"/>
  <c r="A67" i="163"/>
  <c r="A66" i="163"/>
  <c r="A65" i="163"/>
  <c r="A64" i="163"/>
  <c r="A63" i="163"/>
  <c r="A62" i="163"/>
  <c r="A61" i="163"/>
  <c r="A60" i="163"/>
  <c r="A59" i="163"/>
  <c r="A58" i="163"/>
  <c r="A57" i="163"/>
  <c r="A56" i="163"/>
  <c r="A55" i="163"/>
  <c r="A54" i="163"/>
  <c r="A53" i="163"/>
  <c r="A52" i="163"/>
  <c r="A51" i="163"/>
  <c r="A50" i="163"/>
  <c r="A49" i="163"/>
  <c r="A48" i="163"/>
  <c r="A47" i="163"/>
  <c r="A46" i="163"/>
  <c r="A45" i="163"/>
  <c r="A44" i="163"/>
  <c r="A43" i="163"/>
  <c r="A42" i="163"/>
  <c r="A41" i="163"/>
  <c r="A40" i="163"/>
  <c r="A39" i="163"/>
  <c r="A38" i="163"/>
  <c r="A37" i="163"/>
  <c r="A36" i="163"/>
  <c r="A35" i="163"/>
  <c r="A34" i="163"/>
  <c r="A33" i="163"/>
  <c r="A32" i="163"/>
  <c r="A31" i="163"/>
  <c r="A30" i="163"/>
  <c r="A29" i="163"/>
  <c r="A28" i="163"/>
  <c r="A27" i="163"/>
  <c r="A26" i="163"/>
  <c r="A25" i="163"/>
  <c r="A24" i="163"/>
  <c r="A23" i="163"/>
  <c r="A22" i="163"/>
  <c r="A21" i="163"/>
  <c r="A20" i="163"/>
  <c r="A19" i="163"/>
  <c r="A18" i="163"/>
  <c r="A17" i="163"/>
  <c r="A16" i="163"/>
  <c r="A15" i="163"/>
  <c r="A14" i="163"/>
  <c r="A13" i="163"/>
  <c r="A12" i="163"/>
  <c r="A11" i="163"/>
  <c r="A10" i="163"/>
  <c r="A9" i="163"/>
  <c r="A8" i="163"/>
  <c r="A7" i="163"/>
  <c r="A6" i="163"/>
  <c r="A5" i="163"/>
  <c r="A4" i="163"/>
  <c r="A3" i="163"/>
  <c r="A2" i="163"/>
  <c r="F49" i="162"/>
  <c r="F48" i="162"/>
  <c r="F47" i="162"/>
  <c r="F46" i="162"/>
  <c r="B46" i="162"/>
  <c r="F45" i="162"/>
  <c r="B45" i="162"/>
  <c r="B44" i="162"/>
  <c r="B43" i="162"/>
  <c r="F42" i="162"/>
  <c r="B42" i="162"/>
  <c r="F41" i="162"/>
  <c r="B41" i="162"/>
  <c r="F40" i="162"/>
  <c r="B40" i="162"/>
  <c r="E31" i="162"/>
  <c r="E30" i="162"/>
  <c r="F2" i="163"/>
  <c r="F3" i="163"/>
  <c r="F4" i="163"/>
  <c r="F5" i="163"/>
  <c r="F6" i="163"/>
  <c r="F7" i="163"/>
  <c r="F8" i="163"/>
  <c r="F9" i="163"/>
  <c r="F10" i="163"/>
  <c r="F11" i="163"/>
  <c r="F12" i="163"/>
  <c r="F13" i="163"/>
  <c r="F14" i="163"/>
  <c r="F15" i="163"/>
  <c r="F16" i="163"/>
  <c r="F17" i="163"/>
  <c r="F18" i="163"/>
  <c r="F19" i="163"/>
  <c r="F20" i="163"/>
  <c r="F21" i="163"/>
  <c r="F22" i="163"/>
  <c r="F23" i="163"/>
  <c r="F24" i="163"/>
  <c r="F25" i="163"/>
  <c r="F26" i="163"/>
  <c r="F27" i="163"/>
  <c r="F28" i="163"/>
  <c r="F29" i="163"/>
  <c r="F30" i="163"/>
  <c r="F31" i="163"/>
  <c r="F32" i="163"/>
  <c r="F33" i="163"/>
  <c r="F34" i="163"/>
  <c r="F35" i="163"/>
  <c r="F36" i="163"/>
  <c r="F37" i="163"/>
  <c r="F38" i="163"/>
  <c r="F39" i="163"/>
  <c r="F40" i="163"/>
  <c r="F41" i="163"/>
  <c r="F42" i="163"/>
  <c r="F43" i="163"/>
  <c r="F44" i="163"/>
  <c r="F45" i="163"/>
  <c r="F46" i="163"/>
  <c r="F47" i="163"/>
  <c r="F48" i="163"/>
  <c r="F49" i="163"/>
  <c r="F50" i="163"/>
  <c r="F51" i="163"/>
  <c r="F52" i="163"/>
  <c r="F53" i="163"/>
  <c r="F54" i="163"/>
  <c r="F55" i="163"/>
  <c r="F56" i="163"/>
  <c r="F57" i="163"/>
  <c r="F58" i="163"/>
  <c r="F59" i="163"/>
  <c r="F60" i="163"/>
  <c r="F61" i="163"/>
  <c r="F62" i="163"/>
  <c r="F63" i="163"/>
  <c r="F64" i="163"/>
  <c r="F65" i="163"/>
  <c r="F66" i="163"/>
  <c r="F67" i="163"/>
  <c r="F68" i="163"/>
  <c r="F69" i="163"/>
  <c r="F70" i="163"/>
  <c r="F71" i="163"/>
  <c r="F72" i="163"/>
  <c r="F73" i="163"/>
  <c r="F74" i="163"/>
  <c r="F75" i="163"/>
  <c r="F76" i="163"/>
  <c r="F77" i="163"/>
  <c r="F78" i="163"/>
  <c r="F79" i="163"/>
  <c r="F80" i="163"/>
  <c r="F81" i="163"/>
  <c r="F82" i="163"/>
  <c r="F83" i="163"/>
  <c r="F84" i="163"/>
  <c r="F85" i="163"/>
  <c r="F86" i="163"/>
  <c r="F87" i="163"/>
  <c r="F88" i="163"/>
  <c r="F89" i="163"/>
  <c r="F90" i="163"/>
  <c r="F91" i="163"/>
  <c r="F92" i="163"/>
  <c r="F93" i="163"/>
  <c r="F94" i="163"/>
  <c r="F95" i="163"/>
  <c r="F96" i="163"/>
  <c r="F97" i="163"/>
  <c r="F98" i="163"/>
  <c r="F99" i="163"/>
  <c r="F100" i="163"/>
  <c r="F101" i="163"/>
  <c r="F102" i="163"/>
  <c r="F103" i="163"/>
  <c r="F104" i="163"/>
  <c r="F105" i="163"/>
  <c r="F106" i="163"/>
  <c r="F107" i="163"/>
  <c r="F108" i="163"/>
  <c r="F109" i="163"/>
  <c r="F110" i="163"/>
  <c r="F111" i="163"/>
  <c r="F112" i="163"/>
  <c r="F113" i="163"/>
  <c r="F114" i="163"/>
  <c r="F115" i="163"/>
  <c r="F116" i="163"/>
  <c r="F117" i="163"/>
  <c r="F118" i="163"/>
  <c r="F119" i="163"/>
  <c r="F120" i="163"/>
  <c r="F121" i="163"/>
  <c r="F122" i="163"/>
  <c r="F123" i="163"/>
  <c r="F124" i="163"/>
  <c r="F125" i="163"/>
  <c r="F126" i="163"/>
  <c r="F127" i="163"/>
  <c r="F128" i="163"/>
  <c r="F129" i="163"/>
  <c r="F130" i="163"/>
  <c r="F131" i="163"/>
  <c r="F132" i="163"/>
  <c r="F133" i="163"/>
  <c r="F134" i="163"/>
  <c r="F135" i="163"/>
  <c r="F136" i="163"/>
  <c r="F137" i="163"/>
  <c r="F138" i="163"/>
  <c r="F139" i="163"/>
  <c r="F140" i="163"/>
  <c r="F141" i="163"/>
  <c r="F142" i="163"/>
  <c r="F143" i="163"/>
  <c r="F144" i="163"/>
  <c r="F145" i="163"/>
  <c r="F146" i="163"/>
  <c r="F147" i="163"/>
  <c r="F148" i="163"/>
  <c r="F149" i="163"/>
  <c r="F150" i="163"/>
  <c r="F151" i="163"/>
  <c r="F152" i="163"/>
  <c r="F153" i="163"/>
  <c r="F154" i="163"/>
  <c r="F155" i="163"/>
  <c r="F156" i="163"/>
  <c r="F157" i="163"/>
  <c r="F158" i="163"/>
  <c r="F159" i="163"/>
  <c r="F160" i="163"/>
  <c r="F161" i="163"/>
  <c r="F162" i="163"/>
  <c r="F163" i="163"/>
  <c r="F164" i="163"/>
  <c r="F165" i="163"/>
  <c r="F166" i="163"/>
  <c r="F167" i="163"/>
  <c r="F168" i="163"/>
  <c r="F169" i="163"/>
  <c r="F170" i="163"/>
  <c r="F171" i="163"/>
  <c r="F172" i="163"/>
  <c r="F173" i="163"/>
  <c r="F174" i="163"/>
  <c r="F175" i="163"/>
  <c r="F176" i="163"/>
  <c r="F177" i="163"/>
  <c r="F178" i="163"/>
  <c r="F179" i="163"/>
  <c r="F180" i="163"/>
  <c r="F181" i="163"/>
  <c r="F182" i="163"/>
  <c r="F183" i="163"/>
  <c r="F184" i="163"/>
  <c r="F185" i="163"/>
  <c r="F186" i="163"/>
  <c r="F187" i="163"/>
  <c r="F188" i="163"/>
  <c r="F189" i="163"/>
  <c r="F190" i="163"/>
  <c r="F191" i="163"/>
  <c r="F192" i="163"/>
  <c r="F193" i="163"/>
  <c r="F194" i="163"/>
  <c r="F195" i="163"/>
  <c r="F196" i="163"/>
  <c r="F197" i="163"/>
  <c r="F198" i="163"/>
  <c r="F199" i="163"/>
  <c r="F200" i="163"/>
  <c r="F201" i="163"/>
  <c r="F202" i="163"/>
  <c r="F203" i="163"/>
  <c r="F204" i="163"/>
  <c r="F205" i="163"/>
  <c r="F206" i="163"/>
  <c r="F207" i="163"/>
  <c r="F208" i="163"/>
  <c r="F209" i="163"/>
  <c r="F210" i="163"/>
  <c r="F211" i="163"/>
  <c r="F212" i="163"/>
  <c r="F213" i="163"/>
  <c r="F214" i="163"/>
  <c r="F215" i="163"/>
  <c r="F216" i="163"/>
  <c r="F217" i="163"/>
  <c r="F218" i="163"/>
  <c r="F219" i="163"/>
  <c r="F220" i="163"/>
  <c r="F221" i="163"/>
  <c r="F222" i="163"/>
  <c r="F223" i="163"/>
  <c r="F224" i="163"/>
  <c r="F225" i="163"/>
  <c r="F226" i="163"/>
  <c r="F227" i="163"/>
  <c r="F228" i="163"/>
  <c r="F229" i="163"/>
  <c r="F230" i="163"/>
  <c r="F231" i="163"/>
  <c r="F232" i="163"/>
  <c r="F233" i="163"/>
  <c r="F234" i="163"/>
  <c r="F235" i="163"/>
  <c r="F236" i="163"/>
  <c r="F237" i="163"/>
  <c r="F238" i="163"/>
  <c r="F239" i="163"/>
  <c r="F240" i="163"/>
  <c r="F241" i="163"/>
  <c r="F242" i="163"/>
  <c r="F243" i="163"/>
  <c r="F244" i="163"/>
  <c r="F245" i="163"/>
  <c r="F246" i="163"/>
  <c r="F247" i="163"/>
  <c r="F248" i="163"/>
  <c r="F249" i="163"/>
  <c r="F250" i="163"/>
  <c r="F251" i="163"/>
  <c r="F252" i="163"/>
  <c r="F253" i="163"/>
  <c r="F254" i="163"/>
  <c r="F255" i="163"/>
  <c r="F256" i="163"/>
  <c r="F257" i="163"/>
  <c r="F258" i="163"/>
  <c r="F259" i="163"/>
  <c r="F260" i="163"/>
  <c r="F261" i="163"/>
  <c r="F262" i="163"/>
  <c r="F263" i="163"/>
  <c r="F264" i="163"/>
  <c r="F265" i="163"/>
  <c r="F266" i="163"/>
  <c r="F267" i="163"/>
  <c r="F268" i="163"/>
  <c r="F269" i="163"/>
  <c r="F270" i="163"/>
  <c r="F271" i="163"/>
  <c r="F272" i="163"/>
  <c r="F273" i="163"/>
  <c r="F274" i="163"/>
  <c r="F275" i="163"/>
  <c r="F276" i="163"/>
  <c r="F277" i="163"/>
  <c r="F278" i="163"/>
  <c r="F279" i="163"/>
  <c r="F280" i="163"/>
  <c r="F281" i="163"/>
  <c r="F282" i="163"/>
  <c r="F283" i="163"/>
  <c r="F284" i="163"/>
  <c r="F285" i="163"/>
  <c r="F286" i="163"/>
  <c r="F287" i="163"/>
  <c r="F288" i="163"/>
  <c r="F289" i="163"/>
  <c r="F290" i="163"/>
  <c r="F291" i="163"/>
  <c r="F292" i="163"/>
  <c r="F293" i="163"/>
  <c r="F294" i="163"/>
  <c r="F295" i="163"/>
  <c r="F296" i="163"/>
  <c r="F297" i="163"/>
  <c r="F298" i="163"/>
  <c r="F299" i="163"/>
  <c r="F300" i="163"/>
  <c r="F301" i="163"/>
  <c r="F302" i="163"/>
  <c r="F303" i="163"/>
  <c r="F304" i="163"/>
  <c r="F305" i="163"/>
  <c r="F306" i="163"/>
  <c r="F307" i="163"/>
  <c r="F308" i="163"/>
  <c r="F309" i="163"/>
  <c r="F310" i="163"/>
  <c r="F311" i="163"/>
  <c r="F312" i="163"/>
  <c r="F313" i="163"/>
  <c r="F314" i="163"/>
  <c r="F315" i="163"/>
  <c r="F316" i="163"/>
  <c r="F317" i="163"/>
  <c r="F318" i="163"/>
  <c r="F319" i="163"/>
  <c r="F320" i="163"/>
  <c r="F321" i="163"/>
  <c r="F322" i="163"/>
  <c r="F323" i="163"/>
  <c r="F324" i="163"/>
  <c r="F325" i="163"/>
  <c r="F326" i="163"/>
  <c r="F327" i="163"/>
  <c r="F328" i="163"/>
  <c r="F329" i="163"/>
  <c r="F330" i="163"/>
  <c r="F331" i="163"/>
  <c r="F332" i="163"/>
  <c r="F333" i="163"/>
  <c r="F334" i="163"/>
  <c r="F335" i="163"/>
  <c r="F336" i="163"/>
  <c r="F337" i="163"/>
  <c r="F338" i="163"/>
  <c r="F339" i="163"/>
  <c r="F340" i="163"/>
  <c r="F341" i="163"/>
  <c r="F342" i="163"/>
  <c r="F343" i="163"/>
  <c r="F344" i="163"/>
  <c r="F345" i="163"/>
  <c r="N346" i="163"/>
  <c r="M346" i="163"/>
  <c r="L346" i="163"/>
  <c r="K346" i="163"/>
  <c r="H346" i="163"/>
  <c r="F346" i="163"/>
  <c r="N345" i="163"/>
  <c r="M345" i="163"/>
  <c r="L345" i="163"/>
  <c r="K345" i="163"/>
  <c r="H345" i="163"/>
  <c r="N344" i="163"/>
  <c r="M344" i="163"/>
  <c r="L344" i="163"/>
  <c r="K344" i="163"/>
  <c r="H344" i="163"/>
  <c r="N343" i="163"/>
  <c r="M343" i="163"/>
  <c r="L343" i="163"/>
  <c r="K343" i="163"/>
  <c r="H343" i="163"/>
  <c r="N342" i="163"/>
  <c r="M342" i="163"/>
  <c r="L342" i="163"/>
  <c r="K342" i="163"/>
  <c r="H342" i="163"/>
  <c r="N341" i="163"/>
  <c r="M341" i="163"/>
  <c r="L341" i="163"/>
  <c r="K341" i="163"/>
  <c r="H341" i="163"/>
  <c r="N340" i="163"/>
  <c r="M340" i="163"/>
  <c r="L340" i="163"/>
  <c r="K340" i="163"/>
  <c r="H340" i="163"/>
  <c r="N339" i="163"/>
  <c r="M339" i="163"/>
  <c r="L339" i="163"/>
  <c r="K339" i="163"/>
  <c r="H339" i="163"/>
  <c r="N338" i="163"/>
  <c r="M338" i="163"/>
  <c r="L338" i="163"/>
  <c r="K338" i="163"/>
  <c r="H338" i="163"/>
  <c r="N337" i="163"/>
  <c r="M337" i="163"/>
  <c r="L337" i="163"/>
  <c r="K337" i="163"/>
  <c r="H337" i="163"/>
  <c r="N336" i="163"/>
  <c r="M336" i="163"/>
  <c r="L336" i="163"/>
  <c r="K336" i="163"/>
  <c r="H336" i="163"/>
  <c r="N335" i="163"/>
  <c r="M335" i="163"/>
  <c r="L335" i="163"/>
  <c r="K335" i="163"/>
  <c r="H335" i="163"/>
  <c r="N334" i="163"/>
  <c r="M334" i="163"/>
  <c r="L334" i="163"/>
  <c r="K334" i="163"/>
  <c r="H334" i="163"/>
  <c r="N333" i="163"/>
  <c r="M333" i="163"/>
  <c r="L333" i="163"/>
  <c r="K333" i="163"/>
  <c r="H333" i="163"/>
  <c r="N332" i="163"/>
  <c r="M332" i="163"/>
  <c r="L332" i="163"/>
  <c r="K332" i="163"/>
  <c r="H332" i="163"/>
  <c r="N331" i="163"/>
  <c r="M331" i="163"/>
  <c r="L331" i="163"/>
  <c r="K331" i="163"/>
  <c r="H331" i="163"/>
  <c r="N330" i="163"/>
  <c r="M330" i="163"/>
  <c r="L330" i="163"/>
  <c r="K330" i="163"/>
  <c r="H330" i="163"/>
  <c r="N329" i="163"/>
  <c r="M329" i="163"/>
  <c r="L329" i="163"/>
  <c r="K329" i="163"/>
  <c r="H329" i="163"/>
  <c r="N328" i="163"/>
  <c r="M328" i="163"/>
  <c r="L328" i="163"/>
  <c r="K328" i="163"/>
  <c r="H328" i="163"/>
  <c r="N327" i="163"/>
  <c r="M327" i="163"/>
  <c r="L327" i="163"/>
  <c r="K327" i="163"/>
  <c r="H327" i="163"/>
  <c r="N326" i="163"/>
  <c r="M326" i="163"/>
  <c r="L326" i="163"/>
  <c r="K326" i="163"/>
  <c r="H326" i="163"/>
  <c r="N325" i="163"/>
  <c r="M325" i="163"/>
  <c r="L325" i="163"/>
  <c r="K325" i="163"/>
  <c r="H325" i="163"/>
  <c r="N324" i="163"/>
  <c r="M324" i="163"/>
  <c r="L324" i="163"/>
  <c r="K324" i="163"/>
  <c r="H324" i="163"/>
  <c r="N323" i="163"/>
  <c r="M323" i="163"/>
  <c r="L323" i="163"/>
  <c r="K323" i="163"/>
  <c r="H323" i="163"/>
  <c r="N322" i="163"/>
  <c r="M322" i="163"/>
  <c r="L322" i="163"/>
  <c r="K322" i="163"/>
  <c r="H322" i="163"/>
  <c r="N321" i="163"/>
  <c r="M321" i="163"/>
  <c r="L321" i="163"/>
  <c r="K321" i="163"/>
  <c r="H321" i="163"/>
  <c r="N320" i="163"/>
  <c r="M320" i="163"/>
  <c r="L320" i="163"/>
  <c r="K320" i="163"/>
  <c r="H320" i="163"/>
  <c r="N319" i="163"/>
  <c r="M319" i="163"/>
  <c r="L319" i="163"/>
  <c r="K319" i="163"/>
  <c r="H319" i="163"/>
  <c r="N318" i="163"/>
  <c r="M318" i="163"/>
  <c r="L318" i="163"/>
  <c r="K318" i="163"/>
  <c r="H318" i="163"/>
  <c r="N317" i="163"/>
  <c r="M317" i="163"/>
  <c r="L317" i="163"/>
  <c r="K317" i="163"/>
  <c r="H317" i="163"/>
  <c r="N316" i="163"/>
  <c r="M316" i="163"/>
  <c r="L316" i="163"/>
  <c r="K316" i="163"/>
  <c r="H316" i="163"/>
  <c r="N315" i="163"/>
  <c r="M315" i="163"/>
  <c r="L315" i="163"/>
  <c r="K315" i="163"/>
  <c r="H315" i="163"/>
  <c r="N314" i="163"/>
  <c r="M314" i="163"/>
  <c r="L314" i="163"/>
  <c r="K314" i="163"/>
  <c r="H314" i="163"/>
  <c r="N313" i="163"/>
  <c r="M313" i="163"/>
  <c r="L313" i="163"/>
  <c r="K313" i="163"/>
  <c r="H313" i="163"/>
  <c r="N312" i="163"/>
  <c r="M312" i="163"/>
  <c r="L312" i="163"/>
  <c r="K312" i="163"/>
  <c r="H312" i="163"/>
  <c r="N311" i="163"/>
  <c r="M311" i="163"/>
  <c r="L311" i="163"/>
  <c r="K311" i="163"/>
  <c r="H311" i="163"/>
  <c r="N310" i="163"/>
  <c r="M310" i="163"/>
  <c r="L310" i="163"/>
  <c r="K310" i="163"/>
  <c r="H310" i="163"/>
  <c r="N309" i="163"/>
  <c r="M309" i="163"/>
  <c r="L309" i="163"/>
  <c r="K309" i="163"/>
  <c r="H309" i="163"/>
  <c r="N308" i="163"/>
  <c r="M308" i="163"/>
  <c r="L308" i="163"/>
  <c r="K308" i="163"/>
  <c r="H308" i="163"/>
  <c r="N307" i="163"/>
  <c r="M307" i="163"/>
  <c r="L307" i="163"/>
  <c r="K307" i="163"/>
  <c r="H307" i="163"/>
  <c r="N306" i="163"/>
  <c r="M306" i="163"/>
  <c r="L306" i="163"/>
  <c r="K306" i="163"/>
  <c r="H306" i="163"/>
  <c r="N305" i="163"/>
  <c r="M305" i="163"/>
  <c r="L305" i="163"/>
  <c r="K305" i="163"/>
  <c r="H305" i="163"/>
  <c r="N304" i="163"/>
  <c r="M304" i="163"/>
  <c r="L304" i="163"/>
  <c r="K304" i="163"/>
  <c r="H304" i="163"/>
  <c r="N303" i="163"/>
  <c r="M303" i="163"/>
  <c r="L303" i="163"/>
  <c r="K303" i="163"/>
  <c r="H303" i="163"/>
  <c r="N302" i="163"/>
  <c r="M302" i="163"/>
  <c r="L302" i="163"/>
  <c r="K302" i="163"/>
  <c r="H302" i="163"/>
  <c r="N301" i="163"/>
  <c r="M301" i="163"/>
  <c r="L301" i="163"/>
  <c r="K301" i="163"/>
  <c r="H301" i="163"/>
  <c r="N300" i="163"/>
  <c r="M300" i="163"/>
  <c r="L300" i="163"/>
  <c r="K300" i="163"/>
  <c r="H300" i="163"/>
  <c r="N299" i="163"/>
  <c r="M299" i="163"/>
  <c r="L299" i="163"/>
  <c r="K299" i="163"/>
  <c r="H299" i="163"/>
  <c r="N298" i="163"/>
  <c r="M298" i="163"/>
  <c r="L298" i="163"/>
  <c r="K298" i="163"/>
  <c r="H298" i="163"/>
  <c r="N297" i="163"/>
  <c r="M297" i="163"/>
  <c r="L297" i="163"/>
  <c r="K297" i="163"/>
  <c r="H297" i="163"/>
  <c r="N296" i="163"/>
  <c r="M296" i="163"/>
  <c r="L296" i="163"/>
  <c r="K296" i="163"/>
  <c r="H296" i="163"/>
  <c r="N295" i="163"/>
  <c r="M295" i="163"/>
  <c r="L295" i="163"/>
  <c r="K295" i="163"/>
  <c r="H295" i="163"/>
  <c r="N294" i="163"/>
  <c r="M294" i="163"/>
  <c r="L294" i="163"/>
  <c r="K294" i="163"/>
  <c r="H294" i="163"/>
  <c r="N293" i="163"/>
  <c r="M293" i="163"/>
  <c r="L293" i="163"/>
  <c r="K293" i="163"/>
  <c r="H293" i="163"/>
  <c r="N292" i="163"/>
  <c r="M292" i="163"/>
  <c r="L292" i="163"/>
  <c r="K292" i="163"/>
  <c r="H292" i="163"/>
  <c r="N291" i="163"/>
  <c r="M291" i="163"/>
  <c r="L291" i="163"/>
  <c r="K291" i="163"/>
  <c r="H291" i="163"/>
  <c r="N290" i="163"/>
  <c r="M290" i="163"/>
  <c r="L290" i="163"/>
  <c r="K290" i="163"/>
  <c r="H290" i="163"/>
  <c r="N289" i="163"/>
  <c r="M289" i="163"/>
  <c r="L289" i="163"/>
  <c r="K289" i="163"/>
  <c r="H289" i="163"/>
  <c r="N288" i="163"/>
  <c r="M288" i="163"/>
  <c r="L288" i="163"/>
  <c r="K288" i="163"/>
  <c r="H288" i="163"/>
  <c r="N287" i="163"/>
  <c r="M287" i="163"/>
  <c r="L287" i="163"/>
  <c r="K287" i="163"/>
  <c r="H287" i="163"/>
  <c r="N286" i="163"/>
  <c r="M286" i="163"/>
  <c r="L286" i="163"/>
  <c r="K286" i="163"/>
  <c r="H286" i="163"/>
  <c r="N285" i="163"/>
  <c r="M285" i="163"/>
  <c r="L285" i="163"/>
  <c r="K285" i="163"/>
  <c r="H285" i="163"/>
  <c r="N284" i="163"/>
  <c r="M284" i="163"/>
  <c r="L284" i="163"/>
  <c r="K284" i="163"/>
  <c r="H284" i="163"/>
  <c r="N283" i="163"/>
  <c r="M283" i="163"/>
  <c r="L283" i="163"/>
  <c r="K283" i="163"/>
  <c r="H283" i="163"/>
  <c r="N282" i="163"/>
  <c r="M282" i="163"/>
  <c r="L282" i="163"/>
  <c r="K282" i="163"/>
  <c r="H282" i="163"/>
  <c r="N281" i="163"/>
  <c r="M281" i="163"/>
  <c r="L281" i="163"/>
  <c r="K281" i="163"/>
  <c r="H281" i="163"/>
  <c r="N280" i="163"/>
  <c r="M280" i="163"/>
  <c r="L280" i="163"/>
  <c r="K280" i="163"/>
  <c r="H280" i="163"/>
  <c r="N279" i="163"/>
  <c r="M279" i="163"/>
  <c r="L279" i="163"/>
  <c r="K279" i="163"/>
  <c r="H279" i="163"/>
  <c r="N278" i="163"/>
  <c r="M278" i="163"/>
  <c r="L278" i="163"/>
  <c r="K278" i="163"/>
  <c r="H278" i="163"/>
  <c r="N277" i="163"/>
  <c r="M277" i="163"/>
  <c r="L277" i="163"/>
  <c r="K277" i="163"/>
  <c r="H277" i="163"/>
  <c r="N276" i="163"/>
  <c r="M276" i="163"/>
  <c r="L276" i="163"/>
  <c r="K276" i="163"/>
  <c r="H276" i="163"/>
  <c r="N275" i="163"/>
  <c r="M275" i="163"/>
  <c r="L275" i="163"/>
  <c r="K275" i="163"/>
  <c r="H275" i="163"/>
  <c r="N274" i="163"/>
  <c r="M274" i="163"/>
  <c r="L274" i="163"/>
  <c r="K274" i="163"/>
  <c r="H274" i="163"/>
  <c r="N273" i="163"/>
  <c r="M273" i="163"/>
  <c r="L273" i="163"/>
  <c r="K273" i="163"/>
  <c r="H273" i="163"/>
  <c r="N272" i="163"/>
  <c r="M272" i="163"/>
  <c r="L272" i="163"/>
  <c r="K272" i="163"/>
  <c r="H272" i="163"/>
  <c r="N271" i="163"/>
  <c r="M271" i="163"/>
  <c r="L271" i="163"/>
  <c r="K271" i="163"/>
  <c r="H271" i="163"/>
  <c r="N270" i="163"/>
  <c r="M270" i="163"/>
  <c r="L270" i="163"/>
  <c r="K270" i="163"/>
  <c r="H270" i="163"/>
  <c r="N269" i="163"/>
  <c r="M269" i="163"/>
  <c r="L269" i="163"/>
  <c r="K269" i="163"/>
  <c r="H269" i="163"/>
  <c r="N268" i="163"/>
  <c r="M268" i="163"/>
  <c r="L268" i="163"/>
  <c r="K268" i="163"/>
  <c r="H268" i="163"/>
  <c r="N267" i="163"/>
  <c r="M267" i="163"/>
  <c r="L267" i="163"/>
  <c r="K267" i="163"/>
  <c r="H267" i="163"/>
  <c r="N266" i="163"/>
  <c r="M266" i="163"/>
  <c r="L266" i="163"/>
  <c r="K266" i="163"/>
  <c r="H266" i="163"/>
  <c r="N265" i="163"/>
  <c r="M265" i="163"/>
  <c r="L265" i="163"/>
  <c r="K265" i="163"/>
  <c r="H265" i="163"/>
  <c r="N264" i="163"/>
  <c r="M264" i="163"/>
  <c r="L264" i="163"/>
  <c r="K264" i="163"/>
  <c r="H264" i="163"/>
  <c r="N263" i="163"/>
  <c r="M263" i="163"/>
  <c r="L263" i="163"/>
  <c r="K263" i="163"/>
  <c r="H263" i="163"/>
  <c r="N262" i="163"/>
  <c r="M262" i="163"/>
  <c r="L262" i="163"/>
  <c r="K262" i="163"/>
  <c r="H262" i="163"/>
  <c r="N261" i="163"/>
  <c r="M261" i="163"/>
  <c r="L261" i="163"/>
  <c r="K261" i="163"/>
  <c r="H261" i="163"/>
  <c r="N260" i="163"/>
  <c r="M260" i="163"/>
  <c r="L260" i="163"/>
  <c r="K260" i="163"/>
  <c r="H260" i="163"/>
  <c r="N259" i="163"/>
  <c r="M259" i="163"/>
  <c r="L259" i="163"/>
  <c r="K259" i="163"/>
  <c r="H259" i="163"/>
  <c r="N258" i="163"/>
  <c r="M258" i="163"/>
  <c r="L258" i="163"/>
  <c r="K258" i="163"/>
  <c r="H258" i="163"/>
  <c r="N257" i="163"/>
  <c r="M257" i="163"/>
  <c r="L257" i="163"/>
  <c r="K257" i="163"/>
  <c r="H257" i="163"/>
  <c r="N256" i="163"/>
  <c r="M256" i="163"/>
  <c r="L256" i="163"/>
  <c r="K256" i="163"/>
  <c r="H256" i="163"/>
  <c r="N255" i="163"/>
  <c r="M255" i="163"/>
  <c r="L255" i="163"/>
  <c r="K255" i="163"/>
  <c r="H255" i="163"/>
  <c r="N254" i="163"/>
  <c r="M254" i="163"/>
  <c r="L254" i="163"/>
  <c r="K254" i="163"/>
  <c r="H254" i="163"/>
  <c r="N253" i="163"/>
  <c r="M253" i="163"/>
  <c r="L253" i="163"/>
  <c r="K253" i="163"/>
  <c r="H253" i="163"/>
  <c r="N252" i="163"/>
  <c r="M252" i="163"/>
  <c r="L252" i="163"/>
  <c r="K252" i="163"/>
  <c r="H252" i="163"/>
  <c r="N251" i="163"/>
  <c r="M251" i="163"/>
  <c r="L251" i="163"/>
  <c r="K251" i="163"/>
  <c r="H251" i="163"/>
  <c r="N250" i="163"/>
  <c r="M250" i="163"/>
  <c r="L250" i="163"/>
  <c r="K250" i="163"/>
  <c r="H250" i="163"/>
  <c r="N249" i="163"/>
  <c r="M249" i="163"/>
  <c r="L249" i="163"/>
  <c r="K249" i="163"/>
  <c r="H249" i="163"/>
  <c r="N248" i="163"/>
  <c r="M248" i="163"/>
  <c r="L248" i="163"/>
  <c r="K248" i="163"/>
  <c r="H248" i="163"/>
  <c r="N247" i="163"/>
  <c r="M247" i="163"/>
  <c r="L247" i="163"/>
  <c r="K247" i="163"/>
  <c r="H247" i="163"/>
  <c r="N246" i="163"/>
  <c r="M246" i="163"/>
  <c r="L246" i="163"/>
  <c r="K246" i="163"/>
  <c r="H246" i="163"/>
  <c r="N245" i="163"/>
  <c r="M245" i="163"/>
  <c r="L245" i="163"/>
  <c r="K245" i="163"/>
  <c r="H245" i="163"/>
  <c r="N244" i="163"/>
  <c r="M244" i="163"/>
  <c r="L244" i="163"/>
  <c r="K244" i="163"/>
  <c r="H244" i="163"/>
  <c r="N243" i="163"/>
  <c r="M243" i="163"/>
  <c r="L243" i="163"/>
  <c r="K243" i="163"/>
  <c r="H243" i="163"/>
  <c r="N242" i="163"/>
  <c r="M242" i="163"/>
  <c r="L242" i="163"/>
  <c r="K242" i="163"/>
  <c r="H242" i="163"/>
  <c r="N241" i="163"/>
  <c r="M241" i="163"/>
  <c r="L241" i="163"/>
  <c r="K241" i="163"/>
  <c r="H241" i="163"/>
  <c r="N240" i="163"/>
  <c r="M240" i="163"/>
  <c r="L240" i="163"/>
  <c r="K240" i="163"/>
  <c r="H240" i="163"/>
  <c r="N239" i="163"/>
  <c r="M239" i="163"/>
  <c r="L239" i="163"/>
  <c r="K239" i="163"/>
  <c r="H239" i="163"/>
  <c r="N238" i="163"/>
  <c r="M238" i="163"/>
  <c r="L238" i="163"/>
  <c r="K238" i="163"/>
  <c r="H238" i="163"/>
  <c r="N237" i="163"/>
  <c r="M237" i="163"/>
  <c r="L237" i="163"/>
  <c r="K237" i="163"/>
  <c r="H237" i="163"/>
  <c r="N236" i="163"/>
  <c r="M236" i="163"/>
  <c r="L236" i="163"/>
  <c r="K236" i="163"/>
  <c r="H236" i="163"/>
  <c r="N235" i="163"/>
  <c r="M235" i="163"/>
  <c r="L235" i="163"/>
  <c r="K235" i="163"/>
  <c r="H235" i="163"/>
  <c r="N234" i="163"/>
  <c r="M234" i="163"/>
  <c r="L234" i="163"/>
  <c r="K234" i="163"/>
  <c r="H234" i="163"/>
  <c r="N233" i="163"/>
  <c r="M233" i="163"/>
  <c r="L233" i="163"/>
  <c r="K233" i="163"/>
  <c r="H233" i="163"/>
  <c r="N232" i="163"/>
  <c r="M232" i="163"/>
  <c r="L232" i="163"/>
  <c r="K232" i="163"/>
  <c r="H232" i="163"/>
  <c r="N231" i="163"/>
  <c r="M231" i="163"/>
  <c r="L231" i="163"/>
  <c r="K231" i="163"/>
  <c r="H231" i="163"/>
  <c r="N230" i="163"/>
  <c r="M230" i="163"/>
  <c r="L230" i="163"/>
  <c r="K230" i="163"/>
  <c r="H230" i="163"/>
  <c r="N229" i="163"/>
  <c r="M229" i="163"/>
  <c r="L229" i="163"/>
  <c r="K229" i="163"/>
  <c r="H229" i="163"/>
  <c r="N228" i="163"/>
  <c r="M228" i="163"/>
  <c r="L228" i="163"/>
  <c r="K228" i="163"/>
  <c r="H228" i="163"/>
  <c r="N227" i="163"/>
  <c r="M227" i="163"/>
  <c r="L227" i="163"/>
  <c r="K227" i="163"/>
  <c r="H227" i="163"/>
  <c r="N226" i="163"/>
  <c r="M226" i="163"/>
  <c r="L226" i="163"/>
  <c r="K226" i="163"/>
  <c r="H226" i="163"/>
  <c r="N225" i="163"/>
  <c r="M225" i="163"/>
  <c r="L225" i="163"/>
  <c r="K225" i="163"/>
  <c r="H225" i="163"/>
  <c r="N224" i="163"/>
  <c r="M224" i="163"/>
  <c r="L224" i="163"/>
  <c r="K224" i="163"/>
  <c r="H224" i="163"/>
  <c r="N223" i="163"/>
  <c r="M223" i="163"/>
  <c r="L223" i="163"/>
  <c r="K223" i="163"/>
  <c r="H223" i="163"/>
  <c r="N222" i="163"/>
  <c r="M222" i="163"/>
  <c r="L222" i="163"/>
  <c r="K222" i="163"/>
  <c r="H222" i="163"/>
  <c r="N221" i="163"/>
  <c r="M221" i="163"/>
  <c r="L221" i="163"/>
  <c r="K221" i="163"/>
  <c r="H221" i="163"/>
  <c r="N220" i="163"/>
  <c r="M220" i="163"/>
  <c r="L220" i="163"/>
  <c r="K220" i="163"/>
  <c r="H220" i="163"/>
  <c r="N219" i="163"/>
  <c r="M219" i="163"/>
  <c r="L219" i="163"/>
  <c r="K219" i="163"/>
  <c r="H219" i="163"/>
  <c r="N218" i="163"/>
  <c r="M218" i="163"/>
  <c r="L218" i="163"/>
  <c r="K218" i="163"/>
  <c r="H218" i="163"/>
  <c r="N217" i="163"/>
  <c r="M217" i="163"/>
  <c r="L217" i="163"/>
  <c r="K217" i="163"/>
  <c r="H217" i="163"/>
  <c r="N216" i="163"/>
  <c r="M216" i="163"/>
  <c r="L216" i="163"/>
  <c r="K216" i="163"/>
  <c r="H216" i="163"/>
  <c r="N215" i="163"/>
  <c r="M215" i="163"/>
  <c r="L215" i="163"/>
  <c r="K215" i="163"/>
  <c r="H215" i="163"/>
  <c r="N214" i="163"/>
  <c r="M214" i="163"/>
  <c r="L214" i="163"/>
  <c r="K214" i="163"/>
  <c r="H214" i="163"/>
  <c r="N213" i="163"/>
  <c r="M213" i="163"/>
  <c r="L213" i="163"/>
  <c r="K213" i="163"/>
  <c r="H213" i="163"/>
  <c r="N212" i="163"/>
  <c r="M212" i="163"/>
  <c r="L212" i="163"/>
  <c r="K212" i="163"/>
  <c r="H212" i="163"/>
  <c r="N211" i="163"/>
  <c r="M211" i="163"/>
  <c r="L211" i="163"/>
  <c r="K211" i="163"/>
  <c r="H211" i="163"/>
  <c r="N210" i="163"/>
  <c r="M210" i="163"/>
  <c r="L210" i="163"/>
  <c r="K210" i="163"/>
  <c r="H210" i="163"/>
  <c r="N209" i="163"/>
  <c r="M209" i="163"/>
  <c r="L209" i="163"/>
  <c r="K209" i="163"/>
  <c r="H209" i="163"/>
  <c r="N208" i="163"/>
  <c r="M208" i="163"/>
  <c r="L208" i="163"/>
  <c r="K208" i="163"/>
  <c r="H208" i="163"/>
  <c r="N207" i="163"/>
  <c r="M207" i="163"/>
  <c r="L207" i="163"/>
  <c r="K207" i="163"/>
  <c r="H207" i="163"/>
  <c r="N206" i="163"/>
  <c r="M206" i="163"/>
  <c r="L206" i="163"/>
  <c r="K206" i="163"/>
  <c r="H206" i="163"/>
  <c r="N205" i="163"/>
  <c r="M205" i="163"/>
  <c r="L205" i="163"/>
  <c r="K205" i="163"/>
  <c r="H205" i="163"/>
  <c r="N204" i="163"/>
  <c r="M204" i="163"/>
  <c r="L204" i="163"/>
  <c r="K204" i="163"/>
  <c r="H204" i="163"/>
  <c r="N203" i="163"/>
  <c r="M203" i="163"/>
  <c r="L203" i="163"/>
  <c r="K203" i="163"/>
  <c r="H203" i="163"/>
  <c r="N202" i="163"/>
  <c r="M202" i="163"/>
  <c r="L202" i="163"/>
  <c r="K202" i="163"/>
  <c r="H202" i="163"/>
  <c r="N201" i="163"/>
  <c r="M201" i="163"/>
  <c r="L201" i="163"/>
  <c r="K201" i="163"/>
  <c r="H201" i="163"/>
  <c r="N200" i="163"/>
  <c r="M200" i="163"/>
  <c r="L200" i="163"/>
  <c r="K200" i="163"/>
  <c r="H200" i="163"/>
  <c r="N199" i="163"/>
  <c r="M199" i="163"/>
  <c r="L199" i="163"/>
  <c r="K199" i="163"/>
  <c r="H199" i="163"/>
  <c r="N198" i="163"/>
  <c r="M198" i="163"/>
  <c r="L198" i="163"/>
  <c r="K198" i="163"/>
  <c r="H198" i="163"/>
  <c r="N197" i="163"/>
  <c r="M197" i="163"/>
  <c r="L197" i="163"/>
  <c r="K197" i="163"/>
  <c r="H197" i="163"/>
  <c r="N196" i="163"/>
  <c r="M196" i="163"/>
  <c r="L196" i="163"/>
  <c r="K196" i="163"/>
  <c r="H196" i="163"/>
  <c r="N195" i="163"/>
  <c r="M195" i="163"/>
  <c r="L195" i="163"/>
  <c r="K195" i="163"/>
  <c r="H195" i="163"/>
  <c r="N194" i="163"/>
  <c r="M194" i="163"/>
  <c r="L194" i="163"/>
  <c r="K194" i="163"/>
  <c r="H194" i="163"/>
  <c r="N193" i="163"/>
  <c r="M193" i="163"/>
  <c r="L193" i="163"/>
  <c r="K193" i="163"/>
  <c r="H193" i="163"/>
  <c r="N192" i="163"/>
  <c r="M192" i="163"/>
  <c r="L192" i="163"/>
  <c r="K192" i="163"/>
  <c r="H192" i="163"/>
  <c r="N191" i="163"/>
  <c r="M191" i="163"/>
  <c r="L191" i="163"/>
  <c r="K191" i="163"/>
  <c r="H191" i="163"/>
  <c r="N190" i="163"/>
  <c r="M190" i="163"/>
  <c r="L190" i="163"/>
  <c r="K190" i="163"/>
  <c r="H190" i="163"/>
  <c r="N189" i="163"/>
  <c r="M189" i="163"/>
  <c r="L189" i="163"/>
  <c r="K189" i="163"/>
  <c r="H189" i="163"/>
  <c r="N188" i="163"/>
  <c r="M188" i="163"/>
  <c r="L188" i="163"/>
  <c r="K188" i="163"/>
  <c r="H188" i="163"/>
  <c r="N187" i="163"/>
  <c r="M187" i="163"/>
  <c r="L187" i="163"/>
  <c r="K187" i="163"/>
  <c r="H187" i="163"/>
  <c r="N186" i="163"/>
  <c r="M186" i="163"/>
  <c r="L186" i="163"/>
  <c r="K186" i="163"/>
  <c r="H186" i="163"/>
  <c r="N185" i="163"/>
  <c r="M185" i="163"/>
  <c r="L185" i="163"/>
  <c r="K185" i="163"/>
  <c r="H185" i="163"/>
  <c r="N184" i="163"/>
  <c r="M184" i="163"/>
  <c r="L184" i="163"/>
  <c r="K184" i="163"/>
  <c r="H184" i="163"/>
  <c r="N183" i="163"/>
  <c r="M183" i="163"/>
  <c r="L183" i="163"/>
  <c r="K183" i="163"/>
  <c r="H183" i="163"/>
  <c r="N182" i="163"/>
  <c r="M182" i="163"/>
  <c r="L182" i="163"/>
  <c r="K182" i="163"/>
  <c r="H182" i="163"/>
  <c r="N181" i="163"/>
  <c r="M181" i="163"/>
  <c r="L181" i="163"/>
  <c r="K181" i="163"/>
  <c r="H181" i="163"/>
  <c r="N180" i="163"/>
  <c r="M180" i="163"/>
  <c r="L180" i="163"/>
  <c r="K180" i="163"/>
  <c r="H180" i="163"/>
  <c r="N179" i="163"/>
  <c r="M179" i="163"/>
  <c r="L179" i="163"/>
  <c r="K179" i="163"/>
  <c r="H179" i="163"/>
  <c r="N178" i="163"/>
  <c r="M178" i="163"/>
  <c r="L178" i="163"/>
  <c r="K178" i="163"/>
  <c r="H178" i="163"/>
  <c r="N177" i="163"/>
  <c r="M177" i="163"/>
  <c r="L177" i="163"/>
  <c r="K177" i="163"/>
  <c r="H177" i="163"/>
  <c r="N176" i="163"/>
  <c r="M176" i="163"/>
  <c r="L176" i="163"/>
  <c r="K176" i="163"/>
  <c r="H176" i="163"/>
  <c r="N175" i="163"/>
  <c r="M175" i="163"/>
  <c r="L175" i="163"/>
  <c r="K175" i="163"/>
  <c r="H175" i="163"/>
  <c r="N174" i="163"/>
  <c r="M174" i="163"/>
  <c r="L174" i="163"/>
  <c r="K174" i="163"/>
  <c r="H174" i="163"/>
  <c r="N173" i="163"/>
  <c r="M173" i="163"/>
  <c r="L173" i="163"/>
  <c r="K173" i="163"/>
  <c r="H173" i="163"/>
  <c r="N172" i="163"/>
  <c r="M172" i="163"/>
  <c r="L172" i="163"/>
  <c r="K172" i="163"/>
  <c r="H172" i="163"/>
  <c r="N171" i="163"/>
  <c r="M171" i="163"/>
  <c r="L171" i="163"/>
  <c r="K171" i="163"/>
  <c r="H171" i="163"/>
  <c r="N170" i="163"/>
  <c r="M170" i="163"/>
  <c r="L170" i="163"/>
  <c r="K170" i="163"/>
  <c r="H170" i="163"/>
  <c r="N169" i="163"/>
  <c r="M169" i="163"/>
  <c r="L169" i="163"/>
  <c r="K169" i="163"/>
  <c r="H169" i="163"/>
  <c r="N168" i="163"/>
  <c r="M168" i="163"/>
  <c r="L168" i="163"/>
  <c r="K168" i="163"/>
  <c r="H168" i="163"/>
  <c r="N167" i="163"/>
  <c r="M167" i="163"/>
  <c r="L167" i="163"/>
  <c r="K167" i="163"/>
  <c r="H167" i="163"/>
  <c r="N166" i="163"/>
  <c r="M166" i="163"/>
  <c r="L166" i="163"/>
  <c r="K166" i="163"/>
  <c r="H166" i="163"/>
  <c r="N165" i="163"/>
  <c r="M165" i="163"/>
  <c r="L165" i="163"/>
  <c r="K165" i="163"/>
  <c r="H165" i="163"/>
  <c r="N164" i="163"/>
  <c r="M164" i="163"/>
  <c r="L164" i="163"/>
  <c r="K164" i="163"/>
  <c r="H164" i="163"/>
  <c r="N163" i="163"/>
  <c r="M163" i="163"/>
  <c r="L163" i="163"/>
  <c r="K163" i="163"/>
  <c r="H163" i="163"/>
  <c r="N162" i="163"/>
  <c r="M162" i="163"/>
  <c r="L162" i="163"/>
  <c r="K162" i="163"/>
  <c r="H162" i="163"/>
  <c r="N161" i="163"/>
  <c r="M161" i="163"/>
  <c r="L161" i="163"/>
  <c r="K161" i="163"/>
  <c r="H161" i="163"/>
  <c r="N160" i="163"/>
  <c r="M160" i="163"/>
  <c r="L160" i="163"/>
  <c r="K160" i="163"/>
  <c r="H160" i="163"/>
  <c r="N159" i="163"/>
  <c r="M159" i="163"/>
  <c r="L159" i="163"/>
  <c r="K159" i="163"/>
  <c r="H159" i="163"/>
  <c r="N158" i="163"/>
  <c r="M158" i="163"/>
  <c r="L158" i="163"/>
  <c r="K158" i="163"/>
  <c r="H158" i="163"/>
  <c r="N157" i="163"/>
  <c r="M157" i="163"/>
  <c r="L157" i="163"/>
  <c r="K157" i="163"/>
  <c r="H157" i="163"/>
  <c r="N156" i="163"/>
  <c r="M156" i="163"/>
  <c r="L156" i="163"/>
  <c r="K156" i="163"/>
  <c r="H156" i="163"/>
  <c r="N155" i="163"/>
  <c r="M155" i="163"/>
  <c r="L155" i="163"/>
  <c r="K155" i="163"/>
  <c r="H155" i="163"/>
  <c r="N154" i="163"/>
  <c r="M154" i="163"/>
  <c r="L154" i="163"/>
  <c r="K154" i="163"/>
  <c r="H154" i="163"/>
  <c r="N153" i="163"/>
  <c r="M153" i="163"/>
  <c r="L153" i="163"/>
  <c r="K153" i="163"/>
  <c r="H153" i="163"/>
  <c r="N152" i="163"/>
  <c r="M152" i="163"/>
  <c r="L152" i="163"/>
  <c r="K152" i="163"/>
  <c r="H152" i="163"/>
  <c r="N151" i="163"/>
  <c r="M151" i="163"/>
  <c r="L151" i="163"/>
  <c r="K151" i="163"/>
  <c r="H151" i="163"/>
  <c r="N150" i="163"/>
  <c r="M150" i="163"/>
  <c r="L150" i="163"/>
  <c r="K150" i="163"/>
  <c r="H150" i="163"/>
  <c r="N149" i="163"/>
  <c r="M149" i="163"/>
  <c r="L149" i="163"/>
  <c r="K149" i="163"/>
  <c r="H149" i="163"/>
  <c r="N148" i="163"/>
  <c r="M148" i="163"/>
  <c r="L148" i="163"/>
  <c r="K148" i="163"/>
  <c r="H148" i="163"/>
  <c r="N147" i="163"/>
  <c r="M147" i="163"/>
  <c r="L147" i="163"/>
  <c r="K147" i="163"/>
  <c r="H147" i="163"/>
  <c r="N146" i="163"/>
  <c r="M146" i="163"/>
  <c r="L146" i="163"/>
  <c r="K146" i="163"/>
  <c r="H146" i="163"/>
  <c r="N145" i="163"/>
  <c r="M145" i="163"/>
  <c r="L145" i="163"/>
  <c r="K145" i="163"/>
  <c r="H145" i="163"/>
  <c r="N144" i="163"/>
  <c r="M144" i="163"/>
  <c r="L144" i="163"/>
  <c r="K144" i="163"/>
  <c r="H144" i="163"/>
  <c r="N143" i="163"/>
  <c r="M143" i="163"/>
  <c r="L143" i="163"/>
  <c r="K143" i="163"/>
  <c r="H143" i="163"/>
  <c r="N142" i="163"/>
  <c r="M142" i="163"/>
  <c r="L142" i="163"/>
  <c r="K142" i="163"/>
  <c r="H142" i="163"/>
  <c r="N141" i="163"/>
  <c r="M141" i="163"/>
  <c r="L141" i="163"/>
  <c r="K141" i="163"/>
  <c r="H141" i="163"/>
  <c r="N140" i="163"/>
  <c r="M140" i="163"/>
  <c r="L140" i="163"/>
  <c r="K140" i="163"/>
  <c r="H140" i="163"/>
  <c r="N139" i="163"/>
  <c r="M139" i="163"/>
  <c r="L139" i="163"/>
  <c r="K139" i="163"/>
  <c r="H139" i="163"/>
  <c r="N138" i="163"/>
  <c r="M138" i="163"/>
  <c r="L138" i="163"/>
  <c r="K138" i="163"/>
  <c r="H138" i="163"/>
  <c r="N137" i="163"/>
  <c r="M137" i="163"/>
  <c r="L137" i="163"/>
  <c r="K137" i="163"/>
  <c r="H137" i="163"/>
  <c r="N136" i="163"/>
  <c r="M136" i="163"/>
  <c r="L136" i="163"/>
  <c r="K136" i="163"/>
  <c r="H136" i="163"/>
  <c r="N135" i="163"/>
  <c r="M135" i="163"/>
  <c r="L135" i="163"/>
  <c r="K135" i="163"/>
  <c r="H135" i="163"/>
  <c r="N134" i="163"/>
  <c r="M134" i="163"/>
  <c r="L134" i="163"/>
  <c r="K134" i="163"/>
  <c r="H134" i="163"/>
  <c r="N133" i="163"/>
  <c r="M133" i="163"/>
  <c r="L133" i="163"/>
  <c r="K133" i="163"/>
  <c r="H133" i="163"/>
  <c r="N132" i="163"/>
  <c r="M132" i="163"/>
  <c r="L132" i="163"/>
  <c r="K132" i="163"/>
  <c r="H132" i="163"/>
  <c r="N131" i="163"/>
  <c r="M131" i="163"/>
  <c r="L131" i="163"/>
  <c r="K131" i="163"/>
  <c r="H131" i="163"/>
  <c r="N130" i="163"/>
  <c r="M130" i="163"/>
  <c r="L130" i="163"/>
  <c r="K130" i="163"/>
  <c r="H130" i="163"/>
  <c r="N129" i="163"/>
  <c r="M129" i="163"/>
  <c r="L129" i="163"/>
  <c r="K129" i="163"/>
  <c r="H129" i="163"/>
  <c r="N128" i="163"/>
  <c r="M128" i="163"/>
  <c r="L128" i="163"/>
  <c r="K128" i="163"/>
  <c r="H128" i="163"/>
  <c r="N127" i="163"/>
  <c r="M127" i="163"/>
  <c r="L127" i="163"/>
  <c r="K127" i="163"/>
  <c r="H127" i="163"/>
  <c r="N126" i="163"/>
  <c r="M126" i="163"/>
  <c r="L126" i="163"/>
  <c r="K126" i="163"/>
  <c r="H126" i="163"/>
  <c r="N125" i="163"/>
  <c r="M125" i="163"/>
  <c r="L125" i="163"/>
  <c r="K125" i="163"/>
  <c r="H125" i="163"/>
  <c r="N124" i="163"/>
  <c r="M124" i="163"/>
  <c r="L124" i="163"/>
  <c r="K124" i="163"/>
  <c r="H124" i="163"/>
  <c r="N123" i="163"/>
  <c r="M123" i="163"/>
  <c r="L123" i="163"/>
  <c r="K123" i="163"/>
  <c r="H123" i="163"/>
  <c r="N122" i="163"/>
  <c r="M122" i="163"/>
  <c r="L122" i="163"/>
  <c r="K122" i="163"/>
  <c r="H122" i="163"/>
  <c r="N121" i="163"/>
  <c r="M121" i="163"/>
  <c r="L121" i="163"/>
  <c r="K121" i="163"/>
  <c r="H121" i="163"/>
  <c r="N120" i="163"/>
  <c r="M120" i="163"/>
  <c r="L120" i="163"/>
  <c r="K120" i="163"/>
  <c r="H120" i="163"/>
  <c r="N119" i="163"/>
  <c r="M119" i="163"/>
  <c r="L119" i="163"/>
  <c r="K119" i="163"/>
  <c r="H119" i="163"/>
  <c r="N118" i="163"/>
  <c r="M118" i="163"/>
  <c r="L118" i="163"/>
  <c r="K118" i="163"/>
  <c r="H118" i="163"/>
  <c r="N117" i="163"/>
  <c r="M117" i="163"/>
  <c r="L117" i="163"/>
  <c r="K117" i="163"/>
  <c r="H117" i="163"/>
  <c r="N116" i="163"/>
  <c r="M116" i="163"/>
  <c r="L116" i="163"/>
  <c r="K116" i="163"/>
  <c r="H116" i="163"/>
  <c r="N115" i="163"/>
  <c r="M115" i="163"/>
  <c r="L115" i="163"/>
  <c r="K115" i="163"/>
  <c r="H115" i="163"/>
  <c r="N114" i="163"/>
  <c r="M114" i="163"/>
  <c r="L114" i="163"/>
  <c r="K114" i="163"/>
  <c r="H114" i="163"/>
  <c r="N113" i="163"/>
  <c r="M113" i="163"/>
  <c r="L113" i="163"/>
  <c r="K113" i="163"/>
  <c r="H113" i="163"/>
  <c r="N112" i="163"/>
  <c r="M112" i="163"/>
  <c r="L112" i="163"/>
  <c r="K112" i="163"/>
  <c r="H112" i="163"/>
  <c r="N111" i="163"/>
  <c r="M111" i="163"/>
  <c r="L111" i="163"/>
  <c r="K111" i="163"/>
  <c r="H111" i="163"/>
  <c r="N110" i="163"/>
  <c r="M110" i="163"/>
  <c r="L110" i="163"/>
  <c r="K110" i="163"/>
  <c r="H110" i="163"/>
  <c r="N109" i="163"/>
  <c r="M109" i="163"/>
  <c r="L109" i="163"/>
  <c r="K109" i="163"/>
  <c r="H109" i="163"/>
  <c r="N108" i="163"/>
  <c r="M108" i="163"/>
  <c r="L108" i="163"/>
  <c r="K108" i="163"/>
  <c r="H108" i="163"/>
  <c r="N107" i="163"/>
  <c r="M107" i="163"/>
  <c r="L107" i="163"/>
  <c r="K107" i="163"/>
  <c r="H107" i="163"/>
  <c r="N106" i="163"/>
  <c r="M106" i="163"/>
  <c r="L106" i="163"/>
  <c r="K106" i="163"/>
  <c r="H106" i="163"/>
  <c r="N105" i="163"/>
  <c r="M105" i="163"/>
  <c r="L105" i="163"/>
  <c r="K105" i="163"/>
  <c r="H105" i="163"/>
  <c r="N104" i="163"/>
  <c r="M104" i="163"/>
  <c r="L104" i="163"/>
  <c r="K104" i="163"/>
  <c r="H104" i="163"/>
  <c r="N103" i="163"/>
  <c r="M103" i="163"/>
  <c r="L103" i="163"/>
  <c r="K103" i="163"/>
  <c r="H103" i="163"/>
  <c r="N102" i="163"/>
  <c r="M102" i="163"/>
  <c r="L102" i="163"/>
  <c r="K102" i="163"/>
  <c r="H102" i="163"/>
  <c r="N101" i="163"/>
  <c r="M101" i="163"/>
  <c r="L101" i="163"/>
  <c r="K101" i="163"/>
  <c r="H101" i="163"/>
  <c r="N100" i="163"/>
  <c r="M100" i="163"/>
  <c r="L100" i="163"/>
  <c r="K100" i="163"/>
  <c r="H100" i="163"/>
  <c r="N99" i="163"/>
  <c r="M99" i="163"/>
  <c r="L99" i="163"/>
  <c r="K99" i="163"/>
  <c r="H99" i="163"/>
  <c r="N98" i="163"/>
  <c r="M98" i="163"/>
  <c r="L98" i="163"/>
  <c r="K98" i="163"/>
  <c r="H98" i="163"/>
  <c r="N97" i="163"/>
  <c r="M97" i="163"/>
  <c r="L97" i="163"/>
  <c r="K97" i="163"/>
  <c r="H97" i="163"/>
  <c r="N96" i="163"/>
  <c r="M96" i="163"/>
  <c r="L96" i="163"/>
  <c r="K96" i="163"/>
  <c r="H96" i="163"/>
  <c r="N95" i="163"/>
  <c r="M95" i="163"/>
  <c r="L95" i="163"/>
  <c r="K95" i="163"/>
  <c r="H95" i="163"/>
  <c r="N94" i="163"/>
  <c r="M94" i="163"/>
  <c r="L94" i="163"/>
  <c r="K94" i="163"/>
  <c r="H94" i="163"/>
  <c r="N93" i="163"/>
  <c r="M93" i="163"/>
  <c r="L93" i="163"/>
  <c r="K93" i="163"/>
  <c r="H93" i="163"/>
  <c r="N92" i="163"/>
  <c r="M92" i="163"/>
  <c r="L92" i="163"/>
  <c r="K92" i="163"/>
  <c r="H92" i="163"/>
  <c r="N91" i="163"/>
  <c r="M91" i="163"/>
  <c r="L91" i="163"/>
  <c r="K91" i="163"/>
  <c r="H91" i="163"/>
  <c r="N90" i="163"/>
  <c r="M90" i="163"/>
  <c r="L90" i="163"/>
  <c r="K90" i="163"/>
  <c r="H90" i="163"/>
  <c r="N89" i="163"/>
  <c r="M89" i="163"/>
  <c r="L89" i="163"/>
  <c r="K89" i="163"/>
  <c r="H89" i="163"/>
  <c r="N88" i="163"/>
  <c r="M88" i="163"/>
  <c r="L88" i="163"/>
  <c r="K88" i="163"/>
  <c r="H88" i="163"/>
  <c r="N87" i="163"/>
  <c r="M87" i="163"/>
  <c r="L87" i="163"/>
  <c r="K87" i="163"/>
  <c r="H87" i="163"/>
  <c r="N86" i="163"/>
  <c r="M86" i="163"/>
  <c r="L86" i="163"/>
  <c r="K86" i="163"/>
  <c r="H86" i="163"/>
  <c r="N85" i="163"/>
  <c r="M85" i="163"/>
  <c r="L85" i="163"/>
  <c r="K85" i="163"/>
  <c r="H85" i="163"/>
  <c r="N84" i="163"/>
  <c r="M84" i="163"/>
  <c r="L84" i="163"/>
  <c r="K84" i="163"/>
  <c r="H84" i="163"/>
  <c r="N83" i="163"/>
  <c r="M83" i="163"/>
  <c r="L83" i="163"/>
  <c r="K83" i="163"/>
  <c r="H83" i="163"/>
  <c r="N82" i="163"/>
  <c r="M82" i="163"/>
  <c r="L82" i="163"/>
  <c r="K82" i="163"/>
  <c r="H82" i="163"/>
  <c r="N81" i="163"/>
  <c r="M81" i="163"/>
  <c r="L81" i="163"/>
  <c r="K81" i="163"/>
  <c r="H81" i="163"/>
  <c r="N80" i="163"/>
  <c r="M80" i="163"/>
  <c r="L80" i="163"/>
  <c r="K80" i="163"/>
  <c r="H80" i="163"/>
  <c r="N79" i="163"/>
  <c r="M79" i="163"/>
  <c r="L79" i="163"/>
  <c r="K79" i="163"/>
  <c r="H79" i="163"/>
  <c r="N78" i="163"/>
  <c r="M78" i="163"/>
  <c r="L78" i="163"/>
  <c r="K78" i="163"/>
  <c r="H78" i="163"/>
  <c r="N77" i="163"/>
  <c r="M77" i="163"/>
  <c r="L77" i="163"/>
  <c r="K77" i="163"/>
  <c r="H77" i="163"/>
  <c r="N76" i="163"/>
  <c r="M76" i="163"/>
  <c r="L76" i="163"/>
  <c r="K76" i="163"/>
  <c r="H76" i="163"/>
  <c r="N75" i="163"/>
  <c r="M75" i="163"/>
  <c r="L75" i="163"/>
  <c r="K75" i="163"/>
  <c r="H75" i="163"/>
  <c r="N74" i="163"/>
  <c r="M74" i="163"/>
  <c r="L74" i="163"/>
  <c r="K74" i="163"/>
  <c r="H74" i="163"/>
  <c r="N73" i="163"/>
  <c r="M73" i="163"/>
  <c r="L73" i="163"/>
  <c r="K73" i="163"/>
  <c r="H73" i="163"/>
  <c r="N72" i="163"/>
  <c r="M72" i="163"/>
  <c r="L72" i="163"/>
  <c r="K72" i="163"/>
  <c r="H72" i="163"/>
  <c r="N71" i="163"/>
  <c r="M71" i="163"/>
  <c r="L71" i="163"/>
  <c r="K71" i="163"/>
  <c r="H71" i="163"/>
  <c r="N70" i="163"/>
  <c r="M70" i="163"/>
  <c r="L70" i="163"/>
  <c r="K70" i="163"/>
  <c r="H70" i="163"/>
  <c r="N69" i="163"/>
  <c r="M69" i="163"/>
  <c r="L69" i="163"/>
  <c r="K69" i="163"/>
  <c r="H69" i="163"/>
  <c r="N68" i="163"/>
  <c r="M68" i="163"/>
  <c r="L68" i="163"/>
  <c r="K68" i="163"/>
  <c r="H68" i="163"/>
  <c r="N67" i="163"/>
  <c r="M67" i="163"/>
  <c r="L67" i="163"/>
  <c r="K67" i="163"/>
  <c r="H67" i="163"/>
  <c r="N66" i="163"/>
  <c r="M66" i="163"/>
  <c r="L66" i="163"/>
  <c r="K66" i="163"/>
  <c r="H66" i="163"/>
  <c r="N65" i="163"/>
  <c r="M65" i="163"/>
  <c r="L65" i="163"/>
  <c r="K65" i="163"/>
  <c r="H65" i="163"/>
  <c r="N64" i="163"/>
  <c r="M64" i="163"/>
  <c r="L64" i="163"/>
  <c r="K64" i="163"/>
  <c r="H64" i="163"/>
  <c r="N63" i="163"/>
  <c r="M63" i="163"/>
  <c r="L63" i="163"/>
  <c r="K63" i="163"/>
  <c r="H63" i="163"/>
  <c r="N62" i="163"/>
  <c r="M62" i="163"/>
  <c r="L62" i="163"/>
  <c r="K62" i="163"/>
  <c r="H62" i="163"/>
  <c r="N61" i="163"/>
  <c r="M61" i="163"/>
  <c r="L61" i="163"/>
  <c r="K61" i="163"/>
  <c r="H61" i="163"/>
  <c r="N60" i="163"/>
  <c r="M60" i="163"/>
  <c r="L60" i="163"/>
  <c r="K60" i="163"/>
  <c r="H60" i="163"/>
  <c r="N59" i="163"/>
  <c r="M59" i="163"/>
  <c r="L59" i="163"/>
  <c r="K59" i="163"/>
  <c r="H59" i="163"/>
  <c r="N58" i="163"/>
  <c r="M58" i="163"/>
  <c r="L58" i="163"/>
  <c r="K58" i="163"/>
  <c r="H58" i="163"/>
  <c r="N57" i="163"/>
  <c r="M57" i="163"/>
  <c r="L57" i="163"/>
  <c r="K57" i="163"/>
  <c r="H57" i="163"/>
  <c r="N56" i="163"/>
  <c r="M56" i="163"/>
  <c r="L56" i="163"/>
  <c r="K56" i="163"/>
  <c r="H56" i="163"/>
  <c r="N55" i="163"/>
  <c r="M55" i="163"/>
  <c r="L55" i="163"/>
  <c r="K55" i="163"/>
  <c r="H55" i="163"/>
  <c r="N54" i="163"/>
  <c r="M54" i="163"/>
  <c r="L54" i="163"/>
  <c r="K54" i="163"/>
  <c r="H54" i="163"/>
  <c r="N53" i="163"/>
  <c r="M53" i="163"/>
  <c r="L53" i="163"/>
  <c r="K53" i="163"/>
  <c r="H53" i="163"/>
  <c r="N52" i="163"/>
  <c r="M52" i="163"/>
  <c r="L52" i="163"/>
  <c r="K52" i="163"/>
  <c r="H52" i="163"/>
  <c r="N51" i="163"/>
  <c r="M51" i="163"/>
  <c r="L51" i="163"/>
  <c r="K51" i="163"/>
  <c r="H51" i="163"/>
  <c r="N50" i="163"/>
  <c r="M50" i="163"/>
  <c r="L50" i="163"/>
  <c r="K50" i="163"/>
  <c r="H50" i="163"/>
  <c r="N49" i="163"/>
  <c r="M49" i="163"/>
  <c r="L49" i="163"/>
  <c r="K49" i="163"/>
  <c r="H49" i="163"/>
  <c r="N48" i="163"/>
  <c r="M48" i="163"/>
  <c r="L48" i="163"/>
  <c r="K48" i="163"/>
  <c r="H48" i="163"/>
  <c r="N47" i="163"/>
  <c r="M47" i="163"/>
  <c r="L47" i="163"/>
  <c r="K47" i="163"/>
  <c r="H47" i="163"/>
  <c r="N46" i="163"/>
  <c r="M46" i="163"/>
  <c r="L46" i="163"/>
  <c r="K46" i="163"/>
  <c r="H46" i="163"/>
  <c r="N45" i="163"/>
  <c r="M45" i="163"/>
  <c r="L45" i="163"/>
  <c r="K45" i="163"/>
  <c r="H45" i="163"/>
  <c r="N44" i="163"/>
  <c r="M44" i="163"/>
  <c r="L44" i="163"/>
  <c r="K44" i="163"/>
  <c r="H44" i="163"/>
  <c r="N43" i="163"/>
  <c r="M43" i="163"/>
  <c r="L43" i="163"/>
  <c r="K43" i="163"/>
  <c r="H43" i="163"/>
  <c r="N42" i="163"/>
  <c r="M42" i="163"/>
  <c r="L42" i="163"/>
  <c r="K42" i="163"/>
  <c r="H42" i="163"/>
  <c r="N41" i="163"/>
  <c r="M41" i="163"/>
  <c r="L41" i="163"/>
  <c r="K41" i="163"/>
  <c r="H41" i="163"/>
  <c r="N40" i="163"/>
  <c r="M40" i="163"/>
  <c r="L40" i="163"/>
  <c r="K40" i="163"/>
  <c r="H40" i="163"/>
  <c r="N39" i="163"/>
  <c r="M39" i="163"/>
  <c r="L39" i="163"/>
  <c r="K39" i="163"/>
  <c r="H39" i="163"/>
  <c r="N38" i="163"/>
  <c r="M38" i="163"/>
  <c r="L38" i="163"/>
  <c r="K38" i="163"/>
  <c r="H38" i="163"/>
  <c r="N37" i="163"/>
  <c r="M37" i="163"/>
  <c r="L37" i="163"/>
  <c r="K37" i="163"/>
  <c r="H37" i="163"/>
  <c r="N36" i="163"/>
  <c r="M36" i="163"/>
  <c r="L36" i="163"/>
  <c r="K36" i="163"/>
  <c r="H36" i="163"/>
  <c r="N35" i="163"/>
  <c r="M35" i="163"/>
  <c r="L35" i="163"/>
  <c r="K35" i="163"/>
  <c r="H35" i="163"/>
  <c r="N34" i="163"/>
  <c r="M34" i="163"/>
  <c r="L34" i="163"/>
  <c r="K34" i="163"/>
  <c r="H34" i="163"/>
  <c r="N33" i="163"/>
  <c r="M33" i="163"/>
  <c r="L33" i="163"/>
  <c r="K33" i="163"/>
  <c r="H33" i="163"/>
  <c r="N32" i="163"/>
  <c r="M32" i="163"/>
  <c r="L32" i="163"/>
  <c r="K32" i="163"/>
  <c r="H32" i="163"/>
  <c r="N31" i="163"/>
  <c r="M31" i="163"/>
  <c r="L31" i="163"/>
  <c r="K31" i="163"/>
  <c r="H31" i="163"/>
  <c r="N30" i="163"/>
  <c r="M30" i="163"/>
  <c r="L30" i="163"/>
  <c r="K30" i="163"/>
  <c r="H30" i="163"/>
  <c r="N29" i="163"/>
  <c r="M29" i="163"/>
  <c r="L29" i="163"/>
  <c r="K29" i="163"/>
  <c r="H29" i="163"/>
  <c r="N28" i="163"/>
  <c r="M28" i="163"/>
  <c r="L28" i="163"/>
  <c r="K28" i="163"/>
  <c r="H28" i="163"/>
  <c r="N27" i="163"/>
  <c r="M27" i="163"/>
  <c r="L27" i="163"/>
  <c r="K27" i="163"/>
  <c r="H27" i="163"/>
  <c r="N26" i="163"/>
  <c r="M26" i="163"/>
  <c r="L26" i="163"/>
  <c r="K26" i="163"/>
  <c r="H26" i="163"/>
  <c r="N25" i="163"/>
  <c r="M25" i="163"/>
  <c r="L25" i="163"/>
  <c r="K25" i="163"/>
  <c r="H25" i="163"/>
  <c r="N24" i="163"/>
  <c r="M24" i="163"/>
  <c r="L24" i="163"/>
  <c r="K24" i="163"/>
  <c r="H24" i="163"/>
  <c r="N23" i="163"/>
  <c r="M23" i="163"/>
  <c r="L23" i="163"/>
  <c r="K23" i="163"/>
  <c r="H23" i="163"/>
  <c r="N22" i="163"/>
  <c r="M22" i="163"/>
  <c r="L22" i="163"/>
  <c r="K22" i="163"/>
  <c r="H22" i="163"/>
  <c r="N21" i="163"/>
  <c r="M21" i="163"/>
  <c r="L21" i="163"/>
  <c r="K21" i="163"/>
  <c r="H21" i="163"/>
  <c r="N20" i="163"/>
  <c r="M20" i="163"/>
  <c r="L20" i="163"/>
  <c r="K20" i="163"/>
  <c r="H20" i="163"/>
  <c r="N19" i="163"/>
  <c r="M19" i="163"/>
  <c r="L19" i="163"/>
  <c r="K19" i="163"/>
  <c r="H19" i="163"/>
  <c r="N18" i="163"/>
  <c r="M18" i="163"/>
  <c r="L18" i="163"/>
  <c r="K18" i="163"/>
  <c r="H18" i="163"/>
  <c r="N17" i="163"/>
  <c r="M17" i="163"/>
  <c r="L17" i="163"/>
  <c r="K17" i="163"/>
  <c r="H17" i="163"/>
  <c r="N16" i="163"/>
  <c r="M16" i="163"/>
  <c r="L16" i="163"/>
  <c r="K16" i="163"/>
  <c r="H16" i="163"/>
  <c r="N15" i="163"/>
  <c r="M15" i="163"/>
  <c r="L15" i="163"/>
  <c r="K15" i="163"/>
  <c r="H15" i="163"/>
  <c r="N14" i="163"/>
  <c r="M14" i="163"/>
  <c r="L14" i="163"/>
  <c r="K14" i="163"/>
  <c r="H14" i="163"/>
  <c r="N13" i="163"/>
  <c r="M13" i="163"/>
  <c r="L13" i="163"/>
  <c r="K13" i="163"/>
  <c r="H13" i="163"/>
  <c r="N12" i="163"/>
  <c r="M12" i="163"/>
  <c r="L12" i="163"/>
  <c r="K12" i="163"/>
  <c r="H12" i="163"/>
  <c r="N11" i="163"/>
  <c r="M11" i="163"/>
  <c r="L11" i="163"/>
  <c r="K11" i="163"/>
  <c r="H11" i="163"/>
  <c r="N10" i="163"/>
  <c r="M10" i="163"/>
  <c r="L10" i="163"/>
  <c r="K10" i="163"/>
  <c r="H10" i="163"/>
  <c r="N9" i="163"/>
  <c r="M9" i="163"/>
  <c r="L9" i="163"/>
  <c r="K9" i="163"/>
  <c r="H9" i="163"/>
  <c r="N8" i="163"/>
  <c r="M8" i="163"/>
  <c r="L8" i="163"/>
  <c r="K8" i="163"/>
  <c r="H8" i="163"/>
  <c r="N7" i="163"/>
  <c r="M7" i="163"/>
  <c r="L7" i="163"/>
  <c r="K7" i="163"/>
  <c r="H7" i="163"/>
  <c r="N6" i="163"/>
  <c r="M6" i="163"/>
  <c r="L6" i="163"/>
  <c r="K6" i="163"/>
  <c r="H6" i="163"/>
  <c r="N5" i="163"/>
  <c r="M5" i="163"/>
  <c r="L5" i="163"/>
  <c r="K5" i="163"/>
  <c r="H5" i="163"/>
  <c r="N4" i="163"/>
  <c r="M4" i="163"/>
  <c r="L4" i="163"/>
  <c r="K4" i="163"/>
  <c r="H4" i="163"/>
  <c r="N3" i="163"/>
  <c r="M3" i="163"/>
  <c r="L3" i="163"/>
  <c r="K3" i="163"/>
  <c r="H3" i="163"/>
  <c r="N2" i="163"/>
  <c r="M2" i="163"/>
  <c r="L2" i="163"/>
  <c r="K2" i="163"/>
  <c r="H2" i="163"/>
  <c r="I314" i="161"/>
  <c r="D314" i="161"/>
  <c r="J314" i="161"/>
  <c r="E314" i="161"/>
  <c r="C314" i="161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14" i="161"/>
  <c r="E6" i="160"/>
  <c r="E19" i="160"/>
  <c r="B19" i="160"/>
  <c r="E24" i="160"/>
  <c r="B24" i="160"/>
  <c r="B17" i="160"/>
  <c r="G17" i="160"/>
  <c r="E17" i="160"/>
  <c r="H17" i="160"/>
  <c r="O2" i="161"/>
  <c r="E18" i="160"/>
  <c r="B18" i="160"/>
  <c r="G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E25" i="160"/>
  <c r="B25" i="160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E20" i="160"/>
  <c r="B20" i="160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E27" i="160"/>
  <c r="B27" i="160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E22" i="160"/>
  <c r="B22" i="160"/>
  <c r="G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R3" i="160"/>
  <c r="O346" i="161"/>
  <c r="P314" i="161"/>
  <c r="P317" i="161"/>
  <c r="P321" i="161"/>
  <c r="P328" i="161"/>
  <c r="P2" i="161"/>
  <c r="P3" i="161"/>
  <c r="P4" i="161"/>
  <c r="P5" i="161"/>
  <c r="P6" i="161"/>
  <c r="P7" i="161"/>
  <c r="P8" i="161"/>
  <c r="P9" i="161"/>
  <c r="P10" i="161"/>
  <c r="P11" i="161"/>
  <c r="P12" i="161"/>
  <c r="P13" i="161"/>
  <c r="P14" i="161"/>
  <c r="P15" i="161"/>
  <c r="P16" i="161"/>
  <c r="P17" i="161"/>
  <c r="P18" i="161"/>
  <c r="P19" i="161"/>
  <c r="P20" i="161"/>
  <c r="P21" i="161"/>
  <c r="P22" i="161"/>
  <c r="P23" i="161"/>
  <c r="P24" i="161"/>
  <c r="P25" i="161"/>
  <c r="P26" i="161"/>
  <c r="P27" i="161"/>
  <c r="P28" i="161"/>
  <c r="P29" i="161"/>
  <c r="P30" i="161"/>
  <c r="P31" i="161"/>
  <c r="P32" i="161"/>
  <c r="P33" i="161"/>
  <c r="P34" i="161"/>
  <c r="P35" i="161"/>
  <c r="P36" i="161"/>
  <c r="P37" i="161"/>
  <c r="P38" i="161"/>
  <c r="P39" i="161"/>
  <c r="P40" i="161"/>
  <c r="P41" i="161"/>
  <c r="P42" i="161"/>
  <c r="P43" i="161"/>
  <c r="P44" i="161"/>
  <c r="P45" i="161"/>
  <c r="P46" i="161"/>
  <c r="P47" i="161"/>
  <c r="P48" i="161"/>
  <c r="P49" i="161"/>
  <c r="P50" i="161"/>
  <c r="P51" i="161"/>
  <c r="P52" i="161"/>
  <c r="P53" i="161"/>
  <c r="P54" i="161"/>
  <c r="P55" i="161"/>
  <c r="P56" i="161"/>
  <c r="P57" i="161"/>
  <c r="P58" i="161"/>
  <c r="P59" i="161"/>
  <c r="P60" i="161"/>
  <c r="P61" i="161"/>
  <c r="P62" i="161"/>
  <c r="P63" i="161"/>
  <c r="P64" i="161"/>
  <c r="P65" i="161"/>
  <c r="P66" i="161"/>
  <c r="P67" i="161"/>
  <c r="P68" i="161"/>
  <c r="P69" i="161"/>
  <c r="P70" i="161"/>
  <c r="P71" i="161"/>
  <c r="P72" i="161"/>
  <c r="P73" i="161"/>
  <c r="P74" i="161"/>
  <c r="P75" i="161"/>
  <c r="P76" i="161"/>
  <c r="P77" i="161"/>
  <c r="P78" i="161"/>
  <c r="P79" i="161"/>
  <c r="P80" i="161"/>
  <c r="P81" i="161"/>
  <c r="P82" i="161"/>
  <c r="P83" i="161"/>
  <c r="P84" i="161"/>
  <c r="P85" i="161"/>
  <c r="P86" i="161"/>
  <c r="P87" i="161"/>
  <c r="P88" i="161"/>
  <c r="P89" i="161"/>
  <c r="P90" i="161"/>
  <c r="P91" i="161"/>
  <c r="P92" i="161"/>
  <c r="P93" i="161"/>
  <c r="P94" i="161"/>
  <c r="P95" i="161"/>
  <c r="P96" i="161"/>
  <c r="P97" i="161"/>
  <c r="P98" i="161"/>
  <c r="P99" i="161"/>
  <c r="P100" i="161"/>
  <c r="P101" i="161"/>
  <c r="P102" i="161"/>
  <c r="P103" i="161"/>
  <c r="P104" i="161"/>
  <c r="P105" i="161"/>
  <c r="P106" i="161"/>
  <c r="P107" i="161"/>
  <c r="P108" i="161"/>
  <c r="P109" i="161"/>
  <c r="P110" i="161"/>
  <c r="P111" i="161"/>
  <c r="P112" i="161"/>
  <c r="P113" i="161"/>
  <c r="P114" i="161"/>
  <c r="P115" i="161"/>
  <c r="P116" i="161"/>
  <c r="P117" i="161"/>
  <c r="P118" i="161"/>
  <c r="P119" i="161"/>
  <c r="P120" i="161"/>
  <c r="P121" i="161"/>
  <c r="P122" i="161"/>
  <c r="P123" i="161"/>
  <c r="P124" i="161"/>
  <c r="P125" i="161"/>
  <c r="P126" i="161"/>
  <c r="P127" i="161"/>
  <c r="P128" i="161"/>
  <c r="P129" i="161"/>
  <c r="P130" i="161"/>
  <c r="P131" i="161"/>
  <c r="P132" i="161"/>
  <c r="P133" i="161"/>
  <c r="P134" i="161"/>
  <c r="P135" i="161"/>
  <c r="P136" i="161"/>
  <c r="P137" i="161"/>
  <c r="P138" i="161"/>
  <c r="P139" i="161"/>
  <c r="P140" i="161"/>
  <c r="P141" i="161"/>
  <c r="P142" i="161"/>
  <c r="P143" i="161"/>
  <c r="P144" i="161"/>
  <c r="P145" i="161"/>
  <c r="P146" i="161"/>
  <c r="P147" i="161"/>
  <c r="P148" i="161"/>
  <c r="P149" i="161"/>
  <c r="P150" i="161"/>
  <c r="P151" i="161"/>
  <c r="P152" i="161"/>
  <c r="P153" i="161"/>
  <c r="P154" i="161"/>
  <c r="P155" i="161"/>
  <c r="P156" i="161"/>
  <c r="P157" i="161"/>
  <c r="P158" i="161"/>
  <c r="P159" i="161"/>
  <c r="P160" i="161"/>
  <c r="P161" i="161"/>
  <c r="P162" i="161"/>
  <c r="P163" i="161"/>
  <c r="P164" i="161"/>
  <c r="P165" i="161"/>
  <c r="P166" i="161"/>
  <c r="P167" i="161"/>
  <c r="P168" i="161"/>
  <c r="P169" i="161"/>
  <c r="P170" i="161"/>
  <c r="P171" i="161"/>
  <c r="P172" i="161"/>
  <c r="P173" i="161"/>
  <c r="P174" i="161"/>
  <c r="P175" i="161"/>
  <c r="P176" i="161"/>
  <c r="P177" i="161"/>
  <c r="P178" i="161"/>
  <c r="P179" i="161"/>
  <c r="P180" i="161"/>
  <c r="P181" i="161"/>
  <c r="P182" i="161"/>
  <c r="P183" i="161"/>
  <c r="P184" i="161"/>
  <c r="P185" i="161"/>
  <c r="P186" i="161"/>
  <c r="P187" i="161"/>
  <c r="P188" i="161"/>
  <c r="P189" i="161"/>
  <c r="P190" i="161"/>
  <c r="P191" i="161"/>
  <c r="P192" i="161"/>
  <c r="P193" i="161"/>
  <c r="P194" i="161"/>
  <c r="P195" i="161"/>
  <c r="P196" i="161"/>
  <c r="P197" i="161"/>
  <c r="P198" i="161"/>
  <c r="P199" i="161"/>
  <c r="P200" i="161"/>
  <c r="P201" i="161"/>
  <c r="P202" i="161"/>
  <c r="P203" i="161"/>
  <c r="P204" i="161"/>
  <c r="P205" i="161"/>
  <c r="P206" i="161"/>
  <c r="P207" i="161"/>
  <c r="P208" i="161"/>
  <c r="P209" i="161"/>
  <c r="P210" i="161"/>
  <c r="P211" i="161"/>
  <c r="P212" i="161"/>
  <c r="P213" i="161"/>
  <c r="P214" i="161"/>
  <c r="P215" i="161"/>
  <c r="P216" i="161"/>
  <c r="P217" i="161"/>
  <c r="P218" i="161"/>
  <c r="P219" i="161"/>
  <c r="P220" i="161"/>
  <c r="P221" i="161"/>
  <c r="P222" i="161"/>
  <c r="P223" i="161"/>
  <c r="P224" i="161"/>
  <c r="P225" i="161"/>
  <c r="P226" i="161"/>
  <c r="P227" i="161"/>
  <c r="P228" i="161"/>
  <c r="P229" i="161"/>
  <c r="P230" i="161"/>
  <c r="P231" i="161"/>
  <c r="P232" i="161"/>
  <c r="P233" i="161"/>
  <c r="P234" i="161"/>
  <c r="P235" i="161"/>
  <c r="P236" i="161"/>
  <c r="P237" i="161"/>
  <c r="P238" i="161"/>
  <c r="P239" i="161"/>
  <c r="P240" i="161"/>
  <c r="P241" i="161"/>
  <c r="P242" i="161"/>
  <c r="P243" i="161"/>
  <c r="P244" i="161"/>
  <c r="P245" i="161"/>
  <c r="P246" i="161"/>
  <c r="P247" i="161"/>
  <c r="P248" i="161"/>
  <c r="P249" i="161"/>
  <c r="P250" i="161"/>
  <c r="P251" i="161"/>
  <c r="P252" i="161"/>
  <c r="P253" i="161"/>
  <c r="P254" i="161"/>
  <c r="P255" i="161"/>
  <c r="P256" i="161"/>
  <c r="P257" i="161"/>
  <c r="P258" i="161"/>
  <c r="P259" i="161"/>
  <c r="P260" i="161"/>
  <c r="P261" i="161"/>
  <c r="P262" i="161"/>
  <c r="P263" i="161"/>
  <c r="P264" i="161"/>
  <c r="P265" i="161"/>
  <c r="P266" i="161"/>
  <c r="P267" i="161"/>
  <c r="P268" i="161"/>
  <c r="P269" i="161"/>
  <c r="P270" i="161"/>
  <c r="P271" i="161"/>
  <c r="P272" i="161"/>
  <c r="P273" i="161"/>
  <c r="P274" i="161"/>
  <c r="P275" i="161"/>
  <c r="P276" i="161"/>
  <c r="P277" i="161"/>
  <c r="P278" i="161"/>
  <c r="P279" i="161"/>
  <c r="P280" i="161"/>
  <c r="P281" i="161"/>
  <c r="P282" i="161"/>
  <c r="P283" i="161"/>
  <c r="P284" i="161"/>
  <c r="P285" i="161"/>
  <c r="P286" i="161"/>
  <c r="P287" i="161"/>
  <c r="P288" i="161"/>
  <c r="P289" i="161"/>
  <c r="P290" i="161"/>
  <c r="P291" i="161"/>
  <c r="P292" i="161"/>
  <c r="P293" i="161"/>
  <c r="P294" i="161"/>
  <c r="P295" i="161"/>
  <c r="P296" i="161"/>
  <c r="P297" i="161"/>
  <c r="P298" i="161"/>
  <c r="P299" i="161"/>
  <c r="P300" i="161"/>
  <c r="P301" i="161"/>
  <c r="P302" i="161"/>
  <c r="P303" i="161"/>
  <c r="P304" i="161"/>
  <c r="P305" i="161"/>
  <c r="P306" i="161"/>
  <c r="P307" i="161"/>
  <c r="P308" i="161"/>
  <c r="P309" i="161"/>
  <c r="P310" i="161"/>
  <c r="P311" i="161"/>
  <c r="P312" i="161"/>
  <c r="P313" i="161"/>
  <c r="P315" i="161"/>
  <c r="P316" i="161"/>
  <c r="P318" i="161"/>
  <c r="P319" i="161"/>
  <c r="P320" i="161"/>
  <c r="P322" i="161"/>
  <c r="P323" i="161"/>
  <c r="P324" i="161"/>
  <c r="P325" i="161"/>
  <c r="P326" i="161"/>
  <c r="P327" i="161"/>
  <c r="P329" i="161"/>
  <c r="P330" i="161"/>
  <c r="P331" i="161"/>
  <c r="P332" i="161"/>
  <c r="P333" i="161"/>
  <c r="P334" i="161"/>
  <c r="P335" i="161"/>
  <c r="P336" i="161"/>
  <c r="P337" i="161"/>
  <c r="P338" i="161"/>
  <c r="P339" i="161"/>
  <c r="P340" i="161"/>
  <c r="P341" i="161"/>
  <c r="P342" i="161"/>
  <c r="P343" i="161"/>
  <c r="P344" i="161"/>
  <c r="P345" i="161"/>
  <c r="P346" i="161"/>
  <c r="G48" i="162"/>
  <c r="B47" i="162"/>
  <c r="C40" i="162"/>
  <c r="C41" i="162"/>
  <c r="C42" i="162"/>
  <c r="C43" i="162"/>
  <c r="C44" i="162"/>
  <c r="C45" i="162"/>
  <c r="C46" i="162"/>
  <c r="C47" i="162"/>
  <c r="G42" i="162"/>
  <c r="G41" i="162"/>
  <c r="G40" i="162"/>
  <c r="F35" i="162"/>
  <c r="F34" i="162"/>
  <c r="B30" i="162"/>
  <c r="B32" i="162"/>
  <c r="C19" i="162"/>
  <c r="C20" i="162"/>
  <c r="C21" i="162"/>
  <c r="C22" i="162"/>
  <c r="C23" i="162"/>
  <c r="C24" i="162"/>
  <c r="C25" i="162"/>
  <c r="C26" i="162"/>
  <c r="C27" i="162"/>
  <c r="C28" i="162"/>
  <c r="C29" i="162"/>
  <c r="C30" i="162"/>
  <c r="C31" i="162"/>
  <c r="C32" i="162"/>
  <c r="D32" i="162"/>
  <c r="G31" i="162"/>
  <c r="H31" i="162"/>
  <c r="I31" i="162"/>
  <c r="J31" i="162"/>
  <c r="F31" i="162"/>
  <c r="D31" i="162"/>
  <c r="G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C18" i="162"/>
  <c r="D18" i="162"/>
  <c r="R17" i="162"/>
  <c r="P17" i="162"/>
  <c r="O17" i="162"/>
  <c r="M17" i="162"/>
  <c r="I17" i="162"/>
  <c r="J17" i="162"/>
  <c r="F17" i="162"/>
  <c r="C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R5" i="162"/>
  <c r="P5" i="162"/>
  <c r="O5" i="162"/>
  <c r="M5" i="162"/>
  <c r="V4" i="162"/>
  <c r="R4" i="162"/>
  <c r="P4" i="162"/>
  <c r="O4" i="162"/>
  <c r="M4" i="162"/>
  <c r="V3" i="162"/>
  <c r="P3" i="162"/>
  <c r="O3" i="162"/>
  <c r="M3" i="162"/>
  <c r="V2" i="162"/>
  <c r="A346" i="161"/>
  <c r="B10" i="160"/>
  <c r="A345" i="161"/>
  <c r="A344" i="161"/>
  <c r="A343" i="161"/>
  <c r="A342" i="161"/>
  <c r="A341" i="161"/>
  <c r="A340" i="161"/>
  <c r="A339" i="161"/>
  <c r="A338" i="161"/>
  <c r="A337" i="161"/>
  <c r="A336" i="161"/>
  <c r="A335" i="161"/>
  <c r="A334" i="161"/>
  <c r="A333" i="161"/>
  <c r="A332" i="161"/>
  <c r="A331" i="161"/>
  <c r="A330" i="161"/>
  <c r="A329" i="161"/>
  <c r="A328" i="161"/>
  <c r="A327" i="161"/>
  <c r="A326" i="161"/>
  <c r="A325" i="161"/>
  <c r="A324" i="161"/>
  <c r="A323" i="161"/>
  <c r="A322" i="161"/>
  <c r="A321" i="161"/>
  <c r="A320" i="161"/>
  <c r="A319" i="161"/>
  <c r="A318" i="161"/>
  <c r="A317" i="161"/>
  <c r="A316" i="161"/>
  <c r="A315" i="161"/>
  <c r="A314" i="161"/>
  <c r="A313" i="161"/>
  <c r="A312" i="161"/>
  <c r="A311" i="161"/>
  <c r="A310" i="161"/>
  <c r="A309" i="161"/>
  <c r="A308" i="161"/>
  <c r="A307" i="161"/>
  <c r="A306" i="161"/>
  <c r="A305" i="161"/>
  <c r="A304" i="161"/>
  <c r="A303" i="161"/>
  <c r="A302" i="161"/>
  <c r="A301" i="161"/>
  <c r="A300" i="161"/>
  <c r="A299" i="161"/>
  <c r="A298" i="161"/>
  <c r="A297" i="161"/>
  <c r="A296" i="161"/>
  <c r="A295" i="161"/>
  <c r="A294" i="161"/>
  <c r="A293" i="161"/>
  <c r="A292" i="161"/>
  <c r="A291" i="161"/>
  <c r="A290" i="161"/>
  <c r="A289" i="161"/>
  <c r="A288" i="161"/>
  <c r="A287" i="161"/>
  <c r="A286" i="161"/>
  <c r="A285" i="161"/>
  <c r="A284" i="161"/>
  <c r="A283" i="161"/>
  <c r="A282" i="161"/>
  <c r="A281" i="161"/>
  <c r="A280" i="161"/>
  <c r="A279" i="161"/>
  <c r="A278" i="161"/>
  <c r="A277" i="161"/>
  <c r="A276" i="161"/>
  <c r="A275" i="161"/>
  <c r="A274" i="161"/>
  <c r="A273" i="161"/>
  <c r="A272" i="161"/>
  <c r="A271" i="161"/>
  <c r="A270" i="161"/>
  <c r="A269" i="161"/>
  <c r="A268" i="161"/>
  <c r="A267" i="161"/>
  <c r="A266" i="161"/>
  <c r="A265" i="161"/>
  <c r="A264" i="161"/>
  <c r="A263" i="161"/>
  <c r="A262" i="161"/>
  <c r="A261" i="161"/>
  <c r="A260" i="161"/>
  <c r="A259" i="161"/>
  <c r="A258" i="161"/>
  <c r="A257" i="161"/>
  <c r="A256" i="161"/>
  <c r="A255" i="161"/>
  <c r="A254" i="161"/>
  <c r="A253" i="161"/>
  <c r="A252" i="161"/>
  <c r="A251" i="161"/>
  <c r="A250" i="161"/>
  <c r="A249" i="161"/>
  <c r="A248" i="161"/>
  <c r="A247" i="161"/>
  <c r="A246" i="161"/>
  <c r="A245" i="161"/>
  <c r="A244" i="161"/>
  <c r="A243" i="161"/>
  <c r="A242" i="161"/>
  <c r="A241" i="161"/>
  <c r="A240" i="161"/>
  <c r="A239" i="161"/>
  <c r="A238" i="161"/>
  <c r="A237" i="161"/>
  <c r="A236" i="161"/>
  <c r="A235" i="161"/>
  <c r="A234" i="161"/>
  <c r="A233" i="161"/>
  <c r="A232" i="161"/>
  <c r="A231" i="161"/>
  <c r="A230" i="161"/>
  <c r="A229" i="161"/>
  <c r="A228" i="161"/>
  <c r="A227" i="161"/>
  <c r="A226" i="161"/>
  <c r="A225" i="161"/>
  <c r="A224" i="161"/>
  <c r="A223" i="161"/>
  <c r="A222" i="161"/>
  <c r="A221" i="161"/>
  <c r="A220" i="161"/>
  <c r="A219" i="161"/>
  <c r="A218" i="161"/>
  <c r="A217" i="161"/>
  <c r="A216" i="161"/>
  <c r="A215" i="161"/>
  <c r="A214" i="161"/>
  <c r="A213" i="161"/>
  <c r="A212" i="161"/>
  <c r="A211" i="161"/>
  <c r="A210" i="161"/>
  <c r="A209" i="161"/>
  <c r="A208" i="161"/>
  <c r="A207" i="161"/>
  <c r="A206" i="161"/>
  <c r="A205" i="161"/>
  <c r="A204" i="161"/>
  <c r="A203" i="161"/>
  <c r="A202" i="161"/>
  <c r="A201" i="161"/>
  <c r="A200" i="161"/>
  <c r="A199" i="161"/>
  <c r="A198" i="161"/>
  <c r="A197" i="161"/>
  <c r="A196" i="161"/>
  <c r="A195" i="161"/>
  <c r="A194" i="161"/>
  <c r="A193" i="161"/>
  <c r="A192" i="161"/>
  <c r="A191" i="161"/>
  <c r="A190" i="161"/>
  <c r="A189" i="161"/>
  <c r="A188" i="161"/>
  <c r="A187" i="161"/>
  <c r="A186" i="161"/>
  <c r="A185" i="161"/>
  <c r="A184" i="161"/>
  <c r="A183" i="161"/>
  <c r="A182" i="161"/>
  <c r="A181" i="161"/>
  <c r="A180" i="161"/>
  <c r="A179" i="161"/>
  <c r="A178" i="161"/>
  <c r="A177" i="161"/>
  <c r="A176" i="161"/>
  <c r="A175" i="161"/>
  <c r="A174" i="161"/>
  <c r="A173" i="161"/>
  <c r="A172" i="161"/>
  <c r="A171" i="161"/>
  <c r="A170" i="161"/>
  <c r="A169" i="161"/>
  <c r="A168" i="161"/>
  <c r="A167" i="161"/>
  <c r="A166" i="161"/>
  <c r="A165" i="161"/>
  <c r="A164" i="161"/>
  <c r="A163" i="161"/>
  <c r="A162" i="161"/>
  <c r="A161" i="161"/>
  <c r="A160" i="161"/>
  <c r="A159" i="161"/>
  <c r="A158" i="161"/>
  <c r="A157" i="161"/>
  <c r="A156" i="161"/>
  <c r="A155" i="161"/>
  <c r="A154" i="161"/>
  <c r="A153" i="161"/>
  <c r="A152" i="161"/>
  <c r="A151" i="161"/>
  <c r="A150" i="161"/>
  <c r="A149" i="161"/>
  <c r="A148" i="161"/>
  <c r="A147" i="161"/>
  <c r="A146" i="161"/>
  <c r="A145" i="161"/>
  <c r="A144" i="161"/>
  <c r="A143" i="161"/>
  <c r="A142" i="161"/>
  <c r="A141" i="161"/>
  <c r="A140" i="161"/>
  <c r="A139" i="161"/>
  <c r="A138" i="161"/>
  <c r="A137" i="161"/>
  <c r="A136" i="161"/>
  <c r="A135" i="161"/>
  <c r="A134" i="161"/>
  <c r="A133" i="161"/>
  <c r="A132" i="161"/>
  <c r="A131" i="161"/>
  <c r="A130" i="161"/>
  <c r="A129" i="161"/>
  <c r="A128" i="161"/>
  <c r="A127" i="161"/>
  <c r="A126" i="161"/>
  <c r="A125" i="161"/>
  <c r="A124" i="161"/>
  <c r="A123" i="161"/>
  <c r="A122" i="161"/>
  <c r="A121" i="161"/>
  <c r="A120" i="161"/>
  <c r="A119" i="161"/>
  <c r="A118" i="161"/>
  <c r="A117" i="161"/>
  <c r="A116" i="161"/>
  <c r="A115" i="161"/>
  <c r="A114" i="161"/>
  <c r="A113" i="161"/>
  <c r="A112" i="161"/>
  <c r="A111" i="161"/>
  <c r="A110" i="161"/>
  <c r="A109" i="161"/>
  <c r="A108" i="161"/>
  <c r="A107" i="161"/>
  <c r="A106" i="161"/>
  <c r="A105" i="161"/>
  <c r="A104" i="161"/>
  <c r="A103" i="161"/>
  <c r="A102" i="161"/>
  <c r="A101" i="161"/>
  <c r="A100" i="161"/>
  <c r="A99" i="161"/>
  <c r="A98" i="161"/>
  <c r="A97" i="161"/>
  <c r="A96" i="161"/>
  <c r="A95" i="161"/>
  <c r="A94" i="161"/>
  <c r="A93" i="161"/>
  <c r="A92" i="161"/>
  <c r="A91" i="161"/>
  <c r="A90" i="161"/>
  <c r="A89" i="161"/>
  <c r="A88" i="161"/>
  <c r="A87" i="161"/>
  <c r="A86" i="161"/>
  <c r="A85" i="161"/>
  <c r="A84" i="161"/>
  <c r="A83" i="161"/>
  <c r="A82" i="161"/>
  <c r="A81" i="161"/>
  <c r="A80" i="161"/>
  <c r="A79" i="161"/>
  <c r="A78" i="161"/>
  <c r="A77" i="161"/>
  <c r="A76" i="161"/>
  <c r="A75" i="161"/>
  <c r="A74" i="161"/>
  <c r="A73" i="161"/>
  <c r="A72" i="161"/>
  <c r="A71" i="161"/>
  <c r="A70" i="161"/>
  <c r="A69" i="161"/>
  <c r="A68" i="161"/>
  <c r="A67" i="161"/>
  <c r="A66" i="161"/>
  <c r="A65" i="161"/>
  <c r="A64" i="161"/>
  <c r="A63" i="161"/>
  <c r="A62" i="161"/>
  <c r="A61" i="161"/>
  <c r="A60" i="161"/>
  <c r="A59" i="161"/>
  <c r="A58" i="161"/>
  <c r="A57" i="161"/>
  <c r="A56" i="161"/>
  <c r="A55" i="161"/>
  <c r="A54" i="161"/>
  <c r="A53" i="161"/>
  <c r="A52" i="161"/>
  <c r="A51" i="161"/>
  <c r="A50" i="161"/>
  <c r="A49" i="161"/>
  <c r="A48" i="161"/>
  <c r="A47" i="161"/>
  <c r="A46" i="161"/>
  <c r="A45" i="161"/>
  <c r="A44" i="161"/>
  <c r="A43" i="161"/>
  <c r="A42" i="161"/>
  <c r="A41" i="161"/>
  <c r="A40" i="161"/>
  <c r="A39" i="161"/>
  <c r="A38" i="161"/>
  <c r="A37" i="161"/>
  <c r="A36" i="161"/>
  <c r="A35" i="161"/>
  <c r="A34" i="161"/>
  <c r="A33" i="161"/>
  <c r="A32" i="161"/>
  <c r="A31" i="161"/>
  <c r="A30" i="161"/>
  <c r="A29" i="161"/>
  <c r="A28" i="161"/>
  <c r="A27" i="161"/>
  <c r="A26" i="161"/>
  <c r="A25" i="161"/>
  <c r="A24" i="161"/>
  <c r="A23" i="161"/>
  <c r="A22" i="161"/>
  <c r="A21" i="161"/>
  <c r="A20" i="161"/>
  <c r="A19" i="161"/>
  <c r="A18" i="161"/>
  <c r="A17" i="161"/>
  <c r="A16" i="161"/>
  <c r="A15" i="161"/>
  <c r="A14" i="161"/>
  <c r="A13" i="161"/>
  <c r="A12" i="161"/>
  <c r="A11" i="161"/>
  <c r="A10" i="161"/>
  <c r="A9" i="161"/>
  <c r="A8" i="161"/>
  <c r="A7" i="161"/>
  <c r="A6" i="161"/>
  <c r="A5" i="161"/>
  <c r="A4" i="161"/>
  <c r="A3" i="161"/>
  <c r="A2" i="161"/>
  <c r="F49" i="160"/>
  <c r="F48" i="160"/>
  <c r="F47" i="160"/>
  <c r="F46" i="160"/>
  <c r="B46" i="160"/>
  <c r="F45" i="160"/>
  <c r="B45" i="160"/>
  <c r="B44" i="160"/>
  <c r="B43" i="160"/>
  <c r="F42" i="160"/>
  <c r="B42" i="160"/>
  <c r="F41" i="160"/>
  <c r="B41" i="160"/>
  <c r="F40" i="160"/>
  <c r="B40" i="160"/>
  <c r="E31" i="160"/>
  <c r="E30" i="160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N346" i="161"/>
  <c r="M346" i="161"/>
  <c r="L346" i="161"/>
  <c r="K346" i="161"/>
  <c r="H346" i="161"/>
  <c r="F346" i="161"/>
  <c r="N345" i="161"/>
  <c r="M345" i="161"/>
  <c r="L345" i="161"/>
  <c r="K345" i="161"/>
  <c r="H345" i="161"/>
  <c r="N344" i="161"/>
  <c r="M344" i="161"/>
  <c r="L344" i="161"/>
  <c r="K344" i="161"/>
  <c r="H344" i="161"/>
  <c r="N343" i="161"/>
  <c r="M343" i="161"/>
  <c r="L343" i="161"/>
  <c r="K343" i="161"/>
  <c r="H343" i="161"/>
  <c r="N342" i="161"/>
  <c r="M342" i="161"/>
  <c r="L342" i="161"/>
  <c r="K342" i="161"/>
  <c r="H342" i="161"/>
  <c r="N341" i="161"/>
  <c r="M341" i="161"/>
  <c r="L341" i="161"/>
  <c r="K341" i="161"/>
  <c r="H341" i="161"/>
  <c r="N340" i="161"/>
  <c r="M340" i="161"/>
  <c r="L340" i="161"/>
  <c r="K340" i="161"/>
  <c r="H340" i="161"/>
  <c r="N339" i="161"/>
  <c r="M339" i="161"/>
  <c r="L339" i="161"/>
  <c r="K339" i="161"/>
  <c r="H339" i="161"/>
  <c r="N338" i="161"/>
  <c r="M338" i="161"/>
  <c r="L338" i="161"/>
  <c r="K338" i="161"/>
  <c r="H338" i="161"/>
  <c r="N337" i="161"/>
  <c r="M337" i="161"/>
  <c r="L337" i="161"/>
  <c r="K337" i="161"/>
  <c r="H337" i="161"/>
  <c r="N336" i="161"/>
  <c r="M336" i="161"/>
  <c r="L336" i="161"/>
  <c r="K336" i="161"/>
  <c r="H336" i="161"/>
  <c r="N335" i="161"/>
  <c r="M335" i="161"/>
  <c r="L335" i="161"/>
  <c r="K335" i="161"/>
  <c r="H335" i="161"/>
  <c r="N334" i="161"/>
  <c r="M334" i="161"/>
  <c r="L334" i="161"/>
  <c r="K334" i="161"/>
  <c r="H334" i="161"/>
  <c r="N333" i="161"/>
  <c r="M333" i="161"/>
  <c r="L333" i="161"/>
  <c r="K333" i="161"/>
  <c r="H333" i="161"/>
  <c r="N332" i="161"/>
  <c r="M332" i="161"/>
  <c r="L332" i="161"/>
  <c r="K332" i="161"/>
  <c r="H332" i="161"/>
  <c r="N331" i="161"/>
  <c r="M331" i="161"/>
  <c r="L331" i="161"/>
  <c r="K331" i="161"/>
  <c r="H331" i="161"/>
  <c r="N330" i="161"/>
  <c r="M330" i="161"/>
  <c r="L330" i="161"/>
  <c r="K330" i="161"/>
  <c r="H330" i="161"/>
  <c r="N329" i="161"/>
  <c r="M329" i="161"/>
  <c r="L329" i="161"/>
  <c r="K329" i="161"/>
  <c r="H329" i="161"/>
  <c r="N328" i="161"/>
  <c r="M328" i="161"/>
  <c r="L328" i="161"/>
  <c r="K328" i="161"/>
  <c r="H328" i="161"/>
  <c r="N327" i="161"/>
  <c r="M327" i="161"/>
  <c r="L327" i="161"/>
  <c r="K327" i="161"/>
  <c r="H327" i="161"/>
  <c r="N326" i="161"/>
  <c r="M326" i="161"/>
  <c r="L326" i="161"/>
  <c r="K326" i="161"/>
  <c r="H326" i="161"/>
  <c r="N325" i="161"/>
  <c r="M325" i="161"/>
  <c r="L325" i="161"/>
  <c r="K325" i="161"/>
  <c r="H325" i="161"/>
  <c r="N324" i="161"/>
  <c r="M324" i="161"/>
  <c r="L324" i="161"/>
  <c r="K324" i="161"/>
  <c r="H324" i="161"/>
  <c r="N323" i="161"/>
  <c r="M323" i="161"/>
  <c r="L323" i="161"/>
  <c r="K323" i="161"/>
  <c r="H323" i="161"/>
  <c r="N322" i="161"/>
  <c r="M322" i="161"/>
  <c r="L322" i="161"/>
  <c r="K322" i="161"/>
  <c r="H322" i="161"/>
  <c r="N321" i="161"/>
  <c r="M321" i="161"/>
  <c r="L321" i="161"/>
  <c r="K321" i="161"/>
  <c r="H321" i="161"/>
  <c r="N320" i="161"/>
  <c r="M320" i="161"/>
  <c r="L320" i="161"/>
  <c r="K320" i="161"/>
  <c r="H320" i="161"/>
  <c r="N319" i="161"/>
  <c r="M319" i="161"/>
  <c r="L319" i="161"/>
  <c r="K319" i="161"/>
  <c r="H319" i="161"/>
  <c r="N318" i="161"/>
  <c r="M318" i="161"/>
  <c r="L318" i="161"/>
  <c r="K318" i="161"/>
  <c r="H318" i="161"/>
  <c r="N317" i="161"/>
  <c r="M317" i="161"/>
  <c r="L317" i="161"/>
  <c r="K317" i="161"/>
  <c r="H317" i="161"/>
  <c r="N316" i="161"/>
  <c r="M316" i="161"/>
  <c r="L316" i="161"/>
  <c r="K316" i="161"/>
  <c r="H316" i="161"/>
  <c r="N315" i="161"/>
  <c r="M315" i="161"/>
  <c r="L315" i="161"/>
  <c r="K315" i="161"/>
  <c r="H315" i="161"/>
  <c r="N314" i="161"/>
  <c r="M314" i="161"/>
  <c r="L314" i="161"/>
  <c r="K314" i="161"/>
  <c r="H314" i="161"/>
  <c r="N313" i="161"/>
  <c r="M313" i="161"/>
  <c r="L313" i="161"/>
  <c r="K313" i="161"/>
  <c r="H313" i="161"/>
  <c r="N312" i="161"/>
  <c r="M312" i="161"/>
  <c r="L312" i="161"/>
  <c r="K312" i="161"/>
  <c r="H312" i="161"/>
  <c r="N311" i="161"/>
  <c r="M311" i="161"/>
  <c r="L311" i="161"/>
  <c r="K311" i="161"/>
  <c r="H311" i="161"/>
  <c r="N310" i="161"/>
  <c r="M310" i="161"/>
  <c r="L310" i="161"/>
  <c r="K310" i="161"/>
  <c r="H310" i="161"/>
  <c r="N309" i="161"/>
  <c r="M309" i="161"/>
  <c r="L309" i="161"/>
  <c r="K309" i="161"/>
  <c r="H309" i="161"/>
  <c r="N308" i="161"/>
  <c r="M308" i="161"/>
  <c r="L308" i="161"/>
  <c r="K308" i="161"/>
  <c r="H308" i="161"/>
  <c r="N307" i="161"/>
  <c r="M307" i="161"/>
  <c r="L307" i="161"/>
  <c r="K307" i="161"/>
  <c r="H307" i="161"/>
  <c r="N306" i="161"/>
  <c r="M306" i="161"/>
  <c r="L306" i="161"/>
  <c r="K306" i="161"/>
  <c r="H306" i="161"/>
  <c r="N305" i="161"/>
  <c r="M305" i="161"/>
  <c r="L305" i="161"/>
  <c r="K305" i="161"/>
  <c r="H305" i="161"/>
  <c r="N304" i="161"/>
  <c r="M304" i="161"/>
  <c r="L304" i="161"/>
  <c r="K304" i="161"/>
  <c r="H304" i="161"/>
  <c r="N303" i="161"/>
  <c r="M303" i="161"/>
  <c r="L303" i="161"/>
  <c r="K303" i="161"/>
  <c r="H303" i="161"/>
  <c r="N302" i="161"/>
  <c r="M302" i="161"/>
  <c r="L302" i="161"/>
  <c r="K302" i="161"/>
  <c r="H302" i="161"/>
  <c r="N301" i="161"/>
  <c r="M301" i="161"/>
  <c r="L301" i="161"/>
  <c r="K301" i="161"/>
  <c r="H301" i="161"/>
  <c r="N300" i="161"/>
  <c r="M300" i="161"/>
  <c r="L300" i="161"/>
  <c r="K300" i="161"/>
  <c r="H300" i="161"/>
  <c r="N299" i="161"/>
  <c r="M299" i="161"/>
  <c r="L299" i="161"/>
  <c r="K299" i="161"/>
  <c r="H299" i="161"/>
  <c r="N298" i="161"/>
  <c r="M298" i="161"/>
  <c r="L298" i="161"/>
  <c r="K298" i="161"/>
  <c r="H298" i="161"/>
  <c r="N297" i="161"/>
  <c r="M297" i="161"/>
  <c r="L297" i="161"/>
  <c r="K297" i="161"/>
  <c r="H297" i="161"/>
  <c r="N296" i="161"/>
  <c r="M296" i="161"/>
  <c r="L296" i="161"/>
  <c r="K296" i="161"/>
  <c r="H296" i="161"/>
  <c r="N295" i="161"/>
  <c r="M295" i="161"/>
  <c r="L295" i="161"/>
  <c r="K295" i="161"/>
  <c r="H295" i="161"/>
  <c r="N294" i="161"/>
  <c r="M294" i="161"/>
  <c r="L294" i="161"/>
  <c r="K294" i="161"/>
  <c r="H294" i="161"/>
  <c r="N293" i="161"/>
  <c r="M293" i="161"/>
  <c r="L293" i="161"/>
  <c r="K293" i="161"/>
  <c r="H293" i="161"/>
  <c r="N292" i="161"/>
  <c r="M292" i="161"/>
  <c r="L292" i="161"/>
  <c r="K292" i="161"/>
  <c r="H292" i="161"/>
  <c r="N291" i="161"/>
  <c r="M291" i="161"/>
  <c r="L291" i="161"/>
  <c r="K291" i="161"/>
  <c r="H291" i="161"/>
  <c r="N290" i="161"/>
  <c r="M290" i="161"/>
  <c r="L290" i="161"/>
  <c r="K290" i="161"/>
  <c r="H290" i="161"/>
  <c r="N289" i="161"/>
  <c r="M289" i="161"/>
  <c r="L289" i="161"/>
  <c r="K289" i="161"/>
  <c r="H289" i="161"/>
  <c r="N288" i="161"/>
  <c r="M288" i="161"/>
  <c r="L288" i="161"/>
  <c r="K288" i="161"/>
  <c r="H288" i="161"/>
  <c r="N287" i="161"/>
  <c r="M287" i="161"/>
  <c r="L287" i="161"/>
  <c r="K287" i="161"/>
  <c r="H287" i="161"/>
  <c r="N286" i="161"/>
  <c r="M286" i="161"/>
  <c r="L286" i="161"/>
  <c r="K286" i="161"/>
  <c r="H286" i="161"/>
  <c r="N285" i="161"/>
  <c r="M285" i="161"/>
  <c r="L285" i="161"/>
  <c r="K285" i="161"/>
  <c r="H285" i="161"/>
  <c r="N284" i="161"/>
  <c r="M284" i="161"/>
  <c r="L284" i="161"/>
  <c r="K284" i="161"/>
  <c r="H284" i="161"/>
  <c r="N283" i="161"/>
  <c r="M283" i="161"/>
  <c r="L283" i="161"/>
  <c r="K283" i="161"/>
  <c r="H283" i="161"/>
  <c r="N282" i="161"/>
  <c r="M282" i="161"/>
  <c r="L282" i="161"/>
  <c r="K282" i="161"/>
  <c r="H282" i="161"/>
  <c r="N281" i="161"/>
  <c r="M281" i="161"/>
  <c r="L281" i="161"/>
  <c r="K281" i="161"/>
  <c r="H281" i="161"/>
  <c r="N280" i="161"/>
  <c r="M280" i="161"/>
  <c r="L280" i="161"/>
  <c r="K280" i="161"/>
  <c r="H280" i="161"/>
  <c r="N279" i="161"/>
  <c r="M279" i="161"/>
  <c r="L279" i="161"/>
  <c r="K279" i="161"/>
  <c r="H279" i="161"/>
  <c r="N278" i="161"/>
  <c r="M278" i="161"/>
  <c r="L278" i="161"/>
  <c r="K278" i="161"/>
  <c r="H278" i="161"/>
  <c r="N277" i="161"/>
  <c r="M277" i="161"/>
  <c r="L277" i="161"/>
  <c r="K277" i="161"/>
  <c r="H277" i="161"/>
  <c r="N276" i="161"/>
  <c r="M276" i="161"/>
  <c r="L276" i="161"/>
  <c r="K276" i="161"/>
  <c r="H276" i="161"/>
  <c r="N275" i="161"/>
  <c r="M275" i="161"/>
  <c r="L275" i="161"/>
  <c r="K275" i="161"/>
  <c r="H275" i="161"/>
  <c r="N274" i="161"/>
  <c r="M274" i="161"/>
  <c r="L274" i="161"/>
  <c r="K274" i="161"/>
  <c r="H274" i="161"/>
  <c r="N273" i="161"/>
  <c r="M273" i="161"/>
  <c r="L273" i="161"/>
  <c r="K273" i="161"/>
  <c r="H273" i="161"/>
  <c r="N272" i="161"/>
  <c r="M272" i="161"/>
  <c r="L272" i="161"/>
  <c r="K272" i="161"/>
  <c r="H272" i="161"/>
  <c r="N271" i="161"/>
  <c r="M271" i="161"/>
  <c r="L271" i="161"/>
  <c r="K271" i="161"/>
  <c r="H271" i="161"/>
  <c r="N270" i="161"/>
  <c r="M270" i="161"/>
  <c r="L270" i="161"/>
  <c r="K270" i="161"/>
  <c r="H270" i="161"/>
  <c r="N269" i="161"/>
  <c r="M269" i="161"/>
  <c r="L269" i="161"/>
  <c r="K269" i="161"/>
  <c r="H269" i="161"/>
  <c r="N268" i="161"/>
  <c r="M268" i="161"/>
  <c r="L268" i="161"/>
  <c r="K268" i="161"/>
  <c r="H268" i="161"/>
  <c r="N267" i="161"/>
  <c r="M267" i="161"/>
  <c r="L267" i="161"/>
  <c r="K267" i="161"/>
  <c r="H267" i="161"/>
  <c r="N266" i="161"/>
  <c r="M266" i="161"/>
  <c r="L266" i="161"/>
  <c r="K266" i="161"/>
  <c r="H266" i="161"/>
  <c r="N265" i="161"/>
  <c r="M265" i="161"/>
  <c r="L265" i="161"/>
  <c r="K265" i="161"/>
  <c r="H265" i="161"/>
  <c r="N264" i="161"/>
  <c r="M264" i="161"/>
  <c r="L264" i="161"/>
  <c r="K264" i="161"/>
  <c r="H264" i="161"/>
  <c r="N263" i="161"/>
  <c r="M263" i="161"/>
  <c r="L263" i="161"/>
  <c r="K263" i="161"/>
  <c r="H263" i="161"/>
  <c r="N262" i="161"/>
  <c r="M262" i="161"/>
  <c r="L262" i="161"/>
  <c r="K262" i="161"/>
  <c r="H262" i="161"/>
  <c r="N261" i="161"/>
  <c r="M261" i="161"/>
  <c r="L261" i="161"/>
  <c r="K261" i="161"/>
  <c r="H261" i="161"/>
  <c r="N260" i="161"/>
  <c r="M260" i="161"/>
  <c r="L260" i="161"/>
  <c r="K260" i="161"/>
  <c r="H260" i="161"/>
  <c r="N259" i="161"/>
  <c r="M259" i="161"/>
  <c r="L259" i="161"/>
  <c r="K259" i="161"/>
  <c r="H259" i="161"/>
  <c r="N258" i="161"/>
  <c r="M258" i="161"/>
  <c r="L258" i="161"/>
  <c r="K258" i="161"/>
  <c r="H258" i="161"/>
  <c r="N257" i="161"/>
  <c r="M257" i="161"/>
  <c r="L257" i="161"/>
  <c r="K257" i="161"/>
  <c r="H257" i="161"/>
  <c r="N256" i="161"/>
  <c r="M256" i="161"/>
  <c r="L256" i="161"/>
  <c r="K256" i="161"/>
  <c r="H256" i="161"/>
  <c r="N255" i="161"/>
  <c r="M255" i="161"/>
  <c r="L255" i="161"/>
  <c r="K255" i="161"/>
  <c r="H255" i="161"/>
  <c r="N254" i="161"/>
  <c r="M254" i="161"/>
  <c r="L254" i="161"/>
  <c r="K254" i="161"/>
  <c r="H254" i="161"/>
  <c r="N253" i="161"/>
  <c r="M253" i="161"/>
  <c r="L253" i="161"/>
  <c r="K253" i="161"/>
  <c r="H253" i="161"/>
  <c r="N252" i="161"/>
  <c r="M252" i="161"/>
  <c r="L252" i="161"/>
  <c r="K252" i="161"/>
  <c r="H252" i="161"/>
  <c r="N251" i="161"/>
  <c r="M251" i="161"/>
  <c r="L251" i="161"/>
  <c r="K251" i="161"/>
  <c r="H251" i="161"/>
  <c r="N250" i="161"/>
  <c r="M250" i="161"/>
  <c r="L250" i="161"/>
  <c r="K250" i="161"/>
  <c r="H250" i="161"/>
  <c r="N249" i="161"/>
  <c r="M249" i="161"/>
  <c r="L249" i="161"/>
  <c r="K249" i="161"/>
  <c r="H249" i="161"/>
  <c r="N248" i="161"/>
  <c r="M248" i="161"/>
  <c r="L248" i="161"/>
  <c r="K248" i="161"/>
  <c r="H248" i="161"/>
  <c r="N247" i="161"/>
  <c r="M247" i="161"/>
  <c r="L247" i="161"/>
  <c r="K247" i="161"/>
  <c r="H247" i="161"/>
  <c r="N246" i="161"/>
  <c r="M246" i="161"/>
  <c r="L246" i="161"/>
  <c r="K246" i="161"/>
  <c r="H246" i="161"/>
  <c r="N245" i="161"/>
  <c r="M245" i="161"/>
  <c r="L245" i="161"/>
  <c r="K245" i="161"/>
  <c r="H245" i="161"/>
  <c r="N244" i="161"/>
  <c r="M244" i="161"/>
  <c r="L244" i="161"/>
  <c r="K244" i="161"/>
  <c r="H244" i="161"/>
  <c r="N243" i="161"/>
  <c r="M243" i="161"/>
  <c r="L243" i="161"/>
  <c r="K243" i="161"/>
  <c r="H243" i="161"/>
  <c r="N242" i="161"/>
  <c r="M242" i="161"/>
  <c r="L242" i="161"/>
  <c r="K242" i="161"/>
  <c r="H242" i="161"/>
  <c r="N241" i="161"/>
  <c r="M241" i="161"/>
  <c r="L241" i="161"/>
  <c r="K241" i="161"/>
  <c r="H241" i="161"/>
  <c r="N240" i="161"/>
  <c r="M240" i="161"/>
  <c r="L240" i="161"/>
  <c r="K240" i="161"/>
  <c r="H240" i="161"/>
  <c r="N239" i="161"/>
  <c r="M239" i="161"/>
  <c r="L239" i="161"/>
  <c r="K239" i="161"/>
  <c r="H239" i="161"/>
  <c r="N238" i="161"/>
  <c r="M238" i="161"/>
  <c r="L238" i="161"/>
  <c r="K238" i="161"/>
  <c r="H238" i="161"/>
  <c r="N237" i="161"/>
  <c r="M237" i="161"/>
  <c r="L237" i="161"/>
  <c r="K237" i="161"/>
  <c r="H237" i="161"/>
  <c r="N236" i="161"/>
  <c r="M236" i="161"/>
  <c r="L236" i="161"/>
  <c r="K236" i="161"/>
  <c r="H236" i="161"/>
  <c r="N235" i="161"/>
  <c r="M235" i="161"/>
  <c r="L235" i="161"/>
  <c r="K235" i="161"/>
  <c r="H235" i="161"/>
  <c r="N234" i="161"/>
  <c r="M234" i="161"/>
  <c r="L234" i="161"/>
  <c r="K234" i="161"/>
  <c r="H234" i="161"/>
  <c r="N233" i="161"/>
  <c r="M233" i="161"/>
  <c r="L233" i="161"/>
  <c r="K233" i="161"/>
  <c r="H233" i="161"/>
  <c r="N232" i="161"/>
  <c r="M232" i="161"/>
  <c r="L232" i="161"/>
  <c r="K232" i="161"/>
  <c r="H232" i="161"/>
  <c r="N231" i="161"/>
  <c r="M231" i="161"/>
  <c r="L231" i="161"/>
  <c r="K231" i="161"/>
  <c r="H231" i="161"/>
  <c r="N230" i="161"/>
  <c r="M230" i="161"/>
  <c r="L230" i="161"/>
  <c r="K230" i="161"/>
  <c r="H230" i="161"/>
  <c r="N229" i="161"/>
  <c r="M229" i="161"/>
  <c r="L229" i="161"/>
  <c r="K229" i="161"/>
  <c r="H229" i="161"/>
  <c r="N228" i="161"/>
  <c r="M228" i="161"/>
  <c r="L228" i="161"/>
  <c r="K228" i="161"/>
  <c r="H228" i="161"/>
  <c r="N227" i="161"/>
  <c r="M227" i="161"/>
  <c r="L227" i="161"/>
  <c r="K227" i="161"/>
  <c r="H227" i="161"/>
  <c r="N226" i="161"/>
  <c r="M226" i="161"/>
  <c r="L226" i="161"/>
  <c r="K226" i="161"/>
  <c r="H226" i="161"/>
  <c r="N225" i="161"/>
  <c r="M225" i="161"/>
  <c r="L225" i="161"/>
  <c r="K225" i="161"/>
  <c r="H225" i="161"/>
  <c r="N224" i="161"/>
  <c r="M224" i="161"/>
  <c r="L224" i="161"/>
  <c r="K224" i="161"/>
  <c r="H224" i="161"/>
  <c r="N223" i="161"/>
  <c r="M223" i="161"/>
  <c r="L223" i="161"/>
  <c r="K223" i="161"/>
  <c r="H223" i="161"/>
  <c r="N222" i="161"/>
  <c r="M222" i="161"/>
  <c r="L222" i="161"/>
  <c r="K222" i="161"/>
  <c r="H222" i="161"/>
  <c r="N221" i="161"/>
  <c r="M221" i="161"/>
  <c r="L221" i="161"/>
  <c r="K221" i="161"/>
  <c r="H221" i="161"/>
  <c r="N220" i="161"/>
  <c r="M220" i="161"/>
  <c r="L220" i="161"/>
  <c r="K220" i="161"/>
  <c r="H220" i="161"/>
  <c r="N219" i="161"/>
  <c r="M219" i="161"/>
  <c r="L219" i="161"/>
  <c r="K219" i="161"/>
  <c r="H219" i="161"/>
  <c r="N218" i="161"/>
  <c r="M218" i="161"/>
  <c r="L218" i="161"/>
  <c r="K218" i="161"/>
  <c r="H218" i="161"/>
  <c r="N217" i="161"/>
  <c r="M217" i="161"/>
  <c r="L217" i="161"/>
  <c r="K217" i="161"/>
  <c r="H217" i="161"/>
  <c r="N216" i="161"/>
  <c r="M216" i="161"/>
  <c r="L216" i="161"/>
  <c r="K216" i="161"/>
  <c r="H216" i="161"/>
  <c r="N215" i="161"/>
  <c r="M215" i="161"/>
  <c r="L215" i="161"/>
  <c r="K215" i="161"/>
  <c r="H215" i="161"/>
  <c r="N214" i="161"/>
  <c r="M214" i="161"/>
  <c r="L214" i="161"/>
  <c r="K214" i="161"/>
  <c r="H214" i="161"/>
  <c r="N213" i="161"/>
  <c r="M213" i="161"/>
  <c r="L213" i="161"/>
  <c r="K213" i="161"/>
  <c r="H213" i="161"/>
  <c r="N212" i="161"/>
  <c r="M212" i="161"/>
  <c r="L212" i="161"/>
  <c r="K212" i="161"/>
  <c r="H212" i="161"/>
  <c r="N211" i="161"/>
  <c r="M211" i="161"/>
  <c r="L211" i="161"/>
  <c r="K211" i="161"/>
  <c r="H211" i="161"/>
  <c r="N210" i="161"/>
  <c r="M210" i="161"/>
  <c r="L210" i="161"/>
  <c r="K210" i="161"/>
  <c r="H210" i="161"/>
  <c r="N209" i="161"/>
  <c r="M209" i="161"/>
  <c r="L209" i="161"/>
  <c r="K209" i="161"/>
  <c r="H209" i="161"/>
  <c r="N208" i="161"/>
  <c r="M208" i="161"/>
  <c r="L208" i="161"/>
  <c r="K208" i="161"/>
  <c r="H208" i="161"/>
  <c r="N207" i="161"/>
  <c r="M207" i="161"/>
  <c r="L207" i="161"/>
  <c r="K207" i="161"/>
  <c r="H207" i="161"/>
  <c r="N206" i="161"/>
  <c r="M206" i="161"/>
  <c r="L206" i="161"/>
  <c r="K206" i="161"/>
  <c r="H206" i="161"/>
  <c r="N205" i="161"/>
  <c r="M205" i="161"/>
  <c r="L205" i="161"/>
  <c r="K205" i="161"/>
  <c r="H205" i="161"/>
  <c r="N204" i="161"/>
  <c r="M204" i="161"/>
  <c r="L204" i="161"/>
  <c r="K204" i="161"/>
  <c r="H204" i="161"/>
  <c r="N203" i="161"/>
  <c r="M203" i="161"/>
  <c r="L203" i="161"/>
  <c r="K203" i="161"/>
  <c r="H203" i="161"/>
  <c r="N202" i="161"/>
  <c r="M202" i="161"/>
  <c r="L202" i="161"/>
  <c r="K202" i="161"/>
  <c r="H202" i="161"/>
  <c r="N201" i="161"/>
  <c r="M201" i="161"/>
  <c r="L201" i="161"/>
  <c r="K201" i="161"/>
  <c r="H201" i="161"/>
  <c r="N200" i="161"/>
  <c r="M200" i="161"/>
  <c r="L200" i="161"/>
  <c r="K200" i="161"/>
  <c r="H200" i="161"/>
  <c r="N199" i="161"/>
  <c r="M199" i="161"/>
  <c r="L199" i="161"/>
  <c r="K199" i="161"/>
  <c r="H199" i="161"/>
  <c r="N198" i="161"/>
  <c r="M198" i="161"/>
  <c r="L198" i="161"/>
  <c r="K198" i="161"/>
  <c r="H198" i="161"/>
  <c r="N197" i="161"/>
  <c r="M197" i="161"/>
  <c r="L197" i="161"/>
  <c r="K197" i="161"/>
  <c r="H197" i="161"/>
  <c r="N196" i="161"/>
  <c r="M196" i="161"/>
  <c r="L196" i="161"/>
  <c r="K196" i="161"/>
  <c r="H196" i="161"/>
  <c r="N195" i="161"/>
  <c r="M195" i="161"/>
  <c r="L195" i="161"/>
  <c r="K195" i="161"/>
  <c r="H195" i="161"/>
  <c r="N194" i="161"/>
  <c r="M194" i="161"/>
  <c r="L194" i="161"/>
  <c r="K194" i="161"/>
  <c r="H194" i="161"/>
  <c r="N193" i="161"/>
  <c r="M193" i="161"/>
  <c r="L193" i="161"/>
  <c r="K193" i="161"/>
  <c r="H193" i="161"/>
  <c r="N192" i="161"/>
  <c r="M192" i="161"/>
  <c r="L192" i="161"/>
  <c r="K192" i="161"/>
  <c r="H192" i="161"/>
  <c r="N191" i="161"/>
  <c r="M191" i="161"/>
  <c r="L191" i="161"/>
  <c r="K191" i="161"/>
  <c r="H191" i="161"/>
  <c r="N190" i="161"/>
  <c r="M190" i="161"/>
  <c r="L190" i="161"/>
  <c r="K190" i="161"/>
  <c r="H190" i="161"/>
  <c r="N189" i="161"/>
  <c r="M189" i="161"/>
  <c r="L189" i="161"/>
  <c r="K189" i="161"/>
  <c r="H189" i="161"/>
  <c r="N188" i="161"/>
  <c r="M188" i="161"/>
  <c r="L188" i="161"/>
  <c r="K188" i="161"/>
  <c r="H188" i="161"/>
  <c r="N187" i="161"/>
  <c r="M187" i="161"/>
  <c r="L187" i="161"/>
  <c r="K187" i="161"/>
  <c r="H187" i="161"/>
  <c r="N186" i="161"/>
  <c r="M186" i="161"/>
  <c r="L186" i="161"/>
  <c r="K186" i="161"/>
  <c r="H186" i="161"/>
  <c r="N185" i="161"/>
  <c r="M185" i="161"/>
  <c r="L185" i="161"/>
  <c r="K185" i="161"/>
  <c r="H185" i="161"/>
  <c r="N184" i="161"/>
  <c r="M184" i="161"/>
  <c r="L184" i="161"/>
  <c r="K184" i="161"/>
  <c r="H184" i="161"/>
  <c r="N183" i="161"/>
  <c r="M183" i="161"/>
  <c r="L183" i="161"/>
  <c r="K183" i="161"/>
  <c r="H183" i="161"/>
  <c r="N182" i="161"/>
  <c r="M182" i="161"/>
  <c r="L182" i="161"/>
  <c r="K182" i="161"/>
  <c r="H182" i="161"/>
  <c r="N181" i="161"/>
  <c r="M181" i="161"/>
  <c r="L181" i="161"/>
  <c r="K181" i="161"/>
  <c r="H181" i="161"/>
  <c r="N180" i="161"/>
  <c r="M180" i="161"/>
  <c r="L180" i="161"/>
  <c r="K180" i="161"/>
  <c r="H180" i="161"/>
  <c r="N179" i="161"/>
  <c r="M179" i="161"/>
  <c r="L179" i="161"/>
  <c r="K179" i="161"/>
  <c r="H179" i="161"/>
  <c r="N178" i="161"/>
  <c r="M178" i="161"/>
  <c r="L178" i="161"/>
  <c r="K178" i="161"/>
  <c r="H178" i="161"/>
  <c r="N177" i="161"/>
  <c r="M177" i="161"/>
  <c r="L177" i="161"/>
  <c r="K177" i="161"/>
  <c r="H177" i="161"/>
  <c r="N176" i="161"/>
  <c r="M176" i="161"/>
  <c r="L176" i="161"/>
  <c r="K176" i="161"/>
  <c r="H176" i="161"/>
  <c r="N175" i="161"/>
  <c r="M175" i="161"/>
  <c r="L175" i="161"/>
  <c r="K175" i="161"/>
  <c r="H175" i="161"/>
  <c r="N174" i="161"/>
  <c r="M174" i="161"/>
  <c r="L174" i="161"/>
  <c r="K174" i="161"/>
  <c r="H174" i="161"/>
  <c r="N173" i="161"/>
  <c r="M173" i="161"/>
  <c r="L173" i="161"/>
  <c r="K173" i="161"/>
  <c r="H173" i="161"/>
  <c r="N172" i="161"/>
  <c r="M172" i="161"/>
  <c r="L172" i="161"/>
  <c r="K172" i="161"/>
  <c r="H172" i="161"/>
  <c r="N171" i="161"/>
  <c r="M171" i="161"/>
  <c r="L171" i="161"/>
  <c r="K171" i="161"/>
  <c r="H171" i="161"/>
  <c r="N170" i="161"/>
  <c r="M170" i="161"/>
  <c r="L170" i="161"/>
  <c r="K170" i="161"/>
  <c r="H170" i="161"/>
  <c r="N169" i="161"/>
  <c r="M169" i="161"/>
  <c r="L169" i="161"/>
  <c r="K169" i="161"/>
  <c r="H169" i="161"/>
  <c r="N168" i="161"/>
  <c r="M168" i="161"/>
  <c r="L168" i="161"/>
  <c r="K168" i="161"/>
  <c r="H168" i="161"/>
  <c r="N167" i="161"/>
  <c r="M167" i="161"/>
  <c r="L167" i="161"/>
  <c r="K167" i="161"/>
  <c r="H167" i="161"/>
  <c r="N166" i="161"/>
  <c r="M166" i="161"/>
  <c r="L166" i="161"/>
  <c r="K166" i="161"/>
  <c r="H166" i="161"/>
  <c r="N165" i="161"/>
  <c r="M165" i="161"/>
  <c r="L165" i="161"/>
  <c r="K165" i="161"/>
  <c r="H165" i="161"/>
  <c r="N164" i="161"/>
  <c r="M164" i="161"/>
  <c r="L164" i="161"/>
  <c r="K164" i="161"/>
  <c r="H164" i="161"/>
  <c r="N163" i="161"/>
  <c r="M163" i="161"/>
  <c r="L163" i="161"/>
  <c r="K163" i="161"/>
  <c r="H163" i="161"/>
  <c r="N162" i="161"/>
  <c r="M162" i="161"/>
  <c r="L162" i="161"/>
  <c r="K162" i="161"/>
  <c r="H162" i="161"/>
  <c r="N161" i="161"/>
  <c r="M161" i="161"/>
  <c r="L161" i="161"/>
  <c r="K161" i="161"/>
  <c r="H161" i="161"/>
  <c r="N160" i="161"/>
  <c r="M160" i="161"/>
  <c r="L160" i="161"/>
  <c r="K160" i="161"/>
  <c r="H160" i="161"/>
  <c r="N159" i="161"/>
  <c r="M159" i="161"/>
  <c r="L159" i="161"/>
  <c r="K159" i="161"/>
  <c r="H159" i="161"/>
  <c r="N158" i="161"/>
  <c r="M158" i="161"/>
  <c r="L158" i="161"/>
  <c r="K158" i="161"/>
  <c r="H158" i="161"/>
  <c r="N157" i="161"/>
  <c r="M157" i="161"/>
  <c r="L157" i="161"/>
  <c r="K157" i="161"/>
  <c r="H157" i="161"/>
  <c r="N156" i="161"/>
  <c r="M156" i="161"/>
  <c r="L156" i="161"/>
  <c r="K156" i="161"/>
  <c r="H156" i="161"/>
  <c r="N155" i="161"/>
  <c r="M155" i="161"/>
  <c r="L155" i="161"/>
  <c r="K155" i="161"/>
  <c r="H155" i="161"/>
  <c r="N154" i="161"/>
  <c r="M154" i="161"/>
  <c r="L154" i="161"/>
  <c r="K154" i="161"/>
  <c r="H154" i="161"/>
  <c r="N153" i="161"/>
  <c r="M153" i="161"/>
  <c r="L153" i="161"/>
  <c r="K153" i="161"/>
  <c r="H153" i="161"/>
  <c r="N152" i="161"/>
  <c r="M152" i="161"/>
  <c r="L152" i="161"/>
  <c r="K152" i="161"/>
  <c r="H152" i="161"/>
  <c r="N151" i="161"/>
  <c r="M151" i="161"/>
  <c r="L151" i="161"/>
  <c r="K151" i="161"/>
  <c r="H151" i="161"/>
  <c r="N150" i="161"/>
  <c r="M150" i="161"/>
  <c r="L150" i="161"/>
  <c r="K150" i="161"/>
  <c r="H150" i="161"/>
  <c r="N149" i="161"/>
  <c r="M149" i="161"/>
  <c r="L149" i="161"/>
  <c r="K149" i="161"/>
  <c r="H149" i="161"/>
  <c r="N148" i="161"/>
  <c r="M148" i="161"/>
  <c r="L148" i="161"/>
  <c r="K148" i="161"/>
  <c r="H148" i="161"/>
  <c r="N147" i="161"/>
  <c r="M147" i="161"/>
  <c r="L147" i="161"/>
  <c r="K147" i="161"/>
  <c r="H147" i="161"/>
  <c r="N146" i="161"/>
  <c r="M146" i="161"/>
  <c r="L146" i="161"/>
  <c r="K146" i="161"/>
  <c r="H146" i="161"/>
  <c r="N145" i="161"/>
  <c r="M145" i="161"/>
  <c r="L145" i="161"/>
  <c r="K145" i="161"/>
  <c r="H145" i="161"/>
  <c r="N144" i="161"/>
  <c r="M144" i="161"/>
  <c r="L144" i="161"/>
  <c r="K144" i="161"/>
  <c r="H144" i="161"/>
  <c r="N143" i="161"/>
  <c r="M143" i="161"/>
  <c r="L143" i="161"/>
  <c r="K143" i="161"/>
  <c r="H143" i="161"/>
  <c r="N142" i="161"/>
  <c r="M142" i="161"/>
  <c r="L142" i="161"/>
  <c r="K142" i="161"/>
  <c r="H142" i="161"/>
  <c r="N141" i="161"/>
  <c r="M141" i="161"/>
  <c r="L141" i="161"/>
  <c r="K141" i="161"/>
  <c r="H141" i="161"/>
  <c r="N140" i="161"/>
  <c r="M140" i="161"/>
  <c r="L140" i="161"/>
  <c r="K140" i="161"/>
  <c r="H140" i="161"/>
  <c r="N139" i="161"/>
  <c r="M139" i="161"/>
  <c r="L139" i="161"/>
  <c r="K139" i="161"/>
  <c r="H139" i="161"/>
  <c r="N138" i="161"/>
  <c r="M138" i="161"/>
  <c r="L138" i="161"/>
  <c r="K138" i="161"/>
  <c r="H138" i="161"/>
  <c r="N137" i="161"/>
  <c r="M137" i="161"/>
  <c r="L137" i="161"/>
  <c r="K137" i="161"/>
  <c r="H137" i="161"/>
  <c r="N136" i="161"/>
  <c r="M136" i="161"/>
  <c r="L136" i="161"/>
  <c r="K136" i="161"/>
  <c r="H136" i="161"/>
  <c r="N135" i="161"/>
  <c r="M135" i="161"/>
  <c r="L135" i="161"/>
  <c r="K135" i="161"/>
  <c r="H135" i="161"/>
  <c r="N134" i="161"/>
  <c r="M134" i="161"/>
  <c r="L134" i="161"/>
  <c r="K134" i="161"/>
  <c r="H134" i="161"/>
  <c r="N133" i="161"/>
  <c r="M133" i="161"/>
  <c r="L133" i="161"/>
  <c r="K133" i="161"/>
  <c r="H133" i="161"/>
  <c r="N132" i="161"/>
  <c r="M132" i="161"/>
  <c r="L132" i="161"/>
  <c r="K132" i="161"/>
  <c r="H132" i="161"/>
  <c r="N131" i="161"/>
  <c r="M131" i="161"/>
  <c r="L131" i="161"/>
  <c r="K131" i="161"/>
  <c r="H131" i="161"/>
  <c r="N130" i="161"/>
  <c r="M130" i="161"/>
  <c r="L130" i="161"/>
  <c r="K130" i="161"/>
  <c r="H130" i="161"/>
  <c r="N129" i="161"/>
  <c r="M129" i="161"/>
  <c r="L129" i="161"/>
  <c r="K129" i="161"/>
  <c r="H129" i="161"/>
  <c r="N128" i="161"/>
  <c r="M128" i="161"/>
  <c r="L128" i="161"/>
  <c r="K128" i="161"/>
  <c r="H128" i="161"/>
  <c r="N127" i="161"/>
  <c r="M127" i="161"/>
  <c r="L127" i="161"/>
  <c r="K127" i="161"/>
  <c r="H127" i="161"/>
  <c r="N126" i="161"/>
  <c r="M126" i="161"/>
  <c r="L126" i="161"/>
  <c r="K126" i="161"/>
  <c r="H126" i="161"/>
  <c r="N125" i="161"/>
  <c r="M125" i="161"/>
  <c r="L125" i="161"/>
  <c r="K125" i="161"/>
  <c r="H125" i="161"/>
  <c r="N124" i="161"/>
  <c r="M124" i="161"/>
  <c r="L124" i="161"/>
  <c r="K124" i="161"/>
  <c r="H124" i="161"/>
  <c r="N123" i="161"/>
  <c r="M123" i="161"/>
  <c r="L123" i="161"/>
  <c r="K123" i="161"/>
  <c r="H123" i="161"/>
  <c r="N122" i="161"/>
  <c r="M122" i="161"/>
  <c r="L122" i="161"/>
  <c r="K122" i="161"/>
  <c r="H122" i="161"/>
  <c r="N121" i="161"/>
  <c r="M121" i="161"/>
  <c r="L121" i="161"/>
  <c r="K121" i="161"/>
  <c r="H121" i="161"/>
  <c r="N120" i="161"/>
  <c r="M120" i="161"/>
  <c r="L120" i="161"/>
  <c r="K120" i="161"/>
  <c r="H120" i="161"/>
  <c r="N119" i="161"/>
  <c r="M119" i="161"/>
  <c r="L119" i="161"/>
  <c r="K119" i="161"/>
  <c r="H119" i="161"/>
  <c r="N118" i="161"/>
  <c r="M118" i="161"/>
  <c r="L118" i="161"/>
  <c r="K118" i="161"/>
  <c r="H118" i="161"/>
  <c r="N117" i="161"/>
  <c r="M117" i="161"/>
  <c r="L117" i="161"/>
  <c r="K117" i="161"/>
  <c r="H117" i="161"/>
  <c r="N116" i="161"/>
  <c r="M116" i="161"/>
  <c r="L116" i="161"/>
  <c r="K116" i="161"/>
  <c r="H116" i="161"/>
  <c r="N115" i="161"/>
  <c r="M115" i="161"/>
  <c r="L115" i="161"/>
  <c r="K115" i="161"/>
  <c r="H115" i="161"/>
  <c r="N114" i="161"/>
  <c r="M114" i="161"/>
  <c r="L114" i="161"/>
  <c r="K114" i="161"/>
  <c r="H114" i="161"/>
  <c r="N113" i="161"/>
  <c r="M113" i="161"/>
  <c r="L113" i="161"/>
  <c r="K113" i="161"/>
  <c r="H113" i="161"/>
  <c r="N112" i="161"/>
  <c r="M112" i="161"/>
  <c r="L112" i="161"/>
  <c r="K112" i="161"/>
  <c r="H112" i="161"/>
  <c r="N111" i="161"/>
  <c r="M111" i="161"/>
  <c r="L111" i="161"/>
  <c r="K111" i="161"/>
  <c r="H111" i="161"/>
  <c r="N110" i="161"/>
  <c r="M110" i="161"/>
  <c r="L110" i="161"/>
  <c r="K110" i="161"/>
  <c r="H110" i="161"/>
  <c r="N109" i="161"/>
  <c r="M109" i="161"/>
  <c r="L109" i="161"/>
  <c r="K109" i="161"/>
  <c r="H109" i="161"/>
  <c r="N108" i="161"/>
  <c r="M108" i="161"/>
  <c r="L108" i="161"/>
  <c r="K108" i="161"/>
  <c r="H108" i="161"/>
  <c r="N107" i="161"/>
  <c r="M107" i="161"/>
  <c r="L107" i="161"/>
  <c r="K107" i="161"/>
  <c r="H107" i="161"/>
  <c r="N106" i="161"/>
  <c r="M106" i="161"/>
  <c r="L106" i="161"/>
  <c r="K106" i="161"/>
  <c r="H106" i="161"/>
  <c r="N105" i="161"/>
  <c r="M105" i="161"/>
  <c r="L105" i="161"/>
  <c r="K105" i="161"/>
  <c r="H105" i="161"/>
  <c r="N104" i="161"/>
  <c r="M104" i="161"/>
  <c r="L104" i="161"/>
  <c r="K104" i="161"/>
  <c r="H104" i="161"/>
  <c r="N103" i="161"/>
  <c r="M103" i="161"/>
  <c r="L103" i="161"/>
  <c r="K103" i="161"/>
  <c r="H103" i="161"/>
  <c r="N102" i="161"/>
  <c r="M102" i="161"/>
  <c r="L102" i="161"/>
  <c r="K102" i="161"/>
  <c r="H102" i="161"/>
  <c r="N101" i="161"/>
  <c r="M101" i="161"/>
  <c r="L101" i="161"/>
  <c r="K101" i="161"/>
  <c r="H101" i="161"/>
  <c r="N100" i="161"/>
  <c r="M100" i="161"/>
  <c r="L100" i="161"/>
  <c r="K100" i="161"/>
  <c r="H100" i="161"/>
  <c r="N99" i="161"/>
  <c r="M99" i="161"/>
  <c r="L99" i="161"/>
  <c r="K99" i="161"/>
  <c r="H99" i="161"/>
  <c r="N98" i="161"/>
  <c r="M98" i="161"/>
  <c r="L98" i="161"/>
  <c r="K98" i="161"/>
  <c r="H98" i="161"/>
  <c r="N97" i="161"/>
  <c r="M97" i="161"/>
  <c r="L97" i="161"/>
  <c r="K97" i="161"/>
  <c r="H97" i="161"/>
  <c r="N96" i="161"/>
  <c r="M96" i="161"/>
  <c r="L96" i="161"/>
  <c r="K96" i="161"/>
  <c r="H96" i="161"/>
  <c r="N95" i="161"/>
  <c r="M95" i="161"/>
  <c r="L95" i="161"/>
  <c r="K95" i="161"/>
  <c r="H95" i="161"/>
  <c r="N94" i="161"/>
  <c r="M94" i="161"/>
  <c r="L94" i="161"/>
  <c r="K94" i="161"/>
  <c r="H94" i="161"/>
  <c r="N93" i="161"/>
  <c r="M93" i="161"/>
  <c r="L93" i="161"/>
  <c r="K93" i="161"/>
  <c r="H93" i="161"/>
  <c r="N92" i="161"/>
  <c r="M92" i="161"/>
  <c r="L92" i="161"/>
  <c r="K92" i="161"/>
  <c r="H92" i="161"/>
  <c r="N91" i="161"/>
  <c r="M91" i="161"/>
  <c r="L91" i="161"/>
  <c r="K91" i="161"/>
  <c r="H91" i="161"/>
  <c r="N90" i="161"/>
  <c r="M90" i="161"/>
  <c r="L90" i="161"/>
  <c r="K90" i="161"/>
  <c r="H90" i="161"/>
  <c r="N89" i="161"/>
  <c r="M89" i="161"/>
  <c r="L89" i="161"/>
  <c r="K89" i="161"/>
  <c r="H89" i="161"/>
  <c r="N88" i="161"/>
  <c r="M88" i="161"/>
  <c r="L88" i="161"/>
  <c r="K88" i="161"/>
  <c r="H88" i="161"/>
  <c r="N87" i="161"/>
  <c r="M87" i="161"/>
  <c r="L87" i="161"/>
  <c r="K87" i="161"/>
  <c r="H87" i="161"/>
  <c r="N86" i="161"/>
  <c r="M86" i="161"/>
  <c r="L86" i="161"/>
  <c r="K86" i="161"/>
  <c r="H86" i="161"/>
  <c r="N85" i="161"/>
  <c r="M85" i="161"/>
  <c r="L85" i="161"/>
  <c r="K85" i="161"/>
  <c r="H85" i="161"/>
  <c r="N84" i="161"/>
  <c r="M84" i="161"/>
  <c r="L84" i="161"/>
  <c r="K84" i="161"/>
  <c r="H84" i="161"/>
  <c r="N83" i="161"/>
  <c r="M83" i="161"/>
  <c r="L83" i="161"/>
  <c r="K83" i="161"/>
  <c r="H83" i="161"/>
  <c r="N82" i="161"/>
  <c r="M82" i="161"/>
  <c r="L82" i="161"/>
  <c r="K82" i="161"/>
  <c r="H82" i="161"/>
  <c r="N81" i="161"/>
  <c r="M81" i="161"/>
  <c r="L81" i="161"/>
  <c r="K81" i="161"/>
  <c r="H81" i="161"/>
  <c r="N80" i="161"/>
  <c r="M80" i="161"/>
  <c r="L80" i="161"/>
  <c r="K80" i="161"/>
  <c r="H80" i="161"/>
  <c r="N79" i="161"/>
  <c r="M79" i="161"/>
  <c r="L79" i="161"/>
  <c r="K79" i="161"/>
  <c r="H79" i="161"/>
  <c r="N78" i="161"/>
  <c r="M78" i="161"/>
  <c r="L78" i="161"/>
  <c r="K78" i="161"/>
  <c r="H78" i="161"/>
  <c r="N77" i="161"/>
  <c r="M77" i="161"/>
  <c r="L77" i="161"/>
  <c r="K77" i="161"/>
  <c r="H77" i="161"/>
  <c r="N76" i="161"/>
  <c r="M76" i="161"/>
  <c r="L76" i="161"/>
  <c r="K76" i="161"/>
  <c r="H76" i="161"/>
  <c r="N75" i="161"/>
  <c r="M75" i="161"/>
  <c r="L75" i="161"/>
  <c r="K75" i="161"/>
  <c r="H75" i="161"/>
  <c r="N74" i="161"/>
  <c r="M74" i="161"/>
  <c r="L74" i="161"/>
  <c r="K74" i="161"/>
  <c r="H74" i="161"/>
  <c r="N73" i="161"/>
  <c r="M73" i="161"/>
  <c r="L73" i="161"/>
  <c r="K73" i="161"/>
  <c r="H73" i="161"/>
  <c r="N72" i="161"/>
  <c r="M72" i="161"/>
  <c r="L72" i="161"/>
  <c r="K72" i="161"/>
  <c r="H72" i="161"/>
  <c r="N71" i="161"/>
  <c r="M71" i="161"/>
  <c r="L71" i="161"/>
  <c r="K71" i="161"/>
  <c r="H71" i="161"/>
  <c r="N70" i="161"/>
  <c r="M70" i="161"/>
  <c r="L70" i="161"/>
  <c r="K70" i="161"/>
  <c r="H70" i="161"/>
  <c r="N69" i="161"/>
  <c r="M69" i="161"/>
  <c r="L69" i="161"/>
  <c r="K69" i="161"/>
  <c r="H69" i="161"/>
  <c r="N68" i="161"/>
  <c r="M68" i="161"/>
  <c r="L68" i="161"/>
  <c r="K68" i="161"/>
  <c r="H68" i="161"/>
  <c r="N67" i="161"/>
  <c r="M67" i="161"/>
  <c r="L67" i="161"/>
  <c r="K67" i="161"/>
  <c r="H67" i="161"/>
  <c r="N66" i="161"/>
  <c r="M66" i="161"/>
  <c r="L66" i="161"/>
  <c r="K66" i="161"/>
  <c r="H66" i="161"/>
  <c r="N65" i="161"/>
  <c r="M65" i="161"/>
  <c r="L65" i="161"/>
  <c r="K65" i="161"/>
  <c r="H65" i="161"/>
  <c r="N64" i="161"/>
  <c r="M64" i="161"/>
  <c r="L64" i="161"/>
  <c r="K64" i="161"/>
  <c r="H64" i="161"/>
  <c r="N63" i="161"/>
  <c r="M63" i="161"/>
  <c r="L63" i="161"/>
  <c r="K63" i="161"/>
  <c r="H63" i="161"/>
  <c r="N62" i="161"/>
  <c r="M62" i="161"/>
  <c r="L62" i="161"/>
  <c r="K62" i="161"/>
  <c r="H62" i="161"/>
  <c r="N61" i="161"/>
  <c r="M61" i="161"/>
  <c r="L61" i="161"/>
  <c r="K61" i="161"/>
  <c r="H61" i="161"/>
  <c r="N60" i="161"/>
  <c r="M60" i="161"/>
  <c r="L60" i="161"/>
  <c r="K60" i="161"/>
  <c r="H60" i="161"/>
  <c r="N59" i="161"/>
  <c r="M59" i="161"/>
  <c r="L59" i="161"/>
  <c r="K59" i="161"/>
  <c r="H59" i="161"/>
  <c r="N58" i="161"/>
  <c r="M58" i="161"/>
  <c r="L58" i="161"/>
  <c r="K58" i="161"/>
  <c r="H58" i="161"/>
  <c r="N57" i="161"/>
  <c r="M57" i="161"/>
  <c r="L57" i="161"/>
  <c r="K57" i="161"/>
  <c r="H57" i="161"/>
  <c r="N56" i="161"/>
  <c r="M56" i="161"/>
  <c r="L56" i="161"/>
  <c r="K56" i="161"/>
  <c r="H56" i="161"/>
  <c r="N55" i="161"/>
  <c r="M55" i="161"/>
  <c r="L55" i="161"/>
  <c r="K55" i="161"/>
  <c r="H55" i="161"/>
  <c r="N54" i="161"/>
  <c r="M54" i="161"/>
  <c r="L54" i="161"/>
  <c r="K54" i="161"/>
  <c r="H54" i="161"/>
  <c r="N53" i="161"/>
  <c r="M53" i="161"/>
  <c r="L53" i="161"/>
  <c r="K53" i="161"/>
  <c r="H53" i="161"/>
  <c r="N52" i="161"/>
  <c r="M52" i="161"/>
  <c r="L52" i="161"/>
  <c r="K52" i="161"/>
  <c r="H52" i="161"/>
  <c r="N51" i="161"/>
  <c r="M51" i="161"/>
  <c r="L51" i="161"/>
  <c r="K51" i="161"/>
  <c r="H51" i="161"/>
  <c r="N50" i="161"/>
  <c r="M50" i="161"/>
  <c r="L50" i="161"/>
  <c r="K50" i="161"/>
  <c r="H50" i="161"/>
  <c r="N49" i="161"/>
  <c r="M49" i="161"/>
  <c r="L49" i="161"/>
  <c r="K49" i="161"/>
  <c r="H49" i="161"/>
  <c r="N48" i="161"/>
  <c r="M48" i="161"/>
  <c r="L48" i="161"/>
  <c r="K48" i="161"/>
  <c r="H48" i="161"/>
  <c r="N47" i="161"/>
  <c r="M47" i="161"/>
  <c r="L47" i="161"/>
  <c r="K47" i="161"/>
  <c r="H47" i="161"/>
  <c r="N46" i="161"/>
  <c r="M46" i="161"/>
  <c r="L46" i="161"/>
  <c r="K46" i="161"/>
  <c r="H46" i="161"/>
  <c r="N45" i="161"/>
  <c r="M45" i="161"/>
  <c r="L45" i="161"/>
  <c r="K45" i="161"/>
  <c r="H45" i="161"/>
  <c r="N44" i="161"/>
  <c r="M44" i="161"/>
  <c r="L44" i="161"/>
  <c r="K44" i="161"/>
  <c r="H44" i="161"/>
  <c r="N43" i="161"/>
  <c r="M43" i="161"/>
  <c r="L43" i="161"/>
  <c r="K43" i="161"/>
  <c r="H43" i="161"/>
  <c r="N42" i="161"/>
  <c r="M42" i="161"/>
  <c r="L42" i="161"/>
  <c r="K42" i="161"/>
  <c r="H42" i="161"/>
  <c r="N41" i="161"/>
  <c r="M41" i="161"/>
  <c r="L41" i="161"/>
  <c r="K41" i="161"/>
  <c r="H41" i="161"/>
  <c r="N40" i="161"/>
  <c r="M40" i="161"/>
  <c r="L40" i="161"/>
  <c r="K40" i="161"/>
  <c r="H40" i="161"/>
  <c r="N39" i="161"/>
  <c r="M39" i="161"/>
  <c r="L39" i="161"/>
  <c r="K39" i="161"/>
  <c r="H39" i="161"/>
  <c r="N38" i="161"/>
  <c r="M38" i="161"/>
  <c r="L38" i="161"/>
  <c r="K38" i="161"/>
  <c r="H38" i="161"/>
  <c r="N37" i="161"/>
  <c r="M37" i="161"/>
  <c r="L37" i="161"/>
  <c r="K37" i="161"/>
  <c r="H37" i="161"/>
  <c r="N36" i="161"/>
  <c r="M36" i="161"/>
  <c r="L36" i="161"/>
  <c r="K36" i="161"/>
  <c r="H36" i="161"/>
  <c r="N35" i="161"/>
  <c r="M35" i="161"/>
  <c r="L35" i="161"/>
  <c r="K35" i="161"/>
  <c r="H35" i="161"/>
  <c r="N34" i="161"/>
  <c r="M34" i="161"/>
  <c r="L34" i="161"/>
  <c r="K34" i="161"/>
  <c r="H34" i="161"/>
  <c r="N33" i="161"/>
  <c r="M33" i="161"/>
  <c r="L33" i="161"/>
  <c r="K33" i="161"/>
  <c r="H33" i="161"/>
  <c r="N32" i="161"/>
  <c r="M32" i="161"/>
  <c r="L32" i="161"/>
  <c r="K32" i="161"/>
  <c r="H32" i="161"/>
  <c r="N31" i="161"/>
  <c r="M31" i="161"/>
  <c r="L31" i="161"/>
  <c r="K31" i="161"/>
  <c r="H31" i="161"/>
  <c r="N30" i="161"/>
  <c r="M30" i="161"/>
  <c r="L30" i="161"/>
  <c r="K30" i="161"/>
  <c r="H30" i="161"/>
  <c r="N29" i="161"/>
  <c r="M29" i="161"/>
  <c r="L29" i="161"/>
  <c r="K29" i="161"/>
  <c r="H29" i="161"/>
  <c r="N28" i="161"/>
  <c r="M28" i="161"/>
  <c r="L28" i="161"/>
  <c r="K28" i="161"/>
  <c r="H28" i="161"/>
  <c r="N27" i="161"/>
  <c r="M27" i="161"/>
  <c r="L27" i="161"/>
  <c r="K27" i="161"/>
  <c r="H27" i="161"/>
  <c r="N26" i="161"/>
  <c r="M26" i="161"/>
  <c r="L26" i="161"/>
  <c r="K26" i="161"/>
  <c r="H26" i="161"/>
  <c r="N25" i="161"/>
  <c r="M25" i="161"/>
  <c r="L25" i="161"/>
  <c r="K25" i="161"/>
  <c r="H25" i="161"/>
  <c r="N24" i="161"/>
  <c r="M24" i="161"/>
  <c r="L24" i="161"/>
  <c r="K24" i="161"/>
  <c r="H24" i="161"/>
  <c r="N23" i="161"/>
  <c r="M23" i="161"/>
  <c r="L23" i="161"/>
  <c r="K23" i="161"/>
  <c r="H23" i="161"/>
  <c r="N22" i="161"/>
  <c r="M22" i="161"/>
  <c r="L22" i="161"/>
  <c r="K22" i="161"/>
  <c r="H22" i="161"/>
  <c r="N21" i="161"/>
  <c r="M21" i="161"/>
  <c r="L21" i="161"/>
  <c r="K21" i="161"/>
  <c r="H21" i="161"/>
  <c r="N20" i="161"/>
  <c r="M20" i="161"/>
  <c r="L20" i="161"/>
  <c r="K20" i="161"/>
  <c r="H20" i="161"/>
  <c r="N19" i="161"/>
  <c r="M19" i="161"/>
  <c r="L19" i="161"/>
  <c r="K19" i="161"/>
  <c r="H19" i="161"/>
  <c r="N18" i="161"/>
  <c r="M18" i="161"/>
  <c r="L18" i="161"/>
  <c r="K18" i="161"/>
  <c r="H18" i="161"/>
  <c r="N17" i="161"/>
  <c r="M17" i="161"/>
  <c r="L17" i="161"/>
  <c r="K17" i="161"/>
  <c r="H17" i="161"/>
  <c r="N16" i="161"/>
  <c r="M16" i="161"/>
  <c r="L16" i="161"/>
  <c r="K16" i="161"/>
  <c r="H16" i="161"/>
  <c r="N15" i="161"/>
  <c r="M15" i="161"/>
  <c r="L15" i="161"/>
  <c r="K15" i="161"/>
  <c r="H15" i="161"/>
  <c r="N14" i="161"/>
  <c r="M14" i="161"/>
  <c r="L14" i="161"/>
  <c r="K14" i="161"/>
  <c r="H14" i="161"/>
  <c r="N13" i="161"/>
  <c r="M13" i="161"/>
  <c r="L13" i="161"/>
  <c r="K13" i="161"/>
  <c r="H13" i="161"/>
  <c r="N12" i="161"/>
  <c r="M12" i="161"/>
  <c r="L12" i="161"/>
  <c r="K12" i="161"/>
  <c r="H12" i="161"/>
  <c r="N11" i="161"/>
  <c r="M11" i="161"/>
  <c r="L11" i="161"/>
  <c r="K11" i="161"/>
  <c r="H11" i="161"/>
  <c r="N10" i="161"/>
  <c r="M10" i="161"/>
  <c r="L10" i="161"/>
  <c r="K10" i="161"/>
  <c r="H10" i="161"/>
  <c r="N9" i="161"/>
  <c r="M9" i="161"/>
  <c r="L9" i="161"/>
  <c r="K9" i="161"/>
  <c r="H9" i="161"/>
  <c r="N8" i="161"/>
  <c r="M8" i="161"/>
  <c r="L8" i="161"/>
  <c r="K8" i="161"/>
  <c r="H8" i="161"/>
  <c r="N7" i="161"/>
  <c r="M7" i="161"/>
  <c r="L7" i="161"/>
  <c r="K7" i="161"/>
  <c r="H7" i="161"/>
  <c r="N6" i="161"/>
  <c r="M6" i="161"/>
  <c r="L6" i="161"/>
  <c r="K6" i="161"/>
  <c r="H6" i="161"/>
  <c r="N5" i="161"/>
  <c r="M5" i="161"/>
  <c r="L5" i="161"/>
  <c r="K5" i="161"/>
  <c r="H5" i="161"/>
  <c r="N4" i="161"/>
  <c r="M4" i="161"/>
  <c r="L4" i="161"/>
  <c r="K4" i="161"/>
  <c r="H4" i="161"/>
  <c r="N3" i="161"/>
  <c r="M3" i="161"/>
  <c r="L3" i="161"/>
  <c r="K3" i="161"/>
  <c r="H3" i="161"/>
  <c r="N2" i="161"/>
  <c r="M2" i="161"/>
  <c r="L2" i="161"/>
  <c r="K2" i="161"/>
  <c r="H2" i="161"/>
  <c r="I314" i="154"/>
  <c r="D314" i="154"/>
  <c r="J314" i="154"/>
  <c r="E314" i="154"/>
  <c r="C314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14" i="154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R3" i="153"/>
  <c r="O346" i="154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G48" i="160"/>
  <c r="B47" i="160"/>
  <c r="C40" i="160"/>
  <c r="C41" i="160"/>
  <c r="C42" i="160"/>
  <c r="C43" i="160"/>
  <c r="C44" i="160"/>
  <c r="C45" i="160"/>
  <c r="C46" i="160"/>
  <c r="C47" i="160"/>
  <c r="G42" i="160"/>
  <c r="G41" i="160"/>
  <c r="G40" i="160"/>
  <c r="F35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G31" i="160"/>
  <c r="H31" i="160"/>
  <c r="I31" i="160"/>
  <c r="J31" i="160"/>
  <c r="F31" i="160"/>
  <c r="D31" i="160"/>
  <c r="G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P3" i="160"/>
  <c r="O3" i="160"/>
  <c r="M3" i="160"/>
  <c r="V2" i="160"/>
  <c r="F48" i="153"/>
  <c r="F49" i="153"/>
  <c r="G48" i="153"/>
  <c r="F346" i="154"/>
  <c r="H346" i="154"/>
  <c r="K346" i="154"/>
  <c r="L346" i="154"/>
  <c r="M346" i="154"/>
  <c r="N346" i="154"/>
  <c r="A346" i="154"/>
  <c r="F41" i="153"/>
  <c r="G41" i="153"/>
  <c r="F34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8" i="157"/>
  <c r="B28" i="157"/>
  <c r="A2" i="157"/>
  <c r="F6" i="157"/>
  <c r="A36" i="157"/>
  <c r="E27" i="157"/>
  <c r="B27" i="157"/>
  <c r="G27" i="157"/>
  <c r="H27" i="157"/>
  <c r="O138" i="158"/>
  <c r="E6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3" i="157"/>
  <c r="B23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F48" i="157"/>
  <c r="F49" i="157"/>
  <c r="G48" i="157"/>
  <c r="F346" i="158"/>
  <c r="H346" i="158"/>
  <c r="K346" i="158"/>
  <c r="L346" i="158"/>
  <c r="M346" i="158"/>
  <c r="N346" i="158"/>
  <c r="A346" i="158"/>
  <c r="B30" i="153"/>
  <c r="B10" i="153"/>
  <c r="F341" i="154"/>
  <c r="H341" i="154"/>
  <c r="K341" i="154"/>
  <c r="L341" i="154"/>
  <c r="M341" i="154"/>
  <c r="N341" i="154"/>
  <c r="F342" i="154"/>
  <c r="F343" i="154"/>
  <c r="F344" i="154"/>
  <c r="F345" i="154"/>
  <c r="R4" i="153"/>
  <c r="R5" i="153"/>
  <c r="R6" i="153"/>
  <c r="R7" i="153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A345" i="154"/>
  <c r="B10" i="157"/>
  <c r="F341" i="158"/>
  <c r="H341" i="158"/>
  <c r="K341" i="158"/>
  <c r="L341" i="158"/>
  <c r="M341" i="158"/>
  <c r="N341" i="158"/>
  <c r="F342" i="158"/>
  <c r="F343" i="158"/>
  <c r="F344" i="158"/>
  <c r="F345" i="158"/>
  <c r="R4" i="157"/>
  <c r="R5" i="157"/>
  <c r="R6" i="157"/>
  <c r="R7" i="157"/>
  <c r="H342" i="158"/>
  <c r="K342" i="158"/>
  <c r="L342" i="158"/>
  <c r="M342" i="158"/>
  <c r="N342" i="158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A341" i="158"/>
  <c r="A342" i="158"/>
  <c r="A343" i="158"/>
  <c r="A344" i="158"/>
  <c r="A345" i="158"/>
  <c r="F336" i="154"/>
  <c r="H336" i="154"/>
  <c r="K336" i="154"/>
  <c r="L336" i="154"/>
  <c r="M336" i="154"/>
  <c r="N336" i="154"/>
  <c r="F337" i="154"/>
  <c r="F338" i="154"/>
  <c r="F339" i="154"/>
  <c r="F340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336" i="158"/>
  <c r="H336" i="158"/>
  <c r="K336" i="158"/>
  <c r="L336" i="158"/>
  <c r="M336" i="158"/>
  <c r="N336" i="158"/>
  <c r="F337" i="158"/>
  <c r="F338" i="158"/>
  <c r="F339" i="158"/>
  <c r="F340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F35" i="153"/>
  <c r="F42" i="157"/>
  <c r="G42" i="157"/>
  <c r="F35" i="157"/>
  <c r="F41" i="157"/>
  <c r="G41" i="157"/>
  <c r="F34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<sst xmlns="http://schemas.openxmlformats.org/spreadsheetml/2006/main" count="1020" uniqueCount="267">
  <si>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</si>
  <si>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</si>
  <si>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</si>
  <si>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</si>
  <si>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</si>
  <si>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</si>
  <si>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</si>
  <si>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</si>
  <si>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</si>
  <si>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</si>
  <si>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</si>
  <si>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</si>
  <si>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</si>
  <si>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</si>
  <si>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</si>
  <si>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</si>
  <si>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</si>
  <si>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</si>
  <si>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</si>
  <si>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</si>
  <si>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</si>
  <si>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</si>
  <si>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</si>
  <si>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</si>
  <si>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</si>
  <si>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</si>
  <si>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</si>
  <si>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</si>
  <si>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</si>
  <si>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</si>
  <si>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</si>
  <si>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</si>
  <si>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</si>
  <si>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</si>
  <si>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</si>
  <si>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</si>
  <si>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</si>
  <si>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</si>
  <si>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</si>
  <si>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</si>
  <si>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</si>
  <si>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</si>
  <si>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</si>
  <si>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</si>
  <si>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</si>
  <si>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</si>
  <si>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</si>
  <si>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</si>
  <si>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</si>
  <si>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</si>
  <si>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</si>
  <si>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</si>
  <si>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</si>
  <si>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</si>
  <si>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</si>
  <si>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</si>
  <si>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</si>
  <si>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</si>
  <si>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</si>
  <si>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</si>
  <si>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</si>
  <si>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</si>
  <si>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</si>
  <si>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</si>
  <si>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</si>
  <si>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</si>
  <si>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</si>
  <si>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</si>
  <si>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</si>
  <si>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</si>
  <si>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</si>
  <si>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</si>
  <si>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</si>
  <si>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</si>
  <si>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</si>
  <si>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</si>
  <si>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</si>
  <si>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</si>
  <si>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</si>
  <si>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</si>
  <si>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</si>
  <si>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</si>
  <si>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</si>
  <si>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</si>
  <si>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</si>
  <si>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</si>
  <si>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</si>
  <si>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</si>
  <si>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</si>
  <si>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</si>
  <si>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</si>
  <si>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</si>
  <si>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</si>
  <si>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</si>
  <si>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</si>
  <si>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</si>
  <si>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</si>
  <si>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</si>
  <si>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</si>
  <si>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</si>
  <si>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</si>
  <si>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</si>
  <si>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</si>
  <si>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</si>
  <si>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</si>
  <si>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</si>
  <si>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</si>
  <si>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</si>
  <si>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</si>
  <si>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PremiumSSS4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</si>
  <si>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</si>
  <si>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</si>
  <si>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</si>
  <si>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</si>
  <si>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</si>
  <si>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</si>
  <si>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</si>
  <si>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</si>
  <si>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</si>
  <si>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</si>
  <si>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</si>
  <si>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</si>
  <si>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</si>
  <si>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</si>
  <si>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</si>
  <si>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</si>
  <si>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</si>
  <si>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</si>
  <si>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</si>
  <si>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</si>
  <si>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</si>
  <si>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</si>
  <si>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</si>
  <si>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</si>
  <si>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</si>
  <si>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</si>
  <si>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</si>
  <si>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</si>
  <si>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</si>
  <si>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</si>
  <si>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</si>
  <si>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</si>
  <si>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</si>
  <si>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</si>
  <si>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</si>
  <si>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</si>
  <si>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</si>
  <si>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</si>
  <si>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</si>
  <si>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</si>
  <si>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</si>
  <si>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</si>
  <si>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</si>
  <si>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</si>
  <si>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</si>
  <si>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</si>
  <si>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</si>
  <si>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</si>
  <si>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</si>
  <si>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</si>
  <si>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</si>
  <si>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</si>
  <si>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</si>
  <si>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</si>
  <si>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</si>
  <si>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</si>
  <si>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</si>
  <si>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</si>
  <si>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</si>
  <si>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</si>
  <si>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</si>
  <si>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</si>
  <si>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</si>
  <si>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</si>
  <si>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</si>
  <si>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</si>
  <si>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</si>
  <si>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</si>
  <si>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</si>
  <si>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</si>
  <si>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</si>
  <si>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</si>
  <si>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</si>
  <si>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</si>
  <si>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</si>
  <si>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</si>
  <si>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</si>
  <si>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</si>
  <si>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</si>
  <si>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</si>
  <si>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</si>
  <si>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</si>
  <si>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</si>
  <si>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</si>
  <si>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</si>
  <si>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</si>
  <si>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</si>
  <si>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</si>
  <si>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</si>
  <si>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</si>
  <si>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</si>
  <si>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</si>
  <si>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</si>
  <si>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</si>
  <si>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</si>
  <si>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</si>
  <si>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</si>
  <si>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</si>
  <si>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</si>
  <si>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</si>
  <si>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</si>
  <si>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</si>
  <si>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</si>
  <si>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A</t>
    <phoneticPr fontId="18"/>
  </si>
  <si>
    <t>B</t>
    <phoneticPr fontId="18"/>
  </si>
  <si>
    <t>PremiumW4</t>
    <phoneticPr fontId="18"/>
  </si>
  <si>
    <t>C</t>
    <phoneticPr fontId="18"/>
  </si>
  <si>
    <t>Premium3</t>
    <phoneticPr fontId="18"/>
  </si>
  <si>
    <t>D</t>
    <phoneticPr fontId="18"/>
  </si>
  <si>
    <t>Premium4</t>
    <phoneticPr fontId="18"/>
  </si>
  <si>
    <t>E</t>
    <phoneticPr fontId="18"/>
  </si>
  <si>
    <t>Premium5</t>
    <phoneticPr fontId="18"/>
  </si>
  <si>
    <t>F</t>
    <phoneticPr fontId="18"/>
  </si>
  <si>
    <t>Premium4R3less</t>
    <phoneticPr fontId="18"/>
  </si>
  <si>
    <t>G</t>
    <phoneticPr fontId="18"/>
  </si>
  <si>
    <t>Premium5R3less</t>
    <phoneticPr fontId="18"/>
  </si>
  <si>
    <t>H</t>
    <phoneticPr fontId="18"/>
  </si>
  <si>
    <t>I</t>
    <phoneticPr fontId="18"/>
  </si>
  <si>
    <t>J</t>
    <phoneticPr fontId="18"/>
  </si>
  <si>
    <t>K</t>
    <phoneticPr fontId="18"/>
  </si>
  <si>
    <t>Premium3R6release</t>
    <phoneticPr fontId="18"/>
  </si>
  <si>
    <t>Premium4R6release</t>
    <phoneticPr fontId="18"/>
  </si>
  <si>
    <t>Premium5R6release</t>
    <phoneticPr fontId="18"/>
  </si>
  <si>
    <t>PremiumSS4</t>
    <phoneticPr fontId="18"/>
  </si>
  <si>
    <t>PremiumSS5</t>
    <phoneticPr fontId="18"/>
  </si>
  <si>
    <t>L</t>
    <phoneticPr fontId="18"/>
  </si>
  <si>
    <t>M</t>
    <phoneticPr fontId="18"/>
  </si>
  <si>
    <t>PremiumSS5R5only</t>
    <phoneticPr fontId="18"/>
  </si>
  <si>
    <t>50% - H - C</t>
    <phoneticPr fontId="18"/>
  </si>
  <si>
    <t>PremiumSSS4R3less</t>
    <phoneticPr fontId="18"/>
  </si>
  <si>
    <t>PremiumSSS5R3less</t>
    <phoneticPr fontId="18"/>
  </si>
  <si>
    <t>通常確率</t>
    <phoneticPr fontId="18"/>
  </si>
  <si>
    <t>通常確率</t>
    <phoneticPr fontId="18"/>
  </si>
  <si>
    <t>gacha_settle_tables_</t>
    <phoneticPr fontId="18"/>
  </si>
  <si>
    <t>.tmp</t>
    <phoneticPr fontId="51"/>
  </si>
  <si>
    <t>PremiumSSw</t>
    <phoneticPr fontId="18"/>
  </si>
  <si>
    <t>PremiumSSw</t>
    <phoneticPr fontId="18"/>
  </si>
  <si>
    <t>bit</t>
    <phoneticPr fontId="18"/>
  </si>
  <si>
    <t>unit</t>
    <phoneticPr fontId="18"/>
  </si>
  <si>
    <t>null</t>
    <phoneticPr fontId="18"/>
  </si>
  <si>
    <t>ja</t>
    <phoneticPr fontId="18"/>
  </si>
  <si>
    <t>100万ビット</t>
    <phoneticPr fontId="18"/>
  </si>
  <si>
    <t>ランキング対抗ガチャ特典</t>
    <phoneticPr fontId="18"/>
  </si>
  <si>
    <t>STEP3特典として
100万ビットをプレゼント！</t>
    <phoneticPr fontId="18"/>
  </si>
  <si>
    <t>item</t>
    <phoneticPr fontId="18"/>
  </si>
  <si>
    <t>秘術の果実 × 4</t>
    <phoneticPr fontId="18"/>
  </si>
  <si>
    <t>マスターキー × 3</t>
    <phoneticPr fontId="18"/>
  </si>
  <si>
    <t>STEP5特典として
秘術の果実を4体プレゼント！</t>
    <phoneticPr fontId="18"/>
  </si>
  <si>
    <t>STEP6特典として
マスターキーを3本プレゼント！</t>
    <phoneticPr fontId="18"/>
  </si>
  <si>
    <t>tables_503101</t>
    <phoneticPr fontId="18"/>
  </si>
  <si>
    <t>tables_503103</t>
    <phoneticPr fontId="18"/>
  </si>
  <si>
    <t>tables_settle_503104</t>
    <phoneticPr fontId="18"/>
  </si>
  <si>
    <t>tables_503104</t>
    <phoneticPr fontId="18"/>
  </si>
  <si>
    <t>tables_503105</t>
    <phoneticPr fontId="18"/>
  </si>
  <si>
    <t>tables_503106</t>
    <phoneticPr fontId="18"/>
  </si>
  <si>
    <t>tables_503100</t>
    <phoneticPr fontId="18"/>
  </si>
  <si>
    <t>skip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</si>
</sst>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/>
    <xf numFmtId="38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</cellStyleXfs>
  <cellXfs count="100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8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5" fillId="32" borderId="1" xfId="0" applyNumberFormat="1" applyFont="1" applyFill="1" applyBorder="1"/>
    <xf numFmtId="38" fontId="23" fillId="4" borderId="1" xfId="3663" quotePrefix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0" fillId="0" borderId="1" xfId="0" applyFont="1" applyBorder="1" applyAlignment="1">
      <alignment vertical="center" wrapText="1"/>
    </xf>
    <xf numFmtId="0" fontId="23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3" fillId="0" borderId="0" xfId="2" applyFont="1" applyFill="1" applyBorder="1" applyAlignment="1">
      <alignment vertical="center"/>
    </xf>
    <xf numFmtId="0" fontId="22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24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3" fillId="3" borderId="14" xfId="2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0" fillId="0" borderId="0" xfId="0" applyFont="1" applyFill="1" applyBorder="1" applyAlignment="1">
      <alignment vertical="center"/>
    </xf>
    <xf numFmtId="184" fontId="23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  <xf numFmtId="0" fontId="1" fillId="0" borderId="1" xfId="3036" applyFont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プラネタリウムR5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technical</v>
          </cell>
          <cell r="L1341" t="str">
            <v>テクニカルタイプ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プラネタリウムR6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technical</v>
          </cell>
          <cell r="L1342" t="str">
            <v>テクニカルタイプ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>
      <selection activeCell="B20" sqref="B2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9" t="s">
        <v>266</v>
      </c>
      <c r="B2" s="61" t="s">
        <v>110</v>
      </c>
      <c r="C2" s="50" t="str">
        <f t="shared" ref="C2" si="0">RIGHT(F2,6)</f>
        <v>503101</v>
      </c>
      <c r="D2" s="19" t="s">
        <v>45</v>
      </c>
      <c r="E2" s="17" t="str">
        <f t="shared" ref="E2" si="1">B2&amp;C2&amp;D2</f>
        <v>gacha_select_tables_503101.tmp</v>
      </c>
      <c r="F2" s="98" t="s">
        <v>259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9" t="s">
        <v>266</v>
      </c>
      <c r="B3" s="61" t="s">
        <v>110</v>
      </c>
      <c r="C3" s="50" t="str">
        <f t="shared" ref="C3:C7" si="2">RIGHT(F3,6)</f>
        <v>503103</v>
      </c>
      <c r="D3" s="19" t="s">
        <v>45</v>
      </c>
      <c r="E3" s="17" t="str">
        <f t="shared" ref="E3:E11" si="3">B3&amp;C3&amp;D3</f>
        <v>gacha_select_tables_503103.tmp</v>
      </c>
      <c r="F3" s="98" t="s">
        <v>260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266</v>
      </c>
      <c r="B4" s="91" t="s">
        <v>243</v>
      </c>
      <c r="C4" s="92" t="str">
        <f t="shared" si="2"/>
        <v>503104</v>
      </c>
      <c r="D4" s="19" t="s">
        <v>244</v>
      </c>
      <c r="E4" s="17" t="str">
        <f t="shared" si="3"/>
        <v>gacha_settle_tables_503104.tmp</v>
      </c>
      <c r="F4" s="98" t="s">
        <v>261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9" t="s">
        <v>266</v>
      </c>
      <c r="B5" s="61" t="s">
        <v>110</v>
      </c>
      <c r="C5" s="50" t="str">
        <f t="shared" si="2"/>
        <v>503104</v>
      </c>
      <c r="D5" s="19" t="s">
        <v>45</v>
      </c>
      <c r="E5" s="17" t="str">
        <f t="shared" ref="E5:E7" si="4">B5&amp;C5&amp;D5</f>
        <v>gacha_select_tables_503104.tmp</v>
      </c>
      <c r="F5" s="98" t="s">
        <v>262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9" t="s">
        <v>266</v>
      </c>
      <c r="B6" s="61" t="s">
        <v>110</v>
      </c>
      <c r="C6" s="50" t="str">
        <f t="shared" ref="C6" si="5">RIGHT(F6,6)</f>
        <v>503105</v>
      </c>
      <c r="D6" s="19" t="s">
        <v>45</v>
      </c>
      <c r="E6" s="17" t="str">
        <f t="shared" ref="E6" si="6">B6&amp;C6&amp;D6</f>
        <v>gacha_select_tables_503105.tmp</v>
      </c>
      <c r="F6" s="98" t="s">
        <v>263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9" t="s">
        <v>266</v>
      </c>
      <c r="B7" s="61" t="s">
        <v>110</v>
      </c>
      <c r="C7" s="50" t="str">
        <f t="shared" si="2"/>
        <v>503106</v>
      </c>
      <c r="D7" s="19" t="s">
        <v>45</v>
      </c>
      <c r="E7" s="17" t="str">
        <f t="shared" si="4"/>
        <v>gacha_select_tables_503106.tmp</v>
      </c>
      <c r="F7" s="98" t="s">
        <v>264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266</v>
      </c>
      <c r="B8" s="61" t="s">
        <v>110</v>
      </c>
      <c r="C8" s="50" t="str">
        <f t="shared" ref="C8" si="7">RIGHT(F8,6)</f>
        <v>503100</v>
      </c>
      <c r="D8" s="19" t="s">
        <v>45</v>
      </c>
      <c r="E8" s="17" t="str">
        <f t="shared" ref="E8" si="8">B8&amp;C8&amp;D8</f>
        <v>gacha_select_tables_503100.tmp</v>
      </c>
      <c r="F8" s="98" t="s">
        <v>265</v>
      </c>
      <c r="G8" s="49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99" t="s">
        <v>266</v>
      </c>
      <c r="B9" s="27" t="s">
        <v>50</v>
      </c>
      <c r="C9" s="32">
        <v>503</v>
      </c>
      <c r="D9" s="19" t="s">
        <v>46</v>
      </c>
      <c r="E9" s="17" t="str">
        <f t="shared" si="3"/>
        <v>gacha_bonus_tables_503.tmp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99" t="s">
        <v>266</v>
      </c>
      <c r="B10" s="19" t="s">
        <v>48</v>
      </c>
      <c r="C10" s="32">
        <v>503</v>
      </c>
      <c r="D10" s="19" t="s">
        <v>46</v>
      </c>
      <c r="E10" s="17" t="str">
        <f t="shared" si="3"/>
        <v>gifts_tmp_503.tmp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51" t="s">
        <v>7</v>
      </c>
      <c r="P10" s="51" t="s">
        <v>9</v>
      </c>
      <c r="Q10" s="51" t="s">
        <v>6</v>
      </c>
      <c r="R10" s="51" t="s">
        <v>86</v>
      </c>
      <c r="S10" s="51" t="s">
        <v>8</v>
      </c>
      <c r="T10" s="51" t="s">
        <v>87</v>
      </c>
      <c r="U10" s="51" t="s">
        <v>5</v>
      </c>
    </row>
    <row r="11" spans="1:21" x14ac:dyDescent="0.15">
      <c r="A11" s="99" t="s">
        <v>266</v>
      </c>
      <c r="B11" s="19" t="s">
        <v>49</v>
      </c>
      <c r="C11" s="32">
        <v>503</v>
      </c>
      <c r="D11" s="19" t="s">
        <v>46</v>
      </c>
      <c r="E11" s="17" t="str">
        <f t="shared" si="3"/>
        <v>gifts_i18n_503.tmp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L3" sqref="L3:N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503101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955</v>
      </c>
      <c r="M3" s="37" t="str">
        <f>VLOOKUP(L3,[1]characters!$A:$C,3,FALSE)</f>
        <v>マクローリン</v>
      </c>
      <c r="N3" s="63">
        <v>4.0000000000000001E-3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VLOOKUP(L3,tables_503101!B:C,2,FALSE)</f>
        <v>PremiumSSS5R3less</v>
      </c>
      <c r="R3" s="62">
        <f t="shared" ref="R3:R20" si="1">N3*A$36</f>
        <v>488800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VLOOKUP(L4,tables_503101!B:C,2,FALSE)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7.0769230769230772E-4</v>
      </c>
      <c r="F5">
        <f>(COUNTIF(tables_503101!C:C,input_503101!A28)+COUNTIF(tables_503101!C:C,input_503101!A29))</f>
        <v>66</v>
      </c>
      <c r="H5" s="84">
        <v>4.0000000000000001E-3</v>
      </c>
      <c r="I5" s="31">
        <v>1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VLOOKUP(L5,tables_503101!B:C,2,FALSE)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1.0063829787234042E-2</v>
      </c>
      <c r="F6">
        <f>(COUNTIF(tables_503101!C:C,input_503101!A25)+COUNTIF(tables_503101!C:C,input_503101!A18)+COUNTIF(tables_503101!C:C,input_503101!A20)+COUNTIF(tables_503101!C:C,input_503101!A22))</f>
        <v>94</v>
      </c>
      <c r="H6" s="88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VLOOKUP(L6,tables_503101!B:C,2,FALSE)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VLOOKUP(L7,tables_503101!B:C,2,FALSE)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VLOOKUP(L8,tables_503101!B:C,2,FALSE)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VLOOKUP(L9,tables_503101!B:C,2,FALSE)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0.94599999999999995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VLOOKUP(L10,tables_503101!B:C,2,FALSE)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VLOOKUP(L11,tables_503101!B:C,2,FALSE)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VLOOKUP(L12,tables_503101!B:C,2,FALSE)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VLOOKUP(L13,tables_503101!B:C,2,FALSE)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VLOOKUP(L14,tables_503101!B:C,2,FALSE)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VLOOKUP(L15,tables_503101!B:C,2,FALSE)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VLOOKUP(L16,tables_503101!B:C,2,FALSE)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0.21821276595744685</v>
      </c>
      <c r="C17" s="85">
        <f t="shared" ref="C17:C31" si="2">SUMIF(Q:Q,A17,N:N)</f>
        <v>0</v>
      </c>
      <c r="D17" s="74">
        <f t="shared" ref="D17:D32" si="3">B17-C17</f>
        <v>0.21821276595744685</v>
      </c>
      <c r="E17">
        <f>COUNTIF(tables_503101!C:C,input_503101!A17)-COUNTIF(Q:Q,A17)</f>
        <v>20</v>
      </c>
      <c r="F17" s="43">
        <f>IFERROR(B17/E17,0)</f>
        <v>1.0910638297872342E-2</v>
      </c>
      <c r="G17">
        <f t="shared" ref="G17:G31" si="4">A$36*B17</f>
        <v>26665600.000000004</v>
      </c>
      <c r="H17">
        <f t="shared" ref="H17:H31" si="5">IFERROR(ROUND(G17/E17,5),0)</f>
        <v>1333280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VLOOKUP(L17,tables_503101!B:C,2,FALSE)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2.8494533551881706E-2</v>
      </c>
      <c r="C18" s="85">
        <f t="shared" si="2"/>
        <v>0</v>
      </c>
      <c r="D18" s="74">
        <f t="shared" si="3"/>
        <v>2.8494533551881706E-2</v>
      </c>
      <c r="E18">
        <f>COUNTIF(tables_503101!C:C,input_503101!A18)-COUNTIF(Q:Q,A18)</f>
        <v>20</v>
      </c>
      <c r="F18" s="43">
        <f>IFERROR(B18/E18,0)</f>
        <v>1.4247266775940853E-3</v>
      </c>
      <c r="G18">
        <f t="shared" si="4"/>
        <v>3482032.0000399444</v>
      </c>
      <c r="H18">
        <f t="shared" si="5"/>
        <v>174101.6</v>
      </c>
      <c r="I18">
        <f t="shared" si="6"/>
        <v>0.60000000000582077</v>
      </c>
      <c r="J18">
        <f t="shared" si="7"/>
        <v>1.6666666666504979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VLOOKUP(L18,tables_503101!B:C,2,FALSE)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0.26165957446808508</v>
      </c>
      <c r="C19" s="85">
        <f t="shared" si="2"/>
        <v>0</v>
      </c>
      <c r="D19" s="74">
        <f t="shared" si="3"/>
        <v>0.26165957446808508</v>
      </c>
      <c r="E19">
        <f>COUNTIF(tables_503101!C:C,input_503101!A19)-COUNTIF(Q:Q,A19)</f>
        <v>52</v>
      </c>
      <c r="F19" s="43">
        <f t="shared" ref="F19:F31" si="8">IFERROR(B19/E19,0)</f>
        <v>5.0319148936170208E-3</v>
      </c>
      <c r="G19">
        <f t="shared" si="4"/>
        <v>31974799.999999996</v>
      </c>
      <c r="H19">
        <f t="shared" si="5"/>
        <v>614900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VLOOKUP(L19,tables_503101!B:C,2,FALSE)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E$6*E20*B$6-0.03</f>
        <v>0.20549361702127658</v>
      </c>
      <c r="C20" s="85">
        <f t="shared" si="2"/>
        <v>0</v>
      </c>
      <c r="D20" s="74">
        <f t="shared" si="3"/>
        <v>0.20549361702127658</v>
      </c>
      <c r="E20">
        <f>COUNTIF(tables_503101!C:C,input_503101!A20)-COUNTIF(Q:Q,A20)</f>
        <v>52</v>
      </c>
      <c r="F20" s="43">
        <f t="shared" si="8"/>
        <v>3.9518003273322421E-3</v>
      </c>
      <c r="G20">
        <f t="shared" si="4"/>
        <v>25111320</v>
      </c>
      <c r="H20">
        <f t="shared" si="5"/>
        <v>482910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VLOOKUP(L20,tables_503101!B:C,2,FALSE)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1.0735253683530899E-2</v>
      </c>
      <c r="C21" s="85">
        <f t="shared" si="2"/>
        <v>0</v>
      </c>
      <c r="D21" s="74">
        <f t="shared" si="3"/>
        <v>1.0735253683530899E-2</v>
      </c>
      <c r="E21">
        <f>COUNTIF(tables_503101!C:C,input_503101!A21)-COUNTIF(Q:Q,A21)</f>
        <v>52</v>
      </c>
      <c r="F21" s="43">
        <f t="shared" si="8"/>
        <v>2.0644718622174805E-4</v>
      </c>
      <c r="G21">
        <f t="shared" si="4"/>
        <v>1311848.0001274757</v>
      </c>
      <c r="H21">
        <f t="shared" si="5"/>
        <v>25227.846160000001</v>
      </c>
      <c r="I21">
        <f t="shared" si="6"/>
        <v>0.84616000000096392</v>
      </c>
      <c r="J21">
        <f t="shared" si="7"/>
        <v>1.1818095868380221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0.17907234042553188</v>
      </c>
      <c r="C22" s="85">
        <f t="shared" si="2"/>
        <v>0</v>
      </c>
      <c r="D22" s="74">
        <f t="shared" si="3"/>
        <v>0.17907234042553188</v>
      </c>
      <c r="E22">
        <f>COUNTIF(tables_503101!C:C,input_503101!A22)-COUNTIF(Q:Q,A22)</f>
        <v>18</v>
      </c>
      <c r="F22" s="43">
        <f t="shared" si="8"/>
        <v>9.9484633569739932E-3</v>
      </c>
      <c r="G22">
        <f t="shared" si="4"/>
        <v>21882639.999999996</v>
      </c>
      <c r="H22">
        <f t="shared" si="5"/>
        <v>1215702.2222200001</v>
      </c>
      <c r="I22">
        <f t="shared" si="6"/>
        <v>0.22222000011242926</v>
      </c>
      <c r="J22">
        <f t="shared" si="7"/>
        <v>4.5000449981732666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E23*E6*B7-0.01</f>
        <v>2.0765957446808505E-3</v>
      </c>
      <c r="C23" s="85">
        <f t="shared" si="2"/>
        <v>0</v>
      </c>
      <c r="D23" s="74">
        <f t="shared" si="3"/>
        <v>2.0765957446808505E-3</v>
      </c>
      <c r="E23">
        <f>COUNTIF(tables_503101!C:C,input_503101!A23)-COUNTIF(Q:Q,A23)</f>
        <v>24</v>
      </c>
      <c r="F23" s="43">
        <f t="shared" si="8"/>
        <v>8.6524822695035442E-5</v>
      </c>
      <c r="G23">
        <f t="shared" si="4"/>
        <v>253759.99999999994</v>
      </c>
      <c r="H23">
        <f t="shared" si="5"/>
        <v>10573.333329999999</v>
      </c>
      <c r="I23">
        <f t="shared" si="6"/>
        <v>0.33332999999947788</v>
      </c>
      <c r="J23">
        <f t="shared" si="7"/>
        <v>3.0000300003047022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2.0127659574468083E-2</v>
      </c>
      <c r="C24" s="85">
        <f t="shared" si="2"/>
        <v>0</v>
      </c>
      <c r="D24" s="74">
        <f t="shared" si="3"/>
        <v>2.0127659574468083E-2</v>
      </c>
      <c r="E24">
        <f>COUNTIF(tables_503101!C:C,input_503101!A24)-COUNTIF(Q:Q,A24)</f>
        <v>4</v>
      </c>
      <c r="F24" s="43">
        <f t="shared" si="8"/>
        <v>5.0319148936170208E-3</v>
      </c>
      <c r="G24">
        <f t="shared" si="4"/>
        <v>2459600</v>
      </c>
      <c r="H24">
        <f t="shared" si="5"/>
        <v>614900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1.8114893617021274E-2</v>
      </c>
      <c r="C25" s="85">
        <f t="shared" si="2"/>
        <v>0</v>
      </c>
      <c r="D25" s="74">
        <f t="shared" si="3"/>
        <v>1.8114893617021274E-2</v>
      </c>
      <c r="E25">
        <f>COUNTIF(tables_503101!C:C,input_503101!A25)-COUNTIF(Q:Q,A25)</f>
        <v>4</v>
      </c>
      <c r="F25" s="43">
        <f t="shared" si="8"/>
        <v>4.5287234042553186E-3</v>
      </c>
      <c r="G25">
        <f t="shared" si="4"/>
        <v>2213639.9999999995</v>
      </c>
      <c r="H25">
        <f t="shared" si="5"/>
        <v>553410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2.0127659574468086E-3</v>
      </c>
      <c r="C26" s="85">
        <f t="shared" si="2"/>
        <v>0</v>
      </c>
      <c r="D26" s="74">
        <f t="shared" si="3"/>
        <v>2.0127659574468086E-3</v>
      </c>
      <c r="E26">
        <f>COUNTIF(tables_503101!C:C,input_503101!A26)-COUNTIF(Q:Q,A26)</f>
        <v>4</v>
      </c>
      <c r="F26" s="43">
        <f t="shared" si="8"/>
        <v>5.0319148936170215E-4</v>
      </c>
      <c r="G26">
        <f t="shared" si="4"/>
        <v>245960</v>
      </c>
      <c r="H26">
        <f t="shared" si="5"/>
        <v>61490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1.8824615384615384E-2</v>
      </c>
      <c r="C27" s="85">
        <f t="shared" si="2"/>
        <v>0</v>
      </c>
      <c r="D27" s="74">
        <f t="shared" si="3"/>
        <v>1.8824615384615384E-2</v>
      </c>
      <c r="E27">
        <f>COUNTIF(tables_503101!C:C,input_503101!A27)-COUNTIF(Q:Q,A27)</f>
        <v>28</v>
      </c>
      <c r="F27" s="43">
        <f>IFERROR(B27/E27,0)</f>
        <v>6.7230769230769232E-4</v>
      </c>
      <c r="G27">
        <f t="shared" si="4"/>
        <v>2300368</v>
      </c>
      <c r="H27">
        <f t="shared" si="5"/>
        <v>82156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4.2830769230157691E-3</v>
      </c>
      <c r="C28" s="85">
        <f t="shared" si="2"/>
        <v>0</v>
      </c>
      <c r="D28" s="74">
        <f t="shared" si="3"/>
        <v>4.2830769230157691E-3</v>
      </c>
      <c r="E28">
        <f>COUNTIF(tables_503101!C:C,input_503101!A28)-COUNTIF(Q:Q,A28)</f>
        <v>28</v>
      </c>
      <c r="F28" s="43">
        <f t="shared" si="8"/>
        <v>1.529670329648489E-4</v>
      </c>
      <c r="G28">
        <f t="shared" si="4"/>
        <v>523391.99999252701</v>
      </c>
      <c r="H28">
        <f t="shared" si="5"/>
        <v>18692.57143</v>
      </c>
      <c r="I28">
        <f t="shared" si="6"/>
        <v>0.57142999999996391</v>
      </c>
      <c r="J28">
        <f t="shared" si="7"/>
        <v>1.749995625011048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2.6892307692307695E-2</v>
      </c>
      <c r="C29" s="85">
        <f t="shared" si="2"/>
        <v>0</v>
      </c>
      <c r="D29" s="74">
        <f t="shared" si="3"/>
        <v>2.6892307692307695E-2</v>
      </c>
      <c r="E29">
        <f>COUNTIF(tables_503101!C:C,input_503101!A29)-COUNTIF(Q:Q,A29)</f>
        <v>38</v>
      </c>
      <c r="F29" s="43">
        <f t="shared" si="8"/>
        <v>7.0769230769230772E-4</v>
      </c>
      <c r="G29">
        <f t="shared" si="4"/>
        <v>3286240.0000000005</v>
      </c>
      <c r="H29">
        <f t="shared" si="5"/>
        <v>86480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COUNTIF(tables_503101!C:C,input_503101!A30)-COUNTIF(Q:Q,A30)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4.0000000000000001E-3</v>
      </c>
      <c r="D31" s="74">
        <f t="shared" si="3"/>
        <v>-4.0000000000000001E-3</v>
      </c>
      <c r="E31">
        <f>COUNTIF(tables_503101!C:C,input_503101!A31)-COUNTIF(Q:Q,A31)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0.99600000000130884</v>
      </c>
      <c r="C32" s="41">
        <f>SUM(C19:C31)</f>
        <v>4.0000000000000001E-3</v>
      </c>
      <c r="D32" s="42">
        <f t="shared" si="3"/>
        <v>0.99200000000130883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2.5430703764647733E-2</v>
      </c>
      <c r="F34" s="55">
        <f ca="1">0.45-G41</f>
        <v>3.2684965844964609E-13</v>
      </c>
    </row>
    <row r="35" spans="1:7" x14ac:dyDescent="0.15">
      <c r="A35" t="s">
        <v>73</v>
      </c>
      <c r="E35">
        <v>3.9999999990179766E-3</v>
      </c>
      <c r="F35">
        <f ca="1">G42-0.05</f>
        <v>2.2912921560092059E-12</v>
      </c>
    </row>
    <row r="36" spans="1:7" x14ac:dyDescent="0.15">
      <c r="A36" s="31">
        <f>LCM(F5-I5,F6-I6)*1000*2*2*5</f>
        <v>122200000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SUMIF(tables_503101!C:C,input_503101!A40,tables_503101!O:O)</f>
        <v>31974800</v>
      </c>
      <c r="C40" s="54">
        <f t="shared" ref="C40:C46" ca="1" si="9">B40/B$47</f>
        <v>0.52227862630424249</v>
      </c>
      <c r="E40">
        <v>3</v>
      </c>
      <c r="F40">
        <f ca="1">SUMIF(tables_503101!J:J,input_503101!E40,tables_503101!O:O)</f>
        <v>61100000</v>
      </c>
      <c r="G40">
        <f ca="1">F40/A36</f>
        <v>0.5</v>
      </c>
    </row>
    <row r="41" spans="1:7" x14ac:dyDescent="0.15">
      <c r="A41" s="33" t="s">
        <v>104</v>
      </c>
      <c r="B41">
        <f ca="1">SUMIF(tables_503101!C:C,input_503101!A41,tables_503101!O:O)</f>
        <v>25111320</v>
      </c>
      <c r="C41" s="54">
        <f t="shared" ca="1" si="9"/>
        <v>0.41017006249566063</v>
      </c>
      <c r="E41">
        <v>4</v>
      </c>
      <c r="F41">
        <f ca="1">SUMIF(tables_503101!J:J,input_503101!E41,tables_503101!O:O)</f>
        <v>54989999.999960057</v>
      </c>
      <c r="G41">
        <f ca="1">F41/A36</f>
        <v>0.44999999999967316</v>
      </c>
    </row>
    <row r="42" spans="1:7" x14ac:dyDescent="0.15">
      <c r="A42" s="33" t="s">
        <v>106</v>
      </c>
      <c r="B42">
        <f ca="1">SUMIF(tables_503101!C:C,input_503101!A42,tables_503101!O:O)</f>
        <v>2300368</v>
      </c>
      <c r="C42" s="54">
        <f t="shared" ca="1" si="9"/>
        <v>3.7574372287996725E-2</v>
      </c>
      <c r="E42">
        <v>5</v>
      </c>
      <c r="F42">
        <f ca="1">SUMIF(tables_503101!J:J,input_503101!E42,tables_503101!O:O)</f>
        <v>6110000.0002799965</v>
      </c>
      <c r="G42">
        <f ca="1">F42/A36</f>
        <v>5.0000000002291295E-2</v>
      </c>
    </row>
    <row r="43" spans="1:7" x14ac:dyDescent="0.15">
      <c r="A43" s="33" t="s">
        <v>109</v>
      </c>
      <c r="B43">
        <f>SUMIF(tables_503101!C:C,input_503101!A43,tables_503101!O:O)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SUMIF(tables_503101!C:C,input_503101!A44,tables_503101!O:O)</f>
        <v>1311848.0003199989</v>
      </c>
      <c r="C44" s="54">
        <f t="shared" ca="1" si="9"/>
        <v>2.1427817266318989E-2</v>
      </c>
      <c r="E44" t="s">
        <v>54</v>
      </c>
      <c r="F44" s="55"/>
    </row>
    <row r="45" spans="1:7" x14ac:dyDescent="0.15">
      <c r="A45" s="33" t="s">
        <v>107</v>
      </c>
      <c r="B45">
        <f ca="1">SUMIF(tables_503101!C:C,input_503101!A45,tables_503101!O:O)</f>
        <v>523392.00004000019</v>
      </c>
      <c r="C45" s="54">
        <f t="shared" ca="1" si="9"/>
        <v>8.5491216457810933E-3</v>
      </c>
      <c r="E45" t="s">
        <v>204</v>
      </c>
      <c r="F45" s="55">
        <f ca="1">SUMIF(tables_503101!I:I,input_503101!E45,tables_503101!P:P)</f>
        <v>0.24722644844452263</v>
      </c>
    </row>
    <row r="46" spans="1:7" x14ac:dyDescent="0.15">
      <c r="A46" s="33" t="s">
        <v>108</v>
      </c>
      <c r="B46">
        <f>SUMIF(tables_503101!C:C,input_503101!A46,tables_503101!O:O)</f>
        <v>0</v>
      </c>
      <c r="C46" s="54">
        <f t="shared" ca="1" si="9"/>
        <v>0</v>
      </c>
      <c r="E46" t="s">
        <v>205</v>
      </c>
      <c r="F46" s="55">
        <f ca="1">SUMIF(tables_503101!I:I,input_503101!E46,tables_503101!P:P)</f>
        <v>0.18642425028375814</v>
      </c>
    </row>
    <row r="47" spans="1:7" x14ac:dyDescent="0.15">
      <c r="A47" s="39" t="s">
        <v>59</v>
      </c>
      <c r="B47">
        <f ca="1">SUM(B40:B46)</f>
        <v>61221728.000360005</v>
      </c>
      <c r="C47" s="55">
        <f ca="1">SUM(C40:C46)</f>
        <v>1</v>
      </c>
      <c r="E47" t="s">
        <v>206</v>
      </c>
      <c r="F47" s="55">
        <f ca="1">SUMIF(tables_503101!I:I,input_503101!E47,tables_503101!P:P)</f>
        <v>0.5123493012714978</v>
      </c>
    </row>
    <row r="48" spans="1:7" x14ac:dyDescent="0.15">
      <c r="E48" t="s">
        <v>207</v>
      </c>
      <c r="F48" s="55">
        <f ca="1">SUMIF(tables_503101!I:I,input_503101!E48,tables_503101!P:P)</f>
        <v>4.5046153846392691E-2</v>
      </c>
      <c r="G48" s="55">
        <f ca="1">0.05-F48-F49</f>
        <v>-2.2910926628094685E-13</v>
      </c>
    </row>
    <row r="49" spans="5:7" x14ac:dyDescent="0.15">
      <c r="E49" t="s">
        <v>245</v>
      </c>
      <c r="F49" s="55">
        <f ca="1">SUMIF(tables_503101!I:I,input_503101!E49,tables_503101!P:P)</f>
        <v>4.9538461538364215E-3</v>
      </c>
      <c r="G49">
        <v>3.2923076922465383E-3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6"/>
  <sheetViews>
    <sheetView showGridLines="0" zoomScale="75" zoomScaleNormal="75" zoomScalePageLayoutView="75" workbookViewId="0">
      <pane ySplit="1" topLeftCell="A303" activePane="bottomLeft" state="frozen"/>
      <selection activeCell="H276" sqref="H276"/>
      <selection pane="bottomLeft" activeCell="C345" sqref="C345:V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input_503101!A$2</f>
        <v>503101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IFERROR(VLOOKUP(B2,input_503101!L:R,7,FALSE),VLOOKUP(tables_503101!C2,input_503101!A:H,8,FALSE))</f>
        <v>1333280</v>
      </c>
      <c r="P2" s="46">
        <f t="shared" ref="P2:P65" ca="1" si="1">O2/SUM(O:O)</f>
        <v>1.0910638297850906E-2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input_503101!A$2</f>
        <v>503101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IFERROR(VLOOKUP(B3,input_503101!L:R,7,FALSE),VLOOKUP(tables_503101!C3,input_503101!A:H,8,FALSE))</f>
        <v>174101.6</v>
      </c>
      <c r="P3" s="46">
        <f t="shared" ca="1" si="1"/>
        <v>1.4247266775749424E-3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input_503101!A$2</f>
        <v>503101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IFERROR(VLOOKUP(B4,input_503101!L:R,7,FALSE),VLOOKUP(tables_503101!C4,input_503101!A:H,8,FALSE))</f>
        <v>1333280</v>
      </c>
      <c r="P4" s="46">
        <f t="shared" ca="1" si="1"/>
        <v>1.0910638297850906E-2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input_503101!A$2</f>
        <v>503101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IFERROR(VLOOKUP(B5,input_503101!L:R,7,FALSE),VLOOKUP(tables_503101!C5,input_503101!A:H,8,FALSE))</f>
        <v>174101.6</v>
      </c>
      <c r="P5" s="46">
        <f t="shared" ca="1" si="1"/>
        <v>1.4247266775749424E-3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input_503101!A$2</f>
        <v>503101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IFERROR(VLOOKUP(B6,input_503101!L:R,7,FALSE),VLOOKUP(tables_503101!C6,input_503101!A:H,8,FALSE))</f>
        <v>1333280</v>
      </c>
      <c r="P6" s="46">
        <f t="shared" ca="1" si="1"/>
        <v>1.0910638297850906E-2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input_503101!A$2</f>
        <v>503101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IFERROR(VLOOKUP(B7,input_503101!L:R,7,FALSE),VLOOKUP(tables_503101!C7,input_503101!A:H,8,FALSE))</f>
        <v>174101.6</v>
      </c>
      <c r="P7" s="46">
        <f t="shared" ca="1" si="1"/>
        <v>1.4247266775749424E-3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input_503101!A$2</f>
        <v>503101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IFERROR(VLOOKUP(B8,input_503101!L:R,7,FALSE),VLOOKUP(tables_503101!C8,input_503101!A:H,8,FALSE))</f>
        <v>1333280</v>
      </c>
      <c r="P8" s="46">
        <f t="shared" ca="1" si="1"/>
        <v>1.0910638297850906E-2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input_503101!A$2</f>
        <v>503101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IFERROR(VLOOKUP(B9,input_503101!L:R,7,FALSE),VLOOKUP(tables_503101!C9,input_503101!A:H,8,FALSE))</f>
        <v>174101.6</v>
      </c>
      <c r="P9" s="46">
        <f t="shared" ca="1" si="1"/>
        <v>1.4247266775749424E-3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input_503101!A$2</f>
        <v>503101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IFERROR(VLOOKUP(B10,input_503101!L:R,7,FALSE),VLOOKUP(tables_503101!C10,input_503101!A:H,8,FALSE))</f>
        <v>1333280</v>
      </c>
      <c r="P10" s="46">
        <f t="shared" ca="1" si="1"/>
        <v>1.0910638297850906E-2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input_503101!A$2</f>
        <v>503101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IFERROR(VLOOKUP(B11,input_503101!L:R,7,FALSE),VLOOKUP(tables_503101!C11,input_503101!A:H,8,FALSE))</f>
        <v>174101.6</v>
      </c>
      <c r="P11" s="46">
        <f t="shared" ca="1" si="1"/>
        <v>1.4247266775749424E-3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input_503101!A$2</f>
        <v>503101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IFERROR(VLOOKUP(B12,input_503101!L:R,7,FALSE),VLOOKUP(tables_503101!C12,input_503101!A:H,8,FALSE))</f>
        <v>1333280</v>
      </c>
      <c r="P12" s="46">
        <f t="shared" ca="1" si="1"/>
        <v>1.0910638297850906E-2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input_503101!A$2</f>
        <v>503101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IFERROR(VLOOKUP(B13,input_503101!L:R,7,FALSE),VLOOKUP(tables_503101!C13,input_503101!A:H,8,FALSE))</f>
        <v>174101.6</v>
      </c>
      <c r="P13" s="46">
        <f t="shared" ca="1" si="1"/>
        <v>1.4247266775749424E-3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input_503101!A$2</f>
        <v>503101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IFERROR(VLOOKUP(B14,input_503101!L:R,7,FALSE),VLOOKUP(tables_503101!C14,input_503101!A:H,8,FALSE))</f>
        <v>1333280</v>
      </c>
      <c r="P14" s="46">
        <f t="shared" ca="1" si="1"/>
        <v>1.0910638297850906E-2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input_503101!A$2</f>
        <v>503101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IFERROR(VLOOKUP(B15,input_503101!L:R,7,FALSE),VLOOKUP(tables_503101!C15,input_503101!A:H,8,FALSE))</f>
        <v>174101.6</v>
      </c>
      <c r="P15" s="46">
        <f t="shared" ca="1" si="1"/>
        <v>1.4247266775749424E-3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input_503101!A$2</f>
        <v>503101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IFERROR(VLOOKUP(B16,input_503101!L:R,7,FALSE),VLOOKUP(tables_503101!C16,input_503101!A:H,8,FALSE))</f>
        <v>1333280</v>
      </c>
      <c r="P16" s="46">
        <f t="shared" ca="1" si="1"/>
        <v>1.0910638297850906E-2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input_503101!A$2</f>
        <v>503101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IFERROR(VLOOKUP(B17,input_503101!L:R,7,FALSE),VLOOKUP(tables_503101!C17,input_503101!A:H,8,FALSE))</f>
        <v>174101.6</v>
      </c>
      <c r="P17" s="46">
        <f t="shared" ca="1" si="1"/>
        <v>1.4247266775749424E-3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input_503101!A$2</f>
        <v>503101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IFERROR(VLOOKUP(B18,input_503101!L:R,7,FALSE),VLOOKUP(tables_503101!C18,input_503101!A:H,8,FALSE))</f>
        <v>1333280</v>
      </c>
      <c r="P18" s="46">
        <f t="shared" ca="1" si="1"/>
        <v>1.0910638297850906E-2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input_503101!A$2</f>
        <v>503101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IFERROR(VLOOKUP(B19,input_503101!L:R,7,FALSE),VLOOKUP(tables_503101!C19,input_503101!A:H,8,FALSE))</f>
        <v>174101.6</v>
      </c>
      <c r="P19" s="46">
        <f t="shared" ca="1" si="1"/>
        <v>1.4247266775749424E-3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input_503101!A$2</f>
        <v>503101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IFERROR(VLOOKUP(B20,input_503101!L:R,7,FALSE),VLOOKUP(tables_503101!C20,input_503101!A:H,8,FALSE))</f>
        <v>1333280</v>
      </c>
      <c r="P20" s="46">
        <f t="shared" ca="1" si="1"/>
        <v>1.0910638297850906E-2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input_503101!A$2</f>
        <v>503101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IFERROR(VLOOKUP(B21,input_503101!L:R,7,FALSE),VLOOKUP(tables_503101!C21,input_503101!A:H,8,FALSE))</f>
        <v>174101.6</v>
      </c>
      <c r="P21" s="46">
        <f t="shared" ca="1" si="1"/>
        <v>1.4247266775749424E-3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input_503101!A$2</f>
        <v>503101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IFERROR(VLOOKUP(B22,input_503101!L:R,7,FALSE),VLOOKUP(tables_503101!C22,input_503101!A:H,8,FALSE))</f>
        <v>1333280</v>
      </c>
      <c r="P22" s="46">
        <f t="shared" ca="1" si="1"/>
        <v>1.0910638297850906E-2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input_503101!A$2</f>
        <v>503101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IFERROR(VLOOKUP(B23,input_503101!L:R,7,FALSE),VLOOKUP(tables_503101!C23,input_503101!A:H,8,FALSE))</f>
        <v>174101.6</v>
      </c>
      <c r="P23" s="46">
        <f t="shared" ca="1" si="1"/>
        <v>1.4247266775749424E-3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input_503101!A$2</f>
        <v>503101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IFERROR(VLOOKUP(B24,input_503101!L:R,7,FALSE),VLOOKUP(tables_503101!C24,input_503101!A:H,8,FALSE))</f>
        <v>1333280</v>
      </c>
      <c r="P24" s="46">
        <f t="shared" ca="1" si="1"/>
        <v>1.0910638297850906E-2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input_503101!A$2</f>
        <v>503101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IFERROR(VLOOKUP(B25,input_503101!L:R,7,FALSE),VLOOKUP(tables_503101!C25,input_503101!A:H,8,FALSE))</f>
        <v>174101.6</v>
      </c>
      <c r="P25" s="46">
        <f t="shared" ca="1" si="1"/>
        <v>1.4247266775749424E-3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input_503101!A$2</f>
        <v>503101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IFERROR(VLOOKUP(B26,input_503101!L:R,7,FALSE),VLOOKUP(tables_503101!C26,input_503101!A:H,8,FALSE))</f>
        <v>1333280</v>
      </c>
      <c r="P26" s="46">
        <f t="shared" ca="1" si="1"/>
        <v>1.0910638297850906E-2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input_503101!A$2</f>
        <v>503101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IFERROR(VLOOKUP(B27,input_503101!L:R,7,FALSE),VLOOKUP(tables_503101!C27,input_503101!A:H,8,FALSE))</f>
        <v>174101.6</v>
      </c>
      <c r="P27" s="46">
        <f t="shared" ca="1" si="1"/>
        <v>1.4247266775749424E-3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input_503101!A$2</f>
        <v>503101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IFERROR(VLOOKUP(B28,input_503101!L:R,7,FALSE),VLOOKUP(tables_503101!C28,input_503101!A:H,8,FALSE))</f>
        <v>1333280</v>
      </c>
      <c r="P28" s="46">
        <f t="shared" ca="1" si="1"/>
        <v>1.0910638297850906E-2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input_503101!A$2</f>
        <v>503101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IFERROR(VLOOKUP(B29,input_503101!L:R,7,FALSE),VLOOKUP(tables_503101!C29,input_503101!A:H,8,FALSE))</f>
        <v>174101.6</v>
      </c>
      <c r="P29" s="46">
        <f t="shared" ca="1" si="1"/>
        <v>1.4247266775749424E-3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input_503101!A$2</f>
        <v>503101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IFERROR(VLOOKUP(B30,input_503101!L:R,7,FALSE),VLOOKUP(tables_503101!C30,input_503101!A:H,8,FALSE))</f>
        <v>1333280</v>
      </c>
      <c r="P30" s="46">
        <f t="shared" ca="1" si="1"/>
        <v>1.0910638297850906E-2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input_503101!A$2</f>
        <v>503101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IFERROR(VLOOKUP(B31,input_503101!L:R,7,FALSE),VLOOKUP(tables_503101!C31,input_503101!A:H,8,FALSE))</f>
        <v>174101.6</v>
      </c>
      <c r="P31" s="46">
        <f t="shared" ca="1" si="1"/>
        <v>1.4247266775749424E-3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input_503101!A$2</f>
        <v>503101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IFERROR(VLOOKUP(B32,input_503101!L:R,7,FALSE),VLOOKUP(tables_503101!C32,input_503101!A:H,8,FALSE))</f>
        <v>1333280</v>
      </c>
      <c r="P32" s="46">
        <f t="shared" ca="1" si="1"/>
        <v>1.0910638297850906E-2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input_503101!A$2</f>
        <v>503101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IFERROR(VLOOKUP(B33,input_503101!L:R,7,FALSE),VLOOKUP(tables_503101!C33,input_503101!A:H,8,FALSE))</f>
        <v>174101.6</v>
      </c>
      <c r="P33" s="46">
        <f t="shared" ca="1" si="1"/>
        <v>1.4247266775749424E-3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input_503101!A$2</f>
        <v>503101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IFERROR(VLOOKUP(B34,input_503101!L:R,7,FALSE),VLOOKUP(tables_503101!C34,input_503101!A:H,8,FALSE))</f>
        <v>1333280</v>
      </c>
      <c r="P34" s="46">
        <f t="shared" ca="1" si="1"/>
        <v>1.0910638297850906E-2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input_503101!A$2</f>
        <v>503101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IFERROR(VLOOKUP(B35,input_503101!L:R,7,FALSE),VLOOKUP(tables_503101!C35,input_503101!A:H,8,FALSE))</f>
        <v>174101.6</v>
      </c>
      <c r="P35" s="46">
        <f t="shared" ca="1" si="1"/>
        <v>1.4247266775749424E-3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input_503101!A$2</f>
        <v>503101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IFERROR(VLOOKUP(B36,input_503101!L:R,7,FALSE),VLOOKUP(tables_503101!C36,input_503101!A:H,8,FALSE))</f>
        <v>1333280</v>
      </c>
      <c r="P36" s="46">
        <f t="shared" ca="1" si="1"/>
        <v>1.0910638297850906E-2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input_503101!A$2</f>
        <v>503101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IFERROR(VLOOKUP(B37,input_503101!L:R,7,FALSE),VLOOKUP(tables_503101!C37,input_503101!A:H,8,FALSE))</f>
        <v>174101.6</v>
      </c>
      <c r="P37" s="46">
        <f t="shared" ca="1" si="1"/>
        <v>1.4247266775749424E-3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input_503101!A$2</f>
        <v>503101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IFERROR(VLOOKUP(B38,input_503101!L:R,7,FALSE),VLOOKUP(tables_503101!C38,input_503101!A:H,8,FALSE))</f>
        <v>1333280</v>
      </c>
      <c r="P38" s="46">
        <f t="shared" ca="1" si="1"/>
        <v>1.0910638297850906E-2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input_503101!A$2</f>
        <v>503101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IFERROR(VLOOKUP(B39,input_503101!L:R,7,FALSE),VLOOKUP(tables_503101!C39,input_503101!A:H,8,FALSE))</f>
        <v>174101.6</v>
      </c>
      <c r="P39" s="46">
        <f t="shared" ca="1" si="1"/>
        <v>1.4247266775749424E-3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input_503101!A$2</f>
        <v>503101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IFERROR(VLOOKUP(B40,input_503101!L:R,7,FALSE),VLOOKUP(tables_503101!C40,input_503101!A:H,8,FALSE))</f>
        <v>1333280</v>
      </c>
      <c r="P40" s="46">
        <f t="shared" ca="1" si="1"/>
        <v>1.0910638297850906E-2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input_503101!A$2</f>
        <v>503101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IFERROR(VLOOKUP(B41,input_503101!L:R,7,FALSE),VLOOKUP(tables_503101!C41,input_503101!A:H,8,FALSE))</f>
        <v>174101.6</v>
      </c>
      <c r="P41" s="46">
        <f t="shared" ca="1" si="1"/>
        <v>1.4247266775749424E-3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input_503101!A$2</f>
        <v>503101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IFERROR(VLOOKUP(B42,input_503101!L:R,7,FALSE),VLOOKUP(tables_503101!C42,input_503101!A:H,8,FALSE))</f>
        <v>614900</v>
      </c>
      <c r="P42" s="46">
        <f t="shared" ca="1" si="1"/>
        <v>5.0319148936071355E-3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input_503101!A$2</f>
        <v>503101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IFERROR(VLOOKUP(B43,input_503101!L:R,7,FALSE),VLOOKUP(tables_503101!C43,input_503101!A:H,8,FALSE))</f>
        <v>553410</v>
      </c>
      <c r="P43" s="46">
        <f t="shared" ca="1" si="1"/>
        <v>4.5287234042464221E-3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input_503101!A$2</f>
        <v>503101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IFERROR(VLOOKUP(B44,input_503101!L:R,7,FALSE),VLOOKUP(tables_503101!C44,input_503101!A:H,8,FALSE))</f>
        <v>61490</v>
      </c>
      <c r="P44" s="46">
        <f t="shared" ca="1" si="1"/>
        <v>5.0319148936071357E-4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input_503101!A$2</f>
        <v>503101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IFERROR(VLOOKUP(B45,input_503101!L:R,7,FALSE),VLOOKUP(tables_503101!C45,input_503101!A:H,8,FALSE))</f>
        <v>614900</v>
      </c>
      <c r="P45" s="46">
        <f t="shared" ca="1" si="1"/>
        <v>5.0319148936071355E-3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input_503101!A$2</f>
        <v>503101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IFERROR(VLOOKUP(B46,input_503101!L:R,7,FALSE),VLOOKUP(tables_503101!C46,input_503101!A:H,8,FALSE))</f>
        <v>553410</v>
      </c>
      <c r="P46" s="46">
        <f t="shared" ca="1" si="1"/>
        <v>4.5287234042464221E-3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input_503101!A$2</f>
        <v>503101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IFERROR(VLOOKUP(B47,input_503101!L:R,7,FALSE),VLOOKUP(tables_503101!C47,input_503101!A:H,8,FALSE))</f>
        <v>61490</v>
      </c>
      <c r="P47" s="46">
        <f t="shared" ca="1" si="1"/>
        <v>5.0319148936071357E-4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input_503101!A$2</f>
        <v>503101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IFERROR(VLOOKUP(B48,input_503101!L:R,7,FALSE),VLOOKUP(tables_503101!C48,input_503101!A:H,8,FALSE))</f>
        <v>614900</v>
      </c>
      <c r="P48" s="46">
        <f t="shared" ca="1" si="1"/>
        <v>5.0319148936071355E-3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input_503101!A$2</f>
        <v>503101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IFERROR(VLOOKUP(B49,input_503101!L:R,7,FALSE),VLOOKUP(tables_503101!C49,input_503101!A:H,8,FALSE))</f>
        <v>553410</v>
      </c>
      <c r="P49" s="46">
        <f t="shared" ca="1" si="1"/>
        <v>4.5287234042464221E-3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input_503101!A$2</f>
        <v>503101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IFERROR(VLOOKUP(B50,input_503101!L:R,7,FALSE),VLOOKUP(tables_503101!C50,input_503101!A:H,8,FALSE))</f>
        <v>61490</v>
      </c>
      <c r="P50" s="46">
        <f t="shared" ca="1" si="1"/>
        <v>5.0319148936071357E-4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input_503101!A$2</f>
        <v>503101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IFERROR(VLOOKUP(B51,input_503101!L:R,7,FALSE),VLOOKUP(tables_503101!C51,input_503101!A:H,8,FALSE))</f>
        <v>614900</v>
      </c>
      <c r="P51" s="46">
        <f t="shared" ca="1" si="1"/>
        <v>5.0319148936071355E-3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input_503101!A$2</f>
        <v>503101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IFERROR(VLOOKUP(B52,input_503101!L:R,7,FALSE),VLOOKUP(tables_503101!C52,input_503101!A:H,8,FALSE))</f>
        <v>482910</v>
      </c>
      <c r="P52" s="46">
        <f t="shared" ca="1" si="1"/>
        <v>3.9518003273244784E-3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input_503101!A$2</f>
        <v>503101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IFERROR(VLOOKUP(B53,input_503101!L:R,7,FALSE),VLOOKUP(tables_503101!C53,input_503101!A:H,8,FALSE))</f>
        <v>25227.846160000001</v>
      </c>
      <c r="P53" s="46">
        <f t="shared" ca="1" si="1"/>
        <v>2.0644718625164026E-4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input_503101!A$2</f>
        <v>503101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IFERROR(VLOOKUP(B54,input_503101!L:R,7,FALSE),VLOOKUP(tables_503101!C54,input_503101!A:H,8,FALSE))</f>
        <v>614900</v>
      </c>
      <c r="P54" s="46">
        <f t="shared" ca="1" si="1"/>
        <v>5.0319148936071355E-3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input_503101!A$2</f>
        <v>503101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IFERROR(VLOOKUP(B55,input_503101!L:R,7,FALSE),VLOOKUP(tables_503101!C55,input_503101!A:H,8,FALSE))</f>
        <v>482910</v>
      </c>
      <c r="P55" s="46">
        <f t="shared" ca="1" si="1"/>
        <v>3.9518003273244784E-3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input_503101!A$2</f>
        <v>503101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IFERROR(VLOOKUP(B56,input_503101!L:R,7,FALSE),VLOOKUP(tables_503101!C56,input_503101!A:H,8,FALSE))</f>
        <v>25227.846160000001</v>
      </c>
      <c r="P56" s="46">
        <f t="shared" ca="1" si="1"/>
        <v>2.0644718625164026E-4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input_503101!A$2</f>
        <v>503101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IFERROR(VLOOKUP(B57,input_503101!L:R,7,FALSE),VLOOKUP(tables_503101!C57,input_503101!A:H,8,FALSE))</f>
        <v>614900</v>
      </c>
      <c r="P57" s="46">
        <f t="shared" ca="1" si="1"/>
        <v>5.0319148936071355E-3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input_503101!A$2</f>
        <v>503101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IFERROR(VLOOKUP(B58,input_503101!L:R,7,FALSE),VLOOKUP(tables_503101!C58,input_503101!A:H,8,FALSE))</f>
        <v>482910</v>
      </c>
      <c r="P58" s="46">
        <f t="shared" ca="1" si="1"/>
        <v>3.9518003273244784E-3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input_503101!A$2</f>
        <v>503101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IFERROR(VLOOKUP(B59,input_503101!L:R,7,FALSE),VLOOKUP(tables_503101!C59,input_503101!A:H,8,FALSE))</f>
        <v>25227.846160000001</v>
      </c>
      <c r="P59" s="46">
        <f t="shared" ca="1" si="1"/>
        <v>2.0644718625164026E-4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input_503101!A$2</f>
        <v>503101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IFERROR(VLOOKUP(B60,input_503101!L:R,7,FALSE),VLOOKUP(tables_503101!C60,input_503101!A:H,8,FALSE))</f>
        <v>614900</v>
      </c>
      <c r="P60" s="46">
        <f t="shared" ca="1" si="1"/>
        <v>5.0319148936071355E-3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input_503101!A$2</f>
        <v>503101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IFERROR(VLOOKUP(B61,input_503101!L:R,7,FALSE),VLOOKUP(tables_503101!C61,input_503101!A:H,8,FALSE))</f>
        <v>482910</v>
      </c>
      <c r="P61" s="46">
        <f t="shared" ca="1" si="1"/>
        <v>3.9518003273244784E-3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input_503101!A$2</f>
        <v>503101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IFERROR(VLOOKUP(B62,input_503101!L:R,7,FALSE),VLOOKUP(tables_503101!C62,input_503101!A:H,8,FALSE))</f>
        <v>25227.846160000001</v>
      </c>
      <c r="P62" s="46">
        <f t="shared" ca="1" si="1"/>
        <v>2.0644718625164026E-4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input_503101!A$2</f>
        <v>503101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IFERROR(VLOOKUP(B63,input_503101!L:R,7,FALSE),VLOOKUP(tables_503101!C63,input_503101!A:H,8,FALSE))</f>
        <v>614900</v>
      </c>
      <c r="P63" s="46">
        <f t="shared" ca="1" si="1"/>
        <v>5.0319148936071355E-3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input_503101!A$2</f>
        <v>503101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IFERROR(VLOOKUP(B64,input_503101!L:R,7,FALSE),VLOOKUP(tables_503101!C64,input_503101!A:H,8,FALSE))</f>
        <v>482910</v>
      </c>
      <c r="P64" s="46">
        <f t="shared" ca="1" si="1"/>
        <v>3.9518003273244784E-3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input_503101!A$2</f>
        <v>503101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IFERROR(VLOOKUP(B65,input_503101!L:R,7,FALSE),VLOOKUP(tables_503101!C65,input_503101!A:H,8,FALSE))</f>
        <v>25227.846160000001</v>
      </c>
      <c r="P65" s="46">
        <f t="shared" ca="1" si="1"/>
        <v>2.0644718625164026E-4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input_503101!A$2</f>
        <v>503101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IFERROR(VLOOKUP(B66,input_503101!L:R,7,FALSE),VLOOKUP(tables_503101!C66,input_503101!A:H,8,FALSE))</f>
        <v>614900</v>
      </c>
      <c r="P66" s="46">
        <f t="shared" ref="P66:P129" ca="1" si="4">O66/SUM(O:O)</f>
        <v>5.0319148936071355E-3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input_503101!A$2</f>
        <v>503101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IFERROR(VLOOKUP(B67,input_503101!L:R,7,FALSE),VLOOKUP(tables_503101!C67,input_503101!A:H,8,FALSE))</f>
        <v>482910</v>
      </c>
      <c r="P67" s="46">
        <f t="shared" ca="1" si="4"/>
        <v>3.9518003273244784E-3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input_503101!A$2</f>
        <v>503101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IFERROR(VLOOKUP(B68,input_503101!L:R,7,FALSE),VLOOKUP(tables_503101!C68,input_503101!A:H,8,FALSE))</f>
        <v>25227.846160000001</v>
      </c>
      <c r="P68" s="46">
        <f t="shared" ca="1" si="4"/>
        <v>2.0644718625164026E-4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input_503101!A$2</f>
        <v>503101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IFERROR(VLOOKUP(B69,input_503101!L:R,7,FALSE),VLOOKUP(tables_503101!C69,input_503101!A:H,8,FALSE))</f>
        <v>614900</v>
      </c>
      <c r="P69" s="46">
        <f t="shared" ca="1" si="4"/>
        <v>5.0319148936071355E-3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input_503101!A$2</f>
        <v>503101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IFERROR(VLOOKUP(B70,input_503101!L:R,7,FALSE),VLOOKUP(tables_503101!C70,input_503101!A:H,8,FALSE))</f>
        <v>482910</v>
      </c>
      <c r="P70" s="46">
        <f t="shared" ca="1" si="4"/>
        <v>3.9518003273244784E-3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input_503101!A$2</f>
        <v>503101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IFERROR(VLOOKUP(B71,input_503101!L:R,7,FALSE),VLOOKUP(tables_503101!C71,input_503101!A:H,8,FALSE))</f>
        <v>25227.846160000001</v>
      </c>
      <c r="P71" s="46">
        <f t="shared" ca="1" si="4"/>
        <v>2.0644718625164026E-4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input_503101!A$2</f>
        <v>503101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IFERROR(VLOOKUP(B72,input_503101!L:R,7,FALSE),VLOOKUP(tables_503101!C72,input_503101!A:H,8,FALSE))</f>
        <v>614900</v>
      </c>
      <c r="P72" s="46">
        <f t="shared" ca="1" si="4"/>
        <v>5.0319148936071355E-3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input_503101!A$2</f>
        <v>503101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IFERROR(VLOOKUP(B73,input_503101!L:R,7,FALSE),VLOOKUP(tables_503101!C73,input_503101!A:H,8,FALSE))</f>
        <v>482910</v>
      </c>
      <c r="P73" s="46">
        <f t="shared" ca="1" si="4"/>
        <v>3.9518003273244784E-3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input_503101!A$2</f>
        <v>503101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IFERROR(VLOOKUP(B74,input_503101!L:R,7,FALSE),VLOOKUP(tables_503101!C74,input_503101!A:H,8,FALSE))</f>
        <v>25227.846160000001</v>
      </c>
      <c r="P74" s="46">
        <f t="shared" ca="1" si="4"/>
        <v>2.0644718625164026E-4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input_503101!A$2</f>
        <v>503101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IFERROR(VLOOKUP(B75,input_503101!L:R,7,FALSE),VLOOKUP(tables_503101!C75,input_503101!A:H,8,FALSE))</f>
        <v>614900</v>
      </c>
      <c r="P75" s="46">
        <f t="shared" ca="1" si="4"/>
        <v>5.0319148936071355E-3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input_503101!A$2</f>
        <v>503101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IFERROR(VLOOKUP(B76,input_503101!L:R,7,FALSE),VLOOKUP(tables_503101!C76,input_503101!A:H,8,FALSE))</f>
        <v>482910</v>
      </c>
      <c r="P76" s="46">
        <f t="shared" ca="1" si="4"/>
        <v>3.9518003273244784E-3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input_503101!A$2</f>
        <v>503101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IFERROR(VLOOKUP(B77,input_503101!L:R,7,FALSE),VLOOKUP(tables_503101!C77,input_503101!A:H,8,FALSE))</f>
        <v>25227.846160000001</v>
      </c>
      <c r="P77" s="46">
        <f t="shared" ca="1" si="4"/>
        <v>2.0644718625164026E-4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input_503101!A$2</f>
        <v>503101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IFERROR(VLOOKUP(B78,input_503101!L:R,7,FALSE),VLOOKUP(tables_503101!C78,input_503101!A:H,8,FALSE))</f>
        <v>614900</v>
      </c>
      <c r="P78" s="46">
        <f t="shared" ca="1" si="4"/>
        <v>5.0319148936071355E-3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input_503101!A$2</f>
        <v>503101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IFERROR(VLOOKUP(B79,input_503101!L:R,7,FALSE),VLOOKUP(tables_503101!C79,input_503101!A:H,8,FALSE))</f>
        <v>482910</v>
      </c>
      <c r="P79" s="46">
        <f t="shared" ca="1" si="4"/>
        <v>3.9518003273244784E-3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input_503101!A$2</f>
        <v>503101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IFERROR(VLOOKUP(B80,input_503101!L:R,7,FALSE),VLOOKUP(tables_503101!C80,input_503101!A:H,8,FALSE))</f>
        <v>25227.846160000001</v>
      </c>
      <c r="P80" s="46">
        <f t="shared" ca="1" si="4"/>
        <v>2.0644718625164026E-4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input_503101!A$2</f>
        <v>503101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IFERROR(VLOOKUP(B81,input_503101!L:R,7,FALSE),VLOOKUP(tables_503101!C81,input_503101!A:H,8,FALSE))</f>
        <v>614900</v>
      </c>
      <c r="P81" s="46">
        <f t="shared" ca="1" si="4"/>
        <v>5.0319148936071355E-3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input_503101!A$2</f>
        <v>503101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IFERROR(VLOOKUP(B82,input_503101!L:R,7,FALSE),VLOOKUP(tables_503101!C82,input_503101!A:H,8,FALSE))</f>
        <v>482910</v>
      </c>
      <c r="P82" s="46">
        <f t="shared" ca="1" si="4"/>
        <v>3.9518003273244784E-3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input_503101!A$2</f>
        <v>503101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IFERROR(VLOOKUP(B83,input_503101!L:R,7,FALSE),VLOOKUP(tables_503101!C83,input_503101!A:H,8,FALSE))</f>
        <v>25227.846160000001</v>
      </c>
      <c r="P83" s="46">
        <f t="shared" ca="1" si="4"/>
        <v>2.0644718625164026E-4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input_503101!A$2</f>
        <v>503101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IFERROR(VLOOKUP(B84,input_503101!L:R,7,FALSE),VLOOKUP(tables_503101!C84,input_503101!A:H,8,FALSE))</f>
        <v>614900</v>
      </c>
      <c r="P84" s="46">
        <f t="shared" ca="1" si="4"/>
        <v>5.0319148936071355E-3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input_503101!A$2</f>
        <v>503101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IFERROR(VLOOKUP(B85,input_503101!L:R,7,FALSE),VLOOKUP(tables_503101!C85,input_503101!A:H,8,FALSE))</f>
        <v>482910</v>
      </c>
      <c r="P85" s="46">
        <f t="shared" ca="1" si="4"/>
        <v>3.9518003273244784E-3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input_503101!A$2</f>
        <v>503101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IFERROR(VLOOKUP(B86,input_503101!L:R,7,FALSE),VLOOKUP(tables_503101!C86,input_503101!A:H,8,FALSE))</f>
        <v>25227.846160000001</v>
      </c>
      <c r="P86" s="46">
        <f t="shared" ca="1" si="4"/>
        <v>2.0644718625164026E-4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input_503101!A$2</f>
        <v>503101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IFERROR(VLOOKUP(B87,input_503101!L:R,7,FALSE),VLOOKUP(tables_503101!C87,input_503101!A:H,8,FALSE))</f>
        <v>614900</v>
      </c>
      <c r="P87" s="46">
        <f t="shared" ca="1" si="4"/>
        <v>5.0319148936071355E-3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input_503101!A$2</f>
        <v>503101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IFERROR(VLOOKUP(B88,input_503101!L:R,7,FALSE),VLOOKUP(tables_503101!C88,input_503101!A:H,8,FALSE))</f>
        <v>482910</v>
      </c>
      <c r="P88" s="46">
        <f t="shared" ca="1" si="4"/>
        <v>3.9518003273244784E-3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input_503101!A$2</f>
        <v>503101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IFERROR(VLOOKUP(B89,input_503101!L:R,7,FALSE),VLOOKUP(tables_503101!C89,input_503101!A:H,8,FALSE))</f>
        <v>25227.846160000001</v>
      </c>
      <c r="P89" s="46">
        <f t="shared" ca="1" si="4"/>
        <v>2.0644718625164026E-4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input_503101!A$2</f>
        <v>503101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IFERROR(VLOOKUP(B90,input_503101!L:R,7,FALSE),VLOOKUP(tables_503101!C90,input_503101!A:H,8,FALSE))</f>
        <v>614900</v>
      </c>
      <c r="P90" s="46">
        <f t="shared" ca="1" si="4"/>
        <v>5.0319148936071355E-3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input_503101!A$2</f>
        <v>503101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IFERROR(VLOOKUP(B91,input_503101!L:R,7,FALSE),VLOOKUP(tables_503101!C91,input_503101!A:H,8,FALSE))</f>
        <v>482910</v>
      </c>
      <c r="P91" s="46">
        <f t="shared" ca="1" si="4"/>
        <v>3.9518003273244784E-3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input_503101!A$2</f>
        <v>503101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IFERROR(VLOOKUP(B92,input_503101!L:R,7,FALSE),VLOOKUP(tables_503101!C92,input_503101!A:H,8,FALSE))</f>
        <v>25227.846160000001</v>
      </c>
      <c r="P92" s="46">
        <f t="shared" ca="1" si="4"/>
        <v>2.0644718625164026E-4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input_503101!A$2</f>
        <v>503101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IFERROR(VLOOKUP(B93,input_503101!L:R,7,FALSE),VLOOKUP(tables_503101!C93,input_503101!A:H,8,FALSE))</f>
        <v>614900</v>
      </c>
      <c r="P93" s="46">
        <f t="shared" ca="1" si="4"/>
        <v>5.0319148936071355E-3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input_503101!A$2</f>
        <v>503101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IFERROR(VLOOKUP(B94,input_503101!L:R,7,FALSE),VLOOKUP(tables_503101!C94,input_503101!A:H,8,FALSE))</f>
        <v>482910</v>
      </c>
      <c r="P94" s="46">
        <f t="shared" ca="1" si="4"/>
        <v>3.9518003273244784E-3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input_503101!A$2</f>
        <v>503101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IFERROR(VLOOKUP(B95,input_503101!L:R,7,FALSE),VLOOKUP(tables_503101!C95,input_503101!A:H,8,FALSE))</f>
        <v>25227.846160000001</v>
      </c>
      <c r="P95" s="46">
        <f t="shared" ca="1" si="4"/>
        <v>2.0644718625164026E-4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input_503101!A$2</f>
        <v>503101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IFERROR(VLOOKUP(B96,input_503101!L:R,7,FALSE),VLOOKUP(tables_503101!C96,input_503101!A:H,8,FALSE))</f>
        <v>614900</v>
      </c>
      <c r="P96" s="46">
        <f t="shared" ca="1" si="4"/>
        <v>5.0319148936071355E-3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input_503101!A$2</f>
        <v>503101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IFERROR(VLOOKUP(B97,input_503101!L:R,7,FALSE),VLOOKUP(tables_503101!C97,input_503101!A:H,8,FALSE))</f>
        <v>482910</v>
      </c>
      <c r="P97" s="46">
        <f t="shared" ca="1" si="4"/>
        <v>3.9518003273244784E-3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input_503101!A$2</f>
        <v>503101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IFERROR(VLOOKUP(B98,input_503101!L:R,7,FALSE),VLOOKUP(tables_503101!C98,input_503101!A:H,8,FALSE))</f>
        <v>25227.846160000001</v>
      </c>
      <c r="P98" s="46">
        <f t="shared" ca="1" si="4"/>
        <v>2.0644718625164026E-4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input_503101!A$2</f>
        <v>503101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IFERROR(VLOOKUP(B99,input_503101!L:R,7,FALSE),VLOOKUP(tables_503101!C99,input_503101!A:H,8,FALSE))</f>
        <v>614900</v>
      </c>
      <c r="P99" s="46">
        <f t="shared" ca="1" si="4"/>
        <v>5.0319148936071355E-3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input_503101!A$2</f>
        <v>503101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IFERROR(VLOOKUP(B100,input_503101!L:R,7,FALSE),VLOOKUP(tables_503101!C100,input_503101!A:H,8,FALSE))</f>
        <v>482910</v>
      </c>
      <c r="P100" s="46">
        <f t="shared" ca="1" si="4"/>
        <v>3.9518003273244784E-3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input_503101!A$2</f>
        <v>503101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IFERROR(VLOOKUP(B101,input_503101!L:R,7,FALSE),VLOOKUP(tables_503101!C101,input_503101!A:H,8,FALSE))</f>
        <v>25227.846160000001</v>
      </c>
      <c r="P101" s="46">
        <f t="shared" ca="1" si="4"/>
        <v>2.0644718625164026E-4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input_503101!A$2</f>
        <v>503101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IFERROR(VLOOKUP(B102,input_503101!L:R,7,FALSE),VLOOKUP(tables_503101!C102,input_503101!A:H,8,FALSE))</f>
        <v>614900</v>
      </c>
      <c r="P102" s="46">
        <f t="shared" ca="1" si="4"/>
        <v>5.0319148936071355E-3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input_503101!A$2</f>
        <v>503101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IFERROR(VLOOKUP(B103,input_503101!L:R,7,FALSE),VLOOKUP(tables_503101!C103,input_503101!A:H,8,FALSE))</f>
        <v>482910</v>
      </c>
      <c r="P103" s="46">
        <f t="shared" ca="1" si="4"/>
        <v>3.9518003273244784E-3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input_503101!A$2</f>
        <v>503101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IFERROR(VLOOKUP(B104,input_503101!L:R,7,FALSE),VLOOKUP(tables_503101!C104,input_503101!A:H,8,FALSE))</f>
        <v>25227.846160000001</v>
      </c>
      <c r="P104" s="46">
        <f t="shared" ca="1" si="4"/>
        <v>2.0644718625164026E-4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input_503101!A$2</f>
        <v>503101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IFERROR(VLOOKUP(B105,input_503101!L:R,7,FALSE),VLOOKUP(tables_503101!C105,input_503101!A:H,8,FALSE))</f>
        <v>614900</v>
      </c>
      <c r="P105" s="46">
        <f t="shared" ca="1" si="4"/>
        <v>5.0319148936071355E-3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input_503101!A$2</f>
        <v>503101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IFERROR(VLOOKUP(B106,input_503101!L:R,7,FALSE),VLOOKUP(tables_503101!C106,input_503101!A:H,8,FALSE))</f>
        <v>482910</v>
      </c>
      <c r="P106" s="46">
        <f t="shared" ca="1" si="4"/>
        <v>3.9518003273244784E-3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input_503101!A$2</f>
        <v>503101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IFERROR(VLOOKUP(B107,input_503101!L:R,7,FALSE),VLOOKUP(tables_503101!C107,input_503101!A:H,8,FALSE))</f>
        <v>25227.846160000001</v>
      </c>
      <c r="P107" s="46">
        <f t="shared" ca="1" si="4"/>
        <v>2.0644718625164026E-4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input_503101!A$2</f>
        <v>503101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IFERROR(VLOOKUP(B108,input_503101!L:R,7,FALSE),VLOOKUP(tables_503101!C108,input_503101!A:H,8,FALSE))</f>
        <v>614900</v>
      </c>
      <c r="P108" s="46">
        <f t="shared" ca="1" si="4"/>
        <v>5.0319148936071355E-3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input_503101!A$2</f>
        <v>503101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IFERROR(VLOOKUP(B109,input_503101!L:R,7,FALSE),VLOOKUP(tables_503101!C109,input_503101!A:H,8,FALSE))</f>
        <v>482910</v>
      </c>
      <c r="P109" s="46">
        <f t="shared" ca="1" si="4"/>
        <v>3.9518003273244784E-3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input_503101!A$2</f>
        <v>503101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IFERROR(VLOOKUP(B110,input_503101!L:R,7,FALSE),VLOOKUP(tables_503101!C110,input_503101!A:H,8,FALSE))</f>
        <v>25227.846160000001</v>
      </c>
      <c r="P110" s="46">
        <f t="shared" ca="1" si="4"/>
        <v>2.0644718625164026E-4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input_503101!A$2</f>
        <v>503101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IFERROR(VLOOKUP(B111,input_503101!L:R,7,FALSE),VLOOKUP(tables_503101!C111,input_503101!A:H,8,FALSE))</f>
        <v>614900</v>
      </c>
      <c r="P111" s="46">
        <f t="shared" ca="1" si="4"/>
        <v>5.0319148936071355E-3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input_503101!A$2</f>
        <v>503101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IFERROR(VLOOKUP(B112,input_503101!L:R,7,FALSE),VLOOKUP(tables_503101!C112,input_503101!A:H,8,FALSE))</f>
        <v>553410</v>
      </c>
      <c r="P112" s="46">
        <f t="shared" ca="1" si="4"/>
        <v>4.5287234042464221E-3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input_503101!A$2</f>
        <v>503101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IFERROR(VLOOKUP(B113,input_503101!L:R,7,FALSE),VLOOKUP(tables_503101!C113,input_503101!A:H,8,FALSE))</f>
        <v>61490</v>
      </c>
      <c r="P113" s="46">
        <f t="shared" ca="1" si="4"/>
        <v>5.0319148936071357E-4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input_503101!A$2</f>
        <v>503101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IFERROR(VLOOKUP(B114,input_503101!L:R,7,FALSE),VLOOKUP(tables_503101!C114,input_503101!A:H,8,FALSE))</f>
        <v>614900</v>
      </c>
      <c r="P114" s="46">
        <f t="shared" ca="1" si="4"/>
        <v>5.0319148936071355E-3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input_503101!A$2</f>
        <v>503101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IFERROR(VLOOKUP(B115,input_503101!L:R,7,FALSE),VLOOKUP(tables_503101!C115,input_503101!A:H,8,FALSE))</f>
        <v>482910</v>
      </c>
      <c r="P115" s="46">
        <f t="shared" ca="1" si="4"/>
        <v>3.9518003273244784E-3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input_503101!A$2</f>
        <v>503101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IFERROR(VLOOKUP(B116,input_503101!L:R,7,FALSE),VLOOKUP(tables_503101!C116,input_503101!A:H,8,FALSE))</f>
        <v>25227.846160000001</v>
      </c>
      <c r="P116" s="46">
        <f t="shared" ca="1" si="4"/>
        <v>2.0644718625164026E-4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input_503101!A$2</f>
        <v>503101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IFERROR(VLOOKUP(B117,input_503101!L:R,7,FALSE),VLOOKUP(tables_503101!C117,input_503101!A:H,8,FALSE))</f>
        <v>614900</v>
      </c>
      <c r="P117" s="46">
        <f t="shared" ca="1" si="4"/>
        <v>5.0319148936071355E-3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input_503101!A$2</f>
        <v>503101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IFERROR(VLOOKUP(B118,input_503101!L:R,7,FALSE),VLOOKUP(tables_503101!C118,input_503101!A:H,8,FALSE))</f>
        <v>482910</v>
      </c>
      <c r="P118" s="46">
        <f t="shared" ca="1" si="4"/>
        <v>3.9518003273244784E-3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input_503101!A$2</f>
        <v>503101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IFERROR(VLOOKUP(B119,input_503101!L:R,7,FALSE),VLOOKUP(tables_503101!C119,input_503101!A:H,8,FALSE))</f>
        <v>25227.846160000001</v>
      </c>
      <c r="P119" s="46">
        <f t="shared" ca="1" si="4"/>
        <v>2.0644718625164026E-4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input_503101!A$2</f>
        <v>503101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IFERROR(VLOOKUP(B120,input_503101!L:R,7,FALSE),VLOOKUP(tables_503101!C120,input_503101!A:H,8,FALSE))</f>
        <v>614900</v>
      </c>
      <c r="P120" s="46">
        <f t="shared" ca="1" si="4"/>
        <v>5.0319148936071355E-3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input_503101!A$2</f>
        <v>503101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IFERROR(VLOOKUP(B121,input_503101!L:R,7,FALSE),VLOOKUP(tables_503101!C121,input_503101!A:H,8,FALSE))</f>
        <v>482910</v>
      </c>
      <c r="P121" s="46">
        <f t="shared" ca="1" si="4"/>
        <v>3.9518003273244784E-3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input_503101!A$2</f>
        <v>503101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IFERROR(VLOOKUP(B122,input_503101!L:R,7,FALSE),VLOOKUP(tables_503101!C122,input_503101!A:H,8,FALSE))</f>
        <v>25227.846160000001</v>
      </c>
      <c r="P122" s="46">
        <f t="shared" ca="1" si="4"/>
        <v>2.0644718625164026E-4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input_503101!A$2</f>
        <v>503101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IFERROR(VLOOKUP(B123,input_503101!L:R,7,FALSE),VLOOKUP(tables_503101!C123,input_503101!A:H,8,FALSE))</f>
        <v>614900</v>
      </c>
      <c r="P123" s="46">
        <f t="shared" ca="1" si="4"/>
        <v>5.0319148936071355E-3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input_503101!A$2</f>
        <v>503101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IFERROR(VLOOKUP(B124,input_503101!L:R,7,FALSE),VLOOKUP(tables_503101!C124,input_503101!A:H,8,FALSE))</f>
        <v>482910</v>
      </c>
      <c r="P124" s="46">
        <f t="shared" ca="1" si="4"/>
        <v>3.9518003273244784E-3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input_503101!A$2</f>
        <v>503101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IFERROR(VLOOKUP(B125,input_503101!L:R,7,FALSE),VLOOKUP(tables_503101!C125,input_503101!A:H,8,FALSE))</f>
        <v>25227.846160000001</v>
      </c>
      <c r="P125" s="46">
        <f t="shared" ca="1" si="4"/>
        <v>2.0644718625164026E-4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input_503101!A$2</f>
        <v>503101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IFERROR(VLOOKUP(B126,input_503101!L:R,7,FALSE),VLOOKUP(tables_503101!C126,input_503101!A:H,8,FALSE))</f>
        <v>614900</v>
      </c>
      <c r="P126" s="46">
        <f t="shared" ca="1" si="4"/>
        <v>5.0319148936071355E-3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input_503101!A$2</f>
        <v>503101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IFERROR(VLOOKUP(B127,input_503101!L:R,7,FALSE),VLOOKUP(tables_503101!C127,input_503101!A:H,8,FALSE))</f>
        <v>482910</v>
      </c>
      <c r="P127" s="46">
        <f t="shared" ca="1" si="4"/>
        <v>3.9518003273244784E-3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input_503101!A$2</f>
        <v>503101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IFERROR(VLOOKUP(B128,input_503101!L:R,7,FALSE),VLOOKUP(tables_503101!C128,input_503101!A:H,8,FALSE))</f>
        <v>25227.846160000001</v>
      </c>
      <c r="P128" s="46">
        <f t="shared" ca="1" si="4"/>
        <v>2.0644718625164026E-4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input_503101!A$2</f>
        <v>503101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IFERROR(VLOOKUP(B129,input_503101!L:R,7,FALSE),VLOOKUP(tables_503101!C129,input_503101!A:H,8,FALSE))</f>
        <v>614900</v>
      </c>
      <c r="P129" s="46">
        <f t="shared" ca="1" si="4"/>
        <v>5.0319148936071355E-3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input_503101!A$2</f>
        <v>503101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IFERROR(VLOOKUP(B130,input_503101!L:R,7,FALSE),VLOOKUP(tables_503101!C130,input_503101!A:H,8,FALSE))</f>
        <v>482910</v>
      </c>
      <c r="P130" s="46">
        <f t="shared" ref="P130:P193" ca="1" si="7">O130/SUM(O:O)</f>
        <v>3.9518003273244784E-3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input_503101!A$2</f>
        <v>503101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IFERROR(VLOOKUP(B131,input_503101!L:R,7,FALSE),VLOOKUP(tables_503101!C131,input_503101!A:H,8,FALSE))</f>
        <v>25227.846160000001</v>
      </c>
      <c r="P131" s="46">
        <f t="shared" ca="1" si="7"/>
        <v>2.0644718625164026E-4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input_503101!A$2</f>
        <v>503101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IFERROR(VLOOKUP(B132,input_503101!L:R,7,FALSE),VLOOKUP(tables_503101!C132,input_503101!A:H,8,FALSE))</f>
        <v>614900</v>
      </c>
      <c r="P132" s="46">
        <f t="shared" ca="1" si="7"/>
        <v>5.0319148936071355E-3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input_503101!A$2</f>
        <v>503101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IFERROR(VLOOKUP(B133,input_503101!L:R,7,FALSE),VLOOKUP(tables_503101!C133,input_503101!A:H,8,FALSE))</f>
        <v>482910</v>
      </c>
      <c r="P133" s="46">
        <f t="shared" ca="1" si="7"/>
        <v>3.9518003273244784E-3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input_503101!A$2</f>
        <v>503101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IFERROR(VLOOKUP(B134,input_503101!L:R,7,FALSE),VLOOKUP(tables_503101!C134,input_503101!A:H,8,FALSE))</f>
        <v>25227.846160000001</v>
      </c>
      <c r="P134" s="46">
        <f t="shared" ca="1" si="7"/>
        <v>2.0644718625164026E-4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input_503101!A$2</f>
        <v>503101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IFERROR(VLOOKUP(B135,input_503101!L:R,7,FALSE),VLOOKUP(tables_503101!C135,input_503101!A:H,8,FALSE))</f>
        <v>614900</v>
      </c>
      <c r="P135" s="46">
        <f t="shared" ca="1" si="7"/>
        <v>5.0319148936071355E-3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input_503101!A$2</f>
        <v>503101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IFERROR(VLOOKUP(B136,input_503101!L:R,7,FALSE),VLOOKUP(tables_503101!C136,input_503101!A:H,8,FALSE))</f>
        <v>482910</v>
      </c>
      <c r="P136" s="46">
        <f t="shared" ca="1" si="7"/>
        <v>3.9518003273244784E-3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input_503101!A$2</f>
        <v>503101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IFERROR(VLOOKUP(B137,input_503101!L:R,7,FALSE),VLOOKUP(tables_503101!C137,input_503101!A:H,8,FALSE))</f>
        <v>25227.846160000001</v>
      </c>
      <c r="P137" s="46">
        <f t="shared" ca="1" si="7"/>
        <v>2.0644718625164026E-4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input_503101!A$2</f>
        <v>503101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IFERROR(VLOOKUP(B138,input_503101!L:R,7,FALSE),VLOOKUP(tables_503101!C138,input_503101!A:H,8,FALSE))</f>
        <v>82156</v>
      </c>
      <c r="P138" s="46">
        <f t="shared" ca="1" si="7"/>
        <v>6.7230769230637154E-4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input_503101!A$2</f>
        <v>503101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IFERROR(VLOOKUP(B139,input_503101!L:R,7,FALSE),VLOOKUP(tables_503101!C139,input_503101!A:H,8,FALSE))</f>
        <v>18692.57143</v>
      </c>
      <c r="P139" s="46">
        <f t="shared" ca="1" si="7"/>
        <v>1.5296703297842289E-4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input_503101!A$2</f>
        <v>503101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IFERROR(VLOOKUP(B140,input_503101!L:R,7,FALSE),VLOOKUP(tables_503101!C140,input_503101!A:H,8,FALSE))</f>
        <v>82156</v>
      </c>
      <c r="P140" s="46">
        <f t="shared" ca="1" si="7"/>
        <v>6.7230769230637154E-4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input_503101!A$2</f>
        <v>503101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IFERROR(VLOOKUP(B141,input_503101!L:R,7,FALSE),VLOOKUP(tables_503101!C141,input_503101!A:H,8,FALSE))</f>
        <v>18692.57143</v>
      </c>
      <c r="P141" s="46">
        <f t="shared" ca="1" si="7"/>
        <v>1.5296703297842289E-4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input_503101!A$2</f>
        <v>503101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IFERROR(VLOOKUP(B142,input_503101!L:R,7,FALSE),VLOOKUP(tables_503101!C142,input_503101!A:H,8,FALSE))</f>
        <v>82156</v>
      </c>
      <c r="P142" s="46">
        <f t="shared" ca="1" si="7"/>
        <v>6.7230769230637154E-4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input_503101!A$2</f>
        <v>503101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IFERROR(VLOOKUP(B143,input_503101!L:R,7,FALSE),VLOOKUP(tables_503101!C143,input_503101!A:H,8,FALSE))</f>
        <v>18692.57143</v>
      </c>
      <c r="P143" s="46">
        <f t="shared" ca="1" si="7"/>
        <v>1.5296703297842289E-4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input_503101!A$2</f>
        <v>503101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IFERROR(VLOOKUP(B144,input_503101!L:R,7,FALSE),VLOOKUP(tables_503101!C144,input_503101!A:H,8,FALSE))</f>
        <v>82156</v>
      </c>
      <c r="P144" s="46">
        <f t="shared" ca="1" si="7"/>
        <v>6.7230769230637154E-4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input_503101!A$2</f>
        <v>503101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IFERROR(VLOOKUP(B145,input_503101!L:R,7,FALSE),VLOOKUP(tables_503101!C145,input_503101!A:H,8,FALSE))</f>
        <v>18692.57143</v>
      </c>
      <c r="P145" s="46">
        <f t="shared" ca="1" si="7"/>
        <v>1.5296703297842289E-4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input_503101!A$2</f>
        <v>503101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IFERROR(VLOOKUP(B146,input_503101!L:R,7,FALSE),VLOOKUP(tables_503101!C146,input_503101!A:H,8,FALSE))</f>
        <v>614900</v>
      </c>
      <c r="P146" s="46">
        <f t="shared" ca="1" si="7"/>
        <v>5.0319148936071355E-3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input_503101!A$2</f>
        <v>503101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IFERROR(VLOOKUP(B147,input_503101!L:R,7,FALSE),VLOOKUP(tables_503101!C147,input_503101!A:H,8,FALSE))</f>
        <v>482910</v>
      </c>
      <c r="P147" s="46">
        <f t="shared" ca="1" si="7"/>
        <v>3.9518003273244784E-3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input_503101!A$2</f>
        <v>503101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IFERROR(VLOOKUP(B148,input_503101!L:R,7,FALSE),VLOOKUP(tables_503101!C148,input_503101!A:H,8,FALSE))</f>
        <v>25227.846160000001</v>
      </c>
      <c r="P148" s="46">
        <f t="shared" ca="1" si="7"/>
        <v>2.0644718625164026E-4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input_503101!A$2</f>
        <v>503101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IFERROR(VLOOKUP(B149,input_503101!L:R,7,FALSE),VLOOKUP(tables_503101!C149,input_503101!A:H,8,FALSE))</f>
        <v>82156</v>
      </c>
      <c r="P149" s="46">
        <f t="shared" ca="1" si="7"/>
        <v>6.7230769230637154E-4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input_503101!A$2</f>
        <v>503101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IFERROR(VLOOKUP(B150,input_503101!L:R,7,FALSE),VLOOKUP(tables_503101!C150,input_503101!A:H,8,FALSE))</f>
        <v>18692.57143</v>
      </c>
      <c r="P150" s="46">
        <f t="shared" ca="1" si="7"/>
        <v>1.5296703297842289E-4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input_503101!A$2</f>
        <v>503101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IFERROR(VLOOKUP(B151,input_503101!L:R,7,FALSE),VLOOKUP(tables_503101!C151,input_503101!A:H,8,FALSE))</f>
        <v>82156</v>
      </c>
      <c r="P151" s="46">
        <f t="shared" ca="1" si="7"/>
        <v>6.7230769230637154E-4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input_503101!A$2</f>
        <v>503101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IFERROR(VLOOKUP(B152,input_503101!L:R,7,FALSE),VLOOKUP(tables_503101!C152,input_503101!A:H,8,FALSE))</f>
        <v>18692.57143</v>
      </c>
      <c r="P152" s="46">
        <f t="shared" ca="1" si="7"/>
        <v>1.5296703297842289E-4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input_503101!A$2</f>
        <v>503101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IFERROR(VLOOKUP(B153,input_503101!L:R,7,FALSE),VLOOKUP(tables_503101!C153,input_503101!A:H,8,FALSE))</f>
        <v>614900</v>
      </c>
      <c r="P153" s="46">
        <f t="shared" ca="1" si="7"/>
        <v>5.0319148936071355E-3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input_503101!A$2</f>
        <v>503101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IFERROR(VLOOKUP(B154,input_503101!L:R,7,FALSE),VLOOKUP(tables_503101!C154,input_503101!A:H,8,FALSE))</f>
        <v>482910</v>
      </c>
      <c r="P154" s="46">
        <f t="shared" ca="1" si="7"/>
        <v>3.9518003273244784E-3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input_503101!A$2</f>
        <v>503101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IFERROR(VLOOKUP(B155,input_503101!L:R,7,FALSE),VLOOKUP(tables_503101!C155,input_503101!A:H,8,FALSE))</f>
        <v>25227.846160000001</v>
      </c>
      <c r="P155" s="46">
        <f t="shared" ca="1" si="7"/>
        <v>2.0644718625164026E-4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input_503101!A$2</f>
        <v>503101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IFERROR(VLOOKUP(B156,input_503101!L:R,7,FALSE),VLOOKUP(tables_503101!C156,input_503101!A:H,8,FALSE))</f>
        <v>82156</v>
      </c>
      <c r="P156" s="46">
        <f t="shared" ca="1" si="7"/>
        <v>6.7230769230637154E-4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input_503101!A$2</f>
        <v>503101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IFERROR(VLOOKUP(B157,input_503101!L:R,7,FALSE),VLOOKUP(tables_503101!C157,input_503101!A:H,8,FALSE))</f>
        <v>18692.57143</v>
      </c>
      <c r="P157" s="46">
        <f t="shared" ca="1" si="7"/>
        <v>1.5296703297842289E-4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input_503101!A$2</f>
        <v>503101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IFERROR(VLOOKUP(B158,input_503101!L:R,7,FALSE),VLOOKUP(tables_503101!C158,input_503101!A:H,8,FALSE))</f>
        <v>614900</v>
      </c>
      <c r="P158" s="46">
        <f t="shared" ca="1" si="7"/>
        <v>5.0319148936071355E-3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input_503101!A$2</f>
        <v>503101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IFERROR(VLOOKUP(B159,input_503101!L:R,7,FALSE),VLOOKUP(tables_503101!C159,input_503101!A:H,8,FALSE))</f>
        <v>482910</v>
      </c>
      <c r="P159" s="46">
        <f t="shared" ca="1" si="7"/>
        <v>3.9518003273244784E-3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input_503101!A$2</f>
        <v>503101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IFERROR(VLOOKUP(B160,input_503101!L:R,7,FALSE),VLOOKUP(tables_503101!C160,input_503101!A:H,8,FALSE))</f>
        <v>25227.846160000001</v>
      </c>
      <c r="P160" s="46">
        <f t="shared" ca="1" si="7"/>
        <v>2.0644718625164026E-4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input_503101!A$2</f>
        <v>503101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IFERROR(VLOOKUP(B161,input_503101!L:R,7,FALSE),VLOOKUP(tables_503101!C161,input_503101!A:H,8,FALSE))</f>
        <v>614900</v>
      </c>
      <c r="P161" s="46">
        <f t="shared" ca="1" si="7"/>
        <v>5.0319148936071355E-3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input_503101!A$2</f>
        <v>503101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IFERROR(VLOOKUP(B162,input_503101!L:R,7,FALSE),VLOOKUP(tables_503101!C162,input_503101!A:H,8,FALSE))</f>
        <v>482910</v>
      </c>
      <c r="P162" s="46">
        <f t="shared" ca="1" si="7"/>
        <v>3.9518003273244784E-3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input_503101!A$2</f>
        <v>503101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IFERROR(VLOOKUP(B163,input_503101!L:R,7,FALSE),VLOOKUP(tables_503101!C163,input_503101!A:H,8,FALSE))</f>
        <v>25227.846160000001</v>
      </c>
      <c r="P163" s="46">
        <f t="shared" ca="1" si="7"/>
        <v>2.0644718625164026E-4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input_503101!A$2</f>
        <v>503101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IFERROR(VLOOKUP(B164,input_503101!L:R,7,FALSE),VLOOKUP(tables_503101!C164,input_503101!A:H,8,FALSE))</f>
        <v>82156</v>
      </c>
      <c r="P164" s="46">
        <f t="shared" ca="1" si="7"/>
        <v>6.7230769230637154E-4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input_503101!A$2</f>
        <v>503101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IFERROR(VLOOKUP(B165,input_503101!L:R,7,FALSE),VLOOKUP(tables_503101!C165,input_503101!A:H,8,FALSE))</f>
        <v>18692.57143</v>
      </c>
      <c r="P165" s="46">
        <f t="shared" ca="1" si="7"/>
        <v>1.5296703297842289E-4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input_503101!A$2</f>
        <v>503101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IFERROR(VLOOKUP(B166,input_503101!L:R,7,FALSE),VLOOKUP(tables_503101!C166,input_503101!A:H,8,FALSE))</f>
        <v>614900</v>
      </c>
      <c r="P166" s="46">
        <f t="shared" ca="1" si="7"/>
        <v>5.0319148936071355E-3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input_503101!A$2</f>
        <v>503101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IFERROR(VLOOKUP(B167,input_503101!L:R,7,FALSE),VLOOKUP(tables_503101!C167,input_503101!A:H,8,FALSE))</f>
        <v>482910</v>
      </c>
      <c r="P167" s="46">
        <f t="shared" ca="1" si="7"/>
        <v>3.9518003273244784E-3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input_503101!A$2</f>
        <v>503101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IFERROR(VLOOKUP(B168,input_503101!L:R,7,FALSE),VLOOKUP(tables_503101!C168,input_503101!A:H,8,FALSE))</f>
        <v>25227.846160000001</v>
      </c>
      <c r="P168" s="46">
        <f t="shared" ca="1" si="7"/>
        <v>2.0644718625164026E-4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input_503101!A$2</f>
        <v>503101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IFERROR(VLOOKUP(B169,input_503101!L:R,7,FALSE),VLOOKUP(tables_503101!C169,input_503101!A:H,8,FALSE))</f>
        <v>82156</v>
      </c>
      <c r="P169" s="46">
        <f t="shared" ca="1" si="7"/>
        <v>6.7230769230637154E-4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input_503101!A$2</f>
        <v>503101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IFERROR(VLOOKUP(B170,input_503101!L:R,7,FALSE),VLOOKUP(tables_503101!C170,input_503101!A:H,8,FALSE))</f>
        <v>18692.57143</v>
      </c>
      <c r="P170" s="46">
        <f t="shared" ca="1" si="7"/>
        <v>1.5296703297842289E-4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input_503101!A$2</f>
        <v>503101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IFERROR(VLOOKUP(B171,input_503101!L:R,7,FALSE),VLOOKUP(tables_503101!C171,input_503101!A:H,8,FALSE))</f>
        <v>614900</v>
      </c>
      <c r="P171" s="46">
        <f t="shared" ca="1" si="7"/>
        <v>5.0319148936071355E-3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input_503101!A$2</f>
        <v>503101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IFERROR(VLOOKUP(B172,input_503101!L:R,7,FALSE),VLOOKUP(tables_503101!C172,input_503101!A:H,8,FALSE))</f>
        <v>482910</v>
      </c>
      <c r="P172" s="46">
        <f t="shared" ca="1" si="7"/>
        <v>3.9518003273244784E-3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input_503101!A$2</f>
        <v>503101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IFERROR(VLOOKUP(B173,input_503101!L:R,7,FALSE),VLOOKUP(tables_503101!C173,input_503101!A:H,8,FALSE))</f>
        <v>25227.846160000001</v>
      </c>
      <c r="P173" s="46">
        <f t="shared" ca="1" si="7"/>
        <v>2.0644718625164026E-4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input_503101!A$2</f>
        <v>503101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IFERROR(VLOOKUP(B174,input_503101!L:R,7,FALSE),VLOOKUP(tables_503101!C174,input_503101!A:H,8,FALSE))</f>
        <v>82156</v>
      </c>
      <c r="P174" s="46">
        <f t="shared" ca="1" si="7"/>
        <v>6.7230769230637154E-4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input_503101!A$2</f>
        <v>503101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IFERROR(VLOOKUP(B175,input_503101!L:R,7,FALSE),VLOOKUP(tables_503101!C175,input_503101!A:H,8,FALSE))</f>
        <v>18692.57143</v>
      </c>
      <c r="P175" s="46">
        <f t="shared" ca="1" si="7"/>
        <v>1.5296703297842289E-4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input_503101!A$2</f>
        <v>503101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IFERROR(VLOOKUP(B176,input_503101!L:R,7,FALSE),VLOOKUP(tables_503101!C176,input_503101!A:H,8,FALSE))</f>
        <v>82156</v>
      </c>
      <c r="P176" s="46">
        <f t="shared" ca="1" si="7"/>
        <v>6.7230769230637154E-4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input_503101!A$2</f>
        <v>503101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IFERROR(VLOOKUP(B177,input_503101!L:R,7,FALSE),VLOOKUP(tables_503101!C177,input_503101!A:H,8,FALSE))</f>
        <v>18692.57143</v>
      </c>
      <c r="P177" s="46">
        <f t="shared" ca="1" si="7"/>
        <v>1.5296703297842289E-4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input_503101!A$2</f>
        <v>503101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IFERROR(VLOOKUP(B178,input_503101!L:R,7,FALSE),VLOOKUP(tables_503101!C178,input_503101!A:H,8,FALSE))</f>
        <v>614900</v>
      </c>
      <c r="P178" s="46">
        <f t="shared" ca="1" si="7"/>
        <v>5.0319148936071355E-3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input_503101!A$2</f>
        <v>503101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IFERROR(VLOOKUP(B179,input_503101!L:R,7,FALSE),VLOOKUP(tables_503101!C179,input_503101!A:H,8,FALSE))</f>
        <v>482910</v>
      </c>
      <c r="P179" s="46">
        <f t="shared" ca="1" si="7"/>
        <v>3.9518003273244784E-3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input_503101!A$2</f>
        <v>503101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IFERROR(VLOOKUP(B180,input_503101!L:R,7,FALSE),VLOOKUP(tables_503101!C180,input_503101!A:H,8,FALSE))</f>
        <v>25227.846160000001</v>
      </c>
      <c r="P180" s="46">
        <f t="shared" ca="1" si="7"/>
        <v>2.0644718625164026E-4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input_503101!A$2</f>
        <v>503101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IFERROR(VLOOKUP(B181,input_503101!L:R,7,FALSE),VLOOKUP(tables_503101!C181,input_503101!A:H,8,FALSE))</f>
        <v>614900</v>
      </c>
      <c r="P181" s="46">
        <f t="shared" ca="1" si="7"/>
        <v>5.0319148936071355E-3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input_503101!A$2</f>
        <v>503101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IFERROR(VLOOKUP(B182,input_503101!L:R,7,FALSE),VLOOKUP(tables_503101!C182,input_503101!A:H,8,FALSE))</f>
        <v>482910</v>
      </c>
      <c r="P182" s="46">
        <f t="shared" ca="1" si="7"/>
        <v>3.9518003273244784E-3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input_503101!A$2</f>
        <v>503101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IFERROR(VLOOKUP(B183,input_503101!L:R,7,FALSE),VLOOKUP(tables_503101!C183,input_503101!A:H,8,FALSE))</f>
        <v>25227.846160000001</v>
      </c>
      <c r="P183" s="46">
        <f t="shared" ca="1" si="7"/>
        <v>2.0644718625164026E-4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input_503101!A$2</f>
        <v>503101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IFERROR(VLOOKUP(B184,input_503101!L:R,7,FALSE),VLOOKUP(tables_503101!C184,input_503101!A:H,8,FALSE))</f>
        <v>82156</v>
      </c>
      <c r="P184" s="46">
        <f t="shared" ca="1" si="7"/>
        <v>6.7230769230637154E-4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input_503101!A$2</f>
        <v>503101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IFERROR(VLOOKUP(B185,input_503101!L:R,7,FALSE),VLOOKUP(tables_503101!C185,input_503101!A:H,8,FALSE))</f>
        <v>18692.57143</v>
      </c>
      <c r="P185" s="46">
        <f t="shared" ca="1" si="7"/>
        <v>1.5296703297842289E-4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input_503101!A$2</f>
        <v>503101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IFERROR(VLOOKUP(B186,input_503101!L:R,7,FALSE),VLOOKUP(tables_503101!C186,input_503101!A:H,8,FALSE))</f>
        <v>614900</v>
      </c>
      <c r="P186" s="46">
        <f t="shared" ca="1" si="7"/>
        <v>5.0319148936071355E-3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input_503101!A$2</f>
        <v>503101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IFERROR(VLOOKUP(B187,input_503101!L:R,7,FALSE),VLOOKUP(tables_503101!C187,input_503101!A:H,8,FALSE))</f>
        <v>482910</v>
      </c>
      <c r="P187" s="46">
        <f t="shared" ca="1" si="7"/>
        <v>3.9518003273244784E-3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input_503101!A$2</f>
        <v>503101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IFERROR(VLOOKUP(B188,input_503101!L:R,7,FALSE),VLOOKUP(tables_503101!C188,input_503101!A:H,8,FALSE))</f>
        <v>25227.846160000001</v>
      </c>
      <c r="P188" s="46">
        <f t="shared" ca="1" si="7"/>
        <v>2.0644718625164026E-4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input_503101!A$2</f>
        <v>503101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IFERROR(VLOOKUP(B189,input_503101!L:R,7,FALSE),VLOOKUP(tables_503101!C189,input_503101!A:H,8,FALSE))</f>
        <v>82156</v>
      </c>
      <c r="P189" s="46">
        <f t="shared" ca="1" si="7"/>
        <v>6.7230769230637154E-4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input_503101!A$2</f>
        <v>503101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IFERROR(VLOOKUP(B190,input_503101!L:R,7,FALSE),VLOOKUP(tables_503101!C190,input_503101!A:H,8,FALSE))</f>
        <v>18692.57143</v>
      </c>
      <c r="P190" s="46">
        <f t="shared" ca="1" si="7"/>
        <v>1.5296703297842289E-4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input_503101!A$2</f>
        <v>503101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IFERROR(VLOOKUP(B191,input_503101!L:R,7,FALSE),VLOOKUP(tables_503101!C191,input_503101!A:H,8,FALSE))</f>
        <v>82156</v>
      </c>
      <c r="P191" s="46">
        <f t="shared" ca="1" si="7"/>
        <v>6.7230769230637154E-4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input_503101!A$2</f>
        <v>503101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IFERROR(VLOOKUP(B192,input_503101!L:R,7,FALSE),VLOOKUP(tables_503101!C192,input_503101!A:H,8,FALSE))</f>
        <v>18692.57143</v>
      </c>
      <c r="P192" s="46">
        <f t="shared" ca="1" si="7"/>
        <v>1.5296703297842289E-4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input_503101!A$2</f>
        <v>503101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IFERROR(VLOOKUP(B193,input_503101!L:R,7,FALSE),VLOOKUP(tables_503101!C193,input_503101!A:H,8,FALSE))</f>
        <v>614900</v>
      </c>
      <c r="P193" s="46">
        <f t="shared" ca="1" si="7"/>
        <v>5.0319148936071355E-3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input_503101!A$2</f>
        <v>503101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IFERROR(VLOOKUP(B194,input_503101!L:R,7,FALSE),VLOOKUP(tables_503101!C194,input_503101!A:H,8,FALSE))</f>
        <v>482910</v>
      </c>
      <c r="P194" s="46">
        <f t="shared" ref="P194:P257" ca="1" si="10">O194/SUM(O:O)</f>
        <v>3.9518003273244784E-3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input_503101!A$2</f>
        <v>503101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IFERROR(VLOOKUP(B195,input_503101!L:R,7,FALSE),VLOOKUP(tables_503101!C195,input_503101!A:H,8,FALSE))</f>
        <v>25227.846160000001</v>
      </c>
      <c r="P195" s="46">
        <f t="shared" ca="1" si="10"/>
        <v>2.0644718625164026E-4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input_503101!A$2</f>
        <v>503101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IFERROR(VLOOKUP(B196,input_503101!L:R,7,FALSE),VLOOKUP(tables_503101!C196,input_503101!A:H,8,FALSE))</f>
        <v>82156</v>
      </c>
      <c r="P196" s="46">
        <f t="shared" ca="1" si="10"/>
        <v>6.7230769230637154E-4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input_503101!A$2</f>
        <v>503101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IFERROR(VLOOKUP(B197,input_503101!L:R,7,FALSE),VLOOKUP(tables_503101!C197,input_503101!A:H,8,FALSE))</f>
        <v>18692.57143</v>
      </c>
      <c r="P197" s="46">
        <f t="shared" ca="1" si="10"/>
        <v>1.5296703297842289E-4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input_503101!A$2</f>
        <v>503101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IFERROR(VLOOKUP(B198,input_503101!L:R,7,FALSE),VLOOKUP(tables_503101!C198,input_503101!A:H,8,FALSE))</f>
        <v>614900</v>
      </c>
      <c r="P198" s="46">
        <f t="shared" ca="1" si="10"/>
        <v>5.0319148936071355E-3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input_503101!A$2</f>
        <v>503101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IFERROR(VLOOKUP(B199,input_503101!L:R,7,FALSE),VLOOKUP(tables_503101!C199,input_503101!A:H,8,FALSE))</f>
        <v>482910</v>
      </c>
      <c r="P199" s="46">
        <f t="shared" ca="1" si="10"/>
        <v>3.9518003273244784E-3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input_503101!A$2</f>
        <v>503101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IFERROR(VLOOKUP(B200,input_503101!L:R,7,FALSE),VLOOKUP(tables_503101!C200,input_503101!A:H,8,FALSE))</f>
        <v>25227.846160000001</v>
      </c>
      <c r="P200" s="46">
        <f t="shared" ca="1" si="10"/>
        <v>2.0644718625164026E-4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input_503101!A$2</f>
        <v>503101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IFERROR(VLOOKUP(B201,input_503101!L:R,7,FALSE),VLOOKUP(tables_503101!C201,input_503101!A:H,8,FALSE))</f>
        <v>82156</v>
      </c>
      <c r="P201" s="46">
        <f t="shared" ca="1" si="10"/>
        <v>6.7230769230637154E-4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input_503101!A$2</f>
        <v>503101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IFERROR(VLOOKUP(B202,input_503101!L:R,7,FALSE),VLOOKUP(tables_503101!C202,input_503101!A:H,8,FALSE))</f>
        <v>18692.57143</v>
      </c>
      <c r="P202" s="46">
        <f t="shared" ca="1" si="10"/>
        <v>1.5296703297842289E-4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input_503101!A$2</f>
        <v>503101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IFERROR(VLOOKUP(B203,input_503101!L:R,7,FALSE),VLOOKUP(tables_503101!C203,input_503101!A:H,8,FALSE))</f>
        <v>614900</v>
      </c>
      <c r="P203" s="46">
        <f t="shared" ca="1" si="10"/>
        <v>5.0319148936071355E-3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input_503101!A$2</f>
        <v>503101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IFERROR(VLOOKUP(B204,input_503101!L:R,7,FALSE),VLOOKUP(tables_503101!C204,input_503101!A:H,8,FALSE))</f>
        <v>482910</v>
      </c>
      <c r="P204" s="46">
        <f t="shared" ca="1" si="10"/>
        <v>3.9518003273244784E-3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input_503101!A$2</f>
        <v>503101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IFERROR(VLOOKUP(B205,input_503101!L:R,7,FALSE),VLOOKUP(tables_503101!C205,input_503101!A:H,8,FALSE))</f>
        <v>25227.846160000001</v>
      </c>
      <c r="P205" s="46">
        <f t="shared" ca="1" si="10"/>
        <v>2.0644718625164026E-4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input_503101!A$2</f>
        <v>503101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IFERROR(VLOOKUP(B206,input_503101!L:R,7,FALSE),VLOOKUP(tables_503101!C206,input_503101!A:H,8,FALSE))</f>
        <v>82156</v>
      </c>
      <c r="P206" s="46">
        <f t="shared" ca="1" si="10"/>
        <v>6.7230769230637154E-4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input_503101!A$2</f>
        <v>503101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IFERROR(VLOOKUP(B207,input_503101!L:R,7,FALSE),VLOOKUP(tables_503101!C207,input_503101!A:H,8,FALSE))</f>
        <v>18692.57143</v>
      </c>
      <c r="P207" s="46">
        <f t="shared" ca="1" si="10"/>
        <v>1.5296703297842289E-4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input_503101!A$2</f>
        <v>503101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IFERROR(VLOOKUP(B208,input_503101!L:R,7,FALSE),VLOOKUP(tables_503101!C208,input_503101!A:H,8,FALSE))</f>
        <v>82156</v>
      </c>
      <c r="P208" s="46">
        <f t="shared" ca="1" si="10"/>
        <v>6.7230769230637154E-4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input_503101!A$2</f>
        <v>503101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IFERROR(VLOOKUP(B209,input_503101!L:R,7,FALSE),VLOOKUP(tables_503101!C209,input_503101!A:H,8,FALSE))</f>
        <v>18692.57143</v>
      </c>
      <c r="P209" s="46">
        <f t="shared" ca="1" si="10"/>
        <v>1.5296703297842289E-4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input_503101!A$2</f>
        <v>503101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IFERROR(VLOOKUP(B210,input_503101!L:R,7,FALSE),VLOOKUP(tables_503101!C210,input_503101!A:H,8,FALSE))</f>
        <v>614900</v>
      </c>
      <c r="P210" s="46">
        <f t="shared" ca="1" si="10"/>
        <v>5.0319148936071355E-3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input_503101!A$2</f>
        <v>503101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IFERROR(VLOOKUP(B211,input_503101!L:R,7,FALSE),VLOOKUP(tables_503101!C211,input_503101!A:H,8,FALSE))</f>
        <v>482910</v>
      </c>
      <c r="P211" s="46">
        <f t="shared" ca="1" si="10"/>
        <v>3.9518003273244784E-3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input_503101!A$2</f>
        <v>503101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IFERROR(VLOOKUP(B212,input_503101!L:R,7,FALSE),VLOOKUP(tables_503101!C212,input_503101!A:H,8,FALSE))</f>
        <v>25227.846160000001</v>
      </c>
      <c r="P212" s="46">
        <f t="shared" ca="1" si="10"/>
        <v>2.0644718625164026E-4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input_503101!A$2</f>
        <v>503101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IFERROR(VLOOKUP(B213,input_503101!L:R,7,FALSE),VLOOKUP(tables_503101!C213,input_503101!A:H,8,FALSE))</f>
        <v>82156</v>
      </c>
      <c r="P213" s="46">
        <f t="shared" ca="1" si="10"/>
        <v>6.7230769230637154E-4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input_503101!A$2</f>
        <v>503101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IFERROR(VLOOKUP(B214,input_503101!L:R,7,FALSE),VLOOKUP(tables_503101!C214,input_503101!A:H,8,FALSE))</f>
        <v>18692.57143</v>
      </c>
      <c r="P214" s="46">
        <f t="shared" ca="1" si="10"/>
        <v>1.5296703297842289E-4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input_503101!A$2</f>
        <v>503101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IFERROR(VLOOKUP(B215,input_503101!L:R,7,FALSE),VLOOKUP(tables_503101!C215,input_503101!A:H,8,FALSE))</f>
        <v>10573.333329999999</v>
      </c>
      <c r="P215" s="46">
        <f t="shared" ca="1" si="10"/>
        <v>8.652482266758778E-5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input_503101!A$2</f>
        <v>503101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IFERROR(VLOOKUP(B216,input_503101!L:R,7,FALSE),VLOOKUP(tables_503101!C216,input_503101!A:H,8,FALSE))</f>
        <v>10573.333329999999</v>
      </c>
      <c r="P216" s="46">
        <f t="shared" ca="1" si="10"/>
        <v>8.652482266758778E-5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input_503101!A$2</f>
        <v>503101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IFERROR(VLOOKUP(B217,input_503101!L:R,7,FALSE),VLOOKUP(tables_503101!C217,input_503101!A:H,8,FALSE))</f>
        <v>10573.333329999999</v>
      </c>
      <c r="P217" s="46">
        <f t="shared" ca="1" si="10"/>
        <v>8.652482266758778E-5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input_503101!A$2</f>
        <v>503101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IFERROR(VLOOKUP(B218,input_503101!L:R,7,FALSE),VLOOKUP(tables_503101!C218,input_503101!A:H,8,FALSE))</f>
        <v>10573.333329999999</v>
      </c>
      <c r="P218" s="46">
        <f t="shared" ca="1" si="10"/>
        <v>8.652482266758778E-5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input_503101!A$2</f>
        <v>503101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IFERROR(VLOOKUP(B219,input_503101!L:R,7,FALSE),VLOOKUP(tables_503101!C219,input_503101!A:H,8,FALSE))</f>
        <v>10573.333329999999</v>
      </c>
      <c r="P219" s="46">
        <f t="shared" ca="1" si="10"/>
        <v>8.652482266758778E-5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input_503101!A$2</f>
        <v>503101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IFERROR(VLOOKUP(B220,input_503101!L:R,7,FALSE),VLOOKUP(tables_503101!C220,input_503101!A:H,8,FALSE))</f>
        <v>10573.333329999999</v>
      </c>
      <c r="P220" s="46">
        <f t="shared" ca="1" si="10"/>
        <v>8.652482266758778E-5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input_503101!A$2</f>
        <v>503101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IFERROR(VLOOKUP(B221,input_503101!L:R,7,FALSE),VLOOKUP(tables_503101!C221,input_503101!A:H,8,FALSE))</f>
        <v>82156</v>
      </c>
      <c r="P221" s="46">
        <f t="shared" ca="1" si="10"/>
        <v>6.7230769230637154E-4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input_503101!A$2</f>
        <v>503101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IFERROR(VLOOKUP(B222,input_503101!L:R,7,FALSE),VLOOKUP(tables_503101!C222,input_503101!A:H,8,FALSE))</f>
        <v>18692.57143</v>
      </c>
      <c r="P222" s="46">
        <f t="shared" ca="1" si="10"/>
        <v>1.5296703297842289E-4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input_503101!A$2</f>
        <v>503101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IFERROR(VLOOKUP(B223,input_503101!L:R,7,FALSE),VLOOKUP(tables_503101!C223,input_503101!A:H,8,FALSE))</f>
        <v>614900</v>
      </c>
      <c r="P223" s="46">
        <f t="shared" ca="1" si="10"/>
        <v>5.0319148936071355E-3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input_503101!A$2</f>
        <v>503101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IFERROR(VLOOKUP(B224,input_503101!L:R,7,FALSE),VLOOKUP(tables_503101!C224,input_503101!A:H,8,FALSE))</f>
        <v>482910</v>
      </c>
      <c r="P224" s="46">
        <f t="shared" ca="1" si="10"/>
        <v>3.9518003273244784E-3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input_503101!A$2</f>
        <v>503101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IFERROR(VLOOKUP(B225,input_503101!L:R,7,FALSE),VLOOKUP(tables_503101!C225,input_503101!A:H,8,FALSE))</f>
        <v>25227.846160000001</v>
      </c>
      <c r="P225" s="46">
        <f t="shared" ca="1" si="10"/>
        <v>2.0644718625164026E-4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input_503101!A$2</f>
        <v>503101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IFERROR(VLOOKUP(B226,input_503101!L:R,7,FALSE),VLOOKUP(tables_503101!C226,input_503101!A:H,8,FALSE))</f>
        <v>614900</v>
      </c>
      <c r="P226" s="46">
        <f t="shared" ca="1" si="10"/>
        <v>5.0319148936071355E-3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input_503101!A$2</f>
        <v>503101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IFERROR(VLOOKUP(B227,input_503101!L:R,7,FALSE),VLOOKUP(tables_503101!C227,input_503101!A:H,8,FALSE))</f>
        <v>482910</v>
      </c>
      <c r="P227" s="46">
        <f t="shared" ca="1" si="10"/>
        <v>3.9518003273244784E-3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input_503101!A$2</f>
        <v>503101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IFERROR(VLOOKUP(B228,input_503101!L:R,7,FALSE),VLOOKUP(tables_503101!C228,input_503101!A:H,8,FALSE))</f>
        <v>25227.846160000001</v>
      </c>
      <c r="P228" s="46">
        <f t="shared" ca="1" si="10"/>
        <v>2.0644718625164026E-4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input_503101!A$2</f>
        <v>503101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IFERROR(VLOOKUP(B229,input_503101!L:R,7,FALSE),VLOOKUP(tables_503101!C229,input_503101!A:H,8,FALSE))</f>
        <v>82156</v>
      </c>
      <c r="P229" s="46">
        <f t="shared" ca="1" si="10"/>
        <v>6.7230769230637154E-4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input_503101!A$2</f>
        <v>503101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IFERROR(VLOOKUP(B230,input_503101!L:R,7,FALSE),VLOOKUP(tables_503101!C230,input_503101!A:H,8,FALSE))</f>
        <v>18692.57143</v>
      </c>
      <c r="P230" s="46">
        <f t="shared" ca="1" si="10"/>
        <v>1.5296703297842289E-4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input_503101!A$2</f>
        <v>503101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IFERROR(VLOOKUP(B231,input_503101!L:R,7,FALSE),VLOOKUP(tables_503101!C231,input_503101!A:H,8,FALSE))</f>
        <v>614900</v>
      </c>
      <c r="P231" s="46">
        <f t="shared" ca="1" si="10"/>
        <v>5.0319148936071355E-3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input_503101!A$2</f>
        <v>503101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IFERROR(VLOOKUP(B232,input_503101!L:R,7,FALSE),VLOOKUP(tables_503101!C232,input_503101!A:H,8,FALSE))</f>
        <v>482910</v>
      </c>
      <c r="P232" s="46">
        <f t="shared" ca="1" si="10"/>
        <v>3.9518003273244784E-3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input_503101!A$2</f>
        <v>503101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IFERROR(VLOOKUP(B233,input_503101!L:R,7,FALSE),VLOOKUP(tables_503101!C233,input_503101!A:H,8,FALSE))</f>
        <v>25227.846160000001</v>
      </c>
      <c r="P233" s="46">
        <f t="shared" ca="1" si="10"/>
        <v>2.0644718625164026E-4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input_503101!A$2</f>
        <v>503101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IFERROR(VLOOKUP(B234,input_503101!L:R,7,FALSE),VLOOKUP(tables_503101!C234,input_503101!A:H,8,FALSE))</f>
        <v>614900</v>
      </c>
      <c r="P234" s="46">
        <f t="shared" ca="1" si="10"/>
        <v>5.0319148936071355E-3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input_503101!A$2</f>
        <v>503101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IFERROR(VLOOKUP(B235,input_503101!L:R,7,FALSE),VLOOKUP(tables_503101!C235,input_503101!A:H,8,FALSE))</f>
        <v>482910</v>
      </c>
      <c r="P235" s="46">
        <f t="shared" ca="1" si="10"/>
        <v>3.9518003273244784E-3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input_503101!A$2</f>
        <v>503101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IFERROR(VLOOKUP(B236,input_503101!L:R,7,FALSE),VLOOKUP(tables_503101!C236,input_503101!A:H,8,FALSE))</f>
        <v>25227.846160000001</v>
      </c>
      <c r="P236" s="46">
        <f t="shared" ca="1" si="10"/>
        <v>2.0644718625164026E-4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input_503101!A$2</f>
        <v>503101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IFERROR(VLOOKUP(B237,input_503101!L:R,7,FALSE),VLOOKUP(tables_503101!C237,input_503101!A:H,8,FALSE))</f>
        <v>82156</v>
      </c>
      <c r="P237" s="46">
        <f t="shared" ca="1" si="10"/>
        <v>6.7230769230637154E-4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input_503101!A$2</f>
        <v>503101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IFERROR(VLOOKUP(B238,input_503101!L:R,7,FALSE),VLOOKUP(tables_503101!C238,input_503101!A:H,8,FALSE))</f>
        <v>18692.57143</v>
      </c>
      <c r="P238" s="46">
        <f t="shared" ca="1" si="10"/>
        <v>1.5296703297842289E-4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input_503101!A$2</f>
        <v>503101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IFERROR(VLOOKUP(B239,input_503101!L:R,7,FALSE),VLOOKUP(tables_503101!C239,input_503101!A:H,8,FALSE))</f>
        <v>614900</v>
      </c>
      <c r="P239" s="46">
        <f t="shared" ca="1" si="10"/>
        <v>5.0319148936071355E-3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input_503101!A$2</f>
        <v>503101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IFERROR(VLOOKUP(B240,input_503101!L:R,7,FALSE),VLOOKUP(tables_503101!C240,input_503101!A:H,8,FALSE))</f>
        <v>482910</v>
      </c>
      <c r="P240" s="46">
        <f t="shared" ca="1" si="10"/>
        <v>3.9518003273244784E-3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input_503101!A$2</f>
        <v>503101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IFERROR(VLOOKUP(B241,input_503101!L:R,7,FALSE),VLOOKUP(tables_503101!C241,input_503101!A:H,8,FALSE))</f>
        <v>25227.846160000001</v>
      </c>
      <c r="P241" s="46">
        <f t="shared" ca="1" si="10"/>
        <v>2.0644718625164026E-4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input_503101!A$2</f>
        <v>503101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IFERROR(VLOOKUP(B242,input_503101!L:R,7,FALSE),VLOOKUP(tables_503101!C242,input_503101!A:H,8,FALSE))</f>
        <v>82156</v>
      </c>
      <c r="P242" s="46">
        <f t="shared" ca="1" si="10"/>
        <v>6.7230769230637154E-4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input_503101!A$2</f>
        <v>503101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IFERROR(VLOOKUP(B243,input_503101!L:R,7,FALSE),VLOOKUP(tables_503101!C243,input_503101!A:H,8,FALSE))</f>
        <v>18692.57143</v>
      </c>
      <c r="P243" s="46">
        <f t="shared" ca="1" si="10"/>
        <v>1.5296703297842289E-4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input_503101!A$2</f>
        <v>503101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IFERROR(VLOOKUP(B244,input_503101!L:R,7,FALSE),VLOOKUP(tables_503101!C244,input_503101!A:H,8,FALSE))</f>
        <v>82156</v>
      </c>
      <c r="P244" s="46">
        <f t="shared" ca="1" si="10"/>
        <v>6.7230769230637154E-4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input_503101!A$2</f>
        <v>503101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IFERROR(VLOOKUP(B245,input_503101!L:R,7,FALSE),VLOOKUP(tables_503101!C245,input_503101!A:H,8,FALSE))</f>
        <v>18692.57143</v>
      </c>
      <c r="P245" s="46">
        <f t="shared" ca="1" si="10"/>
        <v>1.5296703297842289E-4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input_503101!A$2</f>
        <v>503101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IFERROR(VLOOKUP(B246,input_503101!L:R,7,FALSE),VLOOKUP(tables_503101!C246,input_503101!A:H,8,FALSE))</f>
        <v>614900</v>
      </c>
      <c r="P246" s="46">
        <f t="shared" ca="1" si="10"/>
        <v>5.0319148936071355E-3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input_503101!A$2</f>
        <v>503101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IFERROR(VLOOKUP(B247,input_503101!L:R,7,FALSE),VLOOKUP(tables_503101!C247,input_503101!A:H,8,FALSE))</f>
        <v>482910</v>
      </c>
      <c r="P247" s="46">
        <f t="shared" ca="1" si="10"/>
        <v>3.9518003273244784E-3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input_503101!A$2</f>
        <v>503101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IFERROR(VLOOKUP(B248,input_503101!L:R,7,FALSE),VLOOKUP(tables_503101!C248,input_503101!A:H,8,FALSE))</f>
        <v>25227.846160000001</v>
      </c>
      <c r="P248" s="46">
        <f t="shared" ca="1" si="10"/>
        <v>2.0644718625164026E-4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input_503101!A$2</f>
        <v>503101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IFERROR(VLOOKUP(B249,input_503101!L:R,7,FALSE),VLOOKUP(tables_503101!C249,input_503101!A:H,8,FALSE))</f>
        <v>614900</v>
      </c>
      <c r="P249" s="46">
        <f t="shared" ca="1" si="10"/>
        <v>5.0319148936071355E-3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input_503101!A$2</f>
        <v>503101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IFERROR(VLOOKUP(B250,input_503101!L:R,7,FALSE),VLOOKUP(tables_503101!C250,input_503101!A:H,8,FALSE))</f>
        <v>482910</v>
      </c>
      <c r="P250" s="46">
        <f t="shared" ca="1" si="10"/>
        <v>3.9518003273244784E-3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input_503101!A$2</f>
        <v>503101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IFERROR(VLOOKUP(B251,input_503101!L:R,7,FALSE),VLOOKUP(tables_503101!C251,input_503101!A:H,8,FALSE))</f>
        <v>25227.846160000001</v>
      </c>
      <c r="P251" s="46">
        <f t="shared" ca="1" si="10"/>
        <v>2.0644718625164026E-4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input_503101!A$2</f>
        <v>503101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IFERROR(VLOOKUP(B252,input_503101!L:R,7,FALSE),VLOOKUP(tables_503101!C252,input_503101!A:H,8,FALSE))</f>
        <v>614900</v>
      </c>
      <c r="P252" s="46">
        <f t="shared" ca="1" si="10"/>
        <v>5.0319148936071355E-3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input_503101!A$2</f>
        <v>503101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IFERROR(VLOOKUP(B253,input_503101!L:R,7,FALSE),VLOOKUP(tables_503101!C253,input_503101!A:H,8,FALSE))</f>
        <v>482910</v>
      </c>
      <c r="P253" s="46">
        <f t="shared" ca="1" si="10"/>
        <v>3.9518003273244784E-3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input_503101!A$2</f>
        <v>503101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IFERROR(VLOOKUP(B254,input_503101!L:R,7,FALSE),VLOOKUP(tables_503101!C254,input_503101!A:H,8,FALSE))</f>
        <v>25227.846160000001</v>
      </c>
      <c r="P254" s="46">
        <f t="shared" ca="1" si="10"/>
        <v>2.0644718625164026E-4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input_503101!A$2</f>
        <v>503101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IFERROR(VLOOKUP(B255,input_503101!L:R,7,FALSE),VLOOKUP(tables_503101!C255,input_503101!A:H,8,FALSE))</f>
        <v>614900</v>
      </c>
      <c r="P255" s="46">
        <f t="shared" ca="1" si="10"/>
        <v>5.0319148936071355E-3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input_503101!A$2</f>
        <v>503101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IFERROR(VLOOKUP(B256,input_503101!L:R,7,FALSE),VLOOKUP(tables_503101!C256,input_503101!A:H,8,FALSE))</f>
        <v>482910</v>
      </c>
      <c r="P256" s="46">
        <f t="shared" ca="1" si="10"/>
        <v>3.9518003273244784E-3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input_503101!A$2</f>
        <v>503101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IFERROR(VLOOKUP(B257,input_503101!L:R,7,FALSE),VLOOKUP(tables_503101!C257,input_503101!A:H,8,FALSE))</f>
        <v>25227.846160000001</v>
      </c>
      <c r="P257" s="46">
        <f t="shared" ca="1" si="10"/>
        <v>2.0644718625164026E-4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input_503101!A$2</f>
        <v>503101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IFERROR(VLOOKUP(B258,input_503101!L:R,7,FALSE),VLOOKUP(tables_503101!C258,input_503101!A:H,8,FALSE))</f>
        <v>82156</v>
      </c>
      <c r="P258" s="46">
        <f t="shared" ref="P258:P321" ca="1" si="13">O258/SUM(O:O)</f>
        <v>6.7230769230637154E-4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input_503101!A$2</f>
        <v>503101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IFERROR(VLOOKUP(B259,input_503101!L:R,7,FALSE),VLOOKUP(tables_503101!C259,input_503101!A:H,8,FALSE))</f>
        <v>18692.57143</v>
      </c>
      <c r="P259" s="46">
        <f t="shared" ca="1" si="13"/>
        <v>1.5296703297842289E-4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input_503101!A$2</f>
        <v>503101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IFERROR(VLOOKUP(B260,input_503101!L:R,7,FALSE),VLOOKUP(tables_503101!C260,input_503101!A:H,8,FALSE))</f>
        <v>82156</v>
      </c>
      <c r="P260" s="46">
        <f t="shared" ca="1" si="13"/>
        <v>6.7230769230637154E-4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input_503101!A$2</f>
        <v>503101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IFERROR(VLOOKUP(B261,input_503101!L:R,7,FALSE),VLOOKUP(tables_503101!C261,input_503101!A:H,8,FALSE))</f>
        <v>18692.57143</v>
      </c>
      <c r="P261" s="46">
        <f t="shared" ca="1" si="13"/>
        <v>1.5296703297842289E-4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input_503101!A$2</f>
        <v>503101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IFERROR(VLOOKUP(B262,input_503101!L:R,7,FALSE),VLOOKUP(tables_503101!C262,input_503101!A:H,8,FALSE))</f>
        <v>1215702.2222200001</v>
      </c>
      <c r="P262" s="46">
        <f t="shared" ca="1" si="13"/>
        <v>9.9484633569362664E-3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input_503101!A$2</f>
        <v>503101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IFERROR(VLOOKUP(B263,input_503101!L:R,7,FALSE),VLOOKUP(tables_503101!C263,input_503101!A:H,8,FALSE))</f>
        <v>10573.333329999999</v>
      </c>
      <c r="P263" s="46">
        <f t="shared" ca="1" si="13"/>
        <v>8.652482266758778E-5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input_503101!A$2</f>
        <v>503101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IFERROR(VLOOKUP(B264,input_503101!L:R,7,FALSE),VLOOKUP(tables_503101!C264,input_503101!A:H,8,FALSE))</f>
        <v>1215702.2222200001</v>
      </c>
      <c r="P264" s="46">
        <f t="shared" ca="1" si="13"/>
        <v>9.9484633569362664E-3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input_503101!A$2</f>
        <v>503101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IFERROR(VLOOKUP(B265,input_503101!L:R,7,FALSE),VLOOKUP(tables_503101!C265,input_503101!A:H,8,FALSE))</f>
        <v>10573.333329999999</v>
      </c>
      <c r="P265" s="46">
        <f t="shared" ca="1" si="13"/>
        <v>8.652482266758778E-5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input_503101!A$2</f>
        <v>503101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IFERROR(VLOOKUP(B266,input_503101!L:R,7,FALSE),VLOOKUP(tables_503101!C266,input_503101!A:H,8,FALSE))</f>
        <v>86480</v>
      </c>
      <c r="P266" s="46">
        <f t="shared" ca="1" si="13"/>
        <v>7.0769230769091734E-4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input_503101!A$2</f>
        <v>503101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IFERROR(VLOOKUP(B267,input_503101!L:R,7,FALSE),VLOOKUP(tables_503101!C267,input_503101!A:H,8,FALSE))</f>
        <v>86480</v>
      </c>
      <c r="P267" s="46">
        <f t="shared" ca="1" si="13"/>
        <v>7.0769230769091734E-4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input_503101!A$2</f>
        <v>503101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IFERROR(VLOOKUP(B268,input_503101!L:R,7,FALSE),VLOOKUP(tables_503101!C268,input_503101!A:H,8,FALSE))</f>
        <v>86480</v>
      </c>
      <c r="P268" s="46">
        <f t="shared" ca="1" si="13"/>
        <v>7.0769230769091734E-4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input_503101!A$2</f>
        <v>503101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IFERROR(VLOOKUP(B269,input_503101!L:R,7,FALSE),VLOOKUP(tables_503101!C269,input_503101!A:H,8,FALSE))</f>
        <v>86480</v>
      </c>
      <c r="P269" s="46">
        <f t="shared" ca="1" si="13"/>
        <v>7.0769230769091734E-4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input_503101!A$2</f>
        <v>503101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IFERROR(VLOOKUP(B270,input_503101!L:R,7,FALSE),VLOOKUP(tables_503101!C270,input_503101!A:H,8,FALSE))</f>
        <v>1215702.2222200001</v>
      </c>
      <c r="P270" s="46">
        <f t="shared" ca="1" si="13"/>
        <v>9.9484633569362664E-3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input_503101!A$2</f>
        <v>503101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IFERROR(VLOOKUP(B271,input_503101!L:R,7,FALSE),VLOOKUP(tables_503101!C271,input_503101!A:H,8,FALSE))</f>
        <v>10573.333329999999</v>
      </c>
      <c r="P271" s="46">
        <f t="shared" ca="1" si="13"/>
        <v>8.652482266758778E-5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input_503101!A$2</f>
        <v>503101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IFERROR(VLOOKUP(B272,input_503101!L:R,7,FALSE),VLOOKUP(tables_503101!C272,input_503101!A:H,8,FALSE))</f>
        <v>1215702.2222200001</v>
      </c>
      <c r="P272" s="46">
        <f t="shared" ca="1" si="13"/>
        <v>9.9484633569362664E-3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input_503101!A$2</f>
        <v>503101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IFERROR(VLOOKUP(B273,input_503101!L:R,7,FALSE),VLOOKUP(tables_503101!C273,input_503101!A:H,8,FALSE))</f>
        <v>10573.333329999999</v>
      </c>
      <c r="P273" s="46">
        <f t="shared" ca="1" si="13"/>
        <v>8.652482266758778E-5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input_503101!A$2</f>
        <v>503101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IFERROR(VLOOKUP(B274,input_503101!L:R,7,FALSE),VLOOKUP(tables_503101!C274,input_503101!A:H,8,FALSE))</f>
        <v>82156</v>
      </c>
      <c r="P274" s="46">
        <f t="shared" ca="1" si="13"/>
        <v>6.7230769230637154E-4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input_503101!A$2</f>
        <v>503101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IFERROR(VLOOKUP(B275,input_503101!L:R,7,FALSE),VLOOKUP(tables_503101!C275,input_503101!A:H,8,FALSE))</f>
        <v>18692.57143</v>
      </c>
      <c r="P275" s="46">
        <f t="shared" ca="1" si="13"/>
        <v>1.5296703297842289E-4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input_503101!A$2</f>
        <v>503101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IFERROR(VLOOKUP(B276,input_503101!L:R,7,FALSE),VLOOKUP(tables_503101!C276,input_503101!A:H,8,FALSE))</f>
        <v>82156</v>
      </c>
      <c r="P276" s="46">
        <f t="shared" ca="1" si="13"/>
        <v>6.7230769230637154E-4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input_503101!A$2</f>
        <v>503101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IFERROR(VLOOKUP(B277,input_503101!L:R,7,FALSE),VLOOKUP(tables_503101!C277,input_503101!A:H,8,FALSE))</f>
        <v>18692.57143</v>
      </c>
      <c r="P277" s="46">
        <f t="shared" ca="1" si="13"/>
        <v>1.5296703297842289E-4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input_503101!A$2</f>
        <v>503101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IFERROR(VLOOKUP(B278,input_503101!L:R,7,FALSE),VLOOKUP(tables_503101!C278,input_503101!A:H,8,FALSE))</f>
        <v>614900</v>
      </c>
      <c r="P278" s="46">
        <f t="shared" ca="1" si="13"/>
        <v>5.0319148936071355E-3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input_503101!A$2</f>
        <v>503101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IFERROR(VLOOKUP(B279,input_503101!L:R,7,FALSE),VLOOKUP(tables_503101!C279,input_503101!A:H,8,FALSE))</f>
        <v>482910</v>
      </c>
      <c r="P279" s="46">
        <f t="shared" ca="1" si="13"/>
        <v>3.9518003273244784E-3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input_503101!A$2</f>
        <v>503101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IFERROR(VLOOKUP(B280,input_503101!L:R,7,FALSE),VLOOKUP(tables_503101!C280,input_503101!A:H,8,FALSE))</f>
        <v>25227.846160000001</v>
      </c>
      <c r="P280" s="46">
        <f t="shared" ca="1" si="13"/>
        <v>2.0644718625164026E-4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input_503101!A$2</f>
        <v>503101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IFERROR(VLOOKUP(B281,input_503101!L:R,7,FALSE),VLOOKUP(tables_503101!C281,input_503101!A:H,8,FALSE))</f>
        <v>614900</v>
      </c>
      <c r="P281" s="46">
        <f t="shared" ca="1" si="13"/>
        <v>5.0319148936071355E-3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input_503101!A$2</f>
        <v>503101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IFERROR(VLOOKUP(B282,input_503101!L:R,7,FALSE),VLOOKUP(tables_503101!C282,input_503101!A:H,8,FALSE))</f>
        <v>482910</v>
      </c>
      <c r="P282" s="46">
        <f t="shared" ca="1" si="13"/>
        <v>3.9518003273244784E-3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input_503101!A$2</f>
        <v>503101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IFERROR(VLOOKUP(B283,input_503101!L:R,7,FALSE),VLOOKUP(tables_503101!C283,input_503101!A:H,8,FALSE))</f>
        <v>25227.846160000001</v>
      </c>
      <c r="P283" s="46">
        <f t="shared" ca="1" si="13"/>
        <v>2.0644718625164026E-4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input_503101!A$2</f>
        <v>503101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IFERROR(VLOOKUP(B284,input_503101!L:R,7,FALSE),VLOOKUP(tables_503101!C284,input_503101!A:H,8,FALSE))</f>
        <v>86480</v>
      </c>
      <c r="P284" s="46">
        <f t="shared" ca="1" si="13"/>
        <v>7.0769230769091734E-4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input_503101!A$2</f>
        <v>503101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IFERROR(VLOOKUP(B285,input_503101!L:R,7,FALSE),VLOOKUP(tables_503101!C285,input_503101!A:H,8,FALSE))</f>
        <v>86480</v>
      </c>
      <c r="P285" s="46">
        <f t="shared" ca="1" si="13"/>
        <v>7.0769230769091734E-4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input_503101!A$2</f>
        <v>503101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IFERROR(VLOOKUP(B286,input_503101!L:R,7,FALSE),VLOOKUP(tables_503101!C286,input_503101!A:H,8,FALSE))</f>
        <v>1215702.2222200001</v>
      </c>
      <c r="P286" s="46">
        <f t="shared" ca="1" si="13"/>
        <v>9.9484633569362664E-3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input_503101!A$2</f>
        <v>503101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IFERROR(VLOOKUP(B287,input_503101!L:R,7,FALSE),VLOOKUP(tables_503101!C287,input_503101!A:H,8,FALSE))</f>
        <v>10573.333329999999</v>
      </c>
      <c r="P287" s="46">
        <f t="shared" ca="1" si="13"/>
        <v>8.652482266758778E-5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input_503101!A$2</f>
        <v>503101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IFERROR(VLOOKUP(B288,input_503101!L:R,7,FALSE),VLOOKUP(tables_503101!C288,input_503101!A:H,8,FALSE))</f>
        <v>1215702.2222200001</v>
      </c>
      <c r="P288" s="46">
        <f t="shared" ca="1" si="13"/>
        <v>9.9484633569362664E-3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input_503101!A$2</f>
        <v>503101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IFERROR(VLOOKUP(B289,input_503101!L:R,7,FALSE),VLOOKUP(tables_503101!C289,input_503101!A:H,8,FALSE))</f>
        <v>10573.333329999999</v>
      </c>
      <c r="P289" s="46">
        <f t="shared" ca="1" si="13"/>
        <v>8.652482266758778E-5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input_503101!A$2</f>
        <v>503101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IFERROR(VLOOKUP(B290,input_503101!L:R,7,FALSE),VLOOKUP(tables_503101!C290,input_503101!A:H,8,FALSE))</f>
        <v>1215702.2222200001</v>
      </c>
      <c r="P290" s="46">
        <f t="shared" ca="1" si="13"/>
        <v>9.9484633569362664E-3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input_503101!A$2</f>
        <v>503101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IFERROR(VLOOKUP(B291,input_503101!L:R,7,FALSE),VLOOKUP(tables_503101!C291,input_503101!A:H,8,FALSE))</f>
        <v>10573.333329999999</v>
      </c>
      <c r="P291" s="46">
        <f t="shared" ca="1" si="13"/>
        <v>8.652482266758778E-5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input_503101!A$2</f>
        <v>503101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IFERROR(VLOOKUP(B292,input_503101!L:R,7,FALSE),VLOOKUP(tables_503101!C292,input_503101!A:H,8,FALSE))</f>
        <v>1215702.2222200001</v>
      </c>
      <c r="P292" s="46">
        <f t="shared" ca="1" si="13"/>
        <v>9.9484633569362664E-3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input_503101!A$2</f>
        <v>503101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IFERROR(VLOOKUP(B293,input_503101!L:R,7,FALSE),VLOOKUP(tables_503101!C293,input_503101!A:H,8,FALSE))</f>
        <v>10573.333329999999</v>
      </c>
      <c r="P293" s="46">
        <f t="shared" ca="1" si="13"/>
        <v>8.652482266758778E-5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input_503101!A$2</f>
        <v>503101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IFERROR(VLOOKUP(B294,input_503101!L:R,7,FALSE),VLOOKUP(tables_503101!C294,input_503101!A:H,8,FALSE))</f>
        <v>86480</v>
      </c>
      <c r="P294" s="46">
        <f t="shared" ca="1" si="13"/>
        <v>7.0769230769091734E-4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input_503101!A$2</f>
        <v>503101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IFERROR(VLOOKUP(B295,input_503101!L:R,7,FALSE),VLOOKUP(tables_503101!C295,input_503101!A:H,8,FALSE))</f>
        <v>86480</v>
      </c>
      <c r="P295" s="46">
        <f t="shared" ca="1" si="13"/>
        <v>7.0769230769091734E-4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input_503101!A$2</f>
        <v>503101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IFERROR(VLOOKUP(B296,input_503101!L:R,7,FALSE),VLOOKUP(tables_503101!C296,input_503101!A:H,8,FALSE))</f>
        <v>86480</v>
      </c>
      <c r="P296" s="46">
        <f t="shared" ca="1" si="13"/>
        <v>7.0769230769091734E-4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input_503101!A$2</f>
        <v>503101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IFERROR(VLOOKUP(B297,input_503101!L:R,7,FALSE),VLOOKUP(tables_503101!C297,input_503101!A:H,8,FALSE))</f>
        <v>1215702.2222200001</v>
      </c>
      <c r="P297" s="46">
        <f t="shared" ca="1" si="13"/>
        <v>9.9484633569362664E-3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input_503101!A$2</f>
        <v>503101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IFERROR(VLOOKUP(B298,input_503101!L:R,7,FALSE),VLOOKUP(tables_503101!C298,input_503101!A:H,8,FALSE))</f>
        <v>10573.333329999999</v>
      </c>
      <c r="P298" s="46">
        <f t="shared" ca="1" si="13"/>
        <v>8.652482266758778E-5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input_503101!A$2</f>
        <v>503101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IFERROR(VLOOKUP(B299,input_503101!L:R,7,FALSE),VLOOKUP(tables_503101!C299,input_503101!A:H,8,FALSE))</f>
        <v>86480</v>
      </c>
      <c r="P299" s="46">
        <f t="shared" ca="1" si="13"/>
        <v>7.0769230769091734E-4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input_503101!A$2</f>
        <v>503101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IFERROR(VLOOKUP(B300,input_503101!L:R,7,FALSE),VLOOKUP(tables_503101!C300,input_503101!A:H,8,FALSE))</f>
        <v>86480</v>
      </c>
      <c r="P300" s="46">
        <f t="shared" ca="1" si="13"/>
        <v>7.0769230769091734E-4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input_503101!A$2</f>
        <v>503101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IFERROR(VLOOKUP(B301,input_503101!L:R,7,FALSE),VLOOKUP(tables_503101!C301,input_503101!A:H,8,FALSE))</f>
        <v>86480</v>
      </c>
      <c r="P301" s="46">
        <f t="shared" ca="1" si="13"/>
        <v>7.0769230769091734E-4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input_503101!A$2</f>
        <v>503101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IFERROR(VLOOKUP(B302,input_503101!L:R,7,FALSE),VLOOKUP(tables_503101!C302,input_503101!A:H,8,FALSE))</f>
        <v>86480</v>
      </c>
      <c r="P302" s="46">
        <f t="shared" ca="1" si="13"/>
        <v>7.0769230769091734E-4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input_503101!A$2</f>
        <v>503101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IFERROR(VLOOKUP(B303,input_503101!L:R,7,FALSE),VLOOKUP(tables_503101!C303,input_503101!A:H,8,FALSE))</f>
        <v>1215702.2222200001</v>
      </c>
      <c r="P303" s="46">
        <f t="shared" ca="1" si="13"/>
        <v>9.9484633569362664E-3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input_503101!A$2</f>
        <v>503101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IFERROR(VLOOKUP(B304,input_503101!L:R,7,FALSE),VLOOKUP(tables_503101!C304,input_503101!A:H,8,FALSE))</f>
        <v>10573.333329999999</v>
      </c>
      <c r="P304" s="46">
        <f t="shared" ca="1" si="13"/>
        <v>8.652482266758778E-5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input_503101!A$2</f>
        <v>503101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IFERROR(VLOOKUP(B305,input_503101!L:R,7,FALSE),VLOOKUP(tables_503101!C305,input_503101!A:H,8,FALSE))</f>
        <v>86480</v>
      </c>
      <c r="P305" s="46">
        <f t="shared" ca="1" si="13"/>
        <v>7.0769230769091734E-4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input_503101!A$2</f>
        <v>503101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IFERROR(VLOOKUP(B306,input_503101!L:R,7,FALSE),VLOOKUP(tables_503101!C306,input_503101!A:H,8,FALSE))</f>
        <v>1215702.2222200001</v>
      </c>
      <c r="P306" s="46">
        <f t="shared" ca="1" si="13"/>
        <v>9.9484633569362664E-3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input_503101!A$2</f>
        <v>503101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IFERROR(VLOOKUP(B307,input_503101!L:R,7,FALSE),VLOOKUP(tables_503101!C307,input_503101!A:H,8,FALSE))</f>
        <v>10573.333329999999</v>
      </c>
      <c r="P307" s="46">
        <f t="shared" ca="1" si="13"/>
        <v>8.652482266758778E-5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input_503101!A$2</f>
        <v>503101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IFERROR(VLOOKUP(B308,input_503101!L:R,7,FALSE),VLOOKUP(tables_503101!C308,input_503101!A:H,8,FALSE))</f>
        <v>86480</v>
      </c>
      <c r="P308" s="46">
        <f t="shared" ca="1" si="13"/>
        <v>7.0769230769091734E-4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input_503101!A$2</f>
        <v>503101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IFERROR(VLOOKUP(B309,input_503101!L:R,7,FALSE),VLOOKUP(tables_503101!C309,input_503101!A:H,8,FALSE))</f>
        <v>86480</v>
      </c>
      <c r="P309" s="46">
        <f t="shared" ca="1" si="13"/>
        <v>7.0769230769091734E-4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input_503101!A$2</f>
        <v>503101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IFERROR(VLOOKUP(B310,input_503101!L:R,7,FALSE),VLOOKUP(tables_503101!C310,input_503101!A:H,8,FALSE))</f>
        <v>86480</v>
      </c>
      <c r="P310" s="46">
        <f t="shared" ca="1" si="13"/>
        <v>7.0769230769091734E-4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input_503101!A$2</f>
        <v>503101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IFERROR(VLOOKUP(B311,input_503101!L:R,7,FALSE),VLOOKUP(tables_503101!C311,input_503101!A:H,8,FALSE))</f>
        <v>1215702.2222200001</v>
      </c>
      <c r="P311" s="46">
        <f t="shared" ca="1" si="13"/>
        <v>9.9484633569362664E-3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input_503101!A$2</f>
        <v>503101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IFERROR(VLOOKUP(B312,input_503101!L:R,7,FALSE),VLOOKUP(tables_503101!C312,input_503101!A:H,8,FALSE))</f>
        <v>10573.333329999999</v>
      </c>
      <c r="P312" s="46">
        <f t="shared" ca="1" si="13"/>
        <v>8.652482266758778E-5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input_503101!A$2</f>
        <v>503101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IFERROR(VLOOKUP(B313,input_503101!L:R,7,FALSE),VLOOKUP(tables_503101!C313,input_503101!A:H,8,FALSE))</f>
        <v>86480</v>
      </c>
      <c r="P313" s="46">
        <f t="shared" ca="1" si="13"/>
        <v>7.0769230769091734E-4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input_503101!A$2</f>
        <v>503101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IFERROR(VLOOKUP(B314,input_503101!L:R,7,FALSE),VLOOKUP(tables_503101!C314,input_503101!A:H,8,FALSE))</f>
        <v>86480</v>
      </c>
      <c r="P314" s="46">
        <f t="shared" ca="1" si="13"/>
        <v>7.0769230769091734E-4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input_503101!A$2</f>
        <v>503101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IFERROR(VLOOKUP(B315,input_503101!L:R,7,FALSE),VLOOKUP(tables_503101!C315,input_503101!A:H,8,FALSE))</f>
        <v>86480</v>
      </c>
      <c r="P315" s="46">
        <f t="shared" ca="1" si="13"/>
        <v>7.0769230769091734E-4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input_503101!A$2</f>
        <v>503101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IFERROR(VLOOKUP(B316,input_503101!L:R,7,FALSE),VLOOKUP(tables_503101!C316,input_503101!A:H,8,FALSE))</f>
        <v>86480</v>
      </c>
      <c r="P316" s="46">
        <f t="shared" ca="1" si="13"/>
        <v>7.0769230769091734E-4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input_503101!A$2</f>
        <v>503101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IFERROR(VLOOKUP(B317,input_503101!L:R,7,FALSE),VLOOKUP(tables_503101!C317,input_503101!A:H,8,FALSE))</f>
        <v>86480</v>
      </c>
      <c r="P317" s="46">
        <f t="shared" ca="1" si="13"/>
        <v>7.0769230769091734E-4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input_503101!A$2</f>
        <v>503101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IFERROR(VLOOKUP(B318,input_503101!L:R,7,FALSE),VLOOKUP(tables_503101!C318,input_503101!A:H,8,FALSE))</f>
        <v>1215702.2222200001</v>
      </c>
      <c r="P318" s="46">
        <f t="shared" ca="1" si="13"/>
        <v>9.9484633569362664E-3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input_503101!A$2</f>
        <v>503101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IFERROR(VLOOKUP(B319,input_503101!L:R,7,FALSE),VLOOKUP(tables_503101!C319,input_503101!A:H,8,FALSE))</f>
        <v>10573.333329999999</v>
      </c>
      <c r="P319" s="46">
        <f t="shared" ca="1" si="13"/>
        <v>8.652482266758778E-5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input_503101!A$2</f>
        <v>503101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IFERROR(VLOOKUP(B320,input_503101!L:R,7,FALSE),VLOOKUP(tables_503101!C320,input_503101!A:H,8,FALSE))</f>
        <v>86480</v>
      </c>
      <c r="P320" s="46">
        <f t="shared" ca="1" si="13"/>
        <v>7.0769230769091734E-4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input_503101!A$2</f>
        <v>503101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IFERROR(VLOOKUP(B321,input_503101!L:R,7,FALSE),VLOOKUP(tables_503101!C321,input_503101!A:H,8,FALSE))</f>
        <v>86480</v>
      </c>
      <c r="P321" s="46">
        <f t="shared" ca="1" si="13"/>
        <v>7.0769230769091734E-4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input_503101!A$2</f>
        <v>503101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IFERROR(VLOOKUP(B322,input_503101!L:R,7,FALSE),VLOOKUP(tables_503101!C322,input_503101!A:H,8,FALSE))</f>
        <v>86480</v>
      </c>
      <c r="P322" s="46">
        <f t="shared" ref="P322:P330" ca="1" si="23">O322/SUM(O:O)</f>
        <v>7.0769230769091734E-4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input_503101!A$2</f>
        <v>503101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IFERROR(VLOOKUP(B323,input_503101!L:R,7,FALSE),VLOOKUP(tables_503101!C323,input_503101!A:H,8,FALSE))</f>
        <v>86480</v>
      </c>
      <c r="P323" s="46">
        <f t="shared" ca="1" si="23"/>
        <v>7.0769230769091734E-4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input_503101!A$2</f>
        <v>503101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IFERROR(VLOOKUP(B324,input_503101!L:R,7,FALSE),VLOOKUP(tables_503101!C324,input_503101!A:H,8,FALSE))</f>
        <v>1215702.2222200001</v>
      </c>
      <c r="P324" s="46">
        <f t="shared" ca="1" si="23"/>
        <v>9.9484633569362664E-3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input_503101!A$2</f>
        <v>503101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IFERROR(VLOOKUP(B325,input_503101!L:R,7,FALSE),VLOOKUP(tables_503101!C325,input_503101!A:H,8,FALSE))</f>
        <v>10573.333329999999</v>
      </c>
      <c r="P325" s="46">
        <f t="shared" ca="1" si="23"/>
        <v>8.652482266758778E-5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input_503101!A$2</f>
        <v>503101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IFERROR(VLOOKUP(B326,input_503101!L:R,7,FALSE),VLOOKUP(tables_503101!C326,input_503101!A:H,8,FALSE))</f>
        <v>1215702.2222200001</v>
      </c>
      <c r="P326" s="46">
        <f t="shared" ca="1" si="23"/>
        <v>9.9484633569362664E-3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input_503101!A$2</f>
        <v>503101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IFERROR(VLOOKUP(B327,input_503101!L:R,7,FALSE),VLOOKUP(tables_503101!C327,input_503101!A:H,8,FALSE))</f>
        <v>10573.333329999999</v>
      </c>
      <c r="P327" s="46">
        <f t="shared" ca="1" si="23"/>
        <v>8.652482266758778E-5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input_503101!A$2</f>
        <v>503101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IFERROR(VLOOKUP(B328,input_503101!L:R,7,FALSE),VLOOKUP(tables_503101!C328,input_503101!A:H,8,FALSE))</f>
        <v>86480</v>
      </c>
      <c r="P328" s="46">
        <f t="shared" ca="1" si="23"/>
        <v>7.0769230769091734E-4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input_503101!A$2</f>
        <v>503101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IFERROR(VLOOKUP(B329,input_503101!L:R,7,FALSE),VLOOKUP(tables_503101!C329,input_503101!A:H,8,FALSE))</f>
        <v>86480</v>
      </c>
      <c r="P329" s="46">
        <f t="shared" ca="1" si="23"/>
        <v>7.0769230769091734E-4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input_503101!A$2</f>
        <v>503101</v>
      </c>
      <c r="B330" s="2">
        <v>1157</v>
      </c>
      <c r="C330" s="7" t="str">
        <f t="shared" si="25"/>
        <v>PremiumSS5R5only</v>
      </c>
      <c r="D330" s="93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IFERROR(VLOOKUP(B330,input_503101!L:R,7,FALSE),VLOOKUP(tables_503101!C330,input_503101!A:H,8,FALSE))</f>
        <v>86480</v>
      </c>
      <c r="P330" s="46">
        <f t="shared" ca="1" si="23"/>
        <v>7.0769230769091734E-4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input_503101!A$2</f>
        <v>503101</v>
      </c>
      <c r="B331" s="60">
        <v>1214</v>
      </c>
      <c r="C331" s="7" t="str">
        <f t="shared" ref="C331:C335" si="26">D331&amp;J331&amp;E331&amp;F331&amp;G331</f>
        <v>PremiumSS5R5only</v>
      </c>
      <c r="D331" s="93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IFERROR(VLOOKUP(B331,input_503101!L:R,7,FALSE),VLOOKUP(tables_503101!C331,input_503101!A:H,8,FALSE))</f>
        <v>86480</v>
      </c>
      <c r="P331" s="46">
        <f t="shared" ref="P331:P335" ca="1" si="28">O331/SUM(O:O)</f>
        <v>7.0769230769091734E-4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input_503101!A$2</f>
        <v>503101</v>
      </c>
      <c r="B332" s="60">
        <v>1212</v>
      </c>
      <c r="C332" s="7" t="str">
        <f t="shared" si="26"/>
        <v>PremiumSS5R5only</v>
      </c>
      <c r="D332" s="93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IFERROR(VLOOKUP(B332,input_503101!L:R,7,FALSE),VLOOKUP(tables_503101!C332,input_503101!A:H,8,FALSE))</f>
        <v>86480</v>
      </c>
      <c r="P332" s="46">
        <f t="shared" ca="1" si="28"/>
        <v>7.0769230769091734E-4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input_503101!A$2</f>
        <v>503101</v>
      </c>
      <c r="B333" s="60">
        <v>1208</v>
      </c>
      <c r="C333" s="7" t="str">
        <f t="shared" si="26"/>
        <v>PremiumSS5R5only</v>
      </c>
      <c r="D333" s="93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IFERROR(VLOOKUP(B333,input_503101!L:R,7,FALSE),VLOOKUP(tables_503101!C333,input_503101!A:H,8,FALSE))</f>
        <v>86480</v>
      </c>
      <c r="P333" s="46">
        <f t="shared" ca="1" si="28"/>
        <v>7.0769230769091734E-4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input_503101!A$2</f>
        <v>503101</v>
      </c>
      <c r="B334" s="89">
        <v>1210</v>
      </c>
      <c r="C334" s="7" t="str">
        <f t="shared" si="26"/>
        <v>Premium4R3less</v>
      </c>
      <c r="D334" s="93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IFERROR(VLOOKUP(B334,input_503101!L:R,7,FALSE),VLOOKUP(tables_503101!C334,input_503101!A:H,8,FALSE))</f>
        <v>1215702.2222200001</v>
      </c>
      <c r="P334" s="46">
        <f t="shared" ca="1" si="28"/>
        <v>9.9484633569362664E-3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input_503101!A$2</f>
        <v>503101</v>
      </c>
      <c r="B335" s="60">
        <v>1211</v>
      </c>
      <c r="C335" s="7" t="str">
        <f t="shared" si="26"/>
        <v>Premium5R3less</v>
      </c>
      <c r="D335" s="93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IFERROR(VLOOKUP(B335,input_503101!L:R,7,FALSE),VLOOKUP(tables_503101!C335,input_503101!A:H,8,FALSE))</f>
        <v>10573.333329999999</v>
      </c>
      <c r="P335" s="46">
        <f t="shared" ca="1" si="28"/>
        <v>8.652482266758778E-5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input_503101!A$2</f>
        <v>503101</v>
      </c>
      <c r="B336" s="60">
        <v>1228</v>
      </c>
      <c r="C336" s="7" t="str">
        <f t="shared" ref="C336:C340" si="29">D336&amp;J336&amp;E336&amp;F336&amp;G336</f>
        <v>PremiumSS5R5only</v>
      </c>
      <c r="D336" s="93" t="str">
        <f t="shared" ref="D336:D340" si="3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IFERROR(VLOOKUP(B336,input_503101!L:R,7,FALSE),VLOOKUP(tables_503101!C336,input_503101!A:H,8,FALSE))</f>
        <v>86480</v>
      </c>
      <c r="P336" s="46">
        <f t="shared" ref="P336:P340" ca="1" si="31">O336/SUM(O:O)</f>
        <v>7.0769230769091734E-4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input_503101!A$2</f>
        <v>503101</v>
      </c>
      <c r="B337" s="60">
        <v>1226</v>
      </c>
      <c r="C337" s="7" t="str">
        <f t="shared" si="29"/>
        <v>PremiumSS5R5only</v>
      </c>
      <c r="D337" s="93" t="str">
        <f t="shared" si="3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IFERROR(VLOOKUP(B337,input_503101!L:R,7,FALSE),VLOOKUP(tables_503101!C337,input_503101!A:H,8,FALSE))</f>
        <v>86480</v>
      </c>
      <c r="P337" s="46">
        <f t="shared" ca="1" si="31"/>
        <v>7.0769230769091734E-4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input_503101!A$2</f>
        <v>503101</v>
      </c>
      <c r="B338" s="60">
        <v>1230</v>
      </c>
      <c r="C338" s="7" t="str">
        <f t="shared" si="29"/>
        <v>PremiumSS5R5only</v>
      </c>
      <c r="D338" s="93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IFERROR(VLOOKUP(B338,input_503101!L:R,7,FALSE),VLOOKUP(tables_503101!C338,input_503101!A:H,8,FALSE))</f>
        <v>86480</v>
      </c>
      <c r="P338" s="46">
        <f t="shared" ca="1" si="31"/>
        <v>7.0769230769091734E-4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input_503101!A$2</f>
        <v>503101</v>
      </c>
      <c r="B339" s="89">
        <v>1224</v>
      </c>
      <c r="C339" s="7" t="str">
        <f t="shared" si="29"/>
        <v>Premium4R3less</v>
      </c>
      <c r="D339" s="93" t="str">
        <f t="shared" si="3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IFERROR(VLOOKUP(B339,input_503101!L:R,7,FALSE),VLOOKUP(tables_503101!C339,input_503101!A:H,8,FALSE))</f>
        <v>1215702.2222200001</v>
      </c>
      <c r="P339" s="46">
        <f t="shared" ca="1" si="31"/>
        <v>9.9484633569362664E-3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input_503101!A$2</f>
        <v>503101</v>
      </c>
      <c r="B340" s="60">
        <v>1225</v>
      </c>
      <c r="C340" s="7" t="str">
        <f t="shared" si="29"/>
        <v>Premium5R3less</v>
      </c>
      <c r="D340" s="93" t="str">
        <f t="shared" si="3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IFERROR(VLOOKUP(B340,input_503101!L:R,7,FALSE),VLOOKUP(tables_503101!C340,input_503101!A:H,8,FALSE))</f>
        <v>10573.333329999999</v>
      </c>
      <c r="P340" s="46">
        <f t="shared" ca="1" si="31"/>
        <v>8.652482266758778E-5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input_503101!A$2</f>
        <v>503101</v>
      </c>
      <c r="B341" s="1">
        <v>1250</v>
      </c>
      <c r="C341" s="7" t="str">
        <f t="shared" ref="C341:C345" si="32">D341&amp;J341&amp;E341&amp;F341&amp;G341</f>
        <v>PremiumSS5R5only</v>
      </c>
      <c r="D341" s="93" t="str">
        <f t="shared" ref="D341:D345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IFERROR(VLOOKUP(B341,input_503101!L:R,7,FALSE),VLOOKUP(tables_503101!C341,input_503101!A:H,8,FALSE))</f>
        <v>86480</v>
      </c>
      <c r="P341" s="46">
        <f t="shared" ref="P341:P345" ca="1" si="34">O341/SUM(O:O)</f>
        <v>7.0769230769091734E-4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input_503101!A$2</f>
        <v>503101</v>
      </c>
      <c r="B342" s="1">
        <v>1244</v>
      </c>
      <c r="C342" s="7" t="str">
        <f t="shared" si="32"/>
        <v>PremiumSS5R5only</v>
      </c>
      <c r="D342" s="93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IFERROR(VLOOKUP(B342,input_503101!L:R,7,FALSE),VLOOKUP(tables_503101!C342,input_503101!A:H,8,FALSE))</f>
        <v>86480</v>
      </c>
      <c r="P342" s="46">
        <f t="shared" ca="1" si="34"/>
        <v>7.0769230769091734E-4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input_503101!A$2</f>
        <v>503101</v>
      </c>
      <c r="B343" s="1">
        <v>1246</v>
      </c>
      <c r="C343" s="7" t="str">
        <f t="shared" si="32"/>
        <v>PremiumSS5R5only</v>
      </c>
      <c r="D343" s="93" t="str">
        <f t="shared" si="3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IFERROR(VLOOKUP(B343,input_503101!L:R,7,FALSE),VLOOKUP(tables_503101!C343,input_503101!A:H,8,FALSE))</f>
        <v>86480</v>
      </c>
      <c r="P343" s="46">
        <f t="shared" ca="1" si="34"/>
        <v>7.0769230769091734E-4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input_503101!A$2</f>
        <v>503101</v>
      </c>
      <c r="B344" s="1">
        <v>1248</v>
      </c>
      <c r="C344" s="7" t="str">
        <f t="shared" si="32"/>
        <v>Premium4R3less</v>
      </c>
      <c r="D344" s="93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IFERROR(VLOOKUP(B344,input_503101!L:R,7,FALSE),VLOOKUP(tables_503101!C344,input_503101!A:H,8,FALSE))</f>
        <v>1215702.2222200001</v>
      </c>
      <c r="P344" s="46">
        <f t="shared" ca="1" si="34"/>
        <v>9.9484633569362664E-3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input_503101!A$2</f>
        <v>503101</v>
      </c>
      <c r="B345" s="1">
        <v>1249</v>
      </c>
      <c r="C345" s="7" t="str">
        <f t="shared" si="32"/>
        <v>Premium5R3less</v>
      </c>
      <c r="D345" s="93" t="str">
        <f t="shared" si="3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IFERROR(VLOOKUP(B345,input_503101!L:R,7,FALSE),VLOOKUP(tables_503101!C345,input_503101!A:H,8,FALSE))</f>
        <v>10573.333329999999</v>
      </c>
      <c r="P345" s="46">
        <f t="shared" ca="1" si="34"/>
        <v>8.652482266758778E-5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input_503101!A$2</f>
        <v>503101</v>
      </c>
      <c r="B346" s="1">
        <v>955</v>
      </c>
      <c r="C346" s="7" t="str">
        <f t="shared" ref="C346" si="35">D346&amp;J346&amp;E346&amp;F346&amp;G346</f>
        <v>PremiumSSS5R3less</v>
      </c>
      <c r="D346" s="93" t="str">
        <f t="shared" ref="D346" si="36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45">
        <f>IFERROR(VLOOKUP(B346,input_503101!L:R,7,FALSE),VLOOKUP(tables_503101!C346,input_503101!A:H,8,FALSE))</f>
        <v>488800</v>
      </c>
      <c r="P346" s="46">
        <f t="shared" ref="P346" ca="1" si="37">O346/SUM(O:O)</f>
        <v>3.9999999999921418E-3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</sheetData>
  <autoFilter ref="A1:V29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H50" sqref="H5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503103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955</v>
      </c>
      <c r="M3" s="37" t="str">
        <f>VLOOKUP(L3,[1]characters!$A:$C,3,FALSE)</f>
        <v>マクローリン</v>
      </c>
      <c r="N3" s="63">
        <v>6.0000000000000001E-3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VLOOKUP(L3,tables_503103!B:C,2,FALSE)</f>
        <v>PremiumSSS5R3less</v>
      </c>
      <c r="R3" s="62">
        <f t="shared" ref="R3:R20" si="1">N3*A$36</f>
        <v>733200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VLOOKUP(L4,tables_503103!B:C,2,FALSE)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6.7692307692307702E-4</v>
      </c>
      <c r="F5">
        <f>(COUNTIF(tables_503103!C:C,input_503103!A28)+COUNTIF(tables_503103!C:C,input_503103!A29))</f>
        <v>66</v>
      </c>
      <c r="H5" s="84">
        <v>6.0000000000000001E-3</v>
      </c>
      <c r="I5" s="31">
        <v>1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VLOOKUP(L5,tables_503103!B:C,2,FALSE)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1.0042553191489362E-2</v>
      </c>
      <c r="F6">
        <f>(COUNTIF(tables_503103!C:C,input_503103!A25)+COUNTIF(tables_503103!C:C,input_503103!A18)+COUNTIF(tables_503103!C:C,input_503103!A20)+COUNTIF(tables_503103!C:C,input_503103!A22))</f>
        <v>94</v>
      </c>
      <c r="H6" s="88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VLOOKUP(L6,tables_503103!B:C,2,FALSE)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VLOOKUP(L7,tables_503103!B:C,2,FALSE)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VLOOKUP(L8,tables_503103!B:C,2,FALSE)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VLOOKUP(L9,tables_503103!B:C,2,FALSE)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0.94399999999999995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VLOOKUP(L10,tables_503103!B:C,2,FALSE)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VLOOKUP(L11,tables_503103!B:C,2,FALSE)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6.0000000000000001E-3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VLOOKUP(L12,tables_503103!B:C,2,FALSE)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VLOOKUP(L13,tables_503103!B:C,2,FALSE)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VLOOKUP(L14,tables_503103!B:C,2,FALSE)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VLOOKUP(L15,tables_503103!B:C,2,FALSE)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VLOOKUP(L16,tables_503103!B:C,2,FALSE)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COUNTIF(tables_503103!C:C,input_503103!A17)-COUNTIF(Q:Q,A17)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VLOOKUP(L17,tables_503103!B:C,2,FALSE)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0.2490151227489372</v>
      </c>
      <c r="C18" s="85">
        <f t="shared" si="2"/>
        <v>0</v>
      </c>
      <c r="D18" s="74">
        <f t="shared" si="3"/>
        <v>0.2490151227489372</v>
      </c>
      <c r="E18">
        <f>COUNTIF(tables_503103!C:C,input_503103!A18)-COUNTIF(Q:Q,A18)</f>
        <v>20</v>
      </c>
      <c r="F18" s="43">
        <f>IFERROR(B18/E18,0)</f>
        <v>1.245075613744686E-2</v>
      </c>
      <c r="G18">
        <f t="shared" si="4"/>
        <v>30429647.999920126</v>
      </c>
      <c r="H18">
        <f t="shared" si="5"/>
        <v>1521482.4</v>
      </c>
      <c r="I18">
        <f t="shared" si="6"/>
        <v>0.39999999990686774</v>
      </c>
      <c r="J18">
        <f t="shared" si="7"/>
        <v>2.5000000005820766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VLOOKUP(L18,tables_503103!B:C,2,FALSE)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COUNTIF(tables_503103!C:C,input_503103!A19)-COUNTIF(Q:Q,A19)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VLOOKUP(L19,tables_503103!B:C,2,FALSE)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E$6*E20*B$6-0.03</f>
        <v>0.46610212765957448</v>
      </c>
      <c r="C20" s="85">
        <f t="shared" si="2"/>
        <v>0</v>
      </c>
      <c r="D20" s="74">
        <f t="shared" si="3"/>
        <v>0.46610212765957448</v>
      </c>
      <c r="E20">
        <f>COUNTIF(tables_503103!C:C,input_503103!A20)-COUNTIF(Q:Q,A20)</f>
        <v>52</v>
      </c>
      <c r="F20" s="43">
        <f t="shared" si="8"/>
        <v>8.9635024549918167E-3</v>
      </c>
      <c r="G20">
        <f t="shared" si="4"/>
        <v>56957680</v>
      </c>
      <c r="H20">
        <f t="shared" si="5"/>
        <v>1095340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VLOOKUP(L20,tables_503103!B:C,2,FALSE)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7.9465793776975317E-3</v>
      </c>
      <c r="C21" s="85">
        <f t="shared" si="2"/>
        <v>0</v>
      </c>
      <c r="D21" s="74">
        <f t="shared" si="3"/>
        <v>7.9465793776975317E-3</v>
      </c>
      <c r="E21">
        <f>COUNTIF(tables_503103!C:C,input_503103!A21)-COUNTIF(Q:Q,A21)</f>
        <v>52</v>
      </c>
      <c r="F21" s="43">
        <f t="shared" si="8"/>
        <v>1.52818834186491E-4</v>
      </c>
      <c r="G21">
        <f t="shared" si="4"/>
        <v>971071.99995463842</v>
      </c>
      <c r="H21">
        <f t="shared" si="5"/>
        <v>18674.46154</v>
      </c>
      <c r="I21">
        <f t="shared" si="6"/>
        <v>0.46154000000024098</v>
      </c>
      <c r="J21">
        <f t="shared" si="7"/>
        <v>2.166659444467387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0.17871489361702128</v>
      </c>
      <c r="C22" s="85">
        <f t="shared" si="2"/>
        <v>0</v>
      </c>
      <c r="D22" s="74">
        <f t="shared" si="3"/>
        <v>0.17871489361702128</v>
      </c>
      <c r="E22">
        <f>COUNTIF(tables_503103!C:C,input_503103!A22)-COUNTIF(Q:Q,A22)</f>
        <v>18</v>
      </c>
      <c r="F22" s="43">
        <f t="shared" si="8"/>
        <v>9.9286052009456265E-3</v>
      </c>
      <c r="G22">
        <f t="shared" si="4"/>
        <v>21838960</v>
      </c>
      <c r="H22">
        <f t="shared" si="5"/>
        <v>1213275.55556</v>
      </c>
      <c r="I22">
        <f t="shared" si="6"/>
        <v>0.55556000000797212</v>
      </c>
      <c r="J22">
        <f t="shared" si="7"/>
        <v>1.7999856000893699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E23*E6*B7-0.01</f>
        <v>2.0510638297872343E-3</v>
      </c>
      <c r="C23" s="85">
        <f t="shared" si="2"/>
        <v>0</v>
      </c>
      <c r="D23" s="74">
        <f t="shared" si="3"/>
        <v>2.0510638297872343E-3</v>
      </c>
      <c r="E23">
        <f>COUNTIF(tables_503103!C:C,input_503103!A23)-COUNTIF(Q:Q,A23)</f>
        <v>24</v>
      </c>
      <c r="F23" s="43">
        <f t="shared" si="8"/>
        <v>8.5460992907801427E-5</v>
      </c>
      <c r="G23">
        <f t="shared" si="4"/>
        <v>250640.00000000003</v>
      </c>
      <c r="H23">
        <f t="shared" si="5"/>
        <v>10443.333329999999</v>
      </c>
      <c r="I23">
        <f t="shared" si="6"/>
        <v>0.33332999999947788</v>
      </c>
      <c r="J23">
        <f t="shared" si="7"/>
        <v>3.0000300003047022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COUNTIF(tables_503103!C:C,input_503103!A24)-COUNTIF(Q:Q,A24)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3.8161702127659576E-2</v>
      </c>
      <c r="C25" s="85">
        <f t="shared" si="2"/>
        <v>0</v>
      </c>
      <c r="D25" s="74">
        <f t="shared" si="3"/>
        <v>3.8161702127659576E-2</v>
      </c>
      <c r="E25">
        <f>COUNTIF(tables_503103!C:C,input_503103!A25)-COUNTIF(Q:Q,A25)</f>
        <v>4</v>
      </c>
      <c r="F25" s="43">
        <f t="shared" si="8"/>
        <v>9.540425531914894E-3</v>
      </c>
      <c r="G25">
        <f t="shared" si="4"/>
        <v>4663360</v>
      </c>
      <c r="H25">
        <f t="shared" si="5"/>
        <v>1165840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2.0085106382978723E-3</v>
      </c>
      <c r="C26" s="85">
        <f t="shared" si="2"/>
        <v>0</v>
      </c>
      <c r="D26" s="74">
        <f t="shared" si="3"/>
        <v>2.0085106382978723E-3</v>
      </c>
      <c r="E26">
        <f>COUNTIF(tables_503103!C:C,input_503103!A26)-COUNTIF(Q:Q,A26)</f>
        <v>4</v>
      </c>
      <c r="F26" s="43">
        <f t="shared" si="8"/>
        <v>5.0212765957446807E-4</v>
      </c>
      <c r="G26">
        <f t="shared" si="4"/>
        <v>245440</v>
      </c>
      <c r="H26">
        <f t="shared" si="5"/>
        <v>61360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1.8006153846153849E-2</v>
      </c>
      <c r="C27" s="85">
        <f t="shared" si="2"/>
        <v>0</v>
      </c>
      <c r="D27" s="74">
        <f t="shared" si="3"/>
        <v>1.8006153846153849E-2</v>
      </c>
      <c r="E27">
        <f>COUNTIF(tables_503103!C:C,input_503103!A27)-COUNTIF(Q:Q,A27)</f>
        <v>28</v>
      </c>
      <c r="F27" s="43">
        <f>IFERROR(B27/E27,0)</f>
        <v>6.4307692307692319E-4</v>
      </c>
      <c r="G27">
        <f t="shared" si="4"/>
        <v>2200352.0000000005</v>
      </c>
      <c r="H27">
        <f t="shared" si="5"/>
        <v>78584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6.2707692308131549E-3</v>
      </c>
      <c r="C28" s="85">
        <f t="shared" si="2"/>
        <v>0</v>
      </c>
      <c r="D28" s="74">
        <f t="shared" si="3"/>
        <v>6.2707692308131549E-3</v>
      </c>
      <c r="E28">
        <f>COUNTIF(tables_503103!C:C,input_503103!A28)-COUNTIF(Q:Q,A28)</f>
        <v>28</v>
      </c>
      <c r="F28" s="43">
        <f t="shared" si="8"/>
        <v>2.2395604395761268E-4</v>
      </c>
      <c r="G28">
        <f t="shared" si="4"/>
        <v>766288.00000536756</v>
      </c>
      <c r="H28">
        <f t="shared" si="5"/>
        <v>27367.42857</v>
      </c>
      <c r="I28">
        <f t="shared" si="6"/>
        <v>0.42857000000003609</v>
      </c>
      <c r="J28">
        <f t="shared" si="7"/>
        <v>2.3333411111368405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2.5723076923076928E-2</v>
      </c>
      <c r="C29" s="85">
        <f t="shared" si="2"/>
        <v>0</v>
      </c>
      <c r="D29" s="74">
        <f t="shared" si="3"/>
        <v>2.5723076923076928E-2</v>
      </c>
      <c r="E29">
        <f>COUNTIF(tables_503103!C:C,input_503103!A29)-COUNTIF(Q:Q,A29)</f>
        <v>38</v>
      </c>
      <c r="F29" s="43">
        <f t="shared" si="8"/>
        <v>6.7692307692307702E-4</v>
      </c>
      <c r="G29">
        <f t="shared" si="4"/>
        <v>3143360.0000000005</v>
      </c>
      <c r="H29">
        <f t="shared" si="5"/>
        <v>82720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COUNTIF(tables_503103!C:C,input_503103!A30)-COUNTIF(Q:Q,A30)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6.0000000000000001E-3</v>
      </c>
      <c r="D31" s="74">
        <f t="shared" si="3"/>
        <v>-6.0000000000000001E-3</v>
      </c>
      <c r="E31">
        <f>COUNTIF(tables_503103!C:C,input_503103!A31)-COUNTIF(Q:Q,A31)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0.99399999999901922</v>
      </c>
      <c r="C32" s="41">
        <f>SUM(C19:C31)</f>
        <v>6.0000000000000001E-3</v>
      </c>
      <c r="D32" s="42">
        <f t="shared" si="3"/>
        <v>0.98799999999901922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2.816405891914997E-2</v>
      </c>
      <c r="F34" s="55">
        <f ca="1">0.95-G41</f>
        <v>-6.5347727229436714E-13</v>
      </c>
    </row>
    <row r="35" spans="1:7" x14ac:dyDescent="0.15">
      <c r="A35" t="s">
        <v>73</v>
      </c>
      <c r="E35">
        <v>6.0000000003272852E-3</v>
      </c>
      <c r="F35">
        <f ca="1">G42-0.05</f>
        <v>-3.273423199168235E-13</v>
      </c>
    </row>
    <row r="36" spans="1:7" x14ac:dyDescent="0.15">
      <c r="A36" s="31">
        <f>LCM(F5-I5,F6-I6)*1000*2*2*5</f>
        <v>122200000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SUMIF(tables_503103!C:C,input_503103!A40,tables_503103!O:O)</f>
        <v>0</v>
      </c>
      <c r="C40" s="54">
        <f t="shared" ref="C40:C46" ca="1" si="9">B40/B$47</f>
        <v>0</v>
      </c>
      <c r="E40">
        <v>3</v>
      </c>
      <c r="F40">
        <f ca="1">SUMIF(tables_503103!J:J,input_503103!E40,tables_503103!O:O)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SUMIF(tables_503103!C:C,input_503103!A41,tables_503103!O:O)</f>
        <v>56957680</v>
      </c>
      <c r="C41" s="54">
        <f t="shared" ca="1" si="9"/>
        <v>0.93533645370018448</v>
      </c>
      <c r="E41">
        <v>4</v>
      </c>
      <c r="F41">
        <f ca="1">SUMIF(tables_503103!J:J,input_503103!E41,tables_503103!O:O)</f>
        <v>116090000.00007986</v>
      </c>
      <c r="G41">
        <f ca="1">F41/A36</f>
        <v>0.95000000000065343</v>
      </c>
    </row>
    <row r="42" spans="1:7" x14ac:dyDescent="0.15">
      <c r="A42" s="33" t="s">
        <v>106</v>
      </c>
      <c r="B42">
        <f ca="1">SUMIF(tables_503103!C:C,input_503103!A42,tables_503103!O:O)</f>
        <v>2200352</v>
      </c>
      <c r="C42" s="54">
        <f t="shared" ca="1" si="9"/>
        <v>3.6133308740315763E-2</v>
      </c>
      <c r="E42">
        <v>5</v>
      </c>
      <c r="F42">
        <f ca="1">SUMIF(tables_503103!J:J,input_503103!E42,tables_503103!O:O)</f>
        <v>6109999.9999599988</v>
      </c>
      <c r="G42">
        <f ca="1">F42/A36</f>
        <v>4.999999999967266E-2</v>
      </c>
    </row>
    <row r="43" spans="1:7" x14ac:dyDescent="0.15">
      <c r="A43" s="33" t="s">
        <v>109</v>
      </c>
      <c r="B43">
        <f>SUMIF(tables_503103!C:C,input_503103!A43,tables_503103!O:O)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SUMIF(tables_503103!C:C,input_503103!A44,tables_503103!O:O)</f>
        <v>971072.00008000096</v>
      </c>
      <c r="C44" s="54">
        <f t="shared" ca="1" si="9"/>
        <v>1.5946559635897625E-2</v>
      </c>
      <c r="E44" t="s">
        <v>54</v>
      </c>
      <c r="F44" s="55"/>
    </row>
    <row r="45" spans="1:7" x14ac:dyDescent="0.15">
      <c r="A45" s="33" t="s">
        <v>107</v>
      </c>
      <c r="B45">
        <f ca="1">SUMIF(tables_503103!C:C,input_503103!A45,tables_503103!O:O)</f>
        <v>766287.99995999981</v>
      </c>
      <c r="C45" s="54">
        <f t="shared" ca="1" si="9"/>
        <v>1.2583677923602108E-2</v>
      </c>
      <c r="E45" t="s">
        <v>204</v>
      </c>
      <c r="F45" s="55">
        <f ca="1">SUMIF(tables_503103!I:I,input_503103!E45,tables_503103!P:P)</f>
        <v>0.24952788870679229</v>
      </c>
    </row>
    <row r="46" spans="1:7" x14ac:dyDescent="0.15">
      <c r="A46" s="33" t="s">
        <v>108</v>
      </c>
      <c r="B46">
        <f>SUMIF(tables_503103!C:C,input_503103!A46,tables_503103!O:O)</f>
        <v>0</v>
      </c>
      <c r="C46" s="54">
        <f t="shared" ca="1" si="9"/>
        <v>0</v>
      </c>
      <c r="E46" t="s">
        <v>205</v>
      </c>
      <c r="F46" s="55">
        <f ca="1">SUMIF(tables_503103!I:I,input_503103!E46,tables_503103!P:P)</f>
        <v>0.18510512149077424</v>
      </c>
    </row>
    <row r="47" spans="1:7" x14ac:dyDescent="0.15">
      <c r="A47" s="39" t="s">
        <v>59</v>
      </c>
      <c r="B47">
        <f ca="1">SUM(B40:B46)</f>
        <v>60895392.000040002</v>
      </c>
      <c r="C47" s="55">
        <f ca="1">SUM(C40:C46)</f>
        <v>1</v>
      </c>
      <c r="E47" t="s">
        <v>206</v>
      </c>
      <c r="F47" s="55">
        <f ca="1">SUMIF(tables_503103!I:I,input_503103!E47,tables_503103!P:P)</f>
        <v>0.5093669898027795</v>
      </c>
    </row>
    <row r="48" spans="1:7" x14ac:dyDescent="0.15">
      <c r="E48" t="s">
        <v>207</v>
      </c>
      <c r="F48" s="55">
        <f ca="1">SUMIF(tables_503103!I:I,input_503103!E48,tables_503103!P:P)</f>
        <v>4.5261538461196266E-2</v>
      </c>
      <c r="G48" s="55">
        <f ca="1">0.05-F48-F49</f>
        <v>3.4374933455261214E-13</v>
      </c>
    </row>
    <row r="49" spans="5:7" x14ac:dyDescent="0.15">
      <c r="E49" t="s">
        <v>246</v>
      </c>
      <c r="F49" s="55">
        <f ca="1">SUMIF(tables_503103!I:I,input_503103!E49,tables_503103!P:P)</f>
        <v>4.7384615384599878E-3</v>
      </c>
      <c r="G49">
        <v>5.3230769231208466E-3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6"/>
  <sheetViews>
    <sheetView showGridLines="0" zoomScale="75" zoomScaleNormal="75" zoomScalePageLayoutView="75" workbookViewId="0">
      <pane ySplit="1" topLeftCell="A298" activePane="bottomLeft" state="frozen"/>
      <selection activeCell="D34" sqref="D34"/>
      <selection pane="bottomLeft" sqref="A1:V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input_503103!A$2</f>
        <v>503103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IFERROR(VLOOKUP(B2,input_503103!L:R,7,FALSE),VLOOKUP(tables_503103!C2,input_503103!A:H,8,FALSE))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input_503103!A$2</f>
        <v>503103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IFERROR(VLOOKUP(B3,input_503103!L:R,7,FALSE),VLOOKUP(tables_503103!C3,input_503103!A:H,8,FALSE))</f>
        <v>1521482.4</v>
      </c>
      <c r="P3" s="46">
        <f t="shared" ca="1" si="1"/>
        <v>1.2450756137475467E-2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input_503103!A$2</f>
        <v>503103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IFERROR(VLOOKUP(B4,input_503103!L:R,7,FALSE),VLOOKUP(tables_503103!C4,input_503103!A:H,8,FALSE))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input_503103!A$2</f>
        <v>503103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IFERROR(VLOOKUP(B5,input_503103!L:R,7,FALSE),VLOOKUP(tables_503103!C5,input_503103!A:H,8,FALSE))</f>
        <v>1521482.4</v>
      </c>
      <c r="P5" s="46">
        <f t="shared" ca="1" si="1"/>
        <v>1.2450756137475467E-2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input_503103!A$2</f>
        <v>503103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IFERROR(VLOOKUP(B6,input_503103!L:R,7,FALSE),VLOOKUP(tables_503103!C6,input_503103!A:H,8,FALSE))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input_503103!A$2</f>
        <v>503103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IFERROR(VLOOKUP(B7,input_503103!L:R,7,FALSE),VLOOKUP(tables_503103!C7,input_503103!A:H,8,FALSE))</f>
        <v>1521482.4</v>
      </c>
      <c r="P7" s="46">
        <f t="shared" ca="1" si="1"/>
        <v>1.2450756137475467E-2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input_503103!A$2</f>
        <v>503103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IFERROR(VLOOKUP(B8,input_503103!L:R,7,FALSE),VLOOKUP(tables_503103!C8,input_503103!A:H,8,FALSE))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input_503103!A$2</f>
        <v>503103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IFERROR(VLOOKUP(B9,input_503103!L:R,7,FALSE),VLOOKUP(tables_503103!C9,input_503103!A:H,8,FALSE))</f>
        <v>1521482.4</v>
      </c>
      <c r="P9" s="46">
        <f t="shared" ca="1" si="1"/>
        <v>1.2450756137475467E-2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input_503103!A$2</f>
        <v>503103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IFERROR(VLOOKUP(B10,input_503103!L:R,7,FALSE),VLOOKUP(tables_503103!C10,input_503103!A:H,8,FALSE))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input_503103!A$2</f>
        <v>503103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IFERROR(VLOOKUP(B11,input_503103!L:R,7,FALSE),VLOOKUP(tables_503103!C11,input_503103!A:H,8,FALSE))</f>
        <v>1521482.4</v>
      </c>
      <c r="P11" s="46">
        <f t="shared" ca="1" si="1"/>
        <v>1.2450756137475467E-2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input_503103!A$2</f>
        <v>503103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IFERROR(VLOOKUP(B12,input_503103!L:R,7,FALSE),VLOOKUP(tables_503103!C12,input_503103!A:H,8,FALSE))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input_503103!A$2</f>
        <v>503103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IFERROR(VLOOKUP(B13,input_503103!L:R,7,FALSE),VLOOKUP(tables_503103!C13,input_503103!A:H,8,FALSE))</f>
        <v>1521482.4</v>
      </c>
      <c r="P13" s="46">
        <f t="shared" ca="1" si="1"/>
        <v>1.2450756137475467E-2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input_503103!A$2</f>
        <v>503103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IFERROR(VLOOKUP(B14,input_503103!L:R,7,FALSE),VLOOKUP(tables_503103!C14,input_503103!A:H,8,FALSE))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input_503103!A$2</f>
        <v>503103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IFERROR(VLOOKUP(B15,input_503103!L:R,7,FALSE),VLOOKUP(tables_503103!C15,input_503103!A:H,8,FALSE))</f>
        <v>1521482.4</v>
      </c>
      <c r="P15" s="46">
        <f t="shared" ca="1" si="1"/>
        <v>1.2450756137475467E-2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input_503103!A$2</f>
        <v>503103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IFERROR(VLOOKUP(B16,input_503103!L:R,7,FALSE),VLOOKUP(tables_503103!C16,input_503103!A:H,8,FALSE))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input_503103!A$2</f>
        <v>503103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IFERROR(VLOOKUP(B17,input_503103!L:R,7,FALSE),VLOOKUP(tables_503103!C17,input_503103!A:H,8,FALSE))</f>
        <v>1521482.4</v>
      </c>
      <c r="P17" s="46">
        <f t="shared" ca="1" si="1"/>
        <v>1.2450756137475467E-2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input_503103!A$2</f>
        <v>503103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IFERROR(VLOOKUP(B18,input_503103!L:R,7,FALSE),VLOOKUP(tables_503103!C18,input_503103!A:H,8,FALSE))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input_503103!A$2</f>
        <v>503103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IFERROR(VLOOKUP(B19,input_503103!L:R,7,FALSE),VLOOKUP(tables_503103!C19,input_503103!A:H,8,FALSE))</f>
        <v>1521482.4</v>
      </c>
      <c r="P19" s="46">
        <f t="shared" ca="1" si="1"/>
        <v>1.2450756137475467E-2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input_503103!A$2</f>
        <v>503103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IFERROR(VLOOKUP(B20,input_503103!L:R,7,FALSE),VLOOKUP(tables_503103!C20,input_503103!A:H,8,FALSE))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input_503103!A$2</f>
        <v>503103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IFERROR(VLOOKUP(B21,input_503103!L:R,7,FALSE),VLOOKUP(tables_503103!C21,input_503103!A:H,8,FALSE))</f>
        <v>1521482.4</v>
      </c>
      <c r="P21" s="46">
        <f t="shared" ca="1" si="1"/>
        <v>1.2450756137475467E-2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input_503103!A$2</f>
        <v>503103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IFERROR(VLOOKUP(B22,input_503103!L:R,7,FALSE),VLOOKUP(tables_503103!C22,input_503103!A:H,8,FALSE))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input_503103!A$2</f>
        <v>503103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IFERROR(VLOOKUP(B23,input_503103!L:R,7,FALSE),VLOOKUP(tables_503103!C23,input_503103!A:H,8,FALSE))</f>
        <v>1521482.4</v>
      </c>
      <c r="P23" s="46">
        <f t="shared" ca="1" si="1"/>
        <v>1.2450756137475467E-2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input_503103!A$2</f>
        <v>503103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IFERROR(VLOOKUP(B24,input_503103!L:R,7,FALSE),VLOOKUP(tables_503103!C24,input_503103!A:H,8,FALSE))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input_503103!A$2</f>
        <v>503103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IFERROR(VLOOKUP(B25,input_503103!L:R,7,FALSE),VLOOKUP(tables_503103!C25,input_503103!A:H,8,FALSE))</f>
        <v>1521482.4</v>
      </c>
      <c r="P25" s="46">
        <f t="shared" ca="1" si="1"/>
        <v>1.2450756137475467E-2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input_503103!A$2</f>
        <v>503103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IFERROR(VLOOKUP(B26,input_503103!L:R,7,FALSE),VLOOKUP(tables_503103!C26,input_503103!A:H,8,FALSE))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input_503103!A$2</f>
        <v>503103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IFERROR(VLOOKUP(B27,input_503103!L:R,7,FALSE),VLOOKUP(tables_503103!C27,input_503103!A:H,8,FALSE))</f>
        <v>1521482.4</v>
      </c>
      <c r="P27" s="46">
        <f t="shared" ca="1" si="1"/>
        <v>1.2450756137475467E-2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input_503103!A$2</f>
        <v>503103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IFERROR(VLOOKUP(B28,input_503103!L:R,7,FALSE),VLOOKUP(tables_503103!C28,input_503103!A:H,8,FALSE))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input_503103!A$2</f>
        <v>503103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IFERROR(VLOOKUP(B29,input_503103!L:R,7,FALSE),VLOOKUP(tables_503103!C29,input_503103!A:H,8,FALSE))</f>
        <v>1521482.4</v>
      </c>
      <c r="P29" s="46">
        <f t="shared" ca="1" si="1"/>
        <v>1.2450756137475467E-2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input_503103!A$2</f>
        <v>503103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IFERROR(VLOOKUP(B30,input_503103!L:R,7,FALSE),VLOOKUP(tables_503103!C30,input_503103!A:H,8,FALSE))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input_503103!A$2</f>
        <v>503103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IFERROR(VLOOKUP(B31,input_503103!L:R,7,FALSE),VLOOKUP(tables_503103!C31,input_503103!A:H,8,FALSE))</f>
        <v>1521482.4</v>
      </c>
      <c r="P31" s="46">
        <f t="shared" ca="1" si="1"/>
        <v>1.2450756137475467E-2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input_503103!A$2</f>
        <v>503103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IFERROR(VLOOKUP(B32,input_503103!L:R,7,FALSE),VLOOKUP(tables_503103!C32,input_503103!A:H,8,FALSE))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input_503103!A$2</f>
        <v>503103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IFERROR(VLOOKUP(B33,input_503103!L:R,7,FALSE),VLOOKUP(tables_503103!C33,input_503103!A:H,8,FALSE))</f>
        <v>1521482.4</v>
      </c>
      <c r="P33" s="46">
        <f t="shared" ca="1" si="1"/>
        <v>1.2450756137475467E-2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input_503103!A$2</f>
        <v>503103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IFERROR(VLOOKUP(B34,input_503103!L:R,7,FALSE),VLOOKUP(tables_503103!C34,input_503103!A:H,8,FALSE))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input_503103!A$2</f>
        <v>503103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IFERROR(VLOOKUP(B35,input_503103!L:R,7,FALSE),VLOOKUP(tables_503103!C35,input_503103!A:H,8,FALSE))</f>
        <v>1521482.4</v>
      </c>
      <c r="P35" s="46">
        <f t="shared" ca="1" si="1"/>
        <v>1.2450756137475467E-2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input_503103!A$2</f>
        <v>503103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IFERROR(VLOOKUP(B36,input_503103!L:R,7,FALSE),VLOOKUP(tables_503103!C36,input_503103!A:H,8,FALSE))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input_503103!A$2</f>
        <v>503103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IFERROR(VLOOKUP(B37,input_503103!L:R,7,FALSE),VLOOKUP(tables_503103!C37,input_503103!A:H,8,FALSE))</f>
        <v>1521482.4</v>
      </c>
      <c r="P37" s="46">
        <f t="shared" ca="1" si="1"/>
        <v>1.2450756137475467E-2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input_503103!A$2</f>
        <v>503103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IFERROR(VLOOKUP(B38,input_503103!L:R,7,FALSE),VLOOKUP(tables_503103!C38,input_503103!A:H,8,FALSE))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input_503103!A$2</f>
        <v>503103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IFERROR(VLOOKUP(B39,input_503103!L:R,7,FALSE),VLOOKUP(tables_503103!C39,input_503103!A:H,8,FALSE))</f>
        <v>1521482.4</v>
      </c>
      <c r="P39" s="46">
        <f t="shared" ca="1" si="1"/>
        <v>1.2450756137475467E-2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input_503103!A$2</f>
        <v>503103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IFERROR(VLOOKUP(B40,input_503103!L:R,7,FALSE),VLOOKUP(tables_503103!C40,input_503103!A:H,8,FALSE))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input_503103!A$2</f>
        <v>503103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IFERROR(VLOOKUP(B41,input_503103!L:R,7,FALSE),VLOOKUP(tables_503103!C41,input_503103!A:H,8,FALSE))</f>
        <v>1521482.4</v>
      </c>
      <c r="P41" s="46">
        <f t="shared" ca="1" si="1"/>
        <v>1.2450756137475467E-2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input_503103!A$2</f>
        <v>503103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IFERROR(VLOOKUP(B42,input_503103!L:R,7,FALSE),VLOOKUP(tables_503103!C42,input_503103!A:H,8,FALSE))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input_503103!A$2</f>
        <v>503103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IFERROR(VLOOKUP(B43,input_503103!L:R,7,FALSE),VLOOKUP(tables_503103!C43,input_503103!A:H,8,FALSE))</f>
        <v>1165840</v>
      </c>
      <c r="P43" s="46">
        <f t="shared" ca="1" si="1"/>
        <v>9.5404255319117715E-3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input_503103!A$2</f>
        <v>503103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IFERROR(VLOOKUP(B44,input_503103!L:R,7,FALSE),VLOOKUP(tables_503103!C44,input_503103!A:H,8,FALSE))</f>
        <v>61360</v>
      </c>
      <c r="P44" s="46">
        <f t="shared" ca="1" si="1"/>
        <v>5.0212765957430381E-4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input_503103!A$2</f>
        <v>503103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IFERROR(VLOOKUP(B45,input_503103!L:R,7,FALSE),VLOOKUP(tables_503103!C45,input_503103!A:H,8,FALSE))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input_503103!A$2</f>
        <v>503103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IFERROR(VLOOKUP(B46,input_503103!L:R,7,FALSE),VLOOKUP(tables_503103!C46,input_503103!A:H,8,FALSE))</f>
        <v>1165840</v>
      </c>
      <c r="P46" s="46">
        <f t="shared" ca="1" si="1"/>
        <v>9.5404255319117715E-3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input_503103!A$2</f>
        <v>503103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IFERROR(VLOOKUP(B47,input_503103!L:R,7,FALSE),VLOOKUP(tables_503103!C47,input_503103!A:H,8,FALSE))</f>
        <v>61360</v>
      </c>
      <c r="P47" s="46">
        <f t="shared" ca="1" si="1"/>
        <v>5.0212765957430381E-4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input_503103!A$2</f>
        <v>503103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IFERROR(VLOOKUP(B48,input_503103!L:R,7,FALSE),VLOOKUP(tables_503103!C48,input_503103!A:H,8,FALSE))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input_503103!A$2</f>
        <v>503103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IFERROR(VLOOKUP(B49,input_503103!L:R,7,FALSE),VLOOKUP(tables_503103!C49,input_503103!A:H,8,FALSE))</f>
        <v>1165840</v>
      </c>
      <c r="P49" s="46">
        <f t="shared" ca="1" si="1"/>
        <v>9.5404255319117715E-3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input_503103!A$2</f>
        <v>503103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IFERROR(VLOOKUP(B50,input_503103!L:R,7,FALSE),VLOOKUP(tables_503103!C50,input_503103!A:H,8,FALSE))</f>
        <v>61360</v>
      </c>
      <c r="P50" s="46">
        <f t="shared" ca="1" si="1"/>
        <v>5.0212765957430381E-4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input_503103!A$2</f>
        <v>503103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IFERROR(VLOOKUP(B51,input_503103!L:R,7,FALSE),VLOOKUP(tables_503103!C51,input_503103!A:H,8,FALSE))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input_503103!A$2</f>
        <v>503103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IFERROR(VLOOKUP(B52,input_503103!L:R,7,FALSE),VLOOKUP(tables_503103!C52,input_503103!A:H,8,FALSE))</f>
        <v>1095340</v>
      </c>
      <c r="P52" s="46">
        <f t="shared" ca="1" si="1"/>
        <v>8.9635024549888833E-3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input_503103!A$2</f>
        <v>503103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IFERROR(VLOOKUP(B53,input_503103!L:R,7,FALSE),VLOOKUP(tables_503103!C53,input_503103!A:H,8,FALSE))</f>
        <v>18674.46154</v>
      </c>
      <c r="P53" s="46">
        <f t="shared" ca="1" si="1"/>
        <v>1.5281883420616932E-4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input_503103!A$2</f>
        <v>503103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IFERROR(VLOOKUP(B54,input_503103!L:R,7,FALSE),VLOOKUP(tables_503103!C54,input_503103!A:H,8,FALSE))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input_503103!A$2</f>
        <v>503103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IFERROR(VLOOKUP(B55,input_503103!L:R,7,FALSE),VLOOKUP(tables_503103!C55,input_503103!A:H,8,FALSE))</f>
        <v>1095340</v>
      </c>
      <c r="P55" s="46">
        <f t="shared" ca="1" si="1"/>
        <v>8.9635024549888833E-3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input_503103!A$2</f>
        <v>503103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IFERROR(VLOOKUP(B56,input_503103!L:R,7,FALSE),VLOOKUP(tables_503103!C56,input_503103!A:H,8,FALSE))</f>
        <v>18674.46154</v>
      </c>
      <c r="P56" s="46">
        <f t="shared" ca="1" si="1"/>
        <v>1.5281883420616932E-4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input_503103!A$2</f>
        <v>503103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IFERROR(VLOOKUP(B57,input_503103!L:R,7,FALSE),VLOOKUP(tables_503103!C57,input_503103!A:H,8,FALSE))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input_503103!A$2</f>
        <v>503103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IFERROR(VLOOKUP(B58,input_503103!L:R,7,FALSE),VLOOKUP(tables_503103!C58,input_503103!A:H,8,FALSE))</f>
        <v>1095340</v>
      </c>
      <c r="P58" s="46">
        <f t="shared" ca="1" si="1"/>
        <v>8.9635024549888833E-3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input_503103!A$2</f>
        <v>503103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IFERROR(VLOOKUP(B59,input_503103!L:R,7,FALSE),VLOOKUP(tables_503103!C59,input_503103!A:H,8,FALSE))</f>
        <v>18674.46154</v>
      </c>
      <c r="P59" s="46">
        <f t="shared" ca="1" si="1"/>
        <v>1.5281883420616932E-4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input_503103!A$2</f>
        <v>503103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IFERROR(VLOOKUP(B60,input_503103!L:R,7,FALSE),VLOOKUP(tables_503103!C60,input_503103!A:H,8,FALSE))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input_503103!A$2</f>
        <v>503103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IFERROR(VLOOKUP(B61,input_503103!L:R,7,FALSE),VLOOKUP(tables_503103!C61,input_503103!A:H,8,FALSE))</f>
        <v>1095340</v>
      </c>
      <c r="P61" s="46">
        <f t="shared" ca="1" si="1"/>
        <v>8.9635024549888833E-3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input_503103!A$2</f>
        <v>503103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IFERROR(VLOOKUP(B62,input_503103!L:R,7,FALSE),VLOOKUP(tables_503103!C62,input_503103!A:H,8,FALSE))</f>
        <v>18674.46154</v>
      </c>
      <c r="P62" s="46">
        <f t="shared" ca="1" si="1"/>
        <v>1.5281883420616932E-4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input_503103!A$2</f>
        <v>503103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IFERROR(VLOOKUP(B63,input_503103!L:R,7,FALSE),VLOOKUP(tables_503103!C63,input_503103!A:H,8,FALSE))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input_503103!A$2</f>
        <v>503103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IFERROR(VLOOKUP(B64,input_503103!L:R,7,FALSE),VLOOKUP(tables_503103!C64,input_503103!A:H,8,FALSE))</f>
        <v>1095340</v>
      </c>
      <c r="P64" s="46">
        <f t="shared" ca="1" si="1"/>
        <v>8.9635024549888833E-3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input_503103!A$2</f>
        <v>503103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IFERROR(VLOOKUP(B65,input_503103!L:R,7,FALSE),VLOOKUP(tables_503103!C65,input_503103!A:H,8,FALSE))</f>
        <v>18674.46154</v>
      </c>
      <c r="P65" s="46">
        <f t="shared" ca="1" si="1"/>
        <v>1.5281883420616932E-4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input_503103!A$2</f>
        <v>503103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IFERROR(VLOOKUP(B66,input_503103!L:R,7,FALSE),VLOOKUP(tables_503103!C66,input_503103!A:H,8,FALSE))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input_503103!A$2</f>
        <v>503103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IFERROR(VLOOKUP(B67,input_503103!L:R,7,FALSE),VLOOKUP(tables_503103!C67,input_503103!A:H,8,FALSE))</f>
        <v>1095340</v>
      </c>
      <c r="P67" s="46">
        <f t="shared" ca="1" si="4"/>
        <v>8.9635024549888833E-3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input_503103!A$2</f>
        <v>503103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IFERROR(VLOOKUP(B68,input_503103!L:R,7,FALSE),VLOOKUP(tables_503103!C68,input_503103!A:H,8,FALSE))</f>
        <v>18674.46154</v>
      </c>
      <c r="P68" s="46">
        <f t="shared" ca="1" si="4"/>
        <v>1.5281883420616932E-4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input_503103!A$2</f>
        <v>503103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IFERROR(VLOOKUP(B69,input_503103!L:R,7,FALSE),VLOOKUP(tables_503103!C69,input_503103!A:H,8,FALSE))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input_503103!A$2</f>
        <v>503103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IFERROR(VLOOKUP(B70,input_503103!L:R,7,FALSE),VLOOKUP(tables_503103!C70,input_503103!A:H,8,FALSE))</f>
        <v>1095340</v>
      </c>
      <c r="P70" s="46">
        <f t="shared" ca="1" si="4"/>
        <v>8.9635024549888833E-3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input_503103!A$2</f>
        <v>503103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IFERROR(VLOOKUP(B71,input_503103!L:R,7,FALSE),VLOOKUP(tables_503103!C71,input_503103!A:H,8,FALSE))</f>
        <v>18674.46154</v>
      </c>
      <c r="P71" s="46">
        <f t="shared" ca="1" si="4"/>
        <v>1.5281883420616932E-4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input_503103!A$2</f>
        <v>503103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IFERROR(VLOOKUP(B72,input_503103!L:R,7,FALSE),VLOOKUP(tables_503103!C72,input_503103!A:H,8,FALSE))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input_503103!A$2</f>
        <v>503103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IFERROR(VLOOKUP(B73,input_503103!L:R,7,FALSE),VLOOKUP(tables_503103!C73,input_503103!A:H,8,FALSE))</f>
        <v>1095340</v>
      </c>
      <c r="P73" s="46">
        <f t="shared" ca="1" si="4"/>
        <v>8.9635024549888833E-3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input_503103!A$2</f>
        <v>503103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IFERROR(VLOOKUP(B74,input_503103!L:R,7,FALSE),VLOOKUP(tables_503103!C74,input_503103!A:H,8,FALSE))</f>
        <v>18674.46154</v>
      </c>
      <c r="P74" s="46">
        <f t="shared" ca="1" si="4"/>
        <v>1.5281883420616932E-4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input_503103!A$2</f>
        <v>503103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IFERROR(VLOOKUP(B75,input_503103!L:R,7,FALSE),VLOOKUP(tables_503103!C75,input_503103!A:H,8,FALSE))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input_503103!A$2</f>
        <v>503103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IFERROR(VLOOKUP(B76,input_503103!L:R,7,FALSE),VLOOKUP(tables_503103!C76,input_503103!A:H,8,FALSE))</f>
        <v>1095340</v>
      </c>
      <c r="P76" s="46">
        <f t="shared" ca="1" si="4"/>
        <v>8.9635024549888833E-3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input_503103!A$2</f>
        <v>503103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IFERROR(VLOOKUP(B77,input_503103!L:R,7,FALSE),VLOOKUP(tables_503103!C77,input_503103!A:H,8,FALSE))</f>
        <v>18674.46154</v>
      </c>
      <c r="P77" s="46">
        <f t="shared" ca="1" si="4"/>
        <v>1.5281883420616932E-4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input_503103!A$2</f>
        <v>503103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IFERROR(VLOOKUP(B78,input_503103!L:R,7,FALSE),VLOOKUP(tables_503103!C78,input_503103!A:H,8,FALSE))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input_503103!A$2</f>
        <v>503103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IFERROR(VLOOKUP(B79,input_503103!L:R,7,FALSE),VLOOKUP(tables_503103!C79,input_503103!A:H,8,FALSE))</f>
        <v>1095340</v>
      </c>
      <c r="P79" s="46">
        <f t="shared" ca="1" si="4"/>
        <v>8.9635024549888833E-3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input_503103!A$2</f>
        <v>503103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IFERROR(VLOOKUP(B80,input_503103!L:R,7,FALSE),VLOOKUP(tables_503103!C80,input_503103!A:H,8,FALSE))</f>
        <v>18674.46154</v>
      </c>
      <c r="P80" s="46">
        <f t="shared" ca="1" si="4"/>
        <v>1.5281883420616932E-4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input_503103!A$2</f>
        <v>503103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IFERROR(VLOOKUP(B81,input_503103!L:R,7,FALSE),VLOOKUP(tables_503103!C81,input_503103!A:H,8,FALSE))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input_503103!A$2</f>
        <v>503103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IFERROR(VLOOKUP(B82,input_503103!L:R,7,FALSE),VLOOKUP(tables_503103!C82,input_503103!A:H,8,FALSE))</f>
        <v>1095340</v>
      </c>
      <c r="P82" s="46">
        <f t="shared" ca="1" si="4"/>
        <v>8.9635024549888833E-3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input_503103!A$2</f>
        <v>503103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IFERROR(VLOOKUP(B83,input_503103!L:R,7,FALSE),VLOOKUP(tables_503103!C83,input_503103!A:H,8,FALSE))</f>
        <v>18674.46154</v>
      </c>
      <c r="P83" s="46">
        <f t="shared" ca="1" si="4"/>
        <v>1.5281883420616932E-4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input_503103!A$2</f>
        <v>503103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IFERROR(VLOOKUP(B84,input_503103!L:R,7,FALSE),VLOOKUP(tables_503103!C84,input_503103!A:H,8,FALSE))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input_503103!A$2</f>
        <v>503103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IFERROR(VLOOKUP(B85,input_503103!L:R,7,FALSE),VLOOKUP(tables_503103!C85,input_503103!A:H,8,FALSE))</f>
        <v>1095340</v>
      </c>
      <c r="P85" s="46">
        <f t="shared" ca="1" si="4"/>
        <v>8.9635024549888833E-3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input_503103!A$2</f>
        <v>503103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IFERROR(VLOOKUP(B86,input_503103!L:R,7,FALSE),VLOOKUP(tables_503103!C86,input_503103!A:H,8,FALSE))</f>
        <v>18674.46154</v>
      </c>
      <c r="P86" s="46">
        <f t="shared" ca="1" si="4"/>
        <v>1.5281883420616932E-4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input_503103!A$2</f>
        <v>503103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IFERROR(VLOOKUP(B87,input_503103!L:R,7,FALSE),VLOOKUP(tables_503103!C87,input_503103!A:H,8,FALSE))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input_503103!A$2</f>
        <v>503103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IFERROR(VLOOKUP(B88,input_503103!L:R,7,FALSE),VLOOKUP(tables_503103!C88,input_503103!A:H,8,FALSE))</f>
        <v>1095340</v>
      </c>
      <c r="P88" s="46">
        <f t="shared" ca="1" si="4"/>
        <v>8.9635024549888833E-3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input_503103!A$2</f>
        <v>503103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IFERROR(VLOOKUP(B89,input_503103!L:R,7,FALSE),VLOOKUP(tables_503103!C89,input_503103!A:H,8,FALSE))</f>
        <v>18674.46154</v>
      </c>
      <c r="P89" s="46">
        <f t="shared" ca="1" si="4"/>
        <v>1.5281883420616932E-4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input_503103!A$2</f>
        <v>503103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IFERROR(VLOOKUP(B90,input_503103!L:R,7,FALSE),VLOOKUP(tables_503103!C90,input_503103!A:H,8,FALSE))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input_503103!A$2</f>
        <v>503103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IFERROR(VLOOKUP(B91,input_503103!L:R,7,FALSE),VLOOKUP(tables_503103!C91,input_503103!A:H,8,FALSE))</f>
        <v>1095340</v>
      </c>
      <c r="P91" s="46">
        <f t="shared" ca="1" si="4"/>
        <v>8.9635024549888833E-3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input_503103!A$2</f>
        <v>503103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IFERROR(VLOOKUP(B92,input_503103!L:R,7,FALSE),VLOOKUP(tables_503103!C92,input_503103!A:H,8,FALSE))</f>
        <v>18674.46154</v>
      </c>
      <c r="P92" s="46">
        <f t="shared" ca="1" si="4"/>
        <v>1.5281883420616932E-4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input_503103!A$2</f>
        <v>503103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IFERROR(VLOOKUP(B93,input_503103!L:R,7,FALSE),VLOOKUP(tables_503103!C93,input_503103!A:H,8,FALSE))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input_503103!A$2</f>
        <v>503103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IFERROR(VLOOKUP(B94,input_503103!L:R,7,FALSE),VLOOKUP(tables_503103!C94,input_503103!A:H,8,FALSE))</f>
        <v>1095340</v>
      </c>
      <c r="P94" s="46">
        <f t="shared" ca="1" si="4"/>
        <v>8.9635024549888833E-3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input_503103!A$2</f>
        <v>503103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IFERROR(VLOOKUP(B95,input_503103!L:R,7,FALSE),VLOOKUP(tables_503103!C95,input_503103!A:H,8,FALSE))</f>
        <v>18674.46154</v>
      </c>
      <c r="P95" s="46">
        <f t="shared" ca="1" si="4"/>
        <v>1.5281883420616932E-4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input_503103!A$2</f>
        <v>503103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IFERROR(VLOOKUP(B96,input_503103!L:R,7,FALSE),VLOOKUP(tables_503103!C96,input_503103!A:H,8,FALSE))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input_503103!A$2</f>
        <v>503103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IFERROR(VLOOKUP(B97,input_503103!L:R,7,FALSE),VLOOKUP(tables_503103!C97,input_503103!A:H,8,FALSE))</f>
        <v>1095340</v>
      </c>
      <c r="P97" s="46">
        <f t="shared" ca="1" si="4"/>
        <v>8.9635024549888833E-3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input_503103!A$2</f>
        <v>503103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IFERROR(VLOOKUP(B98,input_503103!L:R,7,FALSE),VLOOKUP(tables_503103!C98,input_503103!A:H,8,FALSE))</f>
        <v>18674.46154</v>
      </c>
      <c r="P98" s="46">
        <f t="shared" ca="1" si="4"/>
        <v>1.5281883420616932E-4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input_503103!A$2</f>
        <v>503103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IFERROR(VLOOKUP(B99,input_503103!L:R,7,FALSE),VLOOKUP(tables_503103!C99,input_503103!A:H,8,FALSE))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input_503103!A$2</f>
        <v>503103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IFERROR(VLOOKUP(B100,input_503103!L:R,7,FALSE),VLOOKUP(tables_503103!C100,input_503103!A:H,8,FALSE))</f>
        <v>1095340</v>
      </c>
      <c r="P100" s="46">
        <f t="shared" ca="1" si="4"/>
        <v>8.9635024549888833E-3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input_503103!A$2</f>
        <v>503103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IFERROR(VLOOKUP(B101,input_503103!L:R,7,FALSE),VLOOKUP(tables_503103!C101,input_503103!A:H,8,FALSE))</f>
        <v>18674.46154</v>
      </c>
      <c r="P101" s="46">
        <f t="shared" ca="1" si="4"/>
        <v>1.5281883420616932E-4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input_503103!A$2</f>
        <v>503103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IFERROR(VLOOKUP(B102,input_503103!L:R,7,FALSE),VLOOKUP(tables_503103!C102,input_503103!A:H,8,FALSE))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input_503103!A$2</f>
        <v>503103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IFERROR(VLOOKUP(B103,input_503103!L:R,7,FALSE),VLOOKUP(tables_503103!C103,input_503103!A:H,8,FALSE))</f>
        <v>1095340</v>
      </c>
      <c r="P103" s="46">
        <f t="shared" ca="1" si="4"/>
        <v>8.9635024549888833E-3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input_503103!A$2</f>
        <v>503103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IFERROR(VLOOKUP(B104,input_503103!L:R,7,FALSE),VLOOKUP(tables_503103!C104,input_503103!A:H,8,FALSE))</f>
        <v>18674.46154</v>
      </c>
      <c r="P104" s="46">
        <f t="shared" ca="1" si="4"/>
        <v>1.5281883420616932E-4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input_503103!A$2</f>
        <v>503103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IFERROR(VLOOKUP(B105,input_503103!L:R,7,FALSE),VLOOKUP(tables_503103!C105,input_503103!A:H,8,FALSE))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input_503103!A$2</f>
        <v>503103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IFERROR(VLOOKUP(B106,input_503103!L:R,7,FALSE),VLOOKUP(tables_503103!C106,input_503103!A:H,8,FALSE))</f>
        <v>1095340</v>
      </c>
      <c r="P106" s="46">
        <f t="shared" ca="1" si="4"/>
        <v>8.9635024549888833E-3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input_503103!A$2</f>
        <v>503103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IFERROR(VLOOKUP(B107,input_503103!L:R,7,FALSE),VLOOKUP(tables_503103!C107,input_503103!A:H,8,FALSE))</f>
        <v>18674.46154</v>
      </c>
      <c r="P107" s="46">
        <f t="shared" ca="1" si="4"/>
        <v>1.5281883420616932E-4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input_503103!A$2</f>
        <v>503103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IFERROR(VLOOKUP(B108,input_503103!L:R,7,FALSE),VLOOKUP(tables_503103!C108,input_503103!A:H,8,FALSE))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input_503103!A$2</f>
        <v>503103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IFERROR(VLOOKUP(B109,input_503103!L:R,7,FALSE),VLOOKUP(tables_503103!C109,input_503103!A:H,8,FALSE))</f>
        <v>1095340</v>
      </c>
      <c r="P109" s="46">
        <f t="shared" ca="1" si="4"/>
        <v>8.9635024549888833E-3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input_503103!A$2</f>
        <v>503103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IFERROR(VLOOKUP(B110,input_503103!L:R,7,FALSE),VLOOKUP(tables_503103!C110,input_503103!A:H,8,FALSE))</f>
        <v>18674.46154</v>
      </c>
      <c r="P110" s="46">
        <f t="shared" ca="1" si="4"/>
        <v>1.5281883420616932E-4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input_503103!A$2</f>
        <v>503103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IFERROR(VLOOKUP(B111,input_503103!L:R,7,FALSE),VLOOKUP(tables_503103!C111,input_503103!A:H,8,FALSE))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input_503103!A$2</f>
        <v>503103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IFERROR(VLOOKUP(B112,input_503103!L:R,7,FALSE),VLOOKUP(tables_503103!C112,input_503103!A:H,8,FALSE))</f>
        <v>1165840</v>
      </c>
      <c r="P112" s="46">
        <f t="shared" ca="1" si="4"/>
        <v>9.5404255319117715E-3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input_503103!A$2</f>
        <v>503103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IFERROR(VLOOKUP(B113,input_503103!L:R,7,FALSE),VLOOKUP(tables_503103!C113,input_503103!A:H,8,FALSE))</f>
        <v>61360</v>
      </c>
      <c r="P113" s="46">
        <f t="shared" ca="1" si="4"/>
        <v>5.0212765957430381E-4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input_503103!A$2</f>
        <v>503103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IFERROR(VLOOKUP(B114,input_503103!L:R,7,FALSE),VLOOKUP(tables_503103!C114,input_503103!A:H,8,FALSE))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input_503103!A$2</f>
        <v>503103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IFERROR(VLOOKUP(B115,input_503103!L:R,7,FALSE),VLOOKUP(tables_503103!C115,input_503103!A:H,8,FALSE))</f>
        <v>1095340</v>
      </c>
      <c r="P115" s="46">
        <f t="shared" ca="1" si="4"/>
        <v>8.9635024549888833E-3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input_503103!A$2</f>
        <v>503103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IFERROR(VLOOKUP(B116,input_503103!L:R,7,FALSE),VLOOKUP(tables_503103!C116,input_503103!A:H,8,FALSE))</f>
        <v>18674.46154</v>
      </c>
      <c r="P116" s="46">
        <f t="shared" ca="1" si="4"/>
        <v>1.5281883420616932E-4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input_503103!A$2</f>
        <v>503103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IFERROR(VLOOKUP(B117,input_503103!L:R,7,FALSE),VLOOKUP(tables_503103!C117,input_503103!A:H,8,FALSE))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input_503103!A$2</f>
        <v>503103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IFERROR(VLOOKUP(B118,input_503103!L:R,7,FALSE),VLOOKUP(tables_503103!C118,input_503103!A:H,8,FALSE))</f>
        <v>1095340</v>
      </c>
      <c r="P118" s="46">
        <f t="shared" ca="1" si="4"/>
        <v>8.9635024549888833E-3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input_503103!A$2</f>
        <v>503103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IFERROR(VLOOKUP(B119,input_503103!L:R,7,FALSE),VLOOKUP(tables_503103!C119,input_503103!A:H,8,FALSE))</f>
        <v>18674.46154</v>
      </c>
      <c r="P119" s="46">
        <f t="shared" ca="1" si="4"/>
        <v>1.5281883420616932E-4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input_503103!A$2</f>
        <v>503103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IFERROR(VLOOKUP(B120,input_503103!L:R,7,FALSE),VLOOKUP(tables_503103!C120,input_503103!A:H,8,FALSE))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input_503103!A$2</f>
        <v>503103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IFERROR(VLOOKUP(B121,input_503103!L:R,7,FALSE),VLOOKUP(tables_503103!C121,input_503103!A:H,8,FALSE))</f>
        <v>1095340</v>
      </c>
      <c r="P121" s="46">
        <f t="shared" ca="1" si="4"/>
        <v>8.9635024549888833E-3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input_503103!A$2</f>
        <v>503103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IFERROR(VLOOKUP(B122,input_503103!L:R,7,FALSE),VLOOKUP(tables_503103!C122,input_503103!A:H,8,FALSE))</f>
        <v>18674.46154</v>
      </c>
      <c r="P122" s="46">
        <f t="shared" ca="1" si="4"/>
        <v>1.5281883420616932E-4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input_503103!A$2</f>
        <v>503103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IFERROR(VLOOKUP(B123,input_503103!L:R,7,FALSE),VLOOKUP(tables_503103!C123,input_503103!A:H,8,FALSE))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input_503103!A$2</f>
        <v>503103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IFERROR(VLOOKUP(B124,input_503103!L:R,7,FALSE),VLOOKUP(tables_503103!C124,input_503103!A:H,8,FALSE))</f>
        <v>1095340</v>
      </c>
      <c r="P124" s="46">
        <f t="shared" ca="1" si="4"/>
        <v>8.9635024549888833E-3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input_503103!A$2</f>
        <v>503103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IFERROR(VLOOKUP(B125,input_503103!L:R,7,FALSE),VLOOKUP(tables_503103!C125,input_503103!A:H,8,FALSE))</f>
        <v>18674.46154</v>
      </c>
      <c r="P125" s="46">
        <f t="shared" ca="1" si="4"/>
        <v>1.5281883420616932E-4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input_503103!A$2</f>
        <v>503103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IFERROR(VLOOKUP(B126,input_503103!L:R,7,FALSE),VLOOKUP(tables_503103!C126,input_503103!A:H,8,FALSE))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input_503103!A$2</f>
        <v>503103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IFERROR(VLOOKUP(B127,input_503103!L:R,7,FALSE),VLOOKUP(tables_503103!C127,input_503103!A:H,8,FALSE))</f>
        <v>1095340</v>
      </c>
      <c r="P127" s="46">
        <f t="shared" ca="1" si="4"/>
        <v>8.9635024549888833E-3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input_503103!A$2</f>
        <v>503103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IFERROR(VLOOKUP(B128,input_503103!L:R,7,FALSE),VLOOKUP(tables_503103!C128,input_503103!A:H,8,FALSE))</f>
        <v>18674.46154</v>
      </c>
      <c r="P128" s="46">
        <f t="shared" ca="1" si="4"/>
        <v>1.5281883420616932E-4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input_503103!A$2</f>
        <v>503103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IFERROR(VLOOKUP(B129,input_503103!L:R,7,FALSE),VLOOKUP(tables_503103!C129,input_503103!A:H,8,FALSE))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input_503103!A$2</f>
        <v>503103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IFERROR(VLOOKUP(B130,input_503103!L:R,7,FALSE),VLOOKUP(tables_503103!C130,input_503103!A:H,8,FALSE))</f>
        <v>1095340</v>
      </c>
      <c r="P130" s="46">
        <f t="shared" ref="P130:P193" ca="1" si="7">O130/SUM(O:O)</f>
        <v>8.9635024549888833E-3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input_503103!A$2</f>
        <v>503103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IFERROR(VLOOKUP(B131,input_503103!L:R,7,FALSE),VLOOKUP(tables_503103!C131,input_503103!A:H,8,FALSE))</f>
        <v>18674.46154</v>
      </c>
      <c r="P131" s="46">
        <f t="shared" ca="1" si="7"/>
        <v>1.5281883420616932E-4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input_503103!A$2</f>
        <v>503103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IFERROR(VLOOKUP(B132,input_503103!L:R,7,FALSE),VLOOKUP(tables_503103!C132,input_503103!A:H,8,FALSE))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input_503103!A$2</f>
        <v>503103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IFERROR(VLOOKUP(B133,input_503103!L:R,7,FALSE),VLOOKUP(tables_503103!C133,input_503103!A:H,8,FALSE))</f>
        <v>1095340</v>
      </c>
      <c r="P133" s="46">
        <f t="shared" ca="1" si="7"/>
        <v>8.9635024549888833E-3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input_503103!A$2</f>
        <v>503103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IFERROR(VLOOKUP(B134,input_503103!L:R,7,FALSE),VLOOKUP(tables_503103!C134,input_503103!A:H,8,FALSE))</f>
        <v>18674.46154</v>
      </c>
      <c r="P134" s="46">
        <f t="shared" ca="1" si="7"/>
        <v>1.5281883420616932E-4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input_503103!A$2</f>
        <v>503103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IFERROR(VLOOKUP(B135,input_503103!L:R,7,FALSE),VLOOKUP(tables_503103!C135,input_503103!A:H,8,FALSE))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input_503103!A$2</f>
        <v>503103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IFERROR(VLOOKUP(B136,input_503103!L:R,7,FALSE),VLOOKUP(tables_503103!C136,input_503103!A:H,8,FALSE))</f>
        <v>1095340</v>
      </c>
      <c r="P136" s="46">
        <f t="shared" ca="1" si="7"/>
        <v>8.9635024549888833E-3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input_503103!A$2</f>
        <v>503103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IFERROR(VLOOKUP(B137,input_503103!L:R,7,FALSE),VLOOKUP(tables_503103!C137,input_503103!A:H,8,FALSE))</f>
        <v>18674.46154</v>
      </c>
      <c r="P137" s="46">
        <f t="shared" ca="1" si="7"/>
        <v>1.5281883420616932E-4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input_503103!A$2</f>
        <v>503103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IFERROR(VLOOKUP(B138,input_503103!L:R,7,FALSE),VLOOKUP(tables_503103!C138,input_503103!A:H,8,FALSE))</f>
        <v>78584</v>
      </c>
      <c r="P138" s="46">
        <f t="shared" ca="1" si="7"/>
        <v>6.4307692307671264E-4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input_503103!A$2</f>
        <v>503103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IFERROR(VLOOKUP(B139,input_503103!L:R,7,FALSE),VLOOKUP(tables_503103!C139,input_503103!A:H,8,FALSE))</f>
        <v>27367.42857</v>
      </c>
      <c r="P139" s="46">
        <f t="shared" ca="1" si="7"/>
        <v>2.2395604394428024E-4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input_503103!A$2</f>
        <v>503103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IFERROR(VLOOKUP(B140,input_503103!L:R,7,FALSE),VLOOKUP(tables_503103!C140,input_503103!A:H,8,FALSE))</f>
        <v>78584</v>
      </c>
      <c r="P140" s="46">
        <f t="shared" ca="1" si="7"/>
        <v>6.4307692307671264E-4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input_503103!A$2</f>
        <v>503103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IFERROR(VLOOKUP(B141,input_503103!L:R,7,FALSE),VLOOKUP(tables_503103!C141,input_503103!A:H,8,FALSE))</f>
        <v>27367.42857</v>
      </c>
      <c r="P141" s="46">
        <f t="shared" ca="1" si="7"/>
        <v>2.2395604394428024E-4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input_503103!A$2</f>
        <v>503103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IFERROR(VLOOKUP(B142,input_503103!L:R,7,FALSE),VLOOKUP(tables_503103!C142,input_503103!A:H,8,FALSE))</f>
        <v>78584</v>
      </c>
      <c r="P142" s="46">
        <f t="shared" ca="1" si="7"/>
        <v>6.4307692307671264E-4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input_503103!A$2</f>
        <v>503103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IFERROR(VLOOKUP(B143,input_503103!L:R,7,FALSE),VLOOKUP(tables_503103!C143,input_503103!A:H,8,FALSE))</f>
        <v>27367.42857</v>
      </c>
      <c r="P143" s="46">
        <f t="shared" ca="1" si="7"/>
        <v>2.2395604394428024E-4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input_503103!A$2</f>
        <v>503103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IFERROR(VLOOKUP(B144,input_503103!L:R,7,FALSE),VLOOKUP(tables_503103!C144,input_503103!A:H,8,FALSE))</f>
        <v>78584</v>
      </c>
      <c r="P144" s="46">
        <f t="shared" ca="1" si="7"/>
        <v>6.4307692307671264E-4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input_503103!A$2</f>
        <v>503103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IFERROR(VLOOKUP(B145,input_503103!L:R,7,FALSE),VLOOKUP(tables_503103!C145,input_503103!A:H,8,FALSE))</f>
        <v>27367.42857</v>
      </c>
      <c r="P145" s="46">
        <f t="shared" ca="1" si="7"/>
        <v>2.2395604394428024E-4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input_503103!A$2</f>
        <v>503103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IFERROR(VLOOKUP(B146,input_503103!L:R,7,FALSE),VLOOKUP(tables_503103!C146,input_503103!A:H,8,FALSE))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input_503103!A$2</f>
        <v>503103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IFERROR(VLOOKUP(B147,input_503103!L:R,7,FALSE),VLOOKUP(tables_503103!C147,input_503103!A:H,8,FALSE))</f>
        <v>1095340</v>
      </c>
      <c r="P147" s="46">
        <f t="shared" ca="1" si="7"/>
        <v>8.9635024549888833E-3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input_503103!A$2</f>
        <v>503103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IFERROR(VLOOKUP(B148,input_503103!L:R,7,FALSE),VLOOKUP(tables_503103!C148,input_503103!A:H,8,FALSE))</f>
        <v>18674.46154</v>
      </c>
      <c r="P148" s="46">
        <f t="shared" ca="1" si="7"/>
        <v>1.5281883420616932E-4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input_503103!A$2</f>
        <v>503103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IFERROR(VLOOKUP(B149,input_503103!L:R,7,FALSE),VLOOKUP(tables_503103!C149,input_503103!A:H,8,FALSE))</f>
        <v>78584</v>
      </c>
      <c r="P149" s="46">
        <f t="shared" ca="1" si="7"/>
        <v>6.4307692307671264E-4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input_503103!A$2</f>
        <v>503103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IFERROR(VLOOKUP(B150,input_503103!L:R,7,FALSE),VLOOKUP(tables_503103!C150,input_503103!A:H,8,FALSE))</f>
        <v>27367.42857</v>
      </c>
      <c r="P150" s="46">
        <f t="shared" ca="1" si="7"/>
        <v>2.2395604394428024E-4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input_503103!A$2</f>
        <v>503103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IFERROR(VLOOKUP(B151,input_503103!L:R,7,FALSE),VLOOKUP(tables_503103!C151,input_503103!A:H,8,FALSE))</f>
        <v>78584</v>
      </c>
      <c r="P151" s="46">
        <f t="shared" ca="1" si="7"/>
        <v>6.4307692307671264E-4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input_503103!A$2</f>
        <v>503103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IFERROR(VLOOKUP(B152,input_503103!L:R,7,FALSE),VLOOKUP(tables_503103!C152,input_503103!A:H,8,FALSE))</f>
        <v>27367.42857</v>
      </c>
      <c r="P152" s="46">
        <f t="shared" ca="1" si="7"/>
        <v>2.2395604394428024E-4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input_503103!A$2</f>
        <v>503103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IFERROR(VLOOKUP(B153,input_503103!L:R,7,FALSE),VLOOKUP(tables_503103!C153,input_503103!A:H,8,FALSE))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input_503103!A$2</f>
        <v>503103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IFERROR(VLOOKUP(B154,input_503103!L:R,7,FALSE),VLOOKUP(tables_503103!C154,input_503103!A:H,8,FALSE))</f>
        <v>1095340</v>
      </c>
      <c r="P154" s="46">
        <f t="shared" ca="1" si="7"/>
        <v>8.9635024549888833E-3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input_503103!A$2</f>
        <v>503103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IFERROR(VLOOKUP(B155,input_503103!L:R,7,FALSE),VLOOKUP(tables_503103!C155,input_503103!A:H,8,FALSE))</f>
        <v>18674.46154</v>
      </c>
      <c r="P155" s="46">
        <f t="shared" ca="1" si="7"/>
        <v>1.5281883420616932E-4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input_503103!A$2</f>
        <v>503103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IFERROR(VLOOKUP(B156,input_503103!L:R,7,FALSE),VLOOKUP(tables_503103!C156,input_503103!A:H,8,FALSE))</f>
        <v>78584</v>
      </c>
      <c r="P156" s="46">
        <f t="shared" ca="1" si="7"/>
        <v>6.4307692307671264E-4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input_503103!A$2</f>
        <v>503103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IFERROR(VLOOKUP(B157,input_503103!L:R,7,FALSE),VLOOKUP(tables_503103!C157,input_503103!A:H,8,FALSE))</f>
        <v>27367.42857</v>
      </c>
      <c r="P157" s="46">
        <f t="shared" ca="1" si="7"/>
        <v>2.2395604394428024E-4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input_503103!A$2</f>
        <v>503103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IFERROR(VLOOKUP(B158,input_503103!L:R,7,FALSE),VLOOKUP(tables_503103!C158,input_503103!A:H,8,FALSE))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input_503103!A$2</f>
        <v>503103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IFERROR(VLOOKUP(B159,input_503103!L:R,7,FALSE),VLOOKUP(tables_503103!C159,input_503103!A:H,8,FALSE))</f>
        <v>1095340</v>
      </c>
      <c r="P159" s="46">
        <f t="shared" ca="1" si="7"/>
        <v>8.9635024549888833E-3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input_503103!A$2</f>
        <v>503103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IFERROR(VLOOKUP(B160,input_503103!L:R,7,FALSE),VLOOKUP(tables_503103!C160,input_503103!A:H,8,FALSE))</f>
        <v>18674.46154</v>
      </c>
      <c r="P160" s="46">
        <f t="shared" ca="1" si="7"/>
        <v>1.5281883420616932E-4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input_503103!A$2</f>
        <v>503103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IFERROR(VLOOKUP(B161,input_503103!L:R,7,FALSE),VLOOKUP(tables_503103!C161,input_503103!A:H,8,FALSE))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input_503103!A$2</f>
        <v>503103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IFERROR(VLOOKUP(B162,input_503103!L:R,7,FALSE),VLOOKUP(tables_503103!C162,input_503103!A:H,8,FALSE))</f>
        <v>1095340</v>
      </c>
      <c r="P162" s="46">
        <f t="shared" ca="1" si="7"/>
        <v>8.9635024549888833E-3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input_503103!A$2</f>
        <v>503103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IFERROR(VLOOKUP(B163,input_503103!L:R,7,FALSE),VLOOKUP(tables_503103!C163,input_503103!A:H,8,FALSE))</f>
        <v>18674.46154</v>
      </c>
      <c r="P163" s="46">
        <f t="shared" ca="1" si="7"/>
        <v>1.5281883420616932E-4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input_503103!A$2</f>
        <v>503103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IFERROR(VLOOKUP(B164,input_503103!L:R,7,FALSE),VLOOKUP(tables_503103!C164,input_503103!A:H,8,FALSE))</f>
        <v>78584</v>
      </c>
      <c r="P164" s="46">
        <f t="shared" ca="1" si="7"/>
        <v>6.4307692307671264E-4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input_503103!A$2</f>
        <v>503103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IFERROR(VLOOKUP(B165,input_503103!L:R,7,FALSE),VLOOKUP(tables_503103!C165,input_503103!A:H,8,FALSE))</f>
        <v>27367.42857</v>
      </c>
      <c r="P165" s="46">
        <f t="shared" ca="1" si="7"/>
        <v>2.2395604394428024E-4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input_503103!A$2</f>
        <v>503103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IFERROR(VLOOKUP(B166,input_503103!L:R,7,FALSE),VLOOKUP(tables_503103!C166,input_503103!A:H,8,FALSE))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input_503103!A$2</f>
        <v>503103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IFERROR(VLOOKUP(B167,input_503103!L:R,7,FALSE),VLOOKUP(tables_503103!C167,input_503103!A:H,8,FALSE))</f>
        <v>1095340</v>
      </c>
      <c r="P167" s="46">
        <f t="shared" ca="1" si="7"/>
        <v>8.9635024549888833E-3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input_503103!A$2</f>
        <v>503103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IFERROR(VLOOKUP(B168,input_503103!L:R,7,FALSE),VLOOKUP(tables_503103!C168,input_503103!A:H,8,FALSE))</f>
        <v>18674.46154</v>
      </c>
      <c r="P168" s="46">
        <f t="shared" ca="1" si="7"/>
        <v>1.5281883420616932E-4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input_503103!A$2</f>
        <v>503103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IFERROR(VLOOKUP(B169,input_503103!L:R,7,FALSE),VLOOKUP(tables_503103!C169,input_503103!A:H,8,FALSE))</f>
        <v>78584</v>
      </c>
      <c r="P169" s="46">
        <f t="shared" ca="1" si="7"/>
        <v>6.4307692307671264E-4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input_503103!A$2</f>
        <v>503103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IFERROR(VLOOKUP(B170,input_503103!L:R,7,FALSE),VLOOKUP(tables_503103!C170,input_503103!A:H,8,FALSE))</f>
        <v>27367.42857</v>
      </c>
      <c r="P170" s="46">
        <f t="shared" ca="1" si="7"/>
        <v>2.2395604394428024E-4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input_503103!A$2</f>
        <v>503103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IFERROR(VLOOKUP(B171,input_503103!L:R,7,FALSE),VLOOKUP(tables_503103!C171,input_503103!A:H,8,FALSE))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input_503103!A$2</f>
        <v>503103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IFERROR(VLOOKUP(B172,input_503103!L:R,7,FALSE),VLOOKUP(tables_503103!C172,input_503103!A:H,8,FALSE))</f>
        <v>1095340</v>
      </c>
      <c r="P172" s="46">
        <f t="shared" ca="1" si="7"/>
        <v>8.9635024549888833E-3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input_503103!A$2</f>
        <v>503103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IFERROR(VLOOKUP(B173,input_503103!L:R,7,FALSE),VLOOKUP(tables_503103!C173,input_503103!A:H,8,FALSE))</f>
        <v>18674.46154</v>
      </c>
      <c r="P173" s="46">
        <f t="shared" ca="1" si="7"/>
        <v>1.5281883420616932E-4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input_503103!A$2</f>
        <v>503103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IFERROR(VLOOKUP(B174,input_503103!L:R,7,FALSE),VLOOKUP(tables_503103!C174,input_503103!A:H,8,FALSE))</f>
        <v>78584</v>
      </c>
      <c r="P174" s="46">
        <f t="shared" ca="1" si="7"/>
        <v>6.4307692307671264E-4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input_503103!A$2</f>
        <v>503103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IFERROR(VLOOKUP(B175,input_503103!L:R,7,FALSE),VLOOKUP(tables_503103!C175,input_503103!A:H,8,FALSE))</f>
        <v>27367.42857</v>
      </c>
      <c r="P175" s="46">
        <f t="shared" ca="1" si="7"/>
        <v>2.2395604394428024E-4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input_503103!A$2</f>
        <v>503103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IFERROR(VLOOKUP(B176,input_503103!L:R,7,FALSE),VLOOKUP(tables_503103!C176,input_503103!A:H,8,FALSE))</f>
        <v>78584</v>
      </c>
      <c r="P176" s="46">
        <f t="shared" ca="1" si="7"/>
        <v>6.4307692307671264E-4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input_503103!A$2</f>
        <v>503103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IFERROR(VLOOKUP(B177,input_503103!L:R,7,FALSE),VLOOKUP(tables_503103!C177,input_503103!A:H,8,FALSE))</f>
        <v>27367.42857</v>
      </c>
      <c r="P177" s="46">
        <f t="shared" ca="1" si="7"/>
        <v>2.2395604394428024E-4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input_503103!A$2</f>
        <v>503103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IFERROR(VLOOKUP(B178,input_503103!L:R,7,FALSE),VLOOKUP(tables_503103!C178,input_503103!A:H,8,FALSE))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input_503103!A$2</f>
        <v>503103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IFERROR(VLOOKUP(B179,input_503103!L:R,7,FALSE),VLOOKUP(tables_503103!C179,input_503103!A:H,8,FALSE))</f>
        <v>1095340</v>
      </c>
      <c r="P179" s="46">
        <f t="shared" ca="1" si="7"/>
        <v>8.9635024549888833E-3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input_503103!A$2</f>
        <v>503103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IFERROR(VLOOKUP(B180,input_503103!L:R,7,FALSE),VLOOKUP(tables_503103!C180,input_503103!A:H,8,FALSE))</f>
        <v>18674.46154</v>
      </c>
      <c r="P180" s="46">
        <f t="shared" ca="1" si="7"/>
        <v>1.5281883420616932E-4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input_503103!A$2</f>
        <v>503103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IFERROR(VLOOKUP(B181,input_503103!L:R,7,FALSE),VLOOKUP(tables_503103!C181,input_503103!A:H,8,FALSE))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input_503103!A$2</f>
        <v>503103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IFERROR(VLOOKUP(B182,input_503103!L:R,7,FALSE),VLOOKUP(tables_503103!C182,input_503103!A:H,8,FALSE))</f>
        <v>1095340</v>
      </c>
      <c r="P182" s="46">
        <f t="shared" ca="1" si="7"/>
        <v>8.9635024549888833E-3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input_503103!A$2</f>
        <v>503103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IFERROR(VLOOKUP(B183,input_503103!L:R,7,FALSE),VLOOKUP(tables_503103!C183,input_503103!A:H,8,FALSE))</f>
        <v>18674.46154</v>
      </c>
      <c r="P183" s="46">
        <f t="shared" ca="1" si="7"/>
        <v>1.5281883420616932E-4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input_503103!A$2</f>
        <v>503103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IFERROR(VLOOKUP(B184,input_503103!L:R,7,FALSE),VLOOKUP(tables_503103!C184,input_503103!A:H,8,FALSE))</f>
        <v>78584</v>
      </c>
      <c r="P184" s="46">
        <f t="shared" ca="1" si="7"/>
        <v>6.4307692307671264E-4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input_503103!A$2</f>
        <v>503103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IFERROR(VLOOKUP(B185,input_503103!L:R,7,FALSE),VLOOKUP(tables_503103!C185,input_503103!A:H,8,FALSE))</f>
        <v>27367.42857</v>
      </c>
      <c r="P185" s="46">
        <f t="shared" ca="1" si="7"/>
        <v>2.2395604394428024E-4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input_503103!A$2</f>
        <v>503103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IFERROR(VLOOKUP(B186,input_503103!L:R,7,FALSE),VLOOKUP(tables_503103!C186,input_503103!A:H,8,FALSE))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input_503103!A$2</f>
        <v>503103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IFERROR(VLOOKUP(B187,input_503103!L:R,7,FALSE),VLOOKUP(tables_503103!C187,input_503103!A:H,8,FALSE))</f>
        <v>1095340</v>
      </c>
      <c r="P187" s="46">
        <f t="shared" ca="1" si="7"/>
        <v>8.9635024549888833E-3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input_503103!A$2</f>
        <v>503103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IFERROR(VLOOKUP(B188,input_503103!L:R,7,FALSE),VLOOKUP(tables_503103!C188,input_503103!A:H,8,FALSE))</f>
        <v>18674.46154</v>
      </c>
      <c r="P188" s="46">
        <f t="shared" ca="1" si="7"/>
        <v>1.5281883420616932E-4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input_503103!A$2</f>
        <v>503103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IFERROR(VLOOKUP(B189,input_503103!L:R,7,FALSE),VLOOKUP(tables_503103!C189,input_503103!A:H,8,FALSE))</f>
        <v>78584</v>
      </c>
      <c r="P189" s="46">
        <f t="shared" ca="1" si="7"/>
        <v>6.4307692307671264E-4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input_503103!A$2</f>
        <v>503103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IFERROR(VLOOKUP(B190,input_503103!L:R,7,FALSE),VLOOKUP(tables_503103!C190,input_503103!A:H,8,FALSE))</f>
        <v>27367.42857</v>
      </c>
      <c r="P190" s="46">
        <f t="shared" ca="1" si="7"/>
        <v>2.2395604394428024E-4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input_503103!A$2</f>
        <v>503103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IFERROR(VLOOKUP(B191,input_503103!L:R,7,FALSE),VLOOKUP(tables_503103!C191,input_503103!A:H,8,FALSE))</f>
        <v>78584</v>
      </c>
      <c r="P191" s="46">
        <f t="shared" ca="1" si="7"/>
        <v>6.4307692307671264E-4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input_503103!A$2</f>
        <v>503103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IFERROR(VLOOKUP(B192,input_503103!L:R,7,FALSE),VLOOKUP(tables_503103!C192,input_503103!A:H,8,FALSE))</f>
        <v>27367.42857</v>
      </c>
      <c r="P192" s="46">
        <f t="shared" ca="1" si="7"/>
        <v>2.2395604394428024E-4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input_503103!A$2</f>
        <v>503103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IFERROR(VLOOKUP(B193,input_503103!L:R,7,FALSE),VLOOKUP(tables_503103!C193,input_503103!A:H,8,FALSE))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input_503103!A$2</f>
        <v>503103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IFERROR(VLOOKUP(B194,input_503103!L:R,7,FALSE),VLOOKUP(tables_503103!C194,input_503103!A:H,8,FALSE))</f>
        <v>1095340</v>
      </c>
      <c r="P194" s="46">
        <f t="shared" ref="P194:P257" ca="1" si="10">O194/SUM(O:O)</f>
        <v>8.9635024549888833E-3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input_503103!A$2</f>
        <v>503103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IFERROR(VLOOKUP(B195,input_503103!L:R,7,FALSE),VLOOKUP(tables_503103!C195,input_503103!A:H,8,FALSE))</f>
        <v>18674.46154</v>
      </c>
      <c r="P195" s="46">
        <f t="shared" ca="1" si="10"/>
        <v>1.5281883420616932E-4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input_503103!A$2</f>
        <v>503103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IFERROR(VLOOKUP(B196,input_503103!L:R,7,FALSE),VLOOKUP(tables_503103!C196,input_503103!A:H,8,FALSE))</f>
        <v>78584</v>
      </c>
      <c r="P196" s="46">
        <f t="shared" ca="1" si="10"/>
        <v>6.4307692307671264E-4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input_503103!A$2</f>
        <v>503103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IFERROR(VLOOKUP(B197,input_503103!L:R,7,FALSE),VLOOKUP(tables_503103!C197,input_503103!A:H,8,FALSE))</f>
        <v>27367.42857</v>
      </c>
      <c r="P197" s="46">
        <f t="shared" ca="1" si="10"/>
        <v>2.2395604394428024E-4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input_503103!A$2</f>
        <v>503103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IFERROR(VLOOKUP(B198,input_503103!L:R,7,FALSE),VLOOKUP(tables_503103!C198,input_503103!A:H,8,FALSE))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input_503103!A$2</f>
        <v>503103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IFERROR(VLOOKUP(B199,input_503103!L:R,7,FALSE),VLOOKUP(tables_503103!C199,input_503103!A:H,8,FALSE))</f>
        <v>1095340</v>
      </c>
      <c r="P199" s="46">
        <f t="shared" ca="1" si="10"/>
        <v>8.9635024549888833E-3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input_503103!A$2</f>
        <v>503103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IFERROR(VLOOKUP(B200,input_503103!L:R,7,FALSE),VLOOKUP(tables_503103!C200,input_503103!A:H,8,FALSE))</f>
        <v>18674.46154</v>
      </c>
      <c r="P200" s="46">
        <f t="shared" ca="1" si="10"/>
        <v>1.5281883420616932E-4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input_503103!A$2</f>
        <v>503103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IFERROR(VLOOKUP(B201,input_503103!L:R,7,FALSE),VLOOKUP(tables_503103!C201,input_503103!A:H,8,FALSE))</f>
        <v>78584</v>
      </c>
      <c r="P201" s="46">
        <f t="shared" ca="1" si="10"/>
        <v>6.4307692307671264E-4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input_503103!A$2</f>
        <v>503103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IFERROR(VLOOKUP(B202,input_503103!L:R,7,FALSE),VLOOKUP(tables_503103!C202,input_503103!A:H,8,FALSE))</f>
        <v>27367.42857</v>
      </c>
      <c r="P202" s="46">
        <f t="shared" ca="1" si="10"/>
        <v>2.2395604394428024E-4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input_503103!A$2</f>
        <v>503103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IFERROR(VLOOKUP(B203,input_503103!L:R,7,FALSE),VLOOKUP(tables_503103!C203,input_503103!A:H,8,FALSE))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input_503103!A$2</f>
        <v>503103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IFERROR(VLOOKUP(B204,input_503103!L:R,7,FALSE),VLOOKUP(tables_503103!C204,input_503103!A:H,8,FALSE))</f>
        <v>1095340</v>
      </c>
      <c r="P204" s="46">
        <f t="shared" ca="1" si="10"/>
        <v>8.9635024549888833E-3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input_503103!A$2</f>
        <v>503103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IFERROR(VLOOKUP(B205,input_503103!L:R,7,FALSE),VLOOKUP(tables_503103!C205,input_503103!A:H,8,FALSE))</f>
        <v>18674.46154</v>
      </c>
      <c r="P205" s="46">
        <f t="shared" ca="1" si="10"/>
        <v>1.5281883420616932E-4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input_503103!A$2</f>
        <v>503103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IFERROR(VLOOKUP(B206,input_503103!L:R,7,FALSE),VLOOKUP(tables_503103!C206,input_503103!A:H,8,FALSE))</f>
        <v>78584</v>
      </c>
      <c r="P206" s="46">
        <f t="shared" ca="1" si="10"/>
        <v>6.4307692307671264E-4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input_503103!A$2</f>
        <v>503103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IFERROR(VLOOKUP(B207,input_503103!L:R,7,FALSE),VLOOKUP(tables_503103!C207,input_503103!A:H,8,FALSE))</f>
        <v>27367.42857</v>
      </c>
      <c r="P207" s="46">
        <f t="shared" ca="1" si="10"/>
        <v>2.2395604394428024E-4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input_503103!A$2</f>
        <v>503103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IFERROR(VLOOKUP(B208,input_503103!L:R,7,FALSE),VLOOKUP(tables_503103!C208,input_503103!A:H,8,FALSE))</f>
        <v>78584</v>
      </c>
      <c r="P208" s="46">
        <f t="shared" ca="1" si="10"/>
        <v>6.4307692307671264E-4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input_503103!A$2</f>
        <v>503103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IFERROR(VLOOKUP(B209,input_503103!L:R,7,FALSE),VLOOKUP(tables_503103!C209,input_503103!A:H,8,FALSE))</f>
        <v>27367.42857</v>
      </c>
      <c r="P209" s="46">
        <f t="shared" ca="1" si="10"/>
        <v>2.2395604394428024E-4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input_503103!A$2</f>
        <v>503103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IFERROR(VLOOKUP(B210,input_503103!L:R,7,FALSE),VLOOKUP(tables_503103!C210,input_503103!A:H,8,FALSE))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input_503103!A$2</f>
        <v>503103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IFERROR(VLOOKUP(B211,input_503103!L:R,7,FALSE),VLOOKUP(tables_503103!C211,input_503103!A:H,8,FALSE))</f>
        <v>1095340</v>
      </c>
      <c r="P211" s="46">
        <f t="shared" ca="1" si="10"/>
        <v>8.9635024549888833E-3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input_503103!A$2</f>
        <v>503103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IFERROR(VLOOKUP(B212,input_503103!L:R,7,FALSE),VLOOKUP(tables_503103!C212,input_503103!A:H,8,FALSE))</f>
        <v>18674.46154</v>
      </c>
      <c r="P212" s="46">
        <f t="shared" ca="1" si="10"/>
        <v>1.5281883420616932E-4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input_503103!A$2</f>
        <v>503103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IFERROR(VLOOKUP(B213,input_503103!L:R,7,FALSE),VLOOKUP(tables_503103!C213,input_503103!A:H,8,FALSE))</f>
        <v>78584</v>
      </c>
      <c r="P213" s="46">
        <f t="shared" ca="1" si="10"/>
        <v>6.4307692307671264E-4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input_503103!A$2</f>
        <v>503103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IFERROR(VLOOKUP(B214,input_503103!L:R,7,FALSE),VLOOKUP(tables_503103!C214,input_503103!A:H,8,FALSE))</f>
        <v>27367.42857</v>
      </c>
      <c r="P214" s="46">
        <f t="shared" ca="1" si="10"/>
        <v>2.2395604394428024E-4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input_503103!A$2</f>
        <v>503103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IFERROR(VLOOKUP(B215,input_503103!L:R,7,FALSE),VLOOKUP(tables_503103!C215,input_503103!A:H,8,FALSE))</f>
        <v>10443.333329999999</v>
      </c>
      <c r="P215" s="46">
        <f t="shared" ca="1" si="10"/>
        <v>8.5460992880495768E-5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input_503103!A$2</f>
        <v>503103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IFERROR(VLOOKUP(B216,input_503103!L:R,7,FALSE),VLOOKUP(tables_503103!C216,input_503103!A:H,8,FALSE))</f>
        <v>10443.333329999999</v>
      </c>
      <c r="P216" s="46">
        <f t="shared" ca="1" si="10"/>
        <v>8.5460992880495768E-5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input_503103!A$2</f>
        <v>503103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IFERROR(VLOOKUP(B217,input_503103!L:R,7,FALSE),VLOOKUP(tables_503103!C217,input_503103!A:H,8,FALSE))</f>
        <v>10443.333329999999</v>
      </c>
      <c r="P217" s="46">
        <f t="shared" ca="1" si="10"/>
        <v>8.5460992880495768E-5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input_503103!A$2</f>
        <v>503103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IFERROR(VLOOKUP(B218,input_503103!L:R,7,FALSE),VLOOKUP(tables_503103!C218,input_503103!A:H,8,FALSE))</f>
        <v>10443.333329999999</v>
      </c>
      <c r="P218" s="46">
        <f t="shared" ca="1" si="10"/>
        <v>8.5460992880495768E-5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input_503103!A$2</f>
        <v>503103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IFERROR(VLOOKUP(B219,input_503103!L:R,7,FALSE),VLOOKUP(tables_503103!C219,input_503103!A:H,8,FALSE))</f>
        <v>10443.333329999999</v>
      </c>
      <c r="P219" s="46">
        <f t="shared" ca="1" si="10"/>
        <v>8.5460992880495768E-5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input_503103!A$2</f>
        <v>503103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IFERROR(VLOOKUP(B220,input_503103!L:R,7,FALSE),VLOOKUP(tables_503103!C220,input_503103!A:H,8,FALSE))</f>
        <v>10443.333329999999</v>
      </c>
      <c r="P220" s="46">
        <f t="shared" ca="1" si="10"/>
        <v>8.5460992880495768E-5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input_503103!A$2</f>
        <v>503103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IFERROR(VLOOKUP(B221,input_503103!L:R,7,FALSE),VLOOKUP(tables_503103!C221,input_503103!A:H,8,FALSE))</f>
        <v>78584</v>
      </c>
      <c r="P221" s="46">
        <f t="shared" ca="1" si="10"/>
        <v>6.4307692307671264E-4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input_503103!A$2</f>
        <v>503103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IFERROR(VLOOKUP(B222,input_503103!L:R,7,FALSE),VLOOKUP(tables_503103!C222,input_503103!A:H,8,FALSE))</f>
        <v>27367.42857</v>
      </c>
      <c r="P222" s="46">
        <f t="shared" ca="1" si="10"/>
        <v>2.2395604394428024E-4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input_503103!A$2</f>
        <v>503103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IFERROR(VLOOKUP(B223,input_503103!L:R,7,FALSE),VLOOKUP(tables_503103!C223,input_503103!A:H,8,FALSE))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input_503103!A$2</f>
        <v>503103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IFERROR(VLOOKUP(B224,input_503103!L:R,7,FALSE),VLOOKUP(tables_503103!C224,input_503103!A:H,8,FALSE))</f>
        <v>1095340</v>
      </c>
      <c r="P224" s="46">
        <f t="shared" ca="1" si="10"/>
        <v>8.9635024549888833E-3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input_503103!A$2</f>
        <v>503103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IFERROR(VLOOKUP(B225,input_503103!L:R,7,FALSE),VLOOKUP(tables_503103!C225,input_503103!A:H,8,FALSE))</f>
        <v>18674.46154</v>
      </c>
      <c r="P225" s="46">
        <f t="shared" ca="1" si="10"/>
        <v>1.5281883420616932E-4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input_503103!A$2</f>
        <v>503103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IFERROR(VLOOKUP(B226,input_503103!L:R,7,FALSE),VLOOKUP(tables_503103!C226,input_503103!A:H,8,FALSE))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input_503103!A$2</f>
        <v>503103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IFERROR(VLOOKUP(B227,input_503103!L:R,7,FALSE),VLOOKUP(tables_503103!C227,input_503103!A:H,8,FALSE))</f>
        <v>1095340</v>
      </c>
      <c r="P227" s="46">
        <f t="shared" ca="1" si="10"/>
        <v>8.9635024549888833E-3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input_503103!A$2</f>
        <v>503103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IFERROR(VLOOKUP(B228,input_503103!L:R,7,FALSE),VLOOKUP(tables_503103!C228,input_503103!A:H,8,FALSE))</f>
        <v>18674.46154</v>
      </c>
      <c r="P228" s="46">
        <f t="shared" ca="1" si="10"/>
        <v>1.5281883420616932E-4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input_503103!A$2</f>
        <v>503103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IFERROR(VLOOKUP(B229,input_503103!L:R,7,FALSE),VLOOKUP(tables_503103!C229,input_503103!A:H,8,FALSE))</f>
        <v>78584</v>
      </c>
      <c r="P229" s="46">
        <f t="shared" ca="1" si="10"/>
        <v>6.4307692307671264E-4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input_503103!A$2</f>
        <v>503103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IFERROR(VLOOKUP(B230,input_503103!L:R,7,FALSE),VLOOKUP(tables_503103!C230,input_503103!A:H,8,FALSE))</f>
        <v>27367.42857</v>
      </c>
      <c r="P230" s="46">
        <f t="shared" ca="1" si="10"/>
        <v>2.2395604394428024E-4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input_503103!A$2</f>
        <v>503103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IFERROR(VLOOKUP(B231,input_503103!L:R,7,FALSE),VLOOKUP(tables_503103!C231,input_503103!A:H,8,FALSE))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input_503103!A$2</f>
        <v>503103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IFERROR(VLOOKUP(B232,input_503103!L:R,7,FALSE),VLOOKUP(tables_503103!C232,input_503103!A:H,8,FALSE))</f>
        <v>1095340</v>
      </c>
      <c r="P232" s="46">
        <f t="shared" ca="1" si="10"/>
        <v>8.9635024549888833E-3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input_503103!A$2</f>
        <v>503103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IFERROR(VLOOKUP(B233,input_503103!L:R,7,FALSE),VLOOKUP(tables_503103!C233,input_503103!A:H,8,FALSE))</f>
        <v>18674.46154</v>
      </c>
      <c r="P233" s="46">
        <f t="shared" ca="1" si="10"/>
        <v>1.5281883420616932E-4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input_503103!A$2</f>
        <v>503103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IFERROR(VLOOKUP(B234,input_503103!L:R,7,FALSE),VLOOKUP(tables_503103!C234,input_503103!A:H,8,FALSE))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input_503103!A$2</f>
        <v>503103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IFERROR(VLOOKUP(B235,input_503103!L:R,7,FALSE),VLOOKUP(tables_503103!C235,input_503103!A:H,8,FALSE))</f>
        <v>1095340</v>
      </c>
      <c r="P235" s="46">
        <f t="shared" ca="1" si="10"/>
        <v>8.9635024549888833E-3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input_503103!A$2</f>
        <v>503103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IFERROR(VLOOKUP(B236,input_503103!L:R,7,FALSE),VLOOKUP(tables_503103!C236,input_503103!A:H,8,FALSE))</f>
        <v>18674.46154</v>
      </c>
      <c r="P236" s="46">
        <f t="shared" ca="1" si="10"/>
        <v>1.5281883420616932E-4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input_503103!A$2</f>
        <v>503103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IFERROR(VLOOKUP(B237,input_503103!L:R,7,FALSE),VLOOKUP(tables_503103!C237,input_503103!A:H,8,FALSE))</f>
        <v>78584</v>
      </c>
      <c r="P237" s="46">
        <f t="shared" ca="1" si="10"/>
        <v>6.4307692307671264E-4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input_503103!A$2</f>
        <v>503103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IFERROR(VLOOKUP(B238,input_503103!L:R,7,FALSE),VLOOKUP(tables_503103!C238,input_503103!A:H,8,FALSE))</f>
        <v>27367.42857</v>
      </c>
      <c r="P238" s="46">
        <f t="shared" ca="1" si="10"/>
        <v>2.2395604394428024E-4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input_503103!A$2</f>
        <v>503103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IFERROR(VLOOKUP(B239,input_503103!L:R,7,FALSE),VLOOKUP(tables_503103!C239,input_503103!A:H,8,FALSE))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input_503103!A$2</f>
        <v>503103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IFERROR(VLOOKUP(B240,input_503103!L:R,7,FALSE),VLOOKUP(tables_503103!C240,input_503103!A:H,8,FALSE))</f>
        <v>1095340</v>
      </c>
      <c r="P240" s="46">
        <f t="shared" ca="1" si="10"/>
        <v>8.9635024549888833E-3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input_503103!A$2</f>
        <v>503103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IFERROR(VLOOKUP(B241,input_503103!L:R,7,FALSE),VLOOKUP(tables_503103!C241,input_503103!A:H,8,FALSE))</f>
        <v>18674.46154</v>
      </c>
      <c r="P241" s="46">
        <f t="shared" ca="1" si="10"/>
        <v>1.5281883420616932E-4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input_503103!A$2</f>
        <v>503103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IFERROR(VLOOKUP(B242,input_503103!L:R,7,FALSE),VLOOKUP(tables_503103!C242,input_503103!A:H,8,FALSE))</f>
        <v>78584</v>
      </c>
      <c r="P242" s="46">
        <f t="shared" ca="1" si="10"/>
        <v>6.4307692307671264E-4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input_503103!A$2</f>
        <v>503103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IFERROR(VLOOKUP(B243,input_503103!L:R,7,FALSE),VLOOKUP(tables_503103!C243,input_503103!A:H,8,FALSE))</f>
        <v>27367.42857</v>
      </c>
      <c r="P243" s="46">
        <f t="shared" ca="1" si="10"/>
        <v>2.2395604394428024E-4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input_503103!A$2</f>
        <v>503103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IFERROR(VLOOKUP(B244,input_503103!L:R,7,FALSE),VLOOKUP(tables_503103!C244,input_503103!A:H,8,FALSE))</f>
        <v>78584</v>
      </c>
      <c r="P244" s="46">
        <f t="shared" ca="1" si="10"/>
        <v>6.4307692307671264E-4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input_503103!A$2</f>
        <v>503103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IFERROR(VLOOKUP(B245,input_503103!L:R,7,FALSE),VLOOKUP(tables_503103!C245,input_503103!A:H,8,FALSE))</f>
        <v>27367.42857</v>
      </c>
      <c r="P245" s="46">
        <f t="shared" ca="1" si="10"/>
        <v>2.2395604394428024E-4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input_503103!A$2</f>
        <v>503103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IFERROR(VLOOKUP(B246,input_503103!L:R,7,FALSE),VLOOKUP(tables_503103!C246,input_503103!A:H,8,FALSE))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input_503103!A$2</f>
        <v>503103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IFERROR(VLOOKUP(B247,input_503103!L:R,7,FALSE),VLOOKUP(tables_503103!C247,input_503103!A:H,8,FALSE))</f>
        <v>1095340</v>
      </c>
      <c r="P247" s="46">
        <f t="shared" ca="1" si="10"/>
        <v>8.9635024549888833E-3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input_503103!A$2</f>
        <v>503103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IFERROR(VLOOKUP(B248,input_503103!L:R,7,FALSE),VLOOKUP(tables_503103!C248,input_503103!A:H,8,FALSE))</f>
        <v>18674.46154</v>
      </c>
      <c r="P248" s="46">
        <f t="shared" ca="1" si="10"/>
        <v>1.5281883420616932E-4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input_503103!A$2</f>
        <v>503103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IFERROR(VLOOKUP(B249,input_503103!L:R,7,FALSE),VLOOKUP(tables_503103!C249,input_503103!A:H,8,FALSE))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input_503103!A$2</f>
        <v>503103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IFERROR(VLOOKUP(B250,input_503103!L:R,7,FALSE),VLOOKUP(tables_503103!C250,input_503103!A:H,8,FALSE))</f>
        <v>1095340</v>
      </c>
      <c r="P250" s="46">
        <f t="shared" ca="1" si="10"/>
        <v>8.9635024549888833E-3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input_503103!A$2</f>
        <v>503103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IFERROR(VLOOKUP(B251,input_503103!L:R,7,FALSE),VLOOKUP(tables_503103!C251,input_503103!A:H,8,FALSE))</f>
        <v>18674.46154</v>
      </c>
      <c r="P251" s="46">
        <f t="shared" ca="1" si="10"/>
        <v>1.5281883420616932E-4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input_503103!A$2</f>
        <v>503103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IFERROR(VLOOKUP(B252,input_503103!L:R,7,FALSE),VLOOKUP(tables_503103!C252,input_503103!A:H,8,FALSE))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input_503103!A$2</f>
        <v>503103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IFERROR(VLOOKUP(B253,input_503103!L:R,7,FALSE),VLOOKUP(tables_503103!C253,input_503103!A:H,8,FALSE))</f>
        <v>1095340</v>
      </c>
      <c r="P253" s="46">
        <f t="shared" ca="1" si="10"/>
        <v>8.9635024549888833E-3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input_503103!A$2</f>
        <v>503103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IFERROR(VLOOKUP(B254,input_503103!L:R,7,FALSE),VLOOKUP(tables_503103!C254,input_503103!A:H,8,FALSE))</f>
        <v>18674.46154</v>
      </c>
      <c r="P254" s="46">
        <f t="shared" ca="1" si="10"/>
        <v>1.5281883420616932E-4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input_503103!A$2</f>
        <v>503103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IFERROR(VLOOKUP(B255,input_503103!L:R,7,FALSE),VLOOKUP(tables_503103!C255,input_503103!A:H,8,FALSE))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input_503103!A$2</f>
        <v>503103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IFERROR(VLOOKUP(B256,input_503103!L:R,7,FALSE),VLOOKUP(tables_503103!C256,input_503103!A:H,8,FALSE))</f>
        <v>1095340</v>
      </c>
      <c r="P256" s="46">
        <f t="shared" ca="1" si="10"/>
        <v>8.9635024549888833E-3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input_503103!A$2</f>
        <v>503103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IFERROR(VLOOKUP(B257,input_503103!L:R,7,FALSE),VLOOKUP(tables_503103!C257,input_503103!A:H,8,FALSE))</f>
        <v>18674.46154</v>
      </c>
      <c r="P257" s="46">
        <f t="shared" ca="1" si="10"/>
        <v>1.5281883420616932E-4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input_503103!A$2</f>
        <v>503103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IFERROR(VLOOKUP(B258,input_503103!L:R,7,FALSE),VLOOKUP(tables_503103!C258,input_503103!A:H,8,FALSE))</f>
        <v>78584</v>
      </c>
      <c r="P258" s="46">
        <f t="shared" ref="P258:P294" ca="1" si="13">O258/SUM(O:O)</f>
        <v>6.4307692307671264E-4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input_503103!A$2</f>
        <v>503103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IFERROR(VLOOKUP(B259,input_503103!L:R,7,FALSE),VLOOKUP(tables_503103!C259,input_503103!A:H,8,FALSE))</f>
        <v>27367.42857</v>
      </c>
      <c r="P259" s="46">
        <f t="shared" ca="1" si="13"/>
        <v>2.2395604394428024E-4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input_503103!A$2</f>
        <v>503103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IFERROR(VLOOKUP(B260,input_503103!L:R,7,FALSE),VLOOKUP(tables_503103!C260,input_503103!A:H,8,FALSE))</f>
        <v>78584</v>
      </c>
      <c r="P260" s="46">
        <f t="shared" ca="1" si="13"/>
        <v>6.4307692307671264E-4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input_503103!A$2</f>
        <v>503103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IFERROR(VLOOKUP(B261,input_503103!L:R,7,FALSE),VLOOKUP(tables_503103!C261,input_503103!A:H,8,FALSE))</f>
        <v>27367.42857</v>
      </c>
      <c r="P261" s="46">
        <f t="shared" ca="1" si="13"/>
        <v>2.2395604394428024E-4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input_503103!A$2</f>
        <v>503103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IFERROR(VLOOKUP(B262,input_503103!L:R,7,FALSE),VLOOKUP(tables_503103!C262,input_503103!A:H,8,FALSE))</f>
        <v>1213275.55556</v>
      </c>
      <c r="P262" s="46">
        <f t="shared" ca="1" si="13"/>
        <v>9.9286052009787493E-3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input_503103!A$2</f>
        <v>503103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IFERROR(VLOOKUP(B263,input_503103!L:R,7,FALSE),VLOOKUP(tables_503103!C263,input_503103!A:H,8,FALSE))</f>
        <v>10443.333329999999</v>
      </c>
      <c r="P263" s="46">
        <f t="shared" ca="1" si="13"/>
        <v>8.5460992880495768E-5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input_503103!A$2</f>
        <v>503103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IFERROR(VLOOKUP(B264,input_503103!L:R,7,FALSE),VLOOKUP(tables_503103!C264,input_503103!A:H,8,FALSE))</f>
        <v>1213275.55556</v>
      </c>
      <c r="P264" s="46">
        <f t="shared" ca="1" si="13"/>
        <v>9.9286052009787493E-3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input_503103!A$2</f>
        <v>503103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IFERROR(VLOOKUP(B265,input_503103!L:R,7,FALSE),VLOOKUP(tables_503103!C265,input_503103!A:H,8,FALSE))</f>
        <v>10443.333329999999</v>
      </c>
      <c r="P265" s="46">
        <f t="shared" ca="1" si="13"/>
        <v>8.5460992880495768E-5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input_503103!A$2</f>
        <v>503103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IFERROR(VLOOKUP(B266,input_503103!L:R,7,FALSE),VLOOKUP(tables_503103!C266,input_503103!A:H,8,FALSE))</f>
        <v>82720</v>
      </c>
      <c r="P266" s="46">
        <f t="shared" ca="1" si="13"/>
        <v>6.7692307692285541E-4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input_503103!A$2</f>
        <v>503103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IFERROR(VLOOKUP(B267,input_503103!L:R,7,FALSE),VLOOKUP(tables_503103!C267,input_503103!A:H,8,FALSE))</f>
        <v>82720</v>
      </c>
      <c r="P267" s="46">
        <f t="shared" ca="1" si="13"/>
        <v>6.7692307692285541E-4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input_503103!A$2</f>
        <v>503103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IFERROR(VLOOKUP(B268,input_503103!L:R,7,FALSE),VLOOKUP(tables_503103!C268,input_503103!A:H,8,FALSE))</f>
        <v>82720</v>
      </c>
      <c r="P268" s="46">
        <f t="shared" ca="1" si="13"/>
        <v>6.7692307692285541E-4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input_503103!A$2</f>
        <v>503103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IFERROR(VLOOKUP(B269,input_503103!L:R,7,FALSE),VLOOKUP(tables_503103!C269,input_503103!A:H,8,FALSE))</f>
        <v>82720</v>
      </c>
      <c r="P269" s="46">
        <f t="shared" ca="1" si="13"/>
        <v>6.7692307692285541E-4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input_503103!A$2</f>
        <v>503103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IFERROR(VLOOKUP(B270,input_503103!L:R,7,FALSE),VLOOKUP(tables_503103!C270,input_503103!A:H,8,FALSE))</f>
        <v>1213275.55556</v>
      </c>
      <c r="P270" s="46">
        <f t="shared" ca="1" si="13"/>
        <v>9.9286052009787493E-3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input_503103!A$2</f>
        <v>503103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IFERROR(VLOOKUP(B271,input_503103!L:R,7,FALSE),VLOOKUP(tables_503103!C271,input_503103!A:H,8,FALSE))</f>
        <v>10443.333329999999</v>
      </c>
      <c r="P271" s="46">
        <f t="shared" ca="1" si="13"/>
        <v>8.5460992880495768E-5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input_503103!A$2</f>
        <v>503103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IFERROR(VLOOKUP(B272,input_503103!L:R,7,FALSE),VLOOKUP(tables_503103!C272,input_503103!A:H,8,FALSE))</f>
        <v>1213275.55556</v>
      </c>
      <c r="P272" s="46">
        <f t="shared" ca="1" si="13"/>
        <v>9.9286052009787493E-3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input_503103!A$2</f>
        <v>503103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IFERROR(VLOOKUP(B273,input_503103!L:R,7,FALSE),VLOOKUP(tables_503103!C273,input_503103!A:H,8,FALSE))</f>
        <v>10443.333329999999</v>
      </c>
      <c r="P273" s="46">
        <f t="shared" ca="1" si="13"/>
        <v>8.5460992880495768E-5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input_503103!A$2</f>
        <v>503103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IFERROR(VLOOKUP(B274,input_503103!L:R,7,FALSE),VLOOKUP(tables_503103!C274,input_503103!A:H,8,FALSE))</f>
        <v>78584</v>
      </c>
      <c r="P274" s="46">
        <f t="shared" ca="1" si="13"/>
        <v>6.4307692307671264E-4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input_503103!A$2</f>
        <v>503103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IFERROR(VLOOKUP(B275,input_503103!L:R,7,FALSE),VLOOKUP(tables_503103!C275,input_503103!A:H,8,FALSE))</f>
        <v>27367.42857</v>
      </c>
      <c r="P275" s="46">
        <f t="shared" ca="1" si="13"/>
        <v>2.2395604394428024E-4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input_503103!A$2</f>
        <v>503103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IFERROR(VLOOKUP(B276,input_503103!L:R,7,FALSE),VLOOKUP(tables_503103!C276,input_503103!A:H,8,FALSE))</f>
        <v>78584</v>
      </c>
      <c r="P276" s="46">
        <f t="shared" ca="1" si="13"/>
        <v>6.4307692307671264E-4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input_503103!A$2</f>
        <v>503103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IFERROR(VLOOKUP(B277,input_503103!L:R,7,FALSE),VLOOKUP(tables_503103!C277,input_503103!A:H,8,FALSE))</f>
        <v>27367.42857</v>
      </c>
      <c r="P277" s="46">
        <f t="shared" ca="1" si="13"/>
        <v>2.2395604394428024E-4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input_503103!A$2</f>
        <v>503103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IFERROR(VLOOKUP(B278,input_503103!L:R,7,FALSE),VLOOKUP(tables_503103!C278,input_503103!A:H,8,FALSE))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input_503103!A$2</f>
        <v>503103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IFERROR(VLOOKUP(B279,input_503103!L:R,7,FALSE),VLOOKUP(tables_503103!C279,input_503103!A:H,8,FALSE))</f>
        <v>1095340</v>
      </c>
      <c r="P279" s="46">
        <f t="shared" ca="1" si="13"/>
        <v>8.9635024549888833E-3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input_503103!A$2</f>
        <v>503103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IFERROR(VLOOKUP(B280,input_503103!L:R,7,FALSE),VLOOKUP(tables_503103!C280,input_503103!A:H,8,FALSE))</f>
        <v>18674.46154</v>
      </c>
      <c r="P280" s="46">
        <f t="shared" ca="1" si="13"/>
        <v>1.5281883420616932E-4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input_503103!A$2</f>
        <v>503103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IFERROR(VLOOKUP(B281,input_503103!L:R,7,FALSE),VLOOKUP(tables_503103!C281,input_503103!A:H,8,FALSE))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input_503103!A$2</f>
        <v>503103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IFERROR(VLOOKUP(B282,input_503103!L:R,7,FALSE),VLOOKUP(tables_503103!C282,input_503103!A:H,8,FALSE))</f>
        <v>1095340</v>
      </c>
      <c r="P282" s="46">
        <f t="shared" ca="1" si="13"/>
        <v>8.9635024549888833E-3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input_503103!A$2</f>
        <v>503103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IFERROR(VLOOKUP(B283,input_503103!L:R,7,FALSE),VLOOKUP(tables_503103!C283,input_503103!A:H,8,FALSE))</f>
        <v>18674.46154</v>
      </c>
      <c r="P283" s="46">
        <f t="shared" ca="1" si="13"/>
        <v>1.5281883420616932E-4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input_503103!A$2</f>
        <v>503103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IFERROR(VLOOKUP(B284,input_503103!L:R,7,FALSE),VLOOKUP(tables_503103!C284,input_503103!A:H,8,FALSE))</f>
        <v>82720</v>
      </c>
      <c r="P284" s="46">
        <f t="shared" ca="1" si="13"/>
        <v>6.7692307692285541E-4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input_503103!A$2</f>
        <v>503103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IFERROR(VLOOKUP(B285,input_503103!L:R,7,FALSE),VLOOKUP(tables_503103!C285,input_503103!A:H,8,FALSE))</f>
        <v>82720</v>
      </c>
      <c r="P285" s="46">
        <f t="shared" ca="1" si="13"/>
        <v>6.7692307692285541E-4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input_503103!A$2</f>
        <v>503103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IFERROR(VLOOKUP(B286,input_503103!L:R,7,FALSE),VLOOKUP(tables_503103!C286,input_503103!A:H,8,FALSE))</f>
        <v>1213275.55556</v>
      </c>
      <c r="P286" s="46">
        <f t="shared" ca="1" si="13"/>
        <v>9.9286052009787493E-3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input_503103!A$2</f>
        <v>503103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IFERROR(VLOOKUP(B287,input_503103!L:R,7,FALSE),VLOOKUP(tables_503103!C287,input_503103!A:H,8,FALSE))</f>
        <v>10443.333329999999</v>
      </c>
      <c r="P287" s="46">
        <f t="shared" ca="1" si="13"/>
        <v>8.5460992880495768E-5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input_503103!A$2</f>
        <v>503103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IFERROR(VLOOKUP(B288,input_503103!L:R,7,FALSE),VLOOKUP(tables_503103!C288,input_503103!A:H,8,FALSE))</f>
        <v>1213275.55556</v>
      </c>
      <c r="P288" s="46">
        <f t="shared" ca="1" si="13"/>
        <v>9.9286052009787493E-3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input_503103!A$2</f>
        <v>503103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IFERROR(VLOOKUP(B289,input_503103!L:R,7,FALSE),VLOOKUP(tables_503103!C289,input_503103!A:H,8,FALSE))</f>
        <v>10443.333329999999</v>
      </c>
      <c r="P289" s="46">
        <f t="shared" ca="1" si="13"/>
        <v>8.5460992880495768E-5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input_503103!A$2</f>
        <v>503103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IFERROR(VLOOKUP(B290,input_503103!L:R,7,FALSE),VLOOKUP(tables_503103!C290,input_503103!A:H,8,FALSE))</f>
        <v>1213275.55556</v>
      </c>
      <c r="P290" s="46">
        <f t="shared" ca="1" si="13"/>
        <v>9.9286052009787493E-3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input_503103!A$2</f>
        <v>503103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IFERROR(VLOOKUP(B291,input_503103!L:R,7,FALSE),VLOOKUP(tables_503103!C291,input_503103!A:H,8,FALSE))</f>
        <v>10443.333329999999</v>
      </c>
      <c r="P291" s="46">
        <f t="shared" ca="1" si="13"/>
        <v>8.5460992880495768E-5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input_503103!A$2</f>
        <v>503103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IFERROR(VLOOKUP(B292,input_503103!L:R,7,FALSE),VLOOKUP(tables_503103!C292,input_503103!A:H,8,FALSE))</f>
        <v>1213275.55556</v>
      </c>
      <c r="P292" s="46">
        <f t="shared" ca="1" si="13"/>
        <v>9.9286052009787493E-3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input_503103!A$2</f>
        <v>503103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IFERROR(VLOOKUP(B293,input_503103!L:R,7,FALSE),VLOOKUP(tables_503103!C293,input_503103!A:H,8,FALSE))</f>
        <v>10443.333329999999</v>
      </c>
      <c r="P293" s="46">
        <f t="shared" ca="1" si="13"/>
        <v>8.5460992880495768E-5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input_503103!A$2</f>
        <v>503103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IFERROR(VLOOKUP(B294,input_503103!L:R,7,FALSE),VLOOKUP(tables_503103!C294,input_503103!A:H,8,FALSE))</f>
        <v>82720</v>
      </c>
      <c r="P294" s="46">
        <f t="shared" ca="1" si="13"/>
        <v>6.7692307692285541E-4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input_503103!A$2</f>
        <v>503103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IFERROR(VLOOKUP(B295,input_503103!L:R,7,FALSE),VLOOKUP(tables_503103!C295,input_503103!A:H,8,FALSE))</f>
        <v>82720</v>
      </c>
      <c r="P295" s="46">
        <f t="shared" ref="P295:P299" ca="1" si="20">O295/SUM(O:O)</f>
        <v>6.7692307692285541E-4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input_503103!A$2</f>
        <v>503103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IFERROR(VLOOKUP(B296,input_503103!L:R,7,FALSE),VLOOKUP(tables_503103!C296,input_503103!A:H,8,FALSE))</f>
        <v>82720</v>
      </c>
      <c r="P296" s="46">
        <f t="shared" ca="1" si="20"/>
        <v>6.7692307692285541E-4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input_503103!A$2</f>
        <v>503103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IFERROR(VLOOKUP(B297,input_503103!L:R,7,FALSE),VLOOKUP(tables_503103!C297,input_503103!A:H,8,FALSE))</f>
        <v>1213275.55556</v>
      </c>
      <c r="P297" s="46">
        <f t="shared" ca="1" si="20"/>
        <v>9.9286052009787493E-3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input_503103!A$2</f>
        <v>503103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IFERROR(VLOOKUP(B298,input_503103!L:R,7,FALSE),VLOOKUP(tables_503103!C298,input_503103!A:H,8,FALSE))</f>
        <v>10443.333329999999</v>
      </c>
      <c r="P298" s="46">
        <f t="shared" ca="1" si="20"/>
        <v>8.5460992880495768E-5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input_503103!A$2</f>
        <v>503103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IFERROR(VLOOKUP(B299,input_503103!L:R,7,FALSE),VLOOKUP(tables_503103!C299,input_503103!A:H,8,FALSE))</f>
        <v>82720</v>
      </c>
      <c r="P299" s="46">
        <f t="shared" ca="1" si="20"/>
        <v>6.7692307692285541E-4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input_503103!A$2</f>
        <v>503103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IFERROR(VLOOKUP(B300,input_503103!L:R,7,FALSE),VLOOKUP(tables_503103!C300,input_503103!A:H,8,FALSE))</f>
        <v>82720</v>
      </c>
      <c r="P300" s="46">
        <f t="shared" ref="P300:P304" ca="1" si="22">O300/SUM(O:O)</f>
        <v>6.7692307692285541E-4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input_503103!A$2</f>
        <v>503103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IFERROR(VLOOKUP(B301,input_503103!L:R,7,FALSE),VLOOKUP(tables_503103!C301,input_503103!A:H,8,FALSE))</f>
        <v>82720</v>
      </c>
      <c r="P301" s="46">
        <f t="shared" ca="1" si="22"/>
        <v>6.7692307692285541E-4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input_503103!A$2</f>
        <v>503103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IFERROR(VLOOKUP(B302,input_503103!L:R,7,FALSE),VLOOKUP(tables_503103!C302,input_503103!A:H,8,FALSE))</f>
        <v>82720</v>
      </c>
      <c r="P302" s="46">
        <f t="shared" ca="1" si="22"/>
        <v>6.7692307692285541E-4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input_503103!A$2</f>
        <v>503103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IFERROR(VLOOKUP(B303,input_503103!L:R,7,FALSE),VLOOKUP(tables_503103!C303,input_503103!A:H,8,FALSE))</f>
        <v>1213275.55556</v>
      </c>
      <c r="P303" s="46">
        <f t="shared" ca="1" si="22"/>
        <v>9.9286052009787493E-3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input_503103!A$2</f>
        <v>503103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IFERROR(VLOOKUP(B304,input_503103!L:R,7,FALSE),VLOOKUP(tables_503103!C304,input_503103!A:H,8,FALSE))</f>
        <v>10443.333329999999</v>
      </c>
      <c r="P304" s="46">
        <f t="shared" ca="1" si="22"/>
        <v>8.5460992880495768E-5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input_503103!A$2</f>
        <v>503103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IFERROR(VLOOKUP(B305,input_503103!L:R,7,FALSE),VLOOKUP(tables_503103!C305,input_503103!A:H,8,FALSE))</f>
        <v>82720</v>
      </c>
      <c r="P305" s="46">
        <f t="shared" ref="P305:P308" ca="1" si="24">O305/SUM(O:O)</f>
        <v>6.7692307692285541E-4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input_503103!A$2</f>
        <v>503103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IFERROR(VLOOKUP(B306,input_503103!L:R,7,FALSE),VLOOKUP(tables_503103!C306,input_503103!A:H,8,FALSE))</f>
        <v>1213275.55556</v>
      </c>
      <c r="P306" s="46">
        <f t="shared" ca="1" si="24"/>
        <v>9.9286052009787493E-3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input_503103!A$2</f>
        <v>503103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IFERROR(VLOOKUP(B307,input_503103!L:R,7,FALSE),VLOOKUP(tables_503103!C307,input_503103!A:H,8,FALSE))</f>
        <v>10443.333329999999</v>
      </c>
      <c r="P307" s="46">
        <f t="shared" ca="1" si="24"/>
        <v>8.5460992880495768E-5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input_503103!A$2</f>
        <v>503103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IFERROR(VLOOKUP(B308,input_503103!L:R,7,FALSE),VLOOKUP(tables_503103!C308,input_503103!A:H,8,FALSE))</f>
        <v>82720</v>
      </c>
      <c r="P308" s="46">
        <f t="shared" ca="1" si="24"/>
        <v>6.7692307692285541E-4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input_503103!A$2</f>
        <v>503103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IFERROR(VLOOKUP(B309,input_503103!L:R,7,FALSE),VLOOKUP(tables_503103!C309,input_503103!A:H,8,FALSE))</f>
        <v>82720</v>
      </c>
      <c r="P309" s="46">
        <f t="shared" ref="P309" ca="1" si="26">O309/SUM(O:O)</f>
        <v>6.7692307692285541E-4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input_503103!A$2</f>
        <v>503103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IFERROR(VLOOKUP(B310,input_503103!L:R,7,FALSE),VLOOKUP(tables_503103!C310,input_503103!A:H,8,FALSE))</f>
        <v>82720</v>
      </c>
      <c r="P310" s="46">
        <f t="shared" ref="P310:P314" ca="1" si="28">O310/SUM(O:O)</f>
        <v>6.7692307692285541E-4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input_503103!A$2</f>
        <v>503103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IFERROR(VLOOKUP(B311,input_503103!L:R,7,FALSE),VLOOKUP(tables_503103!C311,input_503103!A:H,8,FALSE))</f>
        <v>1213275.55556</v>
      </c>
      <c r="P311" s="46">
        <f t="shared" ca="1" si="28"/>
        <v>9.9286052009787493E-3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input_503103!A$2</f>
        <v>503103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IFERROR(VLOOKUP(B312,input_503103!L:R,7,FALSE),VLOOKUP(tables_503103!C312,input_503103!A:H,8,FALSE))</f>
        <v>10443.333329999999</v>
      </c>
      <c r="P312" s="46">
        <f t="shared" ca="1" si="28"/>
        <v>8.5460992880495768E-5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input_503103!A$2</f>
        <v>503103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IFERROR(VLOOKUP(B313,input_503103!L:R,7,FALSE),VLOOKUP(tables_503103!C313,input_503103!A:H,8,FALSE))</f>
        <v>82720</v>
      </c>
      <c r="P313" s="46">
        <f t="shared" ca="1" si="28"/>
        <v>6.7692307692285541E-4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input_503103!A$2</f>
        <v>503103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IFERROR(VLOOKUP(B314,input_503103!L:R,7,FALSE),VLOOKUP(tables_503103!C314,input_503103!A:H,8,FALSE))</f>
        <v>82720</v>
      </c>
      <c r="P314" s="46">
        <f t="shared" ca="1" si="28"/>
        <v>6.7692307692285541E-4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input_503103!A$2</f>
        <v>503103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IFERROR(VLOOKUP(B315,input_503103!L:R,7,FALSE),VLOOKUP(tables_503103!C315,input_503103!A:H,8,FALSE))</f>
        <v>82720</v>
      </c>
      <c r="P315" s="46">
        <f t="shared" ref="P315:P319" ca="1" si="30">O315/SUM(O:O)</f>
        <v>6.7692307692285541E-4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input_503103!A$2</f>
        <v>503103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IFERROR(VLOOKUP(B316,input_503103!L:R,7,FALSE),VLOOKUP(tables_503103!C316,input_503103!A:H,8,FALSE))</f>
        <v>82720</v>
      </c>
      <c r="P316" s="46">
        <f t="shared" ca="1" si="30"/>
        <v>6.7692307692285541E-4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input_503103!A$2</f>
        <v>503103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IFERROR(VLOOKUP(B317,input_503103!L:R,7,FALSE),VLOOKUP(tables_503103!C317,input_503103!A:H,8,FALSE))</f>
        <v>82720</v>
      </c>
      <c r="P317" s="46">
        <f t="shared" ca="1" si="30"/>
        <v>6.7692307692285541E-4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input_503103!A$2</f>
        <v>503103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IFERROR(VLOOKUP(B318,input_503103!L:R,7,FALSE),VLOOKUP(tables_503103!C318,input_503103!A:H,8,FALSE))</f>
        <v>1213275.55556</v>
      </c>
      <c r="P318" s="46">
        <f t="shared" ca="1" si="30"/>
        <v>9.9286052009787493E-3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input_503103!A$2</f>
        <v>503103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IFERROR(VLOOKUP(B319,input_503103!L:R,7,FALSE),VLOOKUP(tables_503103!C319,input_503103!A:H,8,FALSE))</f>
        <v>10443.333329999999</v>
      </c>
      <c r="P319" s="46">
        <f t="shared" ca="1" si="30"/>
        <v>8.5460992880495768E-5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input_503103!A$2</f>
        <v>503103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IFERROR(VLOOKUP(B320,input_503103!L:R,7,FALSE),VLOOKUP(tables_503103!C320,input_503103!A:H,8,FALSE))</f>
        <v>82720</v>
      </c>
      <c r="P320" s="46">
        <f t="shared" ref="P320:P324" ca="1" si="32">O320/SUM(O:O)</f>
        <v>6.7692307692285541E-4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input_503103!A$2</f>
        <v>503103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IFERROR(VLOOKUP(B321,input_503103!L:R,7,FALSE),VLOOKUP(tables_503103!C321,input_503103!A:H,8,FALSE))</f>
        <v>82720</v>
      </c>
      <c r="P321" s="46">
        <f t="shared" ca="1" si="32"/>
        <v>6.7692307692285541E-4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input_503103!A$2</f>
        <v>503103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IFERROR(VLOOKUP(B322,input_503103!L:R,7,FALSE),VLOOKUP(tables_503103!C322,input_503103!A:H,8,FALSE))</f>
        <v>82720</v>
      </c>
      <c r="P322" s="46">
        <f t="shared" ca="1" si="32"/>
        <v>6.7692307692285541E-4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input_503103!A$2</f>
        <v>503103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IFERROR(VLOOKUP(B323,input_503103!L:R,7,FALSE),VLOOKUP(tables_503103!C323,input_503103!A:H,8,FALSE))</f>
        <v>82720</v>
      </c>
      <c r="P323" s="46">
        <f t="shared" ca="1" si="32"/>
        <v>6.7692307692285541E-4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input_503103!A$2</f>
        <v>503103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IFERROR(VLOOKUP(B324,input_503103!L:R,7,FALSE),VLOOKUP(tables_503103!C324,input_503103!A:H,8,FALSE))</f>
        <v>1213275.55556</v>
      </c>
      <c r="P324" s="46">
        <f t="shared" ca="1" si="32"/>
        <v>9.9286052009787493E-3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input_503103!A$2</f>
        <v>503103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IFERROR(VLOOKUP(B325,input_503103!L:R,7,FALSE),VLOOKUP(tables_503103!C325,input_503103!A:H,8,FALSE))</f>
        <v>10443.333329999999</v>
      </c>
      <c r="P325" s="46">
        <f t="shared" ref="P325:P330" ca="1" si="35">O325/SUM(O:O)</f>
        <v>8.5460992880495768E-5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input_503103!A$2</f>
        <v>503103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IFERROR(VLOOKUP(B326,input_503103!L:R,7,FALSE),VLOOKUP(tables_503103!C326,input_503103!A:H,8,FALSE))</f>
        <v>1213275.55556</v>
      </c>
      <c r="P326" s="46">
        <f t="shared" ca="1" si="35"/>
        <v>9.9286052009787493E-3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input_503103!A$2</f>
        <v>503103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IFERROR(VLOOKUP(B327,input_503103!L:R,7,FALSE),VLOOKUP(tables_503103!C327,input_503103!A:H,8,FALSE))</f>
        <v>10443.333329999999</v>
      </c>
      <c r="P327" s="46">
        <f t="shared" ca="1" si="35"/>
        <v>8.5460992880495768E-5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input_503103!A$2</f>
        <v>503103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IFERROR(VLOOKUP(B328,input_503103!L:R,7,FALSE),VLOOKUP(tables_503103!C328,input_503103!A:H,8,FALSE))</f>
        <v>82720</v>
      </c>
      <c r="P328" s="46">
        <f t="shared" ca="1" si="35"/>
        <v>6.7692307692285541E-4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input_503103!A$2</f>
        <v>503103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IFERROR(VLOOKUP(B329,input_503103!L:R,7,FALSE),VLOOKUP(tables_503103!C329,input_503103!A:H,8,FALSE))</f>
        <v>82720</v>
      </c>
      <c r="P329" s="46">
        <f t="shared" ca="1" si="35"/>
        <v>6.7692307692285541E-4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input_503103!A$2</f>
        <v>503103</v>
      </c>
      <c r="B330" s="2">
        <v>1157</v>
      </c>
      <c r="C330" s="7" t="str">
        <f t="shared" si="34"/>
        <v>PremiumSS5R5only</v>
      </c>
      <c r="D330" s="93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IFERROR(VLOOKUP(B330,input_503103!L:R,7,FALSE),VLOOKUP(tables_503103!C330,input_503103!A:H,8,FALSE))</f>
        <v>82720</v>
      </c>
      <c r="P330" s="46">
        <f t="shared" ca="1" si="35"/>
        <v>6.7692307692285541E-4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input_503103!A$2</f>
        <v>503103</v>
      </c>
      <c r="B331" s="60">
        <v>1214</v>
      </c>
      <c r="C331" s="7" t="str">
        <f t="shared" ref="C331:C335" si="36">D331&amp;J331&amp;E331&amp;F331&amp;G331</f>
        <v>PremiumSS5R5only</v>
      </c>
      <c r="D331" s="93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IFERROR(VLOOKUP(B331,input_503103!L:R,7,FALSE),VLOOKUP(tables_503103!C331,input_503103!A:H,8,FALSE))</f>
        <v>82720</v>
      </c>
      <c r="P331" s="46">
        <f t="shared" ref="P331:P335" ca="1" si="38">O331/SUM(O:O)</f>
        <v>6.7692307692285541E-4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input_503103!A$2</f>
        <v>503103</v>
      </c>
      <c r="B332" s="60">
        <v>1212</v>
      </c>
      <c r="C332" s="7" t="str">
        <f t="shared" si="36"/>
        <v>PremiumSS5R5only</v>
      </c>
      <c r="D332" s="93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IFERROR(VLOOKUP(B332,input_503103!L:R,7,FALSE),VLOOKUP(tables_503103!C332,input_503103!A:H,8,FALSE))</f>
        <v>82720</v>
      </c>
      <c r="P332" s="46">
        <f t="shared" ca="1" si="38"/>
        <v>6.7692307692285541E-4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input_503103!A$2</f>
        <v>503103</v>
      </c>
      <c r="B333" s="60">
        <v>1208</v>
      </c>
      <c r="C333" s="7" t="str">
        <f t="shared" si="36"/>
        <v>PremiumSS5R5only</v>
      </c>
      <c r="D333" s="93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IFERROR(VLOOKUP(B333,input_503103!L:R,7,FALSE),VLOOKUP(tables_503103!C333,input_503103!A:H,8,FALSE))</f>
        <v>82720</v>
      </c>
      <c r="P333" s="46">
        <f t="shared" ca="1" si="38"/>
        <v>6.7692307692285541E-4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input_503103!A$2</f>
        <v>503103</v>
      </c>
      <c r="B334" s="89">
        <v>1210</v>
      </c>
      <c r="C334" s="7" t="str">
        <f t="shared" si="36"/>
        <v>Premium4R3less</v>
      </c>
      <c r="D334" s="93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IFERROR(VLOOKUP(B334,input_503103!L:R,7,FALSE),VLOOKUP(tables_503103!C334,input_503103!A:H,8,FALSE))</f>
        <v>1213275.55556</v>
      </c>
      <c r="P334" s="46">
        <f t="shared" ca="1" si="38"/>
        <v>9.9286052009787493E-3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input_503103!A$2</f>
        <v>503103</v>
      </c>
      <c r="B335" s="60">
        <v>1211</v>
      </c>
      <c r="C335" s="7" t="str">
        <f t="shared" si="36"/>
        <v>Premium5R3less</v>
      </c>
      <c r="D335" s="93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IFERROR(VLOOKUP(B335,input_503103!L:R,7,FALSE),VLOOKUP(tables_503103!C335,input_503103!A:H,8,FALSE))</f>
        <v>10443.333329999999</v>
      </c>
      <c r="P335" s="46">
        <f t="shared" ca="1" si="38"/>
        <v>8.5460992880495768E-5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input_503103!A$2</f>
        <v>503103</v>
      </c>
      <c r="B336" s="60">
        <v>1228</v>
      </c>
      <c r="C336" s="7" t="str">
        <f t="shared" ref="C336:C340" si="39">D336&amp;J336&amp;E336&amp;F336&amp;G336</f>
        <v>PremiumSS5R5only</v>
      </c>
      <c r="D336" s="93" t="str">
        <f t="shared" ref="D336:D340" si="4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IFERROR(VLOOKUP(B336,input_503103!L:R,7,FALSE),VLOOKUP(tables_503103!C336,input_503103!A:H,8,FALSE))</f>
        <v>82720</v>
      </c>
      <c r="P336" s="46">
        <f t="shared" ref="P336:P340" ca="1" si="41">O336/SUM(O:O)</f>
        <v>6.7692307692285541E-4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input_503103!A$2</f>
        <v>503103</v>
      </c>
      <c r="B337" s="60">
        <v>1226</v>
      </c>
      <c r="C337" s="7" t="str">
        <f t="shared" si="39"/>
        <v>PremiumSS5R5only</v>
      </c>
      <c r="D337" s="93" t="str">
        <f t="shared" si="4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IFERROR(VLOOKUP(B337,input_503103!L:R,7,FALSE),VLOOKUP(tables_503103!C337,input_503103!A:H,8,FALSE))</f>
        <v>82720</v>
      </c>
      <c r="P337" s="46">
        <f t="shared" ca="1" si="41"/>
        <v>6.7692307692285541E-4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input_503103!A$2</f>
        <v>503103</v>
      </c>
      <c r="B338" s="60">
        <v>1230</v>
      </c>
      <c r="C338" s="7" t="str">
        <f t="shared" si="39"/>
        <v>PremiumSS5R5only</v>
      </c>
      <c r="D338" s="93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IFERROR(VLOOKUP(B338,input_503103!L:R,7,FALSE),VLOOKUP(tables_503103!C338,input_503103!A:H,8,FALSE))</f>
        <v>82720</v>
      </c>
      <c r="P338" s="46">
        <f t="shared" ca="1" si="41"/>
        <v>6.7692307692285541E-4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input_503103!A$2</f>
        <v>503103</v>
      </c>
      <c r="B339" s="89">
        <v>1224</v>
      </c>
      <c r="C339" s="7" t="str">
        <f t="shared" si="39"/>
        <v>Premium4R3less</v>
      </c>
      <c r="D339" s="93" t="str">
        <f t="shared" si="4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IFERROR(VLOOKUP(B339,input_503103!L:R,7,FALSE),VLOOKUP(tables_503103!C339,input_503103!A:H,8,FALSE))</f>
        <v>1213275.55556</v>
      </c>
      <c r="P339" s="46">
        <f t="shared" ca="1" si="41"/>
        <v>9.9286052009787493E-3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input_503103!A$2</f>
        <v>503103</v>
      </c>
      <c r="B340" s="60">
        <v>1225</v>
      </c>
      <c r="C340" s="7" t="str">
        <f t="shared" si="39"/>
        <v>Premium5R3less</v>
      </c>
      <c r="D340" s="93" t="str">
        <f t="shared" si="4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IFERROR(VLOOKUP(B340,input_503103!L:R,7,FALSE),VLOOKUP(tables_503103!C340,input_503103!A:H,8,FALSE))</f>
        <v>10443.333329999999</v>
      </c>
      <c r="P340" s="46">
        <f t="shared" ca="1" si="41"/>
        <v>8.5460992880495768E-5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input_503103!A$2</f>
        <v>503103</v>
      </c>
      <c r="B341" s="1">
        <v>1250</v>
      </c>
      <c r="C341" s="7" t="str">
        <f t="shared" ref="C341:C345" si="42">D341&amp;J341&amp;E341&amp;F341&amp;G341</f>
        <v>PremiumSS5R5only</v>
      </c>
      <c r="D341" s="93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IFERROR(VLOOKUP(B341,input_503103!L:R,7,FALSE),VLOOKUP(tables_503103!C341,input_503103!A:H,8,FALSE))</f>
        <v>82720</v>
      </c>
      <c r="P341" s="46">
        <f t="shared" ref="P341:P345" ca="1" si="44">O341/SUM(O:O)</f>
        <v>6.7692307692285541E-4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input_503103!A$2</f>
        <v>503103</v>
      </c>
      <c r="B342" s="1">
        <v>1244</v>
      </c>
      <c r="C342" s="7" t="str">
        <f t="shared" si="42"/>
        <v>PremiumSS5R5only</v>
      </c>
      <c r="D342" s="93" t="str">
        <f t="shared" si="4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IFERROR(VLOOKUP(B342,input_503103!L:R,7,FALSE),VLOOKUP(tables_503103!C342,input_503103!A:H,8,FALSE))</f>
        <v>82720</v>
      </c>
      <c r="P342" s="46">
        <f t="shared" ca="1" si="44"/>
        <v>6.7692307692285541E-4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input_503103!A$2</f>
        <v>503103</v>
      </c>
      <c r="B343" s="1">
        <v>1246</v>
      </c>
      <c r="C343" s="7" t="str">
        <f t="shared" si="42"/>
        <v>PremiumSS5R5only</v>
      </c>
      <c r="D343" s="93" t="str">
        <f t="shared" si="4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IFERROR(VLOOKUP(B343,input_503103!L:R,7,FALSE),VLOOKUP(tables_503103!C343,input_503103!A:H,8,FALSE))</f>
        <v>82720</v>
      </c>
      <c r="P343" s="46">
        <f t="shared" ca="1" si="44"/>
        <v>6.7692307692285541E-4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input_503103!A$2</f>
        <v>503103</v>
      </c>
      <c r="B344" s="1">
        <v>1248</v>
      </c>
      <c r="C344" s="7" t="str">
        <f t="shared" si="42"/>
        <v>Premium4R3less</v>
      </c>
      <c r="D344" s="93" t="str">
        <f t="shared" si="4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IFERROR(VLOOKUP(B344,input_503103!L:R,7,FALSE),VLOOKUP(tables_503103!C344,input_503103!A:H,8,FALSE))</f>
        <v>1213275.55556</v>
      </c>
      <c r="P344" s="46">
        <f t="shared" ca="1" si="44"/>
        <v>9.9286052009787493E-3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input_503103!A$2</f>
        <v>503103</v>
      </c>
      <c r="B345" s="1">
        <v>1249</v>
      </c>
      <c r="C345" s="7" t="str">
        <f t="shared" si="42"/>
        <v>Premium5R3less</v>
      </c>
      <c r="D345" s="93" t="str">
        <f t="shared" si="4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IFERROR(VLOOKUP(B345,input_503103!L:R,7,FALSE),VLOOKUP(tables_503103!C345,input_503103!A:H,8,FALSE))</f>
        <v>10443.333329999999</v>
      </c>
      <c r="P345" s="46">
        <f t="shared" ca="1" si="44"/>
        <v>8.5460992880495768E-5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input_503103!A$2</f>
        <v>503103</v>
      </c>
      <c r="B346" s="1">
        <v>955</v>
      </c>
      <c r="C346" s="7" t="str">
        <f t="shared" ref="C346" si="45">D346&amp;J346&amp;E346&amp;F346&amp;G346</f>
        <v>PremiumSSS5R3less</v>
      </c>
      <c r="D346" s="93" t="str">
        <f t="shared" ref="D346" si="46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45">
        <f>IFERROR(VLOOKUP(B346,input_503103!L:R,7,FALSE),VLOOKUP(tables_503103!C346,input_503103!A:H,8,FALSE))</f>
        <v>733200</v>
      </c>
      <c r="P346" s="46">
        <f t="shared" ref="P346" ca="1" si="47">O346/SUM(O:O)</f>
        <v>5.9999999999980373E-3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</sheetData>
  <autoFilter ref="A1:V29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H40" sqref="H40:H4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503104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955</v>
      </c>
      <c r="M3" s="37" t="str">
        <f>VLOOKUP(L3,[1]characters!$A:$C,3,FALSE)</f>
        <v>マクローリン</v>
      </c>
      <c r="N3" s="63">
        <v>1.2E-2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VLOOKUP(L3,tables_503104!B:C,2,FALSE)</f>
        <v>PremiumSSS5R3less</v>
      </c>
      <c r="R3" s="62">
        <f t="shared" ref="R3:R20" si="1">N3*A$36</f>
        <v>1466400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VLOOKUP(L4,tables_503104!B:C,2,FALSE)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5.8461538461538471E-4</v>
      </c>
      <c r="F5">
        <f>(COUNTIF(tables_503104!C:C,input_503104!A28)+COUNTIF(tables_503104!C:C,input_503104!A29))</f>
        <v>66</v>
      </c>
      <c r="H5" s="84">
        <v>1.2E-2</v>
      </c>
      <c r="I5" s="31">
        <v>1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VLOOKUP(L5,tables_503104!B:C,2,FALSE)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9.9787234042553186E-3</v>
      </c>
      <c r="F6">
        <f>(COUNTIF(tables_503104!C:C,input_503104!A25)+COUNTIF(tables_503104!C:C,input_503104!A18)+COUNTIF(tables_503104!C:C,input_503104!A20)+COUNTIF(tables_503104!C:C,input_503104!A22))</f>
        <v>94</v>
      </c>
      <c r="H6" s="88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VLOOKUP(L6,tables_503104!B:C,2,FALSE)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VLOOKUP(L7,tables_503104!B:C,2,FALSE)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VLOOKUP(L8,tables_503104!B:C,2,FALSE)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VLOOKUP(L9,tables_503104!B:C,2,FALSE)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0.93799999999999994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VLOOKUP(L10,tables_503104!B:C,2,FALSE)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VLOOKUP(L11,tables_503104!B:C,2,FALSE)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VLOOKUP(L12,tables_503104!B:C,2,FALSE)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VLOOKUP(L13,tables_503104!B:C,2,FALSE)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VLOOKUP(L14,tables_503104!B:C,2,FALSE)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VLOOKUP(L15,tables_503104!B:C,2,FALSE)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VLOOKUP(L16,tables_503104!B:C,2,FALSE)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COUNTIF(tables_503104!C:C,input_503104!A17)-COUNTIF(Q:Q,A17)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VLOOKUP(L17,tables_503104!B:C,2,FALSE)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0.2445232078553202</v>
      </c>
      <c r="C18" s="85">
        <f t="shared" si="2"/>
        <v>0</v>
      </c>
      <c r="D18" s="74">
        <f t="shared" si="3"/>
        <v>0.2445232078553202</v>
      </c>
      <c r="E18">
        <f>COUNTIF(tables_503104!C:C,input_503104!A18)-COUNTIF(Q:Q,A18)</f>
        <v>20</v>
      </c>
      <c r="F18" s="43">
        <f>IFERROR(B18/E18,0)</f>
        <v>1.222616039276601E-2</v>
      </c>
      <c r="G18">
        <f t="shared" si="4"/>
        <v>29880735.99992013</v>
      </c>
      <c r="H18">
        <f t="shared" si="5"/>
        <v>1494036.8</v>
      </c>
      <c r="I18">
        <f t="shared" si="6"/>
        <v>0.80000000004656613</v>
      </c>
      <c r="J18">
        <f t="shared" si="7"/>
        <v>1.2499999999272404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VLOOKUP(L18,tables_503104!B:C,2,FALSE)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COUNTIF(tables_503104!C:C,input_503104!A19)-COUNTIF(Q:Q,A19)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VLOOKUP(L19,tables_503104!B:C,2,FALSE)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E$6*E20*B$6-0.03</f>
        <v>0.46294893617021271</v>
      </c>
      <c r="C20" s="85">
        <f t="shared" si="2"/>
        <v>0</v>
      </c>
      <c r="D20" s="74">
        <f t="shared" si="3"/>
        <v>0.46294893617021271</v>
      </c>
      <c r="E20">
        <f>COUNTIF(tables_503104!C:C,input_503104!A20)-COUNTIF(Q:Q,A20)</f>
        <v>52</v>
      </c>
      <c r="F20" s="43">
        <f t="shared" si="8"/>
        <v>8.9028641571194753E-3</v>
      </c>
      <c r="G20">
        <f t="shared" si="4"/>
        <v>56572359.999999993</v>
      </c>
      <c r="H20">
        <f t="shared" si="5"/>
        <v>1087930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VLOOKUP(L20,tables_503104!B:C,2,FALSE)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1.0995941080851116E-2</v>
      </c>
      <c r="C21" s="85">
        <f t="shared" si="2"/>
        <v>0</v>
      </c>
      <c r="D21" s="74">
        <f t="shared" si="3"/>
        <v>1.0995941080851116E-2</v>
      </c>
      <c r="E21">
        <f>COUNTIF(tables_503104!C:C,input_503104!A21)-COUNTIF(Q:Q,A21)</f>
        <v>52</v>
      </c>
      <c r="F21" s="43">
        <f t="shared" si="8"/>
        <v>2.11460405400983E-4</v>
      </c>
      <c r="G21">
        <f t="shared" si="4"/>
        <v>1343704.0000800064</v>
      </c>
      <c r="H21">
        <f t="shared" si="5"/>
        <v>25840.46154</v>
      </c>
      <c r="I21">
        <f t="shared" si="6"/>
        <v>0.46154000000024098</v>
      </c>
      <c r="J21">
        <f t="shared" si="7"/>
        <v>2.166659444467387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0.17764255319148936</v>
      </c>
      <c r="C22" s="85">
        <f t="shared" si="2"/>
        <v>0</v>
      </c>
      <c r="D22" s="74">
        <f t="shared" si="3"/>
        <v>0.17764255319148936</v>
      </c>
      <c r="E22">
        <f>COUNTIF(tables_503104!C:C,input_503104!A22)-COUNTIF(Q:Q,A22)</f>
        <v>18</v>
      </c>
      <c r="F22" s="43">
        <f t="shared" si="8"/>
        <v>9.8690307328605197E-3</v>
      </c>
      <c r="G22">
        <f t="shared" si="4"/>
        <v>21707920</v>
      </c>
      <c r="H22">
        <f t="shared" si="5"/>
        <v>1205995.55556</v>
      </c>
      <c r="I22">
        <f t="shared" si="6"/>
        <v>0.55556000000797212</v>
      </c>
      <c r="J22">
        <f t="shared" si="7"/>
        <v>1.7999856000893699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E23*E6*B7-0.01</f>
        <v>1.9744680851063821E-3</v>
      </c>
      <c r="C23" s="85">
        <f t="shared" si="2"/>
        <v>0</v>
      </c>
      <c r="D23" s="74">
        <f t="shared" si="3"/>
        <v>1.9744680851063821E-3</v>
      </c>
      <c r="E23">
        <f>COUNTIF(tables_503104!C:C,input_503104!A23)-COUNTIF(Q:Q,A23)</f>
        <v>24</v>
      </c>
      <c r="F23" s="43">
        <f t="shared" si="8"/>
        <v>8.2269503546099248E-5</v>
      </c>
      <c r="G23">
        <f t="shared" si="4"/>
        <v>241279.99999999988</v>
      </c>
      <c r="H23">
        <f t="shared" si="5"/>
        <v>10053.333329999999</v>
      </c>
      <c r="I23">
        <f t="shared" si="6"/>
        <v>0.33332999999947788</v>
      </c>
      <c r="J23">
        <f t="shared" si="7"/>
        <v>3.0000300003047022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COUNTIF(tables_503104!C:C,input_503104!A24)-COUNTIF(Q:Q,A24)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3.7919148936170211E-2</v>
      </c>
      <c r="C25" s="85">
        <f t="shared" si="2"/>
        <v>0</v>
      </c>
      <c r="D25" s="74">
        <f t="shared" si="3"/>
        <v>3.7919148936170211E-2</v>
      </c>
      <c r="E25">
        <f>COUNTIF(tables_503104!C:C,input_503104!A25)-COUNTIF(Q:Q,A25)</f>
        <v>4</v>
      </c>
      <c r="F25" s="43">
        <f t="shared" si="8"/>
        <v>9.4797872340425526E-3</v>
      </c>
      <c r="G25">
        <f t="shared" si="4"/>
        <v>4633720</v>
      </c>
      <c r="H25">
        <f t="shared" si="5"/>
        <v>1158430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1.9957446808510637E-3</v>
      </c>
      <c r="C26" s="85">
        <f t="shared" si="2"/>
        <v>0</v>
      </c>
      <c r="D26" s="74">
        <f t="shared" si="3"/>
        <v>1.9957446808510637E-3</v>
      </c>
      <c r="E26">
        <f>COUNTIF(tables_503104!C:C,input_503104!A26)-COUNTIF(Q:Q,A26)</f>
        <v>4</v>
      </c>
      <c r="F26" s="43">
        <f t="shared" si="8"/>
        <v>4.9893617021276593E-4</v>
      </c>
      <c r="G26">
        <f t="shared" si="4"/>
        <v>243880</v>
      </c>
      <c r="H26">
        <f t="shared" si="5"/>
        <v>60970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2.6966153846179067E-2</v>
      </c>
      <c r="C27" s="85">
        <f t="shared" si="2"/>
        <v>0</v>
      </c>
      <c r="D27" s="74">
        <f t="shared" si="3"/>
        <v>2.6966153846179067E-2</v>
      </c>
      <c r="E27">
        <f>COUNTIF(tables_503104!C:C,input_503104!A27)-COUNTIF(Q:Q,A27)</f>
        <v>28</v>
      </c>
      <c r="F27" s="43">
        <f>IFERROR(B27/E27,0)</f>
        <v>9.6307692307782381E-4</v>
      </c>
      <c r="G27">
        <f t="shared" si="4"/>
        <v>3295264.0000030822</v>
      </c>
      <c r="H27">
        <f t="shared" si="5"/>
        <v>117688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8.1846153846153863E-4</v>
      </c>
      <c r="C28" s="85">
        <f t="shared" si="2"/>
        <v>0</v>
      </c>
      <c r="D28" s="74">
        <f t="shared" si="3"/>
        <v>8.1846153846153863E-4</v>
      </c>
      <c r="E28">
        <f>COUNTIF(tables_503104!C:C,input_503104!A28)-COUNTIF(Q:Q,A28)</f>
        <v>28</v>
      </c>
      <c r="F28" s="43">
        <f t="shared" si="8"/>
        <v>2.9230769230769237E-5</v>
      </c>
      <c r="G28">
        <f t="shared" si="4"/>
        <v>100016.00000000001</v>
      </c>
      <c r="H28">
        <f t="shared" si="5"/>
        <v>3572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2.2215384615384619E-2</v>
      </c>
      <c r="C29" s="85">
        <f t="shared" si="2"/>
        <v>0</v>
      </c>
      <c r="D29" s="74">
        <f t="shared" si="3"/>
        <v>2.2215384615384619E-2</v>
      </c>
      <c r="E29">
        <f>COUNTIF(tables_503104!C:C,input_503104!A29)-COUNTIF(Q:Q,A29)</f>
        <v>38</v>
      </c>
      <c r="F29" s="43">
        <f t="shared" si="8"/>
        <v>5.8461538461538471E-4</v>
      </c>
      <c r="G29">
        <f t="shared" si="4"/>
        <v>2714720.0000000005</v>
      </c>
      <c r="H29">
        <f t="shared" si="5"/>
        <v>71440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COUNTIF(tables_503104!C:C,input_503104!A30)-COUNTIF(Q:Q,A30)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1.2E-2</v>
      </c>
      <c r="D31" s="74">
        <f t="shared" si="3"/>
        <v>-1.2E-2</v>
      </c>
      <c r="E31">
        <f>COUNTIF(tables_503104!C:C,input_503104!A31)-COUNTIF(Q:Q,A31)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0.9880000000000263</v>
      </c>
      <c r="C32" s="41">
        <f>SUM(C19:C31)</f>
        <v>1.2E-2</v>
      </c>
      <c r="D32" s="42">
        <f t="shared" si="3"/>
        <v>0.97600000000002629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2.4948739770213835E-2</v>
      </c>
      <c r="F34" s="55">
        <f ca="1">0.95-G41</f>
        <v>-6.5381033920175469E-13</v>
      </c>
    </row>
    <row r="35" spans="1:7" x14ac:dyDescent="0.15">
      <c r="A35" t="s">
        <v>73</v>
      </c>
      <c r="E35">
        <v>1.1999999999345284E-2</v>
      </c>
      <c r="F35">
        <f ca="1">G42-0.05</f>
        <v>0</v>
      </c>
    </row>
    <row r="36" spans="1:7" x14ac:dyDescent="0.15">
      <c r="A36" s="31">
        <f>LCM(F5-I5,F6-I6)*1000*2*2*5</f>
        <v>122200000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SUMIF(tables_503104!C:C,input_503104!A40,tables_503104!O:O)</f>
        <v>0</v>
      </c>
      <c r="C40" s="54">
        <f t="shared" ref="C40:C46" ca="1" si="9">B40/B$47</f>
        <v>0</v>
      </c>
      <c r="E40">
        <v>3</v>
      </c>
      <c r="F40">
        <f ca="1">SUMIF(tables_503104!J:J,input_503104!E40,tables_503104!O:O)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SUMIF(tables_503104!C:C,input_503104!A41,tables_503104!O:O)</f>
        <v>56572360</v>
      </c>
      <c r="C41" s="54">
        <f t="shared" ca="1" si="9"/>
        <v>0.92270624502907939</v>
      </c>
      <c r="E41">
        <v>4</v>
      </c>
      <c r="F41">
        <f ca="1">SUMIF(tables_503104!J:J,input_503104!E41,tables_503104!O:O)</f>
        <v>116090000.00007989</v>
      </c>
      <c r="G41">
        <f ca="1">F41/A36</f>
        <v>0.95000000000065377</v>
      </c>
    </row>
    <row r="42" spans="1:7" x14ac:dyDescent="0.15">
      <c r="A42" s="33" t="s">
        <v>106</v>
      </c>
      <c r="B42">
        <f ca="1">SUMIF(tables_503104!C:C,input_503104!A42,tables_503104!O:O)</f>
        <v>3295264</v>
      </c>
      <c r="C42" s="54">
        <f t="shared" ca="1" si="9"/>
        <v>5.3746399687400429E-2</v>
      </c>
      <c r="E42">
        <v>5</v>
      </c>
      <c r="F42">
        <f ca="1">SUMIF(tables_503104!J:J,input_503104!E42,tables_503104!O:O)</f>
        <v>6110000</v>
      </c>
      <c r="G42">
        <f ca="1">F42/A36</f>
        <v>0.05</v>
      </c>
    </row>
    <row r="43" spans="1:7" x14ac:dyDescent="0.15">
      <c r="A43" s="33" t="s">
        <v>109</v>
      </c>
      <c r="B43">
        <f>SUMIF(tables_503104!C:C,input_503104!A43,tables_503104!O:O)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SUMIF(tables_503104!C:C,input_503104!A44,tables_503104!O:O)</f>
        <v>1343704.0000800013</v>
      </c>
      <c r="C44" s="54">
        <f t="shared" ca="1" si="9"/>
        <v>2.1916074781825823E-2</v>
      </c>
      <c r="E44" t="s">
        <v>54</v>
      </c>
      <c r="F44" s="55"/>
    </row>
    <row r="45" spans="1:7" x14ac:dyDescent="0.15">
      <c r="A45" s="33" t="s">
        <v>107</v>
      </c>
      <c r="B45">
        <f ca="1">SUMIF(tables_503104!C:C,input_503104!A45,tables_503104!O:O)</f>
        <v>100016</v>
      </c>
      <c r="C45" s="54">
        <f t="shared" ca="1" si="9"/>
        <v>1.6312805016942622E-3</v>
      </c>
      <c r="E45" t="s">
        <v>204</v>
      </c>
      <c r="F45" s="55">
        <f ca="1">SUMIF(tables_503104!I:I,input_503104!E45,tables_503104!P:P)</f>
        <v>0.24501682487692658</v>
      </c>
    </row>
    <row r="46" spans="1:7" x14ac:dyDescent="0.15">
      <c r="A46" s="33" t="s">
        <v>108</v>
      </c>
      <c r="B46">
        <f>SUMIF(tables_503104!C:C,input_503104!A46,tables_503104!O:O)</f>
        <v>0</v>
      </c>
      <c r="C46" s="54">
        <f t="shared" ca="1" si="9"/>
        <v>0</v>
      </c>
      <c r="E46" t="s">
        <v>205</v>
      </c>
      <c r="F46" s="55">
        <f ca="1">SUMIF(tables_503104!I:I,input_503104!E46,tables_503104!P:P)</f>
        <v>0.18487968777549277</v>
      </c>
    </row>
    <row r="47" spans="1:7" x14ac:dyDescent="0.15">
      <c r="A47" s="39" t="s">
        <v>59</v>
      </c>
      <c r="B47">
        <f ca="1">SUM(B40:B46)</f>
        <v>61311344.000080004</v>
      </c>
      <c r="C47" s="55">
        <f ca="1">SUM(C40:C46)</f>
        <v>0.99999999999999989</v>
      </c>
      <c r="E47" t="s">
        <v>206</v>
      </c>
      <c r="F47" s="55">
        <f ca="1">SUMIF(tables_503104!I:I,input_503104!E47,tables_503104!P:P)</f>
        <v>0.50810348734762101</v>
      </c>
    </row>
    <row r="48" spans="1:7" x14ac:dyDescent="0.15">
      <c r="E48" t="s">
        <v>207</v>
      </c>
      <c r="F48" s="55">
        <f ca="1">SUMIF(tables_503104!I:I,input_503104!E48,tables_503104!P:P)</f>
        <v>4.5907692307662298E-2</v>
      </c>
      <c r="G48" s="55">
        <f ca="1">0.05-F48-F49</f>
        <v>3.2689129181306953E-14</v>
      </c>
    </row>
    <row r="49" spans="5:7" x14ac:dyDescent="0.15">
      <c r="E49" t="s">
        <v>246</v>
      </c>
      <c r="F49" s="55">
        <f ca="1">SUMIF(tables_503104!I:I,input_503104!E49,tables_503104!P:P)</f>
        <v>4.0923076923050153E-3</v>
      </c>
      <c r="G49">
        <v>1.1415384615409835E-2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46"/>
  <sheetViews>
    <sheetView showGridLines="0" zoomScale="75" zoomScaleNormal="75" zoomScalePageLayoutView="75" workbookViewId="0">
      <pane ySplit="1" topLeftCell="A308" activePane="bottomLeft" state="frozen"/>
      <selection activeCell="D34" sqref="D34"/>
      <selection pane="bottomLeft" sqref="A1:XFD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input_503104!A$2</f>
        <v>503104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IFERROR(VLOOKUP(B2,input_503104!L:R,7,FALSE),VLOOKUP(tables_503104!C2,input_503104!A:H,8,FALSE))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input_503104!A$2</f>
        <v>503104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IFERROR(VLOOKUP(B3,input_503104!L:R,7,FALSE),VLOOKUP(tables_503104!C3,input_503104!A:H,8,FALSE))</f>
        <v>1494036.8</v>
      </c>
      <c r="P3" s="46">
        <f t="shared" ca="1" si="1"/>
        <v>1.2226160392790692E-2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input_503104!A$2</f>
        <v>503104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IFERROR(VLOOKUP(B4,input_503104!L:R,7,FALSE),VLOOKUP(tables_503104!C4,input_503104!A:H,8,FALSE))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input_503104!A$2</f>
        <v>503104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IFERROR(VLOOKUP(B5,input_503104!L:R,7,FALSE),VLOOKUP(tables_503104!C5,input_503104!A:H,8,FALSE))</f>
        <v>1494036.8</v>
      </c>
      <c r="P5" s="46">
        <f t="shared" ca="1" si="1"/>
        <v>1.2226160392790692E-2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input_503104!A$2</f>
        <v>503104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IFERROR(VLOOKUP(B6,input_503104!L:R,7,FALSE),VLOOKUP(tables_503104!C6,input_503104!A:H,8,FALSE))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input_503104!A$2</f>
        <v>503104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IFERROR(VLOOKUP(B7,input_503104!L:R,7,FALSE),VLOOKUP(tables_503104!C7,input_503104!A:H,8,FALSE))</f>
        <v>1494036.8</v>
      </c>
      <c r="P7" s="46">
        <f t="shared" ca="1" si="1"/>
        <v>1.2226160392790692E-2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input_503104!A$2</f>
        <v>503104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IFERROR(VLOOKUP(B8,input_503104!L:R,7,FALSE),VLOOKUP(tables_503104!C8,input_503104!A:H,8,FALSE))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input_503104!A$2</f>
        <v>503104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IFERROR(VLOOKUP(B9,input_503104!L:R,7,FALSE),VLOOKUP(tables_503104!C9,input_503104!A:H,8,FALSE))</f>
        <v>1494036.8</v>
      </c>
      <c r="P9" s="46">
        <f t="shared" ca="1" si="1"/>
        <v>1.2226160392790692E-2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input_503104!A$2</f>
        <v>503104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IFERROR(VLOOKUP(B10,input_503104!L:R,7,FALSE),VLOOKUP(tables_503104!C10,input_503104!A:H,8,FALSE))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input_503104!A$2</f>
        <v>503104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IFERROR(VLOOKUP(B11,input_503104!L:R,7,FALSE),VLOOKUP(tables_503104!C11,input_503104!A:H,8,FALSE))</f>
        <v>1494036.8</v>
      </c>
      <c r="P11" s="46">
        <f t="shared" ca="1" si="1"/>
        <v>1.2226160392790692E-2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input_503104!A$2</f>
        <v>503104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IFERROR(VLOOKUP(B12,input_503104!L:R,7,FALSE),VLOOKUP(tables_503104!C12,input_503104!A:H,8,FALSE))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input_503104!A$2</f>
        <v>503104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IFERROR(VLOOKUP(B13,input_503104!L:R,7,FALSE),VLOOKUP(tables_503104!C13,input_503104!A:H,8,FALSE))</f>
        <v>1494036.8</v>
      </c>
      <c r="P13" s="46">
        <f t="shared" ca="1" si="1"/>
        <v>1.2226160392790692E-2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input_503104!A$2</f>
        <v>503104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IFERROR(VLOOKUP(B14,input_503104!L:R,7,FALSE),VLOOKUP(tables_503104!C14,input_503104!A:H,8,FALSE))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input_503104!A$2</f>
        <v>503104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IFERROR(VLOOKUP(B15,input_503104!L:R,7,FALSE),VLOOKUP(tables_503104!C15,input_503104!A:H,8,FALSE))</f>
        <v>1494036.8</v>
      </c>
      <c r="P15" s="46">
        <f t="shared" ca="1" si="1"/>
        <v>1.2226160392790692E-2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input_503104!A$2</f>
        <v>503104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IFERROR(VLOOKUP(B16,input_503104!L:R,7,FALSE),VLOOKUP(tables_503104!C16,input_503104!A:H,8,FALSE))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input_503104!A$2</f>
        <v>503104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IFERROR(VLOOKUP(B17,input_503104!L:R,7,FALSE),VLOOKUP(tables_503104!C17,input_503104!A:H,8,FALSE))</f>
        <v>1494036.8</v>
      </c>
      <c r="P17" s="46">
        <f t="shared" ca="1" si="1"/>
        <v>1.2226160392790692E-2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input_503104!A$2</f>
        <v>503104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IFERROR(VLOOKUP(B18,input_503104!L:R,7,FALSE),VLOOKUP(tables_503104!C18,input_503104!A:H,8,FALSE))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input_503104!A$2</f>
        <v>503104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IFERROR(VLOOKUP(B19,input_503104!L:R,7,FALSE),VLOOKUP(tables_503104!C19,input_503104!A:H,8,FALSE))</f>
        <v>1494036.8</v>
      </c>
      <c r="P19" s="46">
        <f t="shared" ca="1" si="1"/>
        <v>1.2226160392790692E-2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input_503104!A$2</f>
        <v>503104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IFERROR(VLOOKUP(B20,input_503104!L:R,7,FALSE),VLOOKUP(tables_503104!C20,input_503104!A:H,8,FALSE))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input_503104!A$2</f>
        <v>503104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IFERROR(VLOOKUP(B21,input_503104!L:R,7,FALSE),VLOOKUP(tables_503104!C21,input_503104!A:H,8,FALSE))</f>
        <v>1494036.8</v>
      </c>
      <c r="P21" s="46">
        <f t="shared" ca="1" si="1"/>
        <v>1.2226160392790692E-2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input_503104!A$2</f>
        <v>503104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IFERROR(VLOOKUP(B22,input_503104!L:R,7,FALSE),VLOOKUP(tables_503104!C22,input_503104!A:H,8,FALSE))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input_503104!A$2</f>
        <v>503104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IFERROR(VLOOKUP(B23,input_503104!L:R,7,FALSE),VLOOKUP(tables_503104!C23,input_503104!A:H,8,FALSE))</f>
        <v>1494036.8</v>
      </c>
      <c r="P23" s="46">
        <f t="shared" ca="1" si="1"/>
        <v>1.2226160392790692E-2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input_503104!A$2</f>
        <v>503104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IFERROR(VLOOKUP(B24,input_503104!L:R,7,FALSE),VLOOKUP(tables_503104!C24,input_503104!A:H,8,FALSE))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input_503104!A$2</f>
        <v>503104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IFERROR(VLOOKUP(B25,input_503104!L:R,7,FALSE),VLOOKUP(tables_503104!C25,input_503104!A:H,8,FALSE))</f>
        <v>1494036.8</v>
      </c>
      <c r="P25" s="46">
        <f t="shared" ca="1" si="1"/>
        <v>1.2226160392790692E-2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input_503104!A$2</f>
        <v>503104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IFERROR(VLOOKUP(B26,input_503104!L:R,7,FALSE),VLOOKUP(tables_503104!C26,input_503104!A:H,8,FALSE))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input_503104!A$2</f>
        <v>503104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IFERROR(VLOOKUP(B27,input_503104!L:R,7,FALSE),VLOOKUP(tables_503104!C27,input_503104!A:H,8,FALSE))</f>
        <v>1494036.8</v>
      </c>
      <c r="P27" s="46">
        <f t="shared" ca="1" si="1"/>
        <v>1.2226160392790692E-2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input_503104!A$2</f>
        <v>503104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IFERROR(VLOOKUP(B28,input_503104!L:R,7,FALSE),VLOOKUP(tables_503104!C28,input_503104!A:H,8,FALSE))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input_503104!A$2</f>
        <v>503104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IFERROR(VLOOKUP(B29,input_503104!L:R,7,FALSE),VLOOKUP(tables_503104!C29,input_503104!A:H,8,FALSE))</f>
        <v>1494036.8</v>
      </c>
      <c r="P29" s="46">
        <f t="shared" ca="1" si="1"/>
        <v>1.2226160392790692E-2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input_503104!A$2</f>
        <v>503104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IFERROR(VLOOKUP(B30,input_503104!L:R,7,FALSE),VLOOKUP(tables_503104!C30,input_503104!A:H,8,FALSE))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input_503104!A$2</f>
        <v>503104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IFERROR(VLOOKUP(B31,input_503104!L:R,7,FALSE),VLOOKUP(tables_503104!C31,input_503104!A:H,8,FALSE))</f>
        <v>1494036.8</v>
      </c>
      <c r="P31" s="46">
        <f t="shared" ca="1" si="1"/>
        <v>1.2226160392790692E-2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input_503104!A$2</f>
        <v>503104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IFERROR(VLOOKUP(B32,input_503104!L:R,7,FALSE),VLOOKUP(tables_503104!C32,input_503104!A:H,8,FALSE))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input_503104!A$2</f>
        <v>503104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IFERROR(VLOOKUP(B33,input_503104!L:R,7,FALSE),VLOOKUP(tables_503104!C33,input_503104!A:H,8,FALSE))</f>
        <v>1494036.8</v>
      </c>
      <c r="P33" s="46">
        <f t="shared" ca="1" si="1"/>
        <v>1.2226160392790692E-2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input_503104!A$2</f>
        <v>503104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IFERROR(VLOOKUP(B34,input_503104!L:R,7,FALSE),VLOOKUP(tables_503104!C34,input_503104!A:H,8,FALSE))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input_503104!A$2</f>
        <v>503104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IFERROR(VLOOKUP(B35,input_503104!L:R,7,FALSE),VLOOKUP(tables_503104!C35,input_503104!A:H,8,FALSE))</f>
        <v>1494036.8</v>
      </c>
      <c r="P35" s="46">
        <f t="shared" ca="1" si="1"/>
        <v>1.2226160392790692E-2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input_503104!A$2</f>
        <v>503104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IFERROR(VLOOKUP(B36,input_503104!L:R,7,FALSE),VLOOKUP(tables_503104!C36,input_503104!A:H,8,FALSE))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input_503104!A$2</f>
        <v>503104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IFERROR(VLOOKUP(B37,input_503104!L:R,7,FALSE),VLOOKUP(tables_503104!C37,input_503104!A:H,8,FALSE))</f>
        <v>1494036.8</v>
      </c>
      <c r="P37" s="46">
        <f t="shared" ca="1" si="1"/>
        <v>1.2226160392790692E-2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input_503104!A$2</f>
        <v>503104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IFERROR(VLOOKUP(B38,input_503104!L:R,7,FALSE),VLOOKUP(tables_503104!C38,input_503104!A:H,8,FALSE))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input_503104!A$2</f>
        <v>503104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IFERROR(VLOOKUP(B39,input_503104!L:R,7,FALSE),VLOOKUP(tables_503104!C39,input_503104!A:H,8,FALSE))</f>
        <v>1494036.8</v>
      </c>
      <c r="P39" s="46">
        <f t="shared" ca="1" si="1"/>
        <v>1.2226160392790692E-2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input_503104!A$2</f>
        <v>503104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IFERROR(VLOOKUP(B40,input_503104!L:R,7,FALSE),VLOOKUP(tables_503104!C40,input_503104!A:H,8,FALSE))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input_503104!A$2</f>
        <v>503104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IFERROR(VLOOKUP(B41,input_503104!L:R,7,FALSE),VLOOKUP(tables_503104!C41,input_503104!A:H,8,FALSE))</f>
        <v>1494036.8</v>
      </c>
      <c r="P41" s="46">
        <f t="shared" ca="1" si="1"/>
        <v>1.2226160392790692E-2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input_503104!A$2</f>
        <v>503104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IFERROR(VLOOKUP(B42,input_503104!L:R,7,FALSE),VLOOKUP(tables_503104!C42,input_503104!A:H,8,FALSE))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input_503104!A$2</f>
        <v>503104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IFERROR(VLOOKUP(B43,input_503104!L:R,7,FALSE),VLOOKUP(tables_503104!C43,input_503104!A:H,8,FALSE))</f>
        <v>1158430</v>
      </c>
      <c r="P43" s="46">
        <f t="shared" ca="1" si="1"/>
        <v>9.479787234036351E-3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input_503104!A$2</f>
        <v>503104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IFERROR(VLOOKUP(B44,input_503104!L:R,7,FALSE),VLOOKUP(tables_503104!C44,input_503104!A:H,8,FALSE))</f>
        <v>60970</v>
      </c>
      <c r="P44" s="46">
        <f t="shared" ca="1" si="1"/>
        <v>4.9893617021243958E-4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input_503104!A$2</f>
        <v>503104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IFERROR(VLOOKUP(B45,input_503104!L:R,7,FALSE),VLOOKUP(tables_503104!C45,input_503104!A:H,8,FALSE))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input_503104!A$2</f>
        <v>503104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IFERROR(VLOOKUP(B46,input_503104!L:R,7,FALSE),VLOOKUP(tables_503104!C46,input_503104!A:H,8,FALSE))</f>
        <v>1158430</v>
      </c>
      <c r="P46" s="46">
        <f t="shared" ca="1" si="1"/>
        <v>9.479787234036351E-3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input_503104!A$2</f>
        <v>503104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IFERROR(VLOOKUP(B47,input_503104!L:R,7,FALSE),VLOOKUP(tables_503104!C47,input_503104!A:H,8,FALSE))</f>
        <v>60970</v>
      </c>
      <c r="P47" s="46">
        <f t="shared" ca="1" si="1"/>
        <v>4.9893617021243958E-4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input_503104!A$2</f>
        <v>503104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IFERROR(VLOOKUP(B48,input_503104!L:R,7,FALSE),VLOOKUP(tables_503104!C48,input_503104!A:H,8,FALSE))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input_503104!A$2</f>
        <v>503104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IFERROR(VLOOKUP(B49,input_503104!L:R,7,FALSE),VLOOKUP(tables_503104!C49,input_503104!A:H,8,FALSE))</f>
        <v>1158430</v>
      </c>
      <c r="P49" s="46">
        <f t="shared" ca="1" si="1"/>
        <v>9.479787234036351E-3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input_503104!A$2</f>
        <v>503104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IFERROR(VLOOKUP(B50,input_503104!L:R,7,FALSE),VLOOKUP(tables_503104!C50,input_503104!A:H,8,FALSE))</f>
        <v>60970</v>
      </c>
      <c r="P50" s="46">
        <f t="shared" ca="1" si="1"/>
        <v>4.9893617021243958E-4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input_503104!A$2</f>
        <v>503104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IFERROR(VLOOKUP(B51,input_503104!L:R,7,FALSE),VLOOKUP(tables_503104!C51,input_503104!A:H,8,FALSE))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input_503104!A$2</f>
        <v>503104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IFERROR(VLOOKUP(B52,input_503104!L:R,7,FALSE),VLOOKUP(tables_503104!C52,input_503104!A:H,8,FALSE))</f>
        <v>1087930</v>
      </c>
      <c r="P52" s="46">
        <f t="shared" ca="1" si="1"/>
        <v>8.9028641571136519E-3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input_503104!A$2</f>
        <v>503104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IFERROR(VLOOKUP(B53,input_503104!L:R,7,FALSE),VLOOKUP(tables_503104!C53,input_503104!A:H,8,FALSE))</f>
        <v>25840.46154</v>
      </c>
      <c r="P53" s="46">
        <f t="shared" ca="1" si="1"/>
        <v>2.1146040540084366E-4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input_503104!A$2</f>
        <v>503104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IFERROR(VLOOKUP(B54,input_503104!L:R,7,FALSE),VLOOKUP(tables_503104!C54,input_503104!A:H,8,FALSE))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input_503104!A$2</f>
        <v>503104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IFERROR(VLOOKUP(B55,input_503104!L:R,7,FALSE),VLOOKUP(tables_503104!C55,input_503104!A:H,8,FALSE))</f>
        <v>1087930</v>
      </c>
      <c r="P55" s="46">
        <f t="shared" ca="1" si="1"/>
        <v>8.9028641571136519E-3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input_503104!A$2</f>
        <v>503104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IFERROR(VLOOKUP(B56,input_503104!L:R,7,FALSE),VLOOKUP(tables_503104!C56,input_503104!A:H,8,FALSE))</f>
        <v>25840.46154</v>
      </c>
      <c r="P56" s="46">
        <f t="shared" ca="1" si="1"/>
        <v>2.1146040540084366E-4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input_503104!A$2</f>
        <v>503104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IFERROR(VLOOKUP(B57,input_503104!L:R,7,FALSE),VLOOKUP(tables_503104!C57,input_503104!A:H,8,FALSE))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input_503104!A$2</f>
        <v>503104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IFERROR(VLOOKUP(B58,input_503104!L:R,7,FALSE),VLOOKUP(tables_503104!C58,input_503104!A:H,8,FALSE))</f>
        <v>1087930</v>
      </c>
      <c r="P58" s="46">
        <f t="shared" ca="1" si="1"/>
        <v>8.9028641571136519E-3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input_503104!A$2</f>
        <v>503104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IFERROR(VLOOKUP(B59,input_503104!L:R,7,FALSE),VLOOKUP(tables_503104!C59,input_503104!A:H,8,FALSE))</f>
        <v>25840.46154</v>
      </c>
      <c r="P59" s="46">
        <f t="shared" ca="1" si="1"/>
        <v>2.1146040540084366E-4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input_503104!A$2</f>
        <v>503104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IFERROR(VLOOKUP(B60,input_503104!L:R,7,FALSE),VLOOKUP(tables_503104!C60,input_503104!A:H,8,FALSE))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input_503104!A$2</f>
        <v>503104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IFERROR(VLOOKUP(B61,input_503104!L:R,7,FALSE),VLOOKUP(tables_503104!C61,input_503104!A:H,8,FALSE))</f>
        <v>1087930</v>
      </c>
      <c r="P61" s="46">
        <f t="shared" ca="1" si="1"/>
        <v>8.9028641571136519E-3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input_503104!A$2</f>
        <v>503104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IFERROR(VLOOKUP(B62,input_503104!L:R,7,FALSE),VLOOKUP(tables_503104!C62,input_503104!A:H,8,FALSE))</f>
        <v>25840.46154</v>
      </c>
      <c r="P62" s="46">
        <f t="shared" ca="1" si="1"/>
        <v>2.1146040540084366E-4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input_503104!A$2</f>
        <v>503104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IFERROR(VLOOKUP(B63,input_503104!L:R,7,FALSE),VLOOKUP(tables_503104!C63,input_503104!A:H,8,FALSE))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input_503104!A$2</f>
        <v>503104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IFERROR(VLOOKUP(B64,input_503104!L:R,7,FALSE),VLOOKUP(tables_503104!C64,input_503104!A:H,8,FALSE))</f>
        <v>1087930</v>
      </c>
      <c r="P64" s="46">
        <f t="shared" ca="1" si="1"/>
        <v>8.9028641571136519E-3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input_503104!A$2</f>
        <v>503104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IFERROR(VLOOKUP(B65,input_503104!L:R,7,FALSE),VLOOKUP(tables_503104!C65,input_503104!A:H,8,FALSE))</f>
        <v>25840.46154</v>
      </c>
      <c r="P65" s="46">
        <f t="shared" ca="1" si="1"/>
        <v>2.1146040540084366E-4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input_503104!A$2</f>
        <v>503104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IFERROR(VLOOKUP(B66,input_503104!L:R,7,FALSE),VLOOKUP(tables_503104!C66,input_503104!A:H,8,FALSE))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input_503104!A$2</f>
        <v>503104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IFERROR(VLOOKUP(B67,input_503104!L:R,7,FALSE),VLOOKUP(tables_503104!C67,input_503104!A:H,8,FALSE))</f>
        <v>1087930</v>
      </c>
      <c r="P67" s="46">
        <f t="shared" ca="1" si="4"/>
        <v>8.9028641571136519E-3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input_503104!A$2</f>
        <v>503104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IFERROR(VLOOKUP(B68,input_503104!L:R,7,FALSE),VLOOKUP(tables_503104!C68,input_503104!A:H,8,FALSE))</f>
        <v>25840.46154</v>
      </c>
      <c r="P68" s="46">
        <f t="shared" ca="1" si="4"/>
        <v>2.1146040540084366E-4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input_503104!A$2</f>
        <v>503104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IFERROR(VLOOKUP(B69,input_503104!L:R,7,FALSE),VLOOKUP(tables_503104!C69,input_503104!A:H,8,FALSE))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input_503104!A$2</f>
        <v>503104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IFERROR(VLOOKUP(B70,input_503104!L:R,7,FALSE),VLOOKUP(tables_503104!C70,input_503104!A:H,8,FALSE))</f>
        <v>1087930</v>
      </c>
      <c r="P70" s="46">
        <f t="shared" ca="1" si="4"/>
        <v>8.9028641571136519E-3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input_503104!A$2</f>
        <v>503104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IFERROR(VLOOKUP(B71,input_503104!L:R,7,FALSE),VLOOKUP(tables_503104!C71,input_503104!A:H,8,FALSE))</f>
        <v>25840.46154</v>
      </c>
      <c r="P71" s="46">
        <f t="shared" ca="1" si="4"/>
        <v>2.1146040540084366E-4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input_503104!A$2</f>
        <v>503104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IFERROR(VLOOKUP(B72,input_503104!L:R,7,FALSE),VLOOKUP(tables_503104!C72,input_503104!A:H,8,FALSE))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input_503104!A$2</f>
        <v>503104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IFERROR(VLOOKUP(B73,input_503104!L:R,7,FALSE),VLOOKUP(tables_503104!C73,input_503104!A:H,8,FALSE))</f>
        <v>1087930</v>
      </c>
      <c r="P73" s="46">
        <f t="shared" ca="1" si="4"/>
        <v>8.9028641571136519E-3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input_503104!A$2</f>
        <v>503104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IFERROR(VLOOKUP(B74,input_503104!L:R,7,FALSE),VLOOKUP(tables_503104!C74,input_503104!A:H,8,FALSE))</f>
        <v>25840.46154</v>
      </c>
      <c r="P74" s="46">
        <f t="shared" ca="1" si="4"/>
        <v>2.1146040540084366E-4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input_503104!A$2</f>
        <v>503104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IFERROR(VLOOKUP(B75,input_503104!L:R,7,FALSE),VLOOKUP(tables_503104!C75,input_503104!A:H,8,FALSE))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input_503104!A$2</f>
        <v>503104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IFERROR(VLOOKUP(B76,input_503104!L:R,7,FALSE),VLOOKUP(tables_503104!C76,input_503104!A:H,8,FALSE))</f>
        <v>1087930</v>
      </c>
      <c r="P76" s="46">
        <f t="shared" ca="1" si="4"/>
        <v>8.9028641571136519E-3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input_503104!A$2</f>
        <v>503104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IFERROR(VLOOKUP(B77,input_503104!L:R,7,FALSE),VLOOKUP(tables_503104!C77,input_503104!A:H,8,FALSE))</f>
        <v>25840.46154</v>
      </c>
      <c r="P77" s="46">
        <f t="shared" ca="1" si="4"/>
        <v>2.1146040540084366E-4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input_503104!A$2</f>
        <v>503104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IFERROR(VLOOKUP(B78,input_503104!L:R,7,FALSE),VLOOKUP(tables_503104!C78,input_503104!A:H,8,FALSE))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input_503104!A$2</f>
        <v>503104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IFERROR(VLOOKUP(B79,input_503104!L:R,7,FALSE),VLOOKUP(tables_503104!C79,input_503104!A:H,8,FALSE))</f>
        <v>1087930</v>
      </c>
      <c r="P79" s="46">
        <f t="shared" ca="1" si="4"/>
        <v>8.9028641571136519E-3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input_503104!A$2</f>
        <v>503104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IFERROR(VLOOKUP(B80,input_503104!L:R,7,FALSE),VLOOKUP(tables_503104!C80,input_503104!A:H,8,FALSE))</f>
        <v>25840.46154</v>
      </c>
      <c r="P80" s="46">
        <f t="shared" ca="1" si="4"/>
        <v>2.1146040540084366E-4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input_503104!A$2</f>
        <v>503104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IFERROR(VLOOKUP(B81,input_503104!L:R,7,FALSE),VLOOKUP(tables_503104!C81,input_503104!A:H,8,FALSE))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input_503104!A$2</f>
        <v>503104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IFERROR(VLOOKUP(B82,input_503104!L:R,7,FALSE),VLOOKUP(tables_503104!C82,input_503104!A:H,8,FALSE))</f>
        <v>1087930</v>
      </c>
      <c r="P82" s="46">
        <f t="shared" ca="1" si="4"/>
        <v>8.9028641571136519E-3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input_503104!A$2</f>
        <v>503104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IFERROR(VLOOKUP(B83,input_503104!L:R,7,FALSE),VLOOKUP(tables_503104!C83,input_503104!A:H,8,FALSE))</f>
        <v>25840.46154</v>
      </c>
      <c r="P83" s="46">
        <f t="shared" ca="1" si="4"/>
        <v>2.1146040540084366E-4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input_503104!A$2</f>
        <v>503104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IFERROR(VLOOKUP(B84,input_503104!L:R,7,FALSE),VLOOKUP(tables_503104!C84,input_503104!A:H,8,FALSE))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input_503104!A$2</f>
        <v>503104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IFERROR(VLOOKUP(B85,input_503104!L:R,7,FALSE),VLOOKUP(tables_503104!C85,input_503104!A:H,8,FALSE))</f>
        <v>1087930</v>
      </c>
      <c r="P85" s="46">
        <f t="shared" ca="1" si="4"/>
        <v>8.9028641571136519E-3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input_503104!A$2</f>
        <v>503104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IFERROR(VLOOKUP(B86,input_503104!L:R,7,FALSE),VLOOKUP(tables_503104!C86,input_503104!A:H,8,FALSE))</f>
        <v>25840.46154</v>
      </c>
      <c r="P86" s="46">
        <f t="shared" ca="1" si="4"/>
        <v>2.1146040540084366E-4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input_503104!A$2</f>
        <v>503104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IFERROR(VLOOKUP(B87,input_503104!L:R,7,FALSE),VLOOKUP(tables_503104!C87,input_503104!A:H,8,FALSE))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input_503104!A$2</f>
        <v>503104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IFERROR(VLOOKUP(B88,input_503104!L:R,7,FALSE),VLOOKUP(tables_503104!C88,input_503104!A:H,8,FALSE))</f>
        <v>1087930</v>
      </c>
      <c r="P88" s="46">
        <f t="shared" ca="1" si="4"/>
        <v>8.9028641571136519E-3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input_503104!A$2</f>
        <v>503104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IFERROR(VLOOKUP(B89,input_503104!L:R,7,FALSE),VLOOKUP(tables_503104!C89,input_503104!A:H,8,FALSE))</f>
        <v>25840.46154</v>
      </c>
      <c r="P89" s="46">
        <f t="shared" ca="1" si="4"/>
        <v>2.1146040540084366E-4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input_503104!A$2</f>
        <v>503104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IFERROR(VLOOKUP(B90,input_503104!L:R,7,FALSE),VLOOKUP(tables_503104!C90,input_503104!A:H,8,FALSE))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input_503104!A$2</f>
        <v>503104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IFERROR(VLOOKUP(B91,input_503104!L:R,7,FALSE),VLOOKUP(tables_503104!C91,input_503104!A:H,8,FALSE))</f>
        <v>1087930</v>
      </c>
      <c r="P91" s="46">
        <f t="shared" ca="1" si="4"/>
        <v>8.9028641571136519E-3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input_503104!A$2</f>
        <v>503104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IFERROR(VLOOKUP(B92,input_503104!L:R,7,FALSE),VLOOKUP(tables_503104!C92,input_503104!A:H,8,FALSE))</f>
        <v>25840.46154</v>
      </c>
      <c r="P92" s="46">
        <f t="shared" ca="1" si="4"/>
        <v>2.1146040540084366E-4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input_503104!A$2</f>
        <v>503104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IFERROR(VLOOKUP(B93,input_503104!L:R,7,FALSE),VLOOKUP(tables_503104!C93,input_503104!A:H,8,FALSE))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input_503104!A$2</f>
        <v>503104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IFERROR(VLOOKUP(B94,input_503104!L:R,7,FALSE),VLOOKUP(tables_503104!C94,input_503104!A:H,8,FALSE))</f>
        <v>1087930</v>
      </c>
      <c r="P94" s="46">
        <f t="shared" ca="1" si="4"/>
        <v>8.9028641571136519E-3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input_503104!A$2</f>
        <v>503104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IFERROR(VLOOKUP(B95,input_503104!L:R,7,FALSE),VLOOKUP(tables_503104!C95,input_503104!A:H,8,FALSE))</f>
        <v>25840.46154</v>
      </c>
      <c r="P95" s="46">
        <f t="shared" ca="1" si="4"/>
        <v>2.1146040540084366E-4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input_503104!A$2</f>
        <v>503104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IFERROR(VLOOKUP(B96,input_503104!L:R,7,FALSE),VLOOKUP(tables_503104!C96,input_503104!A:H,8,FALSE))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input_503104!A$2</f>
        <v>503104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IFERROR(VLOOKUP(B97,input_503104!L:R,7,FALSE),VLOOKUP(tables_503104!C97,input_503104!A:H,8,FALSE))</f>
        <v>1087930</v>
      </c>
      <c r="P97" s="46">
        <f t="shared" ca="1" si="4"/>
        <v>8.9028641571136519E-3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input_503104!A$2</f>
        <v>503104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IFERROR(VLOOKUP(B98,input_503104!L:R,7,FALSE),VLOOKUP(tables_503104!C98,input_503104!A:H,8,FALSE))</f>
        <v>25840.46154</v>
      </c>
      <c r="P98" s="46">
        <f t="shared" ca="1" si="4"/>
        <v>2.1146040540084366E-4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input_503104!A$2</f>
        <v>503104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IFERROR(VLOOKUP(B99,input_503104!L:R,7,FALSE),VLOOKUP(tables_503104!C99,input_503104!A:H,8,FALSE))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input_503104!A$2</f>
        <v>503104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IFERROR(VLOOKUP(B100,input_503104!L:R,7,FALSE),VLOOKUP(tables_503104!C100,input_503104!A:H,8,FALSE))</f>
        <v>1087930</v>
      </c>
      <c r="P100" s="46">
        <f t="shared" ca="1" si="4"/>
        <v>8.9028641571136519E-3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input_503104!A$2</f>
        <v>503104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IFERROR(VLOOKUP(B101,input_503104!L:R,7,FALSE),VLOOKUP(tables_503104!C101,input_503104!A:H,8,FALSE))</f>
        <v>25840.46154</v>
      </c>
      <c r="P101" s="46">
        <f t="shared" ca="1" si="4"/>
        <v>2.1146040540084366E-4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input_503104!A$2</f>
        <v>503104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IFERROR(VLOOKUP(B102,input_503104!L:R,7,FALSE),VLOOKUP(tables_503104!C102,input_503104!A:H,8,FALSE))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input_503104!A$2</f>
        <v>503104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IFERROR(VLOOKUP(B103,input_503104!L:R,7,FALSE),VLOOKUP(tables_503104!C103,input_503104!A:H,8,FALSE))</f>
        <v>1087930</v>
      </c>
      <c r="P103" s="46">
        <f t="shared" ca="1" si="4"/>
        <v>8.9028641571136519E-3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input_503104!A$2</f>
        <v>503104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IFERROR(VLOOKUP(B104,input_503104!L:R,7,FALSE),VLOOKUP(tables_503104!C104,input_503104!A:H,8,FALSE))</f>
        <v>25840.46154</v>
      </c>
      <c r="P104" s="46">
        <f t="shared" ca="1" si="4"/>
        <v>2.1146040540084366E-4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input_503104!A$2</f>
        <v>503104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IFERROR(VLOOKUP(B105,input_503104!L:R,7,FALSE),VLOOKUP(tables_503104!C105,input_503104!A:H,8,FALSE))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input_503104!A$2</f>
        <v>503104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IFERROR(VLOOKUP(B106,input_503104!L:R,7,FALSE),VLOOKUP(tables_503104!C106,input_503104!A:H,8,FALSE))</f>
        <v>1087930</v>
      </c>
      <c r="P106" s="46">
        <f t="shared" ca="1" si="4"/>
        <v>8.9028641571136519E-3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input_503104!A$2</f>
        <v>503104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IFERROR(VLOOKUP(B107,input_503104!L:R,7,FALSE),VLOOKUP(tables_503104!C107,input_503104!A:H,8,FALSE))</f>
        <v>25840.46154</v>
      </c>
      <c r="P107" s="46">
        <f t="shared" ca="1" si="4"/>
        <v>2.1146040540084366E-4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input_503104!A$2</f>
        <v>503104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IFERROR(VLOOKUP(B108,input_503104!L:R,7,FALSE),VLOOKUP(tables_503104!C108,input_503104!A:H,8,FALSE))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input_503104!A$2</f>
        <v>503104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IFERROR(VLOOKUP(B109,input_503104!L:R,7,FALSE),VLOOKUP(tables_503104!C109,input_503104!A:H,8,FALSE))</f>
        <v>1087930</v>
      </c>
      <c r="P109" s="46">
        <f t="shared" ca="1" si="4"/>
        <v>8.9028641571136519E-3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input_503104!A$2</f>
        <v>503104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IFERROR(VLOOKUP(B110,input_503104!L:R,7,FALSE),VLOOKUP(tables_503104!C110,input_503104!A:H,8,FALSE))</f>
        <v>25840.46154</v>
      </c>
      <c r="P110" s="46">
        <f t="shared" ca="1" si="4"/>
        <v>2.1146040540084366E-4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input_503104!A$2</f>
        <v>503104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IFERROR(VLOOKUP(B111,input_503104!L:R,7,FALSE),VLOOKUP(tables_503104!C111,input_503104!A:H,8,FALSE))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input_503104!A$2</f>
        <v>503104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IFERROR(VLOOKUP(B112,input_503104!L:R,7,FALSE),VLOOKUP(tables_503104!C112,input_503104!A:H,8,FALSE))</f>
        <v>1158430</v>
      </c>
      <c r="P112" s="46">
        <f t="shared" ca="1" si="4"/>
        <v>9.479787234036351E-3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input_503104!A$2</f>
        <v>503104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IFERROR(VLOOKUP(B113,input_503104!L:R,7,FALSE),VLOOKUP(tables_503104!C113,input_503104!A:H,8,FALSE))</f>
        <v>60970</v>
      </c>
      <c r="P113" s="46">
        <f t="shared" ca="1" si="4"/>
        <v>4.9893617021243958E-4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input_503104!A$2</f>
        <v>503104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IFERROR(VLOOKUP(B114,input_503104!L:R,7,FALSE),VLOOKUP(tables_503104!C114,input_503104!A:H,8,FALSE))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input_503104!A$2</f>
        <v>503104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IFERROR(VLOOKUP(B115,input_503104!L:R,7,FALSE),VLOOKUP(tables_503104!C115,input_503104!A:H,8,FALSE))</f>
        <v>1087930</v>
      </c>
      <c r="P115" s="46">
        <f t="shared" ca="1" si="4"/>
        <v>8.9028641571136519E-3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input_503104!A$2</f>
        <v>503104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IFERROR(VLOOKUP(B116,input_503104!L:R,7,FALSE),VLOOKUP(tables_503104!C116,input_503104!A:H,8,FALSE))</f>
        <v>25840.46154</v>
      </c>
      <c r="P116" s="46">
        <f t="shared" ca="1" si="4"/>
        <v>2.1146040540084366E-4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input_503104!A$2</f>
        <v>503104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IFERROR(VLOOKUP(B117,input_503104!L:R,7,FALSE),VLOOKUP(tables_503104!C117,input_503104!A:H,8,FALSE))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input_503104!A$2</f>
        <v>503104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IFERROR(VLOOKUP(B118,input_503104!L:R,7,FALSE),VLOOKUP(tables_503104!C118,input_503104!A:H,8,FALSE))</f>
        <v>1087930</v>
      </c>
      <c r="P118" s="46">
        <f t="shared" ca="1" si="4"/>
        <v>8.9028641571136519E-3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input_503104!A$2</f>
        <v>503104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IFERROR(VLOOKUP(B119,input_503104!L:R,7,FALSE),VLOOKUP(tables_503104!C119,input_503104!A:H,8,FALSE))</f>
        <v>25840.46154</v>
      </c>
      <c r="P119" s="46">
        <f t="shared" ca="1" si="4"/>
        <v>2.1146040540084366E-4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input_503104!A$2</f>
        <v>503104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IFERROR(VLOOKUP(B120,input_503104!L:R,7,FALSE),VLOOKUP(tables_503104!C120,input_503104!A:H,8,FALSE))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input_503104!A$2</f>
        <v>503104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IFERROR(VLOOKUP(B121,input_503104!L:R,7,FALSE),VLOOKUP(tables_503104!C121,input_503104!A:H,8,FALSE))</f>
        <v>1087930</v>
      </c>
      <c r="P121" s="46">
        <f t="shared" ca="1" si="4"/>
        <v>8.9028641571136519E-3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input_503104!A$2</f>
        <v>503104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IFERROR(VLOOKUP(B122,input_503104!L:R,7,FALSE),VLOOKUP(tables_503104!C122,input_503104!A:H,8,FALSE))</f>
        <v>25840.46154</v>
      </c>
      <c r="P122" s="46">
        <f t="shared" ca="1" si="4"/>
        <v>2.1146040540084366E-4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input_503104!A$2</f>
        <v>503104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IFERROR(VLOOKUP(B123,input_503104!L:R,7,FALSE),VLOOKUP(tables_503104!C123,input_503104!A:H,8,FALSE))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input_503104!A$2</f>
        <v>503104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IFERROR(VLOOKUP(B124,input_503104!L:R,7,FALSE),VLOOKUP(tables_503104!C124,input_503104!A:H,8,FALSE))</f>
        <v>1087930</v>
      </c>
      <c r="P124" s="46">
        <f t="shared" ca="1" si="4"/>
        <v>8.9028641571136519E-3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input_503104!A$2</f>
        <v>503104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IFERROR(VLOOKUP(B125,input_503104!L:R,7,FALSE),VLOOKUP(tables_503104!C125,input_503104!A:H,8,FALSE))</f>
        <v>25840.46154</v>
      </c>
      <c r="P125" s="46">
        <f t="shared" ca="1" si="4"/>
        <v>2.1146040540084366E-4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input_503104!A$2</f>
        <v>503104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IFERROR(VLOOKUP(B126,input_503104!L:R,7,FALSE),VLOOKUP(tables_503104!C126,input_503104!A:H,8,FALSE))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input_503104!A$2</f>
        <v>503104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IFERROR(VLOOKUP(B127,input_503104!L:R,7,FALSE),VLOOKUP(tables_503104!C127,input_503104!A:H,8,FALSE))</f>
        <v>1087930</v>
      </c>
      <c r="P127" s="46">
        <f t="shared" ca="1" si="4"/>
        <v>8.9028641571136519E-3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input_503104!A$2</f>
        <v>503104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IFERROR(VLOOKUP(B128,input_503104!L:R,7,FALSE),VLOOKUP(tables_503104!C128,input_503104!A:H,8,FALSE))</f>
        <v>25840.46154</v>
      </c>
      <c r="P128" s="46">
        <f t="shared" ca="1" si="4"/>
        <v>2.1146040540084366E-4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input_503104!A$2</f>
        <v>503104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IFERROR(VLOOKUP(B129,input_503104!L:R,7,FALSE),VLOOKUP(tables_503104!C129,input_503104!A:H,8,FALSE))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input_503104!A$2</f>
        <v>503104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IFERROR(VLOOKUP(B130,input_503104!L:R,7,FALSE),VLOOKUP(tables_503104!C130,input_503104!A:H,8,FALSE))</f>
        <v>1087930</v>
      </c>
      <c r="P130" s="46">
        <f t="shared" ref="P130:P193" ca="1" si="7">O130/SUM(O:O)</f>
        <v>8.9028641571136519E-3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input_503104!A$2</f>
        <v>503104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IFERROR(VLOOKUP(B131,input_503104!L:R,7,FALSE),VLOOKUP(tables_503104!C131,input_503104!A:H,8,FALSE))</f>
        <v>25840.46154</v>
      </c>
      <c r="P131" s="46">
        <f t="shared" ca="1" si="7"/>
        <v>2.1146040540084366E-4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input_503104!A$2</f>
        <v>503104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IFERROR(VLOOKUP(B132,input_503104!L:R,7,FALSE),VLOOKUP(tables_503104!C132,input_503104!A:H,8,FALSE))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input_503104!A$2</f>
        <v>503104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IFERROR(VLOOKUP(B133,input_503104!L:R,7,FALSE),VLOOKUP(tables_503104!C133,input_503104!A:H,8,FALSE))</f>
        <v>1087930</v>
      </c>
      <c r="P133" s="46">
        <f t="shared" ca="1" si="7"/>
        <v>8.9028641571136519E-3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input_503104!A$2</f>
        <v>503104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IFERROR(VLOOKUP(B134,input_503104!L:R,7,FALSE),VLOOKUP(tables_503104!C134,input_503104!A:H,8,FALSE))</f>
        <v>25840.46154</v>
      </c>
      <c r="P134" s="46">
        <f t="shared" ca="1" si="7"/>
        <v>2.1146040540084366E-4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input_503104!A$2</f>
        <v>503104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IFERROR(VLOOKUP(B135,input_503104!L:R,7,FALSE),VLOOKUP(tables_503104!C135,input_503104!A:H,8,FALSE))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input_503104!A$2</f>
        <v>503104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IFERROR(VLOOKUP(B136,input_503104!L:R,7,FALSE),VLOOKUP(tables_503104!C136,input_503104!A:H,8,FALSE))</f>
        <v>1087930</v>
      </c>
      <c r="P136" s="46">
        <f t="shared" ca="1" si="7"/>
        <v>8.9028641571136519E-3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input_503104!A$2</f>
        <v>503104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IFERROR(VLOOKUP(B137,input_503104!L:R,7,FALSE),VLOOKUP(tables_503104!C137,input_503104!A:H,8,FALSE))</f>
        <v>25840.46154</v>
      </c>
      <c r="P137" s="46">
        <f t="shared" ca="1" si="7"/>
        <v>2.1146040540084366E-4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input_503104!A$2</f>
        <v>503104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IFERROR(VLOOKUP(B138,input_503104!L:R,7,FALSE),VLOOKUP(tables_503104!C138,input_503104!A:H,8,FALSE))</f>
        <v>117688</v>
      </c>
      <c r="P138" s="46">
        <f t="shared" ca="1" si="7"/>
        <v>9.6307692307629302E-4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input_503104!A$2</f>
        <v>503104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IFERROR(VLOOKUP(B139,input_503104!L:R,7,FALSE),VLOOKUP(tables_503104!C139,input_503104!A:H,8,FALSE))</f>
        <v>3572</v>
      </c>
      <c r="P139" s="46">
        <f t="shared" ca="1" si="7"/>
        <v>2.9230769230750108E-5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input_503104!A$2</f>
        <v>503104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IFERROR(VLOOKUP(B140,input_503104!L:R,7,FALSE),VLOOKUP(tables_503104!C140,input_503104!A:H,8,FALSE))</f>
        <v>117688</v>
      </c>
      <c r="P140" s="46">
        <f t="shared" ca="1" si="7"/>
        <v>9.6307692307629302E-4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input_503104!A$2</f>
        <v>503104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IFERROR(VLOOKUP(B141,input_503104!L:R,7,FALSE),VLOOKUP(tables_503104!C141,input_503104!A:H,8,FALSE))</f>
        <v>3572</v>
      </c>
      <c r="P141" s="46">
        <f t="shared" ca="1" si="7"/>
        <v>2.9230769230750108E-5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input_503104!A$2</f>
        <v>503104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IFERROR(VLOOKUP(B142,input_503104!L:R,7,FALSE),VLOOKUP(tables_503104!C142,input_503104!A:H,8,FALSE))</f>
        <v>117688</v>
      </c>
      <c r="P142" s="46">
        <f t="shared" ca="1" si="7"/>
        <v>9.6307692307629302E-4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input_503104!A$2</f>
        <v>503104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IFERROR(VLOOKUP(B143,input_503104!L:R,7,FALSE),VLOOKUP(tables_503104!C143,input_503104!A:H,8,FALSE))</f>
        <v>3572</v>
      </c>
      <c r="P143" s="46">
        <f t="shared" ca="1" si="7"/>
        <v>2.9230769230750108E-5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input_503104!A$2</f>
        <v>503104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IFERROR(VLOOKUP(B144,input_503104!L:R,7,FALSE),VLOOKUP(tables_503104!C144,input_503104!A:H,8,FALSE))</f>
        <v>117688</v>
      </c>
      <c r="P144" s="46">
        <f t="shared" ca="1" si="7"/>
        <v>9.6307692307629302E-4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input_503104!A$2</f>
        <v>503104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IFERROR(VLOOKUP(B145,input_503104!L:R,7,FALSE),VLOOKUP(tables_503104!C145,input_503104!A:H,8,FALSE))</f>
        <v>3572</v>
      </c>
      <c r="P145" s="46">
        <f t="shared" ca="1" si="7"/>
        <v>2.9230769230750108E-5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input_503104!A$2</f>
        <v>503104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IFERROR(VLOOKUP(B146,input_503104!L:R,7,FALSE),VLOOKUP(tables_503104!C146,input_503104!A:H,8,FALSE))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input_503104!A$2</f>
        <v>503104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IFERROR(VLOOKUP(B147,input_503104!L:R,7,FALSE),VLOOKUP(tables_503104!C147,input_503104!A:H,8,FALSE))</f>
        <v>1087930</v>
      </c>
      <c r="P147" s="46">
        <f t="shared" ca="1" si="7"/>
        <v>8.9028641571136519E-3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input_503104!A$2</f>
        <v>503104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IFERROR(VLOOKUP(B148,input_503104!L:R,7,FALSE),VLOOKUP(tables_503104!C148,input_503104!A:H,8,FALSE))</f>
        <v>25840.46154</v>
      </c>
      <c r="P148" s="46">
        <f t="shared" ca="1" si="7"/>
        <v>2.1146040540084366E-4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input_503104!A$2</f>
        <v>503104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IFERROR(VLOOKUP(B149,input_503104!L:R,7,FALSE),VLOOKUP(tables_503104!C149,input_503104!A:H,8,FALSE))</f>
        <v>117688</v>
      </c>
      <c r="P149" s="46">
        <f t="shared" ca="1" si="7"/>
        <v>9.6307692307629302E-4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input_503104!A$2</f>
        <v>503104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IFERROR(VLOOKUP(B150,input_503104!L:R,7,FALSE),VLOOKUP(tables_503104!C150,input_503104!A:H,8,FALSE))</f>
        <v>3572</v>
      </c>
      <c r="P150" s="46">
        <f t="shared" ca="1" si="7"/>
        <v>2.9230769230750108E-5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input_503104!A$2</f>
        <v>503104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IFERROR(VLOOKUP(B151,input_503104!L:R,7,FALSE),VLOOKUP(tables_503104!C151,input_503104!A:H,8,FALSE))</f>
        <v>117688</v>
      </c>
      <c r="P151" s="46">
        <f t="shared" ca="1" si="7"/>
        <v>9.6307692307629302E-4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input_503104!A$2</f>
        <v>503104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IFERROR(VLOOKUP(B152,input_503104!L:R,7,FALSE),VLOOKUP(tables_503104!C152,input_503104!A:H,8,FALSE))</f>
        <v>3572</v>
      </c>
      <c r="P152" s="46">
        <f t="shared" ca="1" si="7"/>
        <v>2.9230769230750108E-5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input_503104!A$2</f>
        <v>503104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IFERROR(VLOOKUP(B153,input_503104!L:R,7,FALSE),VLOOKUP(tables_503104!C153,input_503104!A:H,8,FALSE))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input_503104!A$2</f>
        <v>503104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IFERROR(VLOOKUP(B154,input_503104!L:R,7,FALSE),VLOOKUP(tables_503104!C154,input_503104!A:H,8,FALSE))</f>
        <v>1087930</v>
      </c>
      <c r="P154" s="46">
        <f t="shared" ca="1" si="7"/>
        <v>8.9028641571136519E-3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input_503104!A$2</f>
        <v>503104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IFERROR(VLOOKUP(B155,input_503104!L:R,7,FALSE),VLOOKUP(tables_503104!C155,input_503104!A:H,8,FALSE))</f>
        <v>25840.46154</v>
      </c>
      <c r="P155" s="46">
        <f t="shared" ca="1" si="7"/>
        <v>2.1146040540084366E-4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input_503104!A$2</f>
        <v>503104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IFERROR(VLOOKUP(B156,input_503104!L:R,7,FALSE),VLOOKUP(tables_503104!C156,input_503104!A:H,8,FALSE))</f>
        <v>117688</v>
      </c>
      <c r="P156" s="46">
        <f t="shared" ca="1" si="7"/>
        <v>9.6307692307629302E-4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input_503104!A$2</f>
        <v>503104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IFERROR(VLOOKUP(B157,input_503104!L:R,7,FALSE),VLOOKUP(tables_503104!C157,input_503104!A:H,8,FALSE))</f>
        <v>3572</v>
      </c>
      <c r="P157" s="46">
        <f t="shared" ca="1" si="7"/>
        <v>2.9230769230750108E-5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input_503104!A$2</f>
        <v>503104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IFERROR(VLOOKUP(B158,input_503104!L:R,7,FALSE),VLOOKUP(tables_503104!C158,input_503104!A:H,8,FALSE))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input_503104!A$2</f>
        <v>503104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IFERROR(VLOOKUP(B159,input_503104!L:R,7,FALSE),VLOOKUP(tables_503104!C159,input_503104!A:H,8,FALSE))</f>
        <v>1087930</v>
      </c>
      <c r="P159" s="46">
        <f t="shared" ca="1" si="7"/>
        <v>8.9028641571136519E-3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input_503104!A$2</f>
        <v>503104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IFERROR(VLOOKUP(B160,input_503104!L:R,7,FALSE),VLOOKUP(tables_503104!C160,input_503104!A:H,8,FALSE))</f>
        <v>25840.46154</v>
      </c>
      <c r="P160" s="46">
        <f t="shared" ca="1" si="7"/>
        <v>2.1146040540084366E-4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input_503104!A$2</f>
        <v>503104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IFERROR(VLOOKUP(B161,input_503104!L:R,7,FALSE),VLOOKUP(tables_503104!C161,input_503104!A:H,8,FALSE))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input_503104!A$2</f>
        <v>503104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IFERROR(VLOOKUP(B162,input_503104!L:R,7,FALSE),VLOOKUP(tables_503104!C162,input_503104!A:H,8,FALSE))</f>
        <v>1087930</v>
      </c>
      <c r="P162" s="46">
        <f t="shared" ca="1" si="7"/>
        <v>8.9028641571136519E-3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input_503104!A$2</f>
        <v>503104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IFERROR(VLOOKUP(B163,input_503104!L:R,7,FALSE),VLOOKUP(tables_503104!C163,input_503104!A:H,8,FALSE))</f>
        <v>25840.46154</v>
      </c>
      <c r="P163" s="46">
        <f t="shared" ca="1" si="7"/>
        <v>2.1146040540084366E-4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input_503104!A$2</f>
        <v>503104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IFERROR(VLOOKUP(B164,input_503104!L:R,7,FALSE),VLOOKUP(tables_503104!C164,input_503104!A:H,8,FALSE))</f>
        <v>117688</v>
      </c>
      <c r="P164" s="46">
        <f t="shared" ca="1" si="7"/>
        <v>9.6307692307629302E-4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input_503104!A$2</f>
        <v>503104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IFERROR(VLOOKUP(B165,input_503104!L:R,7,FALSE),VLOOKUP(tables_503104!C165,input_503104!A:H,8,FALSE))</f>
        <v>3572</v>
      </c>
      <c r="P165" s="46">
        <f t="shared" ca="1" si="7"/>
        <v>2.9230769230750108E-5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input_503104!A$2</f>
        <v>503104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IFERROR(VLOOKUP(B166,input_503104!L:R,7,FALSE),VLOOKUP(tables_503104!C166,input_503104!A:H,8,FALSE))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input_503104!A$2</f>
        <v>503104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IFERROR(VLOOKUP(B167,input_503104!L:R,7,FALSE),VLOOKUP(tables_503104!C167,input_503104!A:H,8,FALSE))</f>
        <v>1087930</v>
      </c>
      <c r="P167" s="46">
        <f t="shared" ca="1" si="7"/>
        <v>8.9028641571136519E-3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input_503104!A$2</f>
        <v>503104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IFERROR(VLOOKUP(B168,input_503104!L:R,7,FALSE),VLOOKUP(tables_503104!C168,input_503104!A:H,8,FALSE))</f>
        <v>25840.46154</v>
      </c>
      <c r="P168" s="46">
        <f t="shared" ca="1" si="7"/>
        <v>2.1146040540084366E-4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input_503104!A$2</f>
        <v>503104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IFERROR(VLOOKUP(B169,input_503104!L:R,7,FALSE),VLOOKUP(tables_503104!C169,input_503104!A:H,8,FALSE))</f>
        <v>117688</v>
      </c>
      <c r="P169" s="46">
        <f t="shared" ca="1" si="7"/>
        <v>9.6307692307629302E-4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input_503104!A$2</f>
        <v>503104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IFERROR(VLOOKUP(B170,input_503104!L:R,7,FALSE),VLOOKUP(tables_503104!C170,input_503104!A:H,8,FALSE))</f>
        <v>3572</v>
      </c>
      <c r="P170" s="46">
        <f t="shared" ca="1" si="7"/>
        <v>2.9230769230750108E-5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input_503104!A$2</f>
        <v>503104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IFERROR(VLOOKUP(B171,input_503104!L:R,7,FALSE),VLOOKUP(tables_503104!C171,input_503104!A:H,8,FALSE))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input_503104!A$2</f>
        <v>503104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IFERROR(VLOOKUP(B172,input_503104!L:R,7,FALSE),VLOOKUP(tables_503104!C172,input_503104!A:H,8,FALSE))</f>
        <v>1087930</v>
      </c>
      <c r="P172" s="46">
        <f t="shared" ca="1" si="7"/>
        <v>8.9028641571136519E-3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input_503104!A$2</f>
        <v>503104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IFERROR(VLOOKUP(B173,input_503104!L:R,7,FALSE),VLOOKUP(tables_503104!C173,input_503104!A:H,8,FALSE))</f>
        <v>25840.46154</v>
      </c>
      <c r="P173" s="46">
        <f t="shared" ca="1" si="7"/>
        <v>2.1146040540084366E-4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input_503104!A$2</f>
        <v>503104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IFERROR(VLOOKUP(B174,input_503104!L:R,7,FALSE),VLOOKUP(tables_503104!C174,input_503104!A:H,8,FALSE))</f>
        <v>117688</v>
      </c>
      <c r="P174" s="46">
        <f t="shared" ca="1" si="7"/>
        <v>9.6307692307629302E-4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input_503104!A$2</f>
        <v>503104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IFERROR(VLOOKUP(B175,input_503104!L:R,7,FALSE),VLOOKUP(tables_503104!C175,input_503104!A:H,8,FALSE))</f>
        <v>3572</v>
      </c>
      <c r="P175" s="46">
        <f t="shared" ca="1" si="7"/>
        <v>2.9230769230750108E-5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input_503104!A$2</f>
        <v>503104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IFERROR(VLOOKUP(B176,input_503104!L:R,7,FALSE),VLOOKUP(tables_503104!C176,input_503104!A:H,8,FALSE))</f>
        <v>117688</v>
      </c>
      <c r="P176" s="46">
        <f t="shared" ca="1" si="7"/>
        <v>9.6307692307629302E-4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input_503104!A$2</f>
        <v>503104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IFERROR(VLOOKUP(B177,input_503104!L:R,7,FALSE),VLOOKUP(tables_503104!C177,input_503104!A:H,8,FALSE))</f>
        <v>3572</v>
      </c>
      <c r="P177" s="46">
        <f t="shared" ca="1" si="7"/>
        <v>2.9230769230750108E-5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input_503104!A$2</f>
        <v>503104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IFERROR(VLOOKUP(B178,input_503104!L:R,7,FALSE),VLOOKUP(tables_503104!C178,input_503104!A:H,8,FALSE))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input_503104!A$2</f>
        <v>503104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IFERROR(VLOOKUP(B179,input_503104!L:R,7,FALSE),VLOOKUP(tables_503104!C179,input_503104!A:H,8,FALSE))</f>
        <v>1087930</v>
      </c>
      <c r="P179" s="46">
        <f t="shared" ca="1" si="7"/>
        <v>8.9028641571136519E-3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input_503104!A$2</f>
        <v>503104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IFERROR(VLOOKUP(B180,input_503104!L:R,7,FALSE),VLOOKUP(tables_503104!C180,input_503104!A:H,8,FALSE))</f>
        <v>25840.46154</v>
      </c>
      <c r="P180" s="46">
        <f t="shared" ca="1" si="7"/>
        <v>2.1146040540084366E-4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input_503104!A$2</f>
        <v>503104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IFERROR(VLOOKUP(B181,input_503104!L:R,7,FALSE),VLOOKUP(tables_503104!C181,input_503104!A:H,8,FALSE))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input_503104!A$2</f>
        <v>503104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IFERROR(VLOOKUP(B182,input_503104!L:R,7,FALSE),VLOOKUP(tables_503104!C182,input_503104!A:H,8,FALSE))</f>
        <v>1087930</v>
      </c>
      <c r="P182" s="46">
        <f t="shared" ca="1" si="7"/>
        <v>8.9028641571136519E-3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input_503104!A$2</f>
        <v>503104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IFERROR(VLOOKUP(B183,input_503104!L:R,7,FALSE),VLOOKUP(tables_503104!C183,input_503104!A:H,8,FALSE))</f>
        <v>25840.46154</v>
      </c>
      <c r="P183" s="46">
        <f t="shared" ca="1" si="7"/>
        <v>2.1146040540084366E-4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input_503104!A$2</f>
        <v>503104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IFERROR(VLOOKUP(B184,input_503104!L:R,7,FALSE),VLOOKUP(tables_503104!C184,input_503104!A:H,8,FALSE))</f>
        <v>117688</v>
      </c>
      <c r="P184" s="46">
        <f t="shared" ca="1" si="7"/>
        <v>9.6307692307629302E-4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input_503104!A$2</f>
        <v>503104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IFERROR(VLOOKUP(B185,input_503104!L:R,7,FALSE),VLOOKUP(tables_503104!C185,input_503104!A:H,8,FALSE))</f>
        <v>3572</v>
      </c>
      <c r="P185" s="46">
        <f t="shared" ca="1" si="7"/>
        <v>2.9230769230750108E-5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input_503104!A$2</f>
        <v>503104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IFERROR(VLOOKUP(B186,input_503104!L:R,7,FALSE),VLOOKUP(tables_503104!C186,input_503104!A:H,8,FALSE))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input_503104!A$2</f>
        <v>503104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IFERROR(VLOOKUP(B187,input_503104!L:R,7,FALSE),VLOOKUP(tables_503104!C187,input_503104!A:H,8,FALSE))</f>
        <v>1087930</v>
      </c>
      <c r="P187" s="46">
        <f t="shared" ca="1" si="7"/>
        <v>8.9028641571136519E-3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input_503104!A$2</f>
        <v>503104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IFERROR(VLOOKUP(B188,input_503104!L:R,7,FALSE),VLOOKUP(tables_503104!C188,input_503104!A:H,8,FALSE))</f>
        <v>25840.46154</v>
      </c>
      <c r="P188" s="46">
        <f t="shared" ca="1" si="7"/>
        <v>2.1146040540084366E-4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input_503104!A$2</f>
        <v>503104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IFERROR(VLOOKUP(B189,input_503104!L:R,7,FALSE),VLOOKUP(tables_503104!C189,input_503104!A:H,8,FALSE))</f>
        <v>117688</v>
      </c>
      <c r="P189" s="46">
        <f t="shared" ca="1" si="7"/>
        <v>9.6307692307629302E-4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input_503104!A$2</f>
        <v>503104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IFERROR(VLOOKUP(B190,input_503104!L:R,7,FALSE),VLOOKUP(tables_503104!C190,input_503104!A:H,8,FALSE))</f>
        <v>3572</v>
      </c>
      <c r="P190" s="46">
        <f t="shared" ca="1" si="7"/>
        <v>2.9230769230750108E-5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input_503104!A$2</f>
        <v>503104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IFERROR(VLOOKUP(B191,input_503104!L:R,7,FALSE),VLOOKUP(tables_503104!C191,input_503104!A:H,8,FALSE))</f>
        <v>117688</v>
      </c>
      <c r="P191" s="46">
        <f t="shared" ca="1" si="7"/>
        <v>9.6307692307629302E-4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input_503104!A$2</f>
        <v>503104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IFERROR(VLOOKUP(B192,input_503104!L:R,7,FALSE),VLOOKUP(tables_503104!C192,input_503104!A:H,8,FALSE))</f>
        <v>3572</v>
      </c>
      <c r="P192" s="46">
        <f t="shared" ca="1" si="7"/>
        <v>2.9230769230750108E-5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input_503104!A$2</f>
        <v>503104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IFERROR(VLOOKUP(B193,input_503104!L:R,7,FALSE),VLOOKUP(tables_503104!C193,input_503104!A:H,8,FALSE))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input_503104!A$2</f>
        <v>503104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IFERROR(VLOOKUP(B194,input_503104!L:R,7,FALSE),VLOOKUP(tables_503104!C194,input_503104!A:H,8,FALSE))</f>
        <v>1087930</v>
      </c>
      <c r="P194" s="46">
        <f t="shared" ref="P194:P257" ca="1" si="10">O194/SUM(O:O)</f>
        <v>8.9028641571136519E-3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input_503104!A$2</f>
        <v>503104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IFERROR(VLOOKUP(B195,input_503104!L:R,7,FALSE),VLOOKUP(tables_503104!C195,input_503104!A:H,8,FALSE))</f>
        <v>25840.46154</v>
      </c>
      <c r="P195" s="46">
        <f t="shared" ca="1" si="10"/>
        <v>2.1146040540084366E-4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input_503104!A$2</f>
        <v>503104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IFERROR(VLOOKUP(B196,input_503104!L:R,7,FALSE),VLOOKUP(tables_503104!C196,input_503104!A:H,8,FALSE))</f>
        <v>117688</v>
      </c>
      <c r="P196" s="46">
        <f t="shared" ca="1" si="10"/>
        <v>9.6307692307629302E-4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input_503104!A$2</f>
        <v>503104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IFERROR(VLOOKUP(B197,input_503104!L:R,7,FALSE),VLOOKUP(tables_503104!C197,input_503104!A:H,8,FALSE))</f>
        <v>3572</v>
      </c>
      <c r="P197" s="46">
        <f t="shared" ca="1" si="10"/>
        <v>2.9230769230750108E-5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input_503104!A$2</f>
        <v>503104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IFERROR(VLOOKUP(B198,input_503104!L:R,7,FALSE),VLOOKUP(tables_503104!C198,input_503104!A:H,8,FALSE))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input_503104!A$2</f>
        <v>503104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IFERROR(VLOOKUP(B199,input_503104!L:R,7,FALSE),VLOOKUP(tables_503104!C199,input_503104!A:H,8,FALSE))</f>
        <v>1087930</v>
      </c>
      <c r="P199" s="46">
        <f t="shared" ca="1" si="10"/>
        <v>8.9028641571136519E-3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input_503104!A$2</f>
        <v>503104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IFERROR(VLOOKUP(B200,input_503104!L:R,7,FALSE),VLOOKUP(tables_503104!C200,input_503104!A:H,8,FALSE))</f>
        <v>25840.46154</v>
      </c>
      <c r="P200" s="46">
        <f t="shared" ca="1" si="10"/>
        <v>2.1146040540084366E-4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input_503104!A$2</f>
        <v>503104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IFERROR(VLOOKUP(B201,input_503104!L:R,7,FALSE),VLOOKUP(tables_503104!C201,input_503104!A:H,8,FALSE))</f>
        <v>117688</v>
      </c>
      <c r="P201" s="46">
        <f t="shared" ca="1" si="10"/>
        <v>9.6307692307629302E-4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input_503104!A$2</f>
        <v>503104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IFERROR(VLOOKUP(B202,input_503104!L:R,7,FALSE),VLOOKUP(tables_503104!C202,input_503104!A:H,8,FALSE))</f>
        <v>3572</v>
      </c>
      <c r="P202" s="46">
        <f t="shared" ca="1" si="10"/>
        <v>2.9230769230750108E-5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input_503104!A$2</f>
        <v>503104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IFERROR(VLOOKUP(B203,input_503104!L:R,7,FALSE),VLOOKUP(tables_503104!C203,input_503104!A:H,8,FALSE))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input_503104!A$2</f>
        <v>503104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IFERROR(VLOOKUP(B204,input_503104!L:R,7,FALSE),VLOOKUP(tables_503104!C204,input_503104!A:H,8,FALSE))</f>
        <v>1087930</v>
      </c>
      <c r="P204" s="46">
        <f t="shared" ca="1" si="10"/>
        <v>8.9028641571136519E-3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input_503104!A$2</f>
        <v>503104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IFERROR(VLOOKUP(B205,input_503104!L:R,7,FALSE),VLOOKUP(tables_503104!C205,input_503104!A:H,8,FALSE))</f>
        <v>25840.46154</v>
      </c>
      <c r="P205" s="46">
        <f t="shared" ca="1" si="10"/>
        <v>2.1146040540084366E-4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input_503104!A$2</f>
        <v>503104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IFERROR(VLOOKUP(B206,input_503104!L:R,7,FALSE),VLOOKUP(tables_503104!C206,input_503104!A:H,8,FALSE))</f>
        <v>117688</v>
      </c>
      <c r="P206" s="46">
        <f t="shared" ca="1" si="10"/>
        <v>9.6307692307629302E-4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input_503104!A$2</f>
        <v>503104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IFERROR(VLOOKUP(B207,input_503104!L:R,7,FALSE),VLOOKUP(tables_503104!C207,input_503104!A:H,8,FALSE))</f>
        <v>3572</v>
      </c>
      <c r="P207" s="46">
        <f t="shared" ca="1" si="10"/>
        <v>2.9230769230750108E-5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input_503104!A$2</f>
        <v>503104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IFERROR(VLOOKUP(B208,input_503104!L:R,7,FALSE),VLOOKUP(tables_503104!C208,input_503104!A:H,8,FALSE))</f>
        <v>117688</v>
      </c>
      <c r="P208" s="46">
        <f t="shared" ca="1" si="10"/>
        <v>9.6307692307629302E-4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input_503104!A$2</f>
        <v>503104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IFERROR(VLOOKUP(B209,input_503104!L:R,7,FALSE),VLOOKUP(tables_503104!C209,input_503104!A:H,8,FALSE))</f>
        <v>3572</v>
      </c>
      <c r="P209" s="46">
        <f t="shared" ca="1" si="10"/>
        <v>2.9230769230750108E-5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input_503104!A$2</f>
        <v>503104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IFERROR(VLOOKUP(B210,input_503104!L:R,7,FALSE),VLOOKUP(tables_503104!C210,input_503104!A:H,8,FALSE))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input_503104!A$2</f>
        <v>503104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IFERROR(VLOOKUP(B211,input_503104!L:R,7,FALSE),VLOOKUP(tables_503104!C211,input_503104!A:H,8,FALSE))</f>
        <v>1087930</v>
      </c>
      <c r="P211" s="46">
        <f t="shared" ca="1" si="10"/>
        <v>8.9028641571136519E-3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input_503104!A$2</f>
        <v>503104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IFERROR(VLOOKUP(B212,input_503104!L:R,7,FALSE),VLOOKUP(tables_503104!C212,input_503104!A:H,8,FALSE))</f>
        <v>25840.46154</v>
      </c>
      <c r="P212" s="46">
        <f t="shared" ca="1" si="10"/>
        <v>2.1146040540084366E-4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input_503104!A$2</f>
        <v>503104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IFERROR(VLOOKUP(B213,input_503104!L:R,7,FALSE),VLOOKUP(tables_503104!C213,input_503104!A:H,8,FALSE))</f>
        <v>117688</v>
      </c>
      <c r="P213" s="46">
        <f t="shared" ca="1" si="10"/>
        <v>9.6307692307629302E-4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input_503104!A$2</f>
        <v>503104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IFERROR(VLOOKUP(B214,input_503104!L:R,7,FALSE),VLOOKUP(tables_503104!C214,input_503104!A:H,8,FALSE))</f>
        <v>3572</v>
      </c>
      <c r="P214" s="46">
        <f t="shared" ca="1" si="10"/>
        <v>2.9230769230750108E-5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input_503104!A$2</f>
        <v>503104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IFERROR(VLOOKUP(B215,input_503104!L:R,7,FALSE),VLOOKUP(tables_503104!C215,input_503104!A:H,8,FALSE))</f>
        <v>10053.333329999999</v>
      </c>
      <c r="P215" s="46">
        <f t="shared" ca="1" si="10"/>
        <v>8.2269503518767772E-5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input_503104!A$2</f>
        <v>503104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IFERROR(VLOOKUP(B216,input_503104!L:R,7,FALSE),VLOOKUP(tables_503104!C216,input_503104!A:H,8,FALSE))</f>
        <v>10053.333329999999</v>
      </c>
      <c r="P216" s="46">
        <f t="shared" ca="1" si="10"/>
        <v>8.2269503518767772E-5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input_503104!A$2</f>
        <v>503104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IFERROR(VLOOKUP(B217,input_503104!L:R,7,FALSE),VLOOKUP(tables_503104!C217,input_503104!A:H,8,FALSE))</f>
        <v>10053.333329999999</v>
      </c>
      <c r="P217" s="46">
        <f t="shared" ca="1" si="10"/>
        <v>8.2269503518767772E-5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input_503104!A$2</f>
        <v>503104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IFERROR(VLOOKUP(B218,input_503104!L:R,7,FALSE),VLOOKUP(tables_503104!C218,input_503104!A:H,8,FALSE))</f>
        <v>10053.333329999999</v>
      </c>
      <c r="P218" s="46">
        <f t="shared" ca="1" si="10"/>
        <v>8.2269503518767772E-5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input_503104!A$2</f>
        <v>503104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IFERROR(VLOOKUP(B219,input_503104!L:R,7,FALSE),VLOOKUP(tables_503104!C219,input_503104!A:H,8,FALSE))</f>
        <v>10053.333329999999</v>
      </c>
      <c r="P219" s="46">
        <f t="shared" ca="1" si="10"/>
        <v>8.2269503518767772E-5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input_503104!A$2</f>
        <v>503104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IFERROR(VLOOKUP(B220,input_503104!L:R,7,FALSE),VLOOKUP(tables_503104!C220,input_503104!A:H,8,FALSE))</f>
        <v>10053.333329999999</v>
      </c>
      <c r="P220" s="46">
        <f t="shared" ca="1" si="10"/>
        <v>8.2269503518767772E-5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input_503104!A$2</f>
        <v>503104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IFERROR(VLOOKUP(B221,input_503104!L:R,7,FALSE),VLOOKUP(tables_503104!C221,input_503104!A:H,8,FALSE))</f>
        <v>117688</v>
      </c>
      <c r="P221" s="46">
        <f t="shared" ca="1" si="10"/>
        <v>9.6307692307629302E-4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input_503104!A$2</f>
        <v>503104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IFERROR(VLOOKUP(B222,input_503104!L:R,7,FALSE),VLOOKUP(tables_503104!C222,input_503104!A:H,8,FALSE))</f>
        <v>3572</v>
      </c>
      <c r="P222" s="46">
        <f t="shared" ca="1" si="10"/>
        <v>2.9230769230750108E-5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input_503104!A$2</f>
        <v>503104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IFERROR(VLOOKUP(B223,input_503104!L:R,7,FALSE),VLOOKUP(tables_503104!C223,input_503104!A:H,8,FALSE))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input_503104!A$2</f>
        <v>503104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IFERROR(VLOOKUP(B224,input_503104!L:R,7,FALSE),VLOOKUP(tables_503104!C224,input_503104!A:H,8,FALSE))</f>
        <v>1087930</v>
      </c>
      <c r="P224" s="46">
        <f t="shared" ca="1" si="10"/>
        <v>8.9028641571136519E-3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input_503104!A$2</f>
        <v>503104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IFERROR(VLOOKUP(B225,input_503104!L:R,7,FALSE),VLOOKUP(tables_503104!C225,input_503104!A:H,8,FALSE))</f>
        <v>25840.46154</v>
      </c>
      <c r="P225" s="46">
        <f t="shared" ca="1" si="10"/>
        <v>2.1146040540084366E-4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input_503104!A$2</f>
        <v>503104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IFERROR(VLOOKUP(B226,input_503104!L:R,7,FALSE),VLOOKUP(tables_503104!C226,input_503104!A:H,8,FALSE))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input_503104!A$2</f>
        <v>503104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IFERROR(VLOOKUP(B227,input_503104!L:R,7,FALSE),VLOOKUP(tables_503104!C227,input_503104!A:H,8,FALSE))</f>
        <v>1087930</v>
      </c>
      <c r="P227" s="46">
        <f t="shared" ca="1" si="10"/>
        <v>8.9028641571136519E-3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input_503104!A$2</f>
        <v>503104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IFERROR(VLOOKUP(B228,input_503104!L:R,7,FALSE),VLOOKUP(tables_503104!C228,input_503104!A:H,8,FALSE))</f>
        <v>25840.46154</v>
      </c>
      <c r="P228" s="46">
        <f t="shared" ca="1" si="10"/>
        <v>2.1146040540084366E-4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input_503104!A$2</f>
        <v>503104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IFERROR(VLOOKUP(B229,input_503104!L:R,7,FALSE),VLOOKUP(tables_503104!C229,input_503104!A:H,8,FALSE))</f>
        <v>117688</v>
      </c>
      <c r="P229" s="46">
        <f t="shared" ca="1" si="10"/>
        <v>9.6307692307629302E-4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input_503104!A$2</f>
        <v>503104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IFERROR(VLOOKUP(B230,input_503104!L:R,7,FALSE),VLOOKUP(tables_503104!C230,input_503104!A:H,8,FALSE))</f>
        <v>3572</v>
      </c>
      <c r="P230" s="46">
        <f t="shared" ca="1" si="10"/>
        <v>2.9230769230750108E-5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input_503104!A$2</f>
        <v>503104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IFERROR(VLOOKUP(B231,input_503104!L:R,7,FALSE),VLOOKUP(tables_503104!C231,input_503104!A:H,8,FALSE))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input_503104!A$2</f>
        <v>503104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IFERROR(VLOOKUP(B232,input_503104!L:R,7,FALSE),VLOOKUP(tables_503104!C232,input_503104!A:H,8,FALSE))</f>
        <v>1087930</v>
      </c>
      <c r="P232" s="46">
        <f t="shared" ca="1" si="10"/>
        <v>8.9028641571136519E-3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input_503104!A$2</f>
        <v>503104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IFERROR(VLOOKUP(B233,input_503104!L:R,7,FALSE),VLOOKUP(tables_503104!C233,input_503104!A:H,8,FALSE))</f>
        <v>25840.46154</v>
      </c>
      <c r="P233" s="46">
        <f t="shared" ca="1" si="10"/>
        <v>2.1146040540084366E-4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input_503104!A$2</f>
        <v>503104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IFERROR(VLOOKUP(B234,input_503104!L:R,7,FALSE),VLOOKUP(tables_503104!C234,input_503104!A:H,8,FALSE))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input_503104!A$2</f>
        <v>503104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IFERROR(VLOOKUP(B235,input_503104!L:R,7,FALSE),VLOOKUP(tables_503104!C235,input_503104!A:H,8,FALSE))</f>
        <v>1087930</v>
      </c>
      <c r="P235" s="46">
        <f t="shared" ca="1" si="10"/>
        <v>8.9028641571136519E-3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input_503104!A$2</f>
        <v>503104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IFERROR(VLOOKUP(B236,input_503104!L:R,7,FALSE),VLOOKUP(tables_503104!C236,input_503104!A:H,8,FALSE))</f>
        <v>25840.46154</v>
      </c>
      <c r="P236" s="46">
        <f t="shared" ca="1" si="10"/>
        <v>2.1146040540084366E-4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input_503104!A$2</f>
        <v>503104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IFERROR(VLOOKUP(B237,input_503104!L:R,7,FALSE),VLOOKUP(tables_503104!C237,input_503104!A:H,8,FALSE))</f>
        <v>117688</v>
      </c>
      <c r="P237" s="46">
        <f t="shared" ca="1" si="10"/>
        <v>9.6307692307629302E-4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input_503104!A$2</f>
        <v>503104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IFERROR(VLOOKUP(B238,input_503104!L:R,7,FALSE),VLOOKUP(tables_503104!C238,input_503104!A:H,8,FALSE))</f>
        <v>3572</v>
      </c>
      <c r="P238" s="46">
        <f t="shared" ca="1" si="10"/>
        <v>2.9230769230750108E-5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input_503104!A$2</f>
        <v>503104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IFERROR(VLOOKUP(B239,input_503104!L:R,7,FALSE),VLOOKUP(tables_503104!C239,input_503104!A:H,8,FALSE))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input_503104!A$2</f>
        <v>503104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IFERROR(VLOOKUP(B240,input_503104!L:R,7,FALSE),VLOOKUP(tables_503104!C240,input_503104!A:H,8,FALSE))</f>
        <v>1087930</v>
      </c>
      <c r="P240" s="46">
        <f t="shared" ca="1" si="10"/>
        <v>8.9028641571136519E-3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input_503104!A$2</f>
        <v>503104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IFERROR(VLOOKUP(B241,input_503104!L:R,7,FALSE),VLOOKUP(tables_503104!C241,input_503104!A:H,8,FALSE))</f>
        <v>25840.46154</v>
      </c>
      <c r="P241" s="46">
        <f t="shared" ca="1" si="10"/>
        <v>2.1146040540084366E-4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input_503104!A$2</f>
        <v>503104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IFERROR(VLOOKUP(B242,input_503104!L:R,7,FALSE),VLOOKUP(tables_503104!C242,input_503104!A:H,8,FALSE))</f>
        <v>117688</v>
      </c>
      <c r="P242" s="46">
        <f t="shared" ca="1" si="10"/>
        <v>9.6307692307629302E-4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input_503104!A$2</f>
        <v>503104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IFERROR(VLOOKUP(B243,input_503104!L:R,7,FALSE),VLOOKUP(tables_503104!C243,input_503104!A:H,8,FALSE))</f>
        <v>3572</v>
      </c>
      <c r="P243" s="46">
        <f t="shared" ca="1" si="10"/>
        <v>2.9230769230750108E-5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input_503104!A$2</f>
        <v>503104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IFERROR(VLOOKUP(B244,input_503104!L:R,7,FALSE),VLOOKUP(tables_503104!C244,input_503104!A:H,8,FALSE))</f>
        <v>117688</v>
      </c>
      <c r="P244" s="46">
        <f t="shared" ca="1" si="10"/>
        <v>9.6307692307629302E-4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input_503104!A$2</f>
        <v>503104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IFERROR(VLOOKUP(B245,input_503104!L:R,7,FALSE),VLOOKUP(tables_503104!C245,input_503104!A:H,8,FALSE))</f>
        <v>3572</v>
      </c>
      <c r="P245" s="46">
        <f t="shared" ca="1" si="10"/>
        <v>2.9230769230750108E-5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input_503104!A$2</f>
        <v>503104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IFERROR(VLOOKUP(B246,input_503104!L:R,7,FALSE),VLOOKUP(tables_503104!C246,input_503104!A:H,8,FALSE))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input_503104!A$2</f>
        <v>503104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IFERROR(VLOOKUP(B247,input_503104!L:R,7,FALSE),VLOOKUP(tables_503104!C247,input_503104!A:H,8,FALSE))</f>
        <v>1087930</v>
      </c>
      <c r="P247" s="46">
        <f t="shared" ca="1" si="10"/>
        <v>8.9028641571136519E-3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input_503104!A$2</f>
        <v>503104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IFERROR(VLOOKUP(B248,input_503104!L:R,7,FALSE),VLOOKUP(tables_503104!C248,input_503104!A:H,8,FALSE))</f>
        <v>25840.46154</v>
      </c>
      <c r="P248" s="46">
        <f t="shared" ca="1" si="10"/>
        <v>2.1146040540084366E-4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input_503104!A$2</f>
        <v>503104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IFERROR(VLOOKUP(B249,input_503104!L:R,7,FALSE),VLOOKUP(tables_503104!C249,input_503104!A:H,8,FALSE))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input_503104!A$2</f>
        <v>503104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IFERROR(VLOOKUP(B250,input_503104!L:R,7,FALSE),VLOOKUP(tables_503104!C250,input_503104!A:H,8,FALSE))</f>
        <v>1087930</v>
      </c>
      <c r="P250" s="46">
        <f t="shared" ca="1" si="10"/>
        <v>8.9028641571136519E-3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input_503104!A$2</f>
        <v>503104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IFERROR(VLOOKUP(B251,input_503104!L:R,7,FALSE),VLOOKUP(tables_503104!C251,input_503104!A:H,8,FALSE))</f>
        <v>25840.46154</v>
      </c>
      <c r="P251" s="46">
        <f t="shared" ca="1" si="10"/>
        <v>2.1146040540084366E-4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input_503104!A$2</f>
        <v>503104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IFERROR(VLOOKUP(B252,input_503104!L:R,7,FALSE),VLOOKUP(tables_503104!C252,input_503104!A:H,8,FALSE))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input_503104!A$2</f>
        <v>503104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IFERROR(VLOOKUP(B253,input_503104!L:R,7,FALSE),VLOOKUP(tables_503104!C253,input_503104!A:H,8,FALSE))</f>
        <v>1087930</v>
      </c>
      <c r="P253" s="46">
        <f t="shared" ca="1" si="10"/>
        <v>8.9028641571136519E-3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input_503104!A$2</f>
        <v>503104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IFERROR(VLOOKUP(B254,input_503104!L:R,7,FALSE),VLOOKUP(tables_503104!C254,input_503104!A:H,8,FALSE))</f>
        <v>25840.46154</v>
      </c>
      <c r="P254" s="46">
        <f t="shared" ca="1" si="10"/>
        <v>2.1146040540084366E-4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input_503104!A$2</f>
        <v>503104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IFERROR(VLOOKUP(B255,input_503104!L:R,7,FALSE),VLOOKUP(tables_503104!C255,input_503104!A:H,8,FALSE))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input_503104!A$2</f>
        <v>503104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IFERROR(VLOOKUP(B256,input_503104!L:R,7,FALSE),VLOOKUP(tables_503104!C256,input_503104!A:H,8,FALSE))</f>
        <v>1087930</v>
      </c>
      <c r="P256" s="46">
        <f t="shared" ca="1" si="10"/>
        <v>8.9028641571136519E-3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input_503104!A$2</f>
        <v>503104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IFERROR(VLOOKUP(B257,input_503104!L:R,7,FALSE),VLOOKUP(tables_503104!C257,input_503104!A:H,8,FALSE))</f>
        <v>25840.46154</v>
      </c>
      <c r="P257" s="46">
        <f t="shared" ca="1" si="10"/>
        <v>2.1146040540084366E-4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input_503104!A$2</f>
        <v>503104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IFERROR(VLOOKUP(B258,input_503104!L:R,7,FALSE),VLOOKUP(tables_503104!C258,input_503104!A:H,8,FALSE))</f>
        <v>117688</v>
      </c>
      <c r="P258" s="46">
        <f t="shared" ref="P258:P321" ca="1" si="13">O258/SUM(O:O)</f>
        <v>9.6307692307629302E-4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input_503104!A$2</f>
        <v>503104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IFERROR(VLOOKUP(B259,input_503104!L:R,7,FALSE),VLOOKUP(tables_503104!C259,input_503104!A:H,8,FALSE))</f>
        <v>3572</v>
      </c>
      <c r="P259" s="46">
        <f t="shared" ca="1" si="13"/>
        <v>2.9230769230750108E-5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input_503104!A$2</f>
        <v>503104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IFERROR(VLOOKUP(B260,input_503104!L:R,7,FALSE),VLOOKUP(tables_503104!C260,input_503104!A:H,8,FALSE))</f>
        <v>117688</v>
      </c>
      <c r="P260" s="46">
        <f t="shared" ca="1" si="13"/>
        <v>9.6307692307629302E-4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input_503104!A$2</f>
        <v>503104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IFERROR(VLOOKUP(B261,input_503104!L:R,7,FALSE),VLOOKUP(tables_503104!C261,input_503104!A:H,8,FALSE))</f>
        <v>3572</v>
      </c>
      <c r="P261" s="46">
        <f t="shared" ca="1" si="13"/>
        <v>2.9230769230750108E-5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input_503104!A$2</f>
        <v>503104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IFERROR(VLOOKUP(B262,input_503104!L:R,7,FALSE),VLOOKUP(tables_503104!C262,input_503104!A:H,8,FALSE))</f>
        <v>1205995.55556</v>
      </c>
      <c r="P262" s="46">
        <f t="shared" ca="1" si="13"/>
        <v>9.8690307328904332E-3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input_503104!A$2</f>
        <v>503104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IFERROR(VLOOKUP(B263,input_503104!L:R,7,FALSE),VLOOKUP(tables_503104!C263,input_503104!A:H,8,FALSE))</f>
        <v>10053.333329999999</v>
      </c>
      <c r="P263" s="46">
        <f t="shared" ca="1" si="13"/>
        <v>8.2269503518767772E-5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input_503104!A$2</f>
        <v>503104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IFERROR(VLOOKUP(B264,input_503104!L:R,7,FALSE),VLOOKUP(tables_503104!C264,input_503104!A:H,8,FALSE))</f>
        <v>1205995.55556</v>
      </c>
      <c r="P264" s="46">
        <f t="shared" ca="1" si="13"/>
        <v>9.8690307328904332E-3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input_503104!A$2</f>
        <v>503104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IFERROR(VLOOKUP(B265,input_503104!L:R,7,FALSE),VLOOKUP(tables_503104!C265,input_503104!A:H,8,FALSE))</f>
        <v>10053.333329999999</v>
      </c>
      <c r="P265" s="46">
        <f t="shared" ca="1" si="13"/>
        <v>8.2269503518767772E-5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input_503104!A$2</f>
        <v>503104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IFERROR(VLOOKUP(B266,input_503104!L:R,7,FALSE),VLOOKUP(tables_503104!C266,input_503104!A:H,8,FALSE))</f>
        <v>71440</v>
      </c>
      <c r="P266" s="46">
        <f t="shared" ca="1" si="13"/>
        <v>5.846153846150022E-4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input_503104!A$2</f>
        <v>503104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IFERROR(VLOOKUP(B267,input_503104!L:R,7,FALSE),VLOOKUP(tables_503104!C267,input_503104!A:H,8,FALSE))</f>
        <v>71440</v>
      </c>
      <c r="P267" s="46">
        <f t="shared" ca="1" si="13"/>
        <v>5.846153846150022E-4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input_503104!A$2</f>
        <v>503104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IFERROR(VLOOKUP(B268,input_503104!L:R,7,FALSE),VLOOKUP(tables_503104!C268,input_503104!A:H,8,FALSE))</f>
        <v>71440</v>
      </c>
      <c r="P268" s="46">
        <f t="shared" ca="1" si="13"/>
        <v>5.846153846150022E-4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input_503104!A$2</f>
        <v>503104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IFERROR(VLOOKUP(B269,input_503104!L:R,7,FALSE),VLOOKUP(tables_503104!C269,input_503104!A:H,8,FALSE))</f>
        <v>71440</v>
      </c>
      <c r="P269" s="46">
        <f t="shared" ca="1" si="13"/>
        <v>5.846153846150022E-4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input_503104!A$2</f>
        <v>503104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IFERROR(VLOOKUP(B270,input_503104!L:R,7,FALSE),VLOOKUP(tables_503104!C270,input_503104!A:H,8,FALSE))</f>
        <v>1205995.55556</v>
      </c>
      <c r="P270" s="46">
        <f t="shared" ca="1" si="13"/>
        <v>9.8690307328904332E-3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input_503104!A$2</f>
        <v>503104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IFERROR(VLOOKUP(B271,input_503104!L:R,7,FALSE),VLOOKUP(tables_503104!C271,input_503104!A:H,8,FALSE))</f>
        <v>10053.333329999999</v>
      </c>
      <c r="P271" s="46">
        <f t="shared" ca="1" si="13"/>
        <v>8.2269503518767772E-5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input_503104!A$2</f>
        <v>503104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IFERROR(VLOOKUP(B272,input_503104!L:R,7,FALSE),VLOOKUP(tables_503104!C272,input_503104!A:H,8,FALSE))</f>
        <v>1205995.55556</v>
      </c>
      <c r="P272" s="46">
        <f t="shared" ca="1" si="13"/>
        <v>9.8690307328904332E-3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input_503104!A$2</f>
        <v>503104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IFERROR(VLOOKUP(B273,input_503104!L:R,7,FALSE),VLOOKUP(tables_503104!C273,input_503104!A:H,8,FALSE))</f>
        <v>10053.333329999999</v>
      </c>
      <c r="P273" s="46">
        <f t="shared" ca="1" si="13"/>
        <v>8.2269503518767772E-5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input_503104!A$2</f>
        <v>503104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IFERROR(VLOOKUP(B274,input_503104!L:R,7,FALSE),VLOOKUP(tables_503104!C274,input_503104!A:H,8,FALSE))</f>
        <v>117688</v>
      </c>
      <c r="P274" s="46">
        <f t="shared" ca="1" si="13"/>
        <v>9.6307692307629302E-4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input_503104!A$2</f>
        <v>503104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IFERROR(VLOOKUP(B275,input_503104!L:R,7,FALSE),VLOOKUP(tables_503104!C275,input_503104!A:H,8,FALSE))</f>
        <v>3572</v>
      </c>
      <c r="P275" s="46">
        <f t="shared" ca="1" si="13"/>
        <v>2.9230769230750108E-5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input_503104!A$2</f>
        <v>503104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IFERROR(VLOOKUP(B276,input_503104!L:R,7,FALSE),VLOOKUP(tables_503104!C276,input_503104!A:H,8,FALSE))</f>
        <v>117688</v>
      </c>
      <c r="P276" s="46">
        <f t="shared" ca="1" si="13"/>
        <v>9.6307692307629302E-4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input_503104!A$2</f>
        <v>503104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IFERROR(VLOOKUP(B277,input_503104!L:R,7,FALSE),VLOOKUP(tables_503104!C277,input_503104!A:H,8,FALSE))</f>
        <v>3572</v>
      </c>
      <c r="P277" s="46">
        <f t="shared" ca="1" si="13"/>
        <v>2.9230769230750108E-5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input_503104!A$2</f>
        <v>503104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IFERROR(VLOOKUP(B278,input_503104!L:R,7,FALSE),VLOOKUP(tables_503104!C278,input_503104!A:H,8,FALSE))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input_503104!A$2</f>
        <v>503104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IFERROR(VLOOKUP(B279,input_503104!L:R,7,FALSE),VLOOKUP(tables_503104!C279,input_503104!A:H,8,FALSE))</f>
        <v>1087930</v>
      </c>
      <c r="P279" s="46">
        <f t="shared" ca="1" si="13"/>
        <v>8.9028641571136519E-3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input_503104!A$2</f>
        <v>503104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IFERROR(VLOOKUP(B280,input_503104!L:R,7,FALSE),VLOOKUP(tables_503104!C280,input_503104!A:H,8,FALSE))</f>
        <v>25840.46154</v>
      </c>
      <c r="P280" s="46">
        <f t="shared" ca="1" si="13"/>
        <v>2.1146040540084366E-4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input_503104!A$2</f>
        <v>503104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IFERROR(VLOOKUP(B281,input_503104!L:R,7,FALSE),VLOOKUP(tables_503104!C281,input_503104!A:H,8,FALSE))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input_503104!A$2</f>
        <v>503104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IFERROR(VLOOKUP(B282,input_503104!L:R,7,FALSE),VLOOKUP(tables_503104!C282,input_503104!A:H,8,FALSE))</f>
        <v>1087930</v>
      </c>
      <c r="P282" s="46">
        <f t="shared" ca="1" si="13"/>
        <v>8.9028641571136519E-3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input_503104!A$2</f>
        <v>503104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IFERROR(VLOOKUP(B283,input_503104!L:R,7,FALSE),VLOOKUP(tables_503104!C283,input_503104!A:H,8,FALSE))</f>
        <v>25840.46154</v>
      </c>
      <c r="P283" s="46">
        <f t="shared" ca="1" si="13"/>
        <v>2.1146040540084366E-4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input_503104!A$2</f>
        <v>503104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IFERROR(VLOOKUP(B284,input_503104!L:R,7,FALSE),VLOOKUP(tables_503104!C284,input_503104!A:H,8,FALSE))</f>
        <v>71440</v>
      </c>
      <c r="P284" s="46">
        <f t="shared" ca="1" si="13"/>
        <v>5.846153846150022E-4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input_503104!A$2</f>
        <v>503104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IFERROR(VLOOKUP(B285,input_503104!L:R,7,FALSE),VLOOKUP(tables_503104!C285,input_503104!A:H,8,FALSE))</f>
        <v>71440</v>
      </c>
      <c r="P285" s="46">
        <f t="shared" ca="1" si="13"/>
        <v>5.846153846150022E-4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input_503104!A$2</f>
        <v>503104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IFERROR(VLOOKUP(B286,input_503104!L:R,7,FALSE),VLOOKUP(tables_503104!C286,input_503104!A:H,8,FALSE))</f>
        <v>1205995.55556</v>
      </c>
      <c r="P286" s="46">
        <f t="shared" ca="1" si="13"/>
        <v>9.8690307328904332E-3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input_503104!A$2</f>
        <v>503104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IFERROR(VLOOKUP(B287,input_503104!L:R,7,FALSE),VLOOKUP(tables_503104!C287,input_503104!A:H,8,FALSE))</f>
        <v>10053.333329999999</v>
      </c>
      <c r="P287" s="46">
        <f t="shared" ca="1" si="13"/>
        <v>8.2269503518767772E-5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input_503104!A$2</f>
        <v>503104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IFERROR(VLOOKUP(B288,input_503104!L:R,7,FALSE),VLOOKUP(tables_503104!C288,input_503104!A:H,8,FALSE))</f>
        <v>1205995.55556</v>
      </c>
      <c r="P288" s="46">
        <f t="shared" ca="1" si="13"/>
        <v>9.8690307328904332E-3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input_503104!A$2</f>
        <v>503104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IFERROR(VLOOKUP(B289,input_503104!L:R,7,FALSE),VLOOKUP(tables_503104!C289,input_503104!A:H,8,FALSE))</f>
        <v>10053.333329999999</v>
      </c>
      <c r="P289" s="46">
        <f t="shared" ca="1" si="13"/>
        <v>8.2269503518767772E-5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input_503104!A$2</f>
        <v>503104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IFERROR(VLOOKUP(B290,input_503104!L:R,7,FALSE),VLOOKUP(tables_503104!C290,input_503104!A:H,8,FALSE))</f>
        <v>1205995.55556</v>
      </c>
      <c r="P290" s="46">
        <f t="shared" ca="1" si="13"/>
        <v>9.8690307328904332E-3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input_503104!A$2</f>
        <v>503104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IFERROR(VLOOKUP(B291,input_503104!L:R,7,FALSE),VLOOKUP(tables_503104!C291,input_503104!A:H,8,FALSE))</f>
        <v>10053.333329999999</v>
      </c>
      <c r="P291" s="46">
        <f t="shared" ca="1" si="13"/>
        <v>8.2269503518767772E-5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input_503104!A$2</f>
        <v>503104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IFERROR(VLOOKUP(B292,input_503104!L:R,7,FALSE),VLOOKUP(tables_503104!C292,input_503104!A:H,8,FALSE))</f>
        <v>1205995.55556</v>
      </c>
      <c r="P292" s="46">
        <f t="shared" ca="1" si="13"/>
        <v>9.8690307328904332E-3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input_503104!A$2</f>
        <v>503104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IFERROR(VLOOKUP(B293,input_503104!L:R,7,FALSE),VLOOKUP(tables_503104!C293,input_503104!A:H,8,FALSE))</f>
        <v>10053.333329999999</v>
      </c>
      <c r="P293" s="46">
        <f t="shared" ca="1" si="13"/>
        <v>8.2269503518767772E-5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input_503104!A$2</f>
        <v>503104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IFERROR(VLOOKUP(B294,input_503104!L:R,7,FALSE),VLOOKUP(tables_503104!C294,input_503104!A:H,8,FALSE))</f>
        <v>71440</v>
      </c>
      <c r="P294" s="46">
        <f t="shared" ca="1" si="13"/>
        <v>5.846153846150022E-4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input_503104!A$2</f>
        <v>503104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IFERROR(VLOOKUP(B295,input_503104!L:R,7,FALSE),VLOOKUP(tables_503104!C295,input_503104!A:H,8,FALSE))</f>
        <v>71440</v>
      </c>
      <c r="P295" s="46">
        <f t="shared" ca="1" si="13"/>
        <v>5.846153846150022E-4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input_503104!A$2</f>
        <v>503104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IFERROR(VLOOKUP(B296,input_503104!L:R,7,FALSE),VLOOKUP(tables_503104!C296,input_503104!A:H,8,FALSE))</f>
        <v>71440</v>
      </c>
      <c r="P296" s="46">
        <f t="shared" ca="1" si="13"/>
        <v>5.846153846150022E-4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input_503104!A$2</f>
        <v>503104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IFERROR(VLOOKUP(B297,input_503104!L:R,7,FALSE),VLOOKUP(tables_503104!C297,input_503104!A:H,8,FALSE))</f>
        <v>1205995.55556</v>
      </c>
      <c r="P297" s="46">
        <f t="shared" ca="1" si="13"/>
        <v>9.8690307328904332E-3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input_503104!A$2</f>
        <v>503104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IFERROR(VLOOKUP(B298,input_503104!L:R,7,FALSE),VLOOKUP(tables_503104!C298,input_503104!A:H,8,FALSE))</f>
        <v>10053.333329999999</v>
      </c>
      <c r="P298" s="46">
        <f t="shared" ca="1" si="13"/>
        <v>8.2269503518767772E-5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input_503104!A$2</f>
        <v>503104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IFERROR(VLOOKUP(B299,input_503104!L:R,7,FALSE),VLOOKUP(tables_503104!C299,input_503104!A:H,8,FALSE))</f>
        <v>71440</v>
      </c>
      <c r="P299" s="46">
        <f t="shared" ca="1" si="13"/>
        <v>5.846153846150022E-4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input_503104!A$2</f>
        <v>503104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IFERROR(VLOOKUP(B300,input_503104!L:R,7,FALSE),VLOOKUP(tables_503104!C300,input_503104!A:H,8,FALSE))</f>
        <v>71440</v>
      </c>
      <c r="P300" s="46">
        <f t="shared" ca="1" si="13"/>
        <v>5.846153846150022E-4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input_503104!A$2</f>
        <v>503104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IFERROR(VLOOKUP(B301,input_503104!L:R,7,FALSE),VLOOKUP(tables_503104!C301,input_503104!A:H,8,FALSE))</f>
        <v>71440</v>
      </c>
      <c r="P301" s="46">
        <f t="shared" ca="1" si="13"/>
        <v>5.846153846150022E-4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input_503104!A$2</f>
        <v>503104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IFERROR(VLOOKUP(B302,input_503104!L:R,7,FALSE),VLOOKUP(tables_503104!C302,input_503104!A:H,8,FALSE))</f>
        <v>71440</v>
      </c>
      <c r="P302" s="46">
        <f t="shared" ca="1" si="13"/>
        <v>5.846153846150022E-4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input_503104!A$2</f>
        <v>503104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IFERROR(VLOOKUP(B303,input_503104!L:R,7,FALSE),VLOOKUP(tables_503104!C303,input_503104!A:H,8,FALSE))</f>
        <v>1205995.55556</v>
      </c>
      <c r="P303" s="46">
        <f t="shared" ca="1" si="13"/>
        <v>9.8690307328904332E-3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input_503104!A$2</f>
        <v>503104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IFERROR(VLOOKUP(B304,input_503104!L:R,7,FALSE),VLOOKUP(tables_503104!C304,input_503104!A:H,8,FALSE))</f>
        <v>10053.333329999999</v>
      </c>
      <c r="P304" s="46">
        <f t="shared" ca="1" si="13"/>
        <v>8.2269503518767772E-5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input_503104!A$2</f>
        <v>503104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IFERROR(VLOOKUP(B305,input_503104!L:R,7,FALSE),VLOOKUP(tables_503104!C305,input_503104!A:H,8,FALSE))</f>
        <v>71440</v>
      </c>
      <c r="P305" s="46">
        <f t="shared" ca="1" si="13"/>
        <v>5.846153846150022E-4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input_503104!A$2</f>
        <v>503104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IFERROR(VLOOKUP(B306,input_503104!L:R,7,FALSE),VLOOKUP(tables_503104!C306,input_503104!A:H,8,FALSE))</f>
        <v>1205995.55556</v>
      </c>
      <c r="P306" s="46">
        <f t="shared" ca="1" si="13"/>
        <v>9.8690307328904332E-3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input_503104!A$2</f>
        <v>503104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IFERROR(VLOOKUP(B307,input_503104!L:R,7,FALSE),VLOOKUP(tables_503104!C307,input_503104!A:H,8,FALSE))</f>
        <v>10053.333329999999</v>
      </c>
      <c r="P307" s="46">
        <f t="shared" ca="1" si="13"/>
        <v>8.2269503518767772E-5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input_503104!A$2</f>
        <v>503104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IFERROR(VLOOKUP(B308,input_503104!L:R,7,FALSE),VLOOKUP(tables_503104!C308,input_503104!A:H,8,FALSE))</f>
        <v>71440</v>
      </c>
      <c r="P308" s="46">
        <f t="shared" ca="1" si="13"/>
        <v>5.846153846150022E-4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input_503104!A$2</f>
        <v>503104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IFERROR(VLOOKUP(B309,input_503104!L:R,7,FALSE),VLOOKUP(tables_503104!C309,input_503104!A:H,8,FALSE))</f>
        <v>71440</v>
      </c>
      <c r="P309" s="46">
        <f t="shared" ca="1" si="13"/>
        <v>5.846153846150022E-4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input_503104!A$2</f>
        <v>503104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IFERROR(VLOOKUP(B310,input_503104!L:R,7,FALSE),VLOOKUP(tables_503104!C310,input_503104!A:H,8,FALSE))</f>
        <v>71440</v>
      </c>
      <c r="P310" s="46">
        <f t="shared" ca="1" si="13"/>
        <v>5.846153846150022E-4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input_503104!A$2</f>
        <v>503104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IFERROR(VLOOKUP(B311,input_503104!L:R,7,FALSE),VLOOKUP(tables_503104!C311,input_503104!A:H,8,FALSE))</f>
        <v>1205995.55556</v>
      </c>
      <c r="P311" s="46">
        <f t="shared" ca="1" si="13"/>
        <v>9.8690307328904332E-3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input_503104!A$2</f>
        <v>503104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IFERROR(VLOOKUP(B312,input_503104!L:R,7,FALSE),VLOOKUP(tables_503104!C312,input_503104!A:H,8,FALSE))</f>
        <v>10053.333329999999</v>
      </c>
      <c r="P312" s="46">
        <f t="shared" ca="1" si="13"/>
        <v>8.2269503518767772E-5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input_503104!A$2</f>
        <v>503104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IFERROR(VLOOKUP(B313,input_503104!L:R,7,FALSE),VLOOKUP(tables_503104!C313,input_503104!A:H,8,FALSE))</f>
        <v>71440</v>
      </c>
      <c r="P313" s="46">
        <f t="shared" ca="1" si="13"/>
        <v>5.846153846150022E-4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input_503104!A$2</f>
        <v>503104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IFERROR(VLOOKUP(B314,input_503104!L:R,7,FALSE),VLOOKUP(tables_503104!C314,input_503104!A:H,8,FALSE))</f>
        <v>71440</v>
      </c>
      <c r="P314" s="46">
        <f t="shared" ca="1" si="13"/>
        <v>5.846153846150022E-4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input_503104!A$2</f>
        <v>503104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IFERROR(VLOOKUP(B315,input_503104!L:R,7,FALSE),VLOOKUP(tables_503104!C315,input_503104!A:H,8,FALSE))</f>
        <v>71440</v>
      </c>
      <c r="P315" s="46">
        <f t="shared" ca="1" si="13"/>
        <v>5.846153846150022E-4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input_503104!A$2</f>
        <v>503104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IFERROR(VLOOKUP(B316,input_503104!L:R,7,FALSE),VLOOKUP(tables_503104!C316,input_503104!A:H,8,FALSE))</f>
        <v>71440</v>
      </c>
      <c r="P316" s="46">
        <f t="shared" ca="1" si="13"/>
        <v>5.846153846150022E-4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input_503104!A$2</f>
        <v>503104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IFERROR(VLOOKUP(B317,input_503104!L:R,7,FALSE),VLOOKUP(tables_503104!C317,input_503104!A:H,8,FALSE))</f>
        <v>71440</v>
      </c>
      <c r="P317" s="46">
        <f t="shared" ca="1" si="13"/>
        <v>5.846153846150022E-4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input_503104!A$2</f>
        <v>503104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IFERROR(VLOOKUP(B318,input_503104!L:R,7,FALSE),VLOOKUP(tables_503104!C318,input_503104!A:H,8,FALSE))</f>
        <v>1205995.55556</v>
      </c>
      <c r="P318" s="46">
        <f t="shared" ca="1" si="13"/>
        <v>9.8690307328904332E-3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input_503104!A$2</f>
        <v>503104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IFERROR(VLOOKUP(B319,input_503104!L:R,7,FALSE),VLOOKUP(tables_503104!C319,input_503104!A:H,8,FALSE))</f>
        <v>10053.333329999999</v>
      </c>
      <c r="P319" s="46">
        <f t="shared" ca="1" si="13"/>
        <v>8.2269503518767772E-5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input_503104!A$2</f>
        <v>503104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IFERROR(VLOOKUP(B320,input_503104!L:R,7,FALSE),VLOOKUP(tables_503104!C320,input_503104!A:H,8,FALSE))</f>
        <v>71440</v>
      </c>
      <c r="P320" s="46">
        <f t="shared" ca="1" si="13"/>
        <v>5.846153846150022E-4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input_503104!A$2</f>
        <v>503104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IFERROR(VLOOKUP(B321,input_503104!L:R,7,FALSE),VLOOKUP(tables_503104!C321,input_503104!A:H,8,FALSE))</f>
        <v>71440</v>
      </c>
      <c r="P321" s="46">
        <f t="shared" ca="1" si="13"/>
        <v>5.846153846150022E-4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input_503104!A$2</f>
        <v>503104</v>
      </c>
      <c r="B322" s="5">
        <v>1139</v>
      </c>
      <c r="C322" s="7" t="str">
        <f t="shared" ref="C322:C346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IFERROR(VLOOKUP(B322,input_503104!L:R,7,FALSE),VLOOKUP(tables_503104!C322,input_503104!A:H,8,FALSE))</f>
        <v>71440</v>
      </c>
      <c r="P322" s="46">
        <f t="shared" ref="P322:P346" ca="1" si="16">O322/SUM(O:O)</f>
        <v>5.846153846150022E-4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input_503104!A$2</f>
        <v>503104</v>
      </c>
      <c r="B323" s="5">
        <v>1141</v>
      </c>
      <c r="C323" s="7" t="str">
        <f t="shared" si="15"/>
        <v>PremiumSS5R5only</v>
      </c>
      <c r="D323" s="7" t="str">
        <f t="shared" ref="D323:D346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IFERROR(VLOOKUP(B323,input_503104!L:R,7,FALSE),VLOOKUP(tables_503104!C323,input_503104!A:H,8,FALSE))</f>
        <v>71440</v>
      </c>
      <c r="P323" s="46">
        <f t="shared" ca="1" si="16"/>
        <v>5.846153846150022E-4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input_503104!A$2</f>
        <v>503104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IFERROR(VLOOKUP(B324,input_503104!L:R,7,FALSE),VLOOKUP(tables_503104!C324,input_503104!A:H,8,FALSE))</f>
        <v>1205995.55556</v>
      </c>
      <c r="P324" s="46">
        <f t="shared" ca="1" si="16"/>
        <v>9.8690307328904332E-3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input_503104!A$2</f>
        <v>503104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IFERROR(VLOOKUP(B325,input_503104!L:R,7,FALSE),VLOOKUP(tables_503104!C325,input_503104!A:H,8,FALSE))</f>
        <v>10053.333329999999</v>
      </c>
      <c r="P325" s="46">
        <f t="shared" ca="1" si="16"/>
        <v>8.2269503518767772E-5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input_503104!A$2</f>
        <v>503104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IFERROR(VLOOKUP(B326,input_503104!L:R,7,FALSE),VLOOKUP(tables_503104!C326,input_503104!A:H,8,FALSE))</f>
        <v>1205995.55556</v>
      </c>
      <c r="P326" s="46">
        <f t="shared" ca="1" si="16"/>
        <v>9.8690307328904332E-3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input_503104!A$2</f>
        <v>503104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IFERROR(VLOOKUP(B327,input_503104!L:R,7,FALSE),VLOOKUP(tables_503104!C327,input_503104!A:H,8,FALSE))</f>
        <v>10053.333329999999</v>
      </c>
      <c r="P327" s="46">
        <f t="shared" ca="1" si="16"/>
        <v>8.2269503518767772E-5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input_503104!A$2</f>
        <v>503104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IFERROR(VLOOKUP(B328,input_503104!L:R,7,FALSE),VLOOKUP(tables_503104!C328,input_503104!A:H,8,FALSE))</f>
        <v>71440</v>
      </c>
      <c r="P328" s="46">
        <f t="shared" ca="1" si="16"/>
        <v>5.846153846150022E-4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input_503104!A$2</f>
        <v>503104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IFERROR(VLOOKUP(B329,input_503104!L:R,7,FALSE),VLOOKUP(tables_503104!C329,input_503104!A:H,8,FALSE))</f>
        <v>71440</v>
      </c>
      <c r="P329" s="46">
        <f t="shared" ca="1" si="16"/>
        <v>5.846153846150022E-4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input_503104!A$2</f>
        <v>503104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IFERROR(VLOOKUP(B330,input_503104!L:R,7,FALSE),VLOOKUP(tables_503104!C330,input_503104!A:H,8,FALSE))</f>
        <v>71440</v>
      </c>
      <c r="P330" s="46">
        <f t="shared" ca="1" si="16"/>
        <v>5.846153846150022E-4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input_503104!A$2</f>
        <v>503104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IFERROR(VLOOKUP(B331,input_503104!L:R,7,FALSE),VLOOKUP(tables_503104!C331,input_503104!A:H,8,FALSE))</f>
        <v>71440</v>
      </c>
      <c r="P331" s="46">
        <f t="shared" ca="1" si="16"/>
        <v>5.846153846150022E-4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input_503104!A$2</f>
        <v>503104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IFERROR(VLOOKUP(B332,input_503104!L:R,7,FALSE),VLOOKUP(tables_503104!C332,input_503104!A:H,8,FALSE))</f>
        <v>71440</v>
      </c>
      <c r="P332" s="46">
        <f t="shared" ca="1" si="16"/>
        <v>5.846153846150022E-4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input_503104!A$2</f>
        <v>503104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IFERROR(VLOOKUP(B333,input_503104!L:R,7,FALSE),VLOOKUP(tables_503104!C333,input_503104!A:H,8,FALSE))</f>
        <v>71440</v>
      </c>
      <c r="P333" s="46">
        <f t="shared" ca="1" si="16"/>
        <v>5.846153846150022E-4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input_503104!A$2</f>
        <v>503104</v>
      </c>
      <c r="B334" s="89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IFERROR(VLOOKUP(B334,input_503104!L:R,7,FALSE),VLOOKUP(tables_503104!C334,input_503104!A:H,8,FALSE))</f>
        <v>1205995.55556</v>
      </c>
      <c r="P334" s="46">
        <f t="shared" ca="1" si="16"/>
        <v>9.8690307328904332E-3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input_503104!A$2</f>
        <v>503104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IFERROR(VLOOKUP(B335,input_503104!L:R,7,FALSE),VLOOKUP(tables_503104!C335,input_503104!A:H,8,FALSE))</f>
        <v>10053.333329999999</v>
      </c>
      <c r="P335" s="46">
        <f t="shared" ca="1" si="16"/>
        <v>8.2269503518767772E-5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input_503104!A$2</f>
        <v>503104</v>
      </c>
      <c r="B336" s="60">
        <v>1228</v>
      </c>
      <c r="C336" s="7" t="str">
        <f t="shared" si="15"/>
        <v>PremiumSS5R5only</v>
      </c>
      <c r="D336" s="93" t="str">
        <f t="shared" si="17"/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IFERROR(VLOOKUP(B336,input_503104!L:R,7,FALSE),VLOOKUP(tables_503104!C336,input_503104!A:H,8,FALSE))</f>
        <v>71440</v>
      </c>
      <c r="P336" s="46">
        <f t="shared" ca="1" si="16"/>
        <v>5.846153846150022E-4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input_503104!A$2</f>
        <v>503104</v>
      </c>
      <c r="B337" s="60">
        <v>1226</v>
      </c>
      <c r="C337" s="7" t="str">
        <f t="shared" si="15"/>
        <v>PremiumSS5R5only</v>
      </c>
      <c r="D337" s="93" t="str">
        <f t="shared" si="17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IFERROR(VLOOKUP(B337,input_503104!L:R,7,FALSE),VLOOKUP(tables_503104!C337,input_503104!A:H,8,FALSE))</f>
        <v>71440</v>
      </c>
      <c r="P337" s="46">
        <f t="shared" ca="1" si="16"/>
        <v>5.846153846150022E-4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input_503104!A$2</f>
        <v>503104</v>
      </c>
      <c r="B338" s="60">
        <v>1230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IFERROR(VLOOKUP(B338,input_503104!L:R,7,FALSE),VLOOKUP(tables_503104!C338,input_503104!A:H,8,FALSE))</f>
        <v>71440</v>
      </c>
      <c r="P338" s="46">
        <f t="shared" ca="1" si="16"/>
        <v>5.846153846150022E-4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input_503104!A$2</f>
        <v>503104</v>
      </c>
      <c r="B339" s="89">
        <v>1224</v>
      </c>
      <c r="C339" s="7" t="str">
        <f t="shared" si="15"/>
        <v>Premium4R3less</v>
      </c>
      <c r="D339" s="93" t="str">
        <f t="shared" si="17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IFERROR(VLOOKUP(B339,input_503104!L:R,7,FALSE),VLOOKUP(tables_503104!C339,input_503104!A:H,8,FALSE))</f>
        <v>1205995.55556</v>
      </c>
      <c r="P339" s="46">
        <f t="shared" ca="1" si="16"/>
        <v>9.8690307328904332E-3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input_503104!A$2</f>
        <v>503104</v>
      </c>
      <c r="B340" s="60">
        <v>1225</v>
      </c>
      <c r="C340" s="7" t="str">
        <f t="shared" si="15"/>
        <v>Premium5R3less</v>
      </c>
      <c r="D340" s="93" t="str">
        <f t="shared" si="17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IFERROR(VLOOKUP(B340,input_503104!L:R,7,FALSE),VLOOKUP(tables_503104!C340,input_503104!A:H,8,FALSE))</f>
        <v>10053.333329999999</v>
      </c>
      <c r="P340" s="46">
        <f t="shared" ca="1" si="16"/>
        <v>8.2269503518767772E-5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input_503104!A$2</f>
        <v>503104</v>
      </c>
      <c r="B341" s="1">
        <v>1250</v>
      </c>
      <c r="C341" s="7" t="str">
        <f t="shared" si="15"/>
        <v>PremiumSS5R5only</v>
      </c>
      <c r="D341" s="93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IFERROR(VLOOKUP(B341,input_503104!L:R,7,FALSE),VLOOKUP(tables_503104!C341,input_503104!A:H,8,FALSE))</f>
        <v>71440</v>
      </c>
      <c r="P341" s="46">
        <f t="shared" ca="1" si="16"/>
        <v>5.846153846150022E-4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input_503104!A$2</f>
        <v>503104</v>
      </c>
      <c r="B342" s="1">
        <v>1244</v>
      </c>
      <c r="C342" s="7" t="str">
        <f t="shared" si="15"/>
        <v>PremiumSS5R5only</v>
      </c>
      <c r="D342" s="93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IFERROR(VLOOKUP(B342,input_503104!L:R,7,FALSE),VLOOKUP(tables_503104!C342,input_503104!A:H,8,FALSE))</f>
        <v>71440</v>
      </c>
      <c r="P342" s="46">
        <f t="shared" ca="1" si="16"/>
        <v>5.846153846150022E-4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input_503104!A$2</f>
        <v>503104</v>
      </c>
      <c r="B343" s="1">
        <v>1246</v>
      </c>
      <c r="C343" s="7" t="str">
        <f t="shared" si="15"/>
        <v>PremiumSS5R5only</v>
      </c>
      <c r="D343" s="93" t="str">
        <f t="shared" si="17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IFERROR(VLOOKUP(B343,input_503104!L:R,7,FALSE),VLOOKUP(tables_503104!C343,input_503104!A:H,8,FALSE))</f>
        <v>71440</v>
      </c>
      <c r="P343" s="46">
        <f t="shared" ca="1" si="16"/>
        <v>5.846153846150022E-4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input_503104!A$2</f>
        <v>503104</v>
      </c>
      <c r="B344" s="1">
        <v>1248</v>
      </c>
      <c r="C344" s="7" t="str">
        <f t="shared" si="15"/>
        <v>Premium4R3less</v>
      </c>
      <c r="D344" s="93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IFERROR(VLOOKUP(B344,input_503104!L:R,7,FALSE),VLOOKUP(tables_503104!C344,input_503104!A:H,8,FALSE))</f>
        <v>1205995.55556</v>
      </c>
      <c r="P344" s="46">
        <f t="shared" ca="1" si="16"/>
        <v>9.8690307328904332E-3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input_503104!A$2</f>
        <v>503104</v>
      </c>
      <c r="B345" s="1">
        <v>1249</v>
      </c>
      <c r="C345" s="7" t="str">
        <f t="shared" si="15"/>
        <v>Premium5R3less</v>
      </c>
      <c r="D345" s="93" t="str">
        <f t="shared" si="17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IFERROR(VLOOKUP(B345,input_503104!L:R,7,FALSE),VLOOKUP(tables_503104!C345,input_503104!A:H,8,FALSE))</f>
        <v>10053.333329999999</v>
      </c>
      <c r="P345" s="46">
        <f t="shared" ca="1" si="16"/>
        <v>8.2269503518767772E-5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input_503104!A$2</f>
        <v>503104</v>
      </c>
      <c r="B346" s="1">
        <v>955</v>
      </c>
      <c r="C346" s="7" t="str">
        <f t="shared" si="15"/>
        <v>PremiumSSS5R3less</v>
      </c>
      <c r="D346" s="93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45">
        <f>IFERROR(VLOOKUP(B346,input_503104!L:R,7,FALSE),VLOOKUP(tables_503104!C346,input_503104!A:H,8,FALSE))</f>
        <v>1466400</v>
      </c>
      <c r="P346" s="46">
        <f t="shared" ca="1" si="16"/>
        <v>1.1999999999992149E-2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</sheetData>
  <autoFilter ref="A1:V29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9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M14" sqref="M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input_503104!A$2</f>
        <v>503104</v>
      </c>
      <c r="B2" s="86">
        <v>1100</v>
      </c>
      <c r="C2" s="7" t="str">
        <f t="shared" ref="C2:C3" si="0">D2&amp;J2&amp;E2&amp;F2&amp;G2</f>
        <v>PremiumSS5R5only</v>
      </c>
      <c r="D2" s="7" t="str">
        <f t="shared" ref="D2:D3" si="1"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北斎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不明</v>
      </c>
      <c r="O2" s="45">
        <v>10</v>
      </c>
      <c r="P2" s="46">
        <f>O2/SUM(O:O)</f>
        <v>0.5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input_503104!A$2</f>
        <v>503104</v>
      </c>
      <c r="B3" s="86">
        <v>1208</v>
      </c>
      <c r="C3" s="7" t="str">
        <f t="shared" si="0"/>
        <v>PremiumSS5R5only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ネメシス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god</v>
      </c>
      <c r="N3" s="7">
        <f>VLOOKUP(B3,[1]characters!$A:$G,7,FALSE)</f>
        <v>0</v>
      </c>
      <c r="O3" s="45">
        <v>10</v>
      </c>
      <c r="P3" s="46">
        <f>O3/SUM(O:O)</f>
        <v>0.5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6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94"/>
      <c r="P4" s="95"/>
      <c r="Q4" s="96"/>
      <c r="R4" s="96"/>
      <c r="S4" s="96"/>
      <c r="T4" s="96"/>
      <c r="U4" s="96"/>
      <c r="V4" s="96"/>
    </row>
    <row r="5" spans="1:22" ht="21" customHeight="1" x14ac:dyDescent="0.15">
      <c r="A5" s="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94"/>
      <c r="P5" s="95"/>
      <c r="Q5" s="96"/>
      <c r="R5" s="96"/>
      <c r="S5" s="96"/>
      <c r="T5" s="96"/>
      <c r="U5" s="96"/>
      <c r="V5" s="96"/>
    </row>
    <row r="6" spans="1:22" ht="21" customHeight="1" x14ac:dyDescent="0.15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94"/>
      <c r="P6" s="95"/>
      <c r="Q6" s="96"/>
      <c r="R6" s="96"/>
      <c r="S6" s="96"/>
      <c r="T6" s="96"/>
      <c r="U6" s="96"/>
      <c r="V6" s="96"/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94"/>
      <c r="P7" s="95"/>
      <c r="Q7" s="96"/>
      <c r="R7" s="96"/>
      <c r="S7" s="96"/>
      <c r="T7" s="96"/>
      <c r="U7" s="96"/>
      <c r="V7" s="96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94"/>
      <c r="P8" s="95"/>
      <c r="Q8" s="96"/>
      <c r="R8" s="96"/>
      <c r="S8" s="96"/>
      <c r="T8" s="96"/>
      <c r="U8" s="96"/>
      <c r="V8" s="96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94"/>
      <c r="P9" s="95"/>
      <c r="Q9" s="96"/>
      <c r="R9" s="96"/>
      <c r="S9" s="96"/>
      <c r="T9" s="96"/>
      <c r="U9" s="96"/>
      <c r="V9" s="96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94"/>
      <c r="P10" s="95"/>
      <c r="Q10" s="96"/>
      <c r="R10" s="96"/>
      <c r="S10" s="96"/>
      <c r="T10" s="96"/>
      <c r="U10" s="96"/>
      <c r="V10" s="96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94"/>
      <c r="P11" s="95"/>
      <c r="Q11" s="96"/>
      <c r="R11" s="96"/>
      <c r="S11" s="96"/>
      <c r="T11" s="96"/>
      <c r="U11" s="96"/>
      <c r="V11" s="96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94"/>
      <c r="P12" s="95"/>
      <c r="Q12" s="96"/>
      <c r="R12" s="96"/>
      <c r="S12" s="96"/>
      <c r="T12" s="96"/>
      <c r="U12" s="96"/>
      <c r="V12" s="96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94"/>
      <c r="P13" s="95"/>
      <c r="Q13" s="96"/>
      <c r="R13" s="96"/>
      <c r="S13" s="96"/>
      <c r="T13" s="96"/>
      <c r="U13" s="96"/>
      <c r="V13" s="96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94"/>
      <c r="P14" s="95"/>
      <c r="Q14" s="96"/>
      <c r="R14" s="96"/>
      <c r="S14" s="96"/>
      <c r="T14" s="96"/>
      <c r="U14" s="96"/>
      <c r="V14" s="96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94"/>
      <c r="P15" s="95"/>
      <c r="Q15" s="96"/>
      <c r="R15" s="96"/>
      <c r="S15" s="96"/>
      <c r="T15" s="96"/>
      <c r="U15" s="96"/>
      <c r="V15" s="96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94"/>
      <c r="P16" s="95"/>
      <c r="Q16" s="96"/>
      <c r="R16" s="96"/>
      <c r="S16" s="96"/>
      <c r="T16" s="96"/>
      <c r="U16" s="96"/>
      <c r="V16" s="96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94"/>
      <c r="P17" s="95"/>
      <c r="Q17" s="96"/>
      <c r="R17" s="96"/>
      <c r="S17" s="96"/>
      <c r="T17" s="96"/>
      <c r="U17" s="96"/>
      <c r="V17" s="96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94"/>
      <c r="P18" s="95"/>
      <c r="Q18" s="96"/>
      <c r="R18" s="96"/>
      <c r="S18" s="96"/>
      <c r="T18" s="96"/>
      <c r="U18" s="96"/>
      <c r="V18" s="96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94"/>
      <c r="P19" s="95"/>
      <c r="Q19" s="96"/>
      <c r="R19" s="96"/>
      <c r="S19" s="96"/>
      <c r="T19" s="96"/>
      <c r="U19" s="96"/>
      <c r="V19" s="96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94"/>
      <c r="P20" s="95"/>
      <c r="Q20" s="96"/>
      <c r="R20" s="96"/>
      <c r="S20" s="96"/>
      <c r="T20" s="96"/>
      <c r="U20" s="96"/>
      <c r="V20" s="96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94"/>
      <c r="P21" s="95"/>
      <c r="Q21" s="96"/>
      <c r="R21" s="96"/>
      <c r="S21" s="96"/>
      <c r="T21" s="96"/>
      <c r="U21" s="96"/>
      <c r="V21" s="96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94"/>
      <c r="P22" s="95"/>
      <c r="Q22" s="96"/>
      <c r="R22" s="96"/>
      <c r="S22" s="96"/>
      <c r="T22" s="96"/>
      <c r="U22" s="96"/>
      <c r="V22" s="96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94"/>
      <c r="P23" s="95"/>
      <c r="Q23" s="96"/>
      <c r="R23" s="96"/>
      <c r="S23" s="96"/>
      <c r="T23" s="96"/>
      <c r="U23" s="96"/>
      <c r="V23" s="96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94"/>
      <c r="P24" s="95"/>
      <c r="Q24" s="96"/>
      <c r="R24" s="96"/>
      <c r="S24" s="96"/>
      <c r="T24" s="96"/>
      <c r="U24" s="96"/>
      <c r="V24" s="96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94"/>
      <c r="P25" s="95"/>
      <c r="Q25" s="96"/>
      <c r="R25" s="96"/>
      <c r="S25" s="96"/>
      <c r="T25" s="96"/>
      <c r="U25" s="96"/>
      <c r="V25" s="96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94"/>
      <c r="P26" s="95"/>
      <c r="Q26" s="96"/>
      <c r="R26" s="96"/>
      <c r="S26" s="96"/>
      <c r="T26" s="96"/>
      <c r="U26" s="96"/>
      <c r="V26" s="96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94"/>
      <c r="P27" s="95"/>
      <c r="Q27" s="96"/>
      <c r="R27" s="96"/>
      <c r="S27" s="96"/>
      <c r="T27" s="96"/>
      <c r="U27" s="96"/>
      <c r="V27" s="96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94"/>
      <c r="P28" s="95"/>
      <c r="Q28" s="96"/>
      <c r="R28" s="96"/>
      <c r="S28" s="96"/>
      <c r="T28" s="96"/>
      <c r="U28" s="96"/>
      <c r="V28" s="96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94"/>
      <c r="P29" s="95"/>
      <c r="Q29" s="96"/>
      <c r="R29" s="96"/>
      <c r="S29" s="96"/>
      <c r="T29" s="96"/>
      <c r="U29" s="96"/>
      <c r="V29" s="96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94"/>
      <c r="P30" s="95"/>
      <c r="Q30" s="96"/>
      <c r="R30" s="96"/>
      <c r="S30" s="96"/>
      <c r="T30" s="96"/>
      <c r="U30" s="96"/>
      <c r="V30" s="96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94"/>
      <c r="P31" s="95"/>
      <c r="Q31" s="96"/>
      <c r="R31" s="96"/>
      <c r="S31" s="96"/>
      <c r="T31" s="96"/>
      <c r="U31" s="96"/>
      <c r="V31" s="96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94"/>
      <c r="P32" s="95"/>
      <c r="Q32" s="96"/>
      <c r="R32" s="96"/>
      <c r="S32" s="96"/>
      <c r="T32" s="96"/>
      <c r="U32" s="96"/>
      <c r="V32" s="96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94"/>
      <c r="P33" s="95"/>
      <c r="Q33" s="96"/>
      <c r="R33" s="96"/>
      <c r="S33" s="96"/>
      <c r="T33" s="96"/>
      <c r="U33" s="96"/>
      <c r="V33" s="96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94"/>
      <c r="P34" s="95"/>
      <c r="Q34" s="96"/>
      <c r="R34" s="96"/>
      <c r="S34" s="96"/>
      <c r="T34" s="96"/>
      <c r="U34" s="96"/>
      <c r="V34" s="96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94"/>
      <c r="P35" s="95"/>
      <c r="Q35" s="96"/>
      <c r="R35" s="96"/>
      <c r="S35" s="96"/>
      <c r="T35" s="96"/>
      <c r="U35" s="96"/>
      <c r="V35" s="96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94"/>
      <c r="P36" s="95"/>
      <c r="Q36" s="96"/>
      <c r="R36" s="96"/>
      <c r="S36" s="96"/>
      <c r="T36" s="96"/>
      <c r="U36" s="96"/>
      <c r="V36" s="96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94"/>
      <c r="P37" s="95"/>
      <c r="Q37" s="96"/>
      <c r="R37" s="96"/>
      <c r="S37" s="96"/>
      <c r="T37" s="96"/>
      <c r="U37" s="96"/>
      <c r="V37" s="96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94"/>
      <c r="P38" s="95"/>
      <c r="Q38" s="96"/>
      <c r="R38" s="96"/>
      <c r="S38" s="96"/>
      <c r="T38" s="96"/>
      <c r="U38" s="96"/>
      <c r="V38" s="96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94"/>
      <c r="P39" s="95"/>
      <c r="Q39" s="96"/>
      <c r="R39" s="96"/>
      <c r="S39" s="96"/>
      <c r="T39" s="96"/>
      <c r="U39" s="96"/>
      <c r="V39" s="96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94"/>
      <c r="P40" s="95"/>
      <c r="Q40" s="96"/>
      <c r="R40" s="96"/>
      <c r="S40" s="96"/>
      <c r="T40" s="96"/>
      <c r="U40" s="96"/>
      <c r="V40" s="96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94"/>
      <c r="P41" s="95"/>
      <c r="Q41" s="96"/>
      <c r="R41" s="96"/>
      <c r="S41" s="96"/>
      <c r="T41" s="96"/>
      <c r="U41" s="96"/>
      <c r="V41" s="96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94"/>
      <c r="P42" s="95"/>
      <c r="Q42" s="96"/>
      <c r="R42" s="96"/>
      <c r="S42" s="96"/>
      <c r="T42" s="96"/>
      <c r="U42" s="96"/>
      <c r="V42" s="96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94"/>
      <c r="P43" s="95"/>
      <c r="Q43" s="96"/>
      <c r="R43" s="96"/>
      <c r="S43" s="96"/>
      <c r="T43" s="96"/>
      <c r="U43" s="96"/>
      <c r="V43" s="96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94"/>
      <c r="P44" s="95"/>
      <c r="Q44" s="96"/>
      <c r="R44" s="96"/>
      <c r="S44" s="96"/>
      <c r="T44" s="96"/>
      <c r="U44" s="96"/>
      <c r="V44" s="96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94"/>
      <c r="P45" s="95"/>
      <c r="Q45" s="96"/>
      <c r="R45" s="96"/>
      <c r="S45" s="96"/>
      <c r="T45" s="96"/>
      <c r="U45" s="96"/>
      <c r="V45" s="96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94"/>
      <c r="P46" s="95"/>
      <c r="Q46" s="96"/>
      <c r="R46" s="96"/>
      <c r="S46" s="96"/>
      <c r="T46" s="96"/>
      <c r="U46" s="96"/>
      <c r="V46" s="96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94"/>
      <c r="P47" s="95"/>
      <c r="Q47" s="96"/>
      <c r="R47" s="96"/>
      <c r="S47" s="96"/>
      <c r="T47" s="96"/>
      <c r="U47" s="96"/>
      <c r="V47" s="96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94"/>
      <c r="P48" s="95"/>
      <c r="Q48" s="96"/>
      <c r="R48" s="96"/>
      <c r="S48" s="96"/>
      <c r="T48" s="96"/>
      <c r="U48" s="96"/>
      <c r="V48" s="96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94"/>
      <c r="P49" s="95"/>
      <c r="Q49" s="96"/>
      <c r="R49" s="96"/>
      <c r="S49" s="96"/>
      <c r="T49" s="96"/>
      <c r="U49" s="96"/>
      <c r="V49" s="96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94"/>
      <c r="P50" s="95"/>
      <c r="Q50" s="96"/>
      <c r="R50" s="96"/>
      <c r="S50" s="96"/>
      <c r="T50" s="96"/>
      <c r="U50" s="96"/>
      <c r="V50" s="96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94"/>
      <c r="P51" s="95"/>
      <c r="Q51" s="96"/>
      <c r="R51" s="96"/>
      <c r="S51" s="96"/>
      <c r="T51" s="96"/>
      <c r="U51" s="96"/>
      <c r="V51" s="96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94"/>
      <c r="P52" s="95"/>
      <c r="Q52" s="96"/>
      <c r="R52" s="96"/>
      <c r="S52" s="96"/>
      <c r="T52" s="96"/>
      <c r="U52" s="96"/>
      <c r="V52" s="96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94"/>
      <c r="P53" s="95"/>
      <c r="Q53" s="96"/>
      <c r="R53" s="96"/>
      <c r="S53" s="96"/>
      <c r="T53" s="96"/>
      <c r="U53" s="96"/>
      <c r="V53" s="96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94"/>
      <c r="P54" s="95"/>
      <c r="Q54" s="96"/>
      <c r="R54" s="96"/>
      <c r="S54" s="96"/>
      <c r="T54" s="96"/>
      <c r="U54" s="96"/>
      <c r="V54" s="96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94"/>
      <c r="P55" s="95"/>
      <c r="Q55" s="96"/>
      <c r="R55" s="96"/>
      <c r="S55" s="96"/>
      <c r="T55" s="96"/>
      <c r="U55" s="96"/>
      <c r="V55" s="96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94"/>
      <c r="P56" s="95"/>
      <c r="Q56" s="96"/>
      <c r="R56" s="96"/>
      <c r="S56" s="96"/>
      <c r="T56" s="96"/>
      <c r="U56" s="96"/>
      <c r="V56" s="96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94"/>
      <c r="P57" s="95"/>
      <c r="Q57" s="96"/>
      <c r="R57" s="96"/>
      <c r="S57" s="96"/>
      <c r="T57" s="96"/>
      <c r="U57" s="96"/>
      <c r="V57" s="96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94"/>
      <c r="P58" s="95"/>
      <c r="Q58" s="96"/>
      <c r="R58" s="96"/>
      <c r="S58" s="96"/>
      <c r="T58" s="96"/>
      <c r="U58" s="96"/>
      <c r="V58" s="96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94"/>
      <c r="P59" s="95"/>
      <c r="Q59" s="96"/>
      <c r="R59" s="96"/>
      <c r="S59" s="96"/>
      <c r="T59" s="96"/>
      <c r="U59" s="96"/>
      <c r="V59" s="96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94"/>
      <c r="P60" s="95"/>
      <c r="Q60" s="96"/>
      <c r="R60" s="96"/>
      <c r="S60" s="96"/>
      <c r="T60" s="96"/>
      <c r="U60" s="96"/>
      <c r="V60" s="96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94"/>
      <c r="P61" s="95"/>
      <c r="Q61" s="96"/>
      <c r="R61" s="96"/>
      <c r="S61" s="96"/>
      <c r="T61" s="96"/>
      <c r="U61" s="96"/>
      <c r="V61" s="96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94"/>
      <c r="P62" s="95"/>
      <c r="Q62" s="96"/>
      <c r="R62" s="96"/>
      <c r="S62" s="96"/>
      <c r="T62" s="96"/>
      <c r="U62" s="96"/>
      <c r="V62" s="96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94"/>
      <c r="P63" s="95"/>
      <c r="Q63" s="96"/>
      <c r="R63" s="96"/>
      <c r="S63" s="96"/>
      <c r="T63" s="96"/>
      <c r="U63" s="96"/>
      <c r="V63" s="96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94"/>
      <c r="P64" s="95"/>
      <c r="Q64" s="96"/>
      <c r="R64" s="96"/>
      <c r="S64" s="96"/>
      <c r="T64" s="96"/>
      <c r="U64" s="96"/>
      <c r="V64" s="96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94"/>
      <c r="P65" s="95"/>
      <c r="Q65" s="96"/>
      <c r="R65" s="96"/>
      <c r="S65" s="96"/>
      <c r="T65" s="96"/>
      <c r="U65" s="96"/>
      <c r="V65" s="96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94"/>
      <c r="P66" s="95"/>
      <c r="Q66" s="96"/>
      <c r="R66" s="96"/>
      <c r="S66" s="96"/>
      <c r="T66" s="96"/>
      <c r="U66" s="96"/>
      <c r="V66" s="96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94"/>
      <c r="P67" s="95"/>
      <c r="Q67" s="96"/>
      <c r="R67" s="96"/>
      <c r="S67" s="96"/>
      <c r="T67" s="96"/>
      <c r="U67" s="96"/>
      <c r="V67" s="96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94"/>
      <c r="P68" s="95"/>
      <c r="Q68" s="96"/>
      <c r="R68" s="96"/>
      <c r="S68" s="96"/>
      <c r="T68" s="96"/>
      <c r="U68" s="96"/>
      <c r="V68" s="96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94"/>
      <c r="P69" s="95"/>
      <c r="Q69" s="96"/>
      <c r="R69" s="96"/>
      <c r="S69" s="96"/>
      <c r="T69" s="96"/>
      <c r="U69" s="96"/>
      <c r="V69" s="96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94"/>
      <c r="P70" s="95"/>
      <c r="Q70" s="96"/>
      <c r="R70" s="96"/>
      <c r="S70" s="96"/>
      <c r="T70" s="96"/>
      <c r="U70" s="96"/>
      <c r="V70" s="96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94"/>
      <c r="P71" s="95"/>
      <c r="Q71" s="96"/>
      <c r="R71" s="96"/>
      <c r="S71" s="96"/>
      <c r="T71" s="96"/>
      <c r="U71" s="96"/>
      <c r="V71" s="96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94"/>
      <c r="P72" s="95"/>
      <c r="Q72" s="96"/>
      <c r="R72" s="96"/>
      <c r="S72" s="96"/>
      <c r="T72" s="96"/>
      <c r="U72" s="96"/>
      <c r="V72" s="96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94"/>
      <c r="P73" s="95"/>
      <c r="Q73" s="96"/>
      <c r="R73" s="96"/>
      <c r="S73" s="96"/>
      <c r="T73" s="96"/>
      <c r="U73" s="96"/>
      <c r="V73" s="96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94"/>
      <c r="P74" s="95"/>
      <c r="Q74" s="96"/>
      <c r="R74" s="96"/>
      <c r="S74" s="96"/>
      <c r="T74" s="96"/>
      <c r="U74" s="96"/>
      <c r="V74" s="96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94"/>
      <c r="P75" s="95"/>
      <c r="Q75" s="96"/>
      <c r="R75" s="96"/>
      <c r="S75" s="96"/>
      <c r="T75" s="96"/>
      <c r="U75" s="96"/>
      <c r="V75" s="96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94"/>
      <c r="P76" s="95"/>
      <c r="Q76" s="96"/>
      <c r="R76" s="96"/>
      <c r="S76" s="96"/>
      <c r="T76" s="96"/>
      <c r="U76" s="96"/>
      <c r="V76" s="96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94"/>
      <c r="P77" s="95"/>
      <c r="Q77" s="96"/>
      <c r="R77" s="96"/>
      <c r="S77" s="96"/>
      <c r="T77" s="96"/>
      <c r="U77" s="96"/>
      <c r="V77" s="96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94"/>
      <c r="P78" s="95"/>
      <c r="Q78" s="96"/>
      <c r="R78" s="96"/>
      <c r="S78" s="96"/>
      <c r="T78" s="96"/>
      <c r="U78" s="96"/>
      <c r="V78" s="96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94"/>
      <c r="P79" s="95"/>
      <c r="Q79" s="96"/>
      <c r="R79" s="96"/>
      <c r="S79" s="96"/>
      <c r="T79" s="96"/>
      <c r="U79" s="96"/>
      <c r="V79" s="96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94"/>
      <c r="P80" s="95"/>
      <c r="Q80" s="96"/>
      <c r="R80" s="96"/>
      <c r="S80" s="96"/>
      <c r="T80" s="96"/>
      <c r="U80" s="96"/>
      <c r="V80" s="96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94"/>
      <c r="P81" s="95"/>
      <c r="Q81" s="96"/>
      <c r="R81" s="96"/>
      <c r="S81" s="96"/>
      <c r="T81" s="96"/>
      <c r="U81" s="96"/>
      <c r="V81" s="96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94"/>
      <c r="P82" s="95"/>
      <c r="Q82" s="96"/>
      <c r="R82" s="96"/>
      <c r="S82" s="96"/>
      <c r="T82" s="96"/>
      <c r="U82" s="96"/>
      <c r="V82" s="96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94"/>
      <c r="P83" s="95"/>
      <c r="Q83" s="96"/>
      <c r="R83" s="96"/>
      <c r="S83" s="96"/>
      <c r="T83" s="96"/>
      <c r="U83" s="96"/>
      <c r="V83" s="96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94"/>
      <c r="P84" s="95"/>
      <c r="Q84" s="96"/>
      <c r="R84" s="96"/>
      <c r="S84" s="96"/>
      <c r="T84" s="96"/>
      <c r="U84" s="96"/>
      <c r="V84" s="96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94"/>
      <c r="P85" s="95"/>
      <c r="Q85" s="96"/>
      <c r="R85" s="96"/>
      <c r="S85" s="96"/>
      <c r="T85" s="96"/>
      <c r="U85" s="96"/>
      <c r="V85" s="96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94"/>
      <c r="P86" s="95"/>
      <c r="Q86" s="96"/>
      <c r="R86" s="96"/>
      <c r="S86" s="96"/>
      <c r="T86" s="96"/>
      <c r="U86" s="96"/>
      <c r="V86" s="96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94"/>
      <c r="P87" s="95"/>
      <c r="Q87" s="96"/>
      <c r="R87" s="96"/>
      <c r="S87" s="96"/>
      <c r="T87" s="96"/>
      <c r="U87" s="96"/>
      <c r="V87" s="96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94"/>
      <c r="P88" s="95"/>
      <c r="Q88" s="96"/>
      <c r="R88" s="96"/>
      <c r="S88" s="96"/>
      <c r="T88" s="96"/>
      <c r="U88" s="96"/>
      <c r="V88" s="96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94"/>
      <c r="P89" s="95"/>
      <c r="Q89" s="96"/>
      <c r="R89" s="96"/>
      <c r="S89" s="96"/>
      <c r="T89" s="96"/>
      <c r="U89" s="96"/>
      <c r="V89" s="96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94"/>
      <c r="P90" s="95"/>
      <c r="Q90" s="96"/>
      <c r="R90" s="96"/>
      <c r="S90" s="96"/>
      <c r="T90" s="96"/>
      <c r="U90" s="96"/>
      <c r="V90" s="96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94"/>
      <c r="P91" s="95"/>
      <c r="Q91" s="96"/>
      <c r="R91" s="96"/>
      <c r="S91" s="96"/>
      <c r="T91" s="96"/>
      <c r="U91" s="96"/>
      <c r="V91" s="96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94"/>
      <c r="P92" s="95"/>
      <c r="Q92" s="96"/>
      <c r="R92" s="96"/>
      <c r="S92" s="96"/>
      <c r="T92" s="96"/>
      <c r="U92" s="96"/>
      <c r="V92" s="96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94"/>
      <c r="P93" s="95"/>
      <c r="Q93" s="96"/>
      <c r="R93" s="96"/>
      <c r="S93" s="96"/>
      <c r="T93" s="96"/>
      <c r="U93" s="96"/>
      <c r="V93" s="96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94"/>
      <c r="P94" s="95"/>
      <c r="Q94" s="96"/>
      <c r="R94" s="96"/>
      <c r="S94" s="96"/>
      <c r="T94" s="96"/>
      <c r="U94" s="96"/>
      <c r="V94" s="96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94"/>
      <c r="P95" s="95"/>
      <c r="Q95" s="96"/>
      <c r="R95" s="96"/>
      <c r="S95" s="96"/>
      <c r="T95" s="96"/>
      <c r="U95" s="96"/>
      <c r="V95" s="96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94"/>
      <c r="P96" s="95"/>
      <c r="Q96" s="96"/>
      <c r="R96" s="96"/>
      <c r="S96" s="96"/>
      <c r="T96" s="96"/>
      <c r="U96" s="96"/>
      <c r="V96" s="96"/>
    </row>
  </sheetData>
  <autoFilter ref="A1:V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49"/>
  <sheetViews>
    <sheetView workbookViewId="0">
      <selection activeCell="H43" sqref="H4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503105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955</v>
      </c>
      <c r="M3" s="37" t="str">
        <f>VLOOKUP(L3,[1]characters!$A:$C,3,FALSE)</f>
        <v>マクローリン</v>
      </c>
      <c r="N3" s="63">
        <v>1.6E-2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VLOOKUP(L3,tables_503105!B:C,2,FALSE)</f>
        <v>PremiumSSS5R3less</v>
      </c>
      <c r="R3" s="62">
        <f t="shared" ref="R3:R20" si="1">N3*A$36</f>
        <v>1955200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VLOOKUP(L4,tables_503105!B:C,2,FALSE)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5.2307692307692309E-4</v>
      </c>
      <c r="F5">
        <f>(COUNTIF(tables_503105!C:C,input_503105!A28)+COUNTIF(tables_503105!C:C,input_503105!A29))</f>
        <v>66</v>
      </c>
      <c r="H5" s="84">
        <v>1.6E-2</v>
      </c>
      <c r="I5" s="31">
        <v>1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VLOOKUP(L5,tables_503105!B:C,2,FALSE)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9.936170212765957E-3</v>
      </c>
      <c r="F6">
        <f>(COUNTIF(tables_503105!C:C,input_503105!A25)+COUNTIF(tables_503105!C:C,input_503105!A18)+COUNTIF(tables_503105!C:C,input_503105!A20)+COUNTIF(tables_503105!C:C,input_503105!A22))</f>
        <v>94</v>
      </c>
      <c r="H6" s="88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VLOOKUP(L6,tables_503105!B:C,2,FALSE)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VLOOKUP(L7,tables_503105!B:C,2,FALSE)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VLOOKUP(L8,tables_503105!B:C,2,FALSE)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VLOOKUP(L9,tables_503105!B:C,2,FALSE)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0.93399999999999994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VLOOKUP(L10,tables_503105!B:C,2,FALSE)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VLOOKUP(L11,tables_503105!B:C,2,FALSE)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1.6E-2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VLOOKUP(L12,tables_503105!B:C,2,FALSE)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VLOOKUP(L13,tables_503105!B:C,2,FALSE)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VLOOKUP(L14,tables_503105!B:C,2,FALSE)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VLOOKUP(L15,tables_503105!B:C,2,FALSE)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VLOOKUP(L16,tables_503105!B:C,2,FALSE)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COUNTIF(tables_503105!C:C,input_503105!A17)-COUNTIF(Q:Q,A17)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VLOOKUP(L17,tables_503105!B:C,2,FALSE)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0.24507731587495965</v>
      </c>
      <c r="C18" s="85">
        <f t="shared" si="2"/>
        <v>0</v>
      </c>
      <c r="D18" s="74">
        <f t="shared" si="3"/>
        <v>0.24507731587495965</v>
      </c>
      <c r="E18">
        <f>COUNTIF(tables_503105!C:C,input_503105!A18)-COUNTIF(Q:Q,A18)</f>
        <v>20</v>
      </c>
      <c r="F18" s="43">
        <f>IFERROR(B18/E18,0)</f>
        <v>1.2253865793747983E-2</v>
      </c>
      <c r="G18">
        <f t="shared" si="4"/>
        <v>29948447.99992007</v>
      </c>
      <c r="H18">
        <f t="shared" si="5"/>
        <v>1497422.4</v>
      </c>
      <c r="I18">
        <f t="shared" si="6"/>
        <v>0.39999999990686774</v>
      </c>
      <c r="J18">
        <f t="shared" si="7"/>
        <v>2.5000000005820766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VLOOKUP(L18,tables_503105!B:C,2,FALSE)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COUNTIF(tables_503105!C:C,input_503105!A19)-COUNTIF(Q:Q,A19)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VLOOKUP(L19,tables_503105!B:C,2,FALSE)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E$6*E20*B$6-0.03</f>
        <v>0.46084680851063831</v>
      </c>
      <c r="C20" s="85">
        <f t="shared" si="2"/>
        <v>0</v>
      </c>
      <c r="D20" s="74">
        <f t="shared" si="3"/>
        <v>0.46084680851063831</v>
      </c>
      <c r="E20">
        <f>COUNTIF(tables_503105!C:C,input_503105!A20)-COUNTIF(Q:Q,A20)</f>
        <v>52</v>
      </c>
      <c r="F20" s="43">
        <f t="shared" si="8"/>
        <v>8.8624386252045828E-3</v>
      </c>
      <c r="G20">
        <f t="shared" si="4"/>
        <v>56315480</v>
      </c>
      <c r="H20">
        <f t="shared" si="5"/>
        <v>1082990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VLOOKUP(L20,tables_503105!B:C,2,FALSE)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9.4801309345335719E-3</v>
      </c>
      <c r="C21" s="85">
        <f t="shared" si="2"/>
        <v>0</v>
      </c>
      <c r="D21" s="74">
        <f t="shared" si="3"/>
        <v>9.4801309345335719E-3</v>
      </c>
      <c r="E21">
        <f>COUNTIF(tables_503105!C:C,input_503105!A21)-COUNTIF(Q:Q,A21)</f>
        <v>52</v>
      </c>
      <c r="F21" s="43">
        <f t="shared" si="8"/>
        <v>1.8231021027949177E-4</v>
      </c>
      <c r="G21">
        <f t="shared" si="4"/>
        <v>1158472.0002000025</v>
      </c>
      <c r="H21">
        <f t="shared" si="5"/>
        <v>22278.307700000001</v>
      </c>
      <c r="I21">
        <f t="shared" si="6"/>
        <v>0.3077000000012049</v>
      </c>
      <c r="J21">
        <f t="shared" si="7"/>
        <v>3.2499187520184729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0.17692765957446807</v>
      </c>
      <c r="C22" s="85">
        <f t="shared" si="2"/>
        <v>0</v>
      </c>
      <c r="D22" s="74">
        <f t="shared" si="3"/>
        <v>0.17692765957446807</v>
      </c>
      <c r="E22">
        <f>COUNTIF(tables_503105!C:C,input_503105!A22)-COUNTIF(Q:Q,A22)</f>
        <v>18</v>
      </c>
      <c r="F22" s="43">
        <f t="shared" si="8"/>
        <v>9.8293144208037812E-3</v>
      </c>
      <c r="G22">
        <f t="shared" si="4"/>
        <v>21620560</v>
      </c>
      <c r="H22">
        <f t="shared" si="5"/>
        <v>1201142.2222200001</v>
      </c>
      <c r="I22">
        <f t="shared" si="6"/>
        <v>0.22222000011242926</v>
      </c>
      <c r="J22">
        <f t="shared" si="7"/>
        <v>4.5000449981732666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E23*E6*B7-0.01</f>
        <v>1.9234042553191479E-3</v>
      </c>
      <c r="C23" s="85">
        <f t="shared" si="2"/>
        <v>0</v>
      </c>
      <c r="D23" s="74">
        <f t="shared" si="3"/>
        <v>1.9234042553191479E-3</v>
      </c>
      <c r="E23">
        <f>COUNTIF(tables_503105!C:C,input_503105!A23)-COUNTIF(Q:Q,A23)</f>
        <v>24</v>
      </c>
      <c r="F23" s="43">
        <f t="shared" si="8"/>
        <v>8.0141843971631165E-5</v>
      </c>
      <c r="G23">
        <f t="shared" si="4"/>
        <v>235039.99999999985</v>
      </c>
      <c r="H23">
        <f t="shared" si="5"/>
        <v>9793.3333299999995</v>
      </c>
      <c r="I23">
        <f t="shared" si="6"/>
        <v>0.33332999999947788</v>
      </c>
      <c r="J23">
        <f t="shared" si="7"/>
        <v>3.0000300003047022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COUNTIF(tables_503105!C:C,input_503105!A24)-COUNTIF(Q:Q,A24)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3.7757446808510634E-2</v>
      </c>
      <c r="C25" s="85">
        <f t="shared" si="2"/>
        <v>0</v>
      </c>
      <c r="D25" s="74">
        <f t="shared" si="3"/>
        <v>3.7757446808510634E-2</v>
      </c>
      <c r="E25">
        <f>COUNTIF(tables_503105!C:C,input_503105!A25)-COUNTIF(Q:Q,A25)</f>
        <v>4</v>
      </c>
      <c r="F25" s="43">
        <f t="shared" si="8"/>
        <v>9.4393617021276584E-3</v>
      </c>
      <c r="G25">
        <f t="shared" si="4"/>
        <v>4613959.9999999991</v>
      </c>
      <c r="H25">
        <f t="shared" si="5"/>
        <v>1153490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1.9872340425531915E-3</v>
      </c>
      <c r="C26" s="85">
        <f t="shared" si="2"/>
        <v>0</v>
      </c>
      <c r="D26" s="74">
        <f t="shared" si="3"/>
        <v>1.9872340425531915E-3</v>
      </c>
      <c r="E26">
        <f>COUNTIF(tables_503105!C:C,input_503105!A26)-COUNTIF(Q:Q,A26)</f>
        <v>4</v>
      </c>
      <c r="F26" s="43">
        <f t="shared" si="8"/>
        <v>4.9680851063829787E-4</v>
      </c>
      <c r="G26">
        <f t="shared" si="4"/>
        <v>242840</v>
      </c>
      <c r="H26">
        <f t="shared" si="5"/>
        <v>60710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2.9390769230848351E-2</v>
      </c>
      <c r="C27" s="85">
        <f t="shared" si="2"/>
        <v>0</v>
      </c>
      <c r="D27" s="74">
        <f t="shared" si="3"/>
        <v>2.9390769230848351E-2</v>
      </c>
      <c r="E27">
        <f>COUNTIF(tables_503105!C:C,input_503105!A27)-COUNTIF(Q:Q,A27)</f>
        <v>28</v>
      </c>
      <c r="F27" s="43">
        <f>IFERROR(B27/E27,0)</f>
        <v>1.0496703296731555E-3</v>
      </c>
      <c r="G27">
        <f t="shared" si="4"/>
        <v>3591552.0000096685</v>
      </c>
      <c r="H27">
        <f t="shared" si="5"/>
        <v>128269.71429</v>
      </c>
      <c r="I27">
        <f t="shared" si="6"/>
        <v>0.71429000000352971</v>
      </c>
      <c r="J27">
        <f t="shared" si="7"/>
        <v>1.3999916000434816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7.3230769230769237E-4</v>
      </c>
      <c r="C28" s="85">
        <f t="shared" si="2"/>
        <v>0</v>
      </c>
      <c r="D28" s="74">
        <f t="shared" si="3"/>
        <v>7.3230769230769237E-4</v>
      </c>
      <c r="E28">
        <f>COUNTIF(tables_503105!C:C,input_503105!A28)-COUNTIF(Q:Q,A28)</f>
        <v>28</v>
      </c>
      <c r="F28" s="43">
        <f t="shared" si="8"/>
        <v>2.6153846153846157E-5</v>
      </c>
      <c r="G28">
        <f t="shared" si="4"/>
        <v>89488.000000000015</v>
      </c>
      <c r="H28">
        <f t="shared" si="5"/>
        <v>3196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1.9876923076923077E-2</v>
      </c>
      <c r="C29" s="85">
        <f t="shared" si="2"/>
        <v>0</v>
      </c>
      <c r="D29" s="74">
        <f t="shared" si="3"/>
        <v>1.9876923076923077E-2</v>
      </c>
      <c r="E29">
        <f>COUNTIF(tables_503105!C:C,input_503105!A29)-COUNTIF(Q:Q,A29)</f>
        <v>38</v>
      </c>
      <c r="F29" s="43">
        <f t="shared" si="8"/>
        <v>5.2307692307692309E-4</v>
      </c>
      <c r="G29">
        <f t="shared" si="4"/>
        <v>2428960</v>
      </c>
      <c r="H29">
        <f t="shared" si="5"/>
        <v>63920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COUNTIF(tables_503105!C:C,input_503105!A30)-COUNTIF(Q:Q,A30)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1.6E-2</v>
      </c>
      <c r="D31" s="74">
        <f t="shared" si="3"/>
        <v>-1.6E-2</v>
      </c>
      <c r="E31">
        <f>COUNTIF(tables_503105!C:C,input_503105!A31)-COUNTIF(Q:Q,A31)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0.9840000000010618</v>
      </c>
      <c r="C32" s="41">
        <f>SUM(C19:C31)</f>
        <v>1.6E-2</v>
      </c>
      <c r="D32" s="42">
        <f t="shared" si="3"/>
        <v>0.96800000000106179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2.6353911619640513E-2</v>
      </c>
      <c r="F34" s="55">
        <f ca="1">0.95-G41</f>
        <v>-6.539213615042172E-13</v>
      </c>
    </row>
    <row r="35" spans="1:7" x14ac:dyDescent="0.15">
      <c r="A35" t="s">
        <v>73</v>
      </c>
      <c r="E35">
        <v>1.5999999998363323E-2</v>
      </c>
      <c r="F35">
        <f ca="1">G42-0.05</f>
        <v>2.6186414148199333E-12</v>
      </c>
    </row>
    <row r="36" spans="1:7" x14ac:dyDescent="0.15">
      <c r="A36" s="31">
        <f>LCM(F5-I5,F6-I6)*1000*2*2*5</f>
        <v>122200000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SUMIF(tables_503105!C:C,input_503105!A40,tables_503105!O:O)</f>
        <v>0</v>
      </c>
      <c r="C40" s="54">
        <f t="shared" ref="C40:C46" ca="1" si="9">B40/B$47</f>
        <v>0</v>
      </c>
      <c r="E40">
        <v>3</v>
      </c>
      <c r="F40">
        <f ca="1">SUMIF(tables_503105!J:J,input_503105!E40,tables_503105!O:O)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SUMIF(tables_503105!C:C,input_503105!A41,tables_503105!O:O)</f>
        <v>56315480</v>
      </c>
      <c r="C41" s="54">
        <f t="shared" ca="1" si="9"/>
        <v>0.92086480854287667</v>
      </c>
      <c r="E41">
        <v>4</v>
      </c>
      <c r="F41">
        <f ca="1">SUMIF(tables_503105!J:J,input_503105!E41,tables_503105!O:O)</f>
        <v>116090000.0000799</v>
      </c>
      <c r="G41">
        <f ca="1">F41/A36</f>
        <v>0.95000000000065388</v>
      </c>
    </row>
    <row r="42" spans="1:7" x14ac:dyDescent="0.15">
      <c r="A42" s="33" t="s">
        <v>106</v>
      </c>
      <c r="B42">
        <f ca="1">SUMIF(tables_503105!C:C,input_503105!A42,tables_503105!O:O)</f>
        <v>3591552.0001200004</v>
      </c>
      <c r="C42" s="54">
        <f t="shared" ca="1" si="9"/>
        <v>5.8728680727968399E-2</v>
      </c>
      <c r="E42">
        <v>5</v>
      </c>
      <c r="F42">
        <f ca="1">SUMIF(tables_503105!J:J,input_503105!E42,tables_503105!O:O)</f>
        <v>6110000.0003199987</v>
      </c>
      <c r="G42">
        <f ca="1">F42/A36</f>
        <v>5.0000000002618644E-2</v>
      </c>
    </row>
    <row r="43" spans="1:7" x14ac:dyDescent="0.15">
      <c r="A43" s="33" t="s">
        <v>109</v>
      </c>
      <c r="B43">
        <f>SUMIF(tables_503105!C:C,input_503105!A43,tables_503105!O:O)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SUMIF(tables_503105!C:C,input_503105!A44,tables_503105!O:O)</f>
        <v>1158472.0004</v>
      </c>
      <c r="C44" s="54">
        <f t="shared" ca="1" si="9"/>
        <v>1.8943212360981905E-2</v>
      </c>
      <c r="E44" t="s">
        <v>54</v>
      </c>
      <c r="F44" s="55"/>
    </row>
    <row r="45" spans="1:7" x14ac:dyDescent="0.15">
      <c r="A45" s="33" t="s">
        <v>107</v>
      </c>
      <c r="B45">
        <f ca="1">SUMIF(tables_503105!C:C,input_503105!A45,tables_503105!O:O)</f>
        <v>89488</v>
      </c>
      <c r="C45" s="54">
        <f t="shared" ca="1" si="9"/>
        <v>1.4632983681731016E-3</v>
      </c>
      <c r="E45" t="s">
        <v>204</v>
      </c>
      <c r="F45" s="55">
        <f ca="1">SUMIF(tables_503105!I:I,input_503105!E45,tables_503105!P:P)</f>
        <v>0.24555816693847618</v>
      </c>
    </row>
    <row r="46" spans="1:7" x14ac:dyDescent="0.15">
      <c r="A46" s="33" t="s">
        <v>108</v>
      </c>
      <c r="B46">
        <f>SUMIF(tables_503105!C:C,input_503105!A46,tables_503105!O:O)</f>
        <v>0</v>
      </c>
      <c r="C46" s="54">
        <f t="shared" ca="1" si="9"/>
        <v>0</v>
      </c>
      <c r="E46" t="s">
        <v>205</v>
      </c>
      <c r="F46" s="55">
        <f ca="1">SUMIF(tables_503105!I:I,input_503105!E46,tables_503105!P:P)</f>
        <v>0.18356924084146148</v>
      </c>
    </row>
    <row r="47" spans="1:7" x14ac:dyDescent="0.15">
      <c r="A47" s="39" t="s">
        <v>59</v>
      </c>
      <c r="B47">
        <f ca="1">SUM(B40:B46)</f>
        <v>61154992.000519998</v>
      </c>
      <c r="C47" s="55">
        <f ca="1">SUM(C40:C46)</f>
        <v>1.0000000000000002</v>
      </c>
      <c r="E47" t="s">
        <v>206</v>
      </c>
      <c r="F47" s="55">
        <f ca="1">SUMIF(tables_503105!I:I,input_503105!E47,tables_503105!P:P)</f>
        <v>0.50487259221929714</v>
      </c>
    </row>
    <row r="48" spans="1:7" x14ac:dyDescent="0.15">
      <c r="E48" t="s">
        <v>207</v>
      </c>
      <c r="F48" s="55">
        <f ca="1">SUMIF(tables_503105!I:I,input_503105!E48,tables_503105!P:P)</f>
        <v>4.6338461539291873E-2</v>
      </c>
      <c r="G48" s="55">
        <f ca="1">0.05-F48-F49</f>
        <v>-8.1835059562163082E-13</v>
      </c>
    </row>
    <row r="49" spans="5:7" x14ac:dyDescent="0.15">
      <c r="E49" t="s">
        <v>246</v>
      </c>
      <c r="F49" s="55">
        <f ca="1">SUMIF(tables_503105!I:I,input_503105!E49,tables_503105!P:P)</f>
        <v>3.6615384615264809E-3</v>
      </c>
      <c r="G49">
        <v>1.54769230770022E-2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46"/>
  <sheetViews>
    <sheetView showGridLines="0" zoomScale="75" zoomScaleNormal="75" zoomScalePageLayoutView="75" workbookViewId="0">
      <pane ySplit="1" topLeftCell="A308" activePane="bottomLeft" state="frozen"/>
      <selection activeCell="D34" sqref="D34"/>
      <selection pane="bottomLeft" activeCell="P352" sqref="P35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input_503105!A$2</f>
        <v>503105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IFERROR(VLOOKUP(B2,input_503105!L:R,7,FALSE),VLOOKUP(tables_503105!C2,input_503105!A:H,8,FALSE))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input_503105!A$2</f>
        <v>503105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IFERROR(VLOOKUP(B3,input_503105!L:R,7,FALSE),VLOOKUP(tables_503105!C3,input_503105!A:H,8,FALSE))</f>
        <v>1497422.4</v>
      </c>
      <c r="P3" s="46">
        <f t="shared" ca="1" si="1"/>
        <v>1.2253865793740588E-2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input_503105!A$2</f>
        <v>503105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IFERROR(VLOOKUP(B4,input_503105!L:R,7,FALSE),VLOOKUP(tables_503105!C4,input_503105!A:H,8,FALSE))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input_503105!A$2</f>
        <v>503105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IFERROR(VLOOKUP(B5,input_503105!L:R,7,FALSE),VLOOKUP(tables_503105!C5,input_503105!A:H,8,FALSE))</f>
        <v>1497422.4</v>
      </c>
      <c r="P5" s="46">
        <f t="shared" ca="1" si="1"/>
        <v>1.2253865793740588E-2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input_503105!A$2</f>
        <v>503105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IFERROR(VLOOKUP(B6,input_503105!L:R,7,FALSE),VLOOKUP(tables_503105!C6,input_503105!A:H,8,FALSE))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input_503105!A$2</f>
        <v>503105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IFERROR(VLOOKUP(B7,input_503105!L:R,7,FALSE),VLOOKUP(tables_503105!C7,input_503105!A:H,8,FALSE))</f>
        <v>1497422.4</v>
      </c>
      <c r="P7" s="46">
        <f t="shared" ca="1" si="1"/>
        <v>1.2253865793740588E-2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input_503105!A$2</f>
        <v>503105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IFERROR(VLOOKUP(B8,input_503105!L:R,7,FALSE),VLOOKUP(tables_503105!C8,input_503105!A:H,8,FALSE))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input_503105!A$2</f>
        <v>503105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IFERROR(VLOOKUP(B9,input_503105!L:R,7,FALSE),VLOOKUP(tables_503105!C9,input_503105!A:H,8,FALSE))</f>
        <v>1497422.4</v>
      </c>
      <c r="P9" s="46">
        <f t="shared" ca="1" si="1"/>
        <v>1.2253865793740588E-2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input_503105!A$2</f>
        <v>503105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IFERROR(VLOOKUP(B10,input_503105!L:R,7,FALSE),VLOOKUP(tables_503105!C10,input_503105!A:H,8,FALSE))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input_503105!A$2</f>
        <v>503105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IFERROR(VLOOKUP(B11,input_503105!L:R,7,FALSE),VLOOKUP(tables_503105!C11,input_503105!A:H,8,FALSE))</f>
        <v>1497422.4</v>
      </c>
      <c r="P11" s="46">
        <f t="shared" ca="1" si="1"/>
        <v>1.2253865793740588E-2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input_503105!A$2</f>
        <v>503105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IFERROR(VLOOKUP(B12,input_503105!L:R,7,FALSE),VLOOKUP(tables_503105!C12,input_503105!A:H,8,FALSE))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input_503105!A$2</f>
        <v>503105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IFERROR(VLOOKUP(B13,input_503105!L:R,7,FALSE),VLOOKUP(tables_503105!C13,input_503105!A:H,8,FALSE))</f>
        <v>1497422.4</v>
      </c>
      <c r="P13" s="46">
        <f t="shared" ca="1" si="1"/>
        <v>1.2253865793740588E-2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input_503105!A$2</f>
        <v>503105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IFERROR(VLOOKUP(B14,input_503105!L:R,7,FALSE),VLOOKUP(tables_503105!C14,input_503105!A:H,8,FALSE))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input_503105!A$2</f>
        <v>503105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IFERROR(VLOOKUP(B15,input_503105!L:R,7,FALSE),VLOOKUP(tables_503105!C15,input_503105!A:H,8,FALSE))</f>
        <v>1497422.4</v>
      </c>
      <c r="P15" s="46">
        <f t="shared" ca="1" si="1"/>
        <v>1.2253865793740588E-2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input_503105!A$2</f>
        <v>503105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IFERROR(VLOOKUP(B16,input_503105!L:R,7,FALSE),VLOOKUP(tables_503105!C16,input_503105!A:H,8,FALSE))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input_503105!A$2</f>
        <v>503105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IFERROR(VLOOKUP(B17,input_503105!L:R,7,FALSE),VLOOKUP(tables_503105!C17,input_503105!A:H,8,FALSE))</f>
        <v>1497422.4</v>
      </c>
      <c r="P17" s="46">
        <f t="shared" ca="1" si="1"/>
        <v>1.2253865793740588E-2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input_503105!A$2</f>
        <v>503105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IFERROR(VLOOKUP(B18,input_503105!L:R,7,FALSE),VLOOKUP(tables_503105!C18,input_503105!A:H,8,FALSE))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input_503105!A$2</f>
        <v>503105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IFERROR(VLOOKUP(B19,input_503105!L:R,7,FALSE),VLOOKUP(tables_503105!C19,input_503105!A:H,8,FALSE))</f>
        <v>1497422.4</v>
      </c>
      <c r="P19" s="46">
        <f t="shared" ca="1" si="1"/>
        <v>1.2253865793740588E-2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input_503105!A$2</f>
        <v>503105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IFERROR(VLOOKUP(B20,input_503105!L:R,7,FALSE),VLOOKUP(tables_503105!C20,input_503105!A:H,8,FALSE))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input_503105!A$2</f>
        <v>503105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IFERROR(VLOOKUP(B21,input_503105!L:R,7,FALSE),VLOOKUP(tables_503105!C21,input_503105!A:H,8,FALSE))</f>
        <v>1497422.4</v>
      </c>
      <c r="P21" s="46">
        <f t="shared" ca="1" si="1"/>
        <v>1.2253865793740588E-2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input_503105!A$2</f>
        <v>503105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IFERROR(VLOOKUP(B22,input_503105!L:R,7,FALSE),VLOOKUP(tables_503105!C22,input_503105!A:H,8,FALSE))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input_503105!A$2</f>
        <v>503105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IFERROR(VLOOKUP(B23,input_503105!L:R,7,FALSE),VLOOKUP(tables_503105!C23,input_503105!A:H,8,FALSE))</f>
        <v>1497422.4</v>
      </c>
      <c r="P23" s="46">
        <f t="shared" ca="1" si="1"/>
        <v>1.2253865793740588E-2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input_503105!A$2</f>
        <v>503105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IFERROR(VLOOKUP(B24,input_503105!L:R,7,FALSE),VLOOKUP(tables_503105!C24,input_503105!A:H,8,FALSE))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input_503105!A$2</f>
        <v>503105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IFERROR(VLOOKUP(B25,input_503105!L:R,7,FALSE),VLOOKUP(tables_503105!C25,input_503105!A:H,8,FALSE))</f>
        <v>1497422.4</v>
      </c>
      <c r="P25" s="46">
        <f t="shared" ca="1" si="1"/>
        <v>1.2253865793740588E-2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input_503105!A$2</f>
        <v>503105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IFERROR(VLOOKUP(B26,input_503105!L:R,7,FALSE),VLOOKUP(tables_503105!C26,input_503105!A:H,8,FALSE))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input_503105!A$2</f>
        <v>503105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IFERROR(VLOOKUP(B27,input_503105!L:R,7,FALSE),VLOOKUP(tables_503105!C27,input_503105!A:H,8,FALSE))</f>
        <v>1497422.4</v>
      </c>
      <c r="P27" s="46">
        <f t="shared" ca="1" si="1"/>
        <v>1.2253865793740588E-2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input_503105!A$2</f>
        <v>503105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IFERROR(VLOOKUP(B28,input_503105!L:R,7,FALSE),VLOOKUP(tables_503105!C28,input_503105!A:H,8,FALSE))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input_503105!A$2</f>
        <v>503105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IFERROR(VLOOKUP(B29,input_503105!L:R,7,FALSE),VLOOKUP(tables_503105!C29,input_503105!A:H,8,FALSE))</f>
        <v>1497422.4</v>
      </c>
      <c r="P29" s="46">
        <f t="shared" ca="1" si="1"/>
        <v>1.2253865793740588E-2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input_503105!A$2</f>
        <v>503105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IFERROR(VLOOKUP(B30,input_503105!L:R,7,FALSE),VLOOKUP(tables_503105!C30,input_503105!A:H,8,FALSE))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input_503105!A$2</f>
        <v>503105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IFERROR(VLOOKUP(B31,input_503105!L:R,7,FALSE),VLOOKUP(tables_503105!C31,input_503105!A:H,8,FALSE))</f>
        <v>1497422.4</v>
      </c>
      <c r="P31" s="46">
        <f t="shared" ca="1" si="1"/>
        <v>1.2253865793740588E-2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input_503105!A$2</f>
        <v>503105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IFERROR(VLOOKUP(B32,input_503105!L:R,7,FALSE),VLOOKUP(tables_503105!C32,input_503105!A:H,8,FALSE))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input_503105!A$2</f>
        <v>503105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IFERROR(VLOOKUP(B33,input_503105!L:R,7,FALSE),VLOOKUP(tables_503105!C33,input_503105!A:H,8,FALSE))</f>
        <v>1497422.4</v>
      </c>
      <c r="P33" s="46">
        <f t="shared" ca="1" si="1"/>
        <v>1.2253865793740588E-2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input_503105!A$2</f>
        <v>503105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IFERROR(VLOOKUP(B34,input_503105!L:R,7,FALSE),VLOOKUP(tables_503105!C34,input_503105!A:H,8,FALSE))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input_503105!A$2</f>
        <v>503105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IFERROR(VLOOKUP(B35,input_503105!L:R,7,FALSE),VLOOKUP(tables_503105!C35,input_503105!A:H,8,FALSE))</f>
        <v>1497422.4</v>
      </c>
      <c r="P35" s="46">
        <f t="shared" ca="1" si="1"/>
        <v>1.2253865793740588E-2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input_503105!A$2</f>
        <v>503105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IFERROR(VLOOKUP(B36,input_503105!L:R,7,FALSE),VLOOKUP(tables_503105!C36,input_503105!A:H,8,FALSE))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input_503105!A$2</f>
        <v>503105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IFERROR(VLOOKUP(B37,input_503105!L:R,7,FALSE),VLOOKUP(tables_503105!C37,input_503105!A:H,8,FALSE))</f>
        <v>1497422.4</v>
      </c>
      <c r="P37" s="46">
        <f t="shared" ca="1" si="1"/>
        <v>1.2253865793740588E-2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input_503105!A$2</f>
        <v>503105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IFERROR(VLOOKUP(B38,input_503105!L:R,7,FALSE),VLOOKUP(tables_503105!C38,input_503105!A:H,8,FALSE))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input_503105!A$2</f>
        <v>503105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IFERROR(VLOOKUP(B39,input_503105!L:R,7,FALSE),VLOOKUP(tables_503105!C39,input_503105!A:H,8,FALSE))</f>
        <v>1497422.4</v>
      </c>
      <c r="P39" s="46">
        <f t="shared" ca="1" si="1"/>
        <v>1.2253865793740588E-2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input_503105!A$2</f>
        <v>503105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IFERROR(VLOOKUP(B40,input_503105!L:R,7,FALSE),VLOOKUP(tables_503105!C40,input_503105!A:H,8,FALSE))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input_503105!A$2</f>
        <v>503105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IFERROR(VLOOKUP(B41,input_503105!L:R,7,FALSE),VLOOKUP(tables_503105!C41,input_503105!A:H,8,FALSE))</f>
        <v>1497422.4</v>
      </c>
      <c r="P41" s="46">
        <f t="shared" ca="1" si="1"/>
        <v>1.2253865793740588E-2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input_503105!A$2</f>
        <v>503105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IFERROR(VLOOKUP(B42,input_503105!L:R,7,FALSE),VLOOKUP(tables_503105!C42,input_503105!A:H,8,FALSE))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input_503105!A$2</f>
        <v>503105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IFERROR(VLOOKUP(B43,input_503105!L:R,7,FALSE),VLOOKUP(tables_503105!C43,input_503105!A:H,8,FALSE))</f>
        <v>1153490</v>
      </c>
      <c r="P43" s="46">
        <f t="shared" ca="1" si="1"/>
        <v>9.4393617020967716E-3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input_503105!A$2</f>
        <v>503105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IFERROR(VLOOKUP(B44,input_503105!L:R,7,FALSE),VLOOKUP(tables_503105!C44,input_503105!A:H,8,FALSE))</f>
        <v>60710</v>
      </c>
      <c r="P44" s="46">
        <f t="shared" ca="1" si="1"/>
        <v>4.9680851063667222E-4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input_503105!A$2</f>
        <v>503105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IFERROR(VLOOKUP(B45,input_503105!L:R,7,FALSE),VLOOKUP(tables_503105!C45,input_503105!A:H,8,FALSE))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input_503105!A$2</f>
        <v>503105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IFERROR(VLOOKUP(B46,input_503105!L:R,7,FALSE),VLOOKUP(tables_503105!C46,input_503105!A:H,8,FALSE))</f>
        <v>1153490</v>
      </c>
      <c r="P46" s="46">
        <f t="shared" ca="1" si="1"/>
        <v>9.4393617020967716E-3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input_503105!A$2</f>
        <v>503105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IFERROR(VLOOKUP(B47,input_503105!L:R,7,FALSE),VLOOKUP(tables_503105!C47,input_503105!A:H,8,FALSE))</f>
        <v>60710</v>
      </c>
      <c r="P47" s="46">
        <f t="shared" ca="1" si="1"/>
        <v>4.9680851063667222E-4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input_503105!A$2</f>
        <v>503105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IFERROR(VLOOKUP(B48,input_503105!L:R,7,FALSE),VLOOKUP(tables_503105!C48,input_503105!A:H,8,FALSE))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input_503105!A$2</f>
        <v>503105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IFERROR(VLOOKUP(B49,input_503105!L:R,7,FALSE),VLOOKUP(tables_503105!C49,input_503105!A:H,8,FALSE))</f>
        <v>1153490</v>
      </c>
      <c r="P49" s="46">
        <f t="shared" ca="1" si="1"/>
        <v>9.4393617020967716E-3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input_503105!A$2</f>
        <v>503105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IFERROR(VLOOKUP(B50,input_503105!L:R,7,FALSE),VLOOKUP(tables_503105!C50,input_503105!A:H,8,FALSE))</f>
        <v>60710</v>
      </c>
      <c r="P50" s="46">
        <f t="shared" ca="1" si="1"/>
        <v>4.9680851063667222E-4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input_503105!A$2</f>
        <v>503105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IFERROR(VLOOKUP(B51,input_503105!L:R,7,FALSE),VLOOKUP(tables_503105!C51,input_503105!A:H,8,FALSE))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input_503105!A$2</f>
        <v>503105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IFERROR(VLOOKUP(B52,input_503105!L:R,7,FALSE),VLOOKUP(tables_503105!C52,input_503105!A:H,8,FALSE))</f>
        <v>1082990</v>
      </c>
      <c r="P52" s="46">
        <f t="shared" ca="1" si="1"/>
        <v>8.8624386251755817E-3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input_503105!A$2</f>
        <v>503105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IFERROR(VLOOKUP(B53,input_503105!L:R,7,FALSE),VLOOKUP(tables_503105!C53,input_503105!A:H,8,FALSE))</f>
        <v>22278.307700000001</v>
      </c>
      <c r="P53" s="46">
        <f t="shared" ca="1" si="1"/>
        <v>1.8231021031036906E-4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input_503105!A$2</f>
        <v>503105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IFERROR(VLOOKUP(B54,input_503105!L:R,7,FALSE),VLOOKUP(tables_503105!C54,input_503105!A:H,8,FALSE))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input_503105!A$2</f>
        <v>503105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IFERROR(VLOOKUP(B55,input_503105!L:R,7,FALSE),VLOOKUP(tables_503105!C55,input_503105!A:H,8,FALSE))</f>
        <v>1082990</v>
      </c>
      <c r="P55" s="46">
        <f t="shared" ca="1" si="1"/>
        <v>8.8624386251755817E-3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input_503105!A$2</f>
        <v>503105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IFERROR(VLOOKUP(B56,input_503105!L:R,7,FALSE),VLOOKUP(tables_503105!C56,input_503105!A:H,8,FALSE))</f>
        <v>22278.307700000001</v>
      </c>
      <c r="P56" s="46">
        <f t="shared" ca="1" si="1"/>
        <v>1.8231021031036906E-4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input_503105!A$2</f>
        <v>503105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IFERROR(VLOOKUP(B57,input_503105!L:R,7,FALSE),VLOOKUP(tables_503105!C57,input_503105!A:H,8,FALSE))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input_503105!A$2</f>
        <v>503105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IFERROR(VLOOKUP(B58,input_503105!L:R,7,FALSE),VLOOKUP(tables_503105!C58,input_503105!A:H,8,FALSE))</f>
        <v>1082990</v>
      </c>
      <c r="P58" s="46">
        <f t="shared" ca="1" si="1"/>
        <v>8.8624386251755817E-3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input_503105!A$2</f>
        <v>503105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IFERROR(VLOOKUP(B59,input_503105!L:R,7,FALSE),VLOOKUP(tables_503105!C59,input_503105!A:H,8,FALSE))</f>
        <v>22278.307700000001</v>
      </c>
      <c r="P59" s="46">
        <f t="shared" ca="1" si="1"/>
        <v>1.8231021031036906E-4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input_503105!A$2</f>
        <v>503105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IFERROR(VLOOKUP(B60,input_503105!L:R,7,FALSE),VLOOKUP(tables_503105!C60,input_503105!A:H,8,FALSE))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input_503105!A$2</f>
        <v>503105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IFERROR(VLOOKUP(B61,input_503105!L:R,7,FALSE),VLOOKUP(tables_503105!C61,input_503105!A:H,8,FALSE))</f>
        <v>1082990</v>
      </c>
      <c r="P61" s="46">
        <f t="shared" ca="1" si="1"/>
        <v>8.8624386251755817E-3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input_503105!A$2</f>
        <v>503105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IFERROR(VLOOKUP(B62,input_503105!L:R,7,FALSE),VLOOKUP(tables_503105!C62,input_503105!A:H,8,FALSE))</f>
        <v>22278.307700000001</v>
      </c>
      <c r="P62" s="46">
        <f t="shared" ca="1" si="1"/>
        <v>1.8231021031036906E-4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input_503105!A$2</f>
        <v>503105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IFERROR(VLOOKUP(B63,input_503105!L:R,7,FALSE),VLOOKUP(tables_503105!C63,input_503105!A:H,8,FALSE))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input_503105!A$2</f>
        <v>503105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IFERROR(VLOOKUP(B64,input_503105!L:R,7,FALSE),VLOOKUP(tables_503105!C64,input_503105!A:H,8,FALSE))</f>
        <v>1082990</v>
      </c>
      <c r="P64" s="46">
        <f t="shared" ca="1" si="1"/>
        <v>8.8624386251755817E-3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input_503105!A$2</f>
        <v>503105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IFERROR(VLOOKUP(B65,input_503105!L:R,7,FALSE),VLOOKUP(tables_503105!C65,input_503105!A:H,8,FALSE))</f>
        <v>22278.307700000001</v>
      </c>
      <c r="P65" s="46">
        <f t="shared" ca="1" si="1"/>
        <v>1.8231021031036906E-4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input_503105!A$2</f>
        <v>503105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IFERROR(VLOOKUP(B66,input_503105!L:R,7,FALSE),VLOOKUP(tables_503105!C66,input_503105!A:H,8,FALSE))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input_503105!A$2</f>
        <v>503105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IFERROR(VLOOKUP(B67,input_503105!L:R,7,FALSE),VLOOKUP(tables_503105!C67,input_503105!A:H,8,FALSE))</f>
        <v>1082990</v>
      </c>
      <c r="P67" s="46">
        <f t="shared" ca="1" si="4"/>
        <v>8.8624386251755817E-3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input_503105!A$2</f>
        <v>503105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IFERROR(VLOOKUP(B68,input_503105!L:R,7,FALSE),VLOOKUP(tables_503105!C68,input_503105!A:H,8,FALSE))</f>
        <v>22278.307700000001</v>
      </c>
      <c r="P68" s="46">
        <f t="shared" ca="1" si="4"/>
        <v>1.8231021031036906E-4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input_503105!A$2</f>
        <v>503105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IFERROR(VLOOKUP(B69,input_503105!L:R,7,FALSE),VLOOKUP(tables_503105!C69,input_503105!A:H,8,FALSE))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input_503105!A$2</f>
        <v>503105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IFERROR(VLOOKUP(B70,input_503105!L:R,7,FALSE),VLOOKUP(tables_503105!C70,input_503105!A:H,8,FALSE))</f>
        <v>1082990</v>
      </c>
      <c r="P70" s="46">
        <f t="shared" ca="1" si="4"/>
        <v>8.8624386251755817E-3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input_503105!A$2</f>
        <v>503105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IFERROR(VLOOKUP(B71,input_503105!L:R,7,FALSE),VLOOKUP(tables_503105!C71,input_503105!A:H,8,FALSE))</f>
        <v>22278.307700000001</v>
      </c>
      <c r="P71" s="46">
        <f t="shared" ca="1" si="4"/>
        <v>1.8231021031036906E-4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input_503105!A$2</f>
        <v>503105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IFERROR(VLOOKUP(B72,input_503105!L:R,7,FALSE),VLOOKUP(tables_503105!C72,input_503105!A:H,8,FALSE))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input_503105!A$2</f>
        <v>503105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IFERROR(VLOOKUP(B73,input_503105!L:R,7,FALSE),VLOOKUP(tables_503105!C73,input_503105!A:H,8,FALSE))</f>
        <v>1082990</v>
      </c>
      <c r="P73" s="46">
        <f t="shared" ca="1" si="4"/>
        <v>8.8624386251755817E-3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input_503105!A$2</f>
        <v>503105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IFERROR(VLOOKUP(B74,input_503105!L:R,7,FALSE),VLOOKUP(tables_503105!C74,input_503105!A:H,8,FALSE))</f>
        <v>22278.307700000001</v>
      </c>
      <c r="P74" s="46">
        <f t="shared" ca="1" si="4"/>
        <v>1.8231021031036906E-4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input_503105!A$2</f>
        <v>503105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IFERROR(VLOOKUP(B75,input_503105!L:R,7,FALSE),VLOOKUP(tables_503105!C75,input_503105!A:H,8,FALSE))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input_503105!A$2</f>
        <v>503105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IFERROR(VLOOKUP(B76,input_503105!L:R,7,FALSE),VLOOKUP(tables_503105!C76,input_503105!A:H,8,FALSE))</f>
        <v>1082990</v>
      </c>
      <c r="P76" s="46">
        <f t="shared" ca="1" si="4"/>
        <v>8.8624386251755817E-3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input_503105!A$2</f>
        <v>503105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IFERROR(VLOOKUP(B77,input_503105!L:R,7,FALSE),VLOOKUP(tables_503105!C77,input_503105!A:H,8,FALSE))</f>
        <v>22278.307700000001</v>
      </c>
      <c r="P77" s="46">
        <f t="shared" ca="1" si="4"/>
        <v>1.8231021031036906E-4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input_503105!A$2</f>
        <v>503105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IFERROR(VLOOKUP(B78,input_503105!L:R,7,FALSE),VLOOKUP(tables_503105!C78,input_503105!A:H,8,FALSE))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input_503105!A$2</f>
        <v>503105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IFERROR(VLOOKUP(B79,input_503105!L:R,7,FALSE),VLOOKUP(tables_503105!C79,input_503105!A:H,8,FALSE))</f>
        <v>1082990</v>
      </c>
      <c r="P79" s="46">
        <f t="shared" ca="1" si="4"/>
        <v>8.8624386251755817E-3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input_503105!A$2</f>
        <v>503105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IFERROR(VLOOKUP(B80,input_503105!L:R,7,FALSE),VLOOKUP(tables_503105!C80,input_503105!A:H,8,FALSE))</f>
        <v>22278.307700000001</v>
      </c>
      <c r="P80" s="46">
        <f t="shared" ca="1" si="4"/>
        <v>1.8231021031036906E-4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input_503105!A$2</f>
        <v>503105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IFERROR(VLOOKUP(B81,input_503105!L:R,7,FALSE),VLOOKUP(tables_503105!C81,input_503105!A:H,8,FALSE))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input_503105!A$2</f>
        <v>503105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IFERROR(VLOOKUP(B82,input_503105!L:R,7,FALSE),VLOOKUP(tables_503105!C82,input_503105!A:H,8,FALSE))</f>
        <v>1082990</v>
      </c>
      <c r="P82" s="46">
        <f t="shared" ca="1" si="4"/>
        <v>8.8624386251755817E-3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input_503105!A$2</f>
        <v>503105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IFERROR(VLOOKUP(B83,input_503105!L:R,7,FALSE),VLOOKUP(tables_503105!C83,input_503105!A:H,8,FALSE))</f>
        <v>22278.307700000001</v>
      </c>
      <c r="P83" s="46">
        <f t="shared" ca="1" si="4"/>
        <v>1.8231021031036906E-4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input_503105!A$2</f>
        <v>503105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IFERROR(VLOOKUP(B84,input_503105!L:R,7,FALSE),VLOOKUP(tables_503105!C84,input_503105!A:H,8,FALSE))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input_503105!A$2</f>
        <v>503105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IFERROR(VLOOKUP(B85,input_503105!L:R,7,FALSE),VLOOKUP(tables_503105!C85,input_503105!A:H,8,FALSE))</f>
        <v>1082990</v>
      </c>
      <c r="P85" s="46">
        <f t="shared" ca="1" si="4"/>
        <v>8.8624386251755817E-3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input_503105!A$2</f>
        <v>503105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IFERROR(VLOOKUP(B86,input_503105!L:R,7,FALSE),VLOOKUP(tables_503105!C86,input_503105!A:H,8,FALSE))</f>
        <v>22278.307700000001</v>
      </c>
      <c r="P86" s="46">
        <f t="shared" ca="1" si="4"/>
        <v>1.8231021031036906E-4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input_503105!A$2</f>
        <v>503105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IFERROR(VLOOKUP(B87,input_503105!L:R,7,FALSE),VLOOKUP(tables_503105!C87,input_503105!A:H,8,FALSE))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input_503105!A$2</f>
        <v>503105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IFERROR(VLOOKUP(B88,input_503105!L:R,7,FALSE),VLOOKUP(tables_503105!C88,input_503105!A:H,8,FALSE))</f>
        <v>1082990</v>
      </c>
      <c r="P88" s="46">
        <f t="shared" ca="1" si="4"/>
        <v>8.8624386251755817E-3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input_503105!A$2</f>
        <v>503105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IFERROR(VLOOKUP(B89,input_503105!L:R,7,FALSE),VLOOKUP(tables_503105!C89,input_503105!A:H,8,FALSE))</f>
        <v>22278.307700000001</v>
      </c>
      <c r="P89" s="46">
        <f t="shared" ca="1" si="4"/>
        <v>1.8231021031036906E-4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input_503105!A$2</f>
        <v>503105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IFERROR(VLOOKUP(B90,input_503105!L:R,7,FALSE),VLOOKUP(tables_503105!C90,input_503105!A:H,8,FALSE))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input_503105!A$2</f>
        <v>503105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IFERROR(VLOOKUP(B91,input_503105!L:R,7,FALSE),VLOOKUP(tables_503105!C91,input_503105!A:H,8,FALSE))</f>
        <v>1082990</v>
      </c>
      <c r="P91" s="46">
        <f t="shared" ca="1" si="4"/>
        <v>8.8624386251755817E-3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input_503105!A$2</f>
        <v>503105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IFERROR(VLOOKUP(B92,input_503105!L:R,7,FALSE),VLOOKUP(tables_503105!C92,input_503105!A:H,8,FALSE))</f>
        <v>22278.307700000001</v>
      </c>
      <c r="P92" s="46">
        <f t="shared" ca="1" si="4"/>
        <v>1.8231021031036906E-4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input_503105!A$2</f>
        <v>503105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IFERROR(VLOOKUP(B93,input_503105!L:R,7,FALSE),VLOOKUP(tables_503105!C93,input_503105!A:H,8,FALSE))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input_503105!A$2</f>
        <v>503105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IFERROR(VLOOKUP(B94,input_503105!L:R,7,FALSE),VLOOKUP(tables_503105!C94,input_503105!A:H,8,FALSE))</f>
        <v>1082990</v>
      </c>
      <c r="P94" s="46">
        <f t="shared" ca="1" si="4"/>
        <v>8.8624386251755817E-3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input_503105!A$2</f>
        <v>503105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IFERROR(VLOOKUP(B95,input_503105!L:R,7,FALSE),VLOOKUP(tables_503105!C95,input_503105!A:H,8,FALSE))</f>
        <v>22278.307700000001</v>
      </c>
      <c r="P95" s="46">
        <f t="shared" ca="1" si="4"/>
        <v>1.8231021031036906E-4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input_503105!A$2</f>
        <v>503105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IFERROR(VLOOKUP(B96,input_503105!L:R,7,FALSE),VLOOKUP(tables_503105!C96,input_503105!A:H,8,FALSE))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input_503105!A$2</f>
        <v>503105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IFERROR(VLOOKUP(B97,input_503105!L:R,7,FALSE),VLOOKUP(tables_503105!C97,input_503105!A:H,8,FALSE))</f>
        <v>1082990</v>
      </c>
      <c r="P97" s="46">
        <f t="shared" ca="1" si="4"/>
        <v>8.8624386251755817E-3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input_503105!A$2</f>
        <v>503105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IFERROR(VLOOKUP(B98,input_503105!L:R,7,FALSE),VLOOKUP(tables_503105!C98,input_503105!A:H,8,FALSE))</f>
        <v>22278.307700000001</v>
      </c>
      <c r="P98" s="46">
        <f t="shared" ca="1" si="4"/>
        <v>1.8231021031036906E-4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input_503105!A$2</f>
        <v>503105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IFERROR(VLOOKUP(B99,input_503105!L:R,7,FALSE),VLOOKUP(tables_503105!C99,input_503105!A:H,8,FALSE))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input_503105!A$2</f>
        <v>503105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IFERROR(VLOOKUP(B100,input_503105!L:R,7,FALSE),VLOOKUP(tables_503105!C100,input_503105!A:H,8,FALSE))</f>
        <v>1082990</v>
      </c>
      <c r="P100" s="46">
        <f t="shared" ca="1" si="4"/>
        <v>8.8624386251755817E-3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input_503105!A$2</f>
        <v>503105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IFERROR(VLOOKUP(B101,input_503105!L:R,7,FALSE),VLOOKUP(tables_503105!C101,input_503105!A:H,8,FALSE))</f>
        <v>22278.307700000001</v>
      </c>
      <c r="P101" s="46">
        <f t="shared" ca="1" si="4"/>
        <v>1.8231021031036906E-4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input_503105!A$2</f>
        <v>503105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IFERROR(VLOOKUP(B102,input_503105!L:R,7,FALSE),VLOOKUP(tables_503105!C102,input_503105!A:H,8,FALSE))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input_503105!A$2</f>
        <v>503105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IFERROR(VLOOKUP(B103,input_503105!L:R,7,FALSE),VLOOKUP(tables_503105!C103,input_503105!A:H,8,FALSE))</f>
        <v>1082990</v>
      </c>
      <c r="P103" s="46">
        <f t="shared" ca="1" si="4"/>
        <v>8.8624386251755817E-3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input_503105!A$2</f>
        <v>503105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IFERROR(VLOOKUP(B104,input_503105!L:R,7,FALSE),VLOOKUP(tables_503105!C104,input_503105!A:H,8,FALSE))</f>
        <v>22278.307700000001</v>
      </c>
      <c r="P104" s="46">
        <f t="shared" ca="1" si="4"/>
        <v>1.8231021031036906E-4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input_503105!A$2</f>
        <v>503105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IFERROR(VLOOKUP(B105,input_503105!L:R,7,FALSE),VLOOKUP(tables_503105!C105,input_503105!A:H,8,FALSE))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input_503105!A$2</f>
        <v>503105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IFERROR(VLOOKUP(B106,input_503105!L:R,7,FALSE),VLOOKUP(tables_503105!C106,input_503105!A:H,8,FALSE))</f>
        <v>1082990</v>
      </c>
      <c r="P106" s="46">
        <f t="shared" ca="1" si="4"/>
        <v>8.8624386251755817E-3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input_503105!A$2</f>
        <v>503105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IFERROR(VLOOKUP(B107,input_503105!L:R,7,FALSE),VLOOKUP(tables_503105!C107,input_503105!A:H,8,FALSE))</f>
        <v>22278.307700000001</v>
      </c>
      <c r="P107" s="46">
        <f t="shared" ca="1" si="4"/>
        <v>1.8231021031036906E-4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input_503105!A$2</f>
        <v>503105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IFERROR(VLOOKUP(B108,input_503105!L:R,7,FALSE),VLOOKUP(tables_503105!C108,input_503105!A:H,8,FALSE))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input_503105!A$2</f>
        <v>503105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IFERROR(VLOOKUP(B109,input_503105!L:R,7,FALSE),VLOOKUP(tables_503105!C109,input_503105!A:H,8,FALSE))</f>
        <v>1082990</v>
      </c>
      <c r="P109" s="46">
        <f t="shared" ca="1" si="4"/>
        <v>8.8624386251755817E-3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input_503105!A$2</f>
        <v>503105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IFERROR(VLOOKUP(B110,input_503105!L:R,7,FALSE),VLOOKUP(tables_503105!C110,input_503105!A:H,8,FALSE))</f>
        <v>22278.307700000001</v>
      </c>
      <c r="P110" s="46">
        <f t="shared" ca="1" si="4"/>
        <v>1.8231021031036906E-4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input_503105!A$2</f>
        <v>503105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IFERROR(VLOOKUP(B111,input_503105!L:R,7,FALSE),VLOOKUP(tables_503105!C111,input_503105!A:H,8,FALSE))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input_503105!A$2</f>
        <v>503105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IFERROR(VLOOKUP(B112,input_503105!L:R,7,FALSE),VLOOKUP(tables_503105!C112,input_503105!A:H,8,FALSE))</f>
        <v>1153490</v>
      </c>
      <c r="P112" s="46">
        <f t="shared" ca="1" si="4"/>
        <v>9.4393617020967716E-3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input_503105!A$2</f>
        <v>503105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IFERROR(VLOOKUP(B113,input_503105!L:R,7,FALSE),VLOOKUP(tables_503105!C113,input_503105!A:H,8,FALSE))</f>
        <v>60710</v>
      </c>
      <c r="P113" s="46">
        <f t="shared" ca="1" si="4"/>
        <v>4.9680851063667222E-4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input_503105!A$2</f>
        <v>503105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IFERROR(VLOOKUP(B114,input_503105!L:R,7,FALSE),VLOOKUP(tables_503105!C114,input_503105!A:H,8,FALSE))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input_503105!A$2</f>
        <v>503105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IFERROR(VLOOKUP(B115,input_503105!L:R,7,FALSE),VLOOKUP(tables_503105!C115,input_503105!A:H,8,FALSE))</f>
        <v>1082990</v>
      </c>
      <c r="P115" s="46">
        <f t="shared" ca="1" si="4"/>
        <v>8.8624386251755817E-3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input_503105!A$2</f>
        <v>503105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IFERROR(VLOOKUP(B116,input_503105!L:R,7,FALSE),VLOOKUP(tables_503105!C116,input_503105!A:H,8,FALSE))</f>
        <v>22278.307700000001</v>
      </c>
      <c r="P116" s="46">
        <f t="shared" ca="1" si="4"/>
        <v>1.8231021031036906E-4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input_503105!A$2</f>
        <v>503105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IFERROR(VLOOKUP(B117,input_503105!L:R,7,FALSE),VLOOKUP(tables_503105!C117,input_503105!A:H,8,FALSE))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input_503105!A$2</f>
        <v>503105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IFERROR(VLOOKUP(B118,input_503105!L:R,7,FALSE),VLOOKUP(tables_503105!C118,input_503105!A:H,8,FALSE))</f>
        <v>1082990</v>
      </c>
      <c r="P118" s="46">
        <f t="shared" ca="1" si="4"/>
        <v>8.8624386251755817E-3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input_503105!A$2</f>
        <v>503105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IFERROR(VLOOKUP(B119,input_503105!L:R,7,FALSE),VLOOKUP(tables_503105!C119,input_503105!A:H,8,FALSE))</f>
        <v>22278.307700000001</v>
      </c>
      <c r="P119" s="46">
        <f t="shared" ca="1" si="4"/>
        <v>1.8231021031036906E-4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input_503105!A$2</f>
        <v>503105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IFERROR(VLOOKUP(B120,input_503105!L:R,7,FALSE),VLOOKUP(tables_503105!C120,input_503105!A:H,8,FALSE))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input_503105!A$2</f>
        <v>503105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IFERROR(VLOOKUP(B121,input_503105!L:R,7,FALSE),VLOOKUP(tables_503105!C121,input_503105!A:H,8,FALSE))</f>
        <v>1082990</v>
      </c>
      <c r="P121" s="46">
        <f t="shared" ca="1" si="4"/>
        <v>8.8624386251755817E-3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input_503105!A$2</f>
        <v>503105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IFERROR(VLOOKUP(B122,input_503105!L:R,7,FALSE),VLOOKUP(tables_503105!C122,input_503105!A:H,8,FALSE))</f>
        <v>22278.307700000001</v>
      </c>
      <c r="P122" s="46">
        <f t="shared" ca="1" si="4"/>
        <v>1.8231021031036906E-4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input_503105!A$2</f>
        <v>503105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IFERROR(VLOOKUP(B123,input_503105!L:R,7,FALSE),VLOOKUP(tables_503105!C123,input_503105!A:H,8,FALSE))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input_503105!A$2</f>
        <v>503105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IFERROR(VLOOKUP(B124,input_503105!L:R,7,FALSE),VLOOKUP(tables_503105!C124,input_503105!A:H,8,FALSE))</f>
        <v>1082990</v>
      </c>
      <c r="P124" s="46">
        <f t="shared" ca="1" si="4"/>
        <v>8.8624386251755817E-3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input_503105!A$2</f>
        <v>503105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IFERROR(VLOOKUP(B125,input_503105!L:R,7,FALSE),VLOOKUP(tables_503105!C125,input_503105!A:H,8,FALSE))</f>
        <v>22278.307700000001</v>
      </c>
      <c r="P125" s="46">
        <f t="shared" ca="1" si="4"/>
        <v>1.8231021031036906E-4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input_503105!A$2</f>
        <v>503105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IFERROR(VLOOKUP(B126,input_503105!L:R,7,FALSE),VLOOKUP(tables_503105!C126,input_503105!A:H,8,FALSE))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input_503105!A$2</f>
        <v>503105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IFERROR(VLOOKUP(B127,input_503105!L:R,7,FALSE),VLOOKUP(tables_503105!C127,input_503105!A:H,8,FALSE))</f>
        <v>1082990</v>
      </c>
      <c r="P127" s="46">
        <f t="shared" ca="1" si="4"/>
        <v>8.8624386251755817E-3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input_503105!A$2</f>
        <v>503105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IFERROR(VLOOKUP(B128,input_503105!L:R,7,FALSE),VLOOKUP(tables_503105!C128,input_503105!A:H,8,FALSE))</f>
        <v>22278.307700000001</v>
      </c>
      <c r="P128" s="46">
        <f t="shared" ca="1" si="4"/>
        <v>1.8231021031036906E-4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input_503105!A$2</f>
        <v>503105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IFERROR(VLOOKUP(B129,input_503105!L:R,7,FALSE),VLOOKUP(tables_503105!C129,input_503105!A:H,8,FALSE))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input_503105!A$2</f>
        <v>503105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IFERROR(VLOOKUP(B130,input_503105!L:R,7,FALSE),VLOOKUP(tables_503105!C130,input_503105!A:H,8,FALSE))</f>
        <v>1082990</v>
      </c>
      <c r="P130" s="46">
        <f t="shared" ref="P130:P193" ca="1" si="7">O130/SUM(O:O)</f>
        <v>8.8624386251755817E-3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input_503105!A$2</f>
        <v>503105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IFERROR(VLOOKUP(B131,input_503105!L:R,7,FALSE),VLOOKUP(tables_503105!C131,input_503105!A:H,8,FALSE))</f>
        <v>22278.307700000001</v>
      </c>
      <c r="P131" s="46">
        <f t="shared" ca="1" si="7"/>
        <v>1.8231021031036906E-4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input_503105!A$2</f>
        <v>503105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IFERROR(VLOOKUP(B132,input_503105!L:R,7,FALSE),VLOOKUP(tables_503105!C132,input_503105!A:H,8,FALSE))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input_503105!A$2</f>
        <v>503105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IFERROR(VLOOKUP(B133,input_503105!L:R,7,FALSE),VLOOKUP(tables_503105!C133,input_503105!A:H,8,FALSE))</f>
        <v>1082990</v>
      </c>
      <c r="P133" s="46">
        <f t="shared" ca="1" si="7"/>
        <v>8.8624386251755817E-3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input_503105!A$2</f>
        <v>503105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IFERROR(VLOOKUP(B134,input_503105!L:R,7,FALSE),VLOOKUP(tables_503105!C134,input_503105!A:H,8,FALSE))</f>
        <v>22278.307700000001</v>
      </c>
      <c r="P134" s="46">
        <f t="shared" ca="1" si="7"/>
        <v>1.8231021031036906E-4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input_503105!A$2</f>
        <v>503105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IFERROR(VLOOKUP(B135,input_503105!L:R,7,FALSE),VLOOKUP(tables_503105!C135,input_503105!A:H,8,FALSE))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input_503105!A$2</f>
        <v>503105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IFERROR(VLOOKUP(B136,input_503105!L:R,7,FALSE),VLOOKUP(tables_503105!C136,input_503105!A:H,8,FALSE))</f>
        <v>1082990</v>
      </c>
      <c r="P136" s="46">
        <f t="shared" ca="1" si="7"/>
        <v>8.8624386251755817E-3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input_503105!A$2</f>
        <v>503105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IFERROR(VLOOKUP(B137,input_503105!L:R,7,FALSE),VLOOKUP(tables_503105!C137,input_503105!A:H,8,FALSE))</f>
        <v>22278.307700000001</v>
      </c>
      <c r="P137" s="46">
        <f t="shared" ca="1" si="7"/>
        <v>1.8231021031036906E-4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input_503105!A$2</f>
        <v>503105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IFERROR(VLOOKUP(B138,input_503105!L:R,7,FALSE),VLOOKUP(tables_503105!C138,input_503105!A:H,8,FALSE))</f>
        <v>128269.71429</v>
      </c>
      <c r="P138" s="46">
        <f t="shared" ca="1" si="7"/>
        <v>1.0496703297019662E-3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input_503105!A$2</f>
        <v>503105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IFERROR(VLOOKUP(B139,input_503105!L:R,7,FALSE),VLOOKUP(tables_503105!C139,input_503105!A:H,8,FALSE))</f>
        <v>3196</v>
      </c>
      <c r="P139" s="46">
        <f t="shared" ca="1" si="7"/>
        <v>2.6153846153760572E-5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input_503105!A$2</f>
        <v>503105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IFERROR(VLOOKUP(B140,input_503105!L:R,7,FALSE),VLOOKUP(tables_503105!C140,input_503105!A:H,8,FALSE))</f>
        <v>128269.71429</v>
      </c>
      <c r="P140" s="46">
        <f t="shared" ca="1" si="7"/>
        <v>1.0496703297019662E-3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input_503105!A$2</f>
        <v>503105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IFERROR(VLOOKUP(B141,input_503105!L:R,7,FALSE),VLOOKUP(tables_503105!C141,input_503105!A:H,8,FALSE))</f>
        <v>3196</v>
      </c>
      <c r="P141" s="46">
        <f t="shared" ca="1" si="7"/>
        <v>2.6153846153760572E-5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input_503105!A$2</f>
        <v>503105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IFERROR(VLOOKUP(B142,input_503105!L:R,7,FALSE),VLOOKUP(tables_503105!C142,input_503105!A:H,8,FALSE))</f>
        <v>128269.71429</v>
      </c>
      <c r="P142" s="46">
        <f t="shared" ca="1" si="7"/>
        <v>1.0496703297019662E-3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input_503105!A$2</f>
        <v>503105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IFERROR(VLOOKUP(B143,input_503105!L:R,7,FALSE),VLOOKUP(tables_503105!C143,input_503105!A:H,8,FALSE))</f>
        <v>3196</v>
      </c>
      <c r="P143" s="46">
        <f t="shared" ca="1" si="7"/>
        <v>2.6153846153760572E-5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input_503105!A$2</f>
        <v>503105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IFERROR(VLOOKUP(B144,input_503105!L:R,7,FALSE),VLOOKUP(tables_503105!C144,input_503105!A:H,8,FALSE))</f>
        <v>128269.71429</v>
      </c>
      <c r="P144" s="46">
        <f t="shared" ca="1" si="7"/>
        <v>1.0496703297019662E-3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input_503105!A$2</f>
        <v>503105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IFERROR(VLOOKUP(B145,input_503105!L:R,7,FALSE),VLOOKUP(tables_503105!C145,input_503105!A:H,8,FALSE))</f>
        <v>3196</v>
      </c>
      <c r="P145" s="46">
        <f t="shared" ca="1" si="7"/>
        <v>2.6153846153760572E-5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input_503105!A$2</f>
        <v>503105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IFERROR(VLOOKUP(B146,input_503105!L:R,7,FALSE),VLOOKUP(tables_503105!C146,input_503105!A:H,8,FALSE))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input_503105!A$2</f>
        <v>503105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IFERROR(VLOOKUP(B147,input_503105!L:R,7,FALSE),VLOOKUP(tables_503105!C147,input_503105!A:H,8,FALSE))</f>
        <v>1082990</v>
      </c>
      <c r="P147" s="46">
        <f t="shared" ca="1" si="7"/>
        <v>8.8624386251755817E-3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input_503105!A$2</f>
        <v>503105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IFERROR(VLOOKUP(B148,input_503105!L:R,7,FALSE),VLOOKUP(tables_503105!C148,input_503105!A:H,8,FALSE))</f>
        <v>22278.307700000001</v>
      </c>
      <c r="P148" s="46">
        <f t="shared" ca="1" si="7"/>
        <v>1.8231021031036906E-4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input_503105!A$2</f>
        <v>503105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IFERROR(VLOOKUP(B149,input_503105!L:R,7,FALSE),VLOOKUP(tables_503105!C149,input_503105!A:H,8,FALSE))</f>
        <v>128269.71429</v>
      </c>
      <c r="P149" s="46">
        <f t="shared" ca="1" si="7"/>
        <v>1.0496703297019662E-3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input_503105!A$2</f>
        <v>503105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IFERROR(VLOOKUP(B150,input_503105!L:R,7,FALSE),VLOOKUP(tables_503105!C150,input_503105!A:H,8,FALSE))</f>
        <v>3196</v>
      </c>
      <c r="P150" s="46">
        <f t="shared" ca="1" si="7"/>
        <v>2.6153846153760572E-5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input_503105!A$2</f>
        <v>503105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IFERROR(VLOOKUP(B151,input_503105!L:R,7,FALSE),VLOOKUP(tables_503105!C151,input_503105!A:H,8,FALSE))</f>
        <v>128269.71429</v>
      </c>
      <c r="P151" s="46">
        <f t="shared" ca="1" si="7"/>
        <v>1.0496703297019662E-3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input_503105!A$2</f>
        <v>503105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IFERROR(VLOOKUP(B152,input_503105!L:R,7,FALSE),VLOOKUP(tables_503105!C152,input_503105!A:H,8,FALSE))</f>
        <v>3196</v>
      </c>
      <c r="P152" s="46">
        <f t="shared" ca="1" si="7"/>
        <v>2.6153846153760572E-5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input_503105!A$2</f>
        <v>503105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IFERROR(VLOOKUP(B153,input_503105!L:R,7,FALSE),VLOOKUP(tables_503105!C153,input_503105!A:H,8,FALSE))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input_503105!A$2</f>
        <v>503105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IFERROR(VLOOKUP(B154,input_503105!L:R,7,FALSE),VLOOKUP(tables_503105!C154,input_503105!A:H,8,FALSE))</f>
        <v>1082990</v>
      </c>
      <c r="P154" s="46">
        <f t="shared" ca="1" si="7"/>
        <v>8.8624386251755817E-3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input_503105!A$2</f>
        <v>503105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IFERROR(VLOOKUP(B155,input_503105!L:R,7,FALSE),VLOOKUP(tables_503105!C155,input_503105!A:H,8,FALSE))</f>
        <v>22278.307700000001</v>
      </c>
      <c r="P155" s="46">
        <f t="shared" ca="1" si="7"/>
        <v>1.8231021031036906E-4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input_503105!A$2</f>
        <v>503105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IFERROR(VLOOKUP(B156,input_503105!L:R,7,FALSE),VLOOKUP(tables_503105!C156,input_503105!A:H,8,FALSE))</f>
        <v>128269.71429</v>
      </c>
      <c r="P156" s="46">
        <f t="shared" ca="1" si="7"/>
        <v>1.0496703297019662E-3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input_503105!A$2</f>
        <v>503105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IFERROR(VLOOKUP(B157,input_503105!L:R,7,FALSE),VLOOKUP(tables_503105!C157,input_503105!A:H,8,FALSE))</f>
        <v>3196</v>
      </c>
      <c r="P157" s="46">
        <f t="shared" ca="1" si="7"/>
        <v>2.6153846153760572E-5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input_503105!A$2</f>
        <v>503105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IFERROR(VLOOKUP(B158,input_503105!L:R,7,FALSE),VLOOKUP(tables_503105!C158,input_503105!A:H,8,FALSE))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input_503105!A$2</f>
        <v>503105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IFERROR(VLOOKUP(B159,input_503105!L:R,7,FALSE),VLOOKUP(tables_503105!C159,input_503105!A:H,8,FALSE))</f>
        <v>1082990</v>
      </c>
      <c r="P159" s="46">
        <f t="shared" ca="1" si="7"/>
        <v>8.8624386251755817E-3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input_503105!A$2</f>
        <v>503105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IFERROR(VLOOKUP(B160,input_503105!L:R,7,FALSE),VLOOKUP(tables_503105!C160,input_503105!A:H,8,FALSE))</f>
        <v>22278.307700000001</v>
      </c>
      <c r="P160" s="46">
        <f t="shared" ca="1" si="7"/>
        <v>1.8231021031036906E-4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input_503105!A$2</f>
        <v>503105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IFERROR(VLOOKUP(B161,input_503105!L:R,7,FALSE),VLOOKUP(tables_503105!C161,input_503105!A:H,8,FALSE))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input_503105!A$2</f>
        <v>503105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IFERROR(VLOOKUP(B162,input_503105!L:R,7,FALSE),VLOOKUP(tables_503105!C162,input_503105!A:H,8,FALSE))</f>
        <v>1082990</v>
      </c>
      <c r="P162" s="46">
        <f t="shared" ca="1" si="7"/>
        <v>8.8624386251755817E-3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input_503105!A$2</f>
        <v>503105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IFERROR(VLOOKUP(B163,input_503105!L:R,7,FALSE),VLOOKUP(tables_503105!C163,input_503105!A:H,8,FALSE))</f>
        <v>22278.307700000001</v>
      </c>
      <c r="P163" s="46">
        <f t="shared" ca="1" si="7"/>
        <v>1.8231021031036906E-4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input_503105!A$2</f>
        <v>503105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IFERROR(VLOOKUP(B164,input_503105!L:R,7,FALSE),VLOOKUP(tables_503105!C164,input_503105!A:H,8,FALSE))</f>
        <v>128269.71429</v>
      </c>
      <c r="P164" s="46">
        <f t="shared" ca="1" si="7"/>
        <v>1.0496703297019662E-3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input_503105!A$2</f>
        <v>503105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IFERROR(VLOOKUP(B165,input_503105!L:R,7,FALSE),VLOOKUP(tables_503105!C165,input_503105!A:H,8,FALSE))</f>
        <v>3196</v>
      </c>
      <c r="P165" s="46">
        <f t="shared" ca="1" si="7"/>
        <v>2.6153846153760572E-5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input_503105!A$2</f>
        <v>503105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IFERROR(VLOOKUP(B166,input_503105!L:R,7,FALSE),VLOOKUP(tables_503105!C166,input_503105!A:H,8,FALSE))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input_503105!A$2</f>
        <v>503105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IFERROR(VLOOKUP(B167,input_503105!L:R,7,FALSE),VLOOKUP(tables_503105!C167,input_503105!A:H,8,FALSE))</f>
        <v>1082990</v>
      </c>
      <c r="P167" s="46">
        <f t="shared" ca="1" si="7"/>
        <v>8.8624386251755817E-3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input_503105!A$2</f>
        <v>503105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IFERROR(VLOOKUP(B168,input_503105!L:R,7,FALSE),VLOOKUP(tables_503105!C168,input_503105!A:H,8,FALSE))</f>
        <v>22278.307700000001</v>
      </c>
      <c r="P168" s="46">
        <f t="shared" ca="1" si="7"/>
        <v>1.8231021031036906E-4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input_503105!A$2</f>
        <v>503105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IFERROR(VLOOKUP(B169,input_503105!L:R,7,FALSE),VLOOKUP(tables_503105!C169,input_503105!A:H,8,FALSE))</f>
        <v>128269.71429</v>
      </c>
      <c r="P169" s="46">
        <f t="shared" ca="1" si="7"/>
        <v>1.0496703297019662E-3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input_503105!A$2</f>
        <v>503105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IFERROR(VLOOKUP(B170,input_503105!L:R,7,FALSE),VLOOKUP(tables_503105!C170,input_503105!A:H,8,FALSE))</f>
        <v>3196</v>
      </c>
      <c r="P170" s="46">
        <f t="shared" ca="1" si="7"/>
        <v>2.6153846153760572E-5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input_503105!A$2</f>
        <v>503105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IFERROR(VLOOKUP(B171,input_503105!L:R,7,FALSE),VLOOKUP(tables_503105!C171,input_503105!A:H,8,FALSE))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input_503105!A$2</f>
        <v>503105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IFERROR(VLOOKUP(B172,input_503105!L:R,7,FALSE),VLOOKUP(tables_503105!C172,input_503105!A:H,8,FALSE))</f>
        <v>1082990</v>
      </c>
      <c r="P172" s="46">
        <f t="shared" ca="1" si="7"/>
        <v>8.8624386251755817E-3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input_503105!A$2</f>
        <v>503105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IFERROR(VLOOKUP(B173,input_503105!L:R,7,FALSE),VLOOKUP(tables_503105!C173,input_503105!A:H,8,FALSE))</f>
        <v>22278.307700000001</v>
      </c>
      <c r="P173" s="46">
        <f t="shared" ca="1" si="7"/>
        <v>1.8231021031036906E-4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input_503105!A$2</f>
        <v>503105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IFERROR(VLOOKUP(B174,input_503105!L:R,7,FALSE),VLOOKUP(tables_503105!C174,input_503105!A:H,8,FALSE))</f>
        <v>128269.71429</v>
      </c>
      <c r="P174" s="46">
        <f t="shared" ca="1" si="7"/>
        <v>1.0496703297019662E-3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input_503105!A$2</f>
        <v>503105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IFERROR(VLOOKUP(B175,input_503105!L:R,7,FALSE),VLOOKUP(tables_503105!C175,input_503105!A:H,8,FALSE))</f>
        <v>3196</v>
      </c>
      <c r="P175" s="46">
        <f t="shared" ca="1" si="7"/>
        <v>2.6153846153760572E-5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input_503105!A$2</f>
        <v>503105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IFERROR(VLOOKUP(B176,input_503105!L:R,7,FALSE),VLOOKUP(tables_503105!C176,input_503105!A:H,8,FALSE))</f>
        <v>128269.71429</v>
      </c>
      <c r="P176" s="46">
        <f t="shared" ca="1" si="7"/>
        <v>1.0496703297019662E-3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input_503105!A$2</f>
        <v>503105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IFERROR(VLOOKUP(B177,input_503105!L:R,7,FALSE),VLOOKUP(tables_503105!C177,input_503105!A:H,8,FALSE))</f>
        <v>3196</v>
      </c>
      <c r="P177" s="46">
        <f t="shared" ca="1" si="7"/>
        <v>2.6153846153760572E-5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input_503105!A$2</f>
        <v>503105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IFERROR(VLOOKUP(B178,input_503105!L:R,7,FALSE),VLOOKUP(tables_503105!C178,input_503105!A:H,8,FALSE))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input_503105!A$2</f>
        <v>503105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IFERROR(VLOOKUP(B179,input_503105!L:R,7,FALSE),VLOOKUP(tables_503105!C179,input_503105!A:H,8,FALSE))</f>
        <v>1082990</v>
      </c>
      <c r="P179" s="46">
        <f t="shared" ca="1" si="7"/>
        <v>8.8624386251755817E-3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input_503105!A$2</f>
        <v>503105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IFERROR(VLOOKUP(B180,input_503105!L:R,7,FALSE),VLOOKUP(tables_503105!C180,input_503105!A:H,8,FALSE))</f>
        <v>22278.307700000001</v>
      </c>
      <c r="P180" s="46">
        <f t="shared" ca="1" si="7"/>
        <v>1.8231021031036906E-4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input_503105!A$2</f>
        <v>503105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IFERROR(VLOOKUP(B181,input_503105!L:R,7,FALSE),VLOOKUP(tables_503105!C181,input_503105!A:H,8,FALSE))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input_503105!A$2</f>
        <v>503105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IFERROR(VLOOKUP(B182,input_503105!L:R,7,FALSE),VLOOKUP(tables_503105!C182,input_503105!A:H,8,FALSE))</f>
        <v>1082990</v>
      </c>
      <c r="P182" s="46">
        <f t="shared" ca="1" si="7"/>
        <v>8.8624386251755817E-3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input_503105!A$2</f>
        <v>503105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IFERROR(VLOOKUP(B183,input_503105!L:R,7,FALSE),VLOOKUP(tables_503105!C183,input_503105!A:H,8,FALSE))</f>
        <v>22278.307700000001</v>
      </c>
      <c r="P183" s="46">
        <f t="shared" ca="1" si="7"/>
        <v>1.8231021031036906E-4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input_503105!A$2</f>
        <v>503105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IFERROR(VLOOKUP(B184,input_503105!L:R,7,FALSE),VLOOKUP(tables_503105!C184,input_503105!A:H,8,FALSE))</f>
        <v>128269.71429</v>
      </c>
      <c r="P184" s="46">
        <f t="shared" ca="1" si="7"/>
        <v>1.0496703297019662E-3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input_503105!A$2</f>
        <v>503105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IFERROR(VLOOKUP(B185,input_503105!L:R,7,FALSE),VLOOKUP(tables_503105!C185,input_503105!A:H,8,FALSE))</f>
        <v>3196</v>
      </c>
      <c r="P185" s="46">
        <f t="shared" ca="1" si="7"/>
        <v>2.6153846153760572E-5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input_503105!A$2</f>
        <v>503105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IFERROR(VLOOKUP(B186,input_503105!L:R,7,FALSE),VLOOKUP(tables_503105!C186,input_503105!A:H,8,FALSE))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input_503105!A$2</f>
        <v>503105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IFERROR(VLOOKUP(B187,input_503105!L:R,7,FALSE),VLOOKUP(tables_503105!C187,input_503105!A:H,8,FALSE))</f>
        <v>1082990</v>
      </c>
      <c r="P187" s="46">
        <f t="shared" ca="1" si="7"/>
        <v>8.8624386251755817E-3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input_503105!A$2</f>
        <v>503105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IFERROR(VLOOKUP(B188,input_503105!L:R,7,FALSE),VLOOKUP(tables_503105!C188,input_503105!A:H,8,FALSE))</f>
        <v>22278.307700000001</v>
      </c>
      <c r="P188" s="46">
        <f t="shared" ca="1" si="7"/>
        <v>1.8231021031036906E-4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input_503105!A$2</f>
        <v>503105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IFERROR(VLOOKUP(B189,input_503105!L:R,7,FALSE),VLOOKUP(tables_503105!C189,input_503105!A:H,8,FALSE))</f>
        <v>128269.71429</v>
      </c>
      <c r="P189" s="46">
        <f t="shared" ca="1" si="7"/>
        <v>1.0496703297019662E-3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input_503105!A$2</f>
        <v>503105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IFERROR(VLOOKUP(B190,input_503105!L:R,7,FALSE),VLOOKUP(tables_503105!C190,input_503105!A:H,8,FALSE))</f>
        <v>3196</v>
      </c>
      <c r="P190" s="46">
        <f t="shared" ca="1" si="7"/>
        <v>2.6153846153760572E-5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input_503105!A$2</f>
        <v>503105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IFERROR(VLOOKUP(B191,input_503105!L:R,7,FALSE),VLOOKUP(tables_503105!C191,input_503105!A:H,8,FALSE))</f>
        <v>128269.71429</v>
      </c>
      <c r="P191" s="46">
        <f t="shared" ca="1" si="7"/>
        <v>1.0496703297019662E-3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input_503105!A$2</f>
        <v>503105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IFERROR(VLOOKUP(B192,input_503105!L:R,7,FALSE),VLOOKUP(tables_503105!C192,input_503105!A:H,8,FALSE))</f>
        <v>3196</v>
      </c>
      <c r="P192" s="46">
        <f t="shared" ca="1" si="7"/>
        <v>2.6153846153760572E-5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input_503105!A$2</f>
        <v>503105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IFERROR(VLOOKUP(B193,input_503105!L:R,7,FALSE),VLOOKUP(tables_503105!C193,input_503105!A:H,8,FALSE))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input_503105!A$2</f>
        <v>503105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IFERROR(VLOOKUP(B194,input_503105!L:R,7,FALSE),VLOOKUP(tables_503105!C194,input_503105!A:H,8,FALSE))</f>
        <v>1082990</v>
      </c>
      <c r="P194" s="46">
        <f t="shared" ref="P194:P257" ca="1" si="10">O194/SUM(O:O)</f>
        <v>8.8624386251755817E-3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input_503105!A$2</f>
        <v>503105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IFERROR(VLOOKUP(B195,input_503105!L:R,7,FALSE),VLOOKUP(tables_503105!C195,input_503105!A:H,8,FALSE))</f>
        <v>22278.307700000001</v>
      </c>
      <c r="P195" s="46">
        <f t="shared" ca="1" si="10"/>
        <v>1.8231021031036906E-4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input_503105!A$2</f>
        <v>503105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IFERROR(VLOOKUP(B196,input_503105!L:R,7,FALSE),VLOOKUP(tables_503105!C196,input_503105!A:H,8,FALSE))</f>
        <v>128269.71429</v>
      </c>
      <c r="P196" s="46">
        <f t="shared" ca="1" si="10"/>
        <v>1.0496703297019662E-3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input_503105!A$2</f>
        <v>503105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IFERROR(VLOOKUP(B197,input_503105!L:R,7,FALSE),VLOOKUP(tables_503105!C197,input_503105!A:H,8,FALSE))</f>
        <v>3196</v>
      </c>
      <c r="P197" s="46">
        <f t="shared" ca="1" si="10"/>
        <v>2.6153846153760572E-5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input_503105!A$2</f>
        <v>503105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IFERROR(VLOOKUP(B198,input_503105!L:R,7,FALSE),VLOOKUP(tables_503105!C198,input_503105!A:H,8,FALSE))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input_503105!A$2</f>
        <v>503105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IFERROR(VLOOKUP(B199,input_503105!L:R,7,FALSE),VLOOKUP(tables_503105!C199,input_503105!A:H,8,FALSE))</f>
        <v>1082990</v>
      </c>
      <c r="P199" s="46">
        <f t="shared" ca="1" si="10"/>
        <v>8.8624386251755817E-3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input_503105!A$2</f>
        <v>503105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IFERROR(VLOOKUP(B200,input_503105!L:R,7,FALSE),VLOOKUP(tables_503105!C200,input_503105!A:H,8,FALSE))</f>
        <v>22278.307700000001</v>
      </c>
      <c r="P200" s="46">
        <f t="shared" ca="1" si="10"/>
        <v>1.8231021031036906E-4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input_503105!A$2</f>
        <v>503105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IFERROR(VLOOKUP(B201,input_503105!L:R,7,FALSE),VLOOKUP(tables_503105!C201,input_503105!A:H,8,FALSE))</f>
        <v>128269.71429</v>
      </c>
      <c r="P201" s="46">
        <f t="shared" ca="1" si="10"/>
        <v>1.0496703297019662E-3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input_503105!A$2</f>
        <v>503105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IFERROR(VLOOKUP(B202,input_503105!L:R,7,FALSE),VLOOKUP(tables_503105!C202,input_503105!A:H,8,FALSE))</f>
        <v>3196</v>
      </c>
      <c r="P202" s="46">
        <f t="shared" ca="1" si="10"/>
        <v>2.6153846153760572E-5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input_503105!A$2</f>
        <v>503105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IFERROR(VLOOKUP(B203,input_503105!L:R,7,FALSE),VLOOKUP(tables_503105!C203,input_503105!A:H,8,FALSE))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input_503105!A$2</f>
        <v>503105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IFERROR(VLOOKUP(B204,input_503105!L:R,7,FALSE),VLOOKUP(tables_503105!C204,input_503105!A:H,8,FALSE))</f>
        <v>1082990</v>
      </c>
      <c r="P204" s="46">
        <f t="shared" ca="1" si="10"/>
        <v>8.8624386251755817E-3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input_503105!A$2</f>
        <v>503105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IFERROR(VLOOKUP(B205,input_503105!L:R,7,FALSE),VLOOKUP(tables_503105!C205,input_503105!A:H,8,FALSE))</f>
        <v>22278.307700000001</v>
      </c>
      <c r="P205" s="46">
        <f t="shared" ca="1" si="10"/>
        <v>1.8231021031036906E-4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input_503105!A$2</f>
        <v>503105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IFERROR(VLOOKUP(B206,input_503105!L:R,7,FALSE),VLOOKUP(tables_503105!C206,input_503105!A:H,8,FALSE))</f>
        <v>128269.71429</v>
      </c>
      <c r="P206" s="46">
        <f t="shared" ca="1" si="10"/>
        <v>1.0496703297019662E-3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input_503105!A$2</f>
        <v>503105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IFERROR(VLOOKUP(B207,input_503105!L:R,7,FALSE),VLOOKUP(tables_503105!C207,input_503105!A:H,8,FALSE))</f>
        <v>3196</v>
      </c>
      <c r="P207" s="46">
        <f t="shared" ca="1" si="10"/>
        <v>2.6153846153760572E-5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input_503105!A$2</f>
        <v>503105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IFERROR(VLOOKUP(B208,input_503105!L:R,7,FALSE),VLOOKUP(tables_503105!C208,input_503105!A:H,8,FALSE))</f>
        <v>128269.71429</v>
      </c>
      <c r="P208" s="46">
        <f t="shared" ca="1" si="10"/>
        <v>1.0496703297019662E-3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input_503105!A$2</f>
        <v>503105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IFERROR(VLOOKUP(B209,input_503105!L:R,7,FALSE),VLOOKUP(tables_503105!C209,input_503105!A:H,8,FALSE))</f>
        <v>3196</v>
      </c>
      <c r="P209" s="46">
        <f t="shared" ca="1" si="10"/>
        <v>2.6153846153760572E-5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input_503105!A$2</f>
        <v>503105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IFERROR(VLOOKUP(B210,input_503105!L:R,7,FALSE),VLOOKUP(tables_503105!C210,input_503105!A:H,8,FALSE))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input_503105!A$2</f>
        <v>503105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IFERROR(VLOOKUP(B211,input_503105!L:R,7,FALSE),VLOOKUP(tables_503105!C211,input_503105!A:H,8,FALSE))</f>
        <v>1082990</v>
      </c>
      <c r="P211" s="46">
        <f t="shared" ca="1" si="10"/>
        <v>8.8624386251755817E-3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input_503105!A$2</f>
        <v>503105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IFERROR(VLOOKUP(B212,input_503105!L:R,7,FALSE),VLOOKUP(tables_503105!C212,input_503105!A:H,8,FALSE))</f>
        <v>22278.307700000001</v>
      </c>
      <c r="P212" s="46">
        <f t="shared" ca="1" si="10"/>
        <v>1.8231021031036906E-4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input_503105!A$2</f>
        <v>503105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IFERROR(VLOOKUP(B213,input_503105!L:R,7,FALSE),VLOOKUP(tables_503105!C213,input_503105!A:H,8,FALSE))</f>
        <v>128269.71429</v>
      </c>
      <c r="P213" s="46">
        <f t="shared" ca="1" si="10"/>
        <v>1.0496703297019662E-3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input_503105!A$2</f>
        <v>503105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IFERROR(VLOOKUP(B214,input_503105!L:R,7,FALSE),VLOOKUP(tables_503105!C214,input_503105!A:H,8,FALSE))</f>
        <v>3196</v>
      </c>
      <c r="P214" s="46">
        <f t="shared" ca="1" si="10"/>
        <v>2.6153846153760572E-5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input_503105!A$2</f>
        <v>503105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IFERROR(VLOOKUP(B215,input_503105!L:R,7,FALSE),VLOOKUP(tables_503105!C215,input_503105!A:H,8,FALSE))</f>
        <v>9793.3333299999995</v>
      </c>
      <c r="P215" s="46">
        <f t="shared" ca="1" si="10"/>
        <v>8.0141843944091264E-5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input_503105!A$2</f>
        <v>503105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IFERROR(VLOOKUP(B216,input_503105!L:R,7,FALSE),VLOOKUP(tables_503105!C216,input_503105!A:H,8,FALSE))</f>
        <v>9793.3333299999995</v>
      </c>
      <c r="P216" s="46">
        <f t="shared" ca="1" si="10"/>
        <v>8.0141843944091264E-5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input_503105!A$2</f>
        <v>503105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IFERROR(VLOOKUP(B217,input_503105!L:R,7,FALSE),VLOOKUP(tables_503105!C217,input_503105!A:H,8,FALSE))</f>
        <v>9793.3333299999995</v>
      </c>
      <c r="P217" s="46">
        <f t="shared" ca="1" si="10"/>
        <v>8.0141843944091264E-5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input_503105!A$2</f>
        <v>503105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IFERROR(VLOOKUP(B218,input_503105!L:R,7,FALSE),VLOOKUP(tables_503105!C218,input_503105!A:H,8,FALSE))</f>
        <v>9793.3333299999995</v>
      </c>
      <c r="P218" s="46">
        <f t="shared" ca="1" si="10"/>
        <v>8.0141843944091264E-5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input_503105!A$2</f>
        <v>503105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IFERROR(VLOOKUP(B219,input_503105!L:R,7,FALSE),VLOOKUP(tables_503105!C219,input_503105!A:H,8,FALSE))</f>
        <v>9793.3333299999995</v>
      </c>
      <c r="P219" s="46">
        <f t="shared" ca="1" si="10"/>
        <v>8.0141843944091264E-5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input_503105!A$2</f>
        <v>503105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IFERROR(VLOOKUP(B220,input_503105!L:R,7,FALSE),VLOOKUP(tables_503105!C220,input_503105!A:H,8,FALSE))</f>
        <v>9793.3333299999995</v>
      </c>
      <c r="P220" s="46">
        <f t="shared" ca="1" si="10"/>
        <v>8.0141843944091264E-5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input_503105!A$2</f>
        <v>503105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IFERROR(VLOOKUP(B221,input_503105!L:R,7,FALSE),VLOOKUP(tables_503105!C221,input_503105!A:H,8,FALSE))</f>
        <v>128269.71429</v>
      </c>
      <c r="P221" s="46">
        <f t="shared" ca="1" si="10"/>
        <v>1.0496703297019662E-3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input_503105!A$2</f>
        <v>503105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IFERROR(VLOOKUP(B222,input_503105!L:R,7,FALSE),VLOOKUP(tables_503105!C222,input_503105!A:H,8,FALSE))</f>
        <v>3196</v>
      </c>
      <c r="P222" s="46">
        <f t="shared" ca="1" si="10"/>
        <v>2.6153846153760572E-5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input_503105!A$2</f>
        <v>503105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IFERROR(VLOOKUP(B223,input_503105!L:R,7,FALSE),VLOOKUP(tables_503105!C223,input_503105!A:H,8,FALSE))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input_503105!A$2</f>
        <v>503105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IFERROR(VLOOKUP(B224,input_503105!L:R,7,FALSE),VLOOKUP(tables_503105!C224,input_503105!A:H,8,FALSE))</f>
        <v>1082990</v>
      </c>
      <c r="P224" s="46">
        <f t="shared" ca="1" si="10"/>
        <v>8.8624386251755817E-3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input_503105!A$2</f>
        <v>503105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IFERROR(VLOOKUP(B225,input_503105!L:R,7,FALSE),VLOOKUP(tables_503105!C225,input_503105!A:H,8,FALSE))</f>
        <v>22278.307700000001</v>
      </c>
      <c r="P225" s="46">
        <f t="shared" ca="1" si="10"/>
        <v>1.8231021031036906E-4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input_503105!A$2</f>
        <v>503105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IFERROR(VLOOKUP(B226,input_503105!L:R,7,FALSE),VLOOKUP(tables_503105!C226,input_503105!A:H,8,FALSE))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input_503105!A$2</f>
        <v>503105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IFERROR(VLOOKUP(B227,input_503105!L:R,7,FALSE),VLOOKUP(tables_503105!C227,input_503105!A:H,8,FALSE))</f>
        <v>1082990</v>
      </c>
      <c r="P227" s="46">
        <f t="shared" ca="1" si="10"/>
        <v>8.8624386251755817E-3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input_503105!A$2</f>
        <v>503105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IFERROR(VLOOKUP(B228,input_503105!L:R,7,FALSE),VLOOKUP(tables_503105!C228,input_503105!A:H,8,FALSE))</f>
        <v>22278.307700000001</v>
      </c>
      <c r="P228" s="46">
        <f t="shared" ca="1" si="10"/>
        <v>1.8231021031036906E-4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input_503105!A$2</f>
        <v>503105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IFERROR(VLOOKUP(B229,input_503105!L:R,7,FALSE),VLOOKUP(tables_503105!C229,input_503105!A:H,8,FALSE))</f>
        <v>128269.71429</v>
      </c>
      <c r="P229" s="46">
        <f t="shared" ca="1" si="10"/>
        <v>1.0496703297019662E-3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input_503105!A$2</f>
        <v>503105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IFERROR(VLOOKUP(B230,input_503105!L:R,7,FALSE),VLOOKUP(tables_503105!C230,input_503105!A:H,8,FALSE))</f>
        <v>3196</v>
      </c>
      <c r="P230" s="46">
        <f t="shared" ca="1" si="10"/>
        <v>2.6153846153760572E-5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input_503105!A$2</f>
        <v>503105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IFERROR(VLOOKUP(B231,input_503105!L:R,7,FALSE),VLOOKUP(tables_503105!C231,input_503105!A:H,8,FALSE))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input_503105!A$2</f>
        <v>503105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IFERROR(VLOOKUP(B232,input_503105!L:R,7,FALSE),VLOOKUP(tables_503105!C232,input_503105!A:H,8,FALSE))</f>
        <v>1082990</v>
      </c>
      <c r="P232" s="46">
        <f t="shared" ca="1" si="10"/>
        <v>8.8624386251755817E-3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input_503105!A$2</f>
        <v>503105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IFERROR(VLOOKUP(B233,input_503105!L:R,7,FALSE),VLOOKUP(tables_503105!C233,input_503105!A:H,8,FALSE))</f>
        <v>22278.307700000001</v>
      </c>
      <c r="P233" s="46">
        <f t="shared" ca="1" si="10"/>
        <v>1.8231021031036906E-4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input_503105!A$2</f>
        <v>503105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IFERROR(VLOOKUP(B234,input_503105!L:R,7,FALSE),VLOOKUP(tables_503105!C234,input_503105!A:H,8,FALSE))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input_503105!A$2</f>
        <v>503105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IFERROR(VLOOKUP(B235,input_503105!L:R,7,FALSE),VLOOKUP(tables_503105!C235,input_503105!A:H,8,FALSE))</f>
        <v>1082990</v>
      </c>
      <c r="P235" s="46">
        <f t="shared" ca="1" si="10"/>
        <v>8.8624386251755817E-3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input_503105!A$2</f>
        <v>503105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IFERROR(VLOOKUP(B236,input_503105!L:R,7,FALSE),VLOOKUP(tables_503105!C236,input_503105!A:H,8,FALSE))</f>
        <v>22278.307700000001</v>
      </c>
      <c r="P236" s="46">
        <f t="shared" ca="1" si="10"/>
        <v>1.8231021031036906E-4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input_503105!A$2</f>
        <v>503105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IFERROR(VLOOKUP(B237,input_503105!L:R,7,FALSE),VLOOKUP(tables_503105!C237,input_503105!A:H,8,FALSE))</f>
        <v>128269.71429</v>
      </c>
      <c r="P237" s="46">
        <f t="shared" ca="1" si="10"/>
        <v>1.0496703297019662E-3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input_503105!A$2</f>
        <v>503105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IFERROR(VLOOKUP(B238,input_503105!L:R,7,FALSE),VLOOKUP(tables_503105!C238,input_503105!A:H,8,FALSE))</f>
        <v>3196</v>
      </c>
      <c r="P238" s="46">
        <f t="shared" ca="1" si="10"/>
        <v>2.6153846153760572E-5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input_503105!A$2</f>
        <v>503105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IFERROR(VLOOKUP(B239,input_503105!L:R,7,FALSE),VLOOKUP(tables_503105!C239,input_503105!A:H,8,FALSE))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input_503105!A$2</f>
        <v>503105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IFERROR(VLOOKUP(B240,input_503105!L:R,7,FALSE),VLOOKUP(tables_503105!C240,input_503105!A:H,8,FALSE))</f>
        <v>1082990</v>
      </c>
      <c r="P240" s="46">
        <f t="shared" ca="1" si="10"/>
        <v>8.8624386251755817E-3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input_503105!A$2</f>
        <v>503105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IFERROR(VLOOKUP(B241,input_503105!L:R,7,FALSE),VLOOKUP(tables_503105!C241,input_503105!A:H,8,FALSE))</f>
        <v>22278.307700000001</v>
      </c>
      <c r="P241" s="46">
        <f t="shared" ca="1" si="10"/>
        <v>1.8231021031036906E-4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input_503105!A$2</f>
        <v>503105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IFERROR(VLOOKUP(B242,input_503105!L:R,7,FALSE),VLOOKUP(tables_503105!C242,input_503105!A:H,8,FALSE))</f>
        <v>128269.71429</v>
      </c>
      <c r="P242" s="46">
        <f t="shared" ca="1" si="10"/>
        <v>1.0496703297019662E-3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input_503105!A$2</f>
        <v>503105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IFERROR(VLOOKUP(B243,input_503105!L:R,7,FALSE),VLOOKUP(tables_503105!C243,input_503105!A:H,8,FALSE))</f>
        <v>3196</v>
      </c>
      <c r="P243" s="46">
        <f t="shared" ca="1" si="10"/>
        <v>2.6153846153760572E-5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input_503105!A$2</f>
        <v>503105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IFERROR(VLOOKUP(B244,input_503105!L:R,7,FALSE),VLOOKUP(tables_503105!C244,input_503105!A:H,8,FALSE))</f>
        <v>128269.71429</v>
      </c>
      <c r="P244" s="46">
        <f t="shared" ca="1" si="10"/>
        <v>1.0496703297019662E-3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input_503105!A$2</f>
        <v>503105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IFERROR(VLOOKUP(B245,input_503105!L:R,7,FALSE),VLOOKUP(tables_503105!C245,input_503105!A:H,8,FALSE))</f>
        <v>3196</v>
      </c>
      <c r="P245" s="46">
        <f t="shared" ca="1" si="10"/>
        <v>2.6153846153760572E-5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input_503105!A$2</f>
        <v>503105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IFERROR(VLOOKUP(B246,input_503105!L:R,7,FALSE),VLOOKUP(tables_503105!C246,input_503105!A:H,8,FALSE))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input_503105!A$2</f>
        <v>503105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IFERROR(VLOOKUP(B247,input_503105!L:R,7,FALSE),VLOOKUP(tables_503105!C247,input_503105!A:H,8,FALSE))</f>
        <v>1082990</v>
      </c>
      <c r="P247" s="46">
        <f t="shared" ca="1" si="10"/>
        <v>8.8624386251755817E-3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input_503105!A$2</f>
        <v>503105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IFERROR(VLOOKUP(B248,input_503105!L:R,7,FALSE),VLOOKUP(tables_503105!C248,input_503105!A:H,8,FALSE))</f>
        <v>22278.307700000001</v>
      </c>
      <c r="P248" s="46">
        <f t="shared" ca="1" si="10"/>
        <v>1.8231021031036906E-4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input_503105!A$2</f>
        <v>503105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IFERROR(VLOOKUP(B249,input_503105!L:R,7,FALSE),VLOOKUP(tables_503105!C249,input_503105!A:H,8,FALSE))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input_503105!A$2</f>
        <v>503105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IFERROR(VLOOKUP(B250,input_503105!L:R,7,FALSE),VLOOKUP(tables_503105!C250,input_503105!A:H,8,FALSE))</f>
        <v>1082990</v>
      </c>
      <c r="P250" s="46">
        <f t="shared" ca="1" si="10"/>
        <v>8.8624386251755817E-3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input_503105!A$2</f>
        <v>503105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IFERROR(VLOOKUP(B251,input_503105!L:R,7,FALSE),VLOOKUP(tables_503105!C251,input_503105!A:H,8,FALSE))</f>
        <v>22278.307700000001</v>
      </c>
      <c r="P251" s="46">
        <f t="shared" ca="1" si="10"/>
        <v>1.8231021031036906E-4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input_503105!A$2</f>
        <v>503105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IFERROR(VLOOKUP(B252,input_503105!L:R,7,FALSE),VLOOKUP(tables_503105!C252,input_503105!A:H,8,FALSE))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input_503105!A$2</f>
        <v>503105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IFERROR(VLOOKUP(B253,input_503105!L:R,7,FALSE),VLOOKUP(tables_503105!C253,input_503105!A:H,8,FALSE))</f>
        <v>1082990</v>
      </c>
      <c r="P253" s="46">
        <f t="shared" ca="1" si="10"/>
        <v>8.8624386251755817E-3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input_503105!A$2</f>
        <v>503105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IFERROR(VLOOKUP(B254,input_503105!L:R,7,FALSE),VLOOKUP(tables_503105!C254,input_503105!A:H,8,FALSE))</f>
        <v>22278.307700000001</v>
      </c>
      <c r="P254" s="46">
        <f t="shared" ca="1" si="10"/>
        <v>1.8231021031036906E-4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input_503105!A$2</f>
        <v>503105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IFERROR(VLOOKUP(B255,input_503105!L:R,7,FALSE),VLOOKUP(tables_503105!C255,input_503105!A:H,8,FALSE))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input_503105!A$2</f>
        <v>503105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IFERROR(VLOOKUP(B256,input_503105!L:R,7,FALSE),VLOOKUP(tables_503105!C256,input_503105!A:H,8,FALSE))</f>
        <v>1082990</v>
      </c>
      <c r="P256" s="46">
        <f t="shared" ca="1" si="10"/>
        <v>8.8624386251755817E-3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input_503105!A$2</f>
        <v>503105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IFERROR(VLOOKUP(B257,input_503105!L:R,7,FALSE),VLOOKUP(tables_503105!C257,input_503105!A:H,8,FALSE))</f>
        <v>22278.307700000001</v>
      </c>
      <c r="P257" s="46">
        <f t="shared" ca="1" si="10"/>
        <v>1.8231021031036906E-4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input_503105!A$2</f>
        <v>503105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IFERROR(VLOOKUP(B258,input_503105!L:R,7,FALSE),VLOOKUP(tables_503105!C258,input_503105!A:H,8,FALSE))</f>
        <v>128269.71429</v>
      </c>
      <c r="P258" s="46">
        <f t="shared" ref="P258:P321" ca="1" si="13">O258/SUM(O:O)</f>
        <v>1.0496703297019662E-3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input_503105!A$2</f>
        <v>503105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IFERROR(VLOOKUP(B259,input_503105!L:R,7,FALSE),VLOOKUP(tables_503105!C259,input_503105!A:H,8,FALSE))</f>
        <v>3196</v>
      </c>
      <c r="P259" s="46">
        <f t="shared" ca="1" si="13"/>
        <v>2.6153846153760572E-5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input_503105!A$2</f>
        <v>503105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IFERROR(VLOOKUP(B260,input_503105!L:R,7,FALSE),VLOOKUP(tables_503105!C260,input_503105!A:H,8,FALSE))</f>
        <v>128269.71429</v>
      </c>
      <c r="P260" s="46">
        <f t="shared" ca="1" si="13"/>
        <v>1.0496703297019662E-3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input_503105!A$2</f>
        <v>503105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IFERROR(VLOOKUP(B261,input_503105!L:R,7,FALSE),VLOOKUP(tables_503105!C261,input_503105!A:H,8,FALSE))</f>
        <v>3196</v>
      </c>
      <c r="P261" s="46">
        <f t="shared" ca="1" si="13"/>
        <v>2.6153846153760572E-5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input_503105!A$2</f>
        <v>503105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IFERROR(VLOOKUP(B262,input_503105!L:R,7,FALSE),VLOOKUP(tables_503105!C262,input_503105!A:H,8,FALSE))</f>
        <v>1201142.2222200001</v>
      </c>
      <c r="P262" s="46">
        <f t="shared" ca="1" si="13"/>
        <v>9.8293144207534343E-3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input_503105!A$2</f>
        <v>503105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IFERROR(VLOOKUP(B263,input_503105!L:R,7,FALSE),VLOOKUP(tables_503105!C263,input_503105!A:H,8,FALSE))</f>
        <v>9793.3333299999995</v>
      </c>
      <c r="P263" s="46">
        <f t="shared" ca="1" si="13"/>
        <v>8.0141843944091264E-5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input_503105!A$2</f>
        <v>503105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IFERROR(VLOOKUP(B264,input_503105!L:R,7,FALSE),VLOOKUP(tables_503105!C264,input_503105!A:H,8,FALSE))</f>
        <v>1201142.2222200001</v>
      </c>
      <c r="P264" s="46">
        <f t="shared" ca="1" si="13"/>
        <v>9.8293144207534343E-3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input_503105!A$2</f>
        <v>503105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IFERROR(VLOOKUP(B265,input_503105!L:R,7,FALSE),VLOOKUP(tables_503105!C265,input_503105!A:H,8,FALSE))</f>
        <v>9793.3333299999995</v>
      </c>
      <c r="P265" s="46">
        <f t="shared" ca="1" si="13"/>
        <v>8.0141843944091264E-5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input_503105!A$2</f>
        <v>503105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IFERROR(VLOOKUP(B266,input_503105!L:R,7,FALSE),VLOOKUP(tables_503105!C266,input_503105!A:H,8,FALSE))</f>
        <v>63920</v>
      </c>
      <c r="P266" s="46">
        <f t="shared" ca="1" si="13"/>
        <v>5.2307692307521146E-4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input_503105!A$2</f>
        <v>503105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IFERROR(VLOOKUP(B267,input_503105!L:R,7,FALSE),VLOOKUP(tables_503105!C267,input_503105!A:H,8,FALSE))</f>
        <v>63920</v>
      </c>
      <c r="P267" s="46">
        <f t="shared" ca="1" si="13"/>
        <v>5.2307692307521146E-4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input_503105!A$2</f>
        <v>503105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IFERROR(VLOOKUP(B268,input_503105!L:R,7,FALSE),VLOOKUP(tables_503105!C268,input_503105!A:H,8,FALSE))</f>
        <v>63920</v>
      </c>
      <c r="P268" s="46">
        <f t="shared" ca="1" si="13"/>
        <v>5.2307692307521146E-4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input_503105!A$2</f>
        <v>503105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IFERROR(VLOOKUP(B269,input_503105!L:R,7,FALSE),VLOOKUP(tables_503105!C269,input_503105!A:H,8,FALSE))</f>
        <v>63920</v>
      </c>
      <c r="P269" s="46">
        <f t="shared" ca="1" si="13"/>
        <v>5.2307692307521146E-4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input_503105!A$2</f>
        <v>503105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IFERROR(VLOOKUP(B270,input_503105!L:R,7,FALSE),VLOOKUP(tables_503105!C270,input_503105!A:H,8,FALSE))</f>
        <v>1201142.2222200001</v>
      </c>
      <c r="P270" s="46">
        <f t="shared" ca="1" si="13"/>
        <v>9.8293144207534343E-3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input_503105!A$2</f>
        <v>503105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IFERROR(VLOOKUP(B271,input_503105!L:R,7,FALSE),VLOOKUP(tables_503105!C271,input_503105!A:H,8,FALSE))</f>
        <v>9793.3333299999995</v>
      </c>
      <c r="P271" s="46">
        <f t="shared" ca="1" si="13"/>
        <v>8.0141843944091264E-5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input_503105!A$2</f>
        <v>503105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IFERROR(VLOOKUP(B272,input_503105!L:R,7,FALSE),VLOOKUP(tables_503105!C272,input_503105!A:H,8,FALSE))</f>
        <v>1201142.2222200001</v>
      </c>
      <c r="P272" s="46">
        <f t="shared" ca="1" si="13"/>
        <v>9.8293144207534343E-3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input_503105!A$2</f>
        <v>503105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IFERROR(VLOOKUP(B273,input_503105!L:R,7,FALSE),VLOOKUP(tables_503105!C273,input_503105!A:H,8,FALSE))</f>
        <v>9793.3333299999995</v>
      </c>
      <c r="P273" s="46">
        <f t="shared" ca="1" si="13"/>
        <v>8.0141843944091264E-5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input_503105!A$2</f>
        <v>503105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IFERROR(VLOOKUP(B274,input_503105!L:R,7,FALSE),VLOOKUP(tables_503105!C274,input_503105!A:H,8,FALSE))</f>
        <v>128269.71429</v>
      </c>
      <c r="P274" s="46">
        <f t="shared" ca="1" si="13"/>
        <v>1.0496703297019662E-3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input_503105!A$2</f>
        <v>503105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IFERROR(VLOOKUP(B275,input_503105!L:R,7,FALSE),VLOOKUP(tables_503105!C275,input_503105!A:H,8,FALSE))</f>
        <v>3196</v>
      </c>
      <c r="P275" s="46">
        <f t="shared" ca="1" si="13"/>
        <v>2.6153846153760572E-5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input_503105!A$2</f>
        <v>503105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IFERROR(VLOOKUP(B276,input_503105!L:R,7,FALSE),VLOOKUP(tables_503105!C276,input_503105!A:H,8,FALSE))</f>
        <v>128269.71429</v>
      </c>
      <c r="P276" s="46">
        <f t="shared" ca="1" si="13"/>
        <v>1.0496703297019662E-3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input_503105!A$2</f>
        <v>503105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IFERROR(VLOOKUP(B277,input_503105!L:R,7,FALSE),VLOOKUP(tables_503105!C277,input_503105!A:H,8,FALSE))</f>
        <v>3196</v>
      </c>
      <c r="P277" s="46">
        <f t="shared" ca="1" si="13"/>
        <v>2.6153846153760572E-5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input_503105!A$2</f>
        <v>503105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IFERROR(VLOOKUP(B278,input_503105!L:R,7,FALSE),VLOOKUP(tables_503105!C278,input_503105!A:H,8,FALSE))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input_503105!A$2</f>
        <v>503105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IFERROR(VLOOKUP(B279,input_503105!L:R,7,FALSE),VLOOKUP(tables_503105!C279,input_503105!A:H,8,FALSE))</f>
        <v>1082990</v>
      </c>
      <c r="P279" s="46">
        <f t="shared" ca="1" si="13"/>
        <v>8.8624386251755817E-3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input_503105!A$2</f>
        <v>503105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IFERROR(VLOOKUP(B280,input_503105!L:R,7,FALSE),VLOOKUP(tables_503105!C280,input_503105!A:H,8,FALSE))</f>
        <v>22278.307700000001</v>
      </c>
      <c r="P280" s="46">
        <f t="shared" ca="1" si="13"/>
        <v>1.8231021031036906E-4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input_503105!A$2</f>
        <v>503105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IFERROR(VLOOKUP(B281,input_503105!L:R,7,FALSE),VLOOKUP(tables_503105!C281,input_503105!A:H,8,FALSE))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input_503105!A$2</f>
        <v>503105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IFERROR(VLOOKUP(B282,input_503105!L:R,7,FALSE),VLOOKUP(tables_503105!C282,input_503105!A:H,8,FALSE))</f>
        <v>1082990</v>
      </c>
      <c r="P282" s="46">
        <f t="shared" ca="1" si="13"/>
        <v>8.8624386251755817E-3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input_503105!A$2</f>
        <v>503105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IFERROR(VLOOKUP(B283,input_503105!L:R,7,FALSE),VLOOKUP(tables_503105!C283,input_503105!A:H,8,FALSE))</f>
        <v>22278.307700000001</v>
      </c>
      <c r="P283" s="46">
        <f t="shared" ca="1" si="13"/>
        <v>1.8231021031036906E-4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input_503105!A$2</f>
        <v>503105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IFERROR(VLOOKUP(B284,input_503105!L:R,7,FALSE),VLOOKUP(tables_503105!C284,input_503105!A:H,8,FALSE))</f>
        <v>63920</v>
      </c>
      <c r="P284" s="46">
        <f t="shared" ca="1" si="13"/>
        <v>5.2307692307521146E-4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input_503105!A$2</f>
        <v>503105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IFERROR(VLOOKUP(B285,input_503105!L:R,7,FALSE),VLOOKUP(tables_503105!C285,input_503105!A:H,8,FALSE))</f>
        <v>63920</v>
      </c>
      <c r="P285" s="46">
        <f t="shared" ca="1" si="13"/>
        <v>5.2307692307521146E-4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input_503105!A$2</f>
        <v>503105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IFERROR(VLOOKUP(B286,input_503105!L:R,7,FALSE),VLOOKUP(tables_503105!C286,input_503105!A:H,8,FALSE))</f>
        <v>1201142.2222200001</v>
      </c>
      <c r="P286" s="46">
        <f t="shared" ca="1" si="13"/>
        <v>9.8293144207534343E-3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input_503105!A$2</f>
        <v>503105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IFERROR(VLOOKUP(B287,input_503105!L:R,7,FALSE),VLOOKUP(tables_503105!C287,input_503105!A:H,8,FALSE))</f>
        <v>9793.3333299999995</v>
      </c>
      <c r="P287" s="46">
        <f t="shared" ca="1" si="13"/>
        <v>8.0141843944091264E-5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input_503105!A$2</f>
        <v>503105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IFERROR(VLOOKUP(B288,input_503105!L:R,7,FALSE),VLOOKUP(tables_503105!C288,input_503105!A:H,8,FALSE))</f>
        <v>1201142.2222200001</v>
      </c>
      <c r="P288" s="46">
        <f t="shared" ca="1" si="13"/>
        <v>9.8293144207534343E-3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input_503105!A$2</f>
        <v>503105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IFERROR(VLOOKUP(B289,input_503105!L:R,7,FALSE),VLOOKUP(tables_503105!C289,input_503105!A:H,8,FALSE))</f>
        <v>9793.3333299999995</v>
      </c>
      <c r="P289" s="46">
        <f t="shared" ca="1" si="13"/>
        <v>8.0141843944091264E-5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input_503105!A$2</f>
        <v>503105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IFERROR(VLOOKUP(B290,input_503105!L:R,7,FALSE),VLOOKUP(tables_503105!C290,input_503105!A:H,8,FALSE))</f>
        <v>1201142.2222200001</v>
      </c>
      <c r="P290" s="46">
        <f t="shared" ca="1" si="13"/>
        <v>9.8293144207534343E-3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input_503105!A$2</f>
        <v>503105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IFERROR(VLOOKUP(B291,input_503105!L:R,7,FALSE),VLOOKUP(tables_503105!C291,input_503105!A:H,8,FALSE))</f>
        <v>9793.3333299999995</v>
      </c>
      <c r="P291" s="46">
        <f t="shared" ca="1" si="13"/>
        <v>8.0141843944091264E-5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input_503105!A$2</f>
        <v>503105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IFERROR(VLOOKUP(B292,input_503105!L:R,7,FALSE),VLOOKUP(tables_503105!C292,input_503105!A:H,8,FALSE))</f>
        <v>1201142.2222200001</v>
      </c>
      <c r="P292" s="46">
        <f t="shared" ca="1" si="13"/>
        <v>9.8293144207534343E-3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input_503105!A$2</f>
        <v>503105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IFERROR(VLOOKUP(B293,input_503105!L:R,7,FALSE),VLOOKUP(tables_503105!C293,input_503105!A:H,8,FALSE))</f>
        <v>9793.3333299999995</v>
      </c>
      <c r="P293" s="46">
        <f t="shared" ca="1" si="13"/>
        <v>8.0141843944091264E-5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input_503105!A$2</f>
        <v>503105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IFERROR(VLOOKUP(B294,input_503105!L:R,7,FALSE),VLOOKUP(tables_503105!C294,input_503105!A:H,8,FALSE))</f>
        <v>63920</v>
      </c>
      <c r="P294" s="46">
        <f t="shared" ca="1" si="13"/>
        <v>5.2307692307521146E-4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input_503105!A$2</f>
        <v>503105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IFERROR(VLOOKUP(B295,input_503105!L:R,7,FALSE),VLOOKUP(tables_503105!C295,input_503105!A:H,8,FALSE))</f>
        <v>63920</v>
      </c>
      <c r="P295" s="46">
        <f t="shared" ca="1" si="13"/>
        <v>5.2307692307521146E-4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input_503105!A$2</f>
        <v>503105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IFERROR(VLOOKUP(B296,input_503105!L:R,7,FALSE),VLOOKUP(tables_503105!C296,input_503105!A:H,8,FALSE))</f>
        <v>63920</v>
      </c>
      <c r="P296" s="46">
        <f t="shared" ca="1" si="13"/>
        <v>5.2307692307521146E-4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input_503105!A$2</f>
        <v>503105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IFERROR(VLOOKUP(B297,input_503105!L:R,7,FALSE),VLOOKUP(tables_503105!C297,input_503105!A:H,8,FALSE))</f>
        <v>1201142.2222200001</v>
      </c>
      <c r="P297" s="46">
        <f t="shared" ca="1" si="13"/>
        <v>9.8293144207534343E-3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input_503105!A$2</f>
        <v>503105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IFERROR(VLOOKUP(B298,input_503105!L:R,7,FALSE),VLOOKUP(tables_503105!C298,input_503105!A:H,8,FALSE))</f>
        <v>9793.3333299999995</v>
      </c>
      <c r="P298" s="46">
        <f t="shared" ca="1" si="13"/>
        <v>8.0141843944091264E-5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input_503105!A$2</f>
        <v>503105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IFERROR(VLOOKUP(B299,input_503105!L:R,7,FALSE),VLOOKUP(tables_503105!C299,input_503105!A:H,8,FALSE))</f>
        <v>63920</v>
      </c>
      <c r="P299" s="46">
        <f t="shared" ca="1" si="13"/>
        <v>5.2307692307521146E-4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input_503105!A$2</f>
        <v>503105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IFERROR(VLOOKUP(B300,input_503105!L:R,7,FALSE),VLOOKUP(tables_503105!C300,input_503105!A:H,8,FALSE))</f>
        <v>63920</v>
      </c>
      <c r="P300" s="46">
        <f t="shared" ca="1" si="13"/>
        <v>5.2307692307521146E-4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input_503105!A$2</f>
        <v>503105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IFERROR(VLOOKUP(B301,input_503105!L:R,7,FALSE),VLOOKUP(tables_503105!C301,input_503105!A:H,8,FALSE))</f>
        <v>63920</v>
      </c>
      <c r="P301" s="46">
        <f t="shared" ca="1" si="13"/>
        <v>5.2307692307521146E-4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input_503105!A$2</f>
        <v>503105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IFERROR(VLOOKUP(B302,input_503105!L:R,7,FALSE),VLOOKUP(tables_503105!C302,input_503105!A:H,8,FALSE))</f>
        <v>63920</v>
      </c>
      <c r="P302" s="46">
        <f t="shared" ca="1" si="13"/>
        <v>5.2307692307521146E-4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input_503105!A$2</f>
        <v>503105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IFERROR(VLOOKUP(B303,input_503105!L:R,7,FALSE),VLOOKUP(tables_503105!C303,input_503105!A:H,8,FALSE))</f>
        <v>1201142.2222200001</v>
      </c>
      <c r="P303" s="46">
        <f t="shared" ca="1" si="13"/>
        <v>9.8293144207534343E-3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input_503105!A$2</f>
        <v>503105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IFERROR(VLOOKUP(B304,input_503105!L:R,7,FALSE),VLOOKUP(tables_503105!C304,input_503105!A:H,8,FALSE))</f>
        <v>9793.3333299999995</v>
      </c>
      <c r="P304" s="46">
        <f t="shared" ca="1" si="13"/>
        <v>8.0141843944091264E-5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input_503105!A$2</f>
        <v>503105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IFERROR(VLOOKUP(B305,input_503105!L:R,7,FALSE),VLOOKUP(tables_503105!C305,input_503105!A:H,8,FALSE))</f>
        <v>63920</v>
      </c>
      <c r="P305" s="46">
        <f t="shared" ca="1" si="13"/>
        <v>5.2307692307521146E-4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input_503105!A$2</f>
        <v>503105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IFERROR(VLOOKUP(B306,input_503105!L:R,7,FALSE),VLOOKUP(tables_503105!C306,input_503105!A:H,8,FALSE))</f>
        <v>1201142.2222200001</v>
      </c>
      <c r="P306" s="46">
        <f t="shared" ca="1" si="13"/>
        <v>9.8293144207534343E-3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input_503105!A$2</f>
        <v>503105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IFERROR(VLOOKUP(B307,input_503105!L:R,7,FALSE),VLOOKUP(tables_503105!C307,input_503105!A:H,8,FALSE))</f>
        <v>9793.3333299999995</v>
      </c>
      <c r="P307" s="46">
        <f t="shared" ca="1" si="13"/>
        <v>8.0141843944091264E-5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input_503105!A$2</f>
        <v>503105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IFERROR(VLOOKUP(B308,input_503105!L:R,7,FALSE),VLOOKUP(tables_503105!C308,input_503105!A:H,8,FALSE))</f>
        <v>63920</v>
      </c>
      <c r="P308" s="46">
        <f t="shared" ca="1" si="13"/>
        <v>5.2307692307521146E-4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input_503105!A$2</f>
        <v>503105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IFERROR(VLOOKUP(B309,input_503105!L:R,7,FALSE),VLOOKUP(tables_503105!C309,input_503105!A:H,8,FALSE))</f>
        <v>63920</v>
      </c>
      <c r="P309" s="46">
        <f t="shared" ca="1" si="13"/>
        <v>5.2307692307521146E-4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input_503105!A$2</f>
        <v>503105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IFERROR(VLOOKUP(B310,input_503105!L:R,7,FALSE),VLOOKUP(tables_503105!C310,input_503105!A:H,8,FALSE))</f>
        <v>63920</v>
      </c>
      <c r="P310" s="46">
        <f t="shared" ca="1" si="13"/>
        <v>5.2307692307521146E-4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input_503105!A$2</f>
        <v>503105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IFERROR(VLOOKUP(B311,input_503105!L:R,7,FALSE),VLOOKUP(tables_503105!C311,input_503105!A:H,8,FALSE))</f>
        <v>1201142.2222200001</v>
      </c>
      <c r="P311" s="46">
        <f t="shared" ca="1" si="13"/>
        <v>9.8293144207534343E-3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input_503105!A$2</f>
        <v>503105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IFERROR(VLOOKUP(B312,input_503105!L:R,7,FALSE),VLOOKUP(tables_503105!C312,input_503105!A:H,8,FALSE))</f>
        <v>9793.3333299999995</v>
      </c>
      <c r="P312" s="46">
        <f t="shared" ca="1" si="13"/>
        <v>8.0141843944091264E-5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input_503105!A$2</f>
        <v>503105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IFERROR(VLOOKUP(B313,input_503105!L:R,7,FALSE),VLOOKUP(tables_503105!C313,input_503105!A:H,8,FALSE))</f>
        <v>63920</v>
      </c>
      <c r="P313" s="46">
        <f t="shared" ca="1" si="13"/>
        <v>5.2307692307521146E-4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input_503105!A$2</f>
        <v>503105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IFERROR(VLOOKUP(B314,input_503105!L:R,7,FALSE),VLOOKUP(tables_503105!C314,input_503105!A:H,8,FALSE))</f>
        <v>63920</v>
      </c>
      <c r="P314" s="46">
        <f t="shared" ca="1" si="13"/>
        <v>5.2307692307521146E-4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input_503105!A$2</f>
        <v>503105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IFERROR(VLOOKUP(B315,input_503105!L:R,7,FALSE),VLOOKUP(tables_503105!C315,input_503105!A:H,8,FALSE))</f>
        <v>63920</v>
      </c>
      <c r="P315" s="46">
        <f t="shared" ca="1" si="13"/>
        <v>5.2307692307521146E-4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input_503105!A$2</f>
        <v>503105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IFERROR(VLOOKUP(B316,input_503105!L:R,7,FALSE),VLOOKUP(tables_503105!C316,input_503105!A:H,8,FALSE))</f>
        <v>63920</v>
      </c>
      <c r="P316" s="46">
        <f t="shared" ca="1" si="13"/>
        <v>5.2307692307521146E-4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input_503105!A$2</f>
        <v>503105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IFERROR(VLOOKUP(B317,input_503105!L:R,7,FALSE),VLOOKUP(tables_503105!C317,input_503105!A:H,8,FALSE))</f>
        <v>63920</v>
      </c>
      <c r="P317" s="46">
        <f t="shared" ca="1" si="13"/>
        <v>5.2307692307521146E-4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input_503105!A$2</f>
        <v>503105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IFERROR(VLOOKUP(B318,input_503105!L:R,7,FALSE),VLOOKUP(tables_503105!C318,input_503105!A:H,8,FALSE))</f>
        <v>1201142.2222200001</v>
      </c>
      <c r="P318" s="46">
        <f t="shared" ca="1" si="13"/>
        <v>9.8293144207534343E-3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input_503105!A$2</f>
        <v>503105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IFERROR(VLOOKUP(B319,input_503105!L:R,7,FALSE),VLOOKUP(tables_503105!C319,input_503105!A:H,8,FALSE))</f>
        <v>9793.3333299999995</v>
      </c>
      <c r="P319" s="46">
        <f t="shared" ca="1" si="13"/>
        <v>8.0141843944091264E-5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input_503105!A$2</f>
        <v>503105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IFERROR(VLOOKUP(B320,input_503105!L:R,7,FALSE),VLOOKUP(tables_503105!C320,input_503105!A:H,8,FALSE))</f>
        <v>63920</v>
      </c>
      <c r="P320" s="46">
        <f t="shared" ca="1" si="13"/>
        <v>5.2307692307521146E-4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input_503105!A$2</f>
        <v>503105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IFERROR(VLOOKUP(B321,input_503105!L:R,7,FALSE),VLOOKUP(tables_503105!C321,input_503105!A:H,8,FALSE))</f>
        <v>63920</v>
      </c>
      <c r="P321" s="46">
        <f t="shared" ca="1" si="13"/>
        <v>5.2307692307521146E-4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input_503105!A$2</f>
        <v>503105</v>
      </c>
      <c r="B322" s="5">
        <v>1139</v>
      </c>
      <c r="C322" s="7" t="str">
        <f t="shared" ref="C322:C346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IFERROR(VLOOKUP(B322,input_503105!L:R,7,FALSE),VLOOKUP(tables_503105!C322,input_503105!A:H,8,FALSE))</f>
        <v>63920</v>
      </c>
      <c r="P322" s="46">
        <f t="shared" ref="P322:P346" ca="1" si="16">O322/SUM(O:O)</f>
        <v>5.2307692307521146E-4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input_503105!A$2</f>
        <v>503105</v>
      </c>
      <c r="B323" s="5">
        <v>1141</v>
      </c>
      <c r="C323" s="7" t="str">
        <f t="shared" si="15"/>
        <v>PremiumSS5R5only</v>
      </c>
      <c r="D323" s="7" t="str">
        <f t="shared" ref="D323:D346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IFERROR(VLOOKUP(B323,input_503105!L:R,7,FALSE),VLOOKUP(tables_503105!C323,input_503105!A:H,8,FALSE))</f>
        <v>63920</v>
      </c>
      <c r="P323" s="46">
        <f t="shared" ca="1" si="16"/>
        <v>5.2307692307521146E-4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input_503105!A$2</f>
        <v>503105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IFERROR(VLOOKUP(B324,input_503105!L:R,7,FALSE),VLOOKUP(tables_503105!C324,input_503105!A:H,8,FALSE))</f>
        <v>1201142.2222200001</v>
      </c>
      <c r="P324" s="46">
        <f t="shared" ca="1" si="16"/>
        <v>9.8293144207534343E-3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input_503105!A$2</f>
        <v>503105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IFERROR(VLOOKUP(B325,input_503105!L:R,7,FALSE),VLOOKUP(tables_503105!C325,input_503105!A:H,8,FALSE))</f>
        <v>9793.3333299999995</v>
      </c>
      <c r="P325" s="46">
        <f t="shared" ca="1" si="16"/>
        <v>8.0141843944091264E-5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input_503105!A$2</f>
        <v>503105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IFERROR(VLOOKUP(B326,input_503105!L:R,7,FALSE),VLOOKUP(tables_503105!C326,input_503105!A:H,8,FALSE))</f>
        <v>1201142.2222200001</v>
      </c>
      <c r="P326" s="46">
        <f t="shared" ca="1" si="16"/>
        <v>9.8293144207534343E-3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input_503105!A$2</f>
        <v>503105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IFERROR(VLOOKUP(B327,input_503105!L:R,7,FALSE),VLOOKUP(tables_503105!C327,input_503105!A:H,8,FALSE))</f>
        <v>9793.3333299999995</v>
      </c>
      <c r="P327" s="46">
        <f t="shared" ca="1" si="16"/>
        <v>8.0141843944091264E-5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input_503105!A$2</f>
        <v>503105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IFERROR(VLOOKUP(B328,input_503105!L:R,7,FALSE),VLOOKUP(tables_503105!C328,input_503105!A:H,8,FALSE))</f>
        <v>63920</v>
      </c>
      <c r="P328" s="46">
        <f t="shared" ca="1" si="16"/>
        <v>5.2307692307521146E-4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input_503105!A$2</f>
        <v>503105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IFERROR(VLOOKUP(B329,input_503105!L:R,7,FALSE),VLOOKUP(tables_503105!C329,input_503105!A:H,8,FALSE))</f>
        <v>63920</v>
      </c>
      <c r="P329" s="46">
        <f t="shared" ca="1" si="16"/>
        <v>5.2307692307521146E-4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input_503105!A$2</f>
        <v>503105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IFERROR(VLOOKUP(B330,input_503105!L:R,7,FALSE),VLOOKUP(tables_503105!C330,input_503105!A:H,8,FALSE))</f>
        <v>63920</v>
      </c>
      <c r="P330" s="46">
        <f t="shared" ca="1" si="16"/>
        <v>5.2307692307521146E-4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input_503105!A$2</f>
        <v>503105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IFERROR(VLOOKUP(B331,input_503105!L:R,7,FALSE),VLOOKUP(tables_503105!C331,input_503105!A:H,8,FALSE))</f>
        <v>63920</v>
      </c>
      <c r="P331" s="46">
        <f t="shared" ca="1" si="16"/>
        <v>5.2307692307521146E-4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input_503105!A$2</f>
        <v>503105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IFERROR(VLOOKUP(B332,input_503105!L:R,7,FALSE),VLOOKUP(tables_503105!C332,input_503105!A:H,8,FALSE))</f>
        <v>63920</v>
      </c>
      <c r="P332" s="46">
        <f t="shared" ca="1" si="16"/>
        <v>5.2307692307521146E-4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input_503105!A$2</f>
        <v>503105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IFERROR(VLOOKUP(B333,input_503105!L:R,7,FALSE),VLOOKUP(tables_503105!C333,input_503105!A:H,8,FALSE))</f>
        <v>63920</v>
      </c>
      <c r="P333" s="46">
        <f t="shared" ca="1" si="16"/>
        <v>5.2307692307521146E-4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input_503105!A$2</f>
        <v>503105</v>
      </c>
      <c r="B334" s="89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IFERROR(VLOOKUP(B334,input_503105!L:R,7,FALSE),VLOOKUP(tables_503105!C334,input_503105!A:H,8,FALSE))</f>
        <v>1201142.2222200001</v>
      </c>
      <c r="P334" s="46">
        <f t="shared" ca="1" si="16"/>
        <v>9.8293144207534343E-3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input_503105!A$2</f>
        <v>503105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IFERROR(VLOOKUP(B335,input_503105!L:R,7,FALSE),VLOOKUP(tables_503105!C335,input_503105!A:H,8,FALSE))</f>
        <v>9793.3333299999995</v>
      </c>
      <c r="P335" s="46">
        <f t="shared" ca="1" si="16"/>
        <v>8.0141843944091264E-5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input_503105!A$2</f>
        <v>503105</v>
      </c>
      <c r="B336" s="60">
        <v>1228</v>
      </c>
      <c r="C336" s="7" t="str">
        <f t="shared" si="15"/>
        <v>PremiumSS5R5only</v>
      </c>
      <c r="D336" s="93" t="str">
        <f t="shared" si="17"/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IFERROR(VLOOKUP(B336,input_503105!L:R,7,FALSE),VLOOKUP(tables_503105!C336,input_503105!A:H,8,FALSE))</f>
        <v>63920</v>
      </c>
      <c r="P336" s="46">
        <f t="shared" ca="1" si="16"/>
        <v>5.2307692307521146E-4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input_503105!A$2</f>
        <v>503105</v>
      </c>
      <c r="B337" s="60">
        <v>1226</v>
      </c>
      <c r="C337" s="7" t="str">
        <f t="shared" si="15"/>
        <v>PremiumSS5R5only</v>
      </c>
      <c r="D337" s="93" t="str">
        <f t="shared" si="17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IFERROR(VLOOKUP(B337,input_503105!L:R,7,FALSE),VLOOKUP(tables_503105!C337,input_503105!A:H,8,FALSE))</f>
        <v>63920</v>
      </c>
      <c r="P337" s="46">
        <f t="shared" ca="1" si="16"/>
        <v>5.2307692307521146E-4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input_503105!A$2</f>
        <v>503105</v>
      </c>
      <c r="B338" s="60">
        <v>1230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IFERROR(VLOOKUP(B338,input_503105!L:R,7,FALSE),VLOOKUP(tables_503105!C338,input_503105!A:H,8,FALSE))</f>
        <v>63920</v>
      </c>
      <c r="P338" s="46">
        <f t="shared" ca="1" si="16"/>
        <v>5.2307692307521146E-4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input_503105!A$2</f>
        <v>503105</v>
      </c>
      <c r="B339" s="89">
        <v>1224</v>
      </c>
      <c r="C339" s="7" t="str">
        <f t="shared" si="15"/>
        <v>Premium4R3less</v>
      </c>
      <c r="D339" s="93" t="str">
        <f t="shared" si="17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IFERROR(VLOOKUP(B339,input_503105!L:R,7,FALSE),VLOOKUP(tables_503105!C339,input_503105!A:H,8,FALSE))</f>
        <v>1201142.2222200001</v>
      </c>
      <c r="P339" s="46">
        <f t="shared" ca="1" si="16"/>
        <v>9.8293144207534343E-3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input_503105!A$2</f>
        <v>503105</v>
      </c>
      <c r="B340" s="60">
        <v>1225</v>
      </c>
      <c r="C340" s="7" t="str">
        <f t="shared" si="15"/>
        <v>Premium5R3less</v>
      </c>
      <c r="D340" s="93" t="str">
        <f t="shared" si="17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IFERROR(VLOOKUP(B340,input_503105!L:R,7,FALSE),VLOOKUP(tables_503105!C340,input_503105!A:H,8,FALSE))</f>
        <v>9793.3333299999995</v>
      </c>
      <c r="P340" s="46">
        <f t="shared" ca="1" si="16"/>
        <v>8.0141843944091264E-5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input_503105!A$2</f>
        <v>503105</v>
      </c>
      <c r="B341" s="1">
        <v>1250</v>
      </c>
      <c r="C341" s="7" t="str">
        <f t="shared" si="15"/>
        <v>PremiumSS5R5only</v>
      </c>
      <c r="D341" s="93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IFERROR(VLOOKUP(B341,input_503105!L:R,7,FALSE),VLOOKUP(tables_503105!C341,input_503105!A:H,8,FALSE))</f>
        <v>63920</v>
      </c>
      <c r="P341" s="46">
        <f t="shared" ca="1" si="16"/>
        <v>5.2307692307521146E-4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input_503105!A$2</f>
        <v>503105</v>
      </c>
      <c r="B342" s="1">
        <v>1244</v>
      </c>
      <c r="C342" s="7" t="str">
        <f t="shared" si="15"/>
        <v>PremiumSS5R5only</v>
      </c>
      <c r="D342" s="93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IFERROR(VLOOKUP(B342,input_503105!L:R,7,FALSE),VLOOKUP(tables_503105!C342,input_503105!A:H,8,FALSE))</f>
        <v>63920</v>
      </c>
      <c r="P342" s="46">
        <f t="shared" ca="1" si="16"/>
        <v>5.2307692307521146E-4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input_503105!A$2</f>
        <v>503105</v>
      </c>
      <c r="B343" s="1">
        <v>1246</v>
      </c>
      <c r="C343" s="7" t="str">
        <f t="shared" si="15"/>
        <v>PremiumSS5R5only</v>
      </c>
      <c r="D343" s="93" t="str">
        <f t="shared" si="17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IFERROR(VLOOKUP(B343,input_503105!L:R,7,FALSE),VLOOKUP(tables_503105!C343,input_503105!A:H,8,FALSE))</f>
        <v>63920</v>
      </c>
      <c r="P343" s="46">
        <f t="shared" ca="1" si="16"/>
        <v>5.2307692307521146E-4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input_503105!A$2</f>
        <v>503105</v>
      </c>
      <c r="B344" s="1">
        <v>1248</v>
      </c>
      <c r="C344" s="7" t="str">
        <f t="shared" si="15"/>
        <v>Premium4R3less</v>
      </c>
      <c r="D344" s="93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IFERROR(VLOOKUP(B344,input_503105!L:R,7,FALSE),VLOOKUP(tables_503105!C344,input_503105!A:H,8,FALSE))</f>
        <v>1201142.2222200001</v>
      </c>
      <c r="P344" s="46">
        <f t="shared" ca="1" si="16"/>
        <v>9.8293144207534343E-3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input_503105!A$2</f>
        <v>503105</v>
      </c>
      <c r="B345" s="1">
        <v>1249</v>
      </c>
      <c r="C345" s="7" t="str">
        <f t="shared" si="15"/>
        <v>Premium5R3less</v>
      </c>
      <c r="D345" s="93" t="str">
        <f t="shared" si="17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IFERROR(VLOOKUP(B345,input_503105!L:R,7,FALSE),VLOOKUP(tables_503105!C345,input_503105!A:H,8,FALSE))</f>
        <v>9793.3333299999995</v>
      </c>
      <c r="P345" s="46">
        <f t="shared" ca="1" si="16"/>
        <v>8.0141843944091264E-5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input_503105!A$2</f>
        <v>503105</v>
      </c>
      <c r="B346" s="1">
        <v>955</v>
      </c>
      <c r="C346" s="7" t="str">
        <f t="shared" si="15"/>
        <v>PremiumSSS5R3less</v>
      </c>
      <c r="D346" s="93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45">
        <f>IFERROR(VLOOKUP(B346,input_503105!L:R,7,FALSE),VLOOKUP(tables_503105!C346,input_503105!A:H,8,FALSE))</f>
        <v>1955200</v>
      </c>
      <c r="P346" s="46">
        <f t="shared" ca="1" si="16"/>
        <v>1.5999999999947643E-2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</sheetData>
  <autoFilter ref="A1:V29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5"/>
  </sheetPr>
  <dimension ref="A1:V50"/>
  <sheetViews>
    <sheetView workbookViewId="0">
      <selection activeCell="L36" sqref="L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503106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955</v>
      </c>
      <c r="M3" s="37" t="str">
        <f>VLOOKUP(L3,[1]characters!$A:$C,3,FALSE)</f>
        <v>マクローリン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VLOOKUP(L3,tables_503106!B:C,2,FALSE)</f>
        <v>PremiumSSS5R3less</v>
      </c>
      <c r="R3" s="62">
        <f t="shared" ref="R3:R20" si="1">N3*A$36</f>
        <v>2444000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VLOOKUP(L4,tables_503106!B:C,2,FALSE)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4.6153846153846158E-4</v>
      </c>
      <c r="F5">
        <f>(COUNTIF(tables_503106!C:C,input_503106!A28)+COUNTIF(tables_503106!C:C,input_503106!A29))</f>
        <v>66</v>
      </c>
      <c r="H5" s="84">
        <v>0.02</v>
      </c>
      <c r="I5" s="31">
        <v>1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VLOOKUP(L5,tables_503106!B:C,2,FALSE)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9.8936170212765955E-3</v>
      </c>
      <c r="F6">
        <f>(COUNTIF(tables_503106!C:C,input_503106!A25)+COUNTIF(tables_503106!C:C,input_503106!A18)+COUNTIF(tables_503106!C:C,input_503106!A20)+COUNTIF(tables_503106!C:C,input_503106!A22))</f>
        <v>94</v>
      </c>
      <c r="H6" s="88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VLOOKUP(L6,tables_503106!B:C,2,FALSE)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VLOOKUP(L7,tables_503106!B:C,2,FALSE)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VLOOKUP(L8,tables_503106!B:C,2,FALSE)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VLOOKUP(L9,tables_503106!B:C,2,FALSE)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0.92999999999999994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VLOOKUP(L10,tables_503106!B:C,2,FALSE)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VLOOKUP(L11,tables_503106!B:C,2,FALSE)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VLOOKUP(L12,tables_503106!B:C,2,FALSE)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VLOOKUP(L13,tables_503106!B:C,2,FALSE)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VLOOKUP(L14,tables_503106!B:C,2,FALSE)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VLOOKUP(L15,tables_503106!B:C,2,FALSE)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VLOOKUP(L16,tables_503106!B:C,2,FALSE)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COUNTIF(tables_503106!C:C,input_503106!A17)-COUNTIF(Q:Q,A17)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VLOOKUP(L17,tables_503106!B:C,2,FALSE)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0.24622328933207757</v>
      </c>
      <c r="C18" s="85">
        <f t="shared" si="2"/>
        <v>0</v>
      </c>
      <c r="D18" s="74">
        <f t="shared" si="3"/>
        <v>0.24622328933207757</v>
      </c>
      <c r="E18">
        <f>COUNTIF(tables_503106!C:C,input_503106!A18)-COUNTIF(Q:Q,A18)</f>
        <v>20</v>
      </c>
      <c r="F18" s="43">
        <f>IFERROR(B18/E18,0)</f>
        <v>1.2311164466603878E-2</v>
      </c>
      <c r="G18">
        <f t="shared" si="4"/>
        <v>30088485.956379879</v>
      </c>
      <c r="H18">
        <f t="shared" si="5"/>
        <v>1504424.29782</v>
      </c>
      <c r="I18">
        <f t="shared" si="6"/>
        <v>0.29781999997794628</v>
      </c>
      <c r="J18">
        <f t="shared" si="7"/>
        <v>3.3577328590223976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VLOOKUP(L18,tables_503106!B:C,2,FALSE)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COUNTIF(tables_503106!C:C,input_503106!A19)-COUNTIF(Q:Q,A19)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VLOOKUP(L19,tables_503106!B:C,2,FALSE)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E$6*E20*B$6-0.03</f>
        <v>0.45874468085106379</v>
      </c>
      <c r="C20" s="85">
        <f t="shared" si="2"/>
        <v>0</v>
      </c>
      <c r="D20" s="74">
        <f t="shared" si="3"/>
        <v>0.45874468085106379</v>
      </c>
      <c r="E20">
        <f>COUNTIF(tables_503106!C:C,input_503106!A20)-COUNTIF(Q:Q,A20)</f>
        <v>52</v>
      </c>
      <c r="F20" s="43">
        <f t="shared" si="8"/>
        <v>8.8220130932896886E-3</v>
      </c>
      <c r="G20">
        <f t="shared" si="4"/>
        <v>56058599.999999993</v>
      </c>
      <c r="H20">
        <f t="shared" si="5"/>
        <v>1078050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VLOOKUP(L20,tables_503106!B:C,2,FALSE)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7.3724553477803566E-3</v>
      </c>
      <c r="C21" s="85">
        <f t="shared" si="2"/>
        <v>0</v>
      </c>
      <c r="D21" s="74">
        <f t="shared" si="3"/>
        <v>7.3724553477803566E-3</v>
      </c>
      <c r="E21">
        <f>COUNTIF(tables_503106!C:C,input_503106!A21)-COUNTIF(Q:Q,A21)</f>
        <v>52</v>
      </c>
      <c r="F21" s="43">
        <f t="shared" si="8"/>
        <v>1.4177798745731456E-4</v>
      </c>
      <c r="G21">
        <f t="shared" si="4"/>
        <v>900914.04349875962</v>
      </c>
      <c r="H21">
        <f t="shared" si="5"/>
        <v>17325.270069999999</v>
      </c>
      <c r="I21">
        <f t="shared" si="6"/>
        <v>0.27006999999866821</v>
      </c>
      <c r="J21">
        <f t="shared" si="7"/>
        <v>3.7027437331244908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0.17621276595744681</v>
      </c>
      <c r="C22" s="85">
        <f t="shared" si="2"/>
        <v>0</v>
      </c>
      <c r="D22" s="74">
        <f t="shared" si="3"/>
        <v>0.17621276595744681</v>
      </c>
      <c r="E22">
        <f>COUNTIF(tables_503106!C:C,input_503106!A22)-COUNTIF(Q:Q,A22)</f>
        <v>18</v>
      </c>
      <c r="F22" s="43">
        <f t="shared" si="8"/>
        <v>9.7895981087470444E-3</v>
      </c>
      <c r="G22">
        <f t="shared" si="4"/>
        <v>21533200</v>
      </c>
      <c r="H22">
        <f t="shared" si="5"/>
        <v>1196288.8888900001</v>
      </c>
      <c r="I22">
        <f t="shared" si="6"/>
        <v>0.88889000006020069</v>
      </c>
      <c r="J22">
        <f t="shared" si="7"/>
        <v>1.1249985936755664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E23*E6*B7-0.01</f>
        <v>1.8723404255319154E-3</v>
      </c>
      <c r="C23" s="85">
        <f t="shared" si="2"/>
        <v>0</v>
      </c>
      <c r="D23" s="74">
        <f t="shared" si="3"/>
        <v>1.8723404255319154E-3</v>
      </c>
      <c r="E23">
        <f>COUNTIF(tables_503106!C:C,input_503106!A23)-COUNTIF(Q:Q,A23)</f>
        <v>24</v>
      </c>
      <c r="F23" s="43">
        <f t="shared" si="8"/>
        <v>7.8014184397163136E-5</v>
      </c>
      <c r="G23">
        <f t="shared" si="4"/>
        <v>228800.00000000006</v>
      </c>
      <c r="H23">
        <f t="shared" si="5"/>
        <v>9533.3333299999995</v>
      </c>
      <c r="I23">
        <f t="shared" si="6"/>
        <v>0.33332999999947788</v>
      </c>
      <c r="J23">
        <f t="shared" si="7"/>
        <v>3.0000300003047022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COUNTIF(tables_503106!C:C,input_503106!A24)-COUNTIF(Q:Q,A24)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3.7595744680851063E-2</v>
      </c>
      <c r="C25" s="85">
        <f t="shared" si="2"/>
        <v>0</v>
      </c>
      <c r="D25" s="74">
        <f t="shared" si="3"/>
        <v>3.7595744680851063E-2</v>
      </c>
      <c r="E25">
        <f>COUNTIF(tables_503106!C:C,input_503106!A25)-COUNTIF(Q:Q,A25)</f>
        <v>4</v>
      </c>
      <c r="F25" s="43">
        <f t="shared" si="8"/>
        <v>9.3989361702127659E-3</v>
      </c>
      <c r="G25">
        <f t="shared" si="4"/>
        <v>4594200</v>
      </c>
      <c r="H25">
        <f t="shared" si="5"/>
        <v>1148550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1.9787234042553193E-3</v>
      </c>
      <c r="C26" s="85">
        <f t="shared" si="2"/>
        <v>0</v>
      </c>
      <c r="D26" s="74">
        <f t="shared" si="3"/>
        <v>1.9787234042553193E-3</v>
      </c>
      <c r="E26">
        <f>COUNTIF(tables_503106!C:C,input_503106!A26)-COUNTIF(Q:Q,A26)</f>
        <v>4</v>
      </c>
      <c r="F26" s="43">
        <f t="shared" si="8"/>
        <v>4.9468085106382982E-4</v>
      </c>
      <c r="G26">
        <f t="shared" si="4"/>
        <v>241800</v>
      </c>
      <c r="H26">
        <f t="shared" si="5"/>
        <v>60450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3.122351917893771E-2</v>
      </c>
      <c r="C27" s="85">
        <f t="shared" si="2"/>
        <v>0</v>
      </c>
      <c r="D27" s="74">
        <f t="shared" si="3"/>
        <v>3.122351917893771E-2</v>
      </c>
      <c r="E27">
        <f>COUNTIF(tables_503106!C:C,input_503106!A27)-COUNTIF(Q:Q,A27)</f>
        <v>28</v>
      </c>
      <c r="F27" s="43">
        <f>IFERROR(B27/E27,0)</f>
        <v>1.115125684962061E-3</v>
      </c>
      <c r="G27">
        <f t="shared" si="4"/>
        <v>3815514.0436661881</v>
      </c>
      <c r="H27">
        <f t="shared" si="5"/>
        <v>136268.35870000001</v>
      </c>
      <c r="I27">
        <f t="shared" si="6"/>
        <v>0.35870000001159497</v>
      </c>
      <c r="J27">
        <f t="shared" si="7"/>
        <v>2.7878449957281157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E$5*E28*B$7+G50</f>
        <v>1.2380192829889434E-3</v>
      </c>
      <c r="C28" s="85">
        <f t="shared" si="2"/>
        <v>0</v>
      </c>
      <c r="D28" s="74">
        <f t="shared" si="3"/>
        <v>1.2380192829889434E-3</v>
      </c>
      <c r="E28">
        <f>COUNTIF(tables_503106!C:C,input_503106!A28)-COUNTIF(Q:Q,A28)</f>
        <v>28</v>
      </c>
      <c r="F28" s="43">
        <f t="shared" si="8"/>
        <v>4.4214974392462265E-5</v>
      </c>
      <c r="G28">
        <f t="shared" si="4"/>
        <v>151285.95638124889</v>
      </c>
      <c r="H28">
        <f t="shared" si="5"/>
        <v>5403.0698700000003</v>
      </c>
      <c r="I28">
        <f t="shared" si="6"/>
        <v>6.9870000000264554E-2</v>
      </c>
      <c r="J28">
        <f t="shared" si="7"/>
        <v>14.312294260715809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1.7538461538461541E-2</v>
      </c>
      <c r="C29" s="85">
        <f t="shared" si="2"/>
        <v>0</v>
      </c>
      <c r="D29" s="74">
        <f t="shared" si="3"/>
        <v>1.7538461538461541E-2</v>
      </c>
      <c r="E29">
        <f>COUNTIF(tables_503106!C:C,input_503106!A29)-COUNTIF(Q:Q,A29)</f>
        <v>38</v>
      </c>
      <c r="F29" s="43">
        <f t="shared" si="8"/>
        <v>4.6153846153846158E-4</v>
      </c>
      <c r="G29">
        <f t="shared" si="4"/>
        <v>2143200.0000000005</v>
      </c>
      <c r="H29">
        <f t="shared" si="5"/>
        <v>56400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COUNTIF(tables_503106!C:C,input_503106!A30)-COUNTIF(Q:Q,A30)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0.02</v>
      </c>
      <c r="D31" s="74">
        <f t="shared" si="3"/>
        <v>-0.02</v>
      </c>
      <c r="E31">
        <f>COUNTIF(tables_503106!C:C,input_503106!A31)-COUNTIF(Q:Q,A31)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0.97999999999939502</v>
      </c>
      <c r="C32" s="41">
        <f>SUM(C19:C31)</f>
        <v>0.02</v>
      </c>
      <c r="D32" s="42">
        <f t="shared" si="3"/>
        <v>0.959999999999395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2.8350948906545659E-2</v>
      </c>
      <c r="F34" s="55">
        <f ca="1">0.95-G41</f>
        <v>-1.6486811915683575E-13</v>
      </c>
    </row>
    <row r="35" spans="1:7" x14ac:dyDescent="0.15">
      <c r="A35" t="s">
        <v>73</v>
      </c>
      <c r="E35">
        <v>2.0000000000981927E-2</v>
      </c>
      <c r="F35">
        <f ca="1">G42-0.05</f>
        <v>-6.5467076204583918E-13</v>
      </c>
    </row>
    <row r="36" spans="1:7" x14ac:dyDescent="0.15">
      <c r="A36" s="31">
        <f>LCM(F5-I5,F6-I6)*1000*2*2*5</f>
        <v>122200000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SUMIF(tables_503106!C:C,input_503106!A40,tables_503106!O:O)</f>
        <v>0</v>
      </c>
      <c r="C40" s="54">
        <f t="shared" ref="C40:C46" ca="1" si="9">B40/B$47</f>
        <v>0</v>
      </c>
      <c r="E40">
        <v>3</v>
      </c>
      <c r="F40">
        <f ca="1">SUMIF(tables_503106!J:J,input_503106!E40,tables_503106!O:O)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SUMIF(tables_503106!C:C,input_503106!A41,tables_503106!O:O)</f>
        <v>56058600</v>
      </c>
      <c r="C41" s="54">
        <f t="shared" ca="1" si="9"/>
        <v>0.92010489851533495</v>
      </c>
      <c r="E41">
        <v>4</v>
      </c>
      <c r="F41">
        <f ca="1">SUMIF(tables_503106!J:J,input_503106!E41,tables_503106!O:O)</f>
        <v>116090000.00002015</v>
      </c>
      <c r="G41">
        <f ca="1">F41/A36</f>
        <v>0.95000000000016482</v>
      </c>
    </row>
    <row r="42" spans="1:7" x14ac:dyDescent="0.15">
      <c r="A42" s="33" t="s">
        <v>106</v>
      </c>
      <c r="B42">
        <f ca="1">SUMIF(tables_503106!C:C,input_503106!A42,tables_503106!O:O)</f>
        <v>3815514.0436000028</v>
      </c>
      <c r="C42" s="54">
        <f t="shared" ca="1" si="9"/>
        <v>6.2625059524683391E-2</v>
      </c>
      <c r="E42">
        <v>5</v>
      </c>
      <c r="F42">
        <f ca="1">SUMIF(tables_503106!J:J,input_503106!E42,tables_503106!O:O)</f>
        <v>6109999.9999199994</v>
      </c>
      <c r="G42">
        <f ca="1">F42/A36</f>
        <v>4.9999999999345332E-2</v>
      </c>
    </row>
    <row r="43" spans="1:7" x14ac:dyDescent="0.15">
      <c r="A43" s="33" t="s">
        <v>109</v>
      </c>
      <c r="B43">
        <f>SUMIF(tables_503106!C:C,input_503106!A43,tables_503106!O:O)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SUMIF(tables_503106!C:C,input_503106!A44,tables_503106!O:O)</f>
        <v>900914.04363999888</v>
      </c>
      <c r="C44" s="54">
        <f t="shared" ca="1" si="9"/>
        <v>1.4786944816574464E-2</v>
      </c>
      <c r="E44" t="s">
        <v>54</v>
      </c>
      <c r="F44" s="55"/>
    </row>
    <row r="45" spans="1:7" x14ac:dyDescent="0.15">
      <c r="A45" s="33" t="s">
        <v>107</v>
      </c>
      <c r="B45">
        <f ca="1">SUMIF(tables_503106!C:C,input_503106!A45,tables_503106!O:O)</f>
        <v>151285.9563600001</v>
      </c>
      <c r="C45" s="54">
        <f t="shared" ca="1" si="9"/>
        <v>2.4830971434073148E-3</v>
      </c>
      <c r="E45" t="s">
        <v>204</v>
      </c>
      <c r="F45" s="55">
        <f ca="1">SUMIF(tables_503106!I:I,input_503106!E45,tables_503106!P:P)</f>
        <v>0.24669137443858205</v>
      </c>
    </row>
    <row r="46" spans="1:7" x14ac:dyDescent="0.15">
      <c r="A46" s="33" t="s">
        <v>108</v>
      </c>
      <c r="B46">
        <f>SUMIF(tables_503106!C:C,input_503106!A46,tables_503106!O:O)</f>
        <v>0</v>
      </c>
      <c r="C46" s="54">
        <f t="shared" ca="1" si="9"/>
        <v>0</v>
      </c>
      <c r="E46" t="s">
        <v>205</v>
      </c>
      <c r="F46" s="55">
        <f ca="1">SUMIF(tables_503106!I:I,input_503106!E46,tables_503106!P:P)</f>
        <v>0.18206529943699565</v>
      </c>
    </row>
    <row r="47" spans="1:7" x14ac:dyDescent="0.15">
      <c r="A47" s="39" t="s">
        <v>59</v>
      </c>
      <c r="B47">
        <f ca="1">SUM(B40:B46)</f>
        <v>60926314.043599993</v>
      </c>
      <c r="C47" s="55">
        <f ca="1">SUM(C40:C46)</f>
        <v>1.0000000000000002</v>
      </c>
      <c r="E47" t="s">
        <v>206</v>
      </c>
      <c r="F47" s="55">
        <f ca="1">SUMIF(tables_503106!I:I,input_503106!E47,tables_503106!P:P)</f>
        <v>0.50124332612471267</v>
      </c>
    </row>
    <row r="48" spans="1:7" x14ac:dyDescent="0.15">
      <c r="E48" t="s">
        <v>207</v>
      </c>
      <c r="F48" s="55">
        <f ca="1">SUMIF(tables_503106!I:I,input_503106!E48,tables_503106!P:P)</f>
        <v>4.6769230768926313E-2</v>
      </c>
      <c r="G48" s="55">
        <f ca="1">0.05-F48-F49</f>
        <v>3.0287924945859857E-13</v>
      </c>
    </row>
    <row r="49" spans="5:7" x14ac:dyDescent="0.15">
      <c r="E49" t="s">
        <v>246</v>
      </c>
      <c r="F49" s="55">
        <f ca="1">SUMIF(tables_503106!I:I,input_503106!E49,tables_503106!P:P)</f>
        <v>3.2307692307708101E-3</v>
      </c>
      <c r="G49">
        <v>1.8946596102014632E-2</v>
      </c>
    </row>
    <row r="50" spans="5:7" x14ac:dyDescent="0.15">
      <c r="G50">
        <v>5.9186543683509719E-4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V346"/>
  <sheetViews>
    <sheetView showGridLines="0" zoomScale="75" zoomScaleNormal="75" zoomScalePageLayoutView="75" workbookViewId="0">
      <pane ySplit="1" topLeftCell="A308" activePane="bottomLeft" state="frozen"/>
      <selection activeCell="D34" sqref="D34"/>
      <selection pane="bottomLeft" activeCell="K347" sqref="K347:K34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input_503106!A$2</f>
        <v>503106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IFERROR(VLOOKUP(B2,input_503106!L:R,7,FALSE),VLOOKUP(tables_503106!C2,input_503106!A:H,8,FALSE))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input_503106!A$2</f>
        <v>503106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IFERROR(VLOOKUP(B3,input_503106!L:R,7,FALSE),VLOOKUP(tables_503106!C3,input_503106!A:H,8,FALSE))</f>
        <v>1504424.29782</v>
      </c>
      <c r="P3" s="46">
        <f t="shared" ca="1" si="1"/>
        <v>1.2311164466618131E-2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input_503106!A$2</f>
        <v>503106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IFERROR(VLOOKUP(B4,input_503106!L:R,7,FALSE),VLOOKUP(tables_503106!C4,input_503106!A:H,8,FALSE))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input_503106!A$2</f>
        <v>503106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IFERROR(VLOOKUP(B5,input_503106!L:R,7,FALSE),VLOOKUP(tables_503106!C5,input_503106!A:H,8,FALSE))</f>
        <v>1504424.29782</v>
      </c>
      <c r="P5" s="46">
        <f t="shared" ca="1" si="1"/>
        <v>1.2311164466618131E-2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input_503106!A$2</f>
        <v>503106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IFERROR(VLOOKUP(B6,input_503106!L:R,7,FALSE),VLOOKUP(tables_503106!C6,input_503106!A:H,8,FALSE))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input_503106!A$2</f>
        <v>503106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IFERROR(VLOOKUP(B7,input_503106!L:R,7,FALSE),VLOOKUP(tables_503106!C7,input_503106!A:H,8,FALSE))</f>
        <v>1504424.29782</v>
      </c>
      <c r="P7" s="46">
        <f t="shared" ca="1" si="1"/>
        <v>1.2311164466618131E-2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input_503106!A$2</f>
        <v>503106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IFERROR(VLOOKUP(B8,input_503106!L:R,7,FALSE),VLOOKUP(tables_503106!C8,input_503106!A:H,8,FALSE))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input_503106!A$2</f>
        <v>503106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IFERROR(VLOOKUP(B9,input_503106!L:R,7,FALSE),VLOOKUP(tables_503106!C9,input_503106!A:H,8,FALSE))</f>
        <v>1504424.29782</v>
      </c>
      <c r="P9" s="46">
        <f t="shared" ca="1" si="1"/>
        <v>1.2311164466618131E-2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input_503106!A$2</f>
        <v>503106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IFERROR(VLOOKUP(B10,input_503106!L:R,7,FALSE),VLOOKUP(tables_503106!C10,input_503106!A:H,8,FALSE))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input_503106!A$2</f>
        <v>503106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IFERROR(VLOOKUP(B11,input_503106!L:R,7,FALSE),VLOOKUP(tables_503106!C11,input_503106!A:H,8,FALSE))</f>
        <v>1504424.29782</v>
      </c>
      <c r="P11" s="46">
        <f t="shared" ca="1" si="1"/>
        <v>1.2311164466618131E-2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input_503106!A$2</f>
        <v>503106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IFERROR(VLOOKUP(B12,input_503106!L:R,7,FALSE),VLOOKUP(tables_503106!C12,input_503106!A:H,8,FALSE))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input_503106!A$2</f>
        <v>503106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IFERROR(VLOOKUP(B13,input_503106!L:R,7,FALSE),VLOOKUP(tables_503106!C13,input_503106!A:H,8,FALSE))</f>
        <v>1504424.29782</v>
      </c>
      <c r="P13" s="46">
        <f t="shared" ca="1" si="1"/>
        <v>1.2311164466618131E-2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input_503106!A$2</f>
        <v>503106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IFERROR(VLOOKUP(B14,input_503106!L:R,7,FALSE),VLOOKUP(tables_503106!C14,input_503106!A:H,8,FALSE))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input_503106!A$2</f>
        <v>503106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IFERROR(VLOOKUP(B15,input_503106!L:R,7,FALSE),VLOOKUP(tables_503106!C15,input_503106!A:H,8,FALSE))</f>
        <v>1504424.29782</v>
      </c>
      <c r="P15" s="46">
        <f t="shared" ca="1" si="1"/>
        <v>1.2311164466618131E-2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input_503106!A$2</f>
        <v>503106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IFERROR(VLOOKUP(B16,input_503106!L:R,7,FALSE),VLOOKUP(tables_503106!C16,input_503106!A:H,8,FALSE))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input_503106!A$2</f>
        <v>503106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IFERROR(VLOOKUP(B17,input_503106!L:R,7,FALSE),VLOOKUP(tables_503106!C17,input_503106!A:H,8,FALSE))</f>
        <v>1504424.29782</v>
      </c>
      <c r="P17" s="46">
        <f t="shared" ca="1" si="1"/>
        <v>1.2311164466618131E-2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input_503106!A$2</f>
        <v>503106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IFERROR(VLOOKUP(B18,input_503106!L:R,7,FALSE),VLOOKUP(tables_503106!C18,input_503106!A:H,8,FALSE))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input_503106!A$2</f>
        <v>503106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IFERROR(VLOOKUP(B19,input_503106!L:R,7,FALSE),VLOOKUP(tables_503106!C19,input_503106!A:H,8,FALSE))</f>
        <v>1504424.29782</v>
      </c>
      <c r="P19" s="46">
        <f t="shared" ca="1" si="1"/>
        <v>1.2311164466618131E-2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input_503106!A$2</f>
        <v>503106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IFERROR(VLOOKUP(B20,input_503106!L:R,7,FALSE),VLOOKUP(tables_503106!C20,input_503106!A:H,8,FALSE))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input_503106!A$2</f>
        <v>503106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IFERROR(VLOOKUP(B21,input_503106!L:R,7,FALSE),VLOOKUP(tables_503106!C21,input_503106!A:H,8,FALSE))</f>
        <v>1504424.29782</v>
      </c>
      <c r="P21" s="46">
        <f t="shared" ca="1" si="1"/>
        <v>1.2311164466618131E-2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input_503106!A$2</f>
        <v>503106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IFERROR(VLOOKUP(B22,input_503106!L:R,7,FALSE),VLOOKUP(tables_503106!C22,input_503106!A:H,8,FALSE))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input_503106!A$2</f>
        <v>503106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IFERROR(VLOOKUP(B23,input_503106!L:R,7,FALSE),VLOOKUP(tables_503106!C23,input_503106!A:H,8,FALSE))</f>
        <v>1504424.29782</v>
      </c>
      <c r="P23" s="46">
        <f t="shared" ca="1" si="1"/>
        <v>1.2311164466618131E-2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input_503106!A$2</f>
        <v>503106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IFERROR(VLOOKUP(B24,input_503106!L:R,7,FALSE),VLOOKUP(tables_503106!C24,input_503106!A:H,8,FALSE))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input_503106!A$2</f>
        <v>503106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IFERROR(VLOOKUP(B25,input_503106!L:R,7,FALSE),VLOOKUP(tables_503106!C25,input_503106!A:H,8,FALSE))</f>
        <v>1504424.29782</v>
      </c>
      <c r="P25" s="46">
        <f t="shared" ca="1" si="1"/>
        <v>1.2311164466618131E-2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input_503106!A$2</f>
        <v>503106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IFERROR(VLOOKUP(B26,input_503106!L:R,7,FALSE),VLOOKUP(tables_503106!C26,input_503106!A:H,8,FALSE))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input_503106!A$2</f>
        <v>503106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IFERROR(VLOOKUP(B27,input_503106!L:R,7,FALSE),VLOOKUP(tables_503106!C27,input_503106!A:H,8,FALSE))</f>
        <v>1504424.29782</v>
      </c>
      <c r="P27" s="46">
        <f t="shared" ca="1" si="1"/>
        <v>1.2311164466618131E-2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input_503106!A$2</f>
        <v>503106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IFERROR(VLOOKUP(B28,input_503106!L:R,7,FALSE),VLOOKUP(tables_503106!C28,input_503106!A:H,8,FALSE))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input_503106!A$2</f>
        <v>503106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IFERROR(VLOOKUP(B29,input_503106!L:R,7,FALSE),VLOOKUP(tables_503106!C29,input_503106!A:H,8,FALSE))</f>
        <v>1504424.29782</v>
      </c>
      <c r="P29" s="46">
        <f t="shared" ca="1" si="1"/>
        <v>1.2311164466618131E-2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input_503106!A$2</f>
        <v>503106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IFERROR(VLOOKUP(B30,input_503106!L:R,7,FALSE),VLOOKUP(tables_503106!C30,input_503106!A:H,8,FALSE))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input_503106!A$2</f>
        <v>503106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IFERROR(VLOOKUP(B31,input_503106!L:R,7,FALSE),VLOOKUP(tables_503106!C31,input_503106!A:H,8,FALSE))</f>
        <v>1504424.29782</v>
      </c>
      <c r="P31" s="46">
        <f t="shared" ca="1" si="1"/>
        <v>1.2311164466618131E-2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input_503106!A$2</f>
        <v>503106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IFERROR(VLOOKUP(B32,input_503106!L:R,7,FALSE),VLOOKUP(tables_503106!C32,input_503106!A:H,8,FALSE))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input_503106!A$2</f>
        <v>503106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IFERROR(VLOOKUP(B33,input_503106!L:R,7,FALSE),VLOOKUP(tables_503106!C33,input_503106!A:H,8,FALSE))</f>
        <v>1504424.29782</v>
      </c>
      <c r="P33" s="46">
        <f t="shared" ca="1" si="1"/>
        <v>1.2311164466618131E-2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input_503106!A$2</f>
        <v>503106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IFERROR(VLOOKUP(B34,input_503106!L:R,7,FALSE),VLOOKUP(tables_503106!C34,input_503106!A:H,8,FALSE))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input_503106!A$2</f>
        <v>503106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IFERROR(VLOOKUP(B35,input_503106!L:R,7,FALSE),VLOOKUP(tables_503106!C35,input_503106!A:H,8,FALSE))</f>
        <v>1504424.29782</v>
      </c>
      <c r="P35" s="46">
        <f t="shared" ca="1" si="1"/>
        <v>1.2311164466618131E-2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input_503106!A$2</f>
        <v>503106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IFERROR(VLOOKUP(B36,input_503106!L:R,7,FALSE),VLOOKUP(tables_503106!C36,input_503106!A:H,8,FALSE))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input_503106!A$2</f>
        <v>503106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IFERROR(VLOOKUP(B37,input_503106!L:R,7,FALSE),VLOOKUP(tables_503106!C37,input_503106!A:H,8,FALSE))</f>
        <v>1504424.29782</v>
      </c>
      <c r="P37" s="46">
        <f t="shared" ca="1" si="1"/>
        <v>1.2311164466618131E-2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input_503106!A$2</f>
        <v>503106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IFERROR(VLOOKUP(B38,input_503106!L:R,7,FALSE),VLOOKUP(tables_503106!C38,input_503106!A:H,8,FALSE))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input_503106!A$2</f>
        <v>503106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IFERROR(VLOOKUP(B39,input_503106!L:R,7,FALSE),VLOOKUP(tables_503106!C39,input_503106!A:H,8,FALSE))</f>
        <v>1504424.29782</v>
      </c>
      <c r="P39" s="46">
        <f t="shared" ca="1" si="1"/>
        <v>1.2311164466618131E-2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input_503106!A$2</f>
        <v>503106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IFERROR(VLOOKUP(B40,input_503106!L:R,7,FALSE),VLOOKUP(tables_503106!C40,input_503106!A:H,8,FALSE))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input_503106!A$2</f>
        <v>503106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IFERROR(VLOOKUP(B41,input_503106!L:R,7,FALSE),VLOOKUP(tables_503106!C41,input_503106!A:H,8,FALSE))</f>
        <v>1504424.29782</v>
      </c>
      <c r="P41" s="46">
        <f t="shared" ca="1" si="1"/>
        <v>1.2311164466618131E-2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input_503106!A$2</f>
        <v>503106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IFERROR(VLOOKUP(B42,input_503106!L:R,7,FALSE),VLOOKUP(tables_503106!C42,input_503106!A:H,8,FALSE))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input_503106!A$2</f>
        <v>503106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IFERROR(VLOOKUP(B43,input_503106!L:R,7,FALSE),VLOOKUP(tables_503106!C43,input_503106!A:H,8,FALSE))</f>
        <v>1148550</v>
      </c>
      <c r="P43" s="46">
        <f t="shared" ca="1" si="1"/>
        <v>9.3989361702173611E-3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input_503106!A$2</f>
        <v>503106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IFERROR(VLOOKUP(B44,input_503106!L:R,7,FALSE),VLOOKUP(tables_503106!C44,input_503106!A:H,8,FALSE))</f>
        <v>60450</v>
      </c>
      <c r="P44" s="46">
        <f t="shared" ca="1" si="1"/>
        <v>4.946808510640717E-4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input_503106!A$2</f>
        <v>503106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IFERROR(VLOOKUP(B45,input_503106!L:R,7,FALSE),VLOOKUP(tables_503106!C45,input_503106!A:H,8,FALSE))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input_503106!A$2</f>
        <v>503106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IFERROR(VLOOKUP(B46,input_503106!L:R,7,FALSE),VLOOKUP(tables_503106!C46,input_503106!A:H,8,FALSE))</f>
        <v>1148550</v>
      </c>
      <c r="P46" s="46">
        <f t="shared" ca="1" si="1"/>
        <v>9.3989361702173611E-3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input_503106!A$2</f>
        <v>503106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IFERROR(VLOOKUP(B47,input_503106!L:R,7,FALSE),VLOOKUP(tables_503106!C47,input_503106!A:H,8,FALSE))</f>
        <v>60450</v>
      </c>
      <c r="P47" s="46">
        <f t="shared" ca="1" si="1"/>
        <v>4.946808510640717E-4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input_503106!A$2</f>
        <v>503106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IFERROR(VLOOKUP(B48,input_503106!L:R,7,FALSE),VLOOKUP(tables_503106!C48,input_503106!A:H,8,FALSE))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input_503106!A$2</f>
        <v>503106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IFERROR(VLOOKUP(B49,input_503106!L:R,7,FALSE),VLOOKUP(tables_503106!C49,input_503106!A:H,8,FALSE))</f>
        <v>1148550</v>
      </c>
      <c r="P49" s="46">
        <f t="shared" ca="1" si="1"/>
        <v>9.3989361702173611E-3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input_503106!A$2</f>
        <v>503106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IFERROR(VLOOKUP(B50,input_503106!L:R,7,FALSE),VLOOKUP(tables_503106!C50,input_503106!A:H,8,FALSE))</f>
        <v>60450</v>
      </c>
      <c r="P50" s="46">
        <f t="shared" ca="1" si="1"/>
        <v>4.946808510640717E-4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input_503106!A$2</f>
        <v>503106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IFERROR(VLOOKUP(B51,input_503106!L:R,7,FALSE),VLOOKUP(tables_503106!C51,input_503106!A:H,8,FALSE))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input_503106!A$2</f>
        <v>503106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IFERROR(VLOOKUP(B52,input_503106!L:R,7,FALSE),VLOOKUP(tables_503106!C52,input_503106!A:H,8,FALSE))</f>
        <v>1078050</v>
      </c>
      <c r="P52" s="46">
        <f t="shared" ca="1" si="1"/>
        <v>8.8220130932940028E-3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input_503106!A$2</f>
        <v>503106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IFERROR(VLOOKUP(B53,input_503106!L:R,7,FALSE),VLOOKUP(tables_503106!C53,input_503106!A:H,8,FALSE))</f>
        <v>17325.270069999999</v>
      </c>
      <c r="P53" s="46">
        <f t="shared" ca="1" si="1"/>
        <v>1.4177798747961104E-4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input_503106!A$2</f>
        <v>503106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IFERROR(VLOOKUP(B54,input_503106!L:R,7,FALSE),VLOOKUP(tables_503106!C54,input_503106!A:H,8,FALSE))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input_503106!A$2</f>
        <v>503106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IFERROR(VLOOKUP(B55,input_503106!L:R,7,FALSE),VLOOKUP(tables_503106!C55,input_503106!A:H,8,FALSE))</f>
        <v>1078050</v>
      </c>
      <c r="P55" s="46">
        <f t="shared" ca="1" si="1"/>
        <v>8.8220130932940028E-3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input_503106!A$2</f>
        <v>503106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IFERROR(VLOOKUP(B56,input_503106!L:R,7,FALSE),VLOOKUP(tables_503106!C56,input_503106!A:H,8,FALSE))</f>
        <v>17325.270069999999</v>
      </c>
      <c r="P56" s="46">
        <f t="shared" ca="1" si="1"/>
        <v>1.4177798747961104E-4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input_503106!A$2</f>
        <v>503106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IFERROR(VLOOKUP(B57,input_503106!L:R,7,FALSE),VLOOKUP(tables_503106!C57,input_503106!A:H,8,FALSE))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input_503106!A$2</f>
        <v>503106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IFERROR(VLOOKUP(B58,input_503106!L:R,7,FALSE),VLOOKUP(tables_503106!C58,input_503106!A:H,8,FALSE))</f>
        <v>1078050</v>
      </c>
      <c r="P58" s="46">
        <f t="shared" ca="1" si="1"/>
        <v>8.8220130932940028E-3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input_503106!A$2</f>
        <v>503106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IFERROR(VLOOKUP(B59,input_503106!L:R,7,FALSE),VLOOKUP(tables_503106!C59,input_503106!A:H,8,FALSE))</f>
        <v>17325.270069999999</v>
      </c>
      <c r="P59" s="46">
        <f t="shared" ca="1" si="1"/>
        <v>1.4177798747961104E-4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input_503106!A$2</f>
        <v>503106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IFERROR(VLOOKUP(B60,input_503106!L:R,7,FALSE),VLOOKUP(tables_503106!C60,input_503106!A:H,8,FALSE))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input_503106!A$2</f>
        <v>503106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IFERROR(VLOOKUP(B61,input_503106!L:R,7,FALSE),VLOOKUP(tables_503106!C61,input_503106!A:H,8,FALSE))</f>
        <v>1078050</v>
      </c>
      <c r="P61" s="46">
        <f t="shared" ca="1" si="1"/>
        <v>8.8220130932940028E-3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input_503106!A$2</f>
        <v>503106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IFERROR(VLOOKUP(B62,input_503106!L:R,7,FALSE),VLOOKUP(tables_503106!C62,input_503106!A:H,8,FALSE))</f>
        <v>17325.270069999999</v>
      </c>
      <c r="P62" s="46">
        <f t="shared" ca="1" si="1"/>
        <v>1.4177798747961104E-4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input_503106!A$2</f>
        <v>503106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IFERROR(VLOOKUP(B63,input_503106!L:R,7,FALSE),VLOOKUP(tables_503106!C63,input_503106!A:H,8,FALSE))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input_503106!A$2</f>
        <v>503106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IFERROR(VLOOKUP(B64,input_503106!L:R,7,FALSE),VLOOKUP(tables_503106!C64,input_503106!A:H,8,FALSE))</f>
        <v>1078050</v>
      </c>
      <c r="P64" s="46">
        <f t="shared" ca="1" si="1"/>
        <v>8.8220130932940028E-3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input_503106!A$2</f>
        <v>503106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IFERROR(VLOOKUP(B65,input_503106!L:R,7,FALSE),VLOOKUP(tables_503106!C65,input_503106!A:H,8,FALSE))</f>
        <v>17325.270069999999</v>
      </c>
      <c r="P65" s="46">
        <f t="shared" ca="1" si="1"/>
        <v>1.4177798747961104E-4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input_503106!A$2</f>
        <v>503106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IFERROR(VLOOKUP(B66,input_503106!L:R,7,FALSE),VLOOKUP(tables_503106!C66,input_503106!A:H,8,FALSE))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input_503106!A$2</f>
        <v>503106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IFERROR(VLOOKUP(B67,input_503106!L:R,7,FALSE),VLOOKUP(tables_503106!C67,input_503106!A:H,8,FALSE))</f>
        <v>1078050</v>
      </c>
      <c r="P67" s="46">
        <f t="shared" ca="1" si="4"/>
        <v>8.8220130932940028E-3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input_503106!A$2</f>
        <v>503106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IFERROR(VLOOKUP(B68,input_503106!L:R,7,FALSE),VLOOKUP(tables_503106!C68,input_503106!A:H,8,FALSE))</f>
        <v>17325.270069999999</v>
      </c>
      <c r="P68" s="46">
        <f t="shared" ca="1" si="4"/>
        <v>1.4177798747961104E-4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input_503106!A$2</f>
        <v>503106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IFERROR(VLOOKUP(B69,input_503106!L:R,7,FALSE),VLOOKUP(tables_503106!C69,input_503106!A:H,8,FALSE))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input_503106!A$2</f>
        <v>503106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IFERROR(VLOOKUP(B70,input_503106!L:R,7,FALSE),VLOOKUP(tables_503106!C70,input_503106!A:H,8,FALSE))</f>
        <v>1078050</v>
      </c>
      <c r="P70" s="46">
        <f t="shared" ca="1" si="4"/>
        <v>8.8220130932940028E-3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input_503106!A$2</f>
        <v>503106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IFERROR(VLOOKUP(B71,input_503106!L:R,7,FALSE),VLOOKUP(tables_503106!C71,input_503106!A:H,8,FALSE))</f>
        <v>17325.270069999999</v>
      </c>
      <c r="P71" s="46">
        <f t="shared" ca="1" si="4"/>
        <v>1.4177798747961104E-4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input_503106!A$2</f>
        <v>503106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IFERROR(VLOOKUP(B72,input_503106!L:R,7,FALSE),VLOOKUP(tables_503106!C72,input_503106!A:H,8,FALSE))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input_503106!A$2</f>
        <v>503106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IFERROR(VLOOKUP(B73,input_503106!L:R,7,FALSE),VLOOKUP(tables_503106!C73,input_503106!A:H,8,FALSE))</f>
        <v>1078050</v>
      </c>
      <c r="P73" s="46">
        <f t="shared" ca="1" si="4"/>
        <v>8.8220130932940028E-3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input_503106!A$2</f>
        <v>503106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IFERROR(VLOOKUP(B74,input_503106!L:R,7,FALSE),VLOOKUP(tables_503106!C74,input_503106!A:H,8,FALSE))</f>
        <v>17325.270069999999</v>
      </c>
      <c r="P74" s="46">
        <f t="shared" ca="1" si="4"/>
        <v>1.4177798747961104E-4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input_503106!A$2</f>
        <v>503106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IFERROR(VLOOKUP(B75,input_503106!L:R,7,FALSE),VLOOKUP(tables_503106!C75,input_503106!A:H,8,FALSE))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input_503106!A$2</f>
        <v>503106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IFERROR(VLOOKUP(B76,input_503106!L:R,7,FALSE),VLOOKUP(tables_503106!C76,input_503106!A:H,8,FALSE))</f>
        <v>1078050</v>
      </c>
      <c r="P76" s="46">
        <f t="shared" ca="1" si="4"/>
        <v>8.8220130932940028E-3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input_503106!A$2</f>
        <v>503106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IFERROR(VLOOKUP(B77,input_503106!L:R,7,FALSE),VLOOKUP(tables_503106!C77,input_503106!A:H,8,FALSE))</f>
        <v>17325.270069999999</v>
      </c>
      <c r="P77" s="46">
        <f t="shared" ca="1" si="4"/>
        <v>1.4177798747961104E-4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input_503106!A$2</f>
        <v>503106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IFERROR(VLOOKUP(B78,input_503106!L:R,7,FALSE),VLOOKUP(tables_503106!C78,input_503106!A:H,8,FALSE))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input_503106!A$2</f>
        <v>503106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IFERROR(VLOOKUP(B79,input_503106!L:R,7,FALSE),VLOOKUP(tables_503106!C79,input_503106!A:H,8,FALSE))</f>
        <v>1078050</v>
      </c>
      <c r="P79" s="46">
        <f t="shared" ca="1" si="4"/>
        <v>8.8220130932940028E-3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input_503106!A$2</f>
        <v>503106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IFERROR(VLOOKUP(B80,input_503106!L:R,7,FALSE),VLOOKUP(tables_503106!C80,input_503106!A:H,8,FALSE))</f>
        <v>17325.270069999999</v>
      </c>
      <c r="P80" s="46">
        <f t="shared" ca="1" si="4"/>
        <v>1.4177798747961104E-4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input_503106!A$2</f>
        <v>503106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IFERROR(VLOOKUP(B81,input_503106!L:R,7,FALSE),VLOOKUP(tables_503106!C81,input_503106!A:H,8,FALSE))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input_503106!A$2</f>
        <v>503106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IFERROR(VLOOKUP(B82,input_503106!L:R,7,FALSE),VLOOKUP(tables_503106!C82,input_503106!A:H,8,FALSE))</f>
        <v>1078050</v>
      </c>
      <c r="P82" s="46">
        <f t="shared" ca="1" si="4"/>
        <v>8.8220130932940028E-3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input_503106!A$2</f>
        <v>503106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IFERROR(VLOOKUP(B83,input_503106!L:R,7,FALSE),VLOOKUP(tables_503106!C83,input_503106!A:H,8,FALSE))</f>
        <v>17325.270069999999</v>
      </c>
      <c r="P83" s="46">
        <f t="shared" ca="1" si="4"/>
        <v>1.4177798747961104E-4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input_503106!A$2</f>
        <v>503106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IFERROR(VLOOKUP(B84,input_503106!L:R,7,FALSE),VLOOKUP(tables_503106!C84,input_503106!A:H,8,FALSE))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input_503106!A$2</f>
        <v>503106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IFERROR(VLOOKUP(B85,input_503106!L:R,7,FALSE),VLOOKUP(tables_503106!C85,input_503106!A:H,8,FALSE))</f>
        <v>1078050</v>
      </c>
      <c r="P85" s="46">
        <f t="shared" ca="1" si="4"/>
        <v>8.8220130932940028E-3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input_503106!A$2</f>
        <v>503106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IFERROR(VLOOKUP(B86,input_503106!L:R,7,FALSE),VLOOKUP(tables_503106!C86,input_503106!A:H,8,FALSE))</f>
        <v>17325.270069999999</v>
      </c>
      <c r="P86" s="46">
        <f t="shared" ca="1" si="4"/>
        <v>1.4177798747961104E-4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input_503106!A$2</f>
        <v>503106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IFERROR(VLOOKUP(B87,input_503106!L:R,7,FALSE),VLOOKUP(tables_503106!C87,input_503106!A:H,8,FALSE))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input_503106!A$2</f>
        <v>503106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IFERROR(VLOOKUP(B88,input_503106!L:R,7,FALSE),VLOOKUP(tables_503106!C88,input_503106!A:H,8,FALSE))</f>
        <v>1078050</v>
      </c>
      <c r="P88" s="46">
        <f t="shared" ca="1" si="4"/>
        <v>8.8220130932940028E-3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input_503106!A$2</f>
        <v>503106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IFERROR(VLOOKUP(B89,input_503106!L:R,7,FALSE),VLOOKUP(tables_503106!C89,input_503106!A:H,8,FALSE))</f>
        <v>17325.270069999999</v>
      </c>
      <c r="P89" s="46">
        <f t="shared" ca="1" si="4"/>
        <v>1.4177798747961104E-4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input_503106!A$2</f>
        <v>503106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IFERROR(VLOOKUP(B90,input_503106!L:R,7,FALSE),VLOOKUP(tables_503106!C90,input_503106!A:H,8,FALSE))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input_503106!A$2</f>
        <v>503106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IFERROR(VLOOKUP(B91,input_503106!L:R,7,FALSE),VLOOKUP(tables_503106!C91,input_503106!A:H,8,FALSE))</f>
        <v>1078050</v>
      </c>
      <c r="P91" s="46">
        <f t="shared" ca="1" si="4"/>
        <v>8.8220130932940028E-3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input_503106!A$2</f>
        <v>503106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IFERROR(VLOOKUP(B92,input_503106!L:R,7,FALSE),VLOOKUP(tables_503106!C92,input_503106!A:H,8,FALSE))</f>
        <v>17325.270069999999</v>
      </c>
      <c r="P92" s="46">
        <f t="shared" ca="1" si="4"/>
        <v>1.4177798747961104E-4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input_503106!A$2</f>
        <v>503106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IFERROR(VLOOKUP(B93,input_503106!L:R,7,FALSE),VLOOKUP(tables_503106!C93,input_503106!A:H,8,FALSE))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input_503106!A$2</f>
        <v>503106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IFERROR(VLOOKUP(B94,input_503106!L:R,7,FALSE),VLOOKUP(tables_503106!C94,input_503106!A:H,8,FALSE))</f>
        <v>1078050</v>
      </c>
      <c r="P94" s="46">
        <f t="shared" ca="1" si="4"/>
        <v>8.8220130932940028E-3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input_503106!A$2</f>
        <v>503106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IFERROR(VLOOKUP(B95,input_503106!L:R,7,FALSE),VLOOKUP(tables_503106!C95,input_503106!A:H,8,FALSE))</f>
        <v>17325.270069999999</v>
      </c>
      <c r="P95" s="46">
        <f t="shared" ca="1" si="4"/>
        <v>1.4177798747961104E-4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input_503106!A$2</f>
        <v>503106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IFERROR(VLOOKUP(B96,input_503106!L:R,7,FALSE),VLOOKUP(tables_503106!C96,input_503106!A:H,8,FALSE))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input_503106!A$2</f>
        <v>503106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IFERROR(VLOOKUP(B97,input_503106!L:R,7,FALSE),VLOOKUP(tables_503106!C97,input_503106!A:H,8,FALSE))</f>
        <v>1078050</v>
      </c>
      <c r="P97" s="46">
        <f t="shared" ca="1" si="4"/>
        <v>8.8220130932940028E-3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input_503106!A$2</f>
        <v>503106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IFERROR(VLOOKUP(B98,input_503106!L:R,7,FALSE),VLOOKUP(tables_503106!C98,input_503106!A:H,8,FALSE))</f>
        <v>17325.270069999999</v>
      </c>
      <c r="P98" s="46">
        <f t="shared" ca="1" si="4"/>
        <v>1.4177798747961104E-4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input_503106!A$2</f>
        <v>503106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IFERROR(VLOOKUP(B99,input_503106!L:R,7,FALSE),VLOOKUP(tables_503106!C99,input_503106!A:H,8,FALSE))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input_503106!A$2</f>
        <v>503106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IFERROR(VLOOKUP(B100,input_503106!L:R,7,FALSE),VLOOKUP(tables_503106!C100,input_503106!A:H,8,FALSE))</f>
        <v>1078050</v>
      </c>
      <c r="P100" s="46">
        <f t="shared" ca="1" si="4"/>
        <v>8.8220130932940028E-3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input_503106!A$2</f>
        <v>503106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IFERROR(VLOOKUP(B101,input_503106!L:R,7,FALSE),VLOOKUP(tables_503106!C101,input_503106!A:H,8,FALSE))</f>
        <v>17325.270069999999</v>
      </c>
      <c r="P101" s="46">
        <f t="shared" ca="1" si="4"/>
        <v>1.4177798747961104E-4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input_503106!A$2</f>
        <v>503106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IFERROR(VLOOKUP(B102,input_503106!L:R,7,FALSE),VLOOKUP(tables_503106!C102,input_503106!A:H,8,FALSE))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input_503106!A$2</f>
        <v>503106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IFERROR(VLOOKUP(B103,input_503106!L:R,7,FALSE),VLOOKUP(tables_503106!C103,input_503106!A:H,8,FALSE))</f>
        <v>1078050</v>
      </c>
      <c r="P103" s="46">
        <f t="shared" ca="1" si="4"/>
        <v>8.8220130932940028E-3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input_503106!A$2</f>
        <v>503106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IFERROR(VLOOKUP(B104,input_503106!L:R,7,FALSE),VLOOKUP(tables_503106!C104,input_503106!A:H,8,FALSE))</f>
        <v>17325.270069999999</v>
      </c>
      <c r="P104" s="46">
        <f t="shared" ca="1" si="4"/>
        <v>1.4177798747961104E-4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input_503106!A$2</f>
        <v>503106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IFERROR(VLOOKUP(B105,input_503106!L:R,7,FALSE),VLOOKUP(tables_503106!C105,input_503106!A:H,8,FALSE))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input_503106!A$2</f>
        <v>503106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IFERROR(VLOOKUP(B106,input_503106!L:R,7,FALSE),VLOOKUP(tables_503106!C106,input_503106!A:H,8,FALSE))</f>
        <v>1078050</v>
      </c>
      <c r="P106" s="46">
        <f t="shared" ca="1" si="4"/>
        <v>8.8220130932940028E-3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input_503106!A$2</f>
        <v>503106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IFERROR(VLOOKUP(B107,input_503106!L:R,7,FALSE),VLOOKUP(tables_503106!C107,input_503106!A:H,8,FALSE))</f>
        <v>17325.270069999999</v>
      </c>
      <c r="P107" s="46">
        <f t="shared" ca="1" si="4"/>
        <v>1.4177798747961104E-4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input_503106!A$2</f>
        <v>503106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IFERROR(VLOOKUP(B108,input_503106!L:R,7,FALSE),VLOOKUP(tables_503106!C108,input_503106!A:H,8,FALSE))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input_503106!A$2</f>
        <v>503106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IFERROR(VLOOKUP(B109,input_503106!L:R,7,FALSE),VLOOKUP(tables_503106!C109,input_503106!A:H,8,FALSE))</f>
        <v>1078050</v>
      </c>
      <c r="P109" s="46">
        <f t="shared" ca="1" si="4"/>
        <v>8.8220130932940028E-3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input_503106!A$2</f>
        <v>503106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IFERROR(VLOOKUP(B110,input_503106!L:R,7,FALSE),VLOOKUP(tables_503106!C110,input_503106!A:H,8,FALSE))</f>
        <v>17325.270069999999</v>
      </c>
      <c r="P110" s="46">
        <f t="shared" ca="1" si="4"/>
        <v>1.4177798747961104E-4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input_503106!A$2</f>
        <v>503106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IFERROR(VLOOKUP(B111,input_503106!L:R,7,FALSE),VLOOKUP(tables_503106!C111,input_503106!A:H,8,FALSE))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input_503106!A$2</f>
        <v>503106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IFERROR(VLOOKUP(B112,input_503106!L:R,7,FALSE),VLOOKUP(tables_503106!C112,input_503106!A:H,8,FALSE))</f>
        <v>1148550</v>
      </c>
      <c r="P112" s="46">
        <f t="shared" ca="1" si="4"/>
        <v>9.3989361702173611E-3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input_503106!A$2</f>
        <v>503106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IFERROR(VLOOKUP(B113,input_503106!L:R,7,FALSE),VLOOKUP(tables_503106!C113,input_503106!A:H,8,FALSE))</f>
        <v>60450</v>
      </c>
      <c r="P113" s="46">
        <f t="shared" ca="1" si="4"/>
        <v>4.946808510640717E-4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input_503106!A$2</f>
        <v>503106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IFERROR(VLOOKUP(B114,input_503106!L:R,7,FALSE),VLOOKUP(tables_503106!C114,input_503106!A:H,8,FALSE))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input_503106!A$2</f>
        <v>503106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IFERROR(VLOOKUP(B115,input_503106!L:R,7,FALSE),VLOOKUP(tables_503106!C115,input_503106!A:H,8,FALSE))</f>
        <v>1078050</v>
      </c>
      <c r="P115" s="46">
        <f t="shared" ca="1" si="4"/>
        <v>8.8220130932940028E-3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input_503106!A$2</f>
        <v>503106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IFERROR(VLOOKUP(B116,input_503106!L:R,7,FALSE),VLOOKUP(tables_503106!C116,input_503106!A:H,8,FALSE))</f>
        <v>17325.270069999999</v>
      </c>
      <c r="P116" s="46">
        <f t="shared" ca="1" si="4"/>
        <v>1.4177798747961104E-4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input_503106!A$2</f>
        <v>503106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IFERROR(VLOOKUP(B117,input_503106!L:R,7,FALSE),VLOOKUP(tables_503106!C117,input_503106!A:H,8,FALSE))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input_503106!A$2</f>
        <v>503106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IFERROR(VLOOKUP(B118,input_503106!L:R,7,FALSE),VLOOKUP(tables_503106!C118,input_503106!A:H,8,FALSE))</f>
        <v>1078050</v>
      </c>
      <c r="P118" s="46">
        <f t="shared" ca="1" si="4"/>
        <v>8.8220130932940028E-3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input_503106!A$2</f>
        <v>503106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IFERROR(VLOOKUP(B119,input_503106!L:R,7,FALSE),VLOOKUP(tables_503106!C119,input_503106!A:H,8,FALSE))</f>
        <v>17325.270069999999</v>
      </c>
      <c r="P119" s="46">
        <f t="shared" ca="1" si="4"/>
        <v>1.4177798747961104E-4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input_503106!A$2</f>
        <v>503106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IFERROR(VLOOKUP(B120,input_503106!L:R,7,FALSE),VLOOKUP(tables_503106!C120,input_503106!A:H,8,FALSE))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input_503106!A$2</f>
        <v>503106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IFERROR(VLOOKUP(B121,input_503106!L:R,7,FALSE),VLOOKUP(tables_503106!C121,input_503106!A:H,8,FALSE))</f>
        <v>1078050</v>
      </c>
      <c r="P121" s="46">
        <f t="shared" ca="1" si="4"/>
        <v>8.8220130932940028E-3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input_503106!A$2</f>
        <v>503106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IFERROR(VLOOKUP(B122,input_503106!L:R,7,FALSE),VLOOKUP(tables_503106!C122,input_503106!A:H,8,FALSE))</f>
        <v>17325.270069999999</v>
      </c>
      <c r="P122" s="46">
        <f t="shared" ca="1" si="4"/>
        <v>1.4177798747961104E-4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input_503106!A$2</f>
        <v>503106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IFERROR(VLOOKUP(B123,input_503106!L:R,7,FALSE),VLOOKUP(tables_503106!C123,input_503106!A:H,8,FALSE))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input_503106!A$2</f>
        <v>503106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IFERROR(VLOOKUP(B124,input_503106!L:R,7,FALSE),VLOOKUP(tables_503106!C124,input_503106!A:H,8,FALSE))</f>
        <v>1078050</v>
      </c>
      <c r="P124" s="46">
        <f t="shared" ca="1" si="4"/>
        <v>8.8220130932940028E-3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input_503106!A$2</f>
        <v>503106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IFERROR(VLOOKUP(B125,input_503106!L:R,7,FALSE),VLOOKUP(tables_503106!C125,input_503106!A:H,8,FALSE))</f>
        <v>17325.270069999999</v>
      </c>
      <c r="P125" s="46">
        <f t="shared" ca="1" si="4"/>
        <v>1.4177798747961104E-4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input_503106!A$2</f>
        <v>503106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IFERROR(VLOOKUP(B126,input_503106!L:R,7,FALSE),VLOOKUP(tables_503106!C126,input_503106!A:H,8,FALSE))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input_503106!A$2</f>
        <v>503106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IFERROR(VLOOKUP(B127,input_503106!L:R,7,FALSE),VLOOKUP(tables_503106!C127,input_503106!A:H,8,FALSE))</f>
        <v>1078050</v>
      </c>
      <c r="P127" s="46">
        <f t="shared" ca="1" si="4"/>
        <v>8.8220130932940028E-3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input_503106!A$2</f>
        <v>503106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IFERROR(VLOOKUP(B128,input_503106!L:R,7,FALSE),VLOOKUP(tables_503106!C128,input_503106!A:H,8,FALSE))</f>
        <v>17325.270069999999</v>
      </c>
      <c r="P128" s="46">
        <f t="shared" ca="1" si="4"/>
        <v>1.4177798747961104E-4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input_503106!A$2</f>
        <v>503106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IFERROR(VLOOKUP(B129,input_503106!L:R,7,FALSE),VLOOKUP(tables_503106!C129,input_503106!A:H,8,FALSE))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input_503106!A$2</f>
        <v>503106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IFERROR(VLOOKUP(B130,input_503106!L:R,7,FALSE),VLOOKUP(tables_503106!C130,input_503106!A:H,8,FALSE))</f>
        <v>1078050</v>
      </c>
      <c r="P130" s="46">
        <f t="shared" ref="P130:P193" ca="1" si="7">O130/SUM(O:O)</f>
        <v>8.8220130932940028E-3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input_503106!A$2</f>
        <v>503106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IFERROR(VLOOKUP(B131,input_503106!L:R,7,FALSE),VLOOKUP(tables_503106!C131,input_503106!A:H,8,FALSE))</f>
        <v>17325.270069999999</v>
      </c>
      <c r="P131" s="46">
        <f t="shared" ca="1" si="7"/>
        <v>1.4177798747961104E-4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input_503106!A$2</f>
        <v>503106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IFERROR(VLOOKUP(B132,input_503106!L:R,7,FALSE),VLOOKUP(tables_503106!C132,input_503106!A:H,8,FALSE))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input_503106!A$2</f>
        <v>503106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IFERROR(VLOOKUP(B133,input_503106!L:R,7,FALSE),VLOOKUP(tables_503106!C133,input_503106!A:H,8,FALSE))</f>
        <v>1078050</v>
      </c>
      <c r="P133" s="46">
        <f t="shared" ca="1" si="7"/>
        <v>8.8220130932940028E-3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input_503106!A$2</f>
        <v>503106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IFERROR(VLOOKUP(B134,input_503106!L:R,7,FALSE),VLOOKUP(tables_503106!C134,input_503106!A:H,8,FALSE))</f>
        <v>17325.270069999999</v>
      </c>
      <c r="P134" s="46">
        <f t="shared" ca="1" si="7"/>
        <v>1.4177798747961104E-4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input_503106!A$2</f>
        <v>503106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IFERROR(VLOOKUP(B135,input_503106!L:R,7,FALSE),VLOOKUP(tables_503106!C135,input_503106!A:H,8,FALSE))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input_503106!A$2</f>
        <v>503106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IFERROR(VLOOKUP(B136,input_503106!L:R,7,FALSE),VLOOKUP(tables_503106!C136,input_503106!A:H,8,FALSE))</f>
        <v>1078050</v>
      </c>
      <c r="P136" s="46">
        <f t="shared" ca="1" si="7"/>
        <v>8.8220130932940028E-3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input_503106!A$2</f>
        <v>503106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IFERROR(VLOOKUP(B137,input_503106!L:R,7,FALSE),VLOOKUP(tables_503106!C137,input_503106!A:H,8,FALSE))</f>
        <v>17325.270069999999</v>
      </c>
      <c r="P137" s="46">
        <f t="shared" ca="1" si="7"/>
        <v>1.4177798747961104E-4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input_503106!A$2</f>
        <v>503106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IFERROR(VLOOKUP(B138,input_503106!L:R,7,FALSE),VLOOKUP(tables_503106!C138,input_503106!A:H,8,FALSE))</f>
        <v>136268.35870000001</v>
      </c>
      <c r="P138" s="46">
        <f t="shared" ca="1" si="7"/>
        <v>1.1151256849432623E-3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input_503106!A$2</f>
        <v>503106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IFERROR(VLOOKUP(B139,input_503106!L:R,7,FALSE),VLOOKUP(tables_503106!C139,input_503106!A:H,8,FALSE))</f>
        <v>5403.0698700000003</v>
      </c>
      <c r="P139" s="46">
        <f t="shared" ca="1" si="7"/>
        <v>4.4214974386273666E-5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input_503106!A$2</f>
        <v>503106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IFERROR(VLOOKUP(B140,input_503106!L:R,7,FALSE),VLOOKUP(tables_503106!C140,input_503106!A:H,8,FALSE))</f>
        <v>136268.35870000001</v>
      </c>
      <c r="P140" s="46">
        <f t="shared" ca="1" si="7"/>
        <v>1.1151256849432623E-3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input_503106!A$2</f>
        <v>503106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IFERROR(VLOOKUP(B141,input_503106!L:R,7,FALSE),VLOOKUP(tables_503106!C141,input_503106!A:H,8,FALSE))</f>
        <v>5403.0698700000003</v>
      </c>
      <c r="P141" s="46">
        <f t="shared" ca="1" si="7"/>
        <v>4.4214974386273666E-5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input_503106!A$2</f>
        <v>503106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IFERROR(VLOOKUP(B142,input_503106!L:R,7,FALSE),VLOOKUP(tables_503106!C142,input_503106!A:H,8,FALSE))</f>
        <v>136268.35870000001</v>
      </c>
      <c r="P142" s="46">
        <f t="shared" ca="1" si="7"/>
        <v>1.1151256849432623E-3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input_503106!A$2</f>
        <v>503106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IFERROR(VLOOKUP(B143,input_503106!L:R,7,FALSE),VLOOKUP(tables_503106!C143,input_503106!A:H,8,FALSE))</f>
        <v>5403.0698700000003</v>
      </c>
      <c r="P143" s="46">
        <f t="shared" ca="1" si="7"/>
        <v>4.4214974386273666E-5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input_503106!A$2</f>
        <v>503106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IFERROR(VLOOKUP(B144,input_503106!L:R,7,FALSE),VLOOKUP(tables_503106!C144,input_503106!A:H,8,FALSE))</f>
        <v>136268.35870000001</v>
      </c>
      <c r="P144" s="46">
        <f t="shared" ca="1" si="7"/>
        <v>1.1151256849432623E-3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input_503106!A$2</f>
        <v>503106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IFERROR(VLOOKUP(B145,input_503106!L:R,7,FALSE),VLOOKUP(tables_503106!C145,input_503106!A:H,8,FALSE))</f>
        <v>5403.0698700000003</v>
      </c>
      <c r="P145" s="46">
        <f t="shared" ca="1" si="7"/>
        <v>4.4214974386273666E-5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input_503106!A$2</f>
        <v>503106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IFERROR(VLOOKUP(B146,input_503106!L:R,7,FALSE),VLOOKUP(tables_503106!C146,input_503106!A:H,8,FALSE))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input_503106!A$2</f>
        <v>503106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IFERROR(VLOOKUP(B147,input_503106!L:R,7,FALSE),VLOOKUP(tables_503106!C147,input_503106!A:H,8,FALSE))</f>
        <v>1078050</v>
      </c>
      <c r="P147" s="46">
        <f t="shared" ca="1" si="7"/>
        <v>8.8220130932940028E-3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input_503106!A$2</f>
        <v>503106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IFERROR(VLOOKUP(B148,input_503106!L:R,7,FALSE),VLOOKUP(tables_503106!C148,input_503106!A:H,8,FALSE))</f>
        <v>17325.270069999999</v>
      </c>
      <c r="P148" s="46">
        <f t="shared" ca="1" si="7"/>
        <v>1.4177798747961104E-4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input_503106!A$2</f>
        <v>503106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IFERROR(VLOOKUP(B149,input_503106!L:R,7,FALSE),VLOOKUP(tables_503106!C149,input_503106!A:H,8,FALSE))</f>
        <v>136268.35870000001</v>
      </c>
      <c r="P149" s="46">
        <f t="shared" ca="1" si="7"/>
        <v>1.1151256849432623E-3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input_503106!A$2</f>
        <v>503106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IFERROR(VLOOKUP(B150,input_503106!L:R,7,FALSE),VLOOKUP(tables_503106!C150,input_503106!A:H,8,FALSE))</f>
        <v>5403.0698700000003</v>
      </c>
      <c r="P150" s="46">
        <f t="shared" ca="1" si="7"/>
        <v>4.4214974386273666E-5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input_503106!A$2</f>
        <v>503106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IFERROR(VLOOKUP(B151,input_503106!L:R,7,FALSE),VLOOKUP(tables_503106!C151,input_503106!A:H,8,FALSE))</f>
        <v>136268.35870000001</v>
      </c>
      <c r="P151" s="46">
        <f t="shared" ca="1" si="7"/>
        <v>1.1151256849432623E-3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input_503106!A$2</f>
        <v>503106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IFERROR(VLOOKUP(B152,input_503106!L:R,7,FALSE),VLOOKUP(tables_503106!C152,input_503106!A:H,8,FALSE))</f>
        <v>5403.0698700000003</v>
      </c>
      <c r="P152" s="46">
        <f t="shared" ca="1" si="7"/>
        <v>4.4214974386273666E-5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input_503106!A$2</f>
        <v>503106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IFERROR(VLOOKUP(B153,input_503106!L:R,7,FALSE),VLOOKUP(tables_503106!C153,input_503106!A:H,8,FALSE))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input_503106!A$2</f>
        <v>503106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IFERROR(VLOOKUP(B154,input_503106!L:R,7,FALSE),VLOOKUP(tables_503106!C154,input_503106!A:H,8,FALSE))</f>
        <v>1078050</v>
      </c>
      <c r="P154" s="46">
        <f t="shared" ca="1" si="7"/>
        <v>8.8220130932940028E-3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input_503106!A$2</f>
        <v>503106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IFERROR(VLOOKUP(B155,input_503106!L:R,7,FALSE),VLOOKUP(tables_503106!C155,input_503106!A:H,8,FALSE))</f>
        <v>17325.270069999999</v>
      </c>
      <c r="P155" s="46">
        <f t="shared" ca="1" si="7"/>
        <v>1.4177798747961104E-4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input_503106!A$2</f>
        <v>503106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IFERROR(VLOOKUP(B156,input_503106!L:R,7,FALSE),VLOOKUP(tables_503106!C156,input_503106!A:H,8,FALSE))</f>
        <v>136268.35870000001</v>
      </c>
      <c r="P156" s="46">
        <f t="shared" ca="1" si="7"/>
        <v>1.1151256849432623E-3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input_503106!A$2</f>
        <v>503106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IFERROR(VLOOKUP(B157,input_503106!L:R,7,FALSE),VLOOKUP(tables_503106!C157,input_503106!A:H,8,FALSE))</f>
        <v>5403.0698700000003</v>
      </c>
      <c r="P157" s="46">
        <f t="shared" ca="1" si="7"/>
        <v>4.4214974386273666E-5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input_503106!A$2</f>
        <v>503106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IFERROR(VLOOKUP(B158,input_503106!L:R,7,FALSE),VLOOKUP(tables_503106!C158,input_503106!A:H,8,FALSE))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input_503106!A$2</f>
        <v>503106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IFERROR(VLOOKUP(B159,input_503106!L:R,7,FALSE),VLOOKUP(tables_503106!C159,input_503106!A:H,8,FALSE))</f>
        <v>1078050</v>
      </c>
      <c r="P159" s="46">
        <f t="shared" ca="1" si="7"/>
        <v>8.8220130932940028E-3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input_503106!A$2</f>
        <v>503106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IFERROR(VLOOKUP(B160,input_503106!L:R,7,FALSE),VLOOKUP(tables_503106!C160,input_503106!A:H,8,FALSE))</f>
        <v>17325.270069999999</v>
      </c>
      <c r="P160" s="46">
        <f t="shared" ca="1" si="7"/>
        <v>1.4177798747961104E-4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input_503106!A$2</f>
        <v>503106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IFERROR(VLOOKUP(B161,input_503106!L:R,7,FALSE),VLOOKUP(tables_503106!C161,input_503106!A:H,8,FALSE))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input_503106!A$2</f>
        <v>503106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IFERROR(VLOOKUP(B162,input_503106!L:R,7,FALSE),VLOOKUP(tables_503106!C162,input_503106!A:H,8,FALSE))</f>
        <v>1078050</v>
      </c>
      <c r="P162" s="46">
        <f t="shared" ca="1" si="7"/>
        <v>8.8220130932940028E-3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input_503106!A$2</f>
        <v>503106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IFERROR(VLOOKUP(B163,input_503106!L:R,7,FALSE),VLOOKUP(tables_503106!C163,input_503106!A:H,8,FALSE))</f>
        <v>17325.270069999999</v>
      </c>
      <c r="P163" s="46">
        <f t="shared" ca="1" si="7"/>
        <v>1.4177798747961104E-4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input_503106!A$2</f>
        <v>503106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IFERROR(VLOOKUP(B164,input_503106!L:R,7,FALSE),VLOOKUP(tables_503106!C164,input_503106!A:H,8,FALSE))</f>
        <v>136268.35870000001</v>
      </c>
      <c r="P164" s="46">
        <f t="shared" ca="1" si="7"/>
        <v>1.1151256849432623E-3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input_503106!A$2</f>
        <v>503106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IFERROR(VLOOKUP(B165,input_503106!L:R,7,FALSE),VLOOKUP(tables_503106!C165,input_503106!A:H,8,FALSE))</f>
        <v>5403.0698700000003</v>
      </c>
      <c r="P165" s="46">
        <f t="shared" ca="1" si="7"/>
        <v>4.4214974386273666E-5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input_503106!A$2</f>
        <v>503106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IFERROR(VLOOKUP(B166,input_503106!L:R,7,FALSE),VLOOKUP(tables_503106!C166,input_503106!A:H,8,FALSE))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input_503106!A$2</f>
        <v>503106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IFERROR(VLOOKUP(B167,input_503106!L:R,7,FALSE),VLOOKUP(tables_503106!C167,input_503106!A:H,8,FALSE))</f>
        <v>1078050</v>
      </c>
      <c r="P167" s="46">
        <f t="shared" ca="1" si="7"/>
        <v>8.8220130932940028E-3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input_503106!A$2</f>
        <v>503106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IFERROR(VLOOKUP(B168,input_503106!L:R,7,FALSE),VLOOKUP(tables_503106!C168,input_503106!A:H,8,FALSE))</f>
        <v>17325.270069999999</v>
      </c>
      <c r="P168" s="46">
        <f t="shared" ca="1" si="7"/>
        <v>1.4177798747961104E-4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input_503106!A$2</f>
        <v>503106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IFERROR(VLOOKUP(B169,input_503106!L:R,7,FALSE),VLOOKUP(tables_503106!C169,input_503106!A:H,8,FALSE))</f>
        <v>136268.35870000001</v>
      </c>
      <c r="P169" s="46">
        <f t="shared" ca="1" si="7"/>
        <v>1.1151256849432623E-3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input_503106!A$2</f>
        <v>503106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IFERROR(VLOOKUP(B170,input_503106!L:R,7,FALSE),VLOOKUP(tables_503106!C170,input_503106!A:H,8,FALSE))</f>
        <v>5403.0698700000003</v>
      </c>
      <c r="P170" s="46">
        <f t="shared" ca="1" si="7"/>
        <v>4.4214974386273666E-5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input_503106!A$2</f>
        <v>503106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IFERROR(VLOOKUP(B171,input_503106!L:R,7,FALSE),VLOOKUP(tables_503106!C171,input_503106!A:H,8,FALSE))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input_503106!A$2</f>
        <v>503106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IFERROR(VLOOKUP(B172,input_503106!L:R,7,FALSE),VLOOKUP(tables_503106!C172,input_503106!A:H,8,FALSE))</f>
        <v>1078050</v>
      </c>
      <c r="P172" s="46">
        <f t="shared" ca="1" si="7"/>
        <v>8.8220130932940028E-3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input_503106!A$2</f>
        <v>503106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IFERROR(VLOOKUP(B173,input_503106!L:R,7,FALSE),VLOOKUP(tables_503106!C173,input_503106!A:H,8,FALSE))</f>
        <v>17325.270069999999</v>
      </c>
      <c r="P173" s="46">
        <f t="shared" ca="1" si="7"/>
        <v>1.4177798747961104E-4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input_503106!A$2</f>
        <v>503106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IFERROR(VLOOKUP(B174,input_503106!L:R,7,FALSE),VLOOKUP(tables_503106!C174,input_503106!A:H,8,FALSE))</f>
        <v>136268.35870000001</v>
      </c>
      <c r="P174" s="46">
        <f t="shared" ca="1" si="7"/>
        <v>1.1151256849432623E-3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input_503106!A$2</f>
        <v>503106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IFERROR(VLOOKUP(B175,input_503106!L:R,7,FALSE),VLOOKUP(tables_503106!C175,input_503106!A:H,8,FALSE))</f>
        <v>5403.0698700000003</v>
      </c>
      <c r="P175" s="46">
        <f t="shared" ca="1" si="7"/>
        <v>4.4214974386273666E-5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input_503106!A$2</f>
        <v>503106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IFERROR(VLOOKUP(B176,input_503106!L:R,7,FALSE),VLOOKUP(tables_503106!C176,input_503106!A:H,8,FALSE))</f>
        <v>136268.35870000001</v>
      </c>
      <c r="P176" s="46">
        <f t="shared" ca="1" si="7"/>
        <v>1.1151256849432623E-3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input_503106!A$2</f>
        <v>503106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IFERROR(VLOOKUP(B177,input_503106!L:R,7,FALSE),VLOOKUP(tables_503106!C177,input_503106!A:H,8,FALSE))</f>
        <v>5403.0698700000003</v>
      </c>
      <c r="P177" s="46">
        <f t="shared" ca="1" si="7"/>
        <v>4.4214974386273666E-5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input_503106!A$2</f>
        <v>503106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IFERROR(VLOOKUP(B178,input_503106!L:R,7,FALSE),VLOOKUP(tables_503106!C178,input_503106!A:H,8,FALSE))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input_503106!A$2</f>
        <v>503106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IFERROR(VLOOKUP(B179,input_503106!L:R,7,FALSE),VLOOKUP(tables_503106!C179,input_503106!A:H,8,FALSE))</f>
        <v>1078050</v>
      </c>
      <c r="P179" s="46">
        <f t="shared" ca="1" si="7"/>
        <v>8.8220130932940028E-3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input_503106!A$2</f>
        <v>503106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IFERROR(VLOOKUP(B180,input_503106!L:R,7,FALSE),VLOOKUP(tables_503106!C180,input_503106!A:H,8,FALSE))</f>
        <v>17325.270069999999</v>
      </c>
      <c r="P180" s="46">
        <f t="shared" ca="1" si="7"/>
        <v>1.4177798747961104E-4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input_503106!A$2</f>
        <v>503106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IFERROR(VLOOKUP(B181,input_503106!L:R,7,FALSE),VLOOKUP(tables_503106!C181,input_503106!A:H,8,FALSE))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input_503106!A$2</f>
        <v>503106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IFERROR(VLOOKUP(B182,input_503106!L:R,7,FALSE),VLOOKUP(tables_503106!C182,input_503106!A:H,8,FALSE))</f>
        <v>1078050</v>
      </c>
      <c r="P182" s="46">
        <f t="shared" ca="1" si="7"/>
        <v>8.8220130932940028E-3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input_503106!A$2</f>
        <v>503106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IFERROR(VLOOKUP(B183,input_503106!L:R,7,FALSE),VLOOKUP(tables_503106!C183,input_503106!A:H,8,FALSE))</f>
        <v>17325.270069999999</v>
      </c>
      <c r="P183" s="46">
        <f t="shared" ca="1" si="7"/>
        <v>1.4177798747961104E-4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input_503106!A$2</f>
        <v>503106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IFERROR(VLOOKUP(B184,input_503106!L:R,7,FALSE),VLOOKUP(tables_503106!C184,input_503106!A:H,8,FALSE))</f>
        <v>136268.35870000001</v>
      </c>
      <c r="P184" s="46">
        <f t="shared" ca="1" si="7"/>
        <v>1.1151256849432623E-3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input_503106!A$2</f>
        <v>503106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IFERROR(VLOOKUP(B185,input_503106!L:R,7,FALSE),VLOOKUP(tables_503106!C185,input_503106!A:H,8,FALSE))</f>
        <v>5403.0698700000003</v>
      </c>
      <c r="P185" s="46">
        <f t="shared" ca="1" si="7"/>
        <v>4.4214974386273666E-5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input_503106!A$2</f>
        <v>503106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IFERROR(VLOOKUP(B186,input_503106!L:R,7,FALSE),VLOOKUP(tables_503106!C186,input_503106!A:H,8,FALSE))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input_503106!A$2</f>
        <v>503106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IFERROR(VLOOKUP(B187,input_503106!L:R,7,FALSE),VLOOKUP(tables_503106!C187,input_503106!A:H,8,FALSE))</f>
        <v>1078050</v>
      </c>
      <c r="P187" s="46">
        <f t="shared" ca="1" si="7"/>
        <v>8.8220130932940028E-3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input_503106!A$2</f>
        <v>503106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IFERROR(VLOOKUP(B188,input_503106!L:R,7,FALSE),VLOOKUP(tables_503106!C188,input_503106!A:H,8,FALSE))</f>
        <v>17325.270069999999</v>
      </c>
      <c r="P188" s="46">
        <f t="shared" ca="1" si="7"/>
        <v>1.4177798747961104E-4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input_503106!A$2</f>
        <v>503106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IFERROR(VLOOKUP(B189,input_503106!L:R,7,FALSE),VLOOKUP(tables_503106!C189,input_503106!A:H,8,FALSE))</f>
        <v>136268.35870000001</v>
      </c>
      <c r="P189" s="46">
        <f t="shared" ca="1" si="7"/>
        <v>1.1151256849432623E-3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input_503106!A$2</f>
        <v>503106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IFERROR(VLOOKUP(B190,input_503106!L:R,7,FALSE),VLOOKUP(tables_503106!C190,input_503106!A:H,8,FALSE))</f>
        <v>5403.0698700000003</v>
      </c>
      <c r="P190" s="46">
        <f t="shared" ca="1" si="7"/>
        <v>4.4214974386273666E-5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input_503106!A$2</f>
        <v>503106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IFERROR(VLOOKUP(B191,input_503106!L:R,7,FALSE),VLOOKUP(tables_503106!C191,input_503106!A:H,8,FALSE))</f>
        <v>136268.35870000001</v>
      </c>
      <c r="P191" s="46">
        <f t="shared" ca="1" si="7"/>
        <v>1.1151256849432623E-3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input_503106!A$2</f>
        <v>503106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IFERROR(VLOOKUP(B192,input_503106!L:R,7,FALSE),VLOOKUP(tables_503106!C192,input_503106!A:H,8,FALSE))</f>
        <v>5403.0698700000003</v>
      </c>
      <c r="P192" s="46">
        <f t="shared" ca="1" si="7"/>
        <v>4.4214974386273666E-5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input_503106!A$2</f>
        <v>503106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IFERROR(VLOOKUP(B193,input_503106!L:R,7,FALSE),VLOOKUP(tables_503106!C193,input_503106!A:H,8,FALSE))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input_503106!A$2</f>
        <v>503106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IFERROR(VLOOKUP(B194,input_503106!L:R,7,FALSE),VLOOKUP(tables_503106!C194,input_503106!A:H,8,FALSE))</f>
        <v>1078050</v>
      </c>
      <c r="P194" s="46">
        <f t="shared" ref="P194:P257" ca="1" si="10">O194/SUM(O:O)</f>
        <v>8.8220130932940028E-3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input_503106!A$2</f>
        <v>503106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IFERROR(VLOOKUP(B195,input_503106!L:R,7,FALSE),VLOOKUP(tables_503106!C195,input_503106!A:H,8,FALSE))</f>
        <v>17325.270069999999</v>
      </c>
      <c r="P195" s="46">
        <f t="shared" ca="1" si="10"/>
        <v>1.4177798747961104E-4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input_503106!A$2</f>
        <v>503106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IFERROR(VLOOKUP(B196,input_503106!L:R,7,FALSE),VLOOKUP(tables_503106!C196,input_503106!A:H,8,FALSE))</f>
        <v>136268.35870000001</v>
      </c>
      <c r="P196" s="46">
        <f t="shared" ca="1" si="10"/>
        <v>1.1151256849432623E-3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input_503106!A$2</f>
        <v>503106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IFERROR(VLOOKUP(B197,input_503106!L:R,7,FALSE),VLOOKUP(tables_503106!C197,input_503106!A:H,8,FALSE))</f>
        <v>5403.0698700000003</v>
      </c>
      <c r="P197" s="46">
        <f t="shared" ca="1" si="10"/>
        <v>4.4214974386273666E-5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input_503106!A$2</f>
        <v>503106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IFERROR(VLOOKUP(B198,input_503106!L:R,7,FALSE),VLOOKUP(tables_503106!C198,input_503106!A:H,8,FALSE))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input_503106!A$2</f>
        <v>503106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IFERROR(VLOOKUP(B199,input_503106!L:R,7,FALSE),VLOOKUP(tables_503106!C199,input_503106!A:H,8,FALSE))</f>
        <v>1078050</v>
      </c>
      <c r="P199" s="46">
        <f t="shared" ca="1" si="10"/>
        <v>8.8220130932940028E-3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input_503106!A$2</f>
        <v>503106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IFERROR(VLOOKUP(B200,input_503106!L:R,7,FALSE),VLOOKUP(tables_503106!C200,input_503106!A:H,8,FALSE))</f>
        <v>17325.270069999999</v>
      </c>
      <c r="P200" s="46">
        <f t="shared" ca="1" si="10"/>
        <v>1.4177798747961104E-4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input_503106!A$2</f>
        <v>503106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IFERROR(VLOOKUP(B201,input_503106!L:R,7,FALSE),VLOOKUP(tables_503106!C201,input_503106!A:H,8,FALSE))</f>
        <v>136268.35870000001</v>
      </c>
      <c r="P201" s="46">
        <f t="shared" ca="1" si="10"/>
        <v>1.1151256849432623E-3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input_503106!A$2</f>
        <v>503106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IFERROR(VLOOKUP(B202,input_503106!L:R,7,FALSE),VLOOKUP(tables_503106!C202,input_503106!A:H,8,FALSE))</f>
        <v>5403.0698700000003</v>
      </c>
      <c r="P202" s="46">
        <f t="shared" ca="1" si="10"/>
        <v>4.4214974386273666E-5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input_503106!A$2</f>
        <v>503106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IFERROR(VLOOKUP(B203,input_503106!L:R,7,FALSE),VLOOKUP(tables_503106!C203,input_503106!A:H,8,FALSE))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input_503106!A$2</f>
        <v>503106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IFERROR(VLOOKUP(B204,input_503106!L:R,7,FALSE),VLOOKUP(tables_503106!C204,input_503106!A:H,8,FALSE))</f>
        <v>1078050</v>
      </c>
      <c r="P204" s="46">
        <f t="shared" ca="1" si="10"/>
        <v>8.8220130932940028E-3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input_503106!A$2</f>
        <v>503106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IFERROR(VLOOKUP(B205,input_503106!L:R,7,FALSE),VLOOKUP(tables_503106!C205,input_503106!A:H,8,FALSE))</f>
        <v>17325.270069999999</v>
      </c>
      <c r="P205" s="46">
        <f t="shared" ca="1" si="10"/>
        <v>1.4177798747961104E-4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input_503106!A$2</f>
        <v>503106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IFERROR(VLOOKUP(B206,input_503106!L:R,7,FALSE),VLOOKUP(tables_503106!C206,input_503106!A:H,8,FALSE))</f>
        <v>136268.35870000001</v>
      </c>
      <c r="P206" s="46">
        <f t="shared" ca="1" si="10"/>
        <v>1.1151256849432623E-3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input_503106!A$2</f>
        <v>503106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IFERROR(VLOOKUP(B207,input_503106!L:R,7,FALSE),VLOOKUP(tables_503106!C207,input_503106!A:H,8,FALSE))</f>
        <v>5403.0698700000003</v>
      </c>
      <c r="P207" s="46">
        <f t="shared" ca="1" si="10"/>
        <v>4.4214974386273666E-5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input_503106!A$2</f>
        <v>503106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IFERROR(VLOOKUP(B208,input_503106!L:R,7,FALSE),VLOOKUP(tables_503106!C208,input_503106!A:H,8,FALSE))</f>
        <v>136268.35870000001</v>
      </c>
      <c r="P208" s="46">
        <f t="shared" ca="1" si="10"/>
        <v>1.1151256849432623E-3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input_503106!A$2</f>
        <v>503106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IFERROR(VLOOKUP(B209,input_503106!L:R,7,FALSE),VLOOKUP(tables_503106!C209,input_503106!A:H,8,FALSE))</f>
        <v>5403.0698700000003</v>
      </c>
      <c r="P209" s="46">
        <f t="shared" ca="1" si="10"/>
        <v>4.4214974386273666E-5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input_503106!A$2</f>
        <v>503106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IFERROR(VLOOKUP(B210,input_503106!L:R,7,FALSE),VLOOKUP(tables_503106!C210,input_503106!A:H,8,FALSE))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input_503106!A$2</f>
        <v>503106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IFERROR(VLOOKUP(B211,input_503106!L:R,7,FALSE),VLOOKUP(tables_503106!C211,input_503106!A:H,8,FALSE))</f>
        <v>1078050</v>
      </c>
      <c r="P211" s="46">
        <f t="shared" ca="1" si="10"/>
        <v>8.8220130932940028E-3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input_503106!A$2</f>
        <v>503106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IFERROR(VLOOKUP(B212,input_503106!L:R,7,FALSE),VLOOKUP(tables_503106!C212,input_503106!A:H,8,FALSE))</f>
        <v>17325.270069999999</v>
      </c>
      <c r="P212" s="46">
        <f t="shared" ca="1" si="10"/>
        <v>1.4177798747961104E-4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input_503106!A$2</f>
        <v>503106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IFERROR(VLOOKUP(B213,input_503106!L:R,7,FALSE),VLOOKUP(tables_503106!C213,input_503106!A:H,8,FALSE))</f>
        <v>136268.35870000001</v>
      </c>
      <c r="P213" s="46">
        <f t="shared" ca="1" si="10"/>
        <v>1.1151256849432623E-3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input_503106!A$2</f>
        <v>503106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IFERROR(VLOOKUP(B214,input_503106!L:R,7,FALSE),VLOOKUP(tables_503106!C214,input_503106!A:H,8,FALSE))</f>
        <v>5403.0698700000003</v>
      </c>
      <c r="P214" s="46">
        <f t="shared" ca="1" si="10"/>
        <v>4.4214974386273666E-5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input_503106!A$2</f>
        <v>503106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IFERROR(VLOOKUP(B215,input_503106!L:R,7,FALSE),VLOOKUP(tables_503106!C215,input_503106!A:H,8,FALSE))</f>
        <v>9533.3333299999995</v>
      </c>
      <c r="P215" s="46">
        <f t="shared" ca="1" si="10"/>
        <v>7.8014184369923573E-5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input_503106!A$2</f>
        <v>503106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IFERROR(VLOOKUP(B216,input_503106!L:R,7,FALSE),VLOOKUP(tables_503106!C216,input_503106!A:H,8,FALSE))</f>
        <v>9533.3333299999995</v>
      </c>
      <c r="P216" s="46">
        <f t="shared" ca="1" si="10"/>
        <v>7.8014184369923573E-5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input_503106!A$2</f>
        <v>503106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IFERROR(VLOOKUP(B217,input_503106!L:R,7,FALSE),VLOOKUP(tables_503106!C217,input_503106!A:H,8,FALSE))</f>
        <v>9533.3333299999995</v>
      </c>
      <c r="P217" s="46">
        <f t="shared" ca="1" si="10"/>
        <v>7.8014184369923573E-5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input_503106!A$2</f>
        <v>503106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IFERROR(VLOOKUP(B218,input_503106!L:R,7,FALSE),VLOOKUP(tables_503106!C218,input_503106!A:H,8,FALSE))</f>
        <v>9533.3333299999995</v>
      </c>
      <c r="P218" s="46">
        <f t="shared" ca="1" si="10"/>
        <v>7.8014184369923573E-5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input_503106!A$2</f>
        <v>503106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IFERROR(VLOOKUP(B219,input_503106!L:R,7,FALSE),VLOOKUP(tables_503106!C219,input_503106!A:H,8,FALSE))</f>
        <v>9533.3333299999995</v>
      </c>
      <c r="P219" s="46">
        <f t="shared" ca="1" si="10"/>
        <v>7.8014184369923573E-5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input_503106!A$2</f>
        <v>503106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IFERROR(VLOOKUP(B220,input_503106!L:R,7,FALSE),VLOOKUP(tables_503106!C220,input_503106!A:H,8,FALSE))</f>
        <v>9533.3333299999995</v>
      </c>
      <c r="P220" s="46">
        <f t="shared" ca="1" si="10"/>
        <v>7.8014184369923573E-5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input_503106!A$2</f>
        <v>503106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IFERROR(VLOOKUP(B221,input_503106!L:R,7,FALSE),VLOOKUP(tables_503106!C221,input_503106!A:H,8,FALSE))</f>
        <v>136268.35870000001</v>
      </c>
      <c r="P221" s="46">
        <f t="shared" ca="1" si="10"/>
        <v>1.1151256849432623E-3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input_503106!A$2</f>
        <v>503106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IFERROR(VLOOKUP(B222,input_503106!L:R,7,FALSE),VLOOKUP(tables_503106!C222,input_503106!A:H,8,FALSE))</f>
        <v>5403.0698700000003</v>
      </c>
      <c r="P222" s="46">
        <f t="shared" ca="1" si="10"/>
        <v>4.4214974386273666E-5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input_503106!A$2</f>
        <v>503106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IFERROR(VLOOKUP(B223,input_503106!L:R,7,FALSE),VLOOKUP(tables_503106!C223,input_503106!A:H,8,FALSE))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input_503106!A$2</f>
        <v>503106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IFERROR(VLOOKUP(B224,input_503106!L:R,7,FALSE),VLOOKUP(tables_503106!C224,input_503106!A:H,8,FALSE))</f>
        <v>1078050</v>
      </c>
      <c r="P224" s="46">
        <f t="shared" ca="1" si="10"/>
        <v>8.8220130932940028E-3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input_503106!A$2</f>
        <v>503106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IFERROR(VLOOKUP(B225,input_503106!L:R,7,FALSE),VLOOKUP(tables_503106!C225,input_503106!A:H,8,FALSE))</f>
        <v>17325.270069999999</v>
      </c>
      <c r="P225" s="46">
        <f t="shared" ca="1" si="10"/>
        <v>1.4177798747961104E-4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input_503106!A$2</f>
        <v>503106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IFERROR(VLOOKUP(B226,input_503106!L:R,7,FALSE),VLOOKUP(tables_503106!C226,input_503106!A:H,8,FALSE))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input_503106!A$2</f>
        <v>503106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IFERROR(VLOOKUP(B227,input_503106!L:R,7,FALSE),VLOOKUP(tables_503106!C227,input_503106!A:H,8,FALSE))</f>
        <v>1078050</v>
      </c>
      <c r="P227" s="46">
        <f t="shared" ca="1" si="10"/>
        <v>8.8220130932940028E-3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input_503106!A$2</f>
        <v>503106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IFERROR(VLOOKUP(B228,input_503106!L:R,7,FALSE),VLOOKUP(tables_503106!C228,input_503106!A:H,8,FALSE))</f>
        <v>17325.270069999999</v>
      </c>
      <c r="P228" s="46">
        <f t="shared" ca="1" si="10"/>
        <v>1.4177798747961104E-4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input_503106!A$2</f>
        <v>503106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IFERROR(VLOOKUP(B229,input_503106!L:R,7,FALSE),VLOOKUP(tables_503106!C229,input_503106!A:H,8,FALSE))</f>
        <v>136268.35870000001</v>
      </c>
      <c r="P229" s="46">
        <f t="shared" ca="1" si="10"/>
        <v>1.1151256849432623E-3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input_503106!A$2</f>
        <v>503106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IFERROR(VLOOKUP(B230,input_503106!L:R,7,FALSE),VLOOKUP(tables_503106!C230,input_503106!A:H,8,FALSE))</f>
        <v>5403.0698700000003</v>
      </c>
      <c r="P230" s="46">
        <f t="shared" ca="1" si="10"/>
        <v>4.4214974386273666E-5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input_503106!A$2</f>
        <v>503106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IFERROR(VLOOKUP(B231,input_503106!L:R,7,FALSE),VLOOKUP(tables_503106!C231,input_503106!A:H,8,FALSE))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input_503106!A$2</f>
        <v>503106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IFERROR(VLOOKUP(B232,input_503106!L:R,7,FALSE),VLOOKUP(tables_503106!C232,input_503106!A:H,8,FALSE))</f>
        <v>1078050</v>
      </c>
      <c r="P232" s="46">
        <f t="shared" ca="1" si="10"/>
        <v>8.8220130932940028E-3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input_503106!A$2</f>
        <v>503106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IFERROR(VLOOKUP(B233,input_503106!L:R,7,FALSE),VLOOKUP(tables_503106!C233,input_503106!A:H,8,FALSE))</f>
        <v>17325.270069999999</v>
      </c>
      <c r="P233" s="46">
        <f t="shared" ca="1" si="10"/>
        <v>1.4177798747961104E-4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input_503106!A$2</f>
        <v>503106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IFERROR(VLOOKUP(B234,input_503106!L:R,7,FALSE),VLOOKUP(tables_503106!C234,input_503106!A:H,8,FALSE))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input_503106!A$2</f>
        <v>503106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IFERROR(VLOOKUP(B235,input_503106!L:R,7,FALSE),VLOOKUP(tables_503106!C235,input_503106!A:H,8,FALSE))</f>
        <v>1078050</v>
      </c>
      <c r="P235" s="46">
        <f t="shared" ca="1" si="10"/>
        <v>8.8220130932940028E-3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input_503106!A$2</f>
        <v>503106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IFERROR(VLOOKUP(B236,input_503106!L:R,7,FALSE),VLOOKUP(tables_503106!C236,input_503106!A:H,8,FALSE))</f>
        <v>17325.270069999999</v>
      </c>
      <c r="P236" s="46">
        <f t="shared" ca="1" si="10"/>
        <v>1.4177798747961104E-4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input_503106!A$2</f>
        <v>503106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IFERROR(VLOOKUP(B237,input_503106!L:R,7,FALSE),VLOOKUP(tables_503106!C237,input_503106!A:H,8,FALSE))</f>
        <v>136268.35870000001</v>
      </c>
      <c r="P237" s="46">
        <f t="shared" ca="1" si="10"/>
        <v>1.1151256849432623E-3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input_503106!A$2</f>
        <v>503106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IFERROR(VLOOKUP(B238,input_503106!L:R,7,FALSE),VLOOKUP(tables_503106!C238,input_503106!A:H,8,FALSE))</f>
        <v>5403.0698700000003</v>
      </c>
      <c r="P238" s="46">
        <f t="shared" ca="1" si="10"/>
        <v>4.4214974386273666E-5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input_503106!A$2</f>
        <v>503106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IFERROR(VLOOKUP(B239,input_503106!L:R,7,FALSE),VLOOKUP(tables_503106!C239,input_503106!A:H,8,FALSE))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input_503106!A$2</f>
        <v>503106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IFERROR(VLOOKUP(B240,input_503106!L:R,7,FALSE),VLOOKUP(tables_503106!C240,input_503106!A:H,8,FALSE))</f>
        <v>1078050</v>
      </c>
      <c r="P240" s="46">
        <f t="shared" ca="1" si="10"/>
        <v>8.8220130932940028E-3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input_503106!A$2</f>
        <v>503106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IFERROR(VLOOKUP(B241,input_503106!L:R,7,FALSE),VLOOKUP(tables_503106!C241,input_503106!A:H,8,FALSE))</f>
        <v>17325.270069999999</v>
      </c>
      <c r="P241" s="46">
        <f t="shared" ca="1" si="10"/>
        <v>1.4177798747961104E-4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input_503106!A$2</f>
        <v>503106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IFERROR(VLOOKUP(B242,input_503106!L:R,7,FALSE),VLOOKUP(tables_503106!C242,input_503106!A:H,8,FALSE))</f>
        <v>136268.35870000001</v>
      </c>
      <c r="P242" s="46">
        <f t="shared" ca="1" si="10"/>
        <v>1.1151256849432623E-3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input_503106!A$2</f>
        <v>503106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IFERROR(VLOOKUP(B243,input_503106!L:R,7,FALSE),VLOOKUP(tables_503106!C243,input_503106!A:H,8,FALSE))</f>
        <v>5403.0698700000003</v>
      </c>
      <c r="P243" s="46">
        <f t="shared" ca="1" si="10"/>
        <v>4.4214974386273666E-5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input_503106!A$2</f>
        <v>503106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IFERROR(VLOOKUP(B244,input_503106!L:R,7,FALSE),VLOOKUP(tables_503106!C244,input_503106!A:H,8,FALSE))</f>
        <v>136268.35870000001</v>
      </c>
      <c r="P244" s="46">
        <f t="shared" ca="1" si="10"/>
        <v>1.1151256849432623E-3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input_503106!A$2</f>
        <v>503106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IFERROR(VLOOKUP(B245,input_503106!L:R,7,FALSE),VLOOKUP(tables_503106!C245,input_503106!A:H,8,FALSE))</f>
        <v>5403.0698700000003</v>
      </c>
      <c r="P245" s="46">
        <f t="shared" ca="1" si="10"/>
        <v>4.4214974386273666E-5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input_503106!A$2</f>
        <v>503106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IFERROR(VLOOKUP(B246,input_503106!L:R,7,FALSE),VLOOKUP(tables_503106!C246,input_503106!A:H,8,FALSE))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input_503106!A$2</f>
        <v>503106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IFERROR(VLOOKUP(B247,input_503106!L:R,7,FALSE),VLOOKUP(tables_503106!C247,input_503106!A:H,8,FALSE))</f>
        <v>1078050</v>
      </c>
      <c r="P247" s="46">
        <f t="shared" ca="1" si="10"/>
        <v>8.8220130932940028E-3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input_503106!A$2</f>
        <v>503106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IFERROR(VLOOKUP(B248,input_503106!L:R,7,FALSE),VLOOKUP(tables_503106!C248,input_503106!A:H,8,FALSE))</f>
        <v>17325.270069999999</v>
      </c>
      <c r="P248" s="46">
        <f t="shared" ca="1" si="10"/>
        <v>1.4177798747961104E-4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input_503106!A$2</f>
        <v>503106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IFERROR(VLOOKUP(B249,input_503106!L:R,7,FALSE),VLOOKUP(tables_503106!C249,input_503106!A:H,8,FALSE))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input_503106!A$2</f>
        <v>503106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IFERROR(VLOOKUP(B250,input_503106!L:R,7,FALSE),VLOOKUP(tables_503106!C250,input_503106!A:H,8,FALSE))</f>
        <v>1078050</v>
      </c>
      <c r="P250" s="46">
        <f t="shared" ca="1" si="10"/>
        <v>8.8220130932940028E-3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input_503106!A$2</f>
        <v>503106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IFERROR(VLOOKUP(B251,input_503106!L:R,7,FALSE),VLOOKUP(tables_503106!C251,input_503106!A:H,8,FALSE))</f>
        <v>17325.270069999999</v>
      </c>
      <c r="P251" s="46">
        <f t="shared" ca="1" si="10"/>
        <v>1.4177798747961104E-4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input_503106!A$2</f>
        <v>503106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IFERROR(VLOOKUP(B252,input_503106!L:R,7,FALSE),VLOOKUP(tables_503106!C252,input_503106!A:H,8,FALSE))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input_503106!A$2</f>
        <v>503106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IFERROR(VLOOKUP(B253,input_503106!L:R,7,FALSE),VLOOKUP(tables_503106!C253,input_503106!A:H,8,FALSE))</f>
        <v>1078050</v>
      </c>
      <c r="P253" s="46">
        <f t="shared" ca="1" si="10"/>
        <v>8.8220130932940028E-3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input_503106!A$2</f>
        <v>503106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IFERROR(VLOOKUP(B254,input_503106!L:R,7,FALSE),VLOOKUP(tables_503106!C254,input_503106!A:H,8,FALSE))</f>
        <v>17325.270069999999</v>
      </c>
      <c r="P254" s="46">
        <f t="shared" ca="1" si="10"/>
        <v>1.4177798747961104E-4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input_503106!A$2</f>
        <v>503106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IFERROR(VLOOKUP(B255,input_503106!L:R,7,FALSE),VLOOKUP(tables_503106!C255,input_503106!A:H,8,FALSE))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input_503106!A$2</f>
        <v>503106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IFERROR(VLOOKUP(B256,input_503106!L:R,7,FALSE),VLOOKUP(tables_503106!C256,input_503106!A:H,8,FALSE))</f>
        <v>1078050</v>
      </c>
      <c r="P256" s="46">
        <f t="shared" ca="1" si="10"/>
        <v>8.8220130932940028E-3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input_503106!A$2</f>
        <v>503106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IFERROR(VLOOKUP(B257,input_503106!L:R,7,FALSE),VLOOKUP(tables_503106!C257,input_503106!A:H,8,FALSE))</f>
        <v>17325.270069999999</v>
      </c>
      <c r="P257" s="46">
        <f t="shared" ca="1" si="10"/>
        <v>1.4177798747961104E-4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input_503106!A$2</f>
        <v>503106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IFERROR(VLOOKUP(B258,input_503106!L:R,7,FALSE),VLOOKUP(tables_503106!C258,input_503106!A:H,8,FALSE))</f>
        <v>136268.35870000001</v>
      </c>
      <c r="P258" s="46">
        <f t="shared" ref="P258:P321" ca="1" si="13">O258/SUM(O:O)</f>
        <v>1.1151256849432623E-3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input_503106!A$2</f>
        <v>503106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IFERROR(VLOOKUP(B259,input_503106!L:R,7,FALSE),VLOOKUP(tables_503106!C259,input_503106!A:H,8,FALSE))</f>
        <v>5403.0698700000003</v>
      </c>
      <c r="P259" s="46">
        <f t="shared" ca="1" si="13"/>
        <v>4.4214974386273666E-5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input_503106!A$2</f>
        <v>503106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IFERROR(VLOOKUP(B260,input_503106!L:R,7,FALSE),VLOOKUP(tables_503106!C260,input_503106!A:H,8,FALSE))</f>
        <v>136268.35870000001</v>
      </c>
      <c r="P260" s="46">
        <f t="shared" ca="1" si="13"/>
        <v>1.1151256849432623E-3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input_503106!A$2</f>
        <v>503106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IFERROR(VLOOKUP(B261,input_503106!L:R,7,FALSE),VLOOKUP(tables_503106!C261,input_503106!A:H,8,FALSE))</f>
        <v>5403.0698700000003</v>
      </c>
      <c r="P261" s="46">
        <f t="shared" ca="1" si="13"/>
        <v>4.4214974386273666E-5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input_503106!A$2</f>
        <v>503106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IFERROR(VLOOKUP(B262,input_503106!L:R,7,FALSE),VLOOKUP(tables_503106!C262,input_503106!A:H,8,FALSE))</f>
        <v>1196288.8888900001</v>
      </c>
      <c r="P262" s="46">
        <f t="shared" ca="1" si="13"/>
        <v>9.7895981087609257E-3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input_503106!A$2</f>
        <v>503106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IFERROR(VLOOKUP(B263,input_503106!L:R,7,FALSE),VLOOKUP(tables_503106!C263,input_503106!A:H,8,FALSE))</f>
        <v>9533.3333299999995</v>
      </c>
      <c r="P263" s="46">
        <f t="shared" ca="1" si="13"/>
        <v>7.8014184369923573E-5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input_503106!A$2</f>
        <v>503106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IFERROR(VLOOKUP(B264,input_503106!L:R,7,FALSE),VLOOKUP(tables_503106!C264,input_503106!A:H,8,FALSE))</f>
        <v>1196288.8888900001</v>
      </c>
      <c r="P264" s="46">
        <f t="shared" ca="1" si="13"/>
        <v>9.7895981087609257E-3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input_503106!A$2</f>
        <v>503106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IFERROR(VLOOKUP(B265,input_503106!L:R,7,FALSE),VLOOKUP(tables_503106!C265,input_503106!A:H,8,FALSE))</f>
        <v>9533.3333299999995</v>
      </c>
      <c r="P265" s="46">
        <f t="shared" ca="1" si="13"/>
        <v>7.8014184369923573E-5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input_503106!A$2</f>
        <v>503106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IFERROR(VLOOKUP(B266,input_503106!L:R,7,FALSE),VLOOKUP(tables_503106!C266,input_503106!A:H,8,FALSE))</f>
        <v>56400</v>
      </c>
      <c r="P266" s="46">
        <f t="shared" ca="1" si="13"/>
        <v>4.615384615386872E-4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input_503106!A$2</f>
        <v>503106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IFERROR(VLOOKUP(B267,input_503106!L:R,7,FALSE),VLOOKUP(tables_503106!C267,input_503106!A:H,8,FALSE))</f>
        <v>56400</v>
      </c>
      <c r="P267" s="46">
        <f t="shared" ca="1" si="13"/>
        <v>4.615384615386872E-4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input_503106!A$2</f>
        <v>503106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IFERROR(VLOOKUP(B268,input_503106!L:R,7,FALSE),VLOOKUP(tables_503106!C268,input_503106!A:H,8,FALSE))</f>
        <v>56400</v>
      </c>
      <c r="P268" s="46">
        <f t="shared" ca="1" si="13"/>
        <v>4.615384615386872E-4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input_503106!A$2</f>
        <v>503106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IFERROR(VLOOKUP(B269,input_503106!L:R,7,FALSE),VLOOKUP(tables_503106!C269,input_503106!A:H,8,FALSE))</f>
        <v>56400</v>
      </c>
      <c r="P269" s="46">
        <f t="shared" ca="1" si="13"/>
        <v>4.615384615386872E-4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input_503106!A$2</f>
        <v>503106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IFERROR(VLOOKUP(B270,input_503106!L:R,7,FALSE),VLOOKUP(tables_503106!C270,input_503106!A:H,8,FALSE))</f>
        <v>1196288.8888900001</v>
      </c>
      <c r="P270" s="46">
        <f t="shared" ca="1" si="13"/>
        <v>9.7895981087609257E-3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input_503106!A$2</f>
        <v>503106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IFERROR(VLOOKUP(B271,input_503106!L:R,7,FALSE),VLOOKUP(tables_503106!C271,input_503106!A:H,8,FALSE))</f>
        <v>9533.3333299999995</v>
      </c>
      <c r="P271" s="46">
        <f t="shared" ca="1" si="13"/>
        <v>7.8014184369923573E-5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input_503106!A$2</f>
        <v>503106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IFERROR(VLOOKUP(B272,input_503106!L:R,7,FALSE),VLOOKUP(tables_503106!C272,input_503106!A:H,8,FALSE))</f>
        <v>1196288.8888900001</v>
      </c>
      <c r="P272" s="46">
        <f t="shared" ca="1" si="13"/>
        <v>9.7895981087609257E-3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input_503106!A$2</f>
        <v>503106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IFERROR(VLOOKUP(B273,input_503106!L:R,7,FALSE),VLOOKUP(tables_503106!C273,input_503106!A:H,8,FALSE))</f>
        <v>9533.3333299999995</v>
      </c>
      <c r="P273" s="46">
        <f t="shared" ca="1" si="13"/>
        <v>7.8014184369923573E-5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input_503106!A$2</f>
        <v>503106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IFERROR(VLOOKUP(B274,input_503106!L:R,7,FALSE),VLOOKUP(tables_503106!C274,input_503106!A:H,8,FALSE))</f>
        <v>136268.35870000001</v>
      </c>
      <c r="P274" s="46">
        <f t="shared" ca="1" si="13"/>
        <v>1.1151256849432623E-3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input_503106!A$2</f>
        <v>503106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IFERROR(VLOOKUP(B275,input_503106!L:R,7,FALSE),VLOOKUP(tables_503106!C275,input_503106!A:H,8,FALSE))</f>
        <v>5403.0698700000003</v>
      </c>
      <c r="P275" s="46">
        <f t="shared" ca="1" si="13"/>
        <v>4.4214974386273666E-5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input_503106!A$2</f>
        <v>503106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IFERROR(VLOOKUP(B276,input_503106!L:R,7,FALSE),VLOOKUP(tables_503106!C276,input_503106!A:H,8,FALSE))</f>
        <v>136268.35870000001</v>
      </c>
      <c r="P276" s="46">
        <f t="shared" ca="1" si="13"/>
        <v>1.1151256849432623E-3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input_503106!A$2</f>
        <v>503106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IFERROR(VLOOKUP(B277,input_503106!L:R,7,FALSE),VLOOKUP(tables_503106!C277,input_503106!A:H,8,FALSE))</f>
        <v>5403.0698700000003</v>
      </c>
      <c r="P277" s="46">
        <f t="shared" ca="1" si="13"/>
        <v>4.4214974386273666E-5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input_503106!A$2</f>
        <v>503106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IFERROR(VLOOKUP(B278,input_503106!L:R,7,FALSE),VLOOKUP(tables_503106!C278,input_503106!A:H,8,FALSE))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input_503106!A$2</f>
        <v>503106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IFERROR(VLOOKUP(B279,input_503106!L:R,7,FALSE),VLOOKUP(tables_503106!C279,input_503106!A:H,8,FALSE))</f>
        <v>1078050</v>
      </c>
      <c r="P279" s="46">
        <f t="shared" ca="1" si="13"/>
        <v>8.8220130932940028E-3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input_503106!A$2</f>
        <v>503106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IFERROR(VLOOKUP(B280,input_503106!L:R,7,FALSE),VLOOKUP(tables_503106!C280,input_503106!A:H,8,FALSE))</f>
        <v>17325.270069999999</v>
      </c>
      <c r="P280" s="46">
        <f t="shared" ca="1" si="13"/>
        <v>1.4177798747961104E-4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input_503106!A$2</f>
        <v>503106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IFERROR(VLOOKUP(B281,input_503106!L:R,7,FALSE),VLOOKUP(tables_503106!C281,input_503106!A:H,8,FALSE))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input_503106!A$2</f>
        <v>503106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IFERROR(VLOOKUP(B282,input_503106!L:R,7,FALSE),VLOOKUP(tables_503106!C282,input_503106!A:H,8,FALSE))</f>
        <v>1078050</v>
      </c>
      <c r="P282" s="46">
        <f t="shared" ca="1" si="13"/>
        <v>8.8220130932940028E-3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input_503106!A$2</f>
        <v>503106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IFERROR(VLOOKUP(B283,input_503106!L:R,7,FALSE),VLOOKUP(tables_503106!C283,input_503106!A:H,8,FALSE))</f>
        <v>17325.270069999999</v>
      </c>
      <c r="P283" s="46">
        <f t="shared" ca="1" si="13"/>
        <v>1.4177798747961104E-4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input_503106!A$2</f>
        <v>503106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IFERROR(VLOOKUP(B284,input_503106!L:R,7,FALSE),VLOOKUP(tables_503106!C284,input_503106!A:H,8,FALSE))</f>
        <v>56400</v>
      </c>
      <c r="P284" s="46">
        <f t="shared" ca="1" si="13"/>
        <v>4.615384615386872E-4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input_503106!A$2</f>
        <v>503106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IFERROR(VLOOKUP(B285,input_503106!L:R,7,FALSE),VLOOKUP(tables_503106!C285,input_503106!A:H,8,FALSE))</f>
        <v>56400</v>
      </c>
      <c r="P285" s="46">
        <f t="shared" ca="1" si="13"/>
        <v>4.615384615386872E-4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input_503106!A$2</f>
        <v>503106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IFERROR(VLOOKUP(B286,input_503106!L:R,7,FALSE),VLOOKUP(tables_503106!C286,input_503106!A:H,8,FALSE))</f>
        <v>1196288.8888900001</v>
      </c>
      <c r="P286" s="46">
        <f t="shared" ca="1" si="13"/>
        <v>9.7895981087609257E-3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input_503106!A$2</f>
        <v>503106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IFERROR(VLOOKUP(B287,input_503106!L:R,7,FALSE),VLOOKUP(tables_503106!C287,input_503106!A:H,8,FALSE))</f>
        <v>9533.3333299999995</v>
      </c>
      <c r="P287" s="46">
        <f t="shared" ca="1" si="13"/>
        <v>7.8014184369923573E-5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input_503106!A$2</f>
        <v>503106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IFERROR(VLOOKUP(B288,input_503106!L:R,7,FALSE),VLOOKUP(tables_503106!C288,input_503106!A:H,8,FALSE))</f>
        <v>1196288.8888900001</v>
      </c>
      <c r="P288" s="46">
        <f t="shared" ca="1" si="13"/>
        <v>9.7895981087609257E-3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input_503106!A$2</f>
        <v>503106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IFERROR(VLOOKUP(B289,input_503106!L:R,7,FALSE),VLOOKUP(tables_503106!C289,input_503106!A:H,8,FALSE))</f>
        <v>9533.3333299999995</v>
      </c>
      <c r="P289" s="46">
        <f t="shared" ca="1" si="13"/>
        <v>7.8014184369923573E-5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input_503106!A$2</f>
        <v>503106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IFERROR(VLOOKUP(B290,input_503106!L:R,7,FALSE),VLOOKUP(tables_503106!C290,input_503106!A:H,8,FALSE))</f>
        <v>1196288.8888900001</v>
      </c>
      <c r="P290" s="46">
        <f t="shared" ca="1" si="13"/>
        <v>9.7895981087609257E-3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input_503106!A$2</f>
        <v>503106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IFERROR(VLOOKUP(B291,input_503106!L:R,7,FALSE),VLOOKUP(tables_503106!C291,input_503106!A:H,8,FALSE))</f>
        <v>9533.3333299999995</v>
      </c>
      <c r="P291" s="46">
        <f t="shared" ca="1" si="13"/>
        <v>7.8014184369923573E-5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input_503106!A$2</f>
        <v>503106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IFERROR(VLOOKUP(B292,input_503106!L:R,7,FALSE),VLOOKUP(tables_503106!C292,input_503106!A:H,8,FALSE))</f>
        <v>1196288.8888900001</v>
      </c>
      <c r="P292" s="46">
        <f t="shared" ca="1" si="13"/>
        <v>9.7895981087609257E-3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input_503106!A$2</f>
        <v>503106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IFERROR(VLOOKUP(B293,input_503106!L:R,7,FALSE),VLOOKUP(tables_503106!C293,input_503106!A:H,8,FALSE))</f>
        <v>9533.3333299999995</v>
      </c>
      <c r="P293" s="46">
        <f t="shared" ca="1" si="13"/>
        <v>7.8014184369923573E-5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input_503106!A$2</f>
        <v>503106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IFERROR(VLOOKUP(B294,input_503106!L:R,7,FALSE),VLOOKUP(tables_503106!C294,input_503106!A:H,8,FALSE))</f>
        <v>56400</v>
      </c>
      <c r="P294" s="46">
        <f t="shared" ca="1" si="13"/>
        <v>4.615384615386872E-4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input_503106!A$2</f>
        <v>503106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IFERROR(VLOOKUP(B295,input_503106!L:R,7,FALSE),VLOOKUP(tables_503106!C295,input_503106!A:H,8,FALSE))</f>
        <v>56400</v>
      </c>
      <c r="P295" s="46">
        <f t="shared" ca="1" si="13"/>
        <v>4.615384615386872E-4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input_503106!A$2</f>
        <v>503106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IFERROR(VLOOKUP(B296,input_503106!L:R,7,FALSE),VLOOKUP(tables_503106!C296,input_503106!A:H,8,FALSE))</f>
        <v>56400</v>
      </c>
      <c r="P296" s="46">
        <f t="shared" ca="1" si="13"/>
        <v>4.615384615386872E-4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input_503106!A$2</f>
        <v>503106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IFERROR(VLOOKUP(B297,input_503106!L:R,7,FALSE),VLOOKUP(tables_503106!C297,input_503106!A:H,8,FALSE))</f>
        <v>1196288.8888900001</v>
      </c>
      <c r="P297" s="46">
        <f t="shared" ca="1" si="13"/>
        <v>9.7895981087609257E-3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input_503106!A$2</f>
        <v>503106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IFERROR(VLOOKUP(B298,input_503106!L:R,7,FALSE),VLOOKUP(tables_503106!C298,input_503106!A:H,8,FALSE))</f>
        <v>9533.3333299999995</v>
      </c>
      <c r="P298" s="46">
        <f t="shared" ca="1" si="13"/>
        <v>7.8014184369923573E-5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input_503106!A$2</f>
        <v>503106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IFERROR(VLOOKUP(B299,input_503106!L:R,7,FALSE),VLOOKUP(tables_503106!C299,input_503106!A:H,8,FALSE))</f>
        <v>56400</v>
      </c>
      <c r="P299" s="46">
        <f t="shared" ca="1" si="13"/>
        <v>4.615384615386872E-4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input_503106!A$2</f>
        <v>503106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IFERROR(VLOOKUP(B300,input_503106!L:R,7,FALSE),VLOOKUP(tables_503106!C300,input_503106!A:H,8,FALSE))</f>
        <v>56400</v>
      </c>
      <c r="P300" s="46">
        <f t="shared" ca="1" si="13"/>
        <v>4.615384615386872E-4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input_503106!A$2</f>
        <v>503106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IFERROR(VLOOKUP(B301,input_503106!L:R,7,FALSE),VLOOKUP(tables_503106!C301,input_503106!A:H,8,FALSE))</f>
        <v>56400</v>
      </c>
      <c r="P301" s="46">
        <f t="shared" ca="1" si="13"/>
        <v>4.615384615386872E-4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input_503106!A$2</f>
        <v>503106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IFERROR(VLOOKUP(B302,input_503106!L:R,7,FALSE),VLOOKUP(tables_503106!C302,input_503106!A:H,8,FALSE))</f>
        <v>56400</v>
      </c>
      <c r="P302" s="46">
        <f t="shared" ca="1" si="13"/>
        <v>4.615384615386872E-4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input_503106!A$2</f>
        <v>503106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IFERROR(VLOOKUP(B303,input_503106!L:R,7,FALSE),VLOOKUP(tables_503106!C303,input_503106!A:H,8,FALSE))</f>
        <v>1196288.8888900001</v>
      </c>
      <c r="P303" s="46">
        <f t="shared" ca="1" si="13"/>
        <v>9.7895981087609257E-3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input_503106!A$2</f>
        <v>503106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IFERROR(VLOOKUP(B304,input_503106!L:R,7,FALSE),VLOOKUP(tables_503106!C304,input_503106!A:H,8,FALSE))</f>
        <v>9533.3333299999995</v>
      </c>
      <c r="P304" s="46">
        <f t="shared" ca="1" si="13"/>
        <v>7.8014184369923573E-5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input_503106!A$2</f>
        <v>503106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IFERROR(VLOOKUP(B305,input_503106!L:R,7,FALSE),VLOOKUP(tables_503106!C305,input_503106!A:H,8,FALSE))</f>
        <v>56400</v>
      </c>
      <c r="P305" s="46">
        <f t="shared" ca="1" si="13"/>
        <v>4.615384615386872E-4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input_503106!A$2</f>
        <v>503106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IFERROR(VLOOKUP(B306,input_503106!L:R,7,FALSE),VLOOKUP(tables_503106!C306,input_503106!A:H,8,FALSE))</f>
        <v>1196288.8888900001</v>
      </c>
      <c r="P306" s="46">
        <f t="shared" ca="1" si="13"/>
        <v>9.7895981087609257E-3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input_503106!A$2</f>
        <v>503106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IFERROR(VLOOKUP(B307,input_503106!L:R,7,FALSE),VLOOKUP(tables_503106!C307,input_503106!A:H,8,FALSE))</f>
        <v>9533.3333299999995</v>
      </c>
      <c r="P307" s="46">
        <f t="shared" ca="1" si="13"/>
        <v>7.8014184369923573E-5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input_503106!A$2</f>
        <v>503106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IFERROR(VLOOKUP(B308,input_503106!L:R,7,FALSE),VLOOKUP(tables_503106!C308,input_503106!A:H,8,FALSE))</f>
        <v>56400</v>
      </c>
      <c r="P308" s="46">
        <f t="shared" ca="1" si="13"/>
        <v>4.615384615386872E-4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input_503106!A$2</f>
        <v>503106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IFERROR(VLOOKUP(B309,input_503106!L:R,7,FALSE),VLOOKUP(tables_503106!C309,input_503106!A:H,8,FALSE))</f>
        <v>56400</v>
      </c>
      <c r="P309" s="46">
        <f t="shared" ca="1" si="13"/>
        <v>4.615384615386872E-4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input_503106!A$2</f>
        <v>503106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IFERROR(VLOOKUP(B310,input_503106!L:R,7,FALSE),VLOOKUP(tables_503106!C310,input_503106!A:H,8,FALSE))</f>
        <v>56400</v>
      </c>
      <c r="P310" s="46">
        <f t="shared" ca="1" si="13"/>
        <v>4.615384615386872E-4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input_503106!A$2</f>
        <v>503106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IFERROR(VLOOKUP(B311,input_503106!L:R,7,FALSE),VLOOKUP(tables_503106!C311,input_503106!A:H,8,FALSE))</f>
        <v>1196288.8888900001</v>
      </c>
      <c r="P311" s="46">
        <f t="shared" ca="1" si="13"/>
        <v>9.7895981087609257E-3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input_503106!A$2</f>
        <v>503106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IFERROR(VLOOKUP(B312,input_503106!L:R,7,FALSE),VLOOKUP(tables_503106!C312,input_503106!A:H,8,FALSE))</f>
        <v>9533.3333299999995</v>
      </c>
      <c r="P312" s="46">
        <f t="shared" ca="1" si="13"/>
        <v>7.8014184369923573E-5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input_503106!A$2</f>
        <v>503106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IFERROR(VLOOKUP(B313,input_503106!L:R,7,FALSE),VLOOKUP(tables_503106!C313,input_503106!A:H,8,FALSE))</f>
        <v>56400</v>
      </c>
      <c r="P313" s="46">
        <f t="shared" ca="1" si="13"/>
        <v>4.615384615386872E-4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input_503106!A$2</f>
        <v>503106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IFERROR(VLOOKUP(B314,input_503106!L:R,7,FALSE),VLOOKUP(tables_503106!C314,input_503106!A:H,8,FALSE))</f>
        <v>56400</v>
      </c>
      <c r="P314" s="46">
        <f t="shared" ca="1" si="13"/>
        <v>4.615384615386872E-4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input_503106!A$2</f>
        <v>503106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IFERROR(VLOOKUP(B315,input_503106!L:R,7,FALSE),VLOOKUP(tables_503106!C315,input_503106!A:H,8,FALSE))</f>
        <v>56400</v>
      </c>
      <c r="P315" s="46">
        <f t="shared" ca="1" si="13"/>
        <v>4.615384615386872E-4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input_503106!A$2</f>
        <v>503106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IFERROR(VLOOKUP(B316,input_503106!L:R,7,FALSE),VLOOKUP(tables_503106!C316,input_503106!A:H,8,FALSE))</f>
        <v>56400</v>
      </c>
      <c r="P316" s="46">
        <f t="shared" ca="1" si="13"/>
        <v>4.615384615386872E-4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input_503106!A$2</f>
        <v>503106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IFERROR(VLOOKUP(B317,input_503106!L:R,7,FALSE),VLOOKUP(tables_503106!C317,input_503106!A:H,8,FALSE))</f>
        <v>56400</v>
      </c>
      <c r="P317" s="46">
        <f t="shared" ca="1" si="13"/>
        <v>4.615384615386872E-4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input_503106!A$2</f>
        <v>503106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IFERROR(VLOOKUP(B318,input_503106!L:R,7,FALSE),VLOOKUP(tables_503106!C318,input_503106!A:H,8,FALSE))</f>
        <v>1196288.8888900001</v>
      </c>
      <c r="P318" s="46">
        <f t="shared" ca="1" si="13"/>
        <v>9.7895981087609257E-3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input_503106!A$2</f>
        <v>503106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IFERROR(VLOOKUP(B319,input_503106!L:R,7,FALSE),VLOOKUP(tables_503106!C319,input_503106!A:H,8,FALSE))</f>
        <v>9533.3333299999995</v>
      </c>
      <c r="P319" s="46">
        <f t="shared" ca="1" si="13"/>
        <v>7.8014184369923573E-5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input_503106!A$2</f>
        <v>503106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IFERROR(VLOOKUP(B320,input_503106!L:R,7,FALSE),VLOOKUP(tables_503106!C320,input_503106!A:H,8,FALSE))</f>
        <v>56400</v>
      </c>
      <c r="P320" s="46">
        <f t="shared" ca="1" si="13"/>
        <v>4.615384615386872E-4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input_503106!A$2</f>
        <v>503106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IFERROR(VLOOKUP(B321,input_503106!L:R,7,FALSE),VLOOKUP(tables_503106!C321,input_503106!A:H,8,FALSE))</f>
        <v>56400</v>
      </c>
      <c r="P321" s="46">
        <f t="shared" ca="1" si="13"/>
        <v>4.615384615386872E-4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input_503106!A$2</f>
        <v>503106</v>
      </c>
      <c r="B322" s="5">
        <v>1139</v>
      </c>
      <c r="C322" s="7" t="str">
        <f t="shared" ref="C322:C346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IFERROR(VLOOKUP(B322,input_503106!L:R,7,FALSE),VLOOKUP(tables_503106!C322,input_503106!A:H,8,FALSE))</f>
        <v>56400</v>
      </c>
      <c r="P322" s="46">
        <f t="shared" ref="P322:P346" ca="1" si="16">O322/SUM(O:O)</f>
        <v>4.615384615386872E-4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input_503106!A$2</f>
        <v>503106</v>
      </c>
      <c r="B323" s="5">
        <v>1141</v>
      </c>
      <c r="C323" s="7" t="str">
        <f t="shared" si="15"/>
        <v>PremiumSS5R5only</v>
      </c>
      <c r="D323" s="7" t="str">
        <f t="shared" ref="D323:D346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IFERROR(VLOOKUP(B323,input_503106!L:R,7,FALSE),VLOOKUP(tables_503106!C323,input_503106!A:H,8,FALSE))</f>
        <v>56400</v>
      </c>
      <c r="P323" s="46">
        <f t="shared" ca="1" si="16"/>
        <v>4.615384615386872E-4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input_503106!A$2</f>
        <v>503106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IFERROR(VLOOKUP(B324,input_503106!L:R,7,FALSE),VLOOKUP(tables_503106!C324,input_503106!A:H,8,FALSE))</f>
        <v>1196288.8888900001</v>
      </c>
      <c r="P324" s="46">
        <f t="shared" ca="1" si="16"/>
        <v>9.7895981087609257E-3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input_503106!A$2</f>
        <v>503106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IFERROR(VLOOKUP(B325,input_503106!L:R,7,FALSE),VLOOKUP(tables_503106!C325,input_503106!A:H,8,FALSE))</f>
        <v>9533.3333299999995</v>
      </c>
      <c r="P325" s="46">
        <f t="shared" ca="1" si="16"/>
        <v>7.8014184369923573E-5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input_503106!A$2</f>
        <v>503106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IFERROR(VLOOKUP(B326,input_503106!L:R,7,FALSE),VLOOKUP(tables_503106!C326,input_503106!A:H,8,FALSE))</f>
        <v>1196288.8888900001</v>
      </c>
      <c r="P326" s="46">
        <f t="shared" ca="1" si="16"/>
        <v>9.7895981087609257E-3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input_503106!A$2</f>
        <v>503106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IFERROR(VLOOKUP(B327,input_503106!L:R,7,FALSE),VLOOKUP(tables_503106!C327,input_503106!A:H,8,FALSE))</f>
        <v>9533.3333299999995</v>
      </c>
      <c r="P327" s="46">
        <f t="shared" ca="1" si="16"/>
        <v>7.8014184369923573E-5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input_503106!A$2</f>
        <v>503106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IFERROR(VLOOKUP(B328,input_503106!L:R,7,FALSE),VLOOKUP(tables_503106!C328,input_503106!A:H,8,FALSE))</f>
        <v>56400</v>
      </c>
      <c r="P328" s="46">
        <f t="shared" ca="1" si="16"/>
        <v>4.615384615386872E-4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input_503106!A$2</f>
        <v>503106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IFERROR(VLOOKUP(B329,input_503106!L:R,7,FALSE),VLOOKUP(tables_503106!C329,input_503106!A:H,8,FALSE))</f>
        <v>56400</v>
      </c>
      <c r="P329" s="46">
        <f t="shared" ca="1" si="16"/>
        <v>4.615384615386872E-4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input_503106!A$2</f>
        <v>503106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IFERROR(VLOOKUP(B330,input_503106!L:R,7,FALSE),VLOOKUP(tables_503106!C330,input_503106!A:H,8,FALSE))</f>
        <v>56400</v>
      </c>
      <c r="P330" s="46">
        <f t="shared" ca="1" si="16"/>
        <v>4.615384615386872E-4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input_503106!A$2</f>
        <v>503106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IFERROR(VLOOKUP(B331,input_503106!L:R,7,FALSE),VLOOKUP(tables_503106!C331,input_503106!A:H,8,FALSE))</f>
        <v>56400</v>
      </c>
      <c r="P331" s="46">
        <f t="shared" ca="1" si="16"/>
        <v>4.615384615386872E-4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input_503106!A$2</f>
        <v>503106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IFERROR(VLOOKUP(B332,input_503106!L:R,7,FALSE),VLOOKUP(tables_503106!C332,input_503106!A:H,8,FALSE))</f>
        <v>56400</v>
      </c>
      <c r="P332" s="46">
        <f t="shared" ca="1" si="16"/>
        <v>4.615384615386872E-4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input_503106!A$2</f>
        <v>503106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IFERROR(VLOOKUP(B333,input_503106!L:R,7,FALSE),VLOOKUP(tables_503106!C333,input_503106!A:H,8,FALSE))</f>
        <v>56400</v>
      </c>
      <c r="P333" s="46">
        <f t="shared" ca="1" si="16"/>
        <v>4.615384615386872E-4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input_503106!A$2</f>
        <v>503106</v>
      </c>
      <c r="B334" s="89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IFERROR(VLOOKUP(B334,input_503106!L:R,7,FALSE),VLOOKUP(tables_503106!C334,input_503106!A:H,8,FALSE))</f>
        <v>1196288.8888900001</v>
      </c>
      <c r="P334" s="46">
        <f t="shared" ca="1" si="16"/>
        <v>9.7895981087609257E-3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input_503106!A$2</f>
        <v>503106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IFERROR(VLOOKUP(B335,input_503106!L:R,7,FALSE),VLOOKUP(tables_503106!C335,input_503106!A:H,8,FALSE))</f>
        <v>9533.3333299999995</v>
      </c>
      <c r="P335" s="46">
        <f t="shared" ca="1" si="16"/>
        <v>7.8014184369923573E-5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input_503106!A$2</f>
        <v>503106</v>
      </c>
      <c r="B336" s="60">
        <v>1228</v>
      </c>
      <c r="C336" s="7" t="str">
        <f t="shared" si="15"/>
        <v>PremiumSS5R5only</v>
      </c>
      <c r="D336" s="93" t="str">
        <f t="shared" si="17"/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IFERROR(VLOOKUP(B336,input_503106!L:R,7,FALSE),VLOOKUP(tables_503106!C336,input_503106!A:H,8,FALSE))</f>
        <v>56400</v>
      </c>
      <c r="P336" s="46">
        <f t="shared" ca="1" si="16"/>
        <v>4.615384615386872E-4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input_503106!A$2</f>
        <v>503106</v>
      </c>
      <c r="B337" s="60">
        <v>1226</v>
      </c>
      <c r="C337" s="7" t="str">
        <f t="shared" si="15"/>
        <v>PremiumSS5R5only</v>
      </c>
      <c r="D337" s="93" t="str">
        <f t="shared" si="17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IFERROR(VLOOKUP(B337,input_503106!L:R,7,FALSE),VLOOKUP(tables_503106!C337,input_503106!A:H,8,FALSE))</f>
        <v>56400</v>
      </c>
      <c r="P337" s="46">
        <f t="shared" ca="1" si="16"/>
        <v>4.615384615386872E-4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input_503106!A$2</f>
        <v>503106</v>
      </c>
      <c r="B338" s="60">
        <v>1230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IFERROR(VLOOKUP(B338,input_503106!L:R,7,FALSE),VLOOKUP(tables_503106!C338,input_503106!A:H,8,FALSE))</f>
        <v>56400</v>
      </c>
      <c r="P338" s="46">
        <f t="shared" ca="1" si="16"/>
        <v>4.615384615386872E-4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input_503106!A$2</f>
        <v>503106</v>
      </c>
      <c r="B339" s="89">
        <v>1224</v>
      </c>
      <c r="C339" s="7" t="str">
        <f t="shared" si="15"/>
        <v>Premium4R3less</v>
      </c>
      <c r="D339" s="93" t="str">
        <f t="shared" si="17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IFERROR(VLOOKUP(B339,input_503106!L:R,7,FALSE),VLOOKUP(tables_503106!C339,input_503106!A:H,8,FALSE))</f>
        <v>1196288.8888900001</v>
      </c>
      <c r="P339" s="46">
        <f t="shared" ca="1" si="16"/>
        <v>9.7895981087609257E-3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input_503106!A$2</f>
        <v>503106</v>
      </c>
      <c r="B340" s="60">
        <v>1225</v>
      </c>
      <c r="C340" s="7" t="str">
        <f t="shared" si="15"/>
        <v>Premium5R3less</v>
      </c>
      <c r="D340" s="93" t="str">
        <f t="shared" si="17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IFERROR(VLOOKUP(B340,input_503106!L:R,7,FALSE),VLOOKUP(tables_503106!C340,input_503106!A:H,8,FALSE))</f>
        <v>9533.3333299999995</v>
      </c>
      <c r="P340" s="46">
        <f t="shared" ca="1" si="16"/>
        <v>7.8014184369923573E-5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input_503106!A$2</f>
        <v>503106</v>
      </c>
      <c r="B341" s="1">
        <v>1250</v>
      </c>
      <c r="C341" s="7" t="str">
        <f t="shared" si="15"/>
        <v>PremiumSS5R5only</v>
      </c>
      <c r="D341" s="93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IFERROR(VLOOKUP(B341,input_503106!L:R,7,FALSE),VLOOKUP(tables_503106!C341,input_503106!A:H,8,FALSE))</f>
        <v>56400</v>
      </c>
      <c r="P341" s="46">
        <f t="shared" ca="1" si="16"/>
        <v>4.615384615386872E-4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input_503106!A$2</f>
        <v>503106</v>
      </c>
      <c r="B342" s="1">
        <v>1244</v>
      </c>
      <c r="C342" s="7" t="str">
        <f t="shared" si="15"/>
        <v>PremiumSS5R5only</v>
      </c>
      <c r="D342" s="93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IFERROR(VLOOKUP(B342,input_503106!L:R,7,FALSE),VLOOKUP(tables_503106!C342,input_503106!A:H,8,FALSE))</f>
        <v>56400</v>
      </c>
      <c r="P342" s="46">
        <f t="shared" ca="1" si="16"/>
        <v>4.615384615386872E-4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input_503106!A$2</f>
        <v>503106</v>
      </c>
      <c r="B343" s="1">
        <v>1246</v>
      </c>
      <c r="C343" s="7" t="str">
        <f t="shared" si="15"/>
        <v>PremiumSS5R5only</v>
      </c>
      <c r="D343" s="93" t="str">
        <f t="shared" si="17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IFERROR(VLOOKUP(B343,input_503106!L:R,7,FALSE),VLOOKUP(tables_503106!C343,input_503106!A:H,8,FALSE))</f>
        <v>56400</v>
      </c>
      <c r="P343" s="46">
        <f t="shared" ca="1" si="16"/>
        <v>4.615384615386872E-4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input_503106!A$2</f>
        <v>503106</v>
      </c>
      <c r="B344" s="1">
        <v>1248</v>
      </c>
      <c r="C344" s="7" t="str">
        <f t="shared" si="15"/>
        <v>Premium4R3less</v>
      </c>
      <c r="D344" s="93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IFERROR(VLOOKUP(B344,input_503106!L:R,7,FALSE),VLOOKUP(tables_503106!C344,input_503106!A:H,8,FALSE))</f>
        <v>1196288.8888900001</v>
      </c>
      <c r="P344" s="46">
        <f t="shared" ca="1" si="16"/>
        <v>9.7895981087609257E-3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input_503106!A$2</f>
        <v>503106</v>
      </c>
      <c r="B345" s="1">
        <v>1249</v>
      </c>
      <c r="C345" s="7" t="str">
        <f t="shared" si="15"/>
        <v>Premium5R3less</v>
      </c>
      <c r="D345" s="93" t="str">
        <f t="shared" si="17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IFERROR(VLOOKUP(B345,input_503106!L:R,7,FALSE),VLOOKUP(tables_503106!C345,input_503106!A:H,8,FALSE))</f>
        <v>9533.3333299999995</v>
      </c>
      <c r="P345" s="46">
        <f t="shared" ca="1" si="16"/>
        <v>7.8014184369923573E-5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input_503106!A$2</f>
        <v>503106</v>
      </c>
      <c r="B346" s="1">
        <v>955</v>
      </c>
      <c r="C346" s="7" t="str">
        <f t="shared" si="15"/>
        <v>PremiumSSS5R3less</v>
      </c>
      <c r="D346" s="93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45">
        <f>IFERROR(VLOOKUP(B346,input_503106!L:R,7,FALSE),VLOOKUP(tables_503106!C346,input_503106!A:H,8,FALSE))</f>
        <v>2444000</v>
      </c>
      <c r="P346" s="46">
        <f t="shared" ca="1" si="16"/>
        <v>2.0000000000009781E-2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</sheetData>
  <autoFilter ref="A1:V29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theme="5"/>
  </sheetPr>
  <dimension ref="A1:V49"/>
  <sheetViews>
    <sheetView workbookViewId="0">
      <selection activeCell="I47" sqref="I4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955</v>
      </c>
      <c r="M3" s="37" t="str">
        <f>VLOOKUP(L3,[1]characters!$A:$C,3,FALSE)</f>
        <v>マクローリン</v>
      </c>
      <c r="N3" s="63">
        <v>2.4E-2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VLOOKUP(L3,tables_503100!B:C,2,FALSE)</f>
        <v>PremiumSSS5R3less</v>
      </c>
      <c r="R3" s="62">
        <f t="shared" ref="R3:R20" si="1">N3*A$36</f>
        <v>2932800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VLOOKUP(L4,tables_503100!B:C,2,FALSE)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4.0000000000000002E-4</v>
      </c>
      <c r="F5">
        <f>(COUNTIF(tables_503100!C:C,input_503100!A28)+COUNTIF(tables_503100!C:C,input_503100!A29))</f>
        <v>66</v>
      </c>
      <c r="H5" s="84">
        <v>2.4E-2</v>
      </c>
      <c r="I5" s="31">
        <v>1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VLOOKUP(L5,tables_503100!B:C,2,FALSE)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9.8510638297872339E-3</v>
      </c>
      <c r="F6">
        <f>(COUNTIF(tables_503100!C:C,input_503100!A25)+COUNTIF(tables_503100!C:C,input_503100!A18)+COUNTIF(tables_503100!C:C,input_503100!A20)+COUNTIF(tables_503100!C:C,input_503100!A22))</f>
        <v>94</v>
      </c>
      <c r="H6" s="88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VLOOKUP(L6,tables_503100!B:C,2,FALSE)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VLOOKUP(L7,tables_503100!B:C,2,FALSE)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0.92599999999999993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2.4E-2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COUNTIF(tables_503100!C:C,input_503100!A17)-COUNTIF(Q:Q,A17)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0.24618553191358583</v>
      </c>
      <c r="C18" s="85">
        <f t="shared" si="2"/>
        <v>0</v>
      </c>
      <c r="D18" s="74">
        <f t="shared" si="3"/>
        <v>0.24618553191358583</v>
      </c>
      <c r="E18">
        <f>COUNTIF(tables_503100!C:C,input_503100!A18)-COUNTIF(Q:Q,A18)</f>
        <v>20</v>
      </c>
      <c r="F18" s="43">
        <f>IFERROR(B18/E18,0)</f>
        <v>1.2309276595679292E-2</v>
      </c>
      <c r="G18">
        <f t="shared" si="4"/>
        <v>30083871.999840189</v>
      </c>
      <c r="H18">
        <f t="shared" si="5"/>
        <v>1504193.59999</v>
      </c>
      <c r="I18">
        <f t="shared" si="6"/>
        <v>0.59999000001698732</v>
      </c>
      <c r="J18">
        <f t="shared" si="7"/>
        <v>1.6666944448602266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COUNTIF(tables_503100!C:C,input_503100!A19)-COUNTIF(Q:Q,A19)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E$6*E20*B$6-0.03</f>
        <v>0.45664255319148939</v>
      </c>
      <c r="C20" s="85">
        <f t="shared" si="2"/>
        <v>0</v>
      </c>
      <c r="D20" s="74">
        <f t="shared" si="3"/>
        <v>0.45664255319148939</v>
      </c>
      <c r="E20">
        <f>COUNTIF(tables_503100!C:C,input_503100!A20)-COUNTIF(Q:Q,A20)</f>
        <v>52</v>
      </c>
      <c r="F20" s="43">
        <f t="shared" si="8"/>
        <v>8.781587561374796E-3</v>
      </c>
      <c r="G20">
        <f t="shared" si="4"/>
        <v>55801720</v>
      </c>
      <c r="H20">
        <f t="shared" si="5"/>
        <v>1073110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6.4485106389525829E-3</v>
      </c>
      <c r="C21" s="85">
        <f t="shared" si="2"/>
        <v>0</v>
      </c>
      <c r="D21" s="74">
        <f t="shared" si="3"/>
        <v>6.4485106389525829E-3</v>
      </c>
      <c r="E21">
        <f>COUNTIF(tables_503100!C:C,input_503100!A21)-COUNTIF(Q:Q,A21)</f>
        <v>52</v>
      </c>
      <c r="F21" s="43">
        <f t="shared" si="8"/>
        <v>1.2400981997985735E-4</v>
      </c>
      <c r="G21">
        <f t="shared" si="4"/>
        <v>788008.00008000562</v>
      </c>
      <c r="H21">
        <f t="shared" si="5"/>
        <v>15154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0.17549787234042552</v>
      </c>
      <c r="C22" s="85">
        <f t="shared" si="2"/>
        <v>0</v>
      </c>
      <c r="D22" s="74">
        <f t="shared" si="3"/>
        <v>0.17549787234042552</v>
      </c>
      <c r="E22">
        <f>COUNTIF(tables_503100!C:C,input_503100!A22)-COUNTIF(Q:Q,A22)</f>
        <v>18</v>
      </c>
      <c r="F22" s="43">
        <f t="shared" si="8"/>
        <v>9.7498817966903059E-3</v>
      </c>
      <c r="G22">
        <f t="shared" si="4"/>
        <v>21445840</v>
      </c>
      <c r="H22">
        <f t="shared" si="5"/>
        <v>1191435.55556</v>
      </c>
      <c r="I22">
        <f t="shared" si="6"/>
        <v>0.55556000000797212</v>
      </c>
      <c r="J22">
        <f t="shared" si="7"/>
        <v>1.7999856000893699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E23*E6*B7-0.01</f>
        <v>1.8212765957446812E-3</v>
      </c>
      <c r="C23" s="85">
        <f t="shared" si="2"/>
        <v>0</v>
      </c>
      <c r="D23" s="74">
        <f t="shared" si="3"/>
        <v>1.8212765957446812E-3</v>
      </c>
      <c r="E23">
        <f>COUNTIF(tables_503100!C:C,input_503100!A23)-COUNTIF(Q:Q,A23)</f>
        <v>24</v>
      </c>
      <c r="F23" s="43">
        <f t="shared" si="8"/>
        <v>7.5886524822695053E-5</v>
      </c>
      <c r="G23">
        <f t="shared" si="4"/>
        <v>222560.00000000003</v>
      </c>
      <c r="H23">
        <f t="shared" si="5"/>
        <v>9273.3333299999995</v>
      </c>
      <c r="I23">
        <f t="shared" si="6"/>
        <v>0.33332999999947788</v>
      </c>
      <c r="J23">
        <f t="shared" si="7"/>
        <v>3.0000300003047022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COUNTIF(tables_503100!C:C,input_503100!A24)-COUNTIF(Q:Q,A24)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3.7434042553191486E-2</v>
      </c>
      <c r="C25" s="85">
        <f t="shared" si="2"/>
        <v>0</v>
      </c>
      <c r="D25" s="74">
        <f t="shared" si="3"/>
        <v>3.7434042553191486E-2</v>
      </c>
      <c r="E25">
        <f>COUNTIF(tables_503100!C:C,input_503100!A25)-COUNTIF(Q:Q,A25)</f>
        <v>4</v>
      </c>
      <c r="F25" s="43">
        <f t="shared" si="8"/>
        <v>9.3585106382978716E-3</v>
      </c>
      <c r="G25">
        <f t="shared" si="4"/>
        <v>4574440</v>
      </c>
      <c r="H25">
        <f t="shared" si="5"/>
        <v>1143610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1.970212765957447E-3</v>
      </c>
      <c r="C26" s="85">
        <f t="shared" si="2"/>
        <v>0</v>
      </c>
      <c r="D26" s="74">
        <f t="shared" si="3"/>
        <v>1.970212765957447E-3</v>
      </c>
      <c r="E26">
        <f>COUNTIF(tables_503100!C:C,input_503100!A26)-COUNTIF(Q:Q,A26)</f>
        <v>4</v>
      </c>
      <c r="F26" s="43">
        <f t="shared" si="8"/>
        <v>4.9255319148936176E-4</v>
      </c>
      <c r="G26">
        <f t="shared" si="4"/>
        <v>240760.00000000003</v>
      </c>
      <c r="H26">
        <f t="shared" si="5"/>
        <v>60190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3.4239999999999993E-2</v>
      </c>
      <c r="C27" s="85">
        <f t="shared" si="2"/>
        <v>0</v>
      </c>
      <c r="D27" s="74">
        <f t="shared" si="3"/>
        <v>3.4239999999999993E-2</v>
      </c>
      <c r="E27">
        <f>COUNTIF(tables_503100!C:C,input_503100!A27)-COUNTIF(Q:Q,A27)</f>
        <v>28</v>
      </c>
      <c r="F27" s="43">
        <f>IFERROR(B27/E27,0)</f>
        <v>1.2228571428571425E-3</v>
      </c>
      <c r="G27">
        <f t="shared" si="4"/>
        <v>4184127.9999999991</v>
      </c>
      <c r="H27">
        <f t="shared" si="5"/>
        <v>149433.14285999999</v>
      </c>
      <c r="I27">
        <f t="shared" si="6"/>
        <v>0.14285999999265186</v>
      </c>
      <c r="J27">
        <f t="shared" si="7"/>
        <v>6.9998600031599878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E$5*E28*B$7+G50</f>
        <v>5.6000000000000006E-4</v>
      </c>
      <c r="C28" s="85">
        <f t="shared" si="2"/>
        <v>0</v>
      </c>
      <c r="D28" s="74">
        <f t="shared" si="3"/>
        <v>5.6000000000000006E-4</v>
      </c>
      <c r="E28">
        <f>COUNTIF(tables_503100!C:C,input_503100!A28)-COUNTIF(Q:Q,A28)</f>
        <v>28</v>
      </c>
      <c r="F28" s="43">
        <f t="shared" si="8"/>
        <v>2.0000000000000002E-5</v>
      </c>
      <c r="G28">
        <f t="shared" si="4"/>
        <v>68432</v>
      </c>
      <c r="H28">
        <f t="shared" si="5"/>
        <v>2444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1.52E-2</v>
      </c>
      <c r="C29" s="85">
        <f t="shared" si="2"/>
        <v>0</v>
      </c>
      <c r="D29" s="74">
        <f t="shared" si="3"/>
        <v>1.52E-2</v>
      </c>
      <c r="E29">
        <f>COUNTIF(tables_503100!C:C,input_503100!A29)-COUNTIF(Q:Q,A29)</f>
        <v>38</v>
      </c>
      <c r="F29" s="43">
        <f t="shared" si="8"/>
        <v>4.0000000000000002E-4</v>
      </c>
      <c r="G29">
        <f t="shared" si="4"/>
        <v>1857440</v>
      </c>
      <c r="H29">
        <f t="shared" si="5"/>
        <v>48880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COUNTIF(tables_503100!C:C,input_503100!A30)-COUNTIF(Q:Q,A30)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2.4E-2</v>
      </c>
      <c r="D31" s="74">
        <f t="shared" si="3"/>
        <v>-2.4E-2</v>
      </c>
      <c r="E31">
        <f>COUNTIF(tables_503100!C:C,input_503100!A31)-COUNTIF(Q:Q,A31)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0.97599999999934695</v>
      </c>
      <c r="C32" s="41">
        <f>SUM(C19:C31)</f>
        <v>2.4E-2</v>
      </c>
      <c r="D32" s="42">
        <f t="shared" si="3"/>
        <v>0.95199999999934692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2.916425531784117E-2</v>
      </c>
      <c r="F34" s="55">
        <f ca="1">0.95-G41</f>
        <v>3.2918112680135891E-13</v>
      </c>
    </row>
    <row r="35" spans="1:7" x14ac:dyDescent="0.15">
      <c r="A35" t="s">
        <v>73</v>
      </c>
      <c r="E35">
        <v>2.3999999999345295E-2</v>
      </c>
      <c r="F35">
        <f ca="1">G42-0.05</f>
        <v>-6.5467076204583918E-13</v>
      </c>
    </row>
    <row r="36" spans="1:7" x14ac:dyDescent="0.15">
      <c r="A36" s="31">
        <f>LCM(F5-I5,F6-I6)*1000*2*2*5</f>
        <v>122200000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SUMIF(tables_503100!C:C,input_503100!A40,tables_503100!O:O)</f>
        <v>0</v>
      </c>
      <c r="C40" s="54">
        <f t="shared" ref="C40:C46" ca="1" si="9">B40/B$47</f>
        <v>0</v>
      </c>
      <c r="E40">
        <v>3</v>
      </c>
      <c r="F40">
        <f ca="1">SUMIF(tables_503100!J:J,input_503100!E40,tables_503100!O:O)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SUMIF(tables_503100!C:C,input_503100!A41,tables_503100!O:O)</f>
        <v>55801720</v>
      </c>
      <c r="C41" s="54">
        <f t="shared" ca="1" si="9"/>
        <v>0.91715354294247831</v>
      </c>
      <c r="E41">
        <v>4</v>
      </c>
      <c r="F41">
        <f ca="1">SUMIF(tables_503100!J:J,input_503100!E41,tables_503100!O:O)</f>
        <v>116089999.99995977</v>
      </c>
      <c r="G41">
        <f ca="1">F41/A36</f>
        <v>0.94999999999967077</v>
      </c>
    </row>
    <row r="42" spans="1:7" x14ac:dyDescent="0.15">
      <c r="A42" s="33" t="s">
        <v>106</v>
      </c>
      <c r="B42">
        <f ca="1">SUMIF(tables_503100!C:C,input_503100!A42,tables_503100!O:O)</f>
        <v>4184128.0000800001</v>
      </c>
      <c r="C42" s="54">
        <f t="shared" ca="1" si="9"/>
        <v>6.8770063349269481E-2</v>
      </c>
      <c r="E42">
        <v>5</v>
      </c>
      <c r="F42">
        <f ca="1">SUMIF(tables_503100!J:J,input_503100!E42,tables_503100!O:O)</f>
        <v>6109999.9999199994</v>
      </c>
      <c r="G42">
        <f ca="1">F42/A36</f>
        <v>4.9999999999345332E-2</v>
      </c>
    </row>
    <row r="43" spans="1:7" x14ac:dyDescent="0.15">
      <c r="A43" s="33" t="s">
        <v>109</v>
      </c>
      <c r="B43">
        <f>SUMIF(tables_503100!C:C,input_503100!A43,tables_503100!O:O)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SUMIF(tables_503100!C:C,input_503100!A44,tables_503100!O:O)</f>
        <v>788008</v>
      </c>
      <c r="C44" s="54">
        <f t="shared" ca="1" si="9"/>
        <v>1.2951649681533409E-2</v>
      </c>
      <c r="E44" t="s">
        <v>54</v>
      </c>
      <c r="F44" s="55"/>
    </row>
    <row r="45" spans="1:7" x14ac:dyDescent="0.15">
      <c r="A45" s="33" t="s">
        <v>107</v>
      </c>
      <c r="B45">
        <f ca="1">SUMIF(tables_503100!C:C,input_503100!A45,tables_503100!O:O)</f>
        <v>68432</v>
      </c>
      <c r="C45" s="54">
        <f t="shared" ca="1" si="9"/>
        <v>1.1247440267188838E-3</v>
      </c>
      <c r="E45" t="s">
        <v>204</v>
      </c>
      <c r="F45" s="55">
        <f ca="1">SUMIF(tables_503100!I:I,input_503100!E45,tables_503100!P:P)</f>
        <v>0.24664085106227171</v>
      </c>
    </row>
    <row r="46" spans="1:7" x14ac:dyDescent="0.15">
      <c r="A46" s="33" t="s">
        <v>108</v>
      </c>
      <c r="B46">
        <f>SUMIF(tables_503100!C:C,input_503100!A46,tables_503100!O:O)</f>
        <v>0</v>
      </c>
      <c r="C46" s="54">
        <f t="shared" ca="1" si="9"/>
        <v>0</v>
      </c>
      <c r="E46" t="s">
        <v>205</v>
      </c>
      <c r="F46" s="55">
        <f ca="1">SUMIF(tables_503100!I:I,input_503100!E46,tables_503100!P:P)</f>
        <v>0.18094834697235457</v>
      </c>
    </row>
    <row r="47" spans="1:7" x14ac:dyDescent="0.15">
      <c r="A47" s="39" t="s">
        <v>59</v>
      </c>
      <c r="B47">
        <f ca="1">SUM(B40:B46)</f>
        <v>60842288.000079997</v>
      </c>
      <c r="C47" s="55">
        <f ca="1">SUM(C40:C46)</f>
        <v>1</v>
      </c>
      <c r="E47" t="s">
        <v>206</v>
      </c>
      <c r="F47" s="55">
        <f ca="1">SUMIF(tables_503100!I:I,input_503100!E47,tables_503100!P:P)</f>
        <v>0.4984108019646471</v>
      </c>
    </row>
    <row r="48" spans="1:7" x14ac:dyDescent="0.15">
      <c r="E48" t="s">
        <v>207</v>
      </c>
      <c r="F48" s="55">
        <f ca="1">SUMIF(tables_503100!I:I,input_503100!E48,tables_503100!P:P)</f>
        <v>4.7200000000701049E-2</v>
      </c>
      <c r="G48" s="55">
        <f ca="1">0.05-F48-F49</f>
        <v>-7.0379856456637135E-13</v>
      </c>
    </row>
    <row r="49" spans="5:7" x14ac:dyDescent="0.15">
      <c r="E49" t="s">
        <v>246</v>
      </c>
      <c r="F49" s="55">
        <f ca="1">SUMIF(tables_503100!I:I,input_503100!E49,tables_503100!P:P)</f>
        <v>2.8000000000027521E-3</v>
      </c>
      <c r="G49">
        <v>2.3599999999999993E-2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 enableFormatConditionsCalculation="0">
    <tabColor rgb="FF0000FF"/>
    <outlinePr summaryBelow="0" summaryRight="0"/>
  </sheetPr>
  <dimension ref="A1:V346"/>
  <sheetViews>
    <sheetView showGridLines="0" zoomScale="75" zoomScaleNormal="75" zoomScalePageLayoutView="75" workbookViewId="0">
      <pane ySplit="1" topLeftCell="A308" activePane="bottomLeft" state="frozen"/>
      <selection activeCell="D34" sqref="D34"/>
      <selection pane="bottomLeft" activeCell="X348" sqref="X34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input_503100!A$2</f>
        <v>503100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IFERROR(VLOOKUP(B2,input_503100!L:R,7,FALSE),VLOOKUP(tables_503100!C2,input_503100!A:H,8,FALSE))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input_503100!A$2</f>
        <v>503100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IFERROR(VLOOKUP(B3,input_503100!L:R,7,FALSE),VLOOKUP(tables_503100!C3,input_503100!A:H,8,FALSE))</f>
        <v>1504193.59999</v>
      </c>
      <c r="P3" s="46">
        <f t="shared" ca="1" si="1"/>
        <v>1.2309276595674946E-2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input_503100!A$2</f>
        <v>503100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IFERROR(VLOOKUP(B4,input_503100!L:R,7,FALSE),VLOOKUP(tables_503100!C4,input_503100!A:H,8,FALSE))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input_503100!A$2</f>
        <v>503100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IFERROR(VLOOKUP(B5,input_503100!L:R,7,FALSE),VLOOKUP(tables_503100!C5,input_503100!A:H,8,FALSE))</f>
        <v>1504193.59999</v>
      </c>
      <c r="P5" s="46">
        <f t="shared" ca="1" si="1"/>
        <v>1.2309276595674946E-2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input_503100!A$2</f>
        <v>503100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IFERROR(VLOOKUP(B6,input_503100!L:R,7,FALSE),VLOOKUP(tables_503100!C6,input_503100!A:H,8,FALSE))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input_503100!A$2</f>
        <v>503100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IFERROR(VLOOKUP(B7,input_503100!L:R,7,FALSE),VLOOKUP(tables_503100!C7,input_503100!A:H,8,FALSE))</f>
        <v>1504193.59999</v>
      </c>
      <c r="P7" s="46">
        <f t="shared" ca="1" si="1"/>
        <v>1.2309276595674946E-2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input_503100!A$2</f>
        <v>503100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IFERROR(VLOOKUP(B8,input_503100!L:R,7,FALSE),VLOOKUP(tables_503100!C8,input_503100!A:H,8,FALSE))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input_503100!A$2</f>
        <v>503100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IFERROR(VLOOKUP(B9,input_503100!L:R,7,FALSE),VLOOKUP(tables_503100!C9,input_503100!A:H,8,FALSE))</f>
        <v>1504193.59999</v>
      </c>
      <c r="P9" s="46">
        <f t="shared" ca="1" si="1"/>
        <v>1.2309276595674946E-2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input_503100!A$2</f>
        <v>503100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IFERROR(VLOOKUP(B10,input_503100!L:R,7,FALSE),VLOOKUP(tables_503100!C10,input_503100!A:H,8,FALSE))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input_503100!A$2</f>
        <v>503100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IFERROR(VLOOKUP(B11,input_503100!L:R,7,FALSE),VLOOKUP(tables_503100!C11,input_503100!A:H,8,FALSE))</f>
        <v>1504193.59999</v>
      </c>
      <c r="P11" s="46">
        <f t="shared" ca="1" si="1"/>
        <v>1.2309276595674946E-2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input_503100!A$2</f>
        <v>503100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IFERROR(VLOOKUP(B12,input_503100!L:R,7,FALSE),VLOOKUP(tables_503100!C12,input_503100!A:H,8,FALSE))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input_503100!A$2</f>
        <v>503100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IFERROR(VLOOKUP(B13,input_503100!L:R,7,FALSE),VLOOKUP(tables_503100!C13,input_503100!A:H,8,FALSE))</f>
        <v>1504193.59999</v>
      </c>
      <c r="P13" s="46">
        <f t="shared" ca="1" si="1"/>
        <v>1.2309276595674946E-2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input_503100!A$2</f>
        <v>503100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IFERROR(VLOOKUP(B14,input_503100!L:R,7,FALSE),VLOOKUP(tables_503100!C14,input_503100!A:H,8,FALSE))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input_503100!A$2</f>
        <v>503100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IFERROR(VLOOKUP(B15,input_503100!L:R,7,FALSE),VLOOKUP(tables_503100!C15,input_503100!A:H,8,FALSE))</f>
        <v>1504193.59999</v>
      </c>
      <c r="P15" s="46">
        <f t="shared" ca="1" si="1"/>
        <v>1.2309276595674946E-2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input_503100!A$2</f>
        <v>503100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IFERROR(VLOOKUP(B16,input_503100!L:R,7,FALSE),VLOOKUP(tables_503100!C16,input_503100!A:H,8,FALSE))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input_503100!A$2</f>
        <v>503100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IFERROR(VLOOKUP(B17,input_503100!L:R,7,FALSE),VLOOKUP(tables_503100!C17,input_503100!A:H,8,FALSE))</f>
        <v>1504193.59999</v>
      </c>
      <c r="P17" s="46">
        <f t="shared" ca="1" si="1"/>
        <v>1.2309276595674946E-2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input_503100!A$2</f>
        <v>503100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IFERROR(VLOOKUP(B18,input_503100!L:R,7,FALSE),VLOOKUP(tables_503100!C18,input_503100!A:H,8,FALSE))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input_503100!A$2</f>
        <v>503100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IFERROR(VLOOKUP(B19,input_503100!L:R,7,FALSE),VLOOKUP(tables_503100!C19,input_503100!A:H,8,FALSE))</f>
        <v>1504193.59999</v>
      </c>
      <c r="P19" s="46">
        <f t="shared" ca="1" si="1"/>
        <v>1.2309276595674946E-2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input_503100!A$2</f>
        <v>503100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IFERROR(VLOOKUP(B20,input_503100!L:R,7,FALSE),VLOOKUP(tables_503100!C20,input_503100!A:H,8,FALSE))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input_503100!A$2</f>
        <v>503100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IFERROR(VLOOKUP(B21,input_503100!L:R,7,FALSE),VLOOKUP(tables_503100!C21,input_503100!A:H,8,FALSE))</f>
        <v>1504193.59999</v>
      </c>
      <c r="P21" s="46">
        <f t="shared" ca="1" si="1"/>
        <v>1.2309276595674946E-2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input_503100!A$2</f>
        <v>503100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IFERROR(VLOOKUP(B22,input_503100!L:R,7,FALSE),VLOOKUP(tables_503100!C22,input_503100!A:H,8,FALSE))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input_503100!A$2</f>
        <v>503100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IFERROR(VLOOKUP(B23,input_503100!L:R,7,FALSE),VLOOKUP(tables_503100!C23,input_503100!A:H,8,FALSE))</f>
        <v>1504193.59999</v>
      </c>
      <c r="P23" s="46">
        <f t="shared" ca="1" si="1"/>
        <v>1.2309276595674946E-2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input_503100!A$2</f>
        <v>503100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IFERROR(VLOOKUP(B24,input_503100!L:R,7,FALSE),VLOOKUP(tables_503100!C24,input_503100!A:H,8,FALSE))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input_503100!A$2</f>
        <v>503100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IFERROR(VLOOKUP(B25,input_503100!L:R,7,FALSE),VLOOKUP(tables_503100!C25,input_503100!A:H,8,FALSE))</f>
        <v>1504193.59999</v>
      </c>
      <c r="P25" s="46">
        <f t="shared" ca="1" si="1"/>
        <v>1.2309276595674946E-2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input_503100!A$2</f>
        <v>503100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IFERROR(VLOOKUP(B26,input_503100!L:R,7,FALSE),VLOOKUP(tables_503100!C26,input_503100!A:H,8,FALSE))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input_503100!A$2</f>
        <v>503100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IFERROR(VLOOKUP(B27,input_503100!L:R,7,FALSE),VLOOKUP(tables_503100!C27,input_503100!A:H,8,FALSE))</f>
        <v>1504193.59999</v>
      </c>
      <c r="P27" s="46">
        <f t="shared" ca="1" si="1"/>
        <v>1.2309276595674946E-2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input_503100!A$2</f>
        <v>503100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IFERROR(VLOOKUP(B28,input_503100!L:R,7,FALSE),VLOOKUP(tables_503100!C28,input_503100!A:H,8,FALSE))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input_503100!A$2</f>
        <v>503100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IFERROR(VLOOKUP(B29,input_503100!L:R,7,FALSE),VLOOKUP(tables_503100!C29,input_503100!A:H,8,FALSE))</f>
        <v>1504193.59999</v>
      </c>
      <c r="P29" s="46">
        <f t="shared" ca="1" si="1"/>
        <v>1.2309276595674946E-2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input_503100!A$2</f>
        <v>503100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IFERROR(VLOOKUP(B30,input_503100!L:R,7,FALSE),VLOOKUP(tables_503100!C30,input_503100!A:H,8,FALSE))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input_503100!A$2</f>
        <v>503100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IFERROR(VLOOKUP(B31,input_503100!L:R,7,FALSE),VLOOKUP(tables_503100!C31,input_503100!A:H,8,FALSE))</f>
        <v>1504193.59999</v>
      </c>
      <c r="P31" s="46">
        <f t="shared" ca="1" si="1"/>
        <v>1.2309276595674946E-2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input_503100!A$2</f>
        <v>503100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IFERROR(VLOOKUP(B32,input_503100!L:R,7,FALSE),VLOOKUP(tables_503100!C32,input_503100!A:H,8,FALSE))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input_503100!A$2</f>
        <v>503100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IFERROR(VLOOKUP(B33,input_503100!L:R,7,FALSE),VLOOKUP(tables_503100!C33,input_503100!A:H,8,FALSE))</f>
        <v>1504193.59999</v>
      </c>
      <c r="P33" s="46">
        <f t="shared" ca="1" si="1"/>
        <v>1.2309276595674946E-2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input_503100!A$2</f>
        <v>503100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IFERROR(VLOOKUP(B34,input_503100!L:R,7,FALSE),VLOOKUP(tables_503100!C34,input_503100!A:H,8,FALSE))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input_503100!A$2</f>
        <v>503100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IFERROR(VLOOKUP(B35,input_503100!L:R,7,FALSE),VLOOKUP(tables_503100!C35,input_503100!A:H,8,FALSE))</f>
        <v>1504193.59999</v>
      </c>
      <c r="P35" s="46">
        <f t="shared" ca="1" si="1"/>
        <v>1.2309276595674946E-2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input_503100!A$2</f>
        <v>503100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IFERROR(VLOOKUP(B36,input_503100!L:R,7,FALSE),VLOOKUP(tables_503100!C36,input_503100!A:H,8,FALSE))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input_503100!A$2</f>
        <v>503100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IFERROR(VLOOKUP(B37,input_503100!L:R,7,FALSE),VLOOKUP(tables_503100!C37,input_503100!A:H,8,FALSE))</f>
        <v>1504193.59999</v>
      </c>
      <c r="P37" s="46">
        <f t="shared" ca="1" si="1"/>
        <v>1.2309276595674946E-2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input_503100!A$2</f>
        <v>503100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IFERROR(VLOOKUP(B38,input_503100!L:R,7,FALSE),VLOOKUP(tables_503100!C38,input_503100!A:H,8,FALSE))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input_503100!A$2</f>
        <v>503100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IFERROR(VLOOKUP(B39,input_503100!L:R,7,FALSE),VLOOKUP(tables_503100!C39,input_503100!A:H,8,FALSE))</f>
        <v>1504193.59999</v>
      </c>
      <c r="P39" s="46">
        <f t="shared" ca="1" si="1"/>
        <v>1.2309276595674946E-2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input_503100!A$2</f>
        <v>503100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IFERROR(VLOOKUP(B40,input_503100!L:R,7,FALSE),VLOOKUP(tables_503100!C40,input_503100!A:H,8,FALSE))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input_503100!A$2</f>
        <v>503100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IFERROR(VLOOKUP(B41,input_503100!L:R,7,FALSE),VLOOKUP(tables_503100!C41,input_503100!A:H,8,FALSE))</f>
        <v>1504193.59999</v>
      </c>
      <c r="P41" s="46">
        <f t="shared" ca="1" si="1"/>
        <v>1.2309276595674946E-2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input_503100!A$2</f>
        <v>503100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IFERROR(VLOOKUP(B42,input_503100!L:R,7,FALSE),VLOOKUP(tables_503100!C42,input_503100!A:H,8,FALSE))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input_503100!A$2</f>
        <v>503100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IFERROR(VLOOKUP(B43,input_503100!L:R,7,FALSE),VLOOKUP(tables_503100!C43,input_503100!A:H,8,FALSE))</f>
        <v>1143610</v>
      </c>
      <c r="P43" s="46">
        <f t="shared" ca="1" si="1"/>
        <v>9.3585106383070708E-3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input_503100!A$2</f>
        <v>503100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IFERROR(VLOOKUP(B44,input_503100!L:R,7,FALSE),VLOOKUP(tables_503100!C44,input_503100!A:H,8,FALSE))</f>
        <v>60190</v>
      </c>
      <c r="P44" s="46">
        <f t="shared" ca="1" si="1"/>
        <v>4.9255319148984586E-4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input_503100!A$2</f>
        <v>503100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IFERROR(VLOOKUP(B45,input_503100!L:R,7,FALSE),VLOOKUP(tables_503100!C45,input_503100!A:H,8,FALSE))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input_503100!A$2</f>
        <v>503100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IFERROR(VLOOKUP(B46,input_503100!L:R,7,FALSE),VLOOKUP(tables_503100!C46,input_503100!A:H,8,FALSE))</f>
        <v>1143610</v>
      </c>
      <c r="P46" s="46">
        <f t="shared" ca="1" si="1"/>
        <v>9.3585106383070708E-3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input_503100!A$2</f>
        <v>503100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IFERROR(VLOOKUP(B47,input_503100!L:R,7,FALSE),VLOOKUP(tables_503100!C47,input_503100!A:H,8,FALSE))</f>
        <v>60190</v>
      </c>
      <c r="P47" s="46">
        <f t="shared" ca="1" si="1"/>
        <v>4.9255319148984586E-4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input_503100!A$2</f>
        <v>503100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IFERROR(VLOOKUP(B48,input_503100!L:R,7,FALSE),VLOOKUP(tables_503100!C48,input_503100!A:H,8,FALSE))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input_503100!A$2</f>
        <v>503100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IFERROR(VLOOKUP(B49,input_503100!L:R,7,FALSE),VLOOKUP(tables_503100!C49,input_503100!A:H,8,FALSE))</f>
        <v>1143610</v>
      </c>
      <c r="P49" s="46">
        <f t="shared" ca="1" si="1"/>
        <v>9.3585106383070708E-3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input_503100!A$2</f>
        <v>503100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IFERROR(VLOOKUP(B50,input_503100!L:R,7,FALSE),VLOOKUP(tables_503100!C50,input_503100!A:H,8,FALSE))</f>
        <v>60190</v>
      </c>
      <c r="P50" s="46">
        <f t="shared" ca="1" si="1"/>
        <v>4.9255319148984586E-4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input_503100!A$2</f>
        <v>503100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IFERROR(VLOOKUP(B51,input_503100!L:R,7,FALSE),VLOOKUP(tables_503100!C51,input_503100!A:H,8,FALSE))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input_503100!A$2</f>
        <v>503100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IFERROR(VLOOKUP(B52,input_503100!L:R,7,FALSE),VLOOKUP(tables_503100!C52,input_503100!A:H,8,FALSE))</f>
        <v>1073110</v>
      </c>
      <c r="P52" s="46">
        <f t="shared" ca="1" si="1"/>
        <v>8.7815875613834263E-3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input_503100!A$2</f>
        <v>503100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IFERROR(VLOOKUP(B53,input_503100!L:R,7,FALSE),VLOOKUP(tables_503100!C53,input_503100!A:H,8,FALSE))</f>
        <v>15154</v>
      </c>
      <c r="P53" s="46">
        <f t="shared" ca="1" si="1"/>
        <v>1.2400981996738865E-4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input_503100!A$2</f>
        <v>503100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IFERROR(VLOOKUP(B54,input_503100!L:R,7,FALSE),VLOOKUP(tables_503100!C54,input_503100!A:H,8,FALSE))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input_503100!A$2</f>
        <v>503100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IFERROR(VLOOKUP(B55,input_503100!L:R,7,FALSE),VLOOKUP(tables_503100!C55,input_503100!A:H,8,FALSE))</f>
        <v>1073110</v>
      </c>
      <c r="P55" s="46">
        <f t="shared" ca="1" si="1"/>
        <v>8.7815875613834263E-3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input_503100!A$2</f>
        <v>503100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IFERROR(VLOOKUP(B56,input_503100!L:R,7,FALSE),VLOOKUP(tables_503100!C56,input_503100!A:H,8,FALSE))</f>
        <v>15154</v>
      </c>
      <c r="P56" s="46">
        <f t="shared" ca="1" si="1"/>
        <v>1.2400981996738865E-4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input_503100!A$2</f>
        <v>503100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IFERROR(VLOOKUP(B57,input_503100!L:R,7,FALSE),VLOOKUP(tables_503100!C57,input_503100!A:H,8,FALSE))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input_503100!A$2</f>
        <v>503100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IFERROR(VLOOKUP(B58,input_503100!L:R,7,FALSE),VLOOKUP(tables_503100!C58,input_503100!A:H,8,FALSE))</f>
        <v>1073110</v>
      </c>
      <c r="P58" s="46">
        <f t="shared" ca="1" si="1"/>
        <v>8.7815875613834263E-3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input_503100!A$2</f>
        <v>503100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IFERROR(VLOOKUP(B59,input_503100!L:R,7,FALSE),VLOOKUP(tables_503100!C59,input_503100!A:H,8,FALSE))</f>
        <v>15154</v>
      </c>
      <c r="P59" s="46">
        <f t="shared" ca="1" si="1"/>
        <v>1.2400981996738865E-4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input_503100!A$2</f>
        <v>503100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IFERROR(VLOOKUP(B60,input_503100!L:R,7,FALSE),VLOOKUP(tables_503100!C60,input_503100!A:H,8,FALSE))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input_503100!A$2</f>
        <v>503100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IFERROR(VLOOKUP(B61,input_503100!L:R,7,FALSE),VLOOKUP(tables_503100!C61,input_503100!A:H,8,FALSE))</f>
        <v>1073110</v>
      </c>
      <c r="P61" s="46">
        <f t="shared" ca="1" si="1"/>
        <v>8.7815875613834263E-3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input_503100!A$2</f>
        <v>503100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IFERROR(VLOOKUP(B62,input_503100!L:R,7,FALSE),VLOOKUP(tables_503100!C62,input_503100!A:H,8,FALSE))</f>
        <v>15154</v>
      </c>
      <c r="P62" s="46">
        <f t="shared" ca="1" si="1"/>
        <v>1.2400981996738865E-4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input_503100!A$2</f>
        <v>503100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IFERROR(VLOOKUP(B63,input_503100!L:R,7,FALSE),VLOOKUP(tables_503100!C63,input_503100!A:H,8,FALSE))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input_503100!A$2</f>
        <v>503100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IFERROR(VLOOKUP(B64,input_503100!L:R,7,FALSE),VLOOKUP(tables_503100!C64,input_503100!A:H,8,FALSE))</f>
        <v>1073110</v>
      </c>
      <c r="P64" s="46">
        <f t="shared" ca="1" si="1"/>
        <v>8.7815875613834263E-3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input_503100!A$2</f>
        <v>503100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IFERROR(VLOOKUP(B65,input_503100!L:R,7,FALSE),VLOOKUP(tables_503100!C65,input_503100!A:H,8,FALSE))</f>
        <v>15154</v>
      </c>
      <c r="P65" s="46">
        <f t="shared" ca="1" si="1"/>
        <v>1.2400981996738865E-4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input_503100!A$2</f>
        <v>503100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IFERROR(VLOOKUP(B66,input_503100!L:R,7,FALSE),VLOOKUP(tables_503100!C66,input_503100!A:H,8,FALSE))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input_503100!A$2</f>
        <v>503100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IFERROR(VLOOKUP(B67,input_503100!L:R,7,FALSE),VLOOKUP(tables_503100!C67,input_503100!A:H,8,FALSE))</f>
        <v>1073110</v>
      </c>
      <c r="P67" s="46">
        <f t="shared" ca="1" si="4"/>
        <v>8.7815875613834263E-3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input_503100!A$2</f>
        <v>503100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IFERROR(VLOOKUP(B68,input_503100!L:R,7,FALSE),VLOOKUP(tables_503100!C68,input_503100!A:H,8,FALSE))</f>
        <v>15154</v>
      </c>
      <c r="P68" s="46">
        <f t="shared" ca="1" si="4"/>
        <v>1.2400981996738865E-4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input_503100!A$2</f>
        <v>503100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IFERROR(VLOOKUP(B69,input_503100!L:R,7,FALSE),VLOOKUP(tables_503100!C69,input_503100!A:H,8,FALSE))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input_503100!A$2</f>
        <v>503100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IFERROR(VLOOKUP(B70,input_503100!L:R,7,FALSE),VLOOKUP(tables_503100!C70,input_503100!A:H,8,FALSE))</f>
        <v>1073110</v>
      </c>
      <c r="P70" s="46">
        <f t="shared" ca="1" si="4"/>
        <v>8.7815875613834263E-3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input_503100!A$2</f>
        <v>503100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IFERROR(VLOOKUP(B71,input_503100!L:R,7,FALSE),VLOOKUP(tables_503100!C71,input_503100!A:H,8,FALSE))</f>
        <v>15154</v>
      </c>
      <c r="P71" s="46">
        <f t="shared" ca="1" si="4"/>
        <v>1.2400981996738865E-4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input_503100!A$2</f>
        <v>503100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IFERROR(VLOOKUP(B72,input_503100!L:R,7,FALSE),VLOOKUP(tables_503100!C72,input_503100!A:H,8,FALSE))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input_503100!A$2</f>
        <v>503100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IFERROR(VLOOKUP(B73,input_503100!L:R,7,FALSE),VLOOKUP(tables_503100!C73,input_503100!A:H,8,FALSE))</f>
        <v>1073110</v>
      </c>
      <c r="P73" s="46">
        <f t="shared" ca="1" si="4"/>
        <v>8.7815875613834263E-3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input_503100!A$2</f>
        <v>503100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IFERROR(VLOOKUP(B74,input_503100!L:R,7,FALSE),VLOOKUP(tables_503100!C74,input_503100!A:H,8,FALSE))</f>
        <v>15154</v>
      </c>
      <c r="P74" s="46">
        <f t="shared" ca="1" si="4"/>
        <v>1.2400981996738865E-4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input_503100!A$2</f>
        <v>503100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IFERROR(VLOOKUP(B75,input_503100!L:R,7,FALSE),VLOOKUP(tables_503100!C75,input_503100!A:H,8,FALSE))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input_503100!A$2</f>
        <v>503100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IFERROR(VLOOKUP(B76,input_503100!L:R,7,FALSE),VLOOKUP(tables_503100!C76,input_503100!A:H,8,FALSE))</f>
        <v>1073110</v>
      </c>
      <c r="P76" s="46">
        <f t="shared" ca="1" si="4"/>
        <v>8.7815875613834263E-3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input_503100!A$2</f>
        <v>503100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IFERROR(VLOOKUP(B77,input_503100!L:R,7,FALSE),VLOOKUP(tables_503100!C77,input_503100!A:H,8,FALSE))</f>
        <v>15154</v>
      </c>
      <c r="P77" s="46">
        <f t="shared" ca="1" si="4"/>
        <v>1.2400981996738865E-4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input_503100!A$2</f>
        <v>503100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IFERROR(VLOOKUP(B78,input_503100!L:R,7,FALSE),VLOOKUP(tables_503100!C78,input_503100!A:H,8,FALSE))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input_503100!A$2</f>
        <v>503100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IFERROR(VLOOKUP(B79,input_503100!L:R,7,FALSE),VLOOKUP(tables_503100!C79,input_503100!A:H,8,FALSE))</f>
        <v>1073110</v>
      </c>
      <c r="P79" s="46">
        <f t="shared" ca="1" si="4"/>
        <v>8.7815875613834263E-3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input_503100!A$2</f>
        <v>503100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IFERROR(VLOOKUP(B80,input_503100!L:R,7,FALSE),VLOOKUP(tables_503100!C80,input_503100!A:H,8,FALSE))</f>
        <v>15154</v>
      </c>
      <c r="P80" s="46">
        <f t="shared" ca="1" si="4"/>
        <v>1.2400981996738865E-4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input_503100!A$2</f>
        <v>503100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IFERROR(VLOOKUP(B81,input_503100!L:R,7,FALSE),VLOOKUP(tables_503100!C81,input_503100!A:H,8,FALSE))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input_503100!A$2</f>
        <v>503100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IFERROR(VLOOKUP(B82,input_503100!L:R,7,FALSE),VLOOKUP(tables_503100!C82,input_503100!A:H,8,FALSE))</f>
        <v>1073110</v>
      </c>
      <c r="P82" s="46">
        <f t="shared" ca="1" si="4"/>
        <v>8.7815875613834263E-3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input_503100!A$2</f>
        <v>503100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IFERROR(VLOOKUP(B83,input_503100!L:R,7,FALSE),VLOOKUP(tables_503100!C83,input_503100!A:H,8,FALSE))</f>
        <v>15154</v>
      </c>
      <c r="P83" s="46">
        <f t="shared" ca="1" si="4"/>
        <v>1.2400981996738865E-4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input_503100!A$2</f>
        <v>503100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IFERROR(VLOOKUP(B84,input_503100!L:R,7,FALSE),VLOOKUP(tables_503100!C84,input_503100!A:H,8,FALSE))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input_503100!A$2</f>
        <v>503100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IFERROR(VLOOKUP(B85,input_503100!L:R,7,FALSE),VLOOKUP(tables_503100!C85,input_503100!A:H,8,FALSE))</f>
        <v>1073110</v>
      </c>
      <c r="P85" s="46">
        <f t="shared" ca="1" si="4"/>
        <v>8.7815875613834263E-3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input_503100!A$2</f>
        <v>503100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IFERROR(VLOOKUP(B86,input_503100!L:R,7,FALSE),VLOOKUP(tables_503100!C86,input_503100!A:H,8,FALSE))</f>
        <v>15154</v>
      </c>
      <c r="P86" s="46">
        <f t="shared" ca="1" si="4"/>
        <v>1.2400981996738865E-4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input_503100!A$2</f>
        <v>503100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IFERROR(VLOOKUP(B87,input_503100!L:R,7,FALSE),VLOOKUP(tables_503100!C87,input_503100!A:H,8,FALSE))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input_503100!A$2</f>
        <v>503100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IFERROR(VLOOKUP(B88,input_503100!L:R,7,FALSE),VLOOKUP(tables_503100!C88,input_503100!A:H,8,FALSE))</f>
        <v>1073110</v>
      </c>
      <c r="P88" s="46">
        <f t="shared" ca="1" si="4"/>
        <v>8.7815875613834263E-3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input_503100!A$2</f>
        <v>503100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IFERROR(VLOOKUP(B89,input_503100!L:R,7,FALSE),VLOOKUP(tables_503100!C89,input_503100!A:H,8,FALSE))</f>
        <v>15154</v>
      </c>
      <c r="P89" s="46">
        <f t="shared" ca="1" si="4"/>
        <v>1.2400981996738865E-4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input_503100!A$2</f>
        <v>503100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IFERROR(VLOOKUP(B90,input_503100!L:R,7,FALSE),VLOOKUP(tables_503100!C90,input_503100!A:H,8,FALSE))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input_503100!A$2</f>
        <v>503100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IFERROR(VLOOKUP(B91,input_503100!L:R,7,FALSE),VLOOKUP(tables_503100!C91,input_503100!A:H,8,FALSE))</f>
        <v>1073110</v>
      </c>
      <c r="P91" s="46">
        <f t="shared" ca="1" si="4"/>
        <v>8.7815875613834263E-3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input_503100!A$2</f>
        <v>503100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IFERROR(VLOOKUP(B92,input_503100!L:R,7,FALSE),VLOOKUP(tables_503100!C92,input_503100!A:H,8,FALSE))</f>
        <v>15154</v>
      </c>
      <c r="P92" s="46">
        <f t="shared" ca="1" si="4"/>
        <v>1.2400981996738865E-4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input_503100!A$2</f>
        <v>503100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IFERROR(VLOOKUP(B93,input_503100!L:R,7,FALSE),VLOOKUP(tables_503100!C93,input_503100!A:H,8,FALSE))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input_503100!A$2</f>
        <v>503100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IFERROR(VLOOKUP(B94,input_503100!L:R,7,FALSE),VLOOKUP(tables_503100!C94,input_503100!A:H,8,FALSE))</f>
        <v>1073110</v>
      </c>
      <c r="P94" s="46">
        <f t="shared" ca="1" si="4"/>
        <v>8.7815875613834263E-3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input_503100!A$2</f>
        <v>503100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IFERROR(VLOOKUP(B95,input_503100!L:R,7,FALSE),VLOOKUP(tables_503100!C95,input_503100!A:H,8,FALSE))</f>
        <v>15154</v>
      </c>
      <c r="P95" s="46">
        <f t="shared" ca="1" si="4"/>
        <v>1.2400981996738865E-4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input_503100!A$2</f>
        <v>503100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IFERROR(VLOOKUP(B96,input_503100!L:R,7,FALSE),VLOOKUP(tables_503100!C96,input_503100!A:H,8,FALSE))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input_503100!A$2</f>
        <v>503100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IFERROR(VLOOKUP(B97,input_503100!L:R,7,FALSE),VLOOKUP(tables_503100!C97,input_503100!A:H,8,FALSE))</f>
        <v>1073110</v>
      </c>
      <c r="P97" s="46">
        <f t="shared" ca="1" si="4"/>
        <v>8.7815875613834263E-3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input_503100!A$2</f>
        <v>503100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IFERROR(VLOOKUP(B98,input_503100!L:R,7,FALSE),VLOOKUP(tables_503100!C98,input_503100!A:H,8,FALSE))</f>
        <v>15154</v>
      </c>
      <c r="P98" s="46">
        <f t="shared" ca="1" si="4"/>
        <v>1.2400981996738865E-4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input_503100!A$2</f>
        <v>503100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IFERROR(VLOOKUP(B99,input_503100!L:R,7,FALSE),VLOOKUP(tables_503100!C99,input_503100!A:H,8,FALSE))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input_503100!A$2</f>
        <v>503100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IFERROR(VLOOKUP(B100,input_503100!L:R,7,FALSE),VLOOKUP(tables_503100!C100,input_503100!A:H,8,FALSE))</f>
        <v>1073110</v>
      </c>
      <c r="P100" s="46">
        <f t="shared" ca="1" si="4"/>
        <v>8.7815875613834263E-3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input_503100!A$2</f>
        <v>503100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IFERROR(VLOOKUP(B101,input_503100!L:R,7,FALSE),VLOOKUP(tables_503100!C101,input_503100!A:H,8,FALSE))</f>
        <v>15154</v>
      </c>
      <c r="P101" s="46">
        <f t="shared" ca="1" si="4"/>
        <v>1.2400981996738865E-4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input_503100!A$2</f>
        <v>503100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IFERROR(VLOOKUP(B102,input_503100!L:R,7,FALSE),VLOOKUP(tables_503100!C102,input_503100!A:H,8,FALSE))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input_503100!A$2</f>
        <v>503100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IFERROR(VLOOKUP(B103,input_503100!L:R,7,FALSE),VLOOKUP(tables_503100!C103,input_503100!A:H,8,FALSE))</f>
        <v>1073110</v>
      </c>
      <c r="P103" s="46">
        <f t="shared" ca="1" si="4"/>
        <v>8.7815875613834263E-3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input_503100!A$2</f>
        <v>503100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IFERROR(VLOOKUP(B104,input_503100!L:R,7,FALSE),VLOOKUP(tables_503100!C104,input_503100!A:H,8,FALSE))</f>
        <v>15154</v>
      </c>
      <c r="P104" s="46">
        <f t="shared" ca="1" si="4"/>
        <v>1.2400981996738865E-4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input_503100!A$2</f>
        <v>503100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IFERROR(VLOOKUP(B105,input_503100!L:R,7,FALSE),VLOOKUP(tables_503100!C105,input_503100!A:H,8,FALSE))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input_503100!A$2</f>
        <v>503100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IFERROR(VLOOKUP(B106,input_503100!L:R,7,FALSE),VLOOKUP(tables_503100!C106,input_503100!A:H,8,FALSE))</f>
        <v>1073110</v>
      </c>
      <c r="P106" s="46">
        <f t="shared" ca="1" si="4"/>
        <v>8.7815875613834263E-3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input_503100!A$2</f>
        <v>503100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IFERROR(VLOOKUP(B107,input_503100!L:R,7,FALSE),VLOOKUP(tables_503100!C107,input_503100!A:H,8,FALSE))</f>
        <v>15154</v>
      </c>
      <c r="P107" s="46">
        <f t="shared" ca="1" si="4"/>
        <v>1.2400981996738865E-4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input_503100!A$2</f>
        <v>503100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IFERROR(VLOOKUP(B108,input_503100!L:R,7,FALSE),VLOOKUP(tables_503100!C108,input_503100!A:H,8,FALSE))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input_503100!A$2</f>
        <v>503100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IFERROR(VLOOKUP(B109,input_503100!L:R,7,FALSE),VLOOKUP(tables_503100!C109,input_503100!A:H,8,FALSE))</f>
        <v>1073110</v>
      </c>
      <c r="P109" s="46">
        <f t="shared" ca="1" si="4"/>
        <v>8.7815875613834263E-3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input_503100!A$2</f>
        <v>503100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IFERROR(VLOOKUP(B110,input_503100!L:R,7,FALSE),VLOOKUP(tables_503100!C110,input_503100!A:H,8,FALSE))</f>
        <v>15154</v>
      </c>
      <c r="P110" s="46">
        <f t="shared" ca="1" si="4"/>
        <v>1.2400981996738865E-4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input_503100!A$2</f>
        <v>503100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IFERROR(VLOOKUP(B111,input_503100!L:R,7,FALSE),VLOOKUP(tables_503100!C111,input_503100!A:H,8,FALSE))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input_503100!A$2</f>
        <v>503100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IFERROR(VLOOKUP(B112,input_503100!L:R,7,FALSE),VLOOKUP(tables_503100!C112,input_503100!A:H,8,FALSE))</f>
        <v>1143610</v>
      </c>
      <c r="P112" s="46">
        <f t="shared" ca="1" si="4"/>
        <v>9.3585106383070708E-3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input_503100!A$2</f>
        <v>503100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IFERROR(VLOOKUP(B113,input_503100!L:R,7,FALSE),VLOOKUP(tables_503100!C113,input_503100!A:H,8,FALSE))</f>
        <v>60190</v>
      </c>
      <c r="P113" s="46">
        <f t="shared" ca="1" si="4"/>
        <v>4.9255319148984586E-4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input_503100!A$2</f>
        <v>503100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IFERROR(VLOOKUP(B114,input_503100!L:R,7,FALSE),VLOOKUP(tables_503100!C114,input_503100!A:H,8,FALSE))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input_503100!A$2</f>
        <v>503100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IFERROR(VLOOKUP(B115,input_503100!L:R,7,FALSE),VLOOKUP(tables_503100!C115,input_503100!A:H,8,FALSE))</f>
        <v>1073110</v>
      </c>
      <c r="P115" s="46">
        <f t="shared" ca="1" si="4"/>
        <v>8.7815875613834263E-3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input_503100!A$2</f>
        <v>503100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IFERROR(VLOOKUP(B116,input_503100!L:R,7,FALSE),VLOOKUP(tables_503100!C116,input_503100!A:H,8,FALSE))</f>
        <v>15154</v>
      </c>
      <c r="P116" s="46">
        <f t="shared" ca="1" si="4"/>
        <v>1.2400981996738865E-4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input_503100!A$2</f>
        <v>503100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IFERROR(VLOOKUP(B117,input_503100!L:R,7,FALSE),VLOOKUP(tables_503100!C117,input_503100!A:H,8,FALSE))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input_503100!A$2</f>
        <v>503100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IFERROR(VLOOKUP(B118,input_503100!L:R,7,FALSE),VLOOKUP(tables_503100!C118,input_503100!A:H,8,FALSE))</f>
        <v>1073110</v>
      </c>
      <c r="P118" s="46">
        <f t="shared" ca="1" si="4"/>
        <v>8.7815875613834263E-3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input_503100!A$2</f>
        <v>503100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IFERROR(VLOOKUP(B119,input_503100!L:R,7,FALSE),VLOOKUP(tables_503100!C119,input_503100!A:H,8,FALSE))</f>
        <v>15154</v>
      </c>
      <c r="P119" s="46">
        <f t="shared" ca="1" si="4"/>
        <v>1.2400981996738865E-4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input_503100!A$2</f>
        <v>503100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IFERROR(VLOOKUP(B120,input_503100!L:R,7,FALSE),VLOOKUP(tables_503100!C120,input_503100!A:H,8,FALSE))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input_503100!A$2</f>
        <v>503100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IFERROR(VLOOKUP(B121,input_503100!L:R,7,FALSE),VLOOKUP(tables_503100!C121,input_503100!A:H,8,FALSE))</f>
        <v>1073110</v>
      </c>
      <c r="P121" s="46">
        <f t="shared" ca="1" si="4"/>
        <v>8.7815875613834263E-3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input_503100!A$2</f>
        <v>503100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IFERROR(VLOOKUP(B122,input_503100!L:R,7,FALSE),VLOOKUP(tables_503100!C122,input_503100!A:H,8,FALSE))</f>
        <v>15154</v>
      </c>
      <c r="P122" s="46">
        <f t="shared" ca="1" si="4"/>
        <v>1.2400981996738865E-4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input_503100!A$2</f>
        <v>503100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IFERROR(VLOOKUP(B123,input_503100!L:R,7,FALSE),VLOOKUP(tables_503100!C123,input_503100!A:H,8,FALSE))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input_503100!A$2</f>
        <v>503100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IFERROR(VLOOKUP(B124,input_503100!L:R,7,FALSE),VLOOKUP(tables_503100!C124,input_503100!A:H,8,FALSE))</f>
        <v>1073110</v>
      </c>
      <c r="P124" s="46">
        <f t="shared" ca="1" si="4"/>
        <v>8.7815875613834263E-3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input_503100!A$2</f>
        <v>503100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IFERROR(VLOOKUP(B125,input_503100!L:R,7,FALSE),VLOOKUP(tables_503100!C125,input_503100!A:H,8,FALSE))</f>
        <v>15154</v>
      </c>
      <c r="P125" s="46">
        <f t="shared" ca="1" si="4"/>
        <v>1.2400981996738865E-4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input_503100!A$2</f>
        <v>503100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IFERROR(VLOOKUP(B126,input_503100!L:R,7,FALSE),VLOOKUP(tables_503100!C126,input_503100!A:H,8,FALSE))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input_503100!A$2</f>
        <v>503100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IFERROR(VLOOKUP(B127,input_503100!L:R,7,FALSE),VLOOKUP(tables_503100!C127,input_503100!A:H,8,FALSE))</f>
        <v>1073110</v>
      </c>
      <c r="P127" s="46">
        <f t="shared" ca="1" si="4"/>
        <v>8.7815875613834263E-3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input_503100!A$2</f>
        <v>503100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IFERROR(VLOOKUP(B128,input_503100!L:R,7,FALSE),VLOOKUP(tables_503100!C128,input_503100!A:H,8,FALSE))</f>
        <v>15154</v>
      </c>
      <c r="P128" s="46">
        <f t="shared" ca="1" si="4"/>
        <v>1.2400981996738865E-4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input_503100!A$2</f>
        <v>503100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IFERROR(VLOOKUP(B129,input_503100!L:R,7,FALSE),VLOOKUP(tables_503100!C129,input_503100!A:H,8,FALSE))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input_503100!A$2</f>
        <v>503100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IFERROR(VLOOKUP(B130,input_503100!L:R,7,FALSE),VLOOKUP(tables_503100!C130,input_503100!A:H,8,FALSE))</f>
        <v>1073110</v>
      </c>
      <c r="P130" s="46">
        <f t="shared" ref="P130:P193" ca="1" si="7">O130/SUM(O:O)</f>
        <v>8.7815875613834263E-3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input_503100!A$2</f>
        <v>503100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IFERROR(VLOOKUP(B131,input_503100!L:R,7,FALSE),VLOOKUP(tables_503100!C131,input_503100!A:H,8,FALSE))</f>
        <v>15154</v>
      </c>
      <c r="P131" s="46">
        <f t="shared" ca="1" si="7"/>
        <v>1.2400981996738865E-4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input_503100!A$2</f>
        <v>503100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IFERROR(VLOOKUP(B132,input_503100!L:R,7,FALSE),VLOOKUP(tables_503100!C132,input_503100!A:H,8,FALSE))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input_503100!A$2</f>
        <v>503100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IFERROR(VLOOKUP(B133,input_503100!L:R,7,FALSE),VLOOKUP(tables_503100!C133,input_503100!A:H,8,FALSE))</f>
        <v>1073110</v>
      </c>
      <c r="P133" s="46">
        <f t="shared" ca="1" si="7"/>
        <v>8.7815875613834263E-3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input_503100!A$2</f>
        <v>503100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IFERROR(VLOOKUP(B134,input_503100!L:R,7,FALSE),VLOOKUP(tables_503100!C134,input_503100!A:H,8,FALSE))</f>
        <v>15154</v>
      </c>
      <c r="P134" s="46">
        <f t="shared" ca="1" si="7"/>
        <v>1.2400981996738865E-4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input_503100!A$2</f>
        <v>503100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IFERROR(VLOOKUP(B135,input_503100!L:R,7,FALSE),VLOOKUP(tables_503100!C135,input_503100!A:H,8,FALSE))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input_503100!A$2</f>
        <v>503100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IFERROR(VLOOKUP(B136,input_503100!L:R,7,FALSE),VLOOKUP(tables_503100!C136,input_503100!A:H,8,FALSE))</f>
        <v>1073110</v>
      </c>
      <c r="P136" s="46">
        <f t="shared" ca="1" si="7"/>
        <v>8.7815875613834263E-3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input_503100!A$2</f>
        <v>503100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IFERROR(VLOOKUP(B137,input_503100!L:R,7,FALSE),VLOOKUP(tables_503100!C137,input_503100!A:H,8,FALSE))</f>
        <v>15154</v>
      </c>
      <c r="P137" s="46">
        <f t="shared" ca="1" si="7"/>
        <v>1.2400981996738865E-4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input_503100!A$2</f>
        <v>503100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IFERROR(VLOOKUP(B138,input_503100!L:R,7,FALSE),VLOOKUP(tables_503100!C138,input_503100!A:H,8,FALSE))</f>
        <v>149433.14285999999</v>
      </c>
      <c r="P138" s="46">
        <f t="shared" ca="1" si="7"/>
        <v>1.2228571428817255E-3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input_503100!A$2</f>
        <v>503100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IFERROR(VLOOKUP(B139,input_503100!L:R,7,FALSE),VLOOKUP(tables_503100!C139,input_503100!A:H,8,FALSE))</f>
        <v>2444</v>
      </c>
      <c r="P139" s="46">
        <f t="shared" ca="1" si="7"/>
        <v>2.0000000000019656E-5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input_503100!A$2</f>
        <v>503100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IFERROR(VLOOKUP(B140,input_503100!L:R,7,FALSE),VLOOKUP(tables_503100!C140,input_503100!A:H,8,FALSE))</f>
        <v>149433.14285999999</v>
      </c>
      <c r="P140" s="46">
        <f t="shared" ca="1" si="7"/>
        <v>1.2228571428817255E-3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input_503100!A$2</f>
        <v>503100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IFERROR(VLOOKUP(B141,input_503100!L:R,7,FALSE),VLOOKUP(tables_503100!C141,input_503100!A:H,8,FALSE))</f>
        <v>2444</v>
      </c>
      <c r="P141" s="46">
        <f t="shared" ca="1" si="7"/>
        <v>2.0000000000019656E-5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input_503100!A$2</f>
        <v>503100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IFERROR(VLOOKUP(B142,input_503100!L:R,7,FALSE),VLOOKUP(tables_503100!C142,input_503100!A:H,8,FALSE))</f>
        <v>149433.14285999999</v>
      </c>
      <c r="P142" s="46">
        <f t="shared" ca="1" si="7"/>
        <v>1.2228571428817255E-3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input_503100!A$2</f>
        <v>503100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IFERROR(VLOOKUP(B143,input_503100!L:R,7,FALSE),VLOOKUP(tables_503100!C143,input_503100!A:H,8,FALSE))</f>
        <v>2444</v>
      </c>
      <c r="P143" s="46">
        <f t="shared" ca="1" si="7"/>
        <v>2.0000000000019656E-5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input_503100!A$2</f>
        <v>503100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IFERROR(VLOOKUP(B144,input_503100!L:R,7,FALSE),VLOOKUP(tables_503100!C144,input_503100!A:H,8,FALSE))</f>
        <v>149433.14285999999</v>
      </c>
      <c r="P144" s="46">
        <f t="shared" ca="1" si="7"/>
        <v>1.2228571428817255E-3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input_503100!A$2</f>
        <v>503100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IFERROR(VLOOKUP(B145,input_503100!L:R,7,FALSE),VLOOKUP(tables_503100!C145,input_503100!A:H,8,FALSE))</f>
        <v>2444</v>
      </c>
      <c r="P145" s="46">
        <f t="shared" ca="1" si="7"/>
        <v>2.0000000000019656E-5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input_503100!A$2</f>
        <v>503100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IFERROR(VLOOKUP(B146,input_503100!L:R,7,FALSE),VLOOKUP(tables_503100!C146,input_503100!A:H,8,FALSE))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input_503100!A$2</f>
        <v>503100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IFERROR(VLOOKUP(B147,input_503100!L:R,7,FALSE),VLOOKUP(tables_503100!C147,input_503100!A:H,8,FALSE))</f>
        <v>1073110</v>
      </c>
      <c r="P147" s="46">
        <f t="shared" ca="1" si="7"/>
        <v>8.7815875613834263E-3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input_503100!A$2</f>
        <v>503100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IFERROR(VLOOKUP(B148,input_503100!L:R,7,FALSE),VLOOKUP(tables_503100!C148,input_503100!A:H,8,FALSE))</f>
        <v>15154</v>
      </c>
      <c r="P148" s="46">
        <f t="shared" ca="1" si="7"/>
        <v>1.2400981996738865E-4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input_503100!A$2</f>
        <v>503100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IFERROR(VLOOKUP(B149,input_503100!L:R,7,FALSE),VLOOKUP(tables_503100!C149,input_503100!A:H,8,FALSE))</f>
        <v>149433.14285999999</v>
      </c>
      <c r="P149" s="46">
        <f t="shared" ca="1" si="7"/>
        <v>1.2228571428817255E-3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input_503100!A$2</f>
        <v>503100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IFERROR(VLOOKUP(B150,input_503100!L:R,7,FALSE),VLOOKUP(tables_503100!C150,input_503100!A:H,8,FALSE))</f>
        <v>2444</v>
      </c>
      <c r="P150" s="46">
        <f t="shared" ca="1" si="7"/>
        <v>2.0000000000019656E-5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input_503100!A$2</f>
        <v>503100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IFERROR(VLOOKUP(B151,input_503100!L:R,7,FALSE),VLOOKUP(tables_503100!C151,input_503100!A:H,8,FALSE))</f>
        <v>149433.14285999999</v>
      </c>
      <c r="P151" s="46">
        <f t="shared" ca="1" si="7"/>
        <v>1.2228571428817255E-3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input_503100!A$2</f>
        <v>503100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IFERROR(VLOOKUP(B152,input_503100!L:R,7,FALSE),VLOOKUP(tables_503100!C152,input_503100!A:H,8,FALSE))</f>
        <v>2444</v>
      </c>
      <c r="P152" s="46">
        <f t="shared" ca="1" si="7"/>
        <v>2.0000000000019656E-5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input_503100!A$2</f>
        <v>503100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IFERROR(VLOOKUP(B153,input_503100!L:R,7,FALSE),VLOOKUP(tables_503100!C153,input_503100!A:H,8,FALSE))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input_503100!A$2</f>
        <v>503100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IFERROR(VLOOKUP(B154,input_503100!L:R,7,FALSE),VLOOKUP(tables_503100!C154,input_503100!A:H,8,FALSE))</f>
        <v>1073110</v>
      </c>
      <c r="P154" s="46">
        <f t="shared" ca="1" si="7"/>
        <v>8.7815875613834263E-3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input_503100!A$2</f>
        <v>503100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IFERROR(VLOOKUP(B155,input_503100!L:R,7,FALSE),VLOOKUP(tables_503100!C155,input_503100!A:H,8,FALSE))</f>
        <v>15154</v>
      </c>
      <c r="P155" s="46">
        <f t="shared" ca="1" si="7"/>
        <v>1.2400981996738865E-4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input_503100!A$2</f>
        <v>503100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IFERROR(VLOOKUP(B156,input_503100!L:R,7,FALSE),VLOOKUP(tables_503100!C156,input_503100!A:H,8,FALSE))</f>
        <v>149433.14285999999</v>
      </c>
      <c r="P156" s="46">
        <f t="shared" ca="1" si="7"/>
        <v>1.2228571428817255E-3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input_503100!A$2</f>
        <v>503100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IFERROR(VLOOKUP(B157,input_503100!L:R,7,FALSE),VLOOKUP(tables_503100!C157,input_503100!A:H,8,FALSE))</f>
        <v>2444</v>
      </c>
      <c r="P157" s="46">
        <f t="shared" ca="1" si="7"/>
        <v>2.0000000000019656E-5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input_503100!A$2</f>
        <v>503100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IFERROR(VLOOKUP(B158,input_503100!L:R,7,FALSE),VLOOKUP(tables_503100!C158,input_503100!A:H,8,FALSE))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input_503100!A$2</f>
        <v>503100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IFERROR(VLOOKUP(B159,input_503100!L:R,7,FALSE),VLOOKUP(tables_503100!C159,input_503100!A:H,8,FALSE))</f>
        <v>1073110</v>
      </c>
      <c r="P159" s="46">
        <f t="shared" ca="1" si="7"/>
        <v>8.7815875613834263E-3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input_503100!A$2</f>
        <v>503100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IFERROR(VLOOKUP(B160,input_503100!L:R,7,FALSE),VLOOKUP(tables_503100!C160,input_503100!A:H,8,FALSE))</f>
        <v>15154</v>
      </c>
      <c r="P160" s="46">
        <f t="shared" ca="1" si="7"/>
        <v>1.2400981996738865E-4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input_503100!A$2</f>
        <v>503100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IFERROR(VLOOKUP(B161,input_503100!L:R,7,FALSE),VLOOKUP(tables_503100!C161,input_503100!A:H,8,FALSE))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input_503100!A$2</f>
        <v>503100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IFERROR(VLOOKUP(B162,input_503100!L:R,7,FALSE),VLOOKUP(tables_503100!C162,input_503100!A:H,8,FALSE))</f>
        <v>1073110</v>
      </c>
      <c r="P162" s="46">
        <f t="shared" ca="1" si="7"/>
        <v>8.7815875613834263E-3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input_503100!A$2</f>
        <v>503100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IFERROR(VLOOKUP(B163,input_503100!L:R,7,FALSE),VLOOKUP(tables_503100!C163,input_503100!A:H,8,FALSE))</f>
        <v>15154</v>
      </c>
      <c r="P163" s="46">
        <f t="shared" ca="1" si="7"/>
        <v>1.2400981996738865E-4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input_503100!A$2</f>
        <v>503100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IFERROR(VLOOKUP(B164,input_503100!L:R,7,FALSE),VLOOKUP(tables_503100!C164,input_503100!A:H,8,FALSE))</f>
        <v>149433.14285999999</v>
      </c>
      <c r="P164" s="46">
        <f t="shared" ca="1" si="7"/>
        <v>1.2228571428817255E-3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input_503100!A$2</f>
        <v>503100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IFERROR(VLOOKUP(B165,input_503100!L:R,7,FALSE),VLOOKUP(tables_503100!C165,input_503100!A:H,8,FALSE))</f>
        <v>2444</v>
      </c>
      <c r="P165" s="46">
        <f t="shared" ca="1" si="7"/>
        <v>2.0000000000019656E-5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input_503100!A$2</f>
        <v>503100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IFERROR(VLOOKUP(B166,input_503100!L:R,7,FALSE),VLOOKUP(tables_503100!C166,input_503100!A:H,8,FALSE))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input_503100!A$2</f>
        <v>503100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IFERROR(VLOOKUP(B167,input_503100!L:R,7,FALSE),VLOOKUP(tables_503100!C167,input_503100!A:H,8,FALSE))</f>
        <v>1073110</v>
      </c>
      <c r="P167" s="46">
        <f t="shared" ca="1" si="7"/>
        <v>8.7815875613834263E-3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input_503100!A$2</f>
        <v>503100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IFERROR(VLOOKUP(B168,input_503100!L:R,7,FALSE),VLOOKUP(tables_503100!C168,input_503100!A:H,8,FALSE))</f>
        <v>15154</v>
      </c>
      <c r="P168" s="46">
        <f t="shared" ca="1" si="7"/>
        <v>1.2400981996738865E-4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input_503100!A$2</f>
        <v>503100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IFERROR(VLOOKUP(B169,input_503100!L:R,7,FALSE),VLOOKUP(tables_503100!C169,input_503100!A:H,8,FALSE))</f>
        <v>149433.14285999999</v>
      </c>
      <c r="P169" s="46">
        <f t="shared" ca="1" si="7"/>
        <v>1.2228571428817255E-3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input_503100!A$2</f>
        <v>503100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IFERROR(VLOOKUP(B170,input_503100!L:R,7,FALSE),VLOOKUP(tables_503100!C170,input_503100!A:H,8,FALSE))</f>
        <v>2444</v>
      </c>
      <c r="P170" s="46">
        <f t="shared" ca="1" si="7"/>
        <v>2.0000000000019656E-5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input_503100!A$2</f>
        <v>503100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IFERROR(VLOOKUP(B171,input_503100!L:R,7,FALSE),VLOOKUP(tables_503100!C171,input_503100!A:H,8,FALSE))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input_503100!A$2</f>
        <v>503100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IFERROR(VLOOKUP(B172,input_503100!L:R,7,FALSE),VLOOKUP(tables_503100!C172,input_503100!A:H,8,FALSE))</f>
        <v>1073110</v>
      </c>
      <c r="P172" s="46">
        <f t="shared" ca="1" si="7"/>
        <v>8.7815875613834263E-3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input_503100!A$2</f>
        <v>503100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IFERROR(VLOOKUP(B173,input_503100!L:R,7,FALSE),VLOOKUP(tables_503100!C173,input_503100!A:H,8,FALSE))</f>
        <v>15154</v>
      </c>
      <c r="P173" s="46">
        <f t="shared" ca="1" si="7"/>
        <v>1.2400981996738865E-4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input_503100!A$2</f>
        <v>503100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IFERROR(VLOOKUP(B174,input_503100!L:R,7,FALSE),VLOOKUP(tables_503100!C174,input_503100!A:H,8,FALSE))</f>
        <v>149433.14285999999</v>
      </c>
      <c r="P174" s="46">
        <f t="shared" ca="1" si="7"/>
        <v>1.2228571428817255E-3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input_503100!A$2</f>
        <v>503100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IFERROR(VLOOKUP(B175,input_503100!L:R,7,FALSE),VLOOKUP(tables_503100!C175,input_503100!A:H,8,FALSE))</f>
        <v>2444</v>
      </c>
      <c r="P175" s="46">
        <f t="shared" ca="1" si="7"/>
        <v>2.0000000000019656E-5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input_503100!A$2</f>
        <v>503100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IFERROR(VLOOKUP(B176,input_503100!L:R,7,FALSE),VLOOKUP(tables_503100!C176,input_503100!A:H,8,FALSE))</f>
        <v>149433.14285999999</v>
      </c>
      <c r="P176" s="46">
        <f t="shared" ca="1" si="7"/>
        <v>1.2228571428817255E-3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input_503100!A$2</f>
        <v>503100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IFERROR(VLOOKUP(B177,input_503100!L:R,7,FALSE),VLOOKUP(tables_503100!C177,input_503100!A:H,8,FALSE))</f>
        <v>2444</v>
      </c>
      <c r="P177" s="46">
        <f t="shared" ca="1" si="7"/>
        <v>2.0000000000019656E-5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input_503100!A$2</f>
        <v>503100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IFERROR(VLOOKUP(B178,input_503100!L:R,7,FALSE),VLOOKUP(tables_503100!C178,input_503100!A:H,8,FALSE))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input_503100!A$2</f>
        <v>503100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IFERROR(VLOOKUP(B179,input_503100!L:R,7,FALSE),VLOOKUP(tables_503100!C179,input_503100!A:H,8,FALSE))</f>
        <v>1073110</v>
      </c>
      <c r="P179" s="46">
        <f t="shared" ca="1" si="7"/>
        <v>8.7815875613834263E-3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input_503100!A$2</f>
        <v>503100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IFERROR(VLOOKUP(B180,input_503100!L:R,7,FALSE),VLOOKUP(tables_503100!C180,input_503100!A:H,8,FALSE))</f>
        <v>15154</v>
      </c>
      <c r="P180" s="46">
        <f t="shared" ca="1" si="7"/>
        <v>1.2400981996738865E-4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input_503100!A$2</f>
        <v>503100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IFERROR(VLOOKUP(B181,input_503100!L:R,7,FALSE),VLOOKUP(tables_503100!C181,input_503100!A:H,8,FALSE))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input_503100!A$2</f>
        <v>503100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IFERROR(VLOOKUP(B182,input_503100!L:R,7,FALSE),VLOOKUP(tables_503100!C182,input_503100!A:H,8,FALSE))</f>
        <v>1073110</v>
      </c>
      <c r="P182" s="46">
        <f t="shared" ca="1" si="7"/>
        <v>8.7815875613834263E-3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input_503100!A$2</f>
        <v>503100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IFERROR(VLOOKUP(B183,input_503100!L:R,7,FALSE),VLOOKUP(tables_503100!C183,input_503100!A:H,8,FALSE))</f>
        <v>15154</v>
      </c>
      <c r="P183" s="46">
        <f t="shared" ca="1" si="7"/>
        <v>1.2400981996738865E-4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input_503100!A$2</f>
        <v>503100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IFERROR(VLOOKUP(B184,input_503100!L:R,7,FALSE),VLOOKUP(tables_503100!C184,input_503100!A:H,8,FALSE))</f>
        <v>149433.14285999999</v>
      </c>
      <c r="P184" s="46">
        <f t="shared" ca="1" si="7"/>
        <v>1.2228571428817255E-3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input_503100!A$2</f>
        <v>503100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IFERROR(VLOOKUP(B185,input_503100!L:R,7,FALSE),VLOOKUP(tables_503100!C185,input_503100!A:H,8,FALSE))</f>
        <v>2444</v>
      </c>
      <c r="P185" s="46">
        <f t="shared" ca="1" si="7"/>
        <v>2.0000000000019656E-5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input_503100!A$2</f>
        <v>503100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IFERROR(VLOOKUP(B186,input_503100!L:R,7,FALSE),VLOOKUP(tables_503100!C186,input_503100!A:H,8,FALSE))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input_503100!A$2</f>
        <v>503100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IFERROR(VLOOKUP(B187,input_503100!L:R,7,FALSE),VLOOKUP(tables_503100!C187,input_503100!A:H,8,FALSE))</f>
        <v>1073110</v>
      </c>
      <c r="P187" s="46">
        <f t="shared" ca="1" si="7"/>
        <v>8.7815875613834263E-3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input_503100!A$2</f>
        <v>503100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IFERROR(VLOOKUP(B188,input_503100!L:R,7,FALSE),VLOOKUP(tables_503100!C188,input_503100!A:H,8,FALSE))</f>
        <v>15154</v>
      </c>
      <c r="P188" s="46">
        <f t="shared" ca="1" si="7"/>
        <v>1.2400981996738865E-4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input_503100!A$2</f>
        <v>503100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IFERROR(VLOOKUP(B189,input_503100!L:R,7,FALSE),VLOOKUP(tables_503100!C189,input_503100!A:H,8,FALSE))</f>
        <v>149433.14285999999</v>
      </c>
      <c r="P189" s="46">
        <f t="shared" ca="1" si="7"/>
        <v>1.2228571428817255E-3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input_503100!A$2</f>
        <v>503100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IFERROR(VLOOKUP(B190,input_503100!L:R,7,FALSE),VLOOKUP(tables_503100!C190,input_503100!A:H,8,FALSE))</f>
        <v>2444</v>
      </c>
      <c r="P190" s="46">
        <f t="shared" ca="1" si="7"/>
        <v>2.0000000000019656E-5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input_503100!A$2</f>
        <v>503100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IFERROR(VLOOKUP(B191,input_503100!L:R,7,FALSE),VLOOKUP(tables_503100!C191,input_503100!A:H,8,FALSE))</f>
        <v>149433.14285999999</v>
      </c>
      <c r="P191" s="46">
        <f t="shared" ca="1" si="7"/>
        <v>1.2228571428817255E-3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input_503100!A$2</f>
        <v>503100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IFERROR(VLOOKUP(B192,input_503100!L:R,7,FALSE),VLOOKUP(tables_503100!C192,input_503100!A:H,8,FALSE))</f>
        <v>2444</v>
      </c>
      <c r="P192" s="46">
        <f t="shared" ca="1" si="7"/>
        <v>2.0000000000019656E-5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input_503100!A$2</f>
        <v>503100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IFERROR(VLOOKUP(B193,input_503100!L:R,7,FALSE),VLOOKUP(tables_503100!C193,input_503100!A:H,8,FALSE))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input_503100!A$2</f>
        <v>503100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IFERROR(VLOOKUP(B194,input_503100!L:R,7,FALSE),VLOOKUP(tables_503100!C194,input_503100!A:H,8,FALSE))</f>
        <v>1073110</v>
      </c>
      <c r="P194" s="46">
        <f t="shared" ref="P194:P257" ca="1" si="10">O194/SUM(O:O)</f>
        <v>8.7815875613834263E-3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input_503100!A$2</f>
        <v>503100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IFERROR(VLOOKUP(B195,input_503100!L:R,7,FALSE),VLOOKUP(tables_503100!C195,input_503100!A:H,8,FALSE))</f>
        <v>15154</v>
      </c>
      <c r="P195" s="46">
        <f t="shared" ca="1" si="10"/>
        <v>1.2400981996738865E-4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input_503100!A$2</f>
        <v>503100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IFERROR(VLOOKUP(B196,input_503100!L:R,7,FALSE),VLOOKUP(tables_503100!C196,input_503100!A:H,8,FALSE))</f>
        <v>149433.14285999999</v>
      </c>
      <c r="P196" s="46">
        <f t="shared" ca="1" si="10"/>
        <v>1.2228571428817255E-3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input_503100!A$2</f>
        <v>503100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IFERROR(VLOOKUP(B197,input_503100!L:R,7,FALSE),VLOOKUP(tables_503100!C197,input_503100!A:H,8,FALSE))</f>
        <v>2444</v>
      </c>
      <c r="P197" s="46">
        <f t="shared" ca="1" si="10"/>
        <v>2.0000000000019656E-5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input_503100!A$2</f>
        <v>503100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IFERROR(VLOOKUP(B198,input_503100!L:R,7,FALSE),VLOOKUP(tables_503100!C198,input_503100!A:H,8,FALSE))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input_503100!A$2</f>
        <v>503100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IFERROR(VLOOKUP(B199,input_503100!L:R,7,FALSE),VLOOKUP(tables_503100!C199,input_503100!A:H,8,FALSE))</f>
        <v>1073110</v>
      </c>
      <c r="P199" s="46">
        <f t="shared" ca="1" si="10"/>
        <v>8.7815875613834263E-3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input_503100!A$2</f>
        <v>503100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IFERROR(VLOOKUP(B200,input_503100!L:R,7,FALSE),VLOOKUP(tables_503100!C200,input_503100!A:H,8,FALSE))</f>
        <v>15154</v>
      </c>
      <c r="P200" s="46">
        <f t="shared" ca="1" si="10"/>
        <v>1.2400981996738865E-4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input_503100!A$2</f>
        <v>503100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IFERROR(VLOOKUP(B201,input_503100!L:R,7,FALSE),VLOOKUP(tables_503100!C201,input_503100!A:H,8,FALSE))</f>
        <v>149433.14285999999</v>
      </c>
      <c r="P201" s="46">
        <f t="shared" ca="1" si="10"/>
        <v>1.2228571428817255E-3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input_503100!A$2</f>
        <v>503100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IFERROR(VLOOKUP(B202,input_503100!L:R,7,FALSE),VLOOKUP(tables_503100!C202,input_503100!A:H,8,FALSE))</f>
        <v>2444</v>
      </c>
      <c r="P202" s="46">
        <f t="shared" ca="1" si="10"/>
        <v>2.0000000000019656E-5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input_503100!A$2</f>
        <v>503100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IFERROR(VLOOKUP(B203,input_503100!L:R,7,FALSE),VLOOKUP(tables_503100!C203,input_503100!A:H,8,FALSE))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input_503100!A$2</f>
        <v>503100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IFERROR(VLOOKUP(B204,input_503100!L:R,7,FALSE),VLOOKUP(tables_503100!C204,input_503100!A:H,8,FALSE))</f>
        <v>1073110</v>
      </c>
      <c r="P204" s="46">
        <f t="shared" ca="1" si="10"/>
        <v>8.7815875613834263E-3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input_503100!A$2</f>
        <v>503100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IFERROR(VLOOKUP(B205,input_503100!L:R,7,FALSE),VLOOKUP(tables_503100!C205,input_503100!A:H,8,FALSE))</f>
        <v>15154</v>
      </c>
      <c r="P205" s="46">
        <f t="shared" ca="1" si="10"/>
        <v>1.2400981996738865E-4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input_503100!A$2</f>
        <v>503100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IFERROR(VLOOKUP(B206,input_503100!L:R,7,FALSE),VLOOKUP(tables_503100!C206,input_503100!A:H,8,FALSE))</f>
        <v>149433.14285999999</v>
      </c>
      <c r="P206" s="46">
        <f t="shared" ca="1" si="10"/>
        <v>1.2228571428817255E-3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input_503100!A$2</f>
        <v>503100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IFERROR(VLOOKUP(B207,input_503100!L:R,7,FALSE),VLOOKUP(tables_503100!C207,input_503100!A:H,8,FALSE))</f>
        <v>2444</v>
      </c>
      <c r="P207" s="46">
        <f t="shared" ca="1" si="10"/>
        <v>2.0000000000019656E-5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input_503100!A$2</f>
        <v>503100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IFERROR(VLOOKUP(B208,input_503100!L:R,7,FALSE),VLOOKUP(tables_503100!C208,input_503100!A:H,8,FALSE))</f>
        <v>149433.14285999999</v>
      </c>
      <c r="P208" s="46">
        <f t="shared" ca="1" si="10"/>
        <v>1.2228571428817255E-3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input_503100!A$2</f>
        <v>503100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IFERROR(VLOOKUP(B209,input_503100!L:R,7,FALSE),VLOOKUP(tables_503100!C209,input_503100!A:H,8,FALSE))</f>
        <v>2444</v>
      </c>
      <c r="P209" s="46">
        <f t="shared" ca="1" si="10"/>
        <v>2.0000000000019656E-5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input_503100!A$2</f>
        <v>503100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IFERROR(VLOOKUP(B210,input_503100!L:R,7,FALSE),VLOOKUP(tables_503100!C210,input_503100!A:H,8,FALSE))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input_503100!A$2</f>
        <v>503100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IFERROR(VLOOKUP(B211,input_503100!L:R,7,FALSE),VLOOKUP(tables_503100!C211,input_503100!A:H,8,FALSE))</f>
        <v>1073110</v>
      </c>
      <c r="P211" s="46">
        <f t="shared" ca="1" si="10"/>
        <v>8.7815875613834263E-3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input_503100!A$2</f>
        <v>503100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IFERROR(VLOOKUP(B212,input_503100!L:R,7,FALSE),VLOOKUP(tables_503100!C212,input_503100!A:H,8,FALSE))</f>
        <v>15154</v>
      </c>
      <c r="P212" s="46">
        <f t="shared" ca="1" si="10"/>
        <v>1.2400981996738865E-4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input_503100!A$2</f>
        <v>503100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IFERROR(VLOOKUP(B213,input_503100!L:R,7,FALSE),VLOOKUP(tables_503100!C213,input_503100!A:H,8,FALSE))</f>
        <v>149433.14285999999</v>
      </c>
      <c r="P213" s="46">
        <f t="shared" ca="1" si="10"/>
        <v>1.2228571428817255E-3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input_503100!A$2</f>
        <v>503100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IFERROR(VLOOKUP(B214,input_503100!L:R,7,FALSE),VLOOKUP(tables_503100!C214,input_503100!A:H,8,FALSE))</f>
        <v>2444</v>
      </c>
      <c r="P214" s="46">
        <f t="shared" ca="1" si="10"/>
        <v>2.0000000000019656E-5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input_503100!A$2</f>
        <v>503100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IFERROR(VLOOKUP(B215,input_503100!L:R,7,FALSE),VLOOKUP(tables_503100!C215,input_503100!A:H,8,FALSE))</f>
        <v>9273.3333299999995</v>
      </c>
      <c r="P215" s="46">
        <f t="shared" ca="1" si="10"/>
        <v>7.5886524795491933E-5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input_503100!A$2</f>
        <v>503100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IFERROR(VLOOKUP(B216,input_503100!L:R,7,FALSE),VLOOKUP(tables_503100!C216,input_503100!A:H,8,FALSE))</f>
        <v>9273.3333299999995</v>
      </c>
      <c r="P216" s="46">
        <f t="shared" ca="1" si="10"/>
        <v>7.5886524795491933E-5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input_503100!A$2</f>
        <v>503100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IFERROR(VLOOKUP(B217,input_503100!L:R,7,FALSE),VLOOKUP(tables_503100!C217,input_503100!A:H,8,FALSE))</f>
        <v>9273.3333299999995</v>
      </c>
      <c r="P217" s="46">
        <f t="shared" ca="1" si="10"/>
        <v>7.5886524795491933E-5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input_503100!A$2</f>
        <v>503100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IFERROR(VLOOKUP(B218,input_503100!L:R,7,FALSE),VLOOKUP(tables_503100!C218,input_503100!A:H,8,FALSE))</f>
        <v>9273.3333299999995</v>
      </c>
      <c r="P218" s="46">
        <f t="shared" ca="1" si="10"/>
        <v>7.5886524795491933E-5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input_503100!A$2</f>
        <v>503100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IFERROR(VLOOKUP(B219,input_503100!L:R,7,FALSE),VLOOKUP(tables_503100!C219,input_503100!A:H,8,FALSE))</f>
        <v>9273.3333299999995</v>
      </c>
      <c r="P219" s="46">
        <f t="shared" ca="1" si="10"/>
        <v>7.5886524795491933E-5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input_503100!A$2</f>
        <v>503100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IFERROR(VLOOKUP(B220,input_503100!L:R,7,FALSE),VLOOKUP(tables_503100!C220,input_503100!A:H,8,FALSE))</f>
        <v>9273.3333299999995</v>
      </c>
      <c r="P220" s="46">
        <f t="shared" ca="1" si="10"/>
        <v>7.5886524795491933E-5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input_503100!A$2</f>
        <v>503100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IFERROR(VLOOKUP(B221,input_503100!L:R,7,FALSE),VLOOKUP(tables_503100!C221,input_503100!A:H,8,FALSE))</f>
        <v>149433.14285999999</v>
      </c>
      <c r="P221" s="46">
        <f t="shared" ca="1" si="10"/>
        <v>1.2228571428817255E-3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input_503100!A$2</f>
        <v>503100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IFERROR(VLOOKUP(B222,input_503100!L:R,7,FALSE),VLOOKUP(tables_503100!C222,input_503100!A:H,8,FALSE))</f>
        <v>2444</v>
      </c>
      <c r="P222" s="46">
        <f t="shared" ca="1" si="10"/>
        <v>2.0000000000019656E-5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input_503100!A$2</f>
        <v>503100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IFERROR(VLOOKUP(B223,input_503100!L:R,7,FALSE),VLOOKUP(tables_503100!C223,input_503100!A:H,8,FALSE))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input_503100!A$2</f>
        <v>503100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IFERROR(VLOOKUP(B224,input_503100!L:R,7,FALSE),VLOOKUP(tables_503100!C224,input_503100!A:H,8,FALSE))</f>
        <v>1073110</v>
      </c>
      <c r="P224" s="46">
        <f t="shared" ca="1" si="10"/>
        <v>8.7815875613834263E-3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input_503100!A$2</f>
        <v>503100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IFERROR(VLOOKUP(B225,input_503100!L:R,7,FALSE),VLOOKUP(tables_503100!C225,input_503100!A:H,8,FALSE))</f>
        <v>15154</v>
      </c>
      <c r="P225" s="46">
        <f t="shared" ca="1" si="10"/>
        <v>1.2400981996738865E-4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input_503100!A$2</f>
        <v>503100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IFERROR(VLOOKUP(B226,input_503100!L:R,7,FALSE),VLOOKUP(tables_503100!C226,input_503100!A:H,8,FALSE))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input_503100!A$2</f>
        <v>503100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IFERROR(VLOOKUP(B227,input_503100!L:R,7,FALSE),VLOOKUP(tables_503100!C227,input_503100!A:H,8,FALSE))</f>
        <v>1073110</v>
      </c>
      <c r="P227" s="46">
        <f t="shared" ca="1" si="10"/>
        <v>8.7815875613834263E-3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input_503100!A$2</f>
        <v>503100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IFERROR(VLOOKUP(B228,input_503100!L:R,7,FALSE),VLOOKUP(tables_503100!C228,input_503100!A:H,8,FALSE))</f>
        <v>15154</v>
      </c>
      <c r="P228" s="46">
        <f t="shared" ca="1" si="10"/>
        <v>1.2400981996738865E-4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input_503100!A$2</f>
        <v>503100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IFERROR(VLOOKUP(B229,input_503100!L:R,7,FALSE),VLOOKUP(tables_503100!C229,input_503100!A:H,8,FALSE))</f>
        <v>149433.14285999999</v>
      </c>
      <c r="P229" s="46">
        <f t="shared" ca="1" si="10"/>
        <v>1.2228571428817255E-3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input_503100!A$2</f>
        <v>503100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IFERROR(VLOOKUP(B230,input_503100!L:R,7,FALSE),VLOOKUP(tables_503100!C230,input_503100!A:H,8,FALSE))</f>
        <v>2444</v>
      </c>
      <c r="P230" s="46">
        <f t="shared" ca="1" si="10"/>
        <v>2.0000000000019656E-5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input_503100!A$2</f>
        <v>503100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IFERROR(VLOOKUP(B231,input_503100!L:R,7,FALSE),VLOOKUP(tables_503100!C231,input_503100!A:H,8,FALSE))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input_503100!A$2</f>
        <v>503100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IFERROR(VLOOKUP(B232,input_503100!L:R,7,FALSE),VLOOKUP(tables_503100!C232,input_503100!A:H,8,FALSE))</f>
        <v>1073110</v>
      </c>
      <c r="P232" s="46">
        <f t="shared" ca="1" si="10"/>
        <v>8.7815875613834263E-3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input_503100!A$2</f>
        <v>503100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IFERROR(VLOOKUP(B233,input_503100!L:R,7,FALSE),VLOOKUP(tables_503100!C233,input_503100!A:H,8,FALSE))</f>
        <v>15154</v>
      </c>
      <c r="P233" s="46">
        <f t="shared" ca="1" si="10"/>
        <v>1.2400981996738865E-4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input_503100!A$2</f>
        <v>503100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IFERROR(VLOOKUP(B234,input_503100!L:R,7,FALSE),VLOOKUP(tables_503100!C234,input_503100!A:H,8,FALSE))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input_503100!A$2</f>
        <v>503100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IFERROR(VLOOKUP(B235,input_503100!L:R,7,FALSE),VLOOKUP(tables_503100!C235,input_503100!A:H,8,FALSE))</f>
        <v>1073110</v>
      </c>
      <c r="P235" s="46">
        <f t="shared" ca="1" si="10"/>
        <v>8.7815875613834263E-3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input_503100!A$2</f>
        <v>503100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IFERROR(VLOOKUP(B236,input_503100!L:R,7,FALSE),VLOOKUP(tables_503100!C236,input_503100!A:H,8,FALSE))</f>
        <v>15154</v>
      </c>
      <c r="P236" s="46">
        <f t="shared" ca="1" si="10"/>
        <v>1.2400981996738865E-4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input_503100!A$2</f>
        <v>503100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IFERROR(VLOOKUP(B237,input_503100!L:R,7,FALSE),VLOOKUP(tables_503100!C237,input_503100!A:H,8,FALSE))</f>
        <v>149433.14285999999</v>
      </c>
      <c r="P237" s="46">
        <f t="shared" ca="1" si="10"/>
        <v>1.2228571428817255E-3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input_503100!A$2</f>
        <v>503100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IFERROR(VLOOKUP(B238,input_503100!L:R,7,FALSE),VLOOKUP(tables_503100!C238,input_503100!A:H,8,FALSE))</f>
        <v>2444</v>
      </c>
      <c r="P238" s="46">
        <f t="shared" ca="1" si="10"/>
        <v>2.0000000000019656E-5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input_503100!A$2</f>
        <v>503100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IFERROR(VLOOKUP(B239,input_503100!L:R,7,FALSE),VLOOKUP(tables_503100!C239,input_503100!A:H,8,FALSE))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input_503100!A$2</f>
        <v>503100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IFERROR(VLOOKUP(B240,input_503100!L:R,7,FALSE),VLOOKUP(tables_503100!C240,input_503100!A:H,8,FALSE))</f>
        <v>1073110</v>
      </c>
      <c r="P240" s="46">
        <f t="shared" ca="1" si="10"/>
        <v>8.7815875613834263E-3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input_503100!A$2</f>
        <v>503100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IFERROR(VLOOKUP(B241,input_503100!L:R,7,FALSE),VLOOKUP(tables_503100!C241,input_503100!A:H,8,FALSE))</f>
        <v>15154</v>
      </c>
      <c r="P241" s="46">
        <f t="shared" ca="1" si="10"/>
        <v>1.2400981996738865E-4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input_503100!A$2</f>
        <v>503100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IFERROR(VLOOKUP(B242,input_503100!L:R,7,FALSE),VLOOKUP(tables_503100!C242,input_503100!A:H,8,FALSE))</f>
        <v>149433.14285999999</v>
      </c>
      <c r="P242" s="46">
        <f t="shared" ca="1" si="10"/>
        <v>1.2228571428817255E-3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input_503100!A$2</f>
        <v>503100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IFERROR(VLOOKUP(B243,input_503100!L:R,7,FALSE),VLOOKUP(tables_503100!C243,input_503100!A:H,8,FALSE))</f>
        <v>2444</v>
      </c>
      <c r="P243" s="46">
        <f t="shared" ca="1" si="10"/>
        <v>2.0000000000019656E-5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input_503100!A$2</f>
        <v>503100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IFERROR(VLOOKUP(B244,input_503100!L:R,7,FALSE),VLOOKUP(tables_503100!C244,input_503100!A:H,8,FALSE))</f>
        <v>149433.14285999999</v>
      </c>
      <c r="P244" s="46">
        <f t="shared" ca="1" si="10"/>
        <v>1.2228571428817255E-3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input_503100!A$2</f>
        <v>503100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IFERROR(VLOOKUP(B245,input_503100!L:R,7,FALSE),VLOOKUP(tables_503100!C245,input_503100!A:H,8,FALSE))</f>
        <v>2444</v>
      </c>
      <c r="P245" s="46">
        <f t="shared" ca="1" si="10"/>
        <v>2.0000000000019656E-5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input_503100!A$2</f>
        <v>503100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IFERROR(VLOOKUP(B246,input_503100!L:R,7,FALSE),VLOOKUP(tables_503100!C246,input_503100!A:H,8,FALSE))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input_503100!A$2</f>
        <v>503100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IFERROR(VLOOKUP(B247,input_503100!L:R,7,FALSE),VLOOKUP(tables_503100!C247,input_503100!A:H,8,FALSE))</f>
        <v>1073110</v>
      </c>
      <c r="P247" s="46">
        <f t="shared" ca="1" si="10"/>
        <v>8.7815875613834263E-3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input_503100!A$2</f>
        <v>503100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IFERROR(VLOOKUP(B248,input_503100!L:R,7,FALSE),VLOOKUP(tables_503100!C248,input_503100!A:H,8,FALSE))</f>
        <v>15154</v>
      </c>
      <c r="P248" s="46">
        <f t="shared" ca="1" si="10"/>
        <v>1.2400981996738865E-4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input_503100!A$2</f>
        <v>503100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IFERROR(VLOOKUP(B249,input_503100!L:R,7,FALSE),VLOOKUP(tables_503100!C249,input_503100!A:H,8,FALSE))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input_503100!A$2</f>
        <v>503100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IFERROR(VLOOKUP(B250,input_503100!L:R,7,FALSE),VLOOKUP(tables_503100!C250,input_503100!A:H,8,FALSE))</f>
        <v>1073110</v>
      </c>
      <c r="P250" s="46">
        <f t="shared" ca="1" si="10"/>
        <v>8.7815875613834263E-3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input_503100!A$2</f>
        <v>503100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IFERROR(VLOOKUP(B251,input_503100!L:R,7,FALSE),VLOOKUP(tables_503100!C251,input_503100!A:H,8,FALSE))</f>
        <v>15154</v>
      </c>
      <c r="P251" s="46">
        <f t="shared" ca="1" si="10"/>
        <v>1.2400981996738865E-4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input_503100!A$2</f>
        <v>503100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IFERROR(VLOOKUP(B252,input_503100!L:R,7,FALSE),VLOOKUP(tables_503100!C252,input_503100!A:H,8,FALSE))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input_503100!A$2</f>
        <v>503100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IFERROR(VLOOKUP(B253,input_503100!L:R,7,FALSE),VLOOKUP(tables_503100!C253,input_503100!A:H,8,FALSE))</f>
        <v>1073110</v>
      </c>
      <c r="P253" s="46">
        <f t="shared" ca="1" si="10"/>
        <v>8.7815875613834263E-3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input_503100!A$2</f>
        <v>503100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IFERROR(VLOOKUP(B254,input_503100!L:R,7,FALSE),VLOOKUP(tables_503100!C254,input_503100!A:H,8,FALSE))</f>
        <v>15154</v>
      </c>
      <c r="P254" s="46">
        <f t="shared" ca="1" si="10"/>
        <v>1.2400981996738865E-4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input_503100!A$2</f>
        <v>503100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IFERROR(VLOOKUP(B255,input_503100!L:R,7,FALSE),VLOOKUP(tables_503100!C255,input_503100!A:H,8,FALSE))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input_503100!A$2</f>
        <v>503100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IFERROR(VLOOKUP(B256,input_503100!L:R,7,FALSE),VLOOKUP(tables_503100!C256,input_503100!A:H,8,FALSE))</f>
        <v>1073110</v>
      </c>
      <c r="P256" s="46">
        <f t="shared" ca="1" si="10"/>
        <v>8.7815875613834263E-3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input_503100!A$2</f>
        <v>503100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IFERROR(VLOOKUP(B257,input_503100!L:R,7,FALSE),VLOOKUP(tables_503100!C257,input_503100!A:H,8,FALSE))</f>
        <v>15154</v>
      </c>
      <c r="P257" s="46">
        <f t="shared" ca="1" si="10"/>
        <v>1.2400981996738865E-4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input_503100!A$2</f>
        <v>503100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IFERROR(VLOOKUP(B258,input_503100!L:R,7,FALSE),VLOOKUP(tables_503100!C258,input_503100!A:H,8,FALSE))</f>
        <v>149433.14285999999</v>
      </c>
      <c r="P258" s="46">
        <f t="shared" ref="P258:P321" ca="1" si="13">O258/SUM(O:O)</f>
        <v>1.2228571428817255E-3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input_503100!A$2</f>
        <v>503100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IFERROR(VLOOKUP(B259,input_503100!L:R,7,FALSE),VLOOKUP(tables_503100!C259,input_503100!A:H,8,FALSE))</f>
        <v>2444</v>
      </c>
      <c r="P259" s="46">
        <f t="shared" ca="1" si="13"/>
        <v>2.0000000000019656E-5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input_503100!A$2</f>
        <v>503100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IFERROR(VLOOKUP(B260,input_503100!L:R,7,FALSE),VLOOKUP(tables_503100!C260,input_503100!A:H,8,FALSE))</f>
        <v>149433.14285999999</v>
      </c>
      <c r="P260" s="46">
        <f t="shared" ca="1" si="13"/>
        <v>1.2228571428817255E-3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input_503100!A$2</f>
        <v>503100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IFERROR(VLOOKUP(B261,input_503100!L:R,7,FALSE),VLOOKUP(tables_503100!C261,input_503100!A:H,8,FALSE))</f>
        <v>2444</v>
      </c>
      <c r="P261" s="46">
        <f t="shared" ca="1" si="13"/>
        <v>2.0000000000019656E-5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input_503100!A$2</f>
        <v>503100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IFERROR(VLOOKUP(B262,input_503100!L:R,7,FALSE),VLOOKUP(tables_503100!C262,input_503100!A:H,8,FALSE))</f>
        <v>1191435.55556</v>
      </c>
      <c r="P262" s="46">
        <f t="shared" ca="1" si="13"/>
        <v>9.7498817967362605E-3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input_503100!A$2</f>
        <v>503100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IFERROR(VLOOKUP(B263,input_503100!L:R,7,FALSE),VLOOKUP(tables_503100!C263,input_503100!A:H,8,FALSE))</f>
        <v>9273.3333299999995</v>
      </c>
      <c r="P263" s="46">
        <f t="shared" ca="1" si="13"/>
        <v>7.5886524795491933E-5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input_503100!A$2</f>
        <v>503100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IFERROR(VLOOKUP(B264,input_503100!L:R,7,FALSE),VLOOKUP(tables_503100!C264,input_503100!A:H,8,FALSE))</f>
        <v>1191435.55556</v>
      </c>
      <c r="P264" s="46">
        <f t="shared" ca="1" si="13"/>
        <v>9.7498817967362605E-3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input_503100!A$2</f>
        <v>503100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IFERROR(VLOOKUP(B265,input_503100!L:R,7,FALSE),VLOOKUP(tables_503100!C265,input_503100!A:H,8,FALSE))</f>
        <v>9273.3333299999995</v>
      </c>
      <c r="P265" s="46">
        <f t="shared" ca="1" si="13"/>
        <v>7.5886524795491933E-5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input_503100!A$2</f>
        <v>503100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IFERROR(VLOOKUP(B266,input_503100!L:R,7,FALSE),VLOOKUP(tables_503100!C266,input_503100!A:H,8,FALSE))</f>
        <v>48880</v>
      </c>
      <c r="P266" s="46">
        <f t="shared" ca="1" si="13"/>
        <v>4.0000000000039315E-4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input_503100!A$2</f>
        <v>503100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IFERROR(VLOOKUP(B267,input_503100!L:R,7,FALSE),VLOOKUP(tables_503100!C267,input_503100!A:H,8,FALSE))</f>
        <v>48880</v>
      </c>
      <c r="P267" s="46">
        <f t="shared" ca="1" si="13"/>
        <v>4.0000000000039315E-4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input_503100!A$2</f>
        <v>503100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IFERROR(VLOOKUP(B268,input_503100!L:R,7,FALSE),VLOOKUP(tables_503100!C268,input_503100!A:H,8,FALSE))</f>
        <v>48880</v>
      </c>
      <c r="P268" s="46">
        <f t="shared" ca="1" si="13"/>
        <v>4.0000000000039315E-4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input_503100!A$2</f>
        <v>503100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IFERROR(VLOOKUP(B269,input_503100!L:R,7,FALSE),VLOOKUP(tables_503100!C269,input_503100!A:H,8,FALSE))</f>
        <v>48880</v>
      </c>
      <c r="P269" s="46">
        <f t="shared" ca="1" si="13"/>
        <v>4.0000000000039315E-4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input_503100!A$2</f>
        <v>503100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IFERROR(VLOOKUP(B270,input_503100!L:R,7,FALSE),VLOOKUP(tables_503100!C270,input_503100!A:H,8,FALSE))</f>
        <v>1191435.55556</v>
      </c>
      <c r="P270" s="46">
        <f t="shared" ca="1" si="13"/>
        <v>9.7498817967362605E-3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input_503100!A$2</f>
        <v>503100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IFERROR(VLOOKUP(B271,input_503100!L:R,7,FALSE),VLOOKUP(tables_503100!C271,input_503100!A:H,8,FALSE))</f>
        <v>9273.3333299999995</v>
      </c>
      <c r="P271" s="46">
        <f t="shared" ca="1" si="13"/>
        <v>7.5886524795491933E-5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input_503100!A$2</f>
        <v>503100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IFERROR(VLOOKUP(B272,input_503100!L:R,7,FALSE),VLOOKUP(tables_503100!C272,input_503100!A:H,8,FALSE))</f>
        <v>1191435.55556</v>
      </c>
      <c r="P272" s="46">
        <f t="shared" ca="1" si="13"/>
        <v>9.7498817967362605E-3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input_503100!A$2</f>
        <v>503100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IFERROR(VLOOKUP(B273,input_503100!L:R,7,FALSE),VLOOKUP(tables_503100!C273,input_503100!A:H,8,FALSE))</f>
        <v>9273.3333299999995</v>
      </c>
      <c r="P273" s="46">
        <f t="shared" ca="1" si="13"/>
        <v>7.5886524795491933E-5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input_503100!A$2</f>
        <v>503100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IFERROR(VLOOKUP(B274,input_503100!L:R,7,FALSE),VLOOKUP(tables_503100!C274,input_503100!A:H,8,FALSE))</f>
        <v>149433.14285999999</v>
      </c>
      <c r="P274" s="46">
        <f t="shared" ca="1" si="13"/>
        <v>1.2228571428817255E-3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input_503100!A$2</f>
        <v>503100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IFERROR(VLOOKUP(B275,input_503100!L:R,7,FALSE),VLOOKUP(tables_503100!C275,input_503100!A:H,8,FALSE))</f>
        <v>2444</v>
      </c>
      <c r="P275" s="46">
        <f t="shared" ca="1" si="13"/>
        <v>2.0000000000019656E-5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input_503100!A$2</f>
        <v>503100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IFERROR(VLOOKUP(B276,input_503100!L:R,7,FALSE),VLOOKUP(tables_503100!C276,input_503100!A:H,8,FALSE))</f>
        <v>149433.14285999999</v>
      </c>
      <c r="P276" s="46">
        <f t="shared" ca="1" si="13"/>
        <v>1.2228571428817255E-3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input_503100!A$2</f>
        <v>503100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IFERROR(VLOOKUP(B277,input_503100!L:R,7,FALSE),VLOOKUP(tables_503100!C277,input_503100!A:H,8,FALSE))</f>
        <v>2444</v>
      </c>
      <c r="P277" s="46">
        <f t="shared" ca="1" si="13"/>
        <v>2.0000000000019656E-5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input_503100!A$2</f>
        <v>503100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IFERROR(VLOOKUP(B278,input_503100!L:R,7,FALSE),VLOOKUP(tables_503100!C278,input_503100!A:H,8,FALSE))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input_503100!A$2</f>
        <v>503100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IFERROR(VLOOKUP(B279,input_503100!L:R,7,FALSE),VLOOKUP(tables_503100!C279,input_503100!A:H,8,FALSE))</f>
        <v>1073110</v>
      </c>
      <c r="P279" s="46">
        <f t="shared" ca="1" si="13"/>
        <v>8.7815875613834263E-3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input_503100!A$2</f>
        <v>503100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IFERROR(VLOOKUP(B280,input_503100!L:R,7,FALSE),VLOOKUP(tables_503100!C280,input_503100!A:H,8,FALSE))</f>
        <v>15154</v>
      </c>
      <c r="P280" s="46">
        <f t="shared" ca="1" si="13"/>
        <v>1.2400981996738865E-4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input_503100!A$2</f>
        <v>503100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IFERROR(VLOOKUP(B281,input_503100!L:R,7,FALSE),VLOOKUP(tables_503100!C281,input_503100!A:H,8,FALSE))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input_503100!A$2</f>
        <v>503100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IFERROR(VLOOKUP(B282,input_503100!L:R,7,FALSE),VLOOKUP(tables_503100!C282,input_503100!A:H,8,FALSE))</f>
        <v>1073110</v>
      </c>
      <c r="P282" s="46">
        <f t="shared" ca="1" si="13"/>
        <v>8.7815875613834263E-3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input_503100!A$2</f>
        <v>503100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IFERROR(VLOOKUP(B283,input_503100!L:R,7,FALSE),VLOOKUP(tables_503100!C283,input_503100!A:H,8,FALSE))</f>
        <v>15154</v>
      </c>
      <c r="P283" s="46">
        <f t="shared" ca="1" si="13"/>
        <v>1.2400981996738865E-4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input_503100!A$2</f>
        <v>503100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IFERROR(VLOOKUP(B284,input_503100!L:R,7,FALSE),VLOOKUP(tables_503100!C284,input_503100!A:H,8,FALSE))</f>
        <v>48880</v>
      </c>
      <c r="P284" s="46">
        <f t="shared" ca="1" si="13"/>
        <v>4.0000000000039315E-4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input_503100!A$2</f>
        <v>503100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IFERROR(VLOOKUP(B285,input_503100!L:R,7,FALSE),VLOOKUP(tables_503100!C285,input_503100!A:H,8,FALSE))</f>
        <v>48880</v>
      </c>
      <c r="P285" s="46">
        <f t="shared" ca="1" si="13"/>
        <v>4.0000000000039315E-4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input_503100!A$2</f>
        <v>503100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IFERROR(VLOOKUP(B286,input_503100!L:R,7,FALSE),VLOOKUP(tables_503100!C286,input_503100!A:H,8,FALSE))</f>
        <v>1191435.55556</v>
      </c>
      <c r="P286" s="46">
        <f t="shared" ca="1" si="13"/>
        <v>9.7498817967362605E-3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input_503100!A$2</f>
        <v>503100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IFERROR(VLOOKUP(B287,input_503100!L:R,7,FALSE),VLOOKUP(tables_503100!C287,input_503100!A:H,8,FALSE))</f>
        <v>9273.3333299999995</v>
      </c>
      <c r="P287" s="46">
        <f t="shared" ca="1" si="13"/>
        <v>7.5886524795491933E-5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input_503100!A$2</f>
        <v>503100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IFERROR(VLOOKUP(B288,input_503100!L:R,7,FALSE),VLOOKUP(tables_503100!C288,input_503100!A:H,8,FALSE))</f>
        <v>1191435.55556</v>
      </c>
      <c r="P288" s="46">
        <f t="shared" ca="1" si="13"/>
        <v>9.7498817967362605E-3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input_503100!A$2</f>
        <v>503100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IFERROR(VLOOKUP(B289,input_503100!L:R,7,FALSE),VLOOKUP(tables_503100!C289,input_503100!A:H,8,FALSE))</f>
        <v>9273.3333299999995</v>
      </c>
      <c r="P289" s="46">
        <f t="shared" ca="1" si="13"/>
        <v>7.5886524795491933E-5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input_503100!A$2</f>
        <v>503100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IFERROR(VLOOKUP(B290,input_503100!L:R,7,FALSE),VLOOKUP(tables_503100!C290,input_503100!A:H,8,FALSE))</f>
        <v>1191435.55556</v>
      </c>
      <c r="P290" s="46">
        <f t="shared" ca="1" si="13"/>
        <v>9.7498817967362605E-3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input_503100!A$2</f>
        <v>503100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IFERROR(VLOOKUP(B291,input_503100!L:R,7,FALSE),VLOOKUP(tables_503100!C291,input_503100!A:H,8,FALSE))</f>
        <v>9273.3333299999995</v>
      </c>
      <c r="P291" s="46">
        <f t="shared" ca="1" si="13"/>
        <v>7.5886524795491933E-5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input_503100!A$2</f>
        <v>503100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IFERROR(VLOOKUP(B292,input_503100!L:R,7,FALSE),VLOOKUP(tables_503100!C292,input_503100!A:H,8,FALSE))</f>
        <v>1191435.55556</v>
      </c>
      <c r="P292" s="46">
        <f t="shared" ca="1" si="13"/>
        <v>9.7498817967362605E-3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input_503100!A$2</f>
        <v>503100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IFERROR(VLOOKUP(B293,input_503100!L:R,7,FALSE),VLOOKUP(tables_503100!C293,input_503100!A:H,8,FALSE))</f>
        <v>9273.3333299999995</v>
      </c>
      <c r="P293" s="46">
        <f t="shared" ca="1" si="13"/>
        <v>7.5886524795491933E-5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input_503100!A$2</f>
        <v>503100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IFERROR(VLOOKUP(B294,input_503100!L:R,7,FALSE),VLOOKUP(tables_503100!C294,input_503100!A:H,8,FALSE))</f>
        <v>48880</v>
      </c>
      <c r="P294" s="46">
        <f t="shared" ca="1" si="13"/>
        <v>4.0000000000039315E-4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input_503100!A$2</f>
        <v>503100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IFERROR(VLOOKUP(B295,input_503100!L:R,7,FALSE),VLOOKUP(tables_503100!C295,input_503100!A:H,8,FALSE))</f>
        <v>48880</v>
      </c>
      <c r="P295" s="46">
        <f t="shared" ca="1" si="13"/>
        <v>4.0000000000039315E-4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input_503100!A$2</f>
        <v>503100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IFERROR(VLOOKUP(B296,input_503100!L:R,7,FALSE),VLOOKUP(tables_503100!C296,input_503100!A:H,8,FALSE))</f>
        <v>48880</v>
      </c>
      <c r="P296" s="46">
        <f t="shared" ca="1" si="13"/>
        <v>4.0000000000039315E-4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input_503100!A$2</f>
        <v>503100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IFERROR(VLOOKUP(B297,input_503100!L:R,7,FALSE),VLOOKUP(tables_503100!C297,input_503100!A:H,8,FALSE))</f>
        <v>1191435.55556</v>
      </c>
      <c r="P297" s="46">
        <f t="shared" ca="1" si="13"/>
        <v>9.7498817967362605E-3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input_503100!A$2</f>
        <v>503100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IFERROR(VLOOKUP(B298,input_503100!L:R,7,FALSE),VLOOKUP(tables_503100!C298,input_503100!A:H,8,FALSE))</f>
        <v>9273.3333299999995</v>
      </c>
      <c r="P298" s="46">
        <f t="shared" ca="1" si="13"/>
        <v>7.5886524795491933E-5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input_503100!A$2</f>
        <v>503100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IFERROR(VLOOKUP(B299,input_503100!L:R,7,FALSE),VLOOKUP(tables_503100!C299,input_503100!A:H,8,FALSE))</f>
        <v>48880</v>
      </c>
      <c r="P299" s="46">
        <f t="shared" ca="1" si="13"/>
        <v>4.0000000000039315E-4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input_503100!A$2</f>
        <v>503100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IFERROR(VLOOKUP(B300,input_503100!L:R,7,FALSE),VLOOKUP(tables_503100!C300,input_503100!A:H,8,FALSE))</f>
        <v>48880</v>
      </c>
      <c r="P300" s="46">
        <f t="shared" ca="1" si="13"/>
        <v>4.0000000000039315E-4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input_503100!A$2</f>
        <v>503100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IFERROR(VLOOKUP(B301,input_503100!L:R,7,FALSE),VLOOKUP(tables_503100!C301,input_503100!A:H,8,FALSE))</f>
        <v>48880</v>
      </c>
      <c r="P301" s="46">
        <f t="shared" ca="1" si="13"/>
        <v>4.0000000000039315E-4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input_503100!A$2</f>
        <v>503100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IFERROR(VLOOKUP(B302,input_503100!L:R,7,FALSE),VLOOKUP(tables_503100!C302,input_503100!A:H,8,FALSE))</f>
        <v>48880</v>
      </c>
      <c r="P302" s="46">
        <f t="shared" ca="1" si="13"/>
        <v>4.0000000000039315E-4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input_503100!A$2</f>
        <v>503100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IFERROR(VLOOKUP(B303,input_503100!L:R,7,FALSE),VLOOKUP(tables_503100!C303,input_503100!A:H,8,FALSE))</f>
        <v>1191435.55556</v>
      </c>
      <c r="P303" s="46">
        <f t="shared" ca="1" si="13"/>
        <v>9.7498817967362605E-3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input_503100!A$2</f>
        <v>503100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IFERROR(VLOOKUP(B304,input_503100!L:R,7,FALSE),VLOOKUP(tables_503100!C304,input_503100!A:H,8,FALSE))</f>
        <v>9273.3333299999995</v>
      </c>
      <c r="P304" s="46">
        <f t="shared" ca="1" si="13"/>
        <v>7.5886524795491933E-5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input_503100!A$2</f>
        <v>503100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IFERROR(VLOOKUP(B305,input_503100!L:R,7,FALSE),VLOOKUP(tables_503100!C305,input_503100!A:H,8,FALSE))</f>
        <v>48880</v>
      </c>
      <c r="P305" s="46">
        <f t="shared" ca="1" si="13"/>
        <v>4.0000000000039315E-4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input_503100!A$2</f>
        <v>503100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IFERROR(VLOOKUP(B306,input_503100!L:R,7,FALSE),VLOOKUP(tables_503100!C306,input_503100!A:H,8,FALSE))</f>
        <v>1191435.55556</v>
      </c>
      <c r="P306" s="46">
        <f t="shared" ca="1" si="13"/>
        <v>9.7498817967362605E-3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input_503100!A$2</f>
        <v>503100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IFERROR(VLOOKUP(B307,input_503100!L:R,7,FALSE),VLOOKUP(tables_503100!C307,input_503100!A:H,8,FALSE))</f>
        <v>9273.3333299999995</v>
      </c>
      <c r="P307" s="46">
        <f t="shared" ca="1" si="13"/>
        <v>7.5886524795491933E-5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input_503100!A$2</f>
        <v>503100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IFERROR(VLOOKUP(B308,input_503100!L:R,7,FALSE),VLOOKUP(tables_503100!C308,input_503100!A:H,8,FALSE))</f>
        <v>48880</v>
      </c>
      <c r="P308" s="46">
        <f t="shared" ca="1" si="13"/>
        <v>4.0000000000039315E-4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input_503100!A$2</f>
        <v>503100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IFERROR(VLOOKUP(B309,input_503100!L:R,7,FALSE),VLOOKUP(tables_503100!C309,input_503100!A:H,8,FALSE))</f>
        <v>48880</v>
      </c>
      <c r="P309" s="46">
        <f t="shared" ca="1" si="13"/>
        <v>4.0000000000039315E-4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input_503100!A$2</f>
        <v>503100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IFERROR(VLOOKUP(B310,input_503100!L:R,7,FALSE),VLOOKUP(tables_503100!C310,input_503100!A:H,8,FALSE))</f>
        <v>48880</v>
      </c>
      <c r="P310" s="46">
        <f t="shared" ca="1" si="13"/>
        <v>4.0000000000039315E-4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input_503100!A$2</f>
        <v>503100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IFERROR(VLOOKUP(B311,input_503100!L:R,7,FALSE),VLOOKUP(tables_503100!C311,input_503100!A:H,8,FALSE))</f>
        <v>1191435.55556</v>
      </c>
      <c r="P311" s="46">
        <f t="shared" ca="1" si="13"/>
        <v>9.7498817967362605E-3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input_503100!A$2</f>
        <v>503100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IFERROR(VLOOKUP(B312,input_503100!L:R,7,FALSE),VLOOKUP(tables_503100!C312,input_503100!A:H,8,FALSE))</f>
        <v>9273.3333299999995</v>
      </c>
      <c r="P312" s="46">
        <f t="shared" ca="1" si="13"/>
        <v>7.5886524795491933E-5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input_503100!A$2</f>
        <v>503100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IFERROR(VLOOKUP(B313,input_503100!L:R,7,FALSE),VLOOKUP(tables_503100!C313,input_503100!A:H,8,FALSE))</f>
        <v>48880</v>
      </c>
      <c r="P313" s="46">
        <f t="shared" ca="1" si="13"/>
        <v>4.0000000000039315E-4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input_503100!A$2</f>
        <v>503100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IFERROR(VLOOKUP(B314,input_503100!L:R,7,FALSE),VLOOKUP(tables_503100!C314,input_503100!A:H,8,FALSE))</f>
        <v>48880</v>
      </c>
      <c r="P314" s="46">
        <f t="shared" ca="1" si="13"/>
        <v>4.0000000000039315E-4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input_503100!A$2</f>
        <v>503100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IFERROR(VLOOKUP(B315,input_503100!L:R,7,FALSE),VLOOKUP(tables_503100!C315,input_503100!A:H,8,FALSE))</f>
        <v>48880</v>
      </c>
      <c r="P315" s="46">
        <f t="shared" ca="1" si="13"/>
        <v>4.0000000000039315E-4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input_503100!A$2</f>
        <v>503100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IFERROR(VLOOKUP(B316,input_503100!L:R,7,FALSE),VLOOKUP(tables_503100!C316,input_503100!A:H,8,FALSE))</f>
        <v>48880</v>
      </c>
      <c r="P316" s="46">
        <f t="shared" ca="1" si="13"/>
        <v>4.0000000000039315E-4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input_503100!A$2</f>
        <v>503100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IFERROR(VLOOKUP(B317,input_503100!L:R,7,FALSE),VLOOKUP(tables_503100!C317,input_503100!A:H,8,FALSE))</f>
        <v>48880</v>
      </c>
      <c r="P317" s="46">
        <f t="shared" ca="1" si="13"/>
        <v>4.0000000000039315E-4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input_503100!A$2</f>
        <v>503100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IFERROR(VLOOKUP(B318,input_503100!L:R,7,FALSE),VLOOKUP(tables_503100!C318,input_503100!A:H,8,FALSE))</f>
        <v>1191435.55556</v>
      </c>
      <c r="P318" s="46">
        <f t="shared" ca="1" si="13"/>
        <v>9.7498817967362605E-3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input_503100!A$2</f>
        <v>503100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IFERROR(VLOOKUP(B319,input_503100!L:R,7,FALSE),VLOOKUP(tables_503100!C319,input_503100!A:H,8,FALSE))</f>
        <v>9273.3333299999995</v>
      </c>
      <c r="P319" s="46">
        <f t="shared" ca="1" si="13"/>
        <v>7.5886524795491933E-5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input_503100!A$2</f>
        <v>503100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IFERROR(VLOOKUP(B320,input_503100!L:R,7,FALSE),VLOOKUP(tables_503100!C320,input_503100!A:H,8,FALSE))</f>
        <v>48880</v>
      </c>
      <c r="P320" s="46">
        <f t="shared" ca="1" si="13"/>
        <v>4.0000000000039315E-4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input_503100!A$2</f>
        <v>503100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IFERROR(VLOOKUP(B321,input_503100!L:R,7,FALSE),VLOOKUP(tables_503100!C321,input_503100!A:H,8,FALSE))</f>
        <v>48880</v>
      </c>
      <c r="P321" s="46">
        <f t="shared" ca="1" si="13"/>
        <v>4.0000000000039315E-4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input_503100!A$2</f>
        <v>503100</v>
      </c>
      <c r="B322" s="5">
        <v>1139</v>
      </c>
      <c r="C322" s="7" t="str">
        <f t="shared" ref="C322:C346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IFERROR(VLOOKUP(B322,input_503100!L:R,7,FALSE),VLOOKUP(tables_503100!C322,input_503100!A:H,8,FALSE))</f>
        <v>48880</v>
      </c>
      <c r="P322" s="46">
        <f t="shared" ref="P322:P346" ca="1" si="16">O322/SUM(O:O)</f>
        <v>4.0000000000039315E-4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input_503100!A$2</f>
        <v>503100</v>
      </c>
      <c r="B323" s="5">
        <v>1141</v>
      </c>
      <c r="C323" s="7" t="str">
        <f t="shared" si="15"/>
        <v>PremiumSS5R5only</v>
      </c>
      <c r="D323" s="7" t="str">
        <f t="shared" ref="D323:D346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IFERROR(VLOOKUP(B323,input_503100!L:R,7,FALSE),VLOOKUP(tables_503100!C323,input_503100!A:H,8,FALSE))</f>
        <v>48880</v>
      </c>
      <c r="P323" s="46">
        <f t="shared" ca="1" si="16"/>
        <v>4.0000000000039315E-4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input_503100!A$2</f>
        <v>503100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IFERROR(VLOOKUP(B324,input_503100!L:R,7,FALSE),VLOOKUP(tables_503100!C324,input_503100!A:H,8,FALSE))</f>
        <v>1191435.55556</v>
      </c>
      <c r="P324" s="46">
        <f t="shared" ca="1" si="16"/>
        <v>9.7498817967362605E-3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input_503100!A$2</f>
        <v>503100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IFERROR(VLOOKUP(B325,input_503100!L:R,7,FALSE),VLOOKUP(tables_503100!C325,input_503100!A:H,8,FALSE))</f>
        <v>9273.3333299999995</v>
      </c>
      <c r="P325" s="46">
        <f t="shared" ca="1" si="16"/>
        <v>7.5886524795491933E-5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input_503100!A$2</f>
        <v>503100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IFERROR(VLOOKUP(B326,input_503100!L:R,7,FALSE),VLOOKUP(tables_503100!C326,input_503100!A:H,8,FALSE))</f>
        <v>1191435.55556</v>
      </c>
      <c r="P326" s="46">
        <f t="shared" ca="1" si="16"/>
        <v>9.7498817967362605E-3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input_503100!A$2</f>
        <v>503100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IFERROR(VLOOKUP(B327,input_503100!L:R,7,FALSE),VLOOKUP(tables_503100!C327,input_503100!A:H,8,FALSE))</f>
        <v>9273.3333299999995</v>
      </c>
      <c r="P327" s="46">
        <f t="shared" ca="1" si="16"/>
        <v>7.5886524795491933E-5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input_503100!A$2</f>
        <v>503100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IFERROR(VLOOKUP(B328,input_503100!L:R,7,FALSE),VLOOKUP(tables_503100!C328,input_503100!A:H,8,FALSE))</f>
        <v>48880</v>
      </c>
      <c r="P328" s="46">
        <f t="shared" ca="1" si="16"/>
        <v>4.0000000000039315E-4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input_503100!A$2</f>
        <v>503100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IFERROR(VLOOKUP(B329,input_503100!L:R,7,FALSE),VLOOKUP(tables_503100!C329,input_503100!A:H,8,FALSE))</f>
        <v>48880</v>
      </c>
      <c r="P329" s="46">
        <f t="shared" ca="1" si="16"/>
        <v>4.0000000000039315E-4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input_503100!A$2</f>
        <v>503100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IFERROR(VLOOKUP(B330,input_503100!L:R,7,FALSE),VLOOKUP(tables_503100!C330,input_503100!A:H,8,FALSE))</f>
        <v>48880</v>
      </c>
      <c r="P330" s="46">
        <f t="shared" ca="1" si="16"/>
        <v>4.0000000000039315E-4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input_503100!A$2</f>
        <v>503100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IFERROR(VLOOKUP(B331,input_503100!L:R,7,FALSE),VLOOKUP(tables_503100!C331,input_503100!A:H,8,FALSE))</f>
        <v>48880</v>
      </c>
      <c r="P331" s="46">
        <f t="shared" ca="1" si="16"/>
        <v>4.0000000000039315E-4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input_503100!A$2</f>
        <v>503100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IFERROR(VLOOKUP(B332,input_503100!L:R,7,FALSE),VLOOKUP(tables_503100!C332,input_503100!A:H,8,FALSE))</f>
        <v>48880</v>
      </c>
      <c r="P332" s="46">
        <f t="shared" ca="1" si="16"/>
        <v>4.0000000000039315E-4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input_503100!A$2</f>
        <v>503100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IFERROR(VLOOKUP(B333,input_503100!L:R,7,FALSE),VLOOKUP(tables_503100!C333,input_503100!A:H,8,FALSE))</f>
        <v>48880</v>
      </c>
      <c r="P333" s="46">
        <f t="shared" ca="1" si="16"/>
        <v>4.0000000000039315E-4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input_503100!A$2</f>
        <v>503100</v>
      </c>
      <c r="B334" s="89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IFERROR(VLOOKUP(B334,input_503100!L:R,7,FALSE),VLOOKUP(tables_503100!C334,input_503100!A:H,8,FALSE))</f>
        <v>1191435.55556</v>
      </c>
      <c r="P334" s="46">
        <f t="shared" ca="1" si="16"/>
        <v>9.7498817967362605E-3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input_503100!A$2</f>
        <v>503100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IFERROR(VLOOKUP(B335,input_503100!L:R,7,FALSE),VLOOKUP(tables_503100!C335,input_503100!A:H,8,FALSE))</f>
        <v>9273.3333299999995</v>
      </c>
      <c r="P335" s="46">
        <f t="shared" ca="1" si="16"/>
        <v>7.5886524795491933E-5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input_503100!A$2</f>
        <v>503100</v>
      </c>
      <c r="B336" s="60">
        <v>1228</v>
      </c>
      <c r="C336" s="7" t="str">
        <f t="shared" si="15"/>
        <v>PremiumSS5R5only</v>
      </c>
      <c r="D336" s="93" t="str">
        <f t="shared" si="17"/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IFERROR(VLOOKUP(B336,input_503100!L:R,7,FALSE),VLOOKUP(tables_503100!C336,input_503100!A:H,8,FALSE))</f>
        <v>48880</v>
      </c>
      <c r="P336" s="46">
        <f t="shared" ca="1" si="16"/>
        <v>4.0000000000039315E-4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input_503100!A$2</f>
        <v>503100</v>
      </c>
      <c r="B337" s="60">
        <v>1226</v>
      </c>
      <c r="C337" s="7" t="str">
        <f t="shared" si="15"/>
        <v>PremiumSS5R5only</v>
      </c>
      <c r="D337" s="93" t="str">
        <f t="shared" si="17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IFERROR(VLOOKUP(B337,input_503100!L:R,7,FALSE),VLOOKUP(tables_503100!C337,input_503100!A:H,8,FALSE))</f>
        <v>48880</v>
      </c>
      <c r="P337" s="46">
        <f t="shared" ca="1" si="16"/>
        <v>4.0000000000039315E-4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input_503100!A$2</f>
        <v>503100</v>
      </c>
      <c r="B338" s="60">
        <v>1230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IFERROR(VLOOKUP(B338,input_503100!L:R,7,FALSE),VLOOKUP(tables_503100!C338,input_503100!A:H,8,FALSE))</f>
        <v>48880</v>
      </c>
      <c r="P338" s="46">
        <f t="shared" ca="1" si="16"/>
        <v>4.0000000000039315E-4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input_503100!A$2</f>
        <v>503100</v>
      </c>
      <c r="B339" s="89">
        <v>1224</v>
      </c>
      <c r="C339" s="7" t="str">
        <f t="shared" si="15"/>
        <v>Premium4R3less</v>
      </c>
      <c r="D339" s="93" t="str">
        <f t="shared" si="17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IFERROR(VLOOKUP(B339,input_503100!L:R,7,FALSE),VLOOKUP(tables_503100!C339,input_503100!A:H,8,FALSE))</f>
        <v>1191435.55556</v>
      </c>
      <c r="P339" s="46">
        <f t="shared" ca="1" si="16"/>
        <v>9.7498817967362605E-3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input_503100!A$2</f>
        <v>503100</v>
      </c>
      <c r="B340" s="60">
        <v>1225</v>
      </c>
      <c r="C340" s="7" t="str">
        <f t="shared" si="15"/>
        <v>Premium5R3less</v>
      </c>
      <c r="D340" s="93" t="str">
        <f t="shared" si="17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IFERROR(VLOOKUP(B340,input_503100!L:R,7,FALSE),VLOOKUP(tables_503100!C340,input_503100!A:H,8,FALSE))</f>
        <v>9273.3333299999995</v>
      </c>
      <c r="P340" s="46">
        <f t="shared" ca="1" si="16"/>
        <v>7.5886524795491933E-5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input_503100!A$2</f>
        <v>503100</v>
      </c>
      <c r="B341" s="1">
        <v>1250</v>
      </c>
      <c r="C341" s="7" t="str">
        <f t="shared" si="15"/>
        <v>PremiumSS5R5only</v>
      </c>
      <c r="D341" s="93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IFERROR(VLOOKUP(B341,input_503100!L:R,7,FALSE),VLOOKUP(tables_503100!C341,input_503100!A:H,8,FALSE))</f>
        <v>48880</v>
      </c>
      <c r="P341" s="46">
        <f t="shared" ca="1" si="16"/>
        <v>4.0000000000039315E-4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input_503100!A$2</f>
        <v>503100</v>
      </c>
      <c r="B342" s="1">
        <v>1244</v>
      </c>
      <c r="C342" s="7" t="str">
        <f t="shared" si="15"/>
        <v>PremiumSS5R5only</v>
      </c>
      <c r="D342" s="93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IFERROR(VLOOKUP(B342,input_503100!L:R,7,FALSE),VLOOKUP(tables_503100!C342,input_503100!A:H,8,FALSE))</f>
        <v>48880</v>
      </c>
      <c r="P342" s="46">
        <f t="shared" ca="1" si="16"/>
        <v>4.0000000000039315E-4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input_503100!A$2</f>
        <v>503100</v>
      </c>
      <c r="B343" s="1">
        <v>1246</v>
      </c>
      <c r="C343" s="7" t="str">
        <f t="shared" si="15"/>
        <v>PremiumSS5R5only</v>
      </c>
      <c r="D343" s="93" t="str">
        <f t="shared" si="17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IFERROR(VLOOKUP(B343,input_503100!L:R,7,FALSE),VLOOKUP(tables_503100!C343,input_503100!A:H,8,FALSE))</f>
        <v>48880</v>
      </c>
      <c r="P343" s="46">
        <f t="shared" ca="1" si="16"/>
        <v>4.0000000000039315E-4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input_503100!A$2</f>
        <v>503100</v>
      </c>
      <c r="B344" s="1">
        <v>1248</v>
      </c>
      <c r="C344" s="7" t="str">
        <f t="shared" si="15"/>
        <v>Premium4R3less</v>
      </c>
      <c r="D344" s="93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IFERROR(VLOOKUP(B344,input_503100!L:R,7,FALSE),VLOOKUP(tables_503100!C344,input_503100!A:H,8,FALSE))</f>
        <v>1191435.55556</v>
      </c>
      <c r="P344" s="46">
        <f t="shared" ca="1" si="16"/>
        <v>9.7498817967362605E-3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input_503100!A$2</f>
        <v>503100</v>
      </c>
      <c r="B345" s="1">
        <v>1249</v>
      </c>
      <c r="C345" s="7" t="str">
        <f t="shared" si="15"/>
        <v>Premium5R3less</v>
      </c>
      <c r="D345" s="93" t="str">
        <f t="shared" si="17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IFERROR(VLOOKUP(B345,input_503100!L:R,7,FALSE),VLOOKUP(tables_503100!C345,input_503100!A:H,8,FALSE))</f>
        <v>9273.3333299999995</v>
      </c>
      <c r="P345" s="46">
        <f t="shared" ca="1" si="16"/>
        <v>7.5886524795491933E-5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input_503100!A$2</f>
        <v>503100</v>
      </c>
      <c r="B346" s="1">
        <v>955</v>
      </c>
      <c r="C346" s="7" t="str">
        <f t="shared" si="15"/>
        <v>PremiumSSS5R3less</v>
      </c>
      <c r="D346" s="93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45">
        <f>IFERROR(VLOOKUP(B346,input_503100!L:R,7,FALSE),VLOOKUP(tables_503100!C346,input_503100!A:H,8,FALSE))</f>
        <v>2932800</v>
      </c>
      <c r="P346" s="46">
        <f t="shared" ca="1" si="16"/>
        <v>2.4000000000023589E-2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</sheetData>
  <autoFilter ref="A1:V29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F2" sqref="F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503103</v>
      </c>
      <c r="B2" s="97">
        <v>5031031</v>
      </c>
      <c r="C2" s="79" t="s">
        <v>247</v>
      </c>
      <c r="D2" s="79">
        <v>1000000</v>
      </c>
      <c r="E2" s="79" t="s">
        <v>249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250</v>
      </c>
      <c r="O2" s="79" t="s">
        <v>251</v>
      </c>
      <c r="P2" s="79" t="s">
        <v>252</v>
      </c>
      <c r="Q2" s="80" t="s">
        <v>253</v>
      </c>
    </row>
    <row r="3" spans="1:17" ht="21" customHeight="1" x14ac:dyDescent="0.15">
      <c r="A3" s="97">
        <v>503105</v>
      </c>
      <c r="B3" s="97">
        <v>5031051</v>
      </c>
      <c r="C3" s="1" t="s">
        <v>248</v>
      </c>
      <c r="D3" s="1">
        <v>125</v>
      </c>
      <c r="E3" s="1">
        <v>4</v>
      </c>
      <c r="F3" s="79">
        <v>1</v>
      </c>
      <c r="G3" s="1">
        <v>0</v>
      </c>
      <c r="H3" s="1">
        <v>0</v>
      </c>
      <c r="I3" s="1">
        <v>0</v>
      </c>
      <c r="J3" s="1">
        <v>0</v>
      </c>
      <c r="K3" s="1">
        <v>1</v>
      </c>
      <c r="L3" s="1">
        <v>1</v>
      </c>
      <c r="M3" s="1">
        <v>1</v>
      </c>
      <c r="N3" s="79" t="s">
        <v>250</v>
      </c>
      <c r="O3" s="79" t="s">
        <v>255</v>
      </c>
      <c r="P3" s="79" t="s">
        <v>252</v>
      </c>
      <c r="Q3" s="80" t="s">
        <v>257</v>
      </c>
    </row>
    <row r="4" spans="1:17" ht="21" customHeight="1" x14ac:dyDescent="0.15">
      <c r="A4" s="97">
        <v>503106</v>
      </c>
      <c r="B4" s="97">
        <v>5031061</v>
      </c>
      <c r="C4" s="1" t="s">
        <v>254</v>
      </c>
      <c r="D4" s="1">
        <v>1</v>
      </c>
      <c r="E4" s="1">
        <v>3</v>
      </c>
      <c r="F4" s="79">
        <v>1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1</v>
      </c>
      <c r="N4" s="79" t="s">
        <v>250</v>
      </c>
      <c r="O4" s="79" t="s">
        <v>256</v>
      </c>
      <c r="P4" s="79" t="s">
        <v>252</v>
      </c>
      <c r="Q4" s="80" t="s">
        <v>258</v>
      </c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確率の考え方</vt:lpstr>
      <vt:lpstr>Sheet1</vt:lpstr>
      <vt:lpstr>output</vt:lpstr>
      <vt:lpstr>input_503101</vt:lpstr>
      <vt:lpstr>tables_503101</vt:lpstr>
      <vt:lpstr>input_503103</vt:lpstr>
      <vt:lpstr>tables_503103</vt:lpstr>
      <vt:lpstr>input_503104</vt:lpstr>
      <vt:lpstr>tables_503104</vt:lpstr>
      <vt:lpstr>tables_settle_503104</vt:lpstr>
      <vt:lpstr>input_503105</vt:lpstr>
      <vt:lpstr>tables_503105</vt:lpstr>
      <vt:lpstr>input_503106</vt:lpstr>
      <vt:lpstr>tables_503106</vt:lpstr>
      <vt:lpstr>input_503100</vt:lpstr>
      <vt:lpstr>tables_503100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2017-01-05T11:55:36Z</dcterms:modified>
</cp:coreProperties>
</file>