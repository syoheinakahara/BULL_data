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2120" yWindow="-16040" windowWidth="30360" windowHeight="15940" tabRatio="943" activeTab="1"/>
  </bookViews>
  <sheets>
    <sheet name="Sheet1" sheetId="107" r:id="rId1"/>
    <sheet name="output" sheetId="103" r:id="rId2"/>
    <sheet name="tables_7334" sheetId="114" r:id="rId3"/>
    <sheet name="tables_7335" sheetId="117" r:id="rId4"/>
    <sheet name="tables_7336" sheetId="118" r:id="rId5"/>
    <sheet name="gacha_bonus_tables" sheetId="98" r:id="rId6"/>
    <sheet name="R6追加前" sheetId="111" r:id="rId7"/>
    <sheet name="R6開放" sheetId="112" r:id="rId8"/>
  </sheets>
  <externalReferences>
    <externalReference r:id="rId9"/>
  </externalReferences>
  <definedNames>
    <definedName name="_xlnm._FilterDatabase" localSheetId="5" hidden="1">gacha_bonus_tables!$A$1:$F$1</definedName>
    <definedName name="_xlnm._FilterDatabase" localSheetId="2" hidden="1">tables_7334!$A$1:$V$2</definedName>
    <definedName name="_xlnm._FilterDatabase" localSheetId="3" hidden="1">tables_7335!$A$1:$V$2</definedName>
    <definedName name="_xlnm._FilterDatabase" localSheetId="4" hidden="1">tables_7336!$A$1:$V$2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2" i="118" l="1"/>
  <c r="N2" i="118"/>
  <c r="M2" i="118"/>
  <c r="L2" i="118"/>
  <c r="K2" i="118"/>
  <c r="J2" i="118"/>
  <c r="I2" i="118"/>
  <c r="H2" i="118"/>
  <c r="F2" i="118"/>
  <c r="E2" i="118"/>
  <c r="D2" i="118"/>
  <c r="C2" i="118"/>
  <c r="P2" i="117"/>
  <c r="N2" i="117"/>
  <c r="M2" i="117"/>
  <c r="L2" i="117"/>
  <c r="K2" i="117"/>
  <c r="J2" i="117"/>
  <c r="I2" i="117"/>
  <c r="H2" i="117"/>
  <c r="F2" i="117"/>
  <c r="E2" i="117"/>
  <c r="D2" i="117"/>
  <c r="C2" i="117"/>
  <c r="C4" i="103"/>
  <c r="C3" i="103"/>
  <c r="C2" i="103"/>
  <c r="E4" i="103"/>
  <c r="E5" i="103"/>
  <c r="E3" i="103"/>
  <c r="I2" i="114"/>
  <c r="D2" i="114"/>
  <c r="J2" i="114"/>
  <c r="E2" i="114"/>
  <c r="F2" i="114"/>
  <c r="C2" i="114"/>
  <c r="P2" i="114"/>
  <c r="N2" i="114"/>
  <c r="M2" i="114"/>
  <c r="L2" i="114"/>
  <c r="K2" i="114"/>
  <c r="H2" i="114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8" i="103"/>
  <c r="E7" i="103"/>
  <c r="E6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<sst xmlns="http://schemas.openxmlformats.org/spreadsheetml/2006/main" count="190" uniqueCount="87">
  <si>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</si>
  <si>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</si>
  <si>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</si>
  <si>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</si>
  <si>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</si>
  <si>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</si>
  <si>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</si>
  <si>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</si>
  <si>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</si>
  <si>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</si>
  <si>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</si>
  <si>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</si>
  <si>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</si>
  <si>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</si>
  <si>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</si>
  <si>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</si>
  <si>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</si>
  <si>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</si>
  <si>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</si>
  <si>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</si>
  <si>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</si>
  <si>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</si>
  <si>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</si>
  <si>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</si>
  <si>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</si>
  <si>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</si>
  <si>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</si>
  <si>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</si>
  <si>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</si>
  <si>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</si>
  <si>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</si>
  <si>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</si>
  <si>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</si>
  <si>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</si>
  <si>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</si>
  <si>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</si>
  <si>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</si>
  <si>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</si>
  <si>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</si>
  <si>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weight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</si>
  <si>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</si>
  <si>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</si>
  <si>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</si>
  <si>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</si>
  <si>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</si>
  <si>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</si>
  <si>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</si>
  <si>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</si>
  <si>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</si>
  <si>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</si>
  <si>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</si>
  <si>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</si>
  <si>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</si>
  <si>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</si>
  <si>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skip</t>
    <phoneticPr fontId="19"/>
  </si>
  <si>
    <t>hogehoge</t>
    <phoneticPr fontId="19"/>
  </si>
  <si>
    <t>性別</t>
    <rPh sb="0" eb="2">
      <t>セイベツ</t>
    </rPh>
    <phoneticPr fontId="19"/>
  </si>
  <si>
    <t>ピックアップ確率</t>
    <rPh sb="6" eb="8">
      <t>カクリツ</t>
    </rPh>
    <phoneticPr fontId="19"/>
  </si>
  <si>
    <t>確率</t>
    <rPh sb="0" eb="2">
      <t>カクリツ</t>
    </rPh>
    <phoneticPr fontId="19"/>
  </si>
  <si>
    <t>名前</t>
    <rPh sb="0" eb="2">
      <t>ナマエ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</si>
  <si>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</si>
  <si>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</si>
  <si>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</si>
  <si>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</si>
  <si>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</si>
  <si>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</si>
  <si>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</si>
  <si>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</si>
  <si>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</si>
  <si>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</si>
  <si>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</si>
  <si>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</si>
  <si>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</si>
  <si>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</si>
  <si>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</si>
  <si>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ja</t>
    <phoneticPr fontId="19"/>
  </si>
  <si>
    <t>drop_label2</t>
    <phoneticPr fontId="19"/>
  </si>
  <si>
    <t>color2</t>
    <phoneticPr fontId="19"/>
  </si>
  <si>
    <t>gacha_select_tables_</t>
    <phoneticPr fontId="19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</si>
  <si>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</si>
  <si>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</si>
  <si>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old</t>
    <phoneticPr fontId="19"/>
  </si>
  <si>
    <t>gacha_settle_tables_</t>
    <phoneticPr fontId="19"/>
  </si>
  <si>
    <t>tables_settle_7322</t>
    <phoneticPr fontId="19"/>
  </si>
  <si>
    <t>tables_7334</t>
    <phoneticPr fontId="19"/>
  </si>
  <si>
    <t>tables_7335</t>
  </si>
  <si>
    <t>tables_7336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</si>
</sst>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3"/>
      <color rgb="FF000000"/>
      <name val="MS PGothic"/>
      <family val="3"/>
      <charset val="128"/>
    </font>
    <font>
      <sz val="13"/>
      <name val="Arial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3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/>
  </cellStyleXfs>
  <cellXfs count="50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3" xfId="0" applyFont="1" applyFill="1" applyBorder="1" applyAlignment="1">
      <alignment horizontal="right"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9" fillId="0" borderId="1" xfId="3036" applyFont="1" applyBorder="1"/>
    <xf numFmtId="0" fontId="8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5" borderId="0" xfId="0" applyFill="1"/>
    <xf numFmtId="0" fontId="0" fillId="26" borderId="1" xfId="0" applyFill="1" applyBorder="1"/>
    <xf numFmtId="176" fontId="0" fillId="26" borderId="1" xfId="3575" applyNumberFormat="1" applyFont="1" applyFill="1" applyBorder="1"/>
    <xf numFmtId="0" fontId="7" fillId="2" borderId="1" xfId="19" applyFont="1" applyFill="1" applyBorder="1"/>
    <xf numFmtId="0" fontId="7" fillId="4" borderId="1" xfId="2978" applyFont="1" applyFill="1" applyBorder="1"/>
    <xf numFmtId="0" fontId="0" fillId="2" borderId="0" xfId="0" applyFill="1"/>
    <xf numFmtId="0" fontId="51" fillId="27" borderId="1" xfId="0" applyFont="1" applyFill="1" applyBorder="1" applyAlignment="1">
      <alignment horizontal="left" vertical="center"/>
    </xf>
    <xf numFmtId="0" fontId="24" fillId="24" borderId="1" xfId="2" applyFont="1" applyFill="1" applyBorder="1" applyAlignment="1">
      <alignment horizontal="left" vertical="center"/>
    </xf>
    <xf numFmtId="0" fontId="23" fillId="24" borderId="1" xfId="0" applyFont="1" applyFill="1" applyBorder="1" applyAlignment="1">
      <alignment horizontal="right" vertical="center"/>
    </xf>
    <xf numFmtId="0" fontId="6" fillId="0" borderId="1" xfId="2978" applyFont="1" applyBorder="1"/>
    <xf numFmtId="0" fontId="5" fillId="0" borderId="1" xfId="3036" applyFont="1" applyBorder="1"/>
    <xf numFmtId="0" fontId="4" fillId="0" borderId="1" xfId="2978" applyFont="1" applyBorder="1"/>
    <xf numFmtId="0" fontId="3" fillId="4" borderId="1" xfId="2978" applyFont="1" applyFill="1" applyBorder="1"/>
    <xf numFmtId="0" fontId="55" fillId="0" borderId="0" xfId="0" applyFont="1"/>
    <xf numFmtId="0" fontId="56" fillId="0" borderId="0" xfId="0" applyFont="1"/>
    <xf numFmtId="0" fontId="2" fillId="4" borderId="1" xfId="2978" applyFont="1" applyFill="1" applyBorder="1"/>
    <xf numFmtId="0" fontId="51" fillId="4" borderId="1" xfId="0" applyFont="1" applyFill="1" applyBorder="1" applyAlignment="1">
      <alignment vertical="center"/>
    </xf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ヘルレイザーR5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</row>
        <row r="1344">
          <cell r="A1344">
            <v>1343</v>
          </cell>
          <cell r="B1344" t="str">
            <v>ja</v>
          </cell>
          <cell r="C1344" t="str">
            <v>ヘルレイザーR6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セルシウスR5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</row>
        <row r="1348">
          <cell r="A1348">
            <v>1347</v>
          </cell>
          <cell r="B1348" t="str">
            <v>ja</v>
          </cell>
          <cell r="C1348" t="str">
            <v>セルシウスR6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1687</v>
          </cell>
          <cell r="B1564" t="str">
            <v>ja</v>
          </cell>
          <cell r="C1564" t="str">
            <v>ファルネーゼ</v>
          </cell>
          <cell r="H1564" t="str">
            <v>green</v>
          </cell>
          <cell r="I1564">
            <v>5</v>
          </cell>
          <cell r="J1564" t="str">
            <v>DropWizS</v>
          </cell>
          <cell r="K1564" t="str">
            <v>technical</v>
          </cell>
          <cell r="L1564" t="str">
            <v>テクニカルタイプ</v>
          </cell>
          <cell r="M1564" t="str">
            <v>unknown</v>
          </cell>
        </row>
        <row r="1565">
          <cell r="A1565">
            <v>1688</v>
          </cell>
          <cell r="B1565" t="str">
            <v>ja</v>
          </cell>
          <cell r="C1565" t="str">
            <v>ファルネーゼ・ロッソ</v>
          </cell>
          <cell r="H1565" t="str">
            <v>red</v>
          </cell>
          <cell r="I1565">
            <v>6</v>
          </cell>
          <cell r="J1565" t="str">
            <v>DropWizS</v>
          </cell>
          <cell r="K1565" t="str">
            <v>technical</v>
          </cell>
          <cell r="L1565" t="str">
            <v>テクニカルタイプ</v>
          </cell>
          <cell r="M1565" t="str">
            <v>unknown</v>
          </cell>
        </row>
        <row r="1566">
          <cell r="A1566">
            <v>1689</v>
          </cell>
          <cell r="B1566" t="str">
            <v>ja</v>
          </cell>
          <cell r="C1566" t="str">
            <v>ファルネーゼ・ヴェルデ</v>
          </cell>
          <cell r="H1566" t="str">
            <v>green</v>
          </cell>
          <cell r="I1566">
            <v>6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unknown</v>
          </cell>
        </row>
        <row r="1567">
          <cell r="A1567">
            <v>1690</v>
          </cell>
          <cell r="B1567" t="str">
            <v>ja</v>
          </cell>
          <cell r="C1567" t="str">
            <v>ファルネーゼ・アズロ</v>
          </cell>
          <cell r="H1567" t="str">
            <v>blue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unknown</v>
          </cell>
        </row>
        <row r="1568">
          <cell r="A1568">
            <v>1691</v>
          </cell>
          <cell r="B1568" t="str">
            <v>ja</v>
          </cell>
          <cell r="C1568" t="str">
            <v>ファルネーゼ・ジャロ</v>
          </cell>
          <cell r="H1568" t="str">
            <v>yellow</v>
          </cell>
          <cell r="I1568">
            <v>6</v>
          </cell>
          <cell r="J1568" t="str">
            <v>DropWizS</v>
          </cell>
          <cell r="K1568" t="str">
            <v>technical</v>
          </cell>
          <cell r="L1568" t="str">
            <v>テクニカルタイプ</v>
          </cell>
          <cell r="M1568" t="str">
            <v>unknown</v>
          </cell>
        </row>
        <row r="1569">
          <cell r="A1569">
            <v>1692</v>
          </cell>
          <cell r="B1569" t="str">
            <v>ja</v>
          </cell>
          <cell r="C1569" t="str">
            <v>ロッソ・ハート</v>
          </cell>
          <cell r="H1569" t="str">
            <v>red</v>
          </cell>
          <cell r="I1569">
            <v>6</v>
          </cell>
          <cell r="J1569" t="str">
            <v>Material</v>
          </cell>
          <cell r="K1569" t="str">
            <v>evolution</v>
          </cell>
          <cell r="L1569" t="str">
            <v>覚醒素材タイプ</v>
          </cell>
          <cell r="M1569" t="str">
            <v>unknown</v>
          </cell>
        </row>
        <row r="1570">
          <cell r="A1570">
            <v>1693</v>
          </cell>
          <cell r="B1570" t="str">
            <v>ja</v>
          </cell>
          <cell r="C1570" t="str">
            <v>ヴェルデ・ハート</v>
          </cell>
          <cell r="H1570" t="str">
            <v>green</v>
          </cell>
          <cell r="I1570">
            <v>6</v>
          </cell>
          <cell r="J1570" t="str">
            <v>Material</v>
          </cell>
          <cell r="K1570" t="str">
            <v>evolution</v>
          </cell>
          <cell r="L1570" t="str">
            <v>覚醒素材タイプ</v>
          </cell>
          <cell r="M1570" t="str">
            <v>unknown</v>
          </cell>
        </row>
        <row r="1571">
          <cell r="A1571">
            <v>1694</v>
          </cell>
          <cell r="B1571" t="str">
            <v>ja</v>
          </cell>
          <cell r="C1571" t="str">
            <v>アズロ・ハート</v>
          </cell>
          <cell r="H1571" t="str">
            <v>blue</v>
          </cell>
          <cell r="I1571">
            <v>6</v>
          </cell>
          <cell r="J1571" t="str">
            <v>Material</v>
          </cell>
          <cell r="K1571" t="str">
            <v>evolution</v>
          </cell>
          <cell r="L1571" t="str">
            <v>覚醒素材タイプ</v>
          </cell>
          <cell r="M1571" t="str">
            <v>unknown</v>
          </cell>
        </row>
        <row r="1572">
          <cell r="A1572">
            <v>1695</v>
          </cell>
          <cell r="B1572" t="str">
            <v>ja</v>
          </cell>
          <cell r="C1572" t="str">
            <v>ジャロ・ハート</v>
          </cell>
          <cell r="H1572" t="str">
            <v>yellow</v>
          </cell>
          <cell r="I1572">
            <v>6</v>
          </cell>
          <cell r="J1572" t="str">
            <v>Material</v>
          </cell>
          <cell r="K1572" t="str">
            <v>evolution</v>
          </cell>
          <cell r="L1572" t="str">
            <v>覚醒素材タイプ</v>
          </cell>
          <cell r="M1572" t="str">
            <v>unknown</v>
          </cell>
        </row>
        <row r="1573">
          <cell r="A1573">
            <v>1696</v>
          </cell>
          <cell r="B1573" t="str">
            <v>ja</v>
          </cell>
          <cell r="C1573" t="str">
            <v>ファルネーゼ・コア</v>
          </cell>
          <cell r="H1573" t="str">
            <v>blue</v>
          </cell>
          <cell r="I1573">
            <v>4</v>
          </cell>
          <cell r="J1573" t="str">
            <v>Material</v>
          </cell>
          <cell r="K1573" t="str">
            <v>evolution</v>
          </cell>
          <cell r="L1573" t="str">
            <v>覚醒素材タイプ</v>
          </cell>
          <cell r="M1573" t="str">
            <v>unknown</v>
          </cell>
        </row>
        <row r="1574">
          <cell r="A1574">
            <v>5001</v>
          </cell>
          <cell r="B1574" t="str">
            <v>ja</v>
          </cell>
          <cell r="C1574" t="str">
            <v>ガルーダ</v>
          </cell>
          <cell r="D1574" t="str">
            <v>ノーマルクエスト</v>
          </cell>
          <cell r="E1574" t="str">
            <v>QoH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PremiumSSw</v>
          </cell>
          <cell r="K1574" t="str">
            <v>attack</v>
          </cell>
          <cell r="L1574" t="str">
            <v>攻撃タイプ</v>
          </cell>
          <cell r="M1574" t="str">
            <v>god</v>
          </cell>
        </row>
        <row r="1575">
          <cell r="A1575">
            <v>5002</v>
          </cell>
          <cell r="B1575" t="str">
            <v>ja</v>
          </cell>
          <cell r="C1575" t="str">
            <v>光輝する美翼聖鳥 ガルーダ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男性</v>
          </cell>
          <cell r="H1575" t="str">
            <v>red</v>
          </cell>
          <cell r="I1575">
            <v>6</v>
          </cell>
          <cell r="J1575" t="str">
            <v>PremiumSSw</v>
          </cell>
          <cell r="K1575" t="str">
            <v>attack</v>
          </cell>
          <cell r="L1575" t="str">
            <v>攻撃タイプ</v>
          </cell>
          <cell r="M1575" t="str">
            <v>god</v>
          </cell>
        </row>
        <row r="1576">
          <cell r="A1576">
            <v>5003</v>
          </cell>
          <cell r="B1576" t="str">
            <v>ja</v>
          </cell>
          <cell r="C1576" t="str">
            <v>ナーガ</v>
          </cell>
          <cell r="D1576" t="str">
            <v>リンクガチャ:4神</v>
          </cell>
          <cell r="E1576" t="str">
            <v>守護神</v>
          </cell>
          <cell r="F1576" t="str">
            <v>格好いい</v>
          </cell>
          <cell r="G1576" t="str">
            <v>不明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animal</v>
          </cell>
        </row>
        <row r="1577">
          <cell r="A1577">
            <v>5004</v>
          </cell>
          <cell r="B1577" t="str">
            <v>ja</v>
          </cell>
          <cell r="C1577" t="str">
            <v>深淵翠緑 ナーガ</v>
          </cell>
          <cell r="D1577" t="str">
            <v>ノーマルクエスト</v>
          </cell>
          <cell r="E1577" t="str">
            <v>アバター</v>
          </cell>
          <cell r="F1577" t="str">
            <v>世界観</v>
          </cell>
          <cell r="G1577" t="str">
            <v>不明</v>
          </cell>
          <cell r="H1577" t="str">
            <v>green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animal</v>
          </cell>
        </row>
        <row r="1578">
          <cell r="A1578">
            <v>5005</v>
          </cell>
          <cell r="B1578" t="str">
            <v>ja</v>
          </cell>
          <cell r="C1578" t="str">
            <v>カーミラ</v>
          </cell>
          <cell r="D1578" t="str">
            <v>ノーマルクエスト</v>
          </cell>
          <cell r="E1578" t="str">
            <v>QoH</v>
          </cell>
          <cell r="F1578" t="str">
            <v>世界観</v>
          </cell>
          <cell r="G1578" t="str">
            <v>不明</v>
          </cell>
          <cell r="H1578" t="str">
            <v>green</v>
          </cell>
          <cell r="I1578">
            <v>5</v>
          </cell>
          <cell r="J1578" t="str">
            <v>PremiumSSw</v>
          </cell>
          <cell r="K1578" t="str">
            <v>balance</v>
          </cell>
          <cell r="L1578" t="str">
            <v>バランスタイプ</v>
          </cell>
          <cell r="M1578" t="str">
            <v>demon</v>
          </cell>
        </row>
        <row r="1579">
          <cell r="A1579">
            <v>5006</v>
          </cell>
          <cell r="B1579" t="str">
            <v>ja</v>
          </cell>
          <cell r="C1579" t="str">
            <v>カーミラ★６</v>
          </cell>
          <cell r="D1579" t="str">
            <v>ノーマルクエスト</v>
          </cell>
          <cell r="E1579" t="str">
            <v>アバター</v>
          </cell>
          <cell r="F1579" t="str">
            <v>世界観</v>
          </cell>
          <cell r="G1579" t="str">
            <v>男性</v>
          </cell>
          <cell r="H1579" t="str">
            <v>green</v>
          </cell>
          <cell r="I1579">
            <v>6</v>
          </cell>
          <cell r="J1579" t="str">
            <v>PremiumSSw</v>
          </cell>
          <cell r="K1579" t="str">
            <v>balance</v>
          </cell>
          <cell r="L1579" t="str">
            <v>バランスタイプ</v>
          </cell>
          <cell r="M1579" t="str">
            <v>demon</v>
          </cell>
        </row>
        <row r="1580">
          <cell r="A1580">
            <v>5007</v>
          </cell>
          <cell r="B1580" t="str">
            <v>ja</v>
          </cell>
          <cell r="C1580" t="str">
            <v>ヘルシング</v>
          </cell>
          <cell r="D1580" t="str">
            <v>リンクガチャ:4神</v>
          </cell>
          <cell r="E1580" t="str">
            <v>守護神</v>
          </cell>
          <cell r="F1580" t="str">
            <v>格好いい</v>
          </cell>
          <cell r="G1580" t="str">
            <v>不明</v>
          </cell>
          <cell r="H1580" t="str">
            <v>yellow</v>
          </cell>
          <cell r="I1580">
            <v>5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human</v>
          </cell>
        </row>
        <row r="1581">
          <cell r="A1581">
            <v>5008</v>
          </cell>
          <cell r="B1581" t="str">
            <v>ja</v>
          </cell>
          <cell r="C1581" t="str">
            <v>ヘルシング★６</v>
          </cell>
          <cell r="D1581" t="str">
            <v>ノーマルクエスト</v>
          </cell>
          <cell r="E1581" t="str">
            <v>アバター</v>
          </cell>
          <cell r="F1581" t="str">
            <v>世界観</v>
          </cell>
          <cell r="G1581" t="str">
            <v>不明</v>
          </cell>
          <cell r="H1581" t="str">
            <v>yellow</v>
          </cell>
          <cell r="I1581">
            <v>6</v>
          </cell>
          <cell r="J1581" t="str">
            <v>DropWizS</v>
          </cell>
          <cell r="K1581" t="str">
            <v>technical</v>
          </cell>
          <cell r="L1581" t="str">
            <v>テクニカルタイプ</v>
          </cell>
          <cell r="M1581" t="str">
            <v>human</v>
          </cell>
        </row>
        <row r="1582">
          <cell r="A1582">
            <v>6001</v>
          </cell>
          <cell r="B1582" t="str">
            <v>ja</v>
          </cell>
          <cell r="C1582" t="str">
            <v>ジェリー</v>
          </cell>
          <cell r="D1582" t="str">
            <v>ノーマルクエスト</v>
          </cell>
          <cell r="E1582" t="str">
            <v>QoH</v>
          </cell>
          <cell r="F1582" t="str">
            <v>世界観</v>
          </cell>
          <cell r="G1582" t="str">
            <v>不明</v>
          </cell>
          <cell r="H1582" t="str">
            <v>red</v>
          </cell>
          <cell r="I1582">
            <v>1</v>
          </cell>
          <cell r="J1582" t="str">
            <v>Drop1T</v>
          </cell>
          <cell r="K1582" t="str">
            <v>ra</v>
          </cell>
          <cell r="L1582" t="str">
            <v>ラグランジュチャレンジ</v>
          </cell>
          <cell r="M1582" t="str">
            <v>unknown</v>
          </cell>
        </row>
        <row r="1583">
          <cell r="A1583">
            <v>6002</v>
          </cell>
          <cell r="B1583" t="str">
            <v>ja</v>
          </cell>
          <cell r="C1583" t="str">
            <v>ヨシタカ</v>
          </cell>
          <cell r="D1583" t="str">
            <v>ノーマルクエスト</v>
          </cell>
          <cell r="E1583" t="str">
            <v>アバター</v>
          </cell>
          <cell r="F1583" t="str">
            <v>世界観</v>
          </cell>
          <cell r="G1583" t="str">
            <v>男性</v>
          </cell>
          <cell r="H1583" t="str">
            <v>red</v>
          </cell>
          <cell r="I1583">
            <v>2</v>
          </cell>
          <cell r="J1583" t="str">
            <v>Drop1N</v>
          </cell>
          <cell r="K1583" t="str">
            <v>ra</v>
          </cell>
          <cell r="L1583" t="str">
            <v>ラグランジュチャレンジ</v>
          </cell>
          <cell r="M1583" t="str">
            <v>human</v>
          </cell>
        </row>
        <row r="1584">
          <cell r="A1584">
            <v>6003</v>
          </cell>
          <cell r="B1584" t="str">
            <v>ja</v>
          </cell>
          <cell r="C1584" t="str">
            <v>朱雀</v>
          </cell>
          <cell r="D1584" t="str">
            <v>リンクガチャ:4神</v>
          </cell>
          <cell r="E1584" t="str">
            <v>守護神</v>
          </cell>
          <cell r="F1584" t="str">
            <v>格好いい</v>
          </cell>
          <cell r="G1584" t="str">
            <v>不明</v>
          </cell>
          <cell r="H1584" t="str">
            <v>red</v>
          </cell>
          <cell r="I1584">
            <v>3</v>
          </cell>
          <cell r="J1584" t="str">
            <v>Drop2N</v>
          </cell>
          <cell r="K1584" t="str">
            <v>ra</v>
          </cell>
          <cell r="L1584" t="str">
            <v>ラグランジュチャレンジ</v>
          </cell>
          <cell r="M1584" t="str">
            <v>animal</v>
          </cell>
        </row>
        <row r="1585">
          <cell r="A1585">
            <v>6004</v>
          </cell>
          <cell r="B1585" t="str">
            <v>ja</v>
          </cell>
          <cell r="C1585" t="str">
            <v>ブレット</v>
          </cell>
          <cell r="D1585" t="str">
            <v>ノーマルクエスト</v>
          </cell>
          <cell r="E1585" t="str">
            <v>アバター</v>
          </cell>
          <cell r="F1585" t="str">
            <v>世界観</v>
          </cell>
          <cell r="G1585" t="str">
            <v>不明</v>
          </cell>
          <cell r="H1585" t="str">
            <v>red</v>
          </cell>
          <cell r="I1585">
            <v>1</v>
          </cell>
          <cell r="J1585" t="str">
            <v>Drop1W</v>
          </cell>
          <cell r="K1585" t="str">
            <v>ra</v>
          </cell>
          <cell r="L1585" t="str">
            <v>ラグランジュチャレンジ</v>
          </cell>
          <cell r="M1585" t="str">
            <v>animal</v>
          </cell>
        </row>
        <row r="1586">
          <cell r="A1586">
            <v>6005</v>
          </cell>
          <cell r="B1586" t="str">
            <v>ja</v>
          </cell>
          <cell r="C1586" t="str">
            <v>孤神 テティス</v>
          </cell>
          <cell r="D1586" t="str">
            <v>初期ガチャ</v>
          </cell>
          <cell r="E1586" t="str">
            <v>管理者</v>
          </cell>
          <cell r="F1586" t="str">
            <v>美しい</v>
          </cell>
          <cell r="G1586" t="str">
            <v>女性</v>
          </cell>
          <cell r="H1586" t="str">
            <v>blue</v>
          </cell>
          <cell r="I1586">
            <v>4</v>
          </cell>
          <cell r="J1586" t="str">
            <v>PremiumN</v>
          </cell>
          <cell r="K1586" t="str">
            <v>ra</v>
          </cell>
          <cell r="L1586" t="str">
            <v>ラグランジュチャレンジ</v>
          </cell>
          <cell r="M1586" t="str">
            <v>god</v>
          </cell>
        </row>
        <row r="1587">
          <cell r="A1587">
            <v>6006</v>
          </cell>
          <cell r="B1587" t="str">
            <v>ja</v>
          </cell>
          <cell r="C1587" t="str">
            <v>海底の孤高神 テティス</v>
          </cell>
          <cell r="D1587" t="str">
            <v>初期ガチャ</v>
          </cell>
          <cell r="E1587" t="str">
            <v>管理者</v>
          </cell>
          <cell r="F1587" t="str">
            <v>美しい</v>
          </cell>
          <cell r="G1587" t="str">
            <v>女性</v>
          </cell>
          <cell r="H1587" t="str">
            <v>blue</v>
          </cell>
          <cell r="I1587">
            <v>5</v>
          </cell>
          <cell r="J1587" t="str">
            <v>PremiumN</v>
          </cell>
          <cell r="K1587" t="str">
            <v>ra</v>
          </cell>
          <cell r="L1587" t="str">
            <v>ラグランジュチャレンジ</v>
          </cell>
          <cell r="M1587" t="str">
            <v>god</v>
          </cell>
        </row>
        <row r="1588">
          <cell r="A1588">
            <v>6007</v>
          </cell>
          <cell r="B1588" t="str">
            <v>ja</v>
          </cell>
          <cell r="C1588" t="str">
            <v>番犬 ケルベロス</v>
          </cell>
          <cell r="D1588" t="str">
            <v>初期ガチャ</v>
          </cell>
          <cell r="E1588" t="str">
            <v>破界者</v>
          </cell>
          <cell r="F1588" t="str">
            <v>可愛い</v>
          </cell>
          <cell r="G1588" t="str">
            <v>女性</v>
          </cell>
          <cell r="H1588" t="str">
            <v>red</v>
          </cell>
          <cell r="I1588">
            <v>4</v>
          </cell>
          <cell r="J1588" t="str">
            <v>PremiumN</v>
          </cell>
          <cell r="K1588" t="str">
            <v>ra</v>
          </cell>
          <cell r="L1588" t="str">
            <v>ラグランジュチャレンジ</v>
          </cell>
          <cell r="M1588" t="str">
            <v>animal</v>
          </cell>
        </row>
        <row r="1589">
          <cell r="A1589">
            <v>6008</v>
          </cell>
          <cell r="B1589" t="str">
            <v>ja</v>
          </cell>
          <cell r="C1589" t="str">
            <v>焔神 プロメテウス</v>
          </cell>
          <cell r="D1589" t="str">
            <v>初期ガチャ</v>
          </cell>
          <cell r="E1589" t="str">
            <v>管理者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PremiumN</v>
          </cell>
          <cell r="K1589" t="str">
            <v>ra</v>
          </cell>
          <cell r="L1589" t="str">
            <v>ラグランジュチャレンジ</v>
          </cell>
          <cell r="M1589" t="str">
            <v>god</v>
          </cell>
        </row>
        <row r="1590">
          <cell r="A1590">
            <v>6009</v>
          </cell>
          <cell r="B1590" t="str">
            <v>ja</v>
          </cell>
          <cell r="C1590" t="str">
            <v>超越自我 ラグランジュ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PremiumSSS</v>
          </cell>
          <cell r="K1590" t="str">
            <v>ra</v>
          </cell>
          <cell r="L1590" t="str">
            <v>ラグランジュチャレンジ</v>
          </cell>
          <cell r="M1590" t="str">
            <v>human</v>
          </cell>
        </row>
        <row r="1591">
          <cell r="A1591">
            <v>6010</v>
          </cell>
          <cell r="B1591" t="str">
            <v>ja</v>
          </cell>
          <cell r="C1591" t="str">
            <v>超越凌駕 ラグランジュ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PremiumSSS</v>
          </cell>
          <cell r="K1591" t="str">
            <v>ra</v>
          </cell>
          <cell r="L1591" t="str">
            <v>ラグランジュチャレンジ</v>
          </cell>
          <cell r="M1591" t="str">
            <v>human</v>
          </cell>
        </row>
        <row r="1592">
          <cell r="A1592">
            <v>6011</v>
          </cell>
          <cell r="B1592" t="str">
            <v>ja</v>
          </cell>
          <cell r="C1592" t="str">
            <v>パトドッグリーダー ポチ</v>
          </cell>
          <cell r="D1592" t="str">
            <v>ガチャ:フィーバーフェス02</v>
          </cell>
          <cell r="E1592" t="str">
            <v>執行者</v>
          </cell>
          <cell r="F1592" t="str">
            <v>格好いい</v>
          </cell>
          <cell r="G1592" t="str">
            <v>男性</v>
          </cell>
          <cell r="H1592" t="str">
            <v>blue</v>
          </cell>
          <cell r="I1592">
            <v>2</v>
          </cell>
          <cell r="J1592" t="str">
            <v>Drop1T</v>
          </cell>
          <cell r="K1592" t="str">
            <v>ra002</v>
          </cell>
          <cell r="L1592" t="str">
            <v>ユークリッドチャレンジ</v>
          </cell>
          <cell r="M1592" t="str">
            <v>unknown</v>
          </cell>
        </row>
        <row r="1593">
          <cell r="A1593">
            <v>6012</v>
          </cell>
          <cell r="B1593" t="str">
            <v>ja</v>
          </cell>
          <cell r="C1593" t="str">
            <v>ミミ</v>
          </cell>
          <cell r="D1593" t="str">
            <v>ガチャ:フィーバーフェス02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yellow</v>
          </cell>
          <cell r="I1593">
            <v>1</v>
          </cell>
          <cell r="J1593" t="str">
            <v>Drop1W</v>
          </cell>
          <cell r="K1593" t="str">
            <v>ra002</v>
          </cell>
          <cell r="L1593" t="str">
            <v>ユークリッドチャレンジ</v>
          </cell>
          <cell r="M1593" t="str">
            <v>animal</v>
          </cell>
        </row>
        <row r="1594">
          <cell r="A1594">
            <v>6013</v>
          </cell>
          <cell r="B1594" t="str">
            <v>ja</v>
          </cell>
          <cell r="C1594" t="str">
            <v>護衛機人 スケアクロウ</v>
          </cell>
          <cell r="D1594" t="str">
            <v>ガチャ:フィーバーフェス02</v>
          </cell>
          <cell r="E1594" t="str">
            <v>執行者</v>
          </cell>
          <cell r="F1594" t="str">
            <v>格好いい</v>
          </cell>
          <cell r="G1594" t="str">
            <v>男性</v>
          </cell>
          <cell r="H1594" t="str">
            <v>blue</v>
          </cell>
          <cell r="I1594">
            <v>2</v>
          </cell>
          <cell r="J1594" t="str">
            <v>Drop1N</v>
          </cell>
          <cell r="K1594" t="str">
            <v>ra002</v>
          </cell>
          <cell r="L1594" t="str">
            <v>ユークリッドチャレンジ</v>
          </cell>
          <cell r="M1594" t="str">
            <v>machine</v>
          </cell>
        </row>
        <row r="1595">
          <cell r="A1595">
            <v>6014</v>
          </cell>
          <cell r="B1595" t="str">
            <v>ja</v>
          </cell>
          <cell r="C1595" t="str">
            <v>月下の人狼 ローレンス</v>
          </cell>
          <cell r="D1595" t="str">
            <v>ガチャ:フィーバーフェス02</v>
          </cell>
          <cell r="E1595" t="str">
            <v>執行者</v>
          </cell>
          <cell r="F1595" t="str">
            <v>格好いい</v>
          </cell>
          <cell r="G1595" t="str">
            <v>男性</v>
          </cell>
          <cell r="H1595" t="str">
            <v>blue</v>
          </cell>
          <cell r="I1595">
            <v>4</v>
          </cell>
          <cell r="J1595" t="str">
            <v>PremiumW</v>
          </cell>
          <cell r="K1595" t="str">
            <v>ra002</v>
          </cell>
          <cell r="L1595" t="str">
            <v>ユークリッドチャレンジ</v>
          </cell>
          <cell r="M1595" t="str">
            <v>animal</v>
          </cell>
        </row>
        <row r="1596">
          <cell r="A1596">
            <v>6015</v>
          </cell>
          <cell r="B1596" t="str">
            <v>ja</v>
          </cell>
          <cell r="C1596" t="str">
            <v>フレイヤ</v>
          </cell>
          <cell r="D1596" t="str">
            <v>ガチャ:フィーバーフェス02</v>
          </cell>
          <cell r="E1596" t="str">
            <v>執行者</v>
          </cell>
          <cell r="F1596" t="str">
            <v>格好いい</v>
          </cell>
          <cell r="G1596" t="str">
            <v>男性</v>
          </cell>
          <cell r="H1596" t="str">
            <v>blue</v>
          </cell>
          <cell r="I1596">
            <v>4</v>
          </cell>
          <cell r="J1596" t="str">
            <v>PremiumSS</v>
          </cell>
          <cell r="K1596" t="str">
            <v>ra002</v>
          </cell>
          <cell r="L1596" t="str">
            <v>ユークリッドチャレンジ</v>
          </cell>
          <cell r="M1596" t="str">
            <v>animal</v>
          </cell>
        </row>
        <row r="1597">
          <cell r="A1597">
            <v>6016</v>
          </cell>
          <cell r="B1597" t="str">
            <v>ja</v>
          </cell>
          <cell r="C1597" t="str">
            <v>根原論理 ユークリッド</v>
          </cell>
          <cell r="D1597" t="str">
            <v>ガチャ:フィーバーフェス02</v>
          </cell>
          <cell r="E1597" t="str">
            <v>執行者</v>
          </cell>
          <cell r="F1597" t="str">
            <v>格好いい</v>
          </cell>
          <cell r="G1597" t="str">
            <v>男性</v>
          </cell>
          <cell r="H1597" t="str">
            <v>blue</v>
          </cell>
          <cell r="I1597">
            <v>5</v>
          </cell>
          <cell r="J1597" t="str">
            <v>PremiumSSS</v>
          </cell>
          <cell r="K1597" t="str">
            <v>ra002</v>
          </cell>
          <cell r="L1597" t="str">
            <v>ユークリッドチャレンジ</v>
          </cell>
          <cell r="M1597" t="str">
            <v>human</v>
          </cell>
        </row>
        <row r="1598">
          <cell r="A1598">
            <v>6017</v>
          </cell>
          <cell r="B1598" t="str">
            <v>ja</v>
          </cell>
          <cell r="C1598" t="str">
            <v>不朽の極論 ユークリッド</v>
          </cell>
          <cell r="D1598" t="str">
            <v>ガチャ:フィーバーフェス02</v>
          </cell>
          <cell r="E1598" t="str">
            <v>執行者</v>
          </cell>
          <cell r="F1598" t="str">
            <v>格好いい</v>
          </cell>
          <cell r="G1598" t="str">
            <v>男性</v>
          </cell>
          <cell r="H1598" t="str">
            <v>blue</v>
          </cell>
          <cell r="I1598">
            <v>6</v>
          </cell>
          <cell r="J1598" t="str">
            <v>PremiumSSS</v>
          </cell>
          <cell r="K1598" t="str">
            <v>ra002</v>
          </cell>
          <cell r="L1598" t="str">
            <v>ユークリッドチャレンジ</v>
          </cell>
          <cell r="M1598" t="str">
            <v>human</v>
          </cell>
        </row>
        <row r="1599">
          <cell r="A1599">
            <v>6018</v>
          </cell>
          <cell r="B1599" t="str">
            <v>ja</v>
          </cell>
          <cell r="C1599" t="str">
            <v>ハヅル</v>
          </cell>
          <cell r="D1599" t="str">
            <v>ガチャ:フィーバーフェス02</v>
          </cell>
          <cell r="E1599" t="str">
            <v>執行者</v>
          </cell>
          <cell r="F1599" t="str">
            <v>格好いい</v>
          </cell>
          <cell r="G1599" t="str">
            <v>男性</v>
          </cell>
          <cell r="H1599" t="str">
            <v>red</v>
          </cell>
          <cell r="I1599">
            <v>4</v>
          </cell>
          <cell r="J1599" t="str">
            <v>PremiumSS</v>
          </cell>
          <cell r="K1599" t="str">
            <v>ra002</v>
          </cell>
          <cell r="L1599" t="str">
            <v>ユークリッドチャレンジ</v>
          </cell>
          <cell r="M1599" t="str">
            <v>animal</v>
          </cell>
        </row>
        <row r="1600">
          <cell r="A1600">
            <v>6019</v>
          </cell>
          <cell r="B1600" t="str">
            <v>ja</v>
          </cell>
          <cell r="C1600" t="str">
            <v>天織羽鶴 ハヅル</v>
          </cell>
          <cell r="D1600" t="str">
            <v>ガチャ:フィーバーフェス02</v>
          </cell>
          <cell r="E1600" t="str">
            <v>執行者</v>
          </cell>
          <cell r="F1600" t="str">
            <v>格好いい</v>
          </cell>
          <cell r="G1600" t="str">
            <v>男性</v>
          </cell>
          <cell r="H1600" t="str">
            <v>red</v>
          </cell>
          <cell r="I1600">
            <v>5</v>
          </cell>
          <cell r="J1600" t="str">
            <v>PremiumSS</v>
          </cell>
          <cell r="K1600" t="str">
            <v>ra002</v>
          </cell>
          <cell r="L1600" t="str">
            <v>ユークリッドチャレンジ</v>
          </cell>
          <cell r="M1600" t="str">
            <v>animal</v>
          </cell>
        </row>
        <row r="1601">
          <cell r="A1601">
            <v>6020</v>
          </cell>
          <cell r="B1601" t="str">
            <v>ja</v>
          </cell>
          <cell r="C1601" t="str">
            <v>ミズチ</v>
          </cell>
          <cell r="D1601" t="str">
            <v>ガチャ:フィーバーフェス02</v>
          </cell>
          <cell r="E1601" t="str">
            <v>執行者</v>
          </cell>
          <cell r="F1601" t="str">
            <v>格好いい</v>
          </cell>
          <cell r="G1601" t="str">
            <v>男性</v>
          </cell>
          <cell r="H1601" t="str">
            <v>blue</v>
          </cell>
          <cell r="I1601">
            <v>4</v>
          </cell>
          <cell r="J1601" t="str">
            <v>PremiumS</v>
          </cell>
          <cell r="K1601" t="str">
            <v>ra002</v>
          </cell>
          <cell r="L1601" t="str">
            <v>ユークリッドチャレンジ</v>
          </cell>
          <cell r="M1601" t="str">
            <v>dragon</v>
          </cell>
        </row>
        <row r="1602">
          <cell r="A1602">
            <v>8001</v>
          </cell>
          <cell r="B1602" t="str">
            <v>ja</v>
          </cell>
          <cell r="C1602" t="str">
            <v>媽祖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PremiumSS</v>
          </cell>
          <cell r="K1602" t="str">
            <v>attack</v>
          </cell>
          <cell r="L1602" t="str">
            <v>攻撃タイプ</v>
          </cell>
          <cell r="M1602" t="str">
            <v>god</v>
          </cell>
        </row>
        <row r="1603">
          <cell r="A1603">
            <v>8002</v>
          </cell>
          <cell r="B1603" t="str">
            <v>ja</v>
          </cell>
          <cell r="C1603" t="str">
            <v>宣導する天海妃 媽祖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PremiumSS</v>
          </cell>
          <cell r="K1603" t="str">
            <v>attack</v>
          </cell>
          <cell r="L1603" t="str">
            <v>攻撃タイプ</v>
          </cell>
          <cell r="M1603" t="str">
            <v>god</v>
          </cell>
        </row>
        <row r="1604">
          <cell r="A1604">
            <v>8003</v>
          </cell>
          <cell r="B1604" t="str">
            <v>ja</v>
          </cell>
          <cell r="C1604" t="str">
            <v>蛟龍</v>
          </cell>
          <cell r="D1604" t="str">
            <v>イベント:ミクコラボ01</v>
          </cell>
          <cell r="E1604" t="str">
            <v>執行者</v>
          </cell>
          <cell r="F1604" t="str">
            <v>格好いい</v>
          </cell>
          <cell r="G1604" t="str">
            <v>不明</v>
          </cell>
          <cell r="H1604" t="str">
            <v>blue</v>
          </cell>
          <cell r="I1604">
            <v>5</v>
          </cell>
          <cell r="J1604" t="str">
            <v>DropWizS</v>
          </cell>
          <cell r="K1604" t="str">
            <v>hp</v>
          </cell>
          <cell r="L1604" t="str">
            <v>体力タイプ</v>
          </cell>
          <cell r="M1604" t="str">
            <v>dragon</v>
          </cell>
        </row>
        <row r="1605">
          <cell r="A1605">
            <v>8004</v>
          </cell>
          <cell r="B1605" t="str">
            <v>ja</v>
          </cell>
          <cell r="C1605" t="str">
            <v>呼嵐の蒼棲龍 蛟龍</v>
          </cell>
          <cell r="D1605" t="str">
            <v>イベント:ミクコラボ01</v>
          </cell>
          <cell r="E1605" t="str">
            <v>執行者</v>
          </cell>
          <cell r="F1605" t="str">
            <v>格好いい</v>
          </cell>
          <cell r="G1605" t="str">
            <v>不明</v>
          </cell>
          <cell r="H1605" t="str">
            <v>blue</v>
          </cell>
          <cell r="I1605">
            <v>6</v>
          </cell>
          <cell r="J1605" t="str">
            <v>DropWizS</v>
          </cell>
          <cell r="K1605" t="str">
            <v>hp</v>
          </cell>
          <cell r="L1605" t="str">
            <v>体力タイプ</v>
          </cell>
          <cell r="M1605" t="str">
            <v>dragon</v>
          </cell>
        </row>
        <row r="1606">
          <cell r="A1606">
            <v>8005</v>
          </cell>
          <cell r="B1606" t="str">
            <v>ja</v>
          </cell>
          <cell r="C1606" t="str">
            <v>三蔵法師</v>
          </cell>
          <cell r="D1606" t="str">
            <v>イベント:ミクコラボ01</v>
          </cell>
          <cell r="E1606" t="str">
            <v>執行者</v>
          </cell>
          <cell r="F1606" t="str">
            <v>格好いい</v>
          </cell>
          <cell r="G1606" t="str">
            <v>不明</v>
          </cell>
          <cell r="H1606" t="str">
            <v>blue</v>
          </cell>
          <cell r="I1606">
            <v>5</v>
          </cell>
          <cell r="J1606" t="str">
            <v>PremiumSS</v>
          </cell>
          <cell r="K1606" t="str">
            <v>balance</v>
          </cell>
          <cell r="L1606" t="str">
            <v>バランスタイプ</v>
          </cell>
          <cell r="M1606" t="str">
            <v>human</v>
          </cell>
        </row>
        <row r="1607">
          <cell r="A1607">
            <v>8006</v>
          </cell>
          <cell r="B1607" t="str">
            <v>ja</v>
          </cell>
          <cell r="C1607" t="str">
            <v>慈戒の呪封使 三蔵法師</v>
          </cell>
          <cell r="D1607" t="str">
            <v>イベント:ミクコラボ01</v>
          </cell>
          <cell r="E1607" t="str">
            <v>執行者</v>
          </cell>
          <cell r="F1607" t="str">
            <v>格好いい</v>
          </cell>
          <cell r="G1607" t="str">
            <v>不明</v>
          </cell>
          <cell r="H1607" t="str">
            <v>blue</v>
          </cell>
          <cell r="I1607">
            <v>6</v>
          </cell>
          <cell r="J1607" t="str">
            <v>PremiumSS</v>
          </cell>
          <cell r="K1607" t="str">
            <v>balance</v>
          </cell>
          <cell r="L1607" t="str">
            <v>バランスタイプ</v>
          </cell>
          <cell r="M1607" t="str">
            <v>human</v>
          </cell>
        </row>
        <row r="1608">
          <cell r="A1608">
            <v>8007</v>
          </cell>
          <cell r="B1608" t="str">
            <v>ja</v>
          </cell>
          <cell r="C1608" t="str">
            <v>孫悟空</v>
          </cell>
          <cell r="D1608" t="str">
            <v>イベント:ミクコラボ01</v>
          </cell>
          <cell r="E1608" t="str">
            <v>執行者</v>
          </cell>
          <cell r="F1608" t="str">
            <v>格好いい</v>
          </cell>
          <cell r="G1608" t="str">
            <v>不明</v>
          </cell>
          <cell r="H1608" t="str">
            <v>red</v>
          </cell>
          <cell r="I1608">
            <v>5</v>
          </cell>
          <cell r="J1608" t="str">
            <v>DropWizS</v>
          </cell>
          <cell r="K1608" t="str">
            <v>attack</v>
          </cell>
          <cell r="L1608" t="str">
            <v>攻撃タイプ</v>
          </cell>
          <cell r="M1608" t="str">
            <v>animal</v>
          </cell>
        </row>
        <row r="1609">
          <cell r="A1609">
            <v>8008</v>
          </cell>
          <cell r="B1609" t="str">
            <v>ja</v>
          </cell>
          <cell r="C1609" t="str">
            <v>花果の天猿仙人 孫悟空</v>
          </cell>
          <cell r="D1609" t="str">
            <v>イベント:ミクコラボ01</v>
          </cell>
          <cell r="E1609" t="str">
            <v>執行者</v>
          </cell>
          <cell r="F1609" t="str">
            <v>格好いい</v>
          </cell>
          <cell r="G1609" t="str">
            <v>不明</v>
          </cell>
          <cell r="H1609" t="str">
            <v>red</v>
          </cell>
          <cell r="I1609">
            <v>6</v>
          </cell>
          <cell r="J1609" t="str">
            <v>DropWizS</v>
          </cell>
          <cell r="K1609" t="str">
            <v>attack</v>
          </cell>
          <cell r="L1609" t="str">
            <v>攻撃タイプ</v>
          </cell>
          <cell r="M1609" t="str">
            <v>animal</v>
          </cell>
        </row>
        <row r="1610">
          <cell r="A1610">
            <v>8009</v>
          </cell>
          <cell r="B1610" t="str">
            <v>ja</v>
          </cell>
          <cell r="C1610" t="str">
            <v>西王娘娘</v>
          </cell>
          <cell r="D1610" t="str">
            <v>イベント:ミクコラボ01</v>
          </cell>
          <cell r="E1610" t="str">
            <v>執行者</v>
          </cell>
          <cell r="F1610" t="str">
            <v>格好いい</v>
          </cell>
          <cell r="G1610" t="str">
            <v>不明</v>
          </cell>
          <cell r="H1610" t="str">
            <v>green</v>
          </cell>
          <cell r="I1610">
            <v>5</v>
          </cell>
          <cell r="J1610" t="str">
            <v>PremiumSS</v>
          </cell>
          <cell r="K1610" t="str">
            <v>attack</v>
          </cell>
          <cell r="L1610" t="str">
            <v>攻撃タイプ</v>
          </cell>
          <cell r="M1610" t="str">
            <v>god</v>
          </cell>
        </row>
        <row r="1611">
          <cell r="A1611">
            <v>8010</v>
          </cell>
          <cell r="B1611" t="str">
            <v>ja</v>
          </cell>
          <cell r="C1611" t="str">
            <v>極楽瑶池の聖母 西王娘娘</v>
          </cell>
          <cell r="D1611" t="str">
            <v>イベント:ミクコラボ01</v>
          </cell>
          <cell r="E1611" t="str">
            <v>執行者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6</v>
          </cell>
          <cell r="J1611" t="str">
            <v>PremiumSS</v>
          </cell>
          <cell r="K1611" t="str">
            <v>attack</v>
          </cell>
          <cell r="L1611" t="str">
            <v>攻撃タイプ</v>
          </cell>
          <cell r="M1611" t="str">
            <v>god</v>
          </cell>
        </row>
        <row r="1612">
          <cell r="A1612">
            <v>8011</v>
          </cell>
          <cell r="B1612" t="str">
            <v>ja</v>
          </cell>
          <cell r="C1612" t="str">
            <v>月下老人</v>
          </cell>
          <cell r="D1612" t="str">
            <v>イベント:ミクコラボ01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5</v>
          </cell>
          <cell r="J1612" t="str">
            <v>DropWizS</v>
          </cell>
          <cell r="K1612" t="str">
            <v>balance</v>
          </cell>
          <cell r="L1612" t="str">
            <v>バランスタイプ</v>
          </cell>
          <cell r="M1612" t="str">
            <v>god</v>
          </cell>
        </row>
        <row r="1613">
          <cell r="A1613">
            <v>8012</v>
          </cell>
          <cell r="B1613" t="str">
            <v>ja</v>
          </cell>
          <cell r="C1613" t="str">
            <v>破戀斬る縁剣 月下老人</v>
          </cell>
          <cell r="D1613" t="str">
            <v>イベント:ミクコラボ01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6</v>
          </cell>
          <cell r="J1613" t="str">
            <v>DropWizS</v>
          </cell>
          <cell r="K1613" t="str">
            <v>balance</v>
          </cell>
          <cell r="L1613" t="str">
            <v>バランスタイプ</v>
          </cell>
          <cell r="M1613" t="str">
            <v>god</v>
          </cell>
        </row>
        <row r="1614">
          <cell r="A1614">
            <v>8013</v>
          </cell>
          <cell r="B1614" t="str">
            <v>ja</v>
          </cell>
          <cell r="C1614" t="str">
            <v>初音ミクV3</v>
          </cell>
          <cell r="D1614" t="str">
            <v>初音ミクV3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yellow</v>
          </cell>
          <cell r="I1614">
            <v>4</v>
          </cell>
          <cell r="J1614" t="str">
            <v>DropWizS</v>
          </cell>
          <cell r="K1614" t="str">
            <v>balance</v>
          </cell>
          <cell r="L1614" t="str">
            <v>バランスタイプ</v>
          </cell>
          <cell r="M1614" t="str">
            <v>unknown</v>
          </cell>
        </row>
        <row r="1615">
          <cell r="A1615">
            <v>8014</v>
          </cell>
          <cell r="B1615" t="str">
            <v>ja</v>
          </cell>
          <cell r="C1615" t="str">
            <v>初音ミクV3</v>
          </cell>
          <cell r="D1615" t="str">
            <v>初音ミクV3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balance</v>
          </cell>
          <cell r="L1615" t="str">
            <v>バランスタイプ</v>
          </cell>
          <cell r="M1615" t="str">
            <v>unknown</v>
          </cell>
        </row>
        <row r="1616">
          <cell r="A1616">
            <v>8015</v>
          </cell>
          <cell r="B1616" t="str">
            <v>ja</v>
          </cell>
          <cell r="C1616" t="str">
            <v>初音ミク・アペンド</v>
          </cell>
          <cell r="D1616" t="str">
            <v>初音ミク・アペンド</v>
          </cell>
          <cell r="E1616" t="str">
            <v>執行者</v>
          </cell>
          <cell r="F1616" t="str">
            <v>格好いい</v>
          </cell>
          <cell r="G1616" t="str">
            <v>女性</v>
          </cell>
          <cell r="H1616" t="str">
            <v>green</v>
          </cell>
          <cell r="I1616">
            <v>4</v>
          </cell>
          <cell r="J1616" t="str">
            <v>PremiumSSS</v>
          </cell>
          <cell r="K1616" t="str">
            <v>technical</v>
          </cell>
          <cell r="L1616" t="str">
            <v>テクニカルタイプ</v>
          </cell>
          <cell r="M1616" t="str">
            <v>unknown</v>
          </cell>
        </row>
        <row r="1617">
          <cell r="A1617">
            <v>8016</v>
          </cell>
          <cell r="B1617" t="str">
            <v>ja</v>
          </cell>
          <cell r="C1617" t="str">
            <v>初音ミク・アペンド</v>
          </cell>
          <cell r="D1617" t="str">
            <v>初音ミク・アペンド</v>
          </cell>
          <cell r="E1617" t="str">
            <v>執行者</v>
          </cell>
          <cell r="F1617" t="str">
            <v>格好いい</v>
          </cell>
          <cell r="G1617" t="str">
            <v>女性</v>
          </cell>
          <cell r="H1617" t="str">
            <v>green</v>
          </cell>
          <cell r="I1617">
            <v>5</v>
          </cell>
          <cell r="J1617" t="str">
            <v>PremiumSSS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</row>
        <row r="1618">
          <cell r="A1618">
            <v>8017</v>
          </cell>
          <cell r="B1618" t="str">
            <v>ja</v>
          </cell>
          <cell r="C1618" t="str">
            <v>初音ミク</v>
          </cell>
          <cell r="D1618" t="str">
            <v>初音ミク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green</v>
          </cell>
          <cell r="I1618">
            <v>4</v>
          </cell>
          <cell r="J1618" t="str">
            <v>PremiumSSS</v>
          </cell>
          <cell r="K1618" t="str">
            <v>balance</v>
          </cell>
          <cell r="L1618" t="str">
            <v>バランスタイプ</v>
          </cell>
          <cell r="M1618" t="str">
            <v>unknown</v>
          </cell>
        </row>
        <row r="1619">
          <cell r="A1619">
            <v>8018</v>
          </cell>
          <cell r="B1619" t="str">
            <v>ja</v>
          </cell>
          <cell r="C1619" t="str">
            <v>初音ミク</v>
          </cell>
          <cell r="D1619" t="str">
            <v>初音ミク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green</v>
          </cell>
          <cell r="I1619">
            <v>5</v>
          </cell>
          <cell r="J1619" t="str">
            <v>PremiumSSS</v>
          </cell>
          <cell r="K1619" t="str">
            <v>balance</v>
          </cell>
          <cell r="L1619" t="str">
            <v>バランスタイプ</v>
          </cell>
          <cell r="M1619" t="str">
            <v>unknown</v>
          </cell>
        </row>
        <row r="1620">
          <cell r="A1620">
            <v>8019</v>
          </cell>
          <cell r="B1620" t="str">
            <v>ja</v>
          </cell>
          <cell r="C1620" t="str">
            <v>鏡音リン</v>
          </cell>
          <cell r="D1620" t="str">
            <v>鏡音リン</v>
          </cell>
          <cell r="E1620" t="str">
            <v>執行者</v>
          </cell>
          <cell r="F1620" t="str">
            <v>格好いい</v>
          </cell>
          <cell r="G1620" t="str">
            <v>男性</v>
          </cell>
          <cell r="H1620" t="str">
            <v>yellow</v>
          </cell>
          <cell r="I1620">
            <v>4</v>
          </cell>
          <cell r="J1620" t="str">
            <v>PremiumSS</v>
          </cell>
          <cell r="K1620" t="str">
            <v>balance</v>
          </cell>
          <cell r="L1620" t="str">
            <v>バランスタイプ</v>
          </cell>
          <cell r="M1620" t="str">
            <v>unknown</v>
          </cell>
        </row>
        <row r="1621">
          <cell r="A1621">
            <v>8020</v>
          </cell>
          <cell r="B1621" t="str">
            <v>ja</v>
          </cell>
          <cell r="C1621" t="str">
            <v>鏡音リン</v>
          </cell>
          <cell r="D1621" t="str">
            <v>鏡音リン</v>
          </cell>
          <cell r="E1621" t="str">
            <v>執行者</v>
          </cell>
          <cell r="F1621" t="str">
            <v>格好いい</v>
          </cell>
          <cell r="G1621" t="str">
            <v>男性</v>
          </cell>
          <cell r="H1621" t="str">
            <v>yellow</v>
          </cell>
          <cell r="I1621">
            <v>5</v>
          </cell>
          <cell r="J1621" t="str">
            <v>PremiumSS</v>
          </cell>
          <cell r="K1621" t="str">
            <v>balance</v>
          </cell>
          <cell r="L1621" t="str">
            <v>バランスタイプ</v>
          </cell>
          <cell r="M1621" t="str">
            <v>unknown</v>
          </cell>
        </row>
        <row r="1622">
          <cell r="A1622">
            <v>8021</v>
          </cell>
          <cell r="B1622" t="str">
            <v>ja</v>
          </cell>
          <cell r="C1622" t="str">
            <v>鏡音レン</v>
          </cell>
          <cell r="D1622" t="str">
            <v>鏡音レン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yellow</v>
          </cell>
          <cell r="I1622">
            <v>4</v>
          </cell>
          <cell r="J1622" t="str">
            <v>PremiumSS</v>
          </cell>
          <cell r="K1622" t="str">
            <v>heal</v>
          </cell>
          <cell r="L1622" t="str">
            <v>回復タイプ</v>
          </cell>
          <cell r="M1622" t="str">
            <v>unknown</v>
          </cell>
        </row>
        <row r="1623">
          <cell r="A1623">
            <v>8022</v>
          </cell>
          <cell r="B1623" t="str">
            <v>ja</v>
          </cell>
          <cell r="C1623" t="str">
            <v>鏡音レン</v>
          </cell>
          <cell r="D1623" t="str">
            <v>鏡音レン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yellow</v>
          </cell>
          <cell r="I1623">
            <v>5</v>
          </cell>
          <cell r="J1623" t="str">
            <v>PremiumSS</v>
          </cell>
          <cell r="K1623" t="str">
            <v>heal</v>
          </cell>
          <cell r="L1623" t="str">
            <v>回復タイプ</v>
          </cell>
          <cell r="M1623" t="str">
            <v>unknown</v>
          </cell>
        </row>
        <row r="1624">
          <cell r="A1624">
            <v>8023</v>
          </cell>
          <cell r="B1624" t="str">
            <v>ja</v>
          </cell>
          <cell r="C1624" t="str">
            <v>巡音ルカ</v>
          </cell>
          <cell r="D1624" t="str">
            <v>巡音ルカ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red</v>
          </cell>
          <cell r="I1624">
            <v>3</v>
          </cell>
          <cell r="J1624" t="str">
            <v>PremiumS</v>
          </cell>
          <cell r="K1624" t="str">
            <v>attack</v>
          </cell>
          <cell r="L1624" t="str">
            <v>攻撃タイプ</v>
          </cell>
          <cell r="M1624" t="str">
            <v>unknown</v>
          </cell>
        </row>
        <row r="1625">
          <cell r="A1625">
            <v>8024</v>
          </cell>
          <cell r="B1625" t="str">
            <v>ja</v>
          </cell>
          <cell r="C1625" t="str">
            <v>巡音ルカ</v>
          </cell>
          <cell r="D1625" t="str">
            <v>巡音ルカ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red</v>
          </cell>
          <cell r="I1625">
            <v>4</v>
          </cell>
          <cell r="J1625" t="str">
            <v>PremiumS</v>
          </cell>
          <cell r="K1625" t="str">
            <v>attack</v>
          </cell>
          <cell r="L1625" t="str">
            <v>攻撃タイプ</v>
          </cell>
          <cell r="M1625" t="str">
            <v>unknown</v>
          </cell>
        </row>
        <row r="1626">
          <cell r="A1626">
            <v>8025</v>
          </cell>
          <cell r="B1626" t="str">
            <v>ja</v>
          </cell>
          <cell r="C1626" t="str">
            <v>MEIKO</v>
          </cell>
          <cell r="D1626" t="str">
            <v>MEIKO</v>
          </cell>
          <cell r="E1626" t="str">
            <v>執行者</v>
          </cell>
          <cell r="F1626" t="str">
            <v>格好いい</v>
          </cell>
          <cell r="G1626" t="str">
            <v>男性</v>
          </cell>
          <cell r="H1626" t="str">
            <v>red</v>
          </cell>
          <cell r="I1626">
            <v>3</v>
          </cell>
          <cell r="J1626" t="str">
            <v>PremiumS</v>
          </cell>
          <cell r="K1626" t="str">
            <v>hp</v>
          </cell>
          <cell r="L1626" t="str">
            <v>体力タイプ</v>
          </cell>
          <cell r="M1626" t="str">
            <v>unknown</v>
          </cell>
        </row>
        <row r="1627">
          <cell r="A1627">
            <v>8026</v>
          </cell>
          <cell r="B1627" t="str">
            <v>ja</v>
          </cell>
          <cell r="C1627" t="str">
            <v>MEIKO</v>
          </cell>
          <cell r="D1627" t="str">
            <v>MEIKO</v>
          </cell>
          <cell r="E1627" t="str">
            <v>執行者</v>
          </cell>
          <cell r="F1627" t="str">
            <v>格好いい</v>
          </cell>
          <cell r="G1627" t="str">
            <v>男性</v>
          </cell>
          <cell r="H1627" t="str">
            <v>red</v>
          </cell>
          <cell r="I1627">
            <v>4</v>
          </cell>
          <cell r="J1627" t="str">
            <v>PremiumS</v>
          </cell>
          <cell r="K1627" t="str">
            <v>hp</v>
          </cell>
          <cell r="L1627" t="str">
            <v>体力タイプ</v>
          </cell>
          <cell r="M1627" t="str">
            <v>unknown</v>
          </cell>
        </row>
        <row r="1628">
          <cell r="A1628">
            <v>8027</v>
          </cell>
          <cell r="B1628" t="str">
            <v>ja</v>
          </cell>
          <cell r="C1628" t="str">
            <v>KAITO</v>
          </cell>
          <cell r="D1628" t="str">
            <v>KAITO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blue</v>
          </cell>
          <cell r="I1628">
            <v>3</v>
          </cell>
          <cell r="J1628" t="str">
            <v>PremiumS</v>
          </cell>
          <cell r="K1628" t="str">
            <v>technical</v>
          </cell>
          <cell r="L1628" t="str">
            <v>テクニカルタイプ</v>
          </cell>
          <cell r="M1628" t="str">
            <v>unknown</v>
          </cell>
        </row>
        <row r="1629">
          <cell r="A1629">
            <v>8028</v>
          </cell>
          <cell r="B1629" t="str">
            <v>ja</v>
          </cell>
          <cell r="C1629" t="str">
            <v>KAITO</v>
          </cell>
          <cell r="D1629" t="str">
            <v>KAITO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blue</v>
          </cell>
          <cell r="I1629">
            <v>4</v>
          </cell>
          <cell r="J1629" t="str">
            <v>PremiumS</v>
          </cell>
          <cell r="K1629" t="str">
            <v>technical</v>
          </cell>
          <cell r="L1629" t="str">
            <v>テクニカルタイプ</v>
          </cell>
          <cell r="M1629" t="str">
            <v>unknown</v>
          </cell>
        </row>
        <row r="1630">
          <cell r="A1630">
            <v>8029</v>
          </cell>
          <cell r="B1630" t="str">
            <v>ja</v>
          </cell>
          <cell r="C1630" t="str">
            <v>Expoミク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blue</v>
          </cell>
          <cell r="I1630">
            <v>4</v>
          </cell>
          <cell r="J1630" t="str">
            <v>Drop2N</v>
          </cell>
          <cell r="K1630" t="str">
            <v>heal</v>
          </cell>
          <cell r="L1630" t="str">
            <v>回復タイプ</v>
          </cell>
          <cell r="M1630" t="str">
            <v>unknown</v>
          </cell>
        </row>
        <row r="1631">
          <cell r="A1631">
            <v>8030</v>
          </cell>
          <cell r="B1631" t="str">
            <v>ja</v>
          </cell>
          <cell r="C1631" t="str">
            <v>Expoミク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blue</v>
          </cell>
          <cell r="I1631">
            <v>5</v>
          </cell>
          <cell r="J1631" t="str">
            <v>Drop2N</v>
          </cell>
          <cell r="K1631" t="str">
            <v>heal</v>
          </cell>
          <cell r="L1631" t="str">
            <v>回復タイプ</v>
          </cell>
          <cell r="M1631" t="str">
            <v>unknown</v>
          </cell>
        </row>
        <row r="1632">
          <cell r="A1632">
            <v>8031</v>
          </cell>
          <cell r="B1632" t="str">
            <v>ja</v>
          </cell>
          <cell r="C1632" t="str">
            <v>閻羅王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red</v>
          </cell>
          <cell r="I1632">
            <v>5</v>
          </cell>
          <cell r="J1632" t="str">
            <v>PremiumSS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8032</v>
          </cell>
          <cell r="B1633" t="str">
            <v>ja</v>
          </cell>
          <cell r="C1633" t="str">
            <v>六道輪廻の絶獄 閻羅王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red</v>
          </cell>
          <cell r="I1633">
            <v>6</v>
          </cell>
          <cell r="J1633" t="str">
            <v>PremiumSS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8033</v>
          </cell>
          <cell r="B1634" t="str">
            <v>ja</v>
          </cell>
          <cell r="C1634" t="str">
            <v>牛頭馬面</v>
          </cell>
          <cell r="D1634" t="str">
            <v>Expoミク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attack</v>
          </cell>
          <cell r="L1634" t="str">
            <v>攻撃タイプ</v>
          </cell>
          <cell r="M1634" t="str">
            <v>god</v>
          </cell>
        </row>
        <row r="1635">
          <cell r="A1635">
            <v>8034</v>
          </cell>
          <cell r="B1635" t="str">
            <v>ja</v>
          </cell>
          <cell r="C1635" t="str">
            <v>冥府狩る魂使 牛頭馬面</v>
          </cell>
          <cell r="D1635" t="str">
            <v>Expoミク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attack</v>
          </cell>
          <cell r="L1635" t="str">
            <v>攻撃タイプ</v>
          </cell>
          <cell r="M1635" t="str">
            <v>god</v>
          </cell>
        </row>
        <row r="1636">
          <cell r="A1636">
            <v>8035</v>
          </cell>
          <cell r="B1636" t="str">
            <v>ja</v>
          </cell>
          <cell r="C1636" t="str">
            <v>飛衛</v>
          </cell>
          <cell r="D1636" t="str">
            <v>Expoミク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blue</v>
          </cell>
          <cell r="I1636">
            <v>5</v>
          </cell>
          <cell r="J1636" t="str">
            <v>PremiumSS</v>
          </cell>
          <cell r="K1636" t="str">
            <v>heal</v>
          </cell>
          <cell r="L1636" t="str">
            <v>回復タイプ</v>
          </cell>
          <cell r="M1636" t="str">
            <v>human</v>
          </cell>
        </row>
        <row r="1637">
          <cell r="A1637">
            <v>8036</v>
          </cell>
          <cell r="B1637" t="str">
            <v>ja</v>
          </cell>
          <cell r="C1637" t="str">
            <v>レア６飛衛</v>
          </cell>
          <cell r="D1637" t="str">
            <v>Expoミク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blue</v>
          </cell>
          <cell r="I1637">
            <v>6</v>
          </cell>
          <cell r="J1637" t="str">
            <v>PremiumSS</v>
          </cell>
          <cell r="K1637" t="str">
            <v>heal</v>
          </cell>
          <cell r="L1637" t="str">
            <v>回復タイプ</v>
          </cell>
          <cell r="M1637" t="str">
            <v>human</v>
          </cell>
        </row>
        <row r="1638">
          <cell r="A1638">
            <v>8037</v>
          </cell>
          <cell r="B1638" t="str">
            <v>ja</v>
          </cell>
          <cell r="C1638" t="str">
            <v>紀昌</v>
          </cell>
          <cell r="D1638" t="str">
            <v>Expoミク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5</v>
          </cell>
          <cell r="J1638" t="str">
            <v>DropWizS</v>
          </cell>
          <cell r="K1638" t="str">
            <v>attack</v>
          </cell>
          <cell r="L1638" t="str">
            <v>攻撃タイプ</v>
          </cell>
          <cell r="M1638" t="str">
            <v>human</v>
          </cell>
        </row>
        <row r="1639">
          <cell r="A1639">
            <v>8038</v>
          </cell>
          <cell r="B1639" t="str">
            <v>ja</v>
          </cell>
          <cell r="C1639" t="str">
            <v>レア６紀昌</v>
          </cell>
          <cell r="D1639" t="str">
            <v>Expoミク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6</v>
          </cell>
          <cell r="J1639" t="str">
            <v>DropWizS</v>
          </cell>
          <cell r="K1639" t="str">
            <v>attack</v>
          </cell>
          <cell r="L1639" t="str">
            <v>攻撃タイプ</v>
          </cell>
          <cell r="M1639" t="str">
            <v>human</v>
          </cell>
        </row>
        <row r="1640">
          <cell r="A1640">
            <v>8039</v>
          </cell>
          <cell r="B1640" t="str">
            <v>ja</v>
          </cell>
          <cell r="C1640" t="str">
            <v>何仙姑</v>
          </cell>
          <cell r="D1640" t="str">
            <v>Expoミク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yellow</v>
          </cell>
          <cell r="I1640">
            <v>5</v>
          </cell>
          <cell r="J1640" t="str">
            <v>PremiumSSw</v>
          </cell>
          <cell r="K1640" t="str">
            <v>hp</v>
          </cell>
          <cell r="L1640" t="str">
            <v>体力タイプ</v>
          </cell>
          <cell r="M1640" t="str">
            <v>god</v>
          </cell>
        </row>
        <row r="1641">
          <cell r="A1641">
            <v>8040</v>
          </cell>
          <cell r="B1641" t="str">
            <v>ja</v>
          </cell>
          <cell r="C1641" t="str">
            <v>荷咲く九天 何仙姑</v>
          </cell>
          <cell r="D1641" t="str">
            <v>Expoミク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6</v>
          </cell>
          <cell r="J1641" t="str">
            <v>PremiumSSw</v>
          </cell>
          <cell r="K1641" t="str">
            <v>hp</v>
          </cell>
          <cell r="L1641" t="str">
            <v>体力タイプ</v>
          </cell>
          <cell r="M1641" t="str">
            <v>god</v>
          </cell>
        </row>
        <row r="1642">
          <cell r="A1642">
            <v>8041</v>
          </cell>
          <cell r="B1642" t="str">
            <v>ja</v>
          </cell>
          <cell r="C1642" t="str">
            <v>藍采和</v>
          </cell>
          <cell r="D1642" t="str">
            <v>Expoミク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blue</v>
          </cell>
          <cell r="I1642">
            <v>5</v>
          </cell>
          <cell r="J1642" t="str">
            <v>DropWizS</v>
          </cell>
          <cell r="K1642" t="str">
            <v>balance</v>
          </cell>
          <cell r="L1642" t="str">
            <v>バランスタイプ</v>
          </cell>
          <cell r="M1642" t="str">
            <v>god</v>
          </cell>
        </row>
        <row r="1643">
          <cell r="A1643">
            <v>8042</v>
          </cell>
          <cell r="B1643" t="str">
            <v>ja</v>
          </cell>
          <cell r="C1643" t="str">
            <v>天真浪漫 藍采和</v>
          </cell>
          <cell r="D1643" t="str">
            <v>Expoミク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blue</v>
          </cell>
          <cell r="I1643">
            <v>6</v>
          </cell>
          <cell r="J1643" t="str">
            <v>DropWizS</v>
          </cell>
          <cell r="K1643" t="str">
            <v>balance</v>
          </cell>
          <cell r="L1643" t="str">
            <v>バランスタイプ</v>
          </cell>
          <cell r="M1643" t="str">
            <v>god</v>
          </cell>
        </row>
        <row r="1644">
          <cell r="A1644">
            <v>8043</v>
          </cell>
          <cell r="B1644" t="str">
            <v>ja</v>
          </cell>
          <cell r="C1644" t="str">
            <v>サンリオキャラ大集合+アザゼル</v>
          </cell>
          <cell r="D1644" t="str">
            <v>サンリオキャラ大集合+アザゼル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green</v>
          </cell>
          <cell r="I1644">
            <v>5</v>
          </cell>
          <cell r="J1644" t="str">
            <v>DropWizS</v>
          </cell>
          <cell r="K1644" t="str">
            <v>technical</v>
          </cell>
          <cell r="L1644" t="str">
            <v>テクニカルタイプ</v>
          </cell>
          <cell r="M1644" t="str">
            <v>ss</v>
          </cell>
        </row>
        <row r="1645">
          <cell r="A1645">
            <v>8044</v>
          </cell>
          <cell r="B1645" t="str">
            <v>ja</v>
          </cell>
          <cell r="C1645" t="str">
            <v>サンリオキャラ大集合+アザゼル</v>
          </cell>
          <cell r="D1645" t="str">
            <v>サンリオキャラ大集合+アザゼル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green</v>
          </cell>
          <cell r="I1645">
            <v>6</v>
          </cell>
          <cell r="J1645" t="str">
            <v>DropWizS</v>
          </cell>
          <cell r="K1645" t="str">
            <v>technical</v>
          </cell>
          <cell r="L1645" t="str">
            <v>テクニカルタイプ</v>
          </cell>
          <cell r="M1645" t="str">
            <v>ss</v>
          </cell>
        </row>
        <row r="1646">
          <cell r="A1646">
            <v>8045</v>
          </cell>
          <cell r="B1646" t="str">
            <v>ja</v>
          </cell>
          <cell r="C1646" t="str">
            <v>ニムダ_サンリオキャラ混じり</v>
          </cell>
          <cell r="D1646" t="str">
            <v>ニムダ_サンリオキャラ混じり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yellow</v>
          </cell>
          <cell r="I1646">
            <v>4</v>
          </cell>
          <cell r="J1646" t="str">
            <v>Drop2N</v>
          </cell>
          <cell r="K1646" t="str">
            <v>technical</v>
          </cell>
          <cell r="L1646" t="str">
            <v>テクニカルタイプ</v>
          </cell>
          <cell r="M1646" t="str">
            <v>ss</v>
          </cell>
        </row>
        <row r="1647">
          <cell r="A1647">
            <v>8046</v>
          </cell>
          <cell r="B1647" t="str">
            <v>ja</v>
          </cell>
          <cell r="C1647" t="str">
            <v>ニムダ_サンリオキャラ混じり</v>
          </cell>
          <cell r="D1647" t="str">
            <v>ニムダ_サンリオキャラ混じり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yellow</v>
          </cell>
          <cell r="I1647">
            <v>5</v>
          </cell>
          <cell r="J1647" t="str">
            <v>Drop2N</v>
          </cell>
          <cell r="K1647" t="str">
            <v>technical</v>
          </cell>
          <cell r="L1647" t="str">
            <v>テクニカルタイプ</v>
          </cell>
          <cell r="M1647" t="str">
            <v>ss</v>
          </cell>
        </row>
        <row r="1648">
          <cell r="A1648">
            <v>8047</v>
          </cell>
          <cell r="B1648" t="str">
            <v>ja</v>
          </cell>
          <cell r="C1648" t="str">
            <v>ハローキティ</v>
          </cell>
          <cell r="D1648" t="str">
            <v>ハローキティ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red</v>
          </cell>
          <cell r="I1648">
            <v>4</v>
          </cell>
          <cell r="J1648" t="str">
            <v>Drop2N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8048</v>
          </cell>
          <cell r="B1649" t="str">
            <v>ja</v>
          </cell>
          <cell r="C1649" t="str">
            <v>ハローキティ</v>
          </cell>
          <cell r="D1649" t="str">
            <v>ハローキティ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red</v>
          </cell>
          <cell r="I1649">
            <v>5</v>
          </cell>
          <cell r="J1649" t="str">
            <v>Drop2N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8049</v>
          </cell>
          <cell r="B1650" t="str">
            <v>ja</v>
          </cell>
          <cell r="C1650" t="str">
            <v>KIRIMIちゃん</v>
          </cell>
          <cell r="D1650" t="str">
            <v>KIRIMIちゃん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red</v>
          </cell>
          <cell r="I1650">
            <v>4</v>
          </cell>
          <cell r="J1650" t="str">
            <v>Drop2N</v>
          </cell>
          <cell r="K1650" t="str">
            <v>hp</v>
          </cell>
          <cell r="L1650" t="str">
            <v>体力タイプ</v>
          </cell>
          <cell r="M1650" t="str">
            <v>ss</v>
          </cell>
        </row>
        <row r="1651">
          <cell r="A1651">
            <v>8050</v>
          </cell>
          <cell r="B1651" t="str">
            <v>ja</v>
          </cell>
          <cell r="C1651" t="str">
            <v>KIRIMIちゃん</v>
          </cell>
          <cell r="D1651" t="str">
            <v>KIRIMIちゃん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5</v>
          </cell>
          <cell r="J1651" t="str">
            <v>Drop2N</v>
          </cell>
          <cell r="K1651" t="str">
            <v>hp</v>
          </cell>
          <cell r="L1651" t="str">
            <v>体力タイプ</v>
          </cell>
          <cell r="M1651" t="str">
            <v>ss</v>
          </cell>
        </row>
        <row r="1652">
          <cell r="A1652">
            <v>8051</v>
          </cell>
          <cell r="B1652" t="str">
            <v>ja</v>
          </cell>
          <cell r="C1652" t="str">
            <v>ハローキティのリボン</v>
          </cell>
          <cell r="D1652" t="str">
            <v>ハローキティのリボン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red</v>
          </cell>
          <cell r="I1652">
            <v>5</v>
          </cell>
          <cell r="J1652" t="str">
            <v>Drop2N</v>
          </cell>
          <cell r="K1652" t="str">
            <v>evolution</v>
          </cell>
          <cell r="L1652" t="str">
            <v>覚醒素材タイプ</v>
          </cell>
          <cell r="M1652" t="str">
            <v>ss</v>
          </cell>
        </row>
        <row r="1653">
          <cell r="A1653">
            <v>8052</v>
          </cell>
          <cell r="B1653" t="str">
            <v>ja</v>
          </cell>
          <cell r="C1653" t="str">
            <v>ママの作ったアップルパイ</v>
          </cell>
          <cell r="D1653" t="str">
            <v>ママの作ったアップルパイ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red</v>
          </cell>
          <cell r="I1653">
            <v>4</v>
          </cell>
          <cell r="J1653" t="str">
            <v>Drop2N</v>
          </cell>
          <cell r="K1653" t="str">
            <v>evolution</v>
          </cell>
          <cell r="L1653" t="str">
            <v>覚醒素材タイプ</v>
          </cell>
          <cell r="M1653" t="str">
            <v>ss</v>
          </cell>
        </row>
        <row r="1654">
          <cell r="A1654">
            <v>8053</v>
          </cell>
          <cell r="B1654" t="str">
            <v>ja</v>
          </cell>
          <cell r="C1654" t="str">
            <v>D.R.T.H__キティコスプレ</v>
          </cell>
          <cell r="D1654" t="str">
            <v>D.R.T.H__キティコスプレ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red</v>
          </cell>
          <cell r="I1654">
            <v>5</v>
          </cell>
          <cell r="J1654" t="str">
            <v>PremiumSS</v>
          </cell>
          <cell r="K1654" t="str">
            <v>balance</v>
          </cell>
          <cell r="L1654" t="str">
            <v>バランスタイプ</v>
          </cell>
          <cell r="M1654" t="str">
            <v>ss</v>
          </cell>
        </row>
        <row r="1655">
          <cell r="A1655">
            <v>8054</v>
          </cell>
          <cell r="B1655" t="str">
            <v>ja</v>
          </cell>
          <cell r="C1655" t="str">
            <v>D.R.T.H__キティコスプレ</v>
          </cell>
          <cell r="D1655" t="str">
            <v>D.R.T.H__キティコスプレ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red</v>
          </cell>
          <cell r="I1655">
            <v>6</v>
          </cell>
          <cell r="J1655" t="str">
            <v>PremiumSS</v>
          </cell>
          <cell r="K1655" t="str">
            <v>balance</v>
          </cell>
          <cell r="L1655" t="str">
            <v>バランスタイプ</v>
          </cell>
          <cell r="M1655" t="str">
            <v>ss</v>
          </cell>
        </row>
        <row r="1656">
          <cell r="A1656">
            <v>8055</v>
          </cell>
          <cell r="B1656" t="str">
            <v>ja</v>
          </cell>
          <cell r="C1656" t="str">
            <v>マイメロディ</v>
          </cell>
          <cell r="D1656" t="str">
            <v>マイメロディ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red</v>
          </cell>
          <cell r="I1656">
            <v>4</v>
          </cell>
          <cell r="J1656" t="str">
            <v>PremiumS</v>
          </cell>
          <cell r="K1656" t="str">
            <v>attack</v>
          </cell>
          <cell r="L1656" t="str">
            <v>攻撃タイプ</v>
          </cell>
          <cell r="M1656" t="str">
            <v>ss</v>
          </cell>
        </row>
        <row r="1657">
          <cell r="A1657">
            <v>8056</v>
          </cell>
          <cell r="B1657" t="str">
            <v>ja</v>
          </cell>
          <cell r="C1657" t="str">
            <v>マイメロディ</v>
          </cell>
          <cell r="D1657" t="str">
            <v>マイメロディ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red</v>
          </cell>
          <cell r="I1657">
            <v>5</v>
          </cell>
          <cell r="J1657" t="str">
            <v>PremiumS</v>
          </cell>
          <cell r="K1657" t="str">
            <v>attack</v>
          </cell>
          <cell r="L1657" t="str">
            <v>攻撃タイプ</v>
          </cell>
          <cell r="M1657" t="str">
            <v>ss</v>
          </cell>
        </row>
        <row r="1658">
          <cell r="A1658">
            <v>8057</v>
          </cell>
          <cell r="B1658" t="str">
            <v>ja</v>
          </cell>
          <cell r="C1658" t="str">
            <v>ニーベルゲン_シナモロールコスプレ</v>
          </cell>
          <cell r="D1658" t="str">
            <v>ニーベルゲン_シナモロールコスプレ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4</v>
          </cell>
          <cell r="J1658" t="str">
            <v>PremiumS</v>
          </cell>
          <cell r="K1658" t="str">
            <v>balance</v>
          </cell>
          <cell r="L1658" t="str">
            <v>バランスタイプ</v>
          </cell>
          <cell r="M1658" t="str">
            <v>ss</v>
          </cell>
        </row>
        <row r="1659">
          <cell r="A1659">
            <v>8058</v>
          </cell>
          <cell r="B1659" t="str">
            <v>ja</v>
          </cell>
          <cell r="C1659" t="str">
            <v>ニーベルゲン_シナモロールコスプレ</v>
          </cell>
          <cell r="D1659" t="str">
            <v>ニーベルゲン_シナモロールコスプレ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green</v>
          </cell>
          <cell r="I1659">
            <v>5</v>
          </cell>
          <cell r="J1659" t="str">
            <v>PremiumS</v>
          </cell>
          <cell r="K1659" t="str">
            <v>balance</v>
          </cell>
          <cell r="L1659" t="str">
            <v>バランスタイプ</v>
          </cell>
          <cell r="M1659" t="str">
            <v>ss</v>
          </cell>
        </row>
        <row r="1660">
          <cell r="A1660">
            <v>8059</v>
          </cell>
          <cell r="B1660" t="str">
            <v>ja</v>
          </cell>
          <cell r="C1660" t="str">
            <v>カカシ_マイメロディコスプレ</v>
          </cell>
          <cell r="D1660" t="str">
            <v>カカシ_マイメロディコスプレ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green</v>
          </cell>
          <cell r="I1660">
            <v>4</v>
          </cell>
          <cell r="J1660" t="str">
            <v>PremiumS</v>
          </cell>
          <cell r="K1660" t="str">
            <v>technical</v>
          </cell>
          <cell r="L1660" t="str">
            <v>テクニカルタイプ</v>
          </cell>
          <cell r="M1660" t="str">
            <v>ss</v>
          </cell>
        </row>
        <row r="1661">
          <cell r="A1661">
            <v>8060</v>
          </cell>
          <cell r="B1661" t="str">
            <v>ja</v>
          </cell>
          <cell r="C1661" t="str">
            <v>カカシ_マイメロディコスプレ</v>
          </cell>
          <cell r="D1661" t="str">
            <v>カカシ_マイメロディコスプレ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green</v>
          </cell>
          <cell r="I1661">
            <v>5</v>
          </cell>
          <cell r="J1661" t="str">
            <v>PremiumS</v>
          </cell>
          <cell r="K1661" t="str">
            <v>technical</v>
          </cell>
          <cell r="L1661" t="str">
            <v>テクニカルタイプ</v>
          </cell>
          <cell r="M1661" t="str">
            <v>ss</v>
          </cell>
        </row>
        <row r="1662">
          <cell r="A1662">
            <v>8061</v>
          </cell>
          <cell r="B1662" t="str">
            <v>ja</v>
          </cell>
          <cell r="C1662" t="str">
            <v>ケロケロけろっぴ</v>
          </cell>
          <cell r="D1662" t="str">
            <v>ケロケロけろっぴ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green</v>
          </cell>
          <cell r="I1662">
            <v>3</v>
          </cell>
          <cell r="J1662" t="str">
            <v>PremiumS</v>
          </cell>
          <cell r="K1662" t="str">
            <v>balance</v>
          </cell>
          <cell r="L1662" t="str">
            <v>バランスタイプ</v>
          </cell>
          <cell r="M1662" t="str">
            <v>ss</v>
          </cell>
        </row>
        <row r="1663">
          <cell r="A1663">
            <v>8062</v>
          </cell>
          <cell r="B1663" t="str">
            <v>ja</v>
          </cell>
          <cell r="C1663" t="str">
            <v>ケロケロけろっぴ</v>
          </cell>
          <cell r="D1663" t="str">
            <v>ケロケロけろっぴ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green</v>
          </cell>
          <cell r="I1663">
            <v>4</v>
          </cell>
          <cell r="J1663" t="str">
            <v>PremiumS</v>
          </cell>
          <cell r="K1663" t="str">
            <v>balance</v>
          </cell>
          <cell r="L1663" t="str">
            <v>バランスタイプ</v>
          </cell>
          <cell r="M1663" t="str">
            <v>ss</v>
          </cell>
        </row>
        <row r="1664">
          <cell r="A1664">
            <v>8063</v>
          </cell>
          <cell r="B1664" t="str">
            <v>ja</v>
          </cell>
          <cell r="C1664" t="str">
            <v>モルドレッド_ポムポムプリンコスプレ</v>
          </cell>
          <cell r="D1664" t="str">
            <v>モルドレッド_ポムポムプリンコスプレ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blue</v>
          </cell>
          <cell r="I1664">
            <v>5</v>
          </cell>
          <cell r="J1664" t="str">
            <v>PremiumSS</v>
          </cell>
          <cell r="K1664" t="str">
            <v>heal</v>
          </cell>
          <cell r="L1664" t="str">
            <v>回復タイプ</v>
          </cell>
          <cell r="M1664" t="str">
            <v>ss</v>
          </cell>
        </row>
        <row r="1665">
          <cell r="A1665">
            <v>8064</v>
          </cell>
          <cell r="B1665" t="str">
            <v>ja</v>
          </cell>
          <cell r="C1665" t="str">
            <v>モルドレッド_ポムポムプリンコスプレ</v>
          </cell>
          <cell r="D1665" t="str">
            <v>モルドレッド_ポムポムプリンコスプレ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PremiumSS</v>
          </cell>
          <cell r="K1665" t="str">
            <v>heal</v>
          </cell>
          <cell r="L1665" t="str">
            <v>回復タイプ</v>
          </cell>
          <cell r="M1665" t="str">
            <v>ss</v>
          </cell>
        </row>
        <row r="1666">
          <cell r="A1666">
            <v>8065</v>
          </cell>
          <cell r="B1666" t="str">
            <v>ja</v>
          </cell>
          <cell r="C1666" t="str">
            <v>クロミ</v>
          </cell>
          <cell r="D1666" t="str">
            <v>クロミ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3</v>
          </cell>
          <cell r="J1666" t="str">
            <v>PremiumS</v>
          </cell>
          <cell r="K1666" t="str">
            <v>technical</v>
          </cell>
          <cell r="L1666" t="str">
            <v>テクニカルタイプ</v>
          </cell>
          <cell r="M1666" t="str">
            <v>ss</v>
          </cell>
        </row>
        <row r="1667">
          <cell r="A1667">
            <v>8066</v>
          </cell>
          <cell r="B1667" t="str">
            <v>ja</v>
          </cell>
          <cell r="C1667" t="str">
            <v>クロミ</v>
          </cell>
          <cell r="D1667" t="str">
            <v>クロミ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4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ss</v>
          </cell>
        </row>
        <row r="1668">
          <cell r="A1668">
            <v>8067</v>
          </cell>
          <cell r="B1668" t="str">
            <v>ja</v>
          </cell>
          <cell r="C1668" t="str">
            <v>バッドばつ丸</v>
          </cell>
          <cell r="D1668" t="str">
            <v>バッドばつ丸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3</v>
          </cell>
          <cell r="J1668" t="str">
            <v>PremiumS</v>
          </cell>
          <cell r="K1668" t="str">
            <v>attack</v>
          </cell>
          <cell r="L1668" t="str">
            <v>攻撃タイプ</v>
          </cell>
          <cell r="M1668" t="str">
            <v>ss</v>
          </cell>
        </row>
        <row r="1669">
          <cell r="A1669">
            <v>8068</v>
          </cell>
          <cell r="B1669" t="str">
            <v>ja</v>
          </cell>
          <cell r="C1669" t="str">
            <v>バッドばつ丸</v>
          </cell>
          <cell r="D1669" t="str">
            <v>バッドばつ丸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PremiumS</v>
          </cell>
          <cell r="K1669" t="str">
            <v>attack</v>
          </cell>
          <cell r="L1669" t="str">
            <v>攻撃タイプ</v>
          </cell>
          <cell r="M1669" t="str">
            <v>ss</v>
          </cell>
        </row>
        <row r="1670">
          <cell r="A1670">
            <v>8069</v>
          </cell>
          <cell r="B1670" t="str">
            <v>ja</v>
          </cell>
          <cell r="C1670" t="str">
            <v>シナモロール</v>
          </cell>
          <cell r="D1670" t="str">
            <v>シナモロール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yellow</v>
          </cell>
          <cell r="I1670">
            <v>4</v>
          </cell>
          <cell r="J1670" t="str">
            <v>PremiumS</v>
          </cell>
          <cell r="K1670" t="str">
            <v>heal</v>
          </cell>
          <cell r="L1670" t="str">
            <v>回復タイプ</v>
          </cell>
          <cell r="M1670" t="str">
            <v>ss</v>
          </cell>
        </row>
        <row r="1671">
          <cell r="A1671">
            <v>8070</v>
          </cell>
          <cell r="B1671" t="str">
            <v>ja</v>
          </cell>
          <cell r="C1671" t="str">
            <v>シナモロール</v>
          </cell>
          <cell r="D1671" t="str">
            <v>シナモロール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yellow</v>
          </cell>
          <cell r="I1671">
            <v>5</v>
          </cell>
          <cell r="J1671" t="str">
            <v>PremiumS</v>
          </cell>
          <cell r="K1671" t="str">
            <v>heal</v>
          </cell>
          <cell r="L1671" t="str">
            <v>回復タイプ</v>
          </cell>
          <cell r="M1671" t="str">
            <v>ss</v>
          </cell>
        </row>
        <row r="1672">
          <cell r="A1672">
            <v>8071</v>
          </cell>
          <cell r="B1672" t="str">
            <v>ja</v>
          </cell>
          <cell r="C1672" t="str">
            <v>ポムポムプリン</v>
          </cell>
          <cell r="D1672" t="str">
            <v>ポムポムプリン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yellow</v>
          </cell>
          <cell r="I1672">
            <v>3</v>
          </cell>
          <cell r="J1672" t="str">
            <v>PremiumS</v>
          </cell>
          <cell r="K1672" t="str">
            <v>hp</v>
          </cell>
          <cell r="L1672" t="str">
            <v>体力タイプ</v>
          </cell>
          <cell r="M1672" t="str">
            <v>ss</v>
          </cell>
        </row>
        <row r="1673">
          <cell r="A1673">
            <v>8072</v>
          </cell>
          <cell r="B1673" t="str">
            <v>ja</v>
          </cell>
          <cell r="C1673" t="str">
            <v>ポムポムプリン</v>
          </cell>
          <cell r="D1673" t="str">
            <v>ポムポムプリン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yellow</v>
          </cell>
          <cell r="I1673">
            <v>4</v>
          </cell>
          <cell r="J1673" t="str">
            <v>PremiumS</v>
          </cell>
          <cell r="K1673" t="str">
            <v>hp</v>
          </cell>
          <cell r="L1673" t="str">
            <v>体力タイプ</v>
          </cell>
          <cell r="M1673" t="str">
            <v>ss</v>
          </cell>
        </row>
        <row r="1674">
          <cell r="A1674">
            <v>8073</v>
          </cell>
          <cell r="B1674" t="str">
            <v>ja</v>
          </cell>
          <cell r="C1674" t="str">
            <v>星海祈る天光妃 媽祖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yellow</v>
          </cell>
          <cell r="I1674">
            <v>6</v>
          </cell>
          <cell r="J1674" t="str">
            <v>PremiumSS</v>
          </cell>
          <cell r="K1674" t="str">
            <v>attack</v>
          </cell>
          <cell r="L1674" t="str">
            <v>攻撃タイプ</v>
          </cell>
          <cell r="M1674" t="str">
            <v>human</v>
          </cell>
        </row>
        <row r="1675">
          <cell r="A1675">
            <v>8074</v>
          </cell>
          <cell r="B1675" t="str">
            <v>ja</v>
          </cell>
          <cell r="C1675" t="str">
            <v>海戀の絶龍姫 蛟龍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6</v>
          </cell>
          <cell r="J1675" t="str">
            <v>DropWizS</v>
          </cell>
          <cell r="K1675" t="str">
            <v>hp</v>
          </cell>
          <cell r="L1675" t="str">
            <v>体力タイプ</v>
          </cell>
          <cell r="M1675" t="str">
            <v>dragon</v>
          </cell>
        </row>
        <row r="1676">
          <cell r="A1676">
            <v>8075</v>
          </cell>
          <cell r="B1676" t="str">
            <v>ja</v>
          </cell>
          <cell r="C1676" t="str">
            <v>解脱天の知徳 三蔵法師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balance</v>
          </cell>
          <cell r="L1676" t="str">
            <v>バランスタイプ</v>
          </cell>
          <cell r="M1676" t="str">
            <v>god</v>
          </cell>
        </row>
        <row r="1677">
          <cell r="A1677">
            <v>8076</v>
          </cell>
          <cell r="B1677" t="str">
            <v>ja</v>
          </cell>
          <cell r="C1677" t="str">
            <v>天暴の斉天大聖 孫悟空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unknown</v>
          </cell>
        </row>
        <row r="1678">
          <cell r="A1678">
            <v>8077</v>
          </cell>
          <cell r="B1678" t="str">
            <v>ja</v>
          </cell>
          <cell r="C1678" t="str">
            <v>鄭成功</v>
          </cell>
          <cell r="D1678" t="str">
            <v>ポムポムプリン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blue</v>
          </cell>
          <cell r="I1678">
            <v>5</v>
          </cell>
          <cell r="J1678" t="str">
            <v>PremiumSS</v>
          </cell>
          <cell r="K1678" t="str">
            <v>attack</v>
          </cell>
          <cell r="L1678" t="str">
            <v>攻撃タイプ</v>
          </cell>
          <cell r="M1678" t="str">
            <v>human</v>
          </cell>
        </row>
        <row r="1679">
          <cell r="A1679">
            <v>8078</v>
          </cell>
          <cell r="B1679" t="str">
            <v>ja</v>
          </cell>
          <cell r="C1679" t="str">
            <v>レア６鄭成功</v>
          </cell>
          <cell r="D1679" t="str">
            <v>ポムポムプリン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blue</v>
          </cell>
          <cell r="I1679">
            <v>6</v>
          </cell>
          <cell r="J1679" t="str">
            <v>PremiumSS</v>
          </cell>
          <cell r="K1679" t="str">
            <v>attack</v>
          </cell>
          <cell r="L1679" t="str">
            <v>攻撃タイプ</v>
          </cell>
          <cell r="M1679" t="str">
            <v>human</v>
          </cell>
        </row>
        <row r="1680">
          <cell r="A1680">
            <v>8079</v>
          </cell>
          <cell r="B1680" t="str">
            <v>ja</v>
          </cell>
          <cell r="C1680" t="str">
            <v>赤鬼</v>
          </cell>
          <cell r="D1680" t="str">
            <v>ポムポムプリン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red</v>
          </cell>
          <cell r="I1680">
            <v>5</v>
          </cell>
          <cell r="J1680" t="str">
            <v>DropWizS</v>
          </cell>
          <cell r="K1680" t="str">
            <v>hp</v>
          </cell>
          <cell r="L1680" t="str">
            <v>体力タイプ</v>
          </cell>
          <cell r="M1680" t="str">
            <v>dragon</v>
          </cell>
        </row>
        <row r="1681">
          <cell r="A1681">
            <v>8080</v>
          </cell>
          <cell r="B1681" t="str">
            <v>ja</v>
          </cell>
          <cell r="C1681" t="str">
            <v>レア６赤鬼</v>
          </cell>
          <cell r="D1681" t="str">
            <v>ポムポムプリン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red</v>
          </cell>
          <cell r="I1681">
            <v>6</v>
          </cell>
          <cell r="J1681" t="str">
            <v>DropWizS</v>
          </cell>
          <cell r="K1681" t="str">
            <v>hp</v>
          </cell>
          <cell r="L1681" t="str">
            <v>体力タイプ</v>
          </cell>
          <cell r="M1681" t="str">
            <v>dragon</v>
          </cell>
        </row>
        <row r="1682">
          <cell r="A1682">
            <v>8081</v>
          </cell>
          <cell r="B1682" t="str">
            <v>ja</v>
          </cell>
          <cell r="C1682" t="str">
            <v>関羽</v>
          </cell>
          <cell r="H1682" t="str">
            <v>green</v>
          </cell>
          <cell r="I1682">
            <v>5</v>
          </cell>
          <cell r="J1682" t="str">
            <v>PremiumSSS</v>
          </cell>
          <cell r="K1682" t="str">
            <v>balance</v>
          </cell>
          <cell r="L1682" t="str">
            <v>バランスタイプ</v>
          </cell>
          <cell r="M1682" t="str">
            <v>samurai</v>
          </cell>
        </row>
        <row r="1683">
          <cell r="A1683">
            <v>8082</v>
          </cell>
          <cell r="B1683" t="str">
            <v>ja</v>
          </cell>
          <cell r="C1683" t="str">
            <v>★６関羽</v>
          </cell>
          <cell r="H1683" t="str">
            <v>green</v>
          </cell>
          <cell r="I1683">
            <v>6</v>
          </cell>
          <cell r="J1683" t="str">
            <v>PremiumSSS</v>
          </cell>
          <cell r="K1683" t="str">
            <v>balance</v>
          </cell>
          <cell r="L1683" t="str">
            <v>バランスタイプ</v>
          </cell>
          <cell r="M1683" t="str">
            <v>samurai</v>
          </cell>
        </row>
        <row r="1684">
          <cell r="A1684">
            <v>8083</v>
          </cell>
          <cell r="B1684" t="str">
            <v>ja</v>
          </cell>
          <cell r="C1684" t="str">
            <v>曹操</v>
          </cell>
          <cell r="H1684" t="str">
            <v>yellow</v>
          </cell>
          <cell r="I1684">
            <v>5</v>
          </cell>
          <cell r="J1684" t="str">
            <v>DropWizSS</v>
          </cell>
          <cell r="K1684" t="str">
            <v>technical</v>
          </cell>
          <cell r="L1684" t="str">
            <v>テクニカルタイプ</v>
          </cell>
          <cell r="M1684" t="str">
            <v>samurai</v>
          </cell>
        </row>
        <row r="1685">
          <cell r="A1685">
            <v>8084</v>
          </cell>
          <cell r="B1685" t="str">
            <v>ja</v>
          </cell>
          <cell r="C1685" t="str">
            <v>★６曹操</v>
          </cell>
          <cell r="H1685" t="str">
            <v>yellow</v>
          </cell>
          <cell r="I1685">
            <v>6</v>
          </cell>
          <cell r="J1685" t="str">
            <v>DropWizSS</v>
          </cell>
          <cell r="K1685" t="str">
            <v>technical</v>
          </cell>
          <cell r="L1685" t="str">
            <v>テクニカルタイプ</v>
          </cell>
          <cell r="M1685" t="str">
            <v>samurai</v>
          </cell>
        </row>
        <row r="1686">
          <cell r="A1686">
            <v>8085</v>
          </cell>
          <cell r="B1686" t="str">
            <v>ja</v>
          </cell>
          <cell r="C1686" t="str">
            <v>九霊無上の聖母 西王娘娘</v>
          </cell>
          <cell r="H1686" t="str">
            <v>green</v>
          </cell>
          <cell r="I1686">
            <v>6</v>
          </cell>
          <cell r="J1686" t="str">
            <v>PremiumSS</v>
          </cell>
          <cell r="K1686" t="str">
            <v>attack</v>
          </cell>
          <cell r="L1686" t="str">
            <v>攻撃タイプ</v>
          </cell>
          <cell r="M1686" t="str">
            <v>god</v>
          </cell>
        </row>
        <row r="1687">
          <cell r="A1687">
            <v>8086</v>
          </cell>
          <cell r="B1687" t="str">
            <v>ja</v>
          </cell>
          <cell r="C1687" t="str">
            <v>砕縁の情滅剣 月下老人</v>
          </cell>
          <cell r="H1687" t="str">
            <v>yellow</v>
          </cell>
          <cell r="I1687">
            <v>6</v>
          </cell>
          <cell r="J1687" t="str">
            <v>DropWizS</v>
          </cell>
          <cell r="K1687" t="str">
            <v>attack</v>
          </cell>
          <cell r="L1687" t="str">
            <v>攻撃タイプ</v>
          </cell>
          <cell r="M1687" t="str">
            <v>god</v>
          </cell>
        </row>
        <row r="1688">
          <cell r="A1688">
            <v>8087</v>
          </cell>
          <cell r="B1688" t="str">
            <v>ja</v>
          </cell>
          <cell r="C1688" t="str">
            <v>財神</v>
          </cell>
          <cell r="H1688" t="str">
            <v>red</v>
          </cell>
          <cell r="I1688">
            <v>5</v>
          </cell>
          <cell r="J1688" t="str">
            <v>PremiumSSS</v>
          </cell>
          <cell r="K1688" t="str">
            <v>technical</v>
          </cell>
          <cell r="L1688" t="str">
            <v>テクニカルタイプ</v>
          </cell>
          <cell r="M1688" t="str">
            <v>god</v>
          </cell>
        </row>
        <row r="1689">
          <cell r="A1689">
            <v>8088</v>
          </cell>
          <cell r="B1689" t="str">
            <v>ja</v>
          </cell>
          <cell r="C1689" t="str">
            <v>★６財神</v>
          </cell>
          <cell r="H1689" t="str">
            <v>red</v>
          </cell>
          <cell r="I1689">
            <v>6</v>
          </cell>
          <cell r="J1689" t="str">
            <v>PremiumSSS</v>
          </cell>
          <cell r="K1689" t="str">
            <v>technical</v>
          </cell>
          <cell r="L1689" t="str">
            <v>テクニカルタイプ</v>
          </cell>
          <cell r="M1689" t="str">
            <v>god</v>
          </cell>
        </row>
        <row r="1690">
          <cell r="A1690">
            <v>8089</v>
          </cell>
          <cell r="B1690" t="str">
            <v>ja</v>
          </cell>
          <cell r="C1690" t="str">
            <v>年獣</v>
          </cell>
          <cell r="H1690" t="str">
            <v>green</v>
          </cell>
          <cell r="I1690">
            <v>5</v>
          </cell>
          <cell r="J1690" t="str">
            <v>DropWizS</v>
          </cell>
          <cell r="K1690" t="str">
            <v>attack</v>
          </cell>
          <cell r="L1690" t="str">
            <v>攻撃タイプ</v>
          </cell>
          <cell r="M1690" t="str">
            <v>animal</v>
          </cell>
        </row>
        <row r="1691">
          <cell r="A1691">
            <v>8090</v>
          </cell>
          <cell r="B1691" t="str">
            <v>ja</v>
          </cell>
          <cell r="C1691" t="str">
            <v>★６年獣</v>
          </cell>
          <cell r="H1691" t="str">
            <v>green</v>
          </cell>
          <cell r="I1691">
            <v>6</v>
          </cell>
          <cell r="J1691" t="str">
            <v>DropWizS</v>
          </cell>
          <cell r="K1691" t="str">
            <v>attack</v>
          </cell>
          <cell r="L1691" t="str">
            <v>攻撃タイプ</v>
          </cell>
          <cell r="M1691" t="str">
            <v>animal</v>
          </cell>
        </row>
        <row r="1692">
          <cell r="A1692">
            <v>8095</v>
          </cell>
          <cell r="B1692" t="str">
            <v>ja</v>
          </cell>
          <cell r="C1692" t="str">
            <v>バハムートダック赤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6</v>
          </cell>
          <cell r="J1692" t="str">
            <v>Material</v>
          </cell>
          <cell r="K1692" t="str">
            <v>exp</v>
          </cell>
          <cell r="L1692" t="str">
            <v>強化素材タイプ</v>
          </cell>
          <cell r="M1692" t="str">
            <v>unknown</v>
          </cell>
        </row>
        <row r="1693">
          <cell r="A1693">
            <v>8096</v>
          </cell>
          <cell r="B1693" t="str">
            <v>ja</v>
          </cell>
          <cell r="C1693" t="str">
            <v>バハムートダック緑</v>
          </cell>
          <cell r="D1693" t="str">
            <v>ポムポムプリン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green</v>
          </cell>
          <cell r="I1693">
            <v>6</v>
          </cell>
          <cell r="J1693" t="str">
            <v>Material</v>
          </cell>
          <cell r="K1693" t="str">
            <v>exp</v>
          </cell>
          <cell r="L1693" t="str">
            <v>強化素材タイプ</v>
          </cell>
          <cell r="M1693" t="str">
            <v>unknown</v>
          </cell>
        </row>
        <row r="1694">
          <cell r="A1694">
            <v>8097</v>
          </cell>
          <cell r="B1694" t="str">
            <v>ja</v>
          </cell>
          <cell r="C1694" t="str">
            <v>バハムートダック青</v>
          </cell>
          <cell r="D1694" t="str">
            <v>ポムポムプリン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blue</v>
          </cell>
          <cell r="I1694">
            <v>6</v>
          </cell>
          <cell r="J1694" t="str">
            <v>Material</v>
          </cell>
          <cell r="K1694" t="str">
            <v>exp</v>
          </cell>
          <cell r="L1694" t="str">
            <v>強化素材タイプ</v>
          </cell>
          <cell r="M1694" t="str">
            <v>unknown</v>
          </cell>
        </row>
        <row r="1695">
          <cell r="A1695">
            <v>8098</v>
          </cell>
          <cell r="B1695" t="str">
            <v>ja</v>
          </cell>
          <cell r="C1695" t="str">
            <v>バハムートダック黄</v>
          </cell>
          <cell r="D1695" t="str">
            <v>ポムポムプリン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yellow</v>
          </cell>
          <cell r="I1695">
            <v>6</v>
          </cell>
          <cell r="J1695" t="str">
            <v>Material</v>
          </cell>
          <cell r="K1695" t="str">
            <v>exp</v>
          </cell>
          <cell r="L1695" t="str">
            <v>強化素材タイプ</v>
          </cell>
          <cell r="M1695" t="str">
            <v>unknown</v>
          </cell>
        </row>
        <row r="1696">
          <cell r="A1696">
            <v>8099</v>
          </cell>
          <cell r="B1696" t="str">
            <v>ja</v>
          </cell>
          <cell r="C1696" t="str">
            <v>韓湘子</v>
          </cell>
          <cell r="D1696" t="str">
            <v>ポムポムプリン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green</v>
          </cell>
          <cell r="I1696">
            <v>5</v>
          </cell>
          <cell r="J1696" t="str">
            <v>PremiumSSw</v>
          </cell>
          <cell r="K1696" t="str">
            <v>balance</v>
          </cell>
          <cell r="L1696" t="str">
            <v>バランスタイプ</v>
          </cell>
          <cell r="M1696" t="str">
            <v>god</v>
          </cell>
        </row>
        <row r="1697">
          <cell r="A1697">
            <v>8100</v>
          </cell>
          <cell r="B1697" t="str">
            <v>ja</v>
          </cell>
          <cell r="C1697" t="str">
            <v>韓湘子★６</v>
          </cell>
          <cell r="D1697" t="str">
            <v>ポムポムプリン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6</v>
          </cell>
          <cell r="J1697" t="str">
            <v>PremiumSSw</v>
          </cell>
          <cell r="K1697" t="str">
            <v>balance</v>
          </cell>
          <cell r="L1697" t="str">
            <v>バランスタイプ</v>
          </cell>
          <cell r="M1697" t="str">
            <v>god</v>
          </cell>
        </row>
        <row r="1698">
          <cell r="A1698">
            <v>8101</v>
          </cell>
          <cell r="B1698" t="str">
            <v>ja</v>
          </cell>
          <cell r="C1698" t="str">
            <v>張果老</v>
          </cell>
          <cell r="D1698" t="str">
            <v>ポムポムプリン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yellow</v>
          </cell>
          <cell r="I1698">
            <v>5</v>
          </cell>
          <cell r="J1698" t="str">
            <v>DropWizS</v>
          </cell>
          <cell r="K1698" t="str">
            <v>attack</v>
          </cell>
          <cell r="L1698" t="str">
            <v>攻撃タイプ</v>
          </cell>
          <cell r="M1698" t="str">
            <v>god</v>
          </cell>
        </row>
        <row r="1699">
          <cell r="A1699">
            <v>8102</v>
          </cell>
          <cell r="B1699" t="str">
            <v>ja</v>
          </cell>
          <cell r="C1699" t="str">
            <v>張果老★６</v>
          </cell>
          <cell r="D1699" t="str">
            <v>各属性相性良3・黄・R455</v>
          </cell>
          <cell r="E1699" t="str">
            <v>執行者</v>
          </cell>
          <cell r="F1699" t="str">
            <v>格好いい</v>
          </cell>
          <cell r="G1699" t="str">
            <v>男性</v>
          </cell>
          <cell r="H1699" t="str">
            <v>yellow</v>
          </cell>
          <cell r="I1699">
            <v>6</v>
          </cell>
          <cell r="J1699" t="str">
            <v>DropWizS</v>
          </cell>
          <cell r="K1699" t="str">
            <v>attack</v>
          </cell>
          <cell r="L1699" t="str">
            <v>攻撃タイプ</v>
          </cell>
          <cell r="M1699" t="str">
            <v>god</v>
          </cell>
        </row>
        <row r="1700">
          <cell r="A1700">
            <v>8103</v>
          </cell>
          <cell r="B1700" t="str">
            <v>ja</v>
          </cell>
          <cell r="C1700" t="str">
            <v>李鐵拐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red</v>
          </cell>
          <cell r="I1700">
            <v>5</v>
          </cell>
          <cell r="J1700" t="str">
            <v>PremiumSSw</v>
          </cell>
          <cell r="K1700" t="str">
            <v>technical</v>
          </cell>
          <cell r="L1700" t="str">
            <v>テクニカルタイプ</v>
          </cell>
          <cell r="M1700" t="str">
            <v>god</v>
          </cell>
        </row>
        <row r="1701">
          <cell r="A1701">
            <v>8104</v>
          </cell>
          <cell r="B1701" t="str">
            <v>ja</v>
          </cell>
          <cell r="C1701" t="str">
            <v>李鐵拐★６</v>
          </cell>
          <cell r="D1701" t="str">
            <v>各属性相性良3・黄・R455</v>
          </cell>
          <cell r="E1701" t="str">
            <v>執行者</v>
          </cell>
          <cell r="F1701" t="str">
            <v>格好いい</v>
          </cell>
          <cell r="G1701" t="str">
            <v>男性</v>
          </cell>
          <cell r="H1701" t="str">
            <v>red</v>
          </cell>
          <cell r="I1701">
            <v>6</v>
          </cell>
          <cell r="J1701" t="str">
            <v>PremiumSSw</v>
          </cell>
          <cell r="K1701" t="str">
            <v>technical</v>
          </cell>
          <cell r="L1701" t="str">
            <v>テクニカルタイプ</v>
          </cell>
          <cell r="M1701" t="str">
            <v>god</v>
          </cell>
        </row>
        <row r="1702">
          <cell r="A1702">
            <v>8105</v>
          </cell>
          <cell r="B1702" t="str">
            <v>ja</v>
          </cell>
          <cell r="C1702" t="str">
            <v>曹國舅</v>
          </cell>
          <cell r="D1702" t="str">
            <v>ポムポムプリン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5</v>
          </cell>
          <cell r="J1702" t="str">
            <v>DropWizS</v>
          </cell>
          <cell r="K1702" t="str">
            <v>hp</v>
          </cell>
          <cell r="L1702" t="str">
            <v>体力タイプ</v>
          </cell>
          <cell r="M1702" t="str">
            <v>god</v>
          </cell>
        </row>
        <row r="1703">
          <cell r="A1703">
            <v>8106</v>
          </cell>
          <cell r="B1703" t="str">
            <v>ja</v>
          </cell>
          <cell r="C1703" t="str">
            <v>曹國舅★６</v>
          </cell>
          <cell r="D1703" t="str">
            <v>各属性相性良3・黄・R455</v>
          </cell>
          <cell r="E1703" t="str">
            <v>執行者</v>
          </cell>
          <cell r="F1703" t="str">
            <v>格好いい</v>
          </cell>
          <cell r="G1703" t="str">
            <v>男性</v>
          </cell>
          <cell r="H1703" t="str">
            <v>green</v>
          </cell>
          <cell r="I1703">
            <v>6</v>
          </cell>
          <cell r="J1703" t="str">
            <v>DropWizS</v>
          </cell>
          <cell r="K1703" t="str">
            <v>hp</v>
          </cell>
          <cell r="L1703" t="str">
            <v>体力タイプ</v>
          </cell>
          <cell r="M1703" t="str">
            <v>god</v>
          </cell>
        </row>
        <row r="1704">
          <cell r="A1704">
            <v>8111</v>
          </cell>
          <cell r="B1704" t="str">
            <v>ja</v>
          </cell>
          <cell r="C1704" t="str">
            <v>福德正神</v>
          </cell>
          <cell r="H1704" t="str">
            <v>blue</v>
          </cell>
          <cell r="I1704">
            <v>5</v>
          </cell>
          <cell r="J1704" t="str">
            <v>Drop2N</v>
          </cell>
          <cell r="K1704" t="str">
            <v>heal</v>
          </cell>
          <cell r="L1704" t="str">
            <v>回復タイプ</v>
          </cell>
          <cell r="M1704" t="str">
            <v>god</v>
          </cell>
        </row>
        <row r="1705">
          <cell r="A1705">
            <v>8112</v>
          </cell>
          <cell r="B1705" t="str">
            <v>ja</v>
          </cell>
          <cell r="C1705" t="str">
            <v>福德正神★６</v>
          </cell>
          <cell r="H1705" t="str">
            <v>blue</v>
          </cell>
          <cell r="I1705">
            <v>6</v>
          </cell>
          <cell r="J1705" t="str">
            <v>Drop2N</v>
          </cell>
          <cell r="K1705" t="str">
            <v>heal</v>
          </cell>
          <cell r="L1705" t="str">
            <v>回復タイプ</v>
          </cell>
          <cell r="M1705" t="str">
            <v>god</v>
          </cell>
        </row>
        <row r="1706">
          <cell r="A1706">
            <v>8113</v>
          </cell>
          <cell r="B1706" t="str">
            <v>ja</v>
          </cell>
          <cell r="C1706" t="str">
            <v>孔子</v>
          </cell>
          <cell r="H1706" t="str">
            <v>yellow</v>
          </cell>
          <cell r="I1706">
            <v>5</v>
          </cell>
          <cell r="J1706" t="str">
            <v>PremiumSSS</v>
          </cell>
          <cell r="K1706" t="str">
            <v>attack</v>
          </cell>
          <cell r="L1706" t="str">
            <v>攻撃タイプ</v>
          </cell>
          <cell r="M1706" t="str">
            <v>academia</v>
          </cell>
        </row>
        <row r="1707">
          <cell r="A1707">
            <v>8114</v>
          </cell>
          <cell r="B1707" t="str">
            <v>ja</v>
          </cell>
          <cell r="C1707" t="str">
            <v>孔子★６</v>
          </cell>
          <cell r="H1707" t="str">
            <v>yellow</v>
          </cell>
          <cell r="I1707">
            <v>6</v>
          </cell>
          <cell r="J1707" t="str">
            <v>PremiumSSS</v>
          </cell>
          <cell r="K1707" t="str">
            <v>attack</v>
          </cell>
          <cell r="L1707" t="str">
            <v>攻撃タイプ</v>
          </cell>
          <cell r="M1707" t="str">
            <v>academia</v>
          </cell>
        </row>
        <row r="1708">
          <cell r="A1708">
            <v>8115</v>
          </cell>
          <cell r="B1708" t="str">
            <v>ja</v>
          </cell>
          <cell r="C1708" t="str">
            <v>贏政</v>
          </cell>
          <cell r="H1708" t="str">
            <v>blue</v>
          </cell>
          <cell r="I1708">
            <v>5</v>
          </cell>
          <cell r="J1708" t="str">
            <v>DropWizSS</v>
          </cell>
          <cell r="K1708" t="str">
            <v>attack</v>
          </cell>
          <cell r="L1708" t="str">
            <v>攻撃タイプ</v>
          </cell>
          <cell r="M1708" t="str">
            <v>human</v>
          </cell>
        </row>
        <row r="1709">
          <cell r="A1709">
            <v>8116</v>
          </cell>
          <cell r="B1709" t="str">
            <v>ja</v>
          </cell>
          <cell r="C1709" t="str">
            <v>贏政★６</v>
          </cell>
          <cell r="H1709" t="str">
            <v>blue</v>
          </cell>
          <cell r="I1709">
            <v>6</v>
          </cell>
          <cell r="J1709" t="str">
            <v>DropWizSS</v>
          </cell>
          <cell r="K1709" t="str">
            <v>attack</v>
          </cell>
          <cell r="L1709" t="str">
            <v>攻撃タイプ</v>
          </cell>
          <cell r="M1709" t="str">
            <v>human</v>
          </cell>
        </row>
        <row r="1710">
          <cell r="A1710">
            <v>8117</v>
          </cell>
          <cell r="B1710" t="str">
            <v>ja</v>
          </cell>
          <cell r="C1710" t="str">
            <v>白娘子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green</v>
          </cell>
          <cell r="I1710">
            <v>5</v>
          </cell>
          <cell r="J1710" t="str">
            <v>PremiumSSw</v>
          </cell>
          <cell r="K1710" t="str">
            <v>heal</v>
          </cell>
          <cell r="L1710" t="str">
            <v>回復タイプ</v>
          </cell>
          <cell r="M1710" t="str">
            <v>dragon</v>
          </cell>
        </row>
        <row r="1711">
          <cell r="A1711">
            <v>8118</v>
          </cell>
          <cell r="B1711" t="str">
            <v>ja</v>
          </cell>
          <cell r="C1711" t="str">
            <v>白娘子★６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green</v>
          </cell>
          <cell r="I1711">
            <v>6</v>
          </cell>
          <cell r="J1711" t="str">
            <v>PremiumSSw</v>
          </cell>
          <cell r="K1711" t="str">
            <v>heal</v>
          </cell>
          <cell r="L1711" t="str">
            <v>回復タイプ</v>
          </cell>
          <cell r="M1711" t="str">
            <v>dragon</v>
          </cell>
        </row>
        <row r="1712">
          <cell r="A1712">
            <v>8119</v>
          </cell>
          <cell r="B1712" t="str">
            <v>ja</v>
          </cell>
          <cell r="C1712" t="str">
            <v>小青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green</v>
          </cell>
          <cell r="I1712">
            <v>5</v>
          </cell>
          <cell r="J1712" t="str">
            <v>PremiumSSw</v>
          </cell>
          <cell r="K1712" t="str">
            <v>attack</v>
          </cell>
          <cell r="L1712" t="str">
            <v>攻撃タイプ</v>
          </cell>
          <cell r="M1712" t="str">
            <v>dragon</v>
          </cell>
        </row>
        <row r="1713">
          <cell r="A1713">
            <v>8120</v>
          </cell>
          <cell r="B1713" t="str">
            <v>ja</v>
          </cell>
          <cell r="C1713" t="str">
            <v>小青★６</v>
          </cell>
          <cell r="D1713" t="str">
            <v>ポムポムプリン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green</v>
          </cell>
          <cell r="I1713">
            <v>6</v>
          </cell>
          <cell r="J1713" t="str">
            <v>PremiumSSw</v>
          </cell>
          <cell r="K1713" t="str">
            <v>attack</v>
          </cell>
          <cell r="L1713" t="str">
            <v>攻撃タイプ</v>
          </cell>
          <cell r="M1713" t="str">
            <v>dragon</v>
          </cell>
        </row>
        <row r="1714">
          <cell r="A1714">
            <v>8121</v>
          </cell>
          <cell r="B1714" t="str">
            <v>ja</v>
          </cell>
          <cell r="C1714" t="str">
            <v>法海</v>
          </cell>
          <cell r="D1714" t="str">
            <v>ポムポムプリン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yellow</v>
          </cell>
          <cell r="I1714">
            <v>5</v>
          </cell>
          <cell r="J1714" t="str">
            <v>DropWizS</v>
          </cell>
          <cell r="K1714" t="str">
            <v>attack</v>
          </cell>
          <cell r="L1714" t="str">
            <v>攻撃タイプ</v>
          </cell>
          <cell r="M1714" t="str">
            <v>human</v>
          </cell>
        </row>
        <row r="1715">
          <cell r="A1715">
            <v>8122</v>
          </cell>
          <cell r="B1715" t="str">
            <v>ja</v>
          </cell>
          <cell r="C1715" t="str">
            <v>法海★６</v>
          </cell>
          <cell r="D1715" t="str">
            <v>各属性相性良3・黄・R455</v>
          </cell>
          <cell r="E1715" t="str">
            <v>執行者</v>
          </cell>
          <cell r="F1715" t="str">
            <v>格好いい</v>
          </cell>
          <cell r="G1715" t="str">
            <v>男性</v>
          </cell>
          <cell r="H1715" t="str">
            <v>yellow</v>
          </cell>
          <cell r="I1715">
            <v>6</v>
          </cell>
          <cell r="J1715" t="str">
            <v>DropWizS</v>
          </cell>
          <cell r="K1715" t="str">
            <v>attack</v>
          </cell>
          <cell r="L1715" t="str">
            <v>攻撃タイプ</v>
          </cell>
          <cell r="M1715" t="str">
            <v>human</v>
          </cell>
        </row>
        <row r="1716">
          <cell r="A1716">
            <v>8123</v>
          </cell>
          <cell r="B1716" t="str">
            <v>ja</v>
          </cell>
          <cell r="C1716" t="str">
            <v>哪吒</v>
          </cell>
          <cell r="D1716" t="str">
            <v>各属性相性良3・黄・R455</v>
          </cell>
          <cell r="E1716" t="str">
            <v>執行者</v>
          </cell>
          <cell r="F1716" t="str">
            <v>格好いい</v>
          </cell>
          <cell r="G1716" t="str">
            <v>男性</v>
          </cell>
          <cell r="H1716" t="str">
            <v>yellow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human</v>
          </cell>
        </row>
        <row r="1717">
          <cell r="A1717">
            <v>8124</v>
          </cell>
          <cell r="B1717" t="str">
            <v>ja</v>
          </cell>
          <cell r="C1717" t="str">
            <v>★6哪吒</v>
          </cell>
          <cell r="D1717" t="str">
            <v>各属性相性良3・黄・R455</v>
          </cell>
          <cell r="E1717" t="str">
            <v>執行者</v>
          </cell>
          <cell r="F1717" t="str">
            <v>格好いい</v>
          </cell>
          <cell r="G1717" t="str">
            <v>男性</v>
          </cell>
          <cell r="H1717" t="str">
            <v>yellow</v>
          </cell>
          <cell r="I1717">
            <v>6</v>
          </cell>
          <cell r="J1717" t="str">
            <v>DropWizS</v>
          </cell>
          <cell r="K1717" t="str">
            <v>attack</v>
          </cell>
          <cell r="L1717" t="str">
            <v>攻撃タイプ</v>
          </cell>
          <cell r="M1717" t="str">
            <v>human</v>
          </cell>
        </row>
        <row r="1718">
          <cell r="A1718">
            <v>8125</v>
          </cell>
          <cell r="B1718" t="str">
            <v>ja</v>
          </cell>
          <cell r="C1718" t="str">
            <v>東海龍王</v>
          </cell>
          <cell r="D1718" t="str">
            <v>各属性相性良3・黄・R455</v>
          </cell>
          <cell r="E1718" t="str">
            <v>執行者</v>
          </cell>
          <cell r="F1718" t="str">
            <v>格好いい</v>
          </cell>
          <cell r="G1718" t="str">
            <v>男性</v>
          </cell>
          <cell r="H1718" t="str">
            <v>yellow</v>
          </cell>
          <cell r="I1718">
            <v>6</v>
          </cell>
          <cell r="J1718" t="str">
            <v>DropWizS</v>
          </cell>
          <cell r="K1718" t="str">
            <v>attack</v>
          </cell>
          <cell r="L1718" t="str">
            <v>攻撃タイプ</v>
          </cell>
          <cell r="M1718" t="str">
            <v>human</v>
          </cell>
        </row>
        <row r="1719">
          <cell r="A1719">
            <v>8126</v>
          </cell>
          <cell r="B1719" t="str">
            <v>ja</v>
          </cell>
          <cell r="C1719" t="str">
            <v>★6東海龍王</v>
          </cell>
          <cell r="D1719" t="str">
            <v>各属性相性良3・黄・R455</v>
          </cell>
          <cell r="E1719" t="str">
            <v>執行者</v>
          </cell>
          <cell r="F1719" t="str">
            <v>格好いい</v>
          </cell>
          <cell r="G1719" t="str">
            <v>男性</v>
          </cell>
          <cell r="H1719" t="str">
            <v>yellow</v>
          </cell>
          <cell r="I1719">
            <v>6</v>
          </cell>
          <cell r="J1719" t="str">
            <v>DropWizS</v>
          </cell>
          <cell r="K1719" t="str">
            <v>attack</v>
          </cell>
          <cell r="L1719" t="str">
            <v>攻撃タイプ</v>
          </cell>
          <cell r="M1719" t="str">
            <v>human</v>
          </cell>
        </row>
        <row r="1720">
          <cell r="A1720">
            <v>8127</v>
          </cell>
          <cell r="B1720" t="str">
            <v>ja</v>
          </cell>
          <cell r="C1720" t="str">
            <v>鐵扇公主 ‧ 羅剎女</v>
          </cell>
          <cell r="D1720" t="str">
            <v>各属性相性良3・黄・R455</v>
          </cell>
          <cell r="E1720" t="str">
            <v>執行者</v>
          </cell>
          <cell r="F1720" t="str">
            <v>格好いい</v>
          </cell>
          <cell r="G1720" t="str">
            <v>男性</v>
          </cell>
          <cell r="H1720" t="str">
            <v>green</v>
          </cell>
          <cell r="I1720">
            <v>6</v>
          </cell>
          <cell r="J1720" t="str">
            <v>PremiumSSS</v>
          </cell>
          <cell r="K1720" t="str">
            <v>technical</v>
          </cell>
          <cell r="L1720" t="str">
            <v>テクニカルタイプ</v>
          </cell>
          <cell r="M1720" t="str">
            <v>demon</v>
          </cell>
        </row>
        <row r="1721">
          <cell r="A1721">
            <v>8128</v>
          </cell>
          <cell r="B1721" t="str">
            <v>ja</v>
          </cell>
          <cell r="C1721" t="str">
            <v>聖賢哲者 ‧ 唐三藏</v>
          </cell>
          <cell r="D1721" t="str">
            <v>各属性相性良3・黄・R455</v>
          </cell>
          <cell r="E1721" t="str">
            <v>執行者</v>
          </cell>
          <cell r="F1721" t="str">
            <v>格好いい</v>
          </cell>
          <cell r="G1721" t="str">
            <v>男性</v>
          </cell>
          <cell r="H1721" t="str">
            <v>green</v>
          </cell>
          <cell r="I1721">
            <v>6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god</v>
          </cell>
        </row>
        <row r="1722">
          <cell r="A1722">
            <v>8129</v>
          </cell>
          <cell r="B1722" t="str">
            <v>ja</v>
          </cell>
          <cell r="C1722" t="str">
            <v>放任孽魔 ‧ 撒旦</v>
          </cell>
          <cell r="D1722" t="str">
            <v>各属性相性良3・黄・R455</v>
          </cell>
          <cell r="E1722" t="str">
            <v>執行者</v>
          </cell>
          <cell r="F1722" t="str">
            <v>格好いい</v>
          </cell>
          <cell r="G1722" t="str">
            <v>男性</v>
          </cell>
          <cell r="H1722" t="str">
            <v>blue</v>
          </cell>
          <cell r="I1722">
            <v>6</v>
          </cell>
          <cell r="J1722" t="str">
            <v>PremiumSS</v>
          </cell>
          <cell r="K1722" t="str">
            <v>technical</v>
          </cell>
          <cell r="L1722" t="str">
            <v>テクニカルタイプ</v>
          </cell>
          <cell r="M1722" t="str">
            <v>demon</v>
          </cell>
        </row>
        <row r="1723">
          <cell r="A1723">
            <v>8130</v>
          </cell>
          <cell r="B1723" t="str">
            <v>ja</v>
          </cell>
          <cell r="C1723" t="str">
            <v>變臉火術 ‧ 切西亞</v>
          </cell>
          <cell r="D1723" t="str">
            <v>各属性相性良3・黄・R455</v>
          </cell>
          <cell r="E1723" t="str">
            <v>執行者</v>
          </cell>
          <cell r="F1723" t="str">
            <v>格好いい</v>
          </cell>
          <cell r="G1723" t="str">
            <v>男性</v>
          </cell>
          <cell r="H1723" t="str">
            <v>red</v>
          </cell>
          <cell r="I1723">
            <v>6</v>
          </cell>
          <cell r="J1723" t="str">
            <v>PremiumSS</v>
          </cell>
          <cell r="K1723" t="str">
            <v>balance</v>
          </cell>
          <cell r="L1723" t="str">
            <v>バランスタイプ</v>
          </cell>
          <cell r="M1723" t="str">
            <v>god</v>
          </cell>
        </row>
        <row r="1724">
          <cell r="A1724">
            <v>8131</v>
          </cell>
          <cell r="B1724" t="str">
            <v>ja</v>
          </cell>
          <cell r="C1724" t="str">
            <v>預知者之歷劫 ‧ 卡珊德拉</v>
          </cell>
          <cell r="D1724" t="str">
            <v>各属性相性良3・黄・R455</v>
          </cell>
          <cell r="E1724" t="str">
            <v>執行者</v>
          </cell>
          <cell r="F1724" t="str">
            <v>格好いい</v>
          </cell>
          <cell r="G1724" t="str">
            <v>男性</v>
          </cell>
          <cell r="H1724" t="str">
            <v>blue</v>
          </cell>
          <cell r="I1724">
            <v>6</v>
          </cell>
          <cell r="J1724" t="str">
            <v>PremiumSS</v>
          </cell>
          <cell r="K1724" t="str">
            <v>heal</v>
          </cell>
          <cell r="L1724" t="str">
            <v>回復タイプ</v>
          </cell>
          <cell r="M1724" t="str">
            <v>human</v>
          </cell>
        </row>
        <row r="1725">
          <cell r="A1725">
            <v>8132</v>
          </cell>
          <cell r="B1725" t="str">
            <v>ja</v>
          </cell>
          <cell r="C1725" t="str">
            <v>罪與責之承諾 ‧ 美狄亞</v>
          </cell>
          <cell r="D1725" t="str">
            <v>各属性相性良3・黄・R455</v>
          </cell>
          <cell r="E1725" t="str">
            <v>執行者</v>
          </cell>
          <cell r="F1725" t="str">
            <v>格好いい</v>
          </cell>
          <cell r="G1725" t="str">
            <v>男性</v>
          </cell>
          <cell r="H1725" t="str">
            <v>red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human</v>
          </cell>
        </row>
        <row r="1726">
          <cell r="A1726">
            <v>8133</v>
          </cell>
          <cell r="B1726" t="str">
            <v>ja</v>
          </cell>
          <cell r="C1726" t="str">
            <v>大魔導士 ‧ 莫莉</v>
          </cell>
          <cell r="D1726" t="str">
            <v>各属性相性良3・黄・R455</v>
          </cell>
          <cell r="E1726" t="str">
            <v>執行者</v>
          </cell>
          <cell r="F1726" t="str">
            <v>格好いい</v>
          </cell>
          <cell r="G1726" t="str">
            <v>男性</v>
          </cell>
          <cell r="H1726" t="str">
            <v>blue</v>
          </cell>
          <cell r="I1726">
            <v>5</v>
          </cell>
          <cell r="J1726" t="str">
            <v>PremiumS</v>
          </cell>
          <cell r="K1726" t="str">
            <v>heal</v>
          </cell>
          <cell r="L1726" t="str">
            <v>回復タイプ</v>
          </cell>
          <cell r="M1726" t="str">
            <v>human</v>
          </cell>
        </row>
        <row r="1727">
          <cell r="A1727">
            <v>8134</v>
          </cell>
          <cell r="B1727" t="str">
            <v>ja</v>
          </cell>
          <cell r="C1727" t="str">
            <v>龍焰騎士 ‧ 肖恩</v>
          </cell>
          <cell r="D1727" t="str">
            <v>各属性相性良3・黄・R455</v>
          </cell>
          <cell r="E1727" t="str">
            <v>執行者</v>
          </cell>
          <cell r="F1727" t="str">
            <v>格好いい</v>
          </cell>
          <cell r="G1727" t="str">
            <v>男性</v>
          </cell>
          <cell r="H1727" t="str">
            <v>red</v>
          </cell>
          <cell r="I1727">
            <v>5</v>
          </cell>
          <cell r="J1727" t="str">
            <v>PremiumS</v>
          </cell>
          <cell r="K1727" t="str">
            <v>balance</v>
          </cell>
          <cell r="L1727" t="str">
            <v>バランスタイプ</v>
          </cell>
          <cell r="M1727" t="str">
            <v>human</v>
          </cell>
        </row>
        <row r="1728">
          <cell r="A1728">
            <v>8135</v>
          </cell>
          <cell r="B1728" t="str">
            <v>ja</v>
          </cell>
          <cell r="C1728" t="str">
            <v>混沌之翼 ‧ 路西法</v>
          </cell>
          <cell r="D1728" t="str">
            <v>各属性相性良3・黄・R455</v>
          </cell>
          <cell r="E1728" t="str">
            <v>執行者</v>
          </cell>
          <cell r="F1728" t="str">
            <v>格好いい</v>
          </cell>
          <cell r="G1728" t="str">
            <v>男性</v>
          </cell>
          <cell r="H1728" t="str">
            <v>yellow</v>
          </cell>
          <cell r="I1728">
            <v>5</v>
          </cell>
          <cell r="J1728" t="str">
            <v>DropWizSS</v>
          </cell>
          <cell r="K1728" t="str">
            <v>attack</v>
          </cell>
          <cell r="L1728" t="str">
            <v>攻撃タイプ</v>
          </cell>
          <cell r="M1728" t="str">
            <v>god</v>
          </cell>
        </row>
        <row r="1729">
          <cell r="A1729">
            <v>8136</v>
          </cell>
          <cell r="B1729" t="str">
            <v>ja</v>
          </cell>
          <cell r="C1729" t="str">
            <v>混沌之翼 ‧ 路西法★6</v>
          </cell>
          <cell r="D1729" t="str">
            <v>各属性相性良3・黄・R455</v>
          </cell>
          <cell r="E1729" t="str">
            <v>執行者</v>
          </cell>
          <cell r="F1729" t="str">
            <v>格好いい</v>
          </cell>
          <cell r="G1729" t="str">
            <v>男性</v>
          </cell>
          <cell r="H1729" t="str">
            <v>yellow</v>
          </cell>
          <cell r="I1729">
            <v>6</v>
          </cell>
          <cell r="J1729" t="str">
            <v>DropWizSS</v>
          </cell>
          <cell r="K1729" t="str">
            <v>attack</v>
          </cell>
          <cell r="L1729" t="str">
            <v>攻撃タイプ</v>
          </cell>
          <cell r="M1729" t="str">
            <v>god</v>
          </cell>
        </row>
        <row r="1730">
          <cell r="A1730">
            <v>8137</v>
          </cell>
          <cell r="B1730" t="str">
            <v>ja</v>
          </cell>
          <cell r="C1730" t="str">
            <v>黑巫術之疚惡 ‧ 喀耳刻</v>
          </cell>
          <cell r="D1730" t="str">
            <v>各属性相性良3・黄・R455</v>
          </cell>
          <cell r="E1730" t="str">
            <v>執行者</v>
          </cell>
          <cell r="F1730" t="str">
            <v>格好いい</v>
          </cell>
          <cell r="G1730" t="str">
            <v>男性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balance</v>
          </cell>
          <cell r="L1730" t="str">
            <v>バランスタイプ</v>
          </cell>
          <cell r="M1730" t="str">
            <v>human</v>
          </cell>
        </row>
        <row r="1731">
          <cell r="A1731">
            <v>8138</v>
          </cell>
          <cell r="B1731" t="str">
            <v>ja</v>
          </cell>
          <cell r="C1731" t="str">
            <v>死靈魔導 ‧ 安多</v>
          </cell>
          <cell r="D1731" t="str">
            <v>各属性相性良3・黄・R455</v>
          </cell>
          <cell r="E1731" t="str">
            <v>執行者</v>
          </cell>
          <cell r="F1731" t="str">
            <v>格好いい</v>
          </cell>
          <cell r="G1731" t="str">
            <v>男性</v>
          </cell>
          <cell r="H1731" t="str">
            <v>red</v>
          </cell>
          <cell r="I1731">
            <v>5</v>
          </cell>
          <cell r="J1731" t="str">
            <v>Drop2N</v>
          </cell>
          <cell r="K1731" t="str">
            <v>attack</v>
          </cell>
          <cell r="L1731" t="str">
            <v>攻撃タイプ</v>
          </cell>
          <cell r="M1731" t="str">
            <v>human</v>
          </cell>
        </row>
        <row r="1732">
          <cell r="A1732">
            <v>9001</v>
          </cell>
          <cell r="B1732" t="str">
            <v>ja</v>
          </cell>
          <cell r="C1732" t="str">
            <v>春香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red</v>
          </cell>
          <cell r="I1732">
            <v>5</v>
          </cell>
          <cell r="J1732" t="str">
            <v>PremiumSSw</v>
          </cell>
          <cell r="K1732" t="str">
            <v>attack</v>
          </cell>
          <cell r="L1732" t="str">
            <v>攻撃タイプ</v>
          </cell>
          <cell r="M1732" t="str">
            <v>human</v>
          </cell>
        </row>
        <row r="1733">
          <cell r="A1733">
            <v>9002</v>
          </cell>
          <cell r="B1733" t="str">
            <v>ja</v>
          </cell>
          <cell r="C1733" t="str">
            <v>春香★６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red</v>
          </cell>
          <cell r="I1733">
            <v>6</v>
          </cell>
          <cell r="J1733" t="str">
            <v>PremiumSSw</v>
          </cell>
          <cell r="K1733" t="str">
            <v>attack</v>
          </cell>
          <cell r="L1733" t="str">
            <v>攻撃タイプ</v>
          </cell>
          <cell r="M1733" t="str">
            <v>human</v>
          </cell>
        </row>
        <row r="1734">
          <cell r="A1734">
            <v>9003</v>
          </cell>
          <cell r="B1734" t="str">
            <v>ja</v>
          </cell>
          <cell r="C1734" t="str">
            <v>夢龍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green</v>
          </cell>
          <cell r="I1734">
            <v>5</v>
          </cell>
          <cell r="J1734" t="str">
            <v>DropWizS</v>
          </cell>
          <cell r="K1734" t="str">
            <v>heal</v>
          </cell>
          <cell r="L1734" t="str">
            <v>回復タイプ</v>
          </cell>
          <cell r="M1734" t="str">
            <v>dragon</v>
          </cell>
        </row>
        <row r="1735">
          <cell r="A1735">
            <v>9004</v>
          </cell>
          <cell r="B1735" t="str">
            <v>ja</v>
          </cell>
          <cell r="C1735" t="str">
            <v>夢龍★６</v>
          </cell>
          <cell r="D1735" t="str">
            <v>各属性相性良3・黄・R455</v>
          </cell>
          <cell r="E1735" t="str">
            <v>執行者</v>
          </cell>
          <cell r="F1735" t="str">
            <v>格好いい</v>
          </cell>
          <cell r="G1735" t="str">
            <v>男性</v>
          </cell>
          <cell r="H1735" t="str">
            <v>green</v>
          </cell>
          <cell r="I1735">
            <v>6</v>
          </cell>
          <cell r="J1735" t="str">
            <v>DropWizS</v>
          </cell>
          <cell r="K1735" t="str">
            <v>heal</v>
          </cell>
          <cell r="L1735" t="str">
            <v>回復タイプ</v>
          </cell>
          <cell r="M1735" t="str">
            <v>dragon</v>
          </cell>
        </row>
        <row r="1736">
          <cell r="A1736">
            <v>9005</v>
          </cell>
          <cell r="B1736" t="str">
            <v>ja</v>
          </cell>
          <cell r="C1736" t="str">
            <v>降臨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blue</v>
          </cell>
          <cell r="I1736">
            <v>5</v>
          </cell>
          <cell r="J1736" t="str">
            <v>PremiumSSw</v>
          </cell>
          <cell r="K1736" t="str">
            <v>hp</v>
          </cell>
          <cell r="L1736" t="str">
            <v>体力タイプ</v>
          </cell>
          <cell r="M1736" t="str">
            <v>demon</v>
          </cell>
        </row>
        <row r="1737">
          <cell r="A1737">
            <v>9006</v>
          </cell>
          <cell r="B1737" t="str">
            <v>ja</v>
          </cell>
          <cell r="C1737" t="str">
            <v>降臨★６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blue</v>
          </cell>
          <cell r="I1737">
            <v>6</v>
          </cell>
          <cell r="J1737" t="str">
            <v>PremiumSSw</v>
          </cell>
          <cell r="K1737" t="str">
            <v>hp</v>
          </cell>
          <cell r="L1737" t="str">
            <v>体力タイプ</v>
          </cell>
          <cell r="M1737" t="str">
            <v>demon</v>
          </cell>
        </row>
        <row r="1738">
          <cell r="A1738">
            <v>9007</v>
          </cell>
          <cell r="B1738" t="str">
            <v>ja</v>
          </cell>
          <cell r="C1738" t="str">
            <v>田禹治</v>
          </cell>
          <cell r="D1738" t="str">
            <v>ポムポムプリン</v>
          </cell>
          <cell r="E1738" t="str">
            <v>執行者</v>
          </cell>
          <cell r="F1738" t="str">
            <v>格好いい</v>
          </cell>
          <cell r="G1738" t="str">
            <v>女性</v>
          </cell>
          <cell r="H1738" t="str">
            <v>red</v>
          </cell>
          <cell r="I1738">
            <v>5</v>
          </cell>
          <cell r="J1738" t="str">
            <v>DropWizS</v>
          </cell>
          <cell r="K1738" t="str">
            <v>technical</v>
          </cell>
          <cell r="L1738" t="str">
            <v>テクニカルタイプ</v>
          </cell>
          <cell r="M1738" t="str">
            <v>hero</v>
          </cell>
        </row>
        <row r="1739">
          <cell r="A1739">
            <v>9008</v>
          </cell>
          <cell r="B1739" t="str">
            <v>ja</v>
          </cell>
          <cell r="C1739" t="str">
            <v>田禹治★６</v>
          </cell>
          <cell r="D1739" t="str">
            <v>各属性相性良3・黄・R455</v>
          </cell>
          <cell r="E1739" t="str">
            <v>執行者</v>
          </cell>
          <cell r="F1739" t="str">
            <v>格好いい</v>
          </cell>
          <cell r="G1739" t="str">
            <v>男性</v>
          </cell>
          <cell r="H1739" t="str">
            <v>red</v>
          </cell>
          <cell r="I1739">
            <v>6</v>
          </cell>
          <cell r="J1739" t="str">
            <v>DropWizS</v>
          </cell>
          <cell r="K1739" t="str">
            <v>technical</v>
          </cell>
          <cell r="L1739" t="str">
            <v>テクニカルタイプ</v>
          </cell>
          <cell r="M1739" t="str">
            <v>hero</v>
          </cell>
        </row>
        <row r="1740">
          <cell r="A1740">
            <v>10001</v>
          </cell>
          <cell r="B1740" t="str">
            <v>ja</v>
          </cell>
          <cell r="C1740" t="str">
            <v>テストユニット01</v>
          </cell>
          <cell r="H1740" t="str">
            <v>yellow</v>
          </cell>
          <cell r="I1740">
            <v>6</v>
          </cell>
          <cell r="J1740" t="str">
            <v>DropWizS</v>
          </cell>
          <cell r="K1740" t="str">
            <v>heal</v>
          </cell>
          <cell r="L1740" t="str">
            <v>回復タイプ</v>
          </cell>
          <cell r="M1740" t="str">
            <v>human</v>
          </cell>
        </row>
        <row r="1741">
          <cell r="A1741">
            <v>10002</v>
          </cell>
          <cell r="B1741" t="str">
            <v>ja</v>
          </cell>
          <cell r="C1741" t="str">
            <v>テストユニット02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technical</v>
          </cell>
          <cell r="L1741" t="str">
            <v>テクニカルタイプ</v>
          </cell>
          <cell r="M1741" t="str">
            <v>animal</v>
          </cell>
        </row>
        <row r="1742">
          <cell r="A1742">
            <v>10003</v>
          </cell>
          <cell r="B1742" t="str">
            <v>ja</v>
          </cell>
          <cell r="C1742" t="str">
            <v>テストユニット03</v>
          </cell>
          <cell r="H1742" t="str">
            <v>red</v>
          </cell>
          <cell r="I1742">
            <v>5</v>
          </cell>
          <cell r="J1742" t="str">
            <v>PremiumSSS</v>
          </cell>
          <cell r="K1742" t="str">
            <v>technical</v>
          </cell>
          <cell r="L1742" t="str">
            <v>テクニカルタイプ</v>
          </cell>
          <cell r="M1742" t="str">
            <v>academia</v>
          </cell>
        </row>
        <row r="1743">
          <cell r="A1743">
            <v>10004</v>
          </cell>
          <cell r="B1743" t="str">
            <v>ja</v>
          </cell>
          <cell r="C1743" t="str">
            <v>テストユニット04</v>
          </cell>
          <cell r="H1743" t="str">
            <v>red</v>
          </cell>
          <cell r="I1743">
            <v>6</v>
          </cell>
          <cell r="J1743" t="str">
            <v>PremiumSSS</v>
          </cell>
          <cell r="K1743" t="str">
            <v>technical</v>
          </cell>
          <cell r="L1743" t="str">
            <v>テクニカルタイプ</v>
          </cell>
          <cell r="M1743" t="str">
            <v>academia</v>
          </cell>
        </row>
        <row r="1744">
          <cell r="A1744">
            <v>10005</v>
          </cell>
          <cell r="B1744" t="str">
            <v>ja</v>
          </cell>
          <cell r="C1744" t="str">
            <v>テストユニット05</v>
          </cell>
          <cell r="H1744" t="str">
            <v>yellow</v>
          </cell>
          <cell r="I1744">
            <v>6</v>
          </cell>
          <cell r="J1744" t="str">
            <v>PremiumSS</v>
          </cell>
          <cell r="K1744" t="str">
            <v>technical</v>
          </cell>
          <cell r="L1744" t="str">
            <v>テクニカルタイプ</v>
          </cell>
          <cell r="M1744" t="str">
            <v>human</v>
          </cell>
        </row>
        <row r="1745">
          <cell r="A1745">
            <v>10006</v>
          </cell>
          <cell r="B1745" t="str">
            <v>ja</v>
          </cell>
          <cell r="C1745" t="str">
            <v>テストユニット06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attack</v>
          </cell>
          <cell r="L1745" t="str">
            <v>攻撃タイプ</v>
          </cell>
          <cell r="M1745" t="str">
            <v>animal</v>
          </cell>
        </row>
        <row r="1746">
          <cell r="A1746">
            <v>10007</v>
          </cell>
          <cell r="B1746" t="str">
            <v>ja</v>
          </cell>
          <cell r="C1746" t="str">
            <v>テストユニット07</v>
          </cell>
          <cell r="H1746" t="str">
            <v>yellow</v>
          </cell>
          <cell r="I1746">
            <v>5</v>
          </cell>
          <cell r="J1746" t="str">
            <v>PremiumSSS</v>
          </cell>
          <cell r="K1746" t="str">
            <v>technical</v>
          </cell>
          <cell r="L1746" t="str">
            <v>テクニカルタイプ</v>
          </cell>
          <cell r="M1746" t="str">
            <v>machine</v>
          </cell>
        </row>
        <row r="1747">
          <cell r="A1747">
            <v>10008</v>
          </cell>
          <cell r="B1747" t="str">
            <v>ja</v>
          </cell>
          <cell r="C1747" t="str">
            <v>テストユニット08</v>
          </cell>
          <cell r="H1747" t="str">
            <v>yellow</v>
          </cell>
          <cell r="I1747">
            <v>6</v>
          </cell>
          <cell r="J1747" t="str">
            <v>PremiumSSS</v>
          </cell>
          <cell r="K1747" t="str">
            <v>technical</v>
          </cell>
          <cell r="L1747" t="str">
            <v>テクニカルタイプ</v>
          </cell>
          <cell r="M1747" t="str">
            <v>machine</v>
          </cell>
        </row>
        <row r="1748">
          <cell r="A1748">
            <v>10009</v>
          </cell>
          <cell r="B1748" t="str">
            <v>ja</v>
          </cell>
          <cell r="C1748" t="str">
            <v>青テスト01</v>
          </cell>
          <cell r="H1748" t="str">
            <v>blue</v>
          </cell>
          <cell r="I1748">
            <v>6</v>
          </cell>
          <cell r="J1748" t="str">
            <v>DropWizS</v>
          </cell>
          <cell r="K1748" t="str">
            <v>heal</v>
          </cell>
          <cell r="L1748" t="str">
            <v>回復タイプ</v>
          </cell>
          <cell r="M1748" t="str">
            <v>human</v>
          </cell>
        </row>
        <row r="1749">
          <cell r="A1749">
            <v>10010</v>
          </cell>
          <cell r="B1749" t="str">
            <v>ja</v>
          </cell>
          <cell r="C1749" t="str">
            <v>赤テスト01</v>
          </cell>
          <cell r="H1749" t="str">
            <v>red</v>
          </cell>
          <cell r="I1749">
            <v>6</v>
          </cell>
          <cell r="J1749" t="str">
            <v>PremiumSSS</v>
          </cell>
          <cell r="K1749" t="str">
            <v>technical</v>
          </cell>
          <cell r="L1749" t="str">
            <v>テクニカルタイプ</v>
          </cell>
          <cell r="M1749" t="str">
            <v>human</v>
          </cell>
        </row>
        <row r="1750">
          <cell r="A1750">
            <v>10011</v>
          </cell>
          <cell r="B1750" t="str">
            <v>ja</v>
          </cell>
          <cell r="C1750" t="str">
            <v>テストユニット11</v>
          </cell>
          <cell r="H1750" t="str">
            <v>yellow</v>
          </cell>
          <cell r="I1750">
            <v>5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human</v>
          </cell>
        </row>
        <row r="1751">
          <cell r="A1751">
            <v>10012</v>
          </cell>
          <cell r="B1751" t="str">
            <v>ja</v>
          </cell>
          <cell r="C1751" t="str">
            <v>テストユニット12</v>
          </cell>
          <cell r="H1751" t="str">
            <v>blue</v>
          </cell>
          <cell r="I1751">
            <v>6</v>
          </cell>
          <cell r="J1751" t="str">
            <v>PremiumS</v>
          </cell>
          <cell r="K1751" t="str">
            <v>balance</v>
          </cell>
          <cell r="L1751" t="str">
            <v>バランスタイプ</v>
          </cell>
          <cell r="M1751" t="str">
            <v>human</v>
          </cell>
        </row>
        <row r="1752">
          <cell r="A1752">
            <v>10013</v>
          </cell>
          <cell r="B1752" t="str">
            <v>ja</v>
          </cell>
          <cell r="C1752" t="str">
            <v>テストユニット13</v>
          </cell>
          <cell r="H1752" t="str">
            <v>yellow</v>
          </cell>
          <cell r="I1752">
            <v>5</v>
          </cell>
          <cell r="J1752" t="str">
            <v>PremiumSSw</v>
          </cell>
          <cell r="K1752" t="str">
            <v>hp</v>
          </cell>
          <cell r="L1752" t="str">
            <v>体力タイプ</v>
          </cell>
          <cell r="M1752" t="str">
            <v>dragon</v>
          </cell>
        </row>
        <row r="1753">
          <cell r="A1753">
            <v>10014</v>
          </cell>
          <cell r="B1753" t="str">
            <v>ja</v>
          </cell>
          <cell r="C1753" t="str">
            <v>テストユニット14</v>
          </cell>
          <cell r="H1753" t="str">
            <v>yellow</v>
          </cell>
          <cell r="I1753">
            <v>6</v>
          </cell>
          <cell r="J1753" t="str">
            <v>PremiumSSw</v>
          </cell>
          <cell r="K1753" t="str">
            <v>hp</v>
          </cell>
          <cell r="L1753" t="str">
            <v>体力タイプ</v>
          </cell>
          <cell r="M1753" t="str">
            <v>dragon</v>
          </cell>
        </row>
        <row r="1754">
          <cell r="A1754">
            <v>10015</v>
          </cell>
          <cell r="B1754" t="str">
            <v>ja</v>
          </cell>
          <cell r="C1754" t="str">
            <v>テストユニット15</v>
          </cell>
          <cell r="H1754" t="str">
            <v>green</v>
          </cell>
          <cell r="I1754">
            <v>5</v>
          </cell>
          <cell r="J1754" t="str">
            <v>DropWizS</v>
          </cell>
          <cell r="K1754" t="str">
            <v>heal</v>
          </cell>
          <cell r="L1754" t="str">
            <v>回復タイプ</v>
          </cell>
          <cell r="M1754" t="str">
            <v>human</v>
          </cell>
        </row>
        <row r="1755">
          <cell r="A1755">
            <v>10016</v>
          </cell>
          <cell r="B1755" t="str">
            <v>ja</v>
          </cell>
          <cell r="C1755" t="str">
            <v>テストユニット16</v>
          </cell>
          <cell r="H1755" t="str">
            <v>green</v>
          </cell>
          <cell r="I1755">
            <v>6</v>
          </cell>
          <cell r="J1755" t="str">
            <v>DropWizS</v>
          </cell>
          <cell r="K1755" t="str">
            <v>heal</v>
          </cell>
          <cell r="L1755" t="str">
            <v>回復タイプ</v>
          </cell>
          <cell r="M1755" t="str">
            <v>human</v>
          </cell>
        </row>
        <row r="1756">
          <cell r="A1756">
            <v>10017</v>
          </cell>
          <cell r="B1756" t="str">
            <v>ja</v>
          </cell>
          <cell r="C1756" t="str">
            <v>テストユニット17</v>
          </cell>
          <cell r="H1756" t="str">
            <v>red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10018</v>
          </cell>
          <cell r="B1757" t="str">
            <v>ja</v>
          </cell>
          <cell r="C1757" t="str">
            <v>テストユニット18</v>
          </cell>
          <cell r="H1757" t="str">
            <v>blue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10019</v>
          </cell>
          <cell r="B1758" t="str">
            <v>ja</v>
          </cell>
          <cell r="C1758" t="str">
            <v>テストユニット19</v>
          </cell>
          <cell r="H1758" t="str">
            <v>green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10020</v>
          </cell>
          <cell r="B1759" t="str">
            <v>ja</v>
          </cell>
          <cell r="C1759" t="str">
            <v>テストユニット20</v>
          </cell>
          <cell r="H1759" t="str">
            <v>yellow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10021</v>
          </cell>
          <cell r="B1760" t="str">
            <v>ja</v>
          </cell>
          <cell r="C1760" t="str">
            <v>テストユニット21</v>
          </cell>
          <cell r="H1760" t="str">
            <v>blue</v>
          </cell>
          <cell r="I1760">
            <v>5</v>
          </cell>
          <cell r="J1760" t="str">
            <v>PremiumSSw</v>
          </cell>
          <cell r="K1760" t="str">
            <v>hp</v>
          </cell>
          <cell r="L1760" t="str">
            <v>体力タイプ</v>
          </cell>
          <cell r="M1760" t="str">
            <v>demon</v>
          </cell>
        </row>
        <row r="1761">
          <cell r="A1761">
            <v>10022</v>
          </cell>
          <cell r="B1761" t="str">
            <v>ja</v>
          </cell>
          <cell r="C1761" t="str">
            <v>テストユニット22</v>
          </cell>
          <cell r="H1761" t="str">
            <v>blue</v>
          </cell>
          <cell r="I1761">
            <v>6</v>
          </cell>
          <cell r="J1761" t="str">
            <v>PremiumSSw</v>
          </cell>
          <cell r="K1761" t="str">
            <v>hp</v>
          </cell>
          <cell r="L1761" t="str">
            <v>体力タイプ</v>
          </cell>
          <cell r="M1761" t="str">
            <v>demon</v>
          </cell>
        </row>
        <row r="1762">
          <cell r="A1762">
            <v>10023</v>
          </cell>
          <cell r="B1762" t="str">
            <v>ja</v>
          </cell>
          <cell r="C1762" t="str">
            <v>テストユニット23</v>
          </cell>
          <cell r="H1762" t="str">
            <v>green</v>
          </cell>
          <cell r="I1762">
            <v>5</v>
          </cell>
          <cell r="J1762" t="str">
            <v>PremiumSSw</v>
          </cell>
          <cell r="K1762" t="str">
            <v>heal</v>
          </cell>
          <cell r="L1762" t="str">
            <v>回復タイプ</v>
          </cell>
          <cell r="M1762" t="str">
            <v>dragon</v>
          </cell>
        </row>
        <row r="1763">
          <cell r="A1763">
            <v>10024</v>
          </cell>
          <cell r="B1763" t="str">
            <v>ja</v>
          </cell>
          <cell r="C1763" t="str">
            <v>テストユニット24</v>
          </cell>
          <cell r="H1763" t="str">
            <v>green</v>
          </cell>
          <cell r="I1763">
            <v>6</v>
          </cell>
          <cell r="J1763" t="str">
            <v>PremiumSSw</v>
          </cell>
          <cell r="K1763" t="str">
            <v>hp</v>
          </cell>
          <cell r="L1763" t="str">
            <v>体力タイプ</v>
          </cell>
          <cell r="M1763" t="str">
            <v>dragon</v>
          </cell>
        </row>
        <row r="1764">
          <cell r="A1764">
            <v>10025</v>
          </cell>
          <cell r="B1764" t="str">
            <v>ja</v>
          </cell>
          <cell r="C1764" t="str">
            <v>テストユニット25</v>
          </cell>
          <cell r="H1764" t="str">
            <v>red</v>
          </cell>
          <cell r="I1764">
            <v>5</v>
          </cell>
          <cell r="J1764" t="str">
            <v>PremiumSSw</v>
          </cell>
          <cell r="K1764" t="str">
            <v>hp</v>
          </cell>
          <cell r="L1764" t="str">
            <v>体力タイプ</v>
          </cell>
          <cell r="M1764" t="str">
            <v>dragon</v>
          </cell>
        </row>
        <row r="1765">
          <cell r="A1765">
            <v>10026</v>
          </cell>
          <cell r="B1765" t="str">
            <v>ja</v>
          </cell>
          <cell r="C1765" t="str">
            <v>テストユニット26</v>
          </cell>
          <cell r="H1765" t="str">
            <v>red</v>
          </cell>
          <cell r="I1765">
            <v>6</v>
          </cell>
          <cell r="J1765" t="str">
            <v>PremiumSSw</v>
          </cell>
          <cell r="K1765" t="str">
            <v>hp</v>
          </cell>
          <cell r="L1765" t="str">
            <v>体力タイプ</v>
          </cell>
          <cell r="M1765" t="str">
            <v>dragon</v>
          </cell>
        </row>
        <row r="1766">
          <cell r="A1766">
            <v>10027</v>
          </cell>
          <cell r="B1766" t="str">
            <v>ja</v>
          </cell>
          <cell r="C1766" t="str">
            <v>テストユニット27</v>
          </cell>
          <cell r="H1766" t="str">
            <v>green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10028</v>
          </cell>
          <cell r="B1767" t="str">
            <v>ja</v>
          </cell>
          <cell r="C1767" t="str">
            <v>テストユニット28</v>
          </cell>
          <cell r="H1767" t="str">
            <v>yellow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10029</v>
          </cell>
          <cell r="B1768" t="str">
            <v>ja</v>
          </cell>
          <cell r="C1768" t="str">
            <v>テストユニット29</v>
          </cell>
          <cell r="H1768" t="str">
            <v>red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10030</v>
          </cell>
          <cell r="B1769" t="str">
            <v>ja</v>
          </cell>
          <cell r="C1769" t="str">
            <v>テストユニット30</v>
          </cell>
          <cell r="H1769" t="str">
            <v>blue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10031</v>
          </cell>
          <cell r="B1770" t="str">
            <v>ja</v>
          </cell>
          <cell r="C1770" t="str">
            <v>テストユニット31</v>
          </cell>
          <cell r="H1770" t="str">
            <v>green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10032</v>
          </cell>
          <cell r="B1771" t="str">
            <v>ja</v>
          </cell>
          <cell r="C1771" t="str">
            <v>テストユニット32</v>
          </cell>
          <cell r="H1771" t="str">
            <v>yellow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10033</v>
          </cell>
          <cell r="B1772" t="str">
            <v>ja</v>
          </cell>
          <cell r="C1772" t="str">
            <v>テストユニット33</v>
          </cell>
          <cell r="H1772" t="str">
            <v>red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10034</v>
          </cell>
          <cell r="B1773" t="str">
            <v>ja</v>
          </cell>
          <cell r="C1773" t="str">
            <v>テストユニット34</v>
          </cell>
          <cell r="H1773" t="str">
            <v>blue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10035</v>
          </cell>
          <cell r="B1774" t="str">
            <v>ja</v>
          </cell>
          <cell r="C1774" t="str">
            <v>テストユニット35</v>
          </cell>
          <cell r="H1774" t="str">
            <v>green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10036</v>
          </cell>
          <cell r="B1775" t="str">
            <v>ja</v>
          </cell>
          <cell r="C1775" t="str">
            <v>テストユニット36</v>
          </cell>
          <cell r="H1775" t="str">
            <v>yellow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10037</v>
          </cell>
          <cell r="B1776" t="str">
            <v>ja</v>
          </cell>
          <cell r="C1776" t="str">
            <v>テストユニット37</v>
          </cell>
          <cell r="H1776" t="str">
            <v>red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</row>
        <row r="1777">
          <cell r="A1777">
            <v>10038</v>
          </cell>
          <cell r="B1777" t="str">
            <v>ja</v>
          </cell>
          <cell r="C1777" t="str">
            <v>テストユニット38</v>
          </cell>
          <cell r="H1777" t="str">
            <v>blue</v>
          </cell>
          <cell r="I1777">
            <v>6</v>
          </cell>
          <cell r="J1777" t="str">
            <v>DropWizS</v>
          </cell>
          <cell r="K1777" t="str">
            <v>balance</v>
          </cell>
          <cell r="L1777" t="str">
            <v>バランスタイプ</v>
          </cell>
          <cell r="M1777" t="str">
            <v>god</v>
          </cell>
        </row>
        <row r="1778">
          <cell r="A1778">
            <v>10039</v>
          </cell>
          <cell r="B1778" t="str">
            <v>ja</v>
          </cell>
          <cell r="C1778" t="str">
            <v>テストユニット39</v>
          </cell>
          <cell r="H1778" t="str">
            <v>green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10040</v>
          </cell>
          <cell r="B1779" t="str">
            <v>ja</v>
          </cell>
          <cell r="C1779" t="str">
            <v>テストユニット40</v>
          </cell>
          <cell r="H1779" t="str">
            <v>yellow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10041</v>
          </cell>
          <cell r="B1780" t="str">
            <v>ja</v>
          </cell>
          <cell r="C1780" t="str">
            <v>テストユニット41</v>
          </cell>
          <cell r="H1780" t="str">
            <v>red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10042</v>
          </cell>
          <cell r="B1781" t="str">
            <v>ja</v>
          </cell>
          <cell r="C1781" t="str">
            <v>テストユニット42</v>
          </cell>
          <cell r="H1781" t="str">
            <v>blue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10043</v>
          </cell>
          <cell r="B1782" t="str">
            <v>ja</v>
          </cell>
          <cell r="C1782" t="str">
            <v>テストユニット43</v>
          </cell>
          <cell r="H1782" t="str">
            <v>green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10044</v>
          </cell>
          <cell r="B1783" t="str">
            <v>ja</v>
          </cell>
          <cell r="C1783" t="str">
            <v>テストユニット44</v>
          </cell>
          <cell r="H1783" t="str">
            <v>yellow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10045</v>
          </cell>
          <cell r="B1784" t="str">
            <v>ja</v>
          </cell>
          <cell r="C1784" t="str">
            <v>テストユニット45</v>
          </cell>
          <cell r="H1784" t="str">
            <v>red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10046</v>
          </cell>
          <cell r="B1785" t="str">
            <v>ja</v>
          </cell>
          <cell r="C1785" t="str">
            <v>テストユニット46</v>
          </cell>
          <cell r="H1785" t="str">
            <v>blue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10047</v>
          </cell>
          <cell r="B1786" t="str">
            <v>ja</v>
          </cell>
          <cell r="C1786" t="str">
            <v>テストユニット47</v>
          </cell>
          <cell r="H1786" t="str">
            <v>green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10048</v>
          </cell>
          <cell r="B1787" t="str">
            <v>ja</v>
          </cell>
          <cell r="C1787" t="str">
            <v>テストユニット48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10049</v>
          </cell>
          <cell r="B1788" t="str">
            <v>ja</v>
          </cell>
          <cell r="C1788" t="str">
            <v>テストユニット49</v>
          </cell>
          <cell r="H1788" t="str">
            <v>red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10050</v>
          </cell>
          <cell r="B1789" t="str">
            <v>ja</v>
          </cell>
          <cell r="C1789" t="str">
            <v>テストユニット50</v>
          </cell>
          <cell r="H1789" t="str">
            <v>blue</v>
          </cell>
          <cell r="I1789">
            <v>6</v>
          </cell>
          <cell r="J1789" t="str">
            <v>PremiumSS</v>
          </cell>
          <cell r="K1789" t="str">
            <v>balance</v>
          </cell>
          <cell r="L1789" t="str">
            <v>バランスタイプ</v>
          </cell>
          <cell r="M1789" t="str">
            <v>unknown</v>
          </cell>
        </row>
        <row r="1790">
          <cell r="A1790">
            <v>10051</v>
          </cell>
          <cell r="B1790" t="str">
            <v>ja</v>
          </cell>
          <cell r="C1790" t="str">
            <v>テストユニット51</v>
          </cell>
          <cell r="H1790" t="str">
            <v>green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10052</v>
          </cell>
          <cell r="B1791" t="str">
            <v>ja</v>
          </cell>
          <cell r="C1791" t="str">
            <v>テストユニット52</v>
          </cell>
          <cell r="H1791" t="str">
            <v>yellow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10053</v>
          </cell>
          <cell r="B1792" t="str">
            <v>ja</v>
          </cell>
          <cell r="C1792" t="str">
            <v>テストユニット53</v>
          </cell>
          <cell r="H1792" t="str">
            <v>red</v>
          </cell>
          <cell r="I1792">
            <v>6</v>
          </cell>
          <cell r="J1792" t="str">
            <v>PremiumSS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10054</v>
          </cell>
          <cell r="B1793" t="str">
            <v>ja</v>
          </cell>
          <cell r="C1793" t="str">
            <v>テストユニット54</v>
          </cell>
          <cell r="H1793" t="str">
            <v>blue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10055</v>
          </cell>
          <cell r="B1794" t="str">
            <v>ja</v>
          </cell>
          <cell r="C1794" t="str">
            <v>テストユニット55</v>
          </cell>
          <cell r="H1794" t="str">
            <v>green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10056</v>
          </cell>
          <cell r="B1795" t="str">
            <v>ja</v>
          </cell>
          <cell r="C1795" t="str">
            <v>テストユニット56</v>
          </cell>
          <cell r="H1795" t="str">
            <v>yellow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10057</v>
          </cell>
          <cell r="B1796" t="str">
            <v>ja</v>
          </cell>
          <cell r="C1796" t="str">
            <v>テストユニット57</v>
          </cell>
          <cell r="H1796" t="str">
            <v>red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10058</v>
          </cell>
          <cell r="B1797" t="str">
            <v>ja</v>
          </cell>
          <cell r="C1797" t="str">
            <v>テストユニット58</v>
          </cell>
          <cell r="H1797" t="str">
            <v>blue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10059</v>
          </cell>
          <cell r="B1798" t="str">
            <v>ja</v>
          </cell>
          <cell r="C1798" t="str">
            <v>テストユニット59</v>
          </cell>
          <cell r="H1798" t="str">
            <v>green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10060</v>
          </cell>
          <cell r="B1799" t="str">
            <v>ja</v>
          </cell>
          <cell r="C1799" t="str">
            <v>テストユニット60</v>
          </cell>
          <cell r="H1799" t="str">
            <v>yellow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10061</v>
          </cell>
          <cell r="B1800" t="str">
            <v>ja</v>
          </cell>
          <cell r="C1800" t="str">
            <v>テストユニット61</v>
          </cell>
          <cell r="H1800" t="str">
            <v>red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10062</v>
          </cell>
          <cell r="B1801" t="str">
            <v>ja</v>
          </cell>
          <cell r="C1801" t="str">
            <v>テストユニット62</v>
          </cell>
          <cell r="H1801" t="str">
            <v>blue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10063</v>
          </cell>
          <cell r="B1802" t="str">
            <v>ja</v>
          </cell>
          <cell r="C1802" t="str">
            <v>テストユニット63</v>
          </cell>
          <cell r="H1802" t="str">
            <v>green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10064</v>
          </cell>
          <cell r="B1803" t="str">
            <v>ja</v>
          </cell>
          <cell r="C1803" t="str">
            <v>テストユニット64</v>
          </cell>
          <cell r="H1803" t="str">
            <v>yellow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10065</v>
          </cell>
          <cell r="B1804" t="str">
            <v>ja</v>
          </cell>
          <cell r="C1804" t="str">
            <v>テストユニット65</v>
          </cell>
          <cell r="H1804" t="str">
            <v>red</v>
          </cell>
          <cell r="I1804">
            <v>6</v>
          </cell>
          <cell r="J1804" t="str">
            <v>PremiumSS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10066</v>
          </cell>
          <cell r="B1805" t="str">
            <v>ja</v>
          </cell>
          <cell r="C1805" t="str">
            <v>テストユニット66</v>
          </cell>
          <cell r="H1805" t="str">
            <v>blue</v>
          </cell>
          <cell r="I1805">
            <v>6</v>
          </cell>
          <cell r="J1805" t="str">
            <v>PremiumSS</v>
          </cell>
          <cell r="K1805" t="str">
            <v>balance</v>
          </cell>
          <cell r="L1805" t="str">
            <v>バランスタイプ</v>
          </cell>
          <cell r="M1805" t="str">
            <v>unknown</v>
          </cell>
        </row>
        <row r="1806">
          <cell r="A1806">
            <v>10067</v>
          </cell>
          <cell r="B1806" t="str">
            <v>ja</v>
          </cell>
          <cell r="C1806" t="str">
            <v>テストユニット67</v>
          </cell>
          <cell r="H1806" t="str">
            <v>green</v>
          </cell>
          <cell r="I1806">
            <v>6</v>
          </cell>
          <cell r="J1806" t="str">
            <v>PremiumSS</v>
          </cell>
          <cell r="K1806" t="str">
            <v>balance</v>
          </cell>
          <cell r="L1806" t="str">
            <v>バランスタイプ</v>
          </cell>
          <cell r="M1806" t="str">
            <v>unknown</v>
          </cell>
        </row>
        <row r="1807">
          <cell r="A1807">
            <v>10068</v>
          </cell>
          <cell r="B1807" t="str">
            <v>ja</v>
          </cell>
          <cell r="C1807" t="str">
            <v>テストユニット68</v>
          </cell>
          <cell r="H1807" t="str">
            <v>yellow</v>
          </cell>
          <cell r="I1807">
            <v>6</v>
          </cell>
          <cell r="J1807" t="str">
            <v>PremiumSS</v>
          </cell>
          <cell r="K1807" t="str">
            <v>balance</v>
          </cell>
          <cell r="L1807" t="str">
            <v>バランスタイプ</v>
          </cell>
          <cell r="M1807" t="str">
            <v>unknown</v>
          </cell>
        </row>
        <row r="1808">
          <cell r="A1808">
            <v>10069</v>
          </cell>
          <cell r="B1808" t="str">
            <v>ja</v>
          </cell>
          <cell r="C1808" t="str">
            <v>テストユニット69</v>
          </cell>
          <cell r="H1808" t="str">
            <v>red</v>
          </cell>
          <cell r="I1808">
            <v>6</v>
          </cell>
          <cell r="J1808" t="str">
            <v>PremiumSS</v>
          </cell>
          <cell r="K1808" t="str">
            <v>balance</v>
          </cell>
          <cell r="L1808" t="str">
            <v>バランスタイプ</v>
          </cell>
          <cell r="M1808" t="str">
            <v>unknown</v>
          </cell>
        </row>
        <row r="1809">
          <cell r="A1809">
            <v>10070</v>
          </cell>
          <cell r="B1809" t="str">
            <v>ja</v>
          </cell>
          <cell r="C1809" t="str">
            <v>テストユニット70</v>
          </cell>
          <cell r="H1809" t="str">
            <v>blue</v>
          </cell>
          <cell r="I1809">
            <v>6</v>
          </cell>
          <cell r="J1809" t="str">
            <v>PremiumSSS</v>
          </cell>
          <cell r="K1809" t="str">
            <v>heal</v>
          </cell>
          <cell r="L1809" t="str">
            <v>回復タイプ</v>
          </cell>
          <cell r="M1809" t="str">
            <v>academia</v>
          </cell>
        </row>
        <row r="1810">
          <cell r="A1810">
            <v>10071</v>
          </cell>
          <cell r="B1810" t="str">
            <v>ja</v>
          </cell>
          <cell r="C1810" t="str">
            <v>テストユニット71</v>
          </cell>
          <cell r="H1810" t="str">
            <v>red</v>
          </cell>
          <cell r="I1810">
            <v>6</v>
          </cell>
          <cell r="J1810" t="str">
            <v>PremiumSSS</v>
          </cell>
          <cell r="K1810" t="str">
            <v>hp</v>
          </cell>
          <cell r="L1810" t="str">
            <v>体力タイプ</v>
          </cell>
          <cell r="M1810" t="str">
            <v>demon</v>
          </cell>
        </row>
        <row r="1811">
          <cell r="A1811">
            <v>10072</v>
          </cell>
          <cell r="B1811" t="str">
            <v>ja</v>
          </cell>
          <cell r="C1811" t="str">
            <v>テストユニット72</v>
          </cell>
          <cell r="H1811" t="str">
            <v>green</v>
          </cell>
          <cell r="I1811">
            <v>6</v>
          </cell>
          <cell r="J1811" t="str">
            <v>PremiumSSS</v>
          </cell>
          <cell r="K1811" t="str">
            <v>heal</v>
          </cell>
          <cell r="L1811" t="str">
            <v>回復タイプ</v>
          </cell>
          <cell r="M1811" t="str">
            <v>unknown</v>
          </cell>
        </row>
        <row r="1812">
          <cell r="A1812">
            <v>10073</v>
          </cell>
          <cell r="B1812" t="str">
            <v>ja</v>
          </cell>
          <cell r="C1812" t="str">
            <v>テストユニット73</v>
          </cell>
          <cell r="H1812" t="str">
            <v>green</v>
          </cell>
          <cell r="I1812">
            <v>6</v>
          </cell>
          <cell r="J1812" t="str">
            <v>PremiumSSS</v>
          </cell>
          <cell r="K1812" t="str">
            <v>attack</v>
          </cell>
          <cell r="L1812" t="str">
            <v>攻撃タイプ</v>
          </cell>
          <cell r="M1812" t="str">
            <v>samurai</v>
          </cell>
        </row>
        <row r="1813">
          <cell r="A1813">
            <v>10074</v>
          </cell>
          <cell r="B1813" t="str">
            <v>ja</v>
          </cell>
          <cell r="C1813" t="str">
            <v>テストユニット74</v>
          </cell>
          <cell r="H1813" t="str">
            <v>blue</v>
          </cell>
          <cell r="I1813">
            <v>6</v>
          </cell>
          <cell r="J1813" t="str">
            <v>PremiumSSS</v>
          </cell>
          <cell r="K1813" t="str">
            <v>balance</v>
          </cell>
          <cell r="L1813" t="str">
            <v>バランスタイプ</v>
          </cell>
          <cell r="M1813" t="str">
            <v>fantasy</v>
          </cell>
        </row>
        <row r="1814">
          <cell r="A1814">
            <v>10075</v>
          </cell>
          <cell r="B1814" t="str">
            <v>ja</v>
          </cell>
          <cell r="C1814" t="str">
            <v>テストユニット75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</row>
        <row r="1815">
          <cell r="A1815">
            <v>10076</v>
          </cell>
          <cell r="B1815" t="str">
            <v>ja</v>
          </cell>
          <cell r="C1815" t="str">
            <v>テストユニット76</v>
          </cell>
          <cell r="H1815" t="str">
            <v>yellow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</row>
        <row r="1816">
          <cell r="A1816">
            <v>10077</v>
          </cell>
          <cell r="B1816" t="str">
            <v>ja</v>
          </cell>
          <cell r="C1816" t="str">
            <v>テストユニット77</v>
          </cell>
          <cell r="H1816" t="str">
            <v>yellow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</row>
        <row r="1817">
          <cell r="A1817">
            <v>10078</v>
          </cell>
          <cell r="B1817" t="str">
            <v>ja</v>
          </cell>
          <cell r="C1817" t="str">
            <v>テストユニット78</v>
          </cell>
          <cell r="H1817" t="str">
            <v>red</v>
          </cell>
          <cell r="I1817">
            <v>6</v>
          </cell>
          <cell r="J1817" t="str">
            <v>PremiumSSS</v>
          </cell>
          <cell r="K1817" t="str">
            <v>attack</v>
          </cell>
          <cell r="L1817" t="str">
            <v>攻撃タイプ</v>
          </cell>
          <cell r="M1817" t="str">
            <v>human</v>
          </cell>
        </row>
        <row r="1818">
          <cell r="A1818">
            <v>10079</v>
          </cell>
          <cell r="B1818" t="str">
            <v>ja</v>
          </cell>
          <cell r="C1818" t="str">
            <v>テストユニット79</v>
          </cell>
          <cell r="H1818" t="str">
            <v>red</v>
          </cell>
          <cell r="I1818">
            <v>6</v>
          </cell>
          <cell r="J1818" t="str">
            <v>DropWizSS</v>
          </cell>
          <cell r="K1818" t="str">
            <v>hp</v>
          </cell>
          <cell r="L1818" t="str">
            <v>体力タイプ</v>
          </cell>
          <cell r="M1818" t="str">
            <v>hero</v>
          </cell>
        </row>
        <row r="1819">
          <cell r="A1819">
            <v>10080</v>
          </cell>
          <cell r="B1819" t="str">
            <v>ja</v>
          </cell>
          <cell r="C1819" t="str">
            <v>テストユニット80</v>
          </cell>
          <cell r="H1819" t="str">
            <v>yellow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</row>
        <row r="1820">
          <cell r="A1820">
            <v>10081</v>
          </cell>
          <cell r="B1820" t="str">
            <v>ja</v>
          </cell>
          <cell r="C1820" t="str">
            <v>テストユニット81</v>
          </cell>
          <cell r="H1820" t="str">
            <v>red</v>
          </cell>
          <cell r="I1820">
            <v>6</v>
          </cell>
          <cell r="J1820" t="str">
            <v>PremiumSS</v>
          </cell>
          <cell r="K1820" t="str">
            <v>balance</v>
          </cell>
          <cell r="L1820" t="str">
            <v>バランスタイプ</v>
          </cell>
          <cell r="M1820" t="str">
            <v>unknown</v>
          </cell>
        </row>
        <row r="1821">
          <cell r="A1821">
            <v>10082</v>
          </cell>
          <cell r="B1821" t="str">
            <v>ja</v>
          </cell>
          <cell r="C1821" t="str">
            <v>テストユニット82</v>
          </cell>
          <cell r="H1821" t="str">
            <v>blue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</row>
        <row r="1822">
          <cell r="A1822">
            <v>10083</v>
          </cell>
          <cell r="B1822" t="str">
            <v>ja</v>
          </cell>
          <cell r="C1822" t="str">
            <v>テストユニット83</v>
          </cell>
          <cell r="H1822" t="str">
            <v>green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</row>
        <row r="1823">
          <cell r="A1823">
            <v>10084</v>
          </cell>
          <cell r="B1823" t="str">
            <v>ja</v>
          </cell>
          <cell r="C1823" t="str">
            <v>テストユニット84</v>
          </cell>
          <cell r="H1823" t="str">
            <v>yellow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</row>
        <row r="1824">
          <cell r="A1824">
            <v>10085</v>
          </cell>
          <cell r="B1824" t="str">
            <v>ja</v>
          </cell>
          <cell r="C1824" t="str">
            <v>テストユニット85</v>
          </cell>
          <cell r="H1824" t="str">
            <v>red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</row>
        <row r="1825">
          <cell r="A1825">
            <v>10086</v>
          </cell>
          <cell r="B1825" t="str">
            <v>ja</v>
          </cell>
          <cell r="C1825" t="str">
            <v>テストユニット86</v>
          </cell>
          <cell r="H1825" t="str">
            <v>blue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</row>
        <row r="1826">
          <cell r="A1826">
            <v>10087</v>
          </cell>
          <cell r="B1826" t="str">
            <v>ja</v>
          </cell>
          <cell r="C1826" t="str">
            <v>テストユニット87</v>
          </cell>
          <cell r="H1826" t="str">
            <v>green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</row>
        <row r="1827">
          <cell r="A1827">
            <v>10088</v>
          </cell>
          <cell r="B1827" t="str">
            <v>ja</v>
          </cell>
          <cell r="C1827" t="str">
            <v>テストユニット88</v>
          </cell>
          <cell r="H1827" t="str">
            <v>yellow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</row>
        <row r="1828">
          <cell r="A1828">
            <v>10089</v>
          </cell>
          <cell r="B1828" t="str">
            <v>ja</v>
          </cell>
          <cell r="C1828" t="str">
            <v>テストユニット89</v>
          </cell>
          <cell r="H1828" t="str">
            <v>red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</row>
        <row r="1829">
          <cell r="A1829">
            <v>10090</v>
          </cell>
          <cell r="B1829" t="str">
            <v>ja</v>
          </cell>
          <cell r="C1829" t="str">
            <v>テストユニット90</v>
          </cell>
          <cell r="H1829" t="str">
            <v>blue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</row>
        <row r="1830">
          <cell r="A1830">
            <v>10101</v>
          </cell>
          <cell r="B1830" t="str">
            <v>ja</v>
          </cell>
          <cell r="C1830" t="str">
            <v>Usagi-kun</v>
          </cell>
          <cell r="H1830" t="str">
            <v>blue</v>
          </cell>
          <cell r="I1830">
            <v>6</v>
          </cell>
          <cell r="J1830" t="str">
            <v>DropWizS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</row>
        <row r="1831">
          <cell r="A1831">
            <v>10102</v>
          </cell>
          <cell r="B1831" t="str">
            <v>ja</v>
          </cell>
          <cell r="C1831" t="str">
            <v>ローズ</v>
          </cell>
          <cell r="D1831" t="str">
            <v>未定</v>
          </cell>
          <cell r="E1831" t="str">
            <v>執行者</v>
          </cell>
          <cell r="F1831" t="str">
            <v>格好いい</v>
          </cell>
          <cell r="G1831" t="str">
            <v>不明</v>
          </cell>
          <cell r="H1831" t="str">
            <v>red</v>
          </cell>
          <cell r="I1831">
            <v>3</v>
          </cell>
          <cell r="J1831" t="str">
            <v>DropWizSSS</v>
          </cell>
          <cell r="K1831" t="str">
            <v>attack</v>
          </cell>
          <cell r="L1831" t="str">
            <v>攻撃タイプ</v>
          </cell>
          <cell r="M1831" t="str">
            <v>queen</v>
          </cell>
        </row>
        <row r="1832">
          <cell r="A1832">
            <v>10103</v>
          </cell>
          <cell r="B1832" t="str">
            <v>ja</v>
          </cell>
          <cell r="C1832" t="str">
            <v>ローズ</v>
          </cell>
          <cell r="D1832" t="str">
            <v>未定</v>
          </cell>
          <cell r="E1832" t="str">
            <v>執行者</v>
          </cell>
          <cell r="F1832" t="str">
            <v>格好いい</v>
          </cell>
          <cell r="G1832" t="str">
            <v>不明</v>
          </cell>
          <cell r="H1832" t="str">
            <v>red</v>
          </cell>
          <cell r="I1832">
            <v>4</v>
          </cell>
          <cell r="J1832" t="str">
            <v>DropWizSSS</v>
          </cell>
          <cell r="K1832" t="str">
            <v>attack</v>
          </cell>
          <cell r="L1832" t="str">
            <v>攻撃タイプ</v>
          </cell>
          <cell r="M1832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60</v>
      </c>
    </row>
    <row r="2" spans="1:1" x14ac:dyDescent="0.15">
      <c r="A2" t="s">
        <v>61</v>
      </c>
    </row>
    <row r="3" spans="1:1" x14ac:dyDescent="0.15">
      <c r="A3" t="s">
        <v>62</v>
      </c>
    </row>
    <row r="4" spans="1:1" x14ac:dyDescent="0.15">
      <c r="A4" t="s">
        <v>63</v>
      </c>
    </row>
  </sheetData>
  <phoneticPr fontId="19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8"/>
  <sheetViews>
    <sheetView tabSelected="1" workbookViewId="0"/>
  </sheetViews>
  <sheetFormatPr baseColWidth="12" defaultRowHeight="15" x14ac:dyDescent="0.15"/>
  <cols>
    <col min="1" max="1" width="13" style="16"/>
    <col min="2" max="2" width="14.796875" style="16" bestFit="1" customWidth="1"/>
    <col min="3" max="4" width="13" style="16"/>
    <col min="5" max="5" width="17.59765625" style="16" bestFit="1" customWidth="1"/>
    <col min="6" max="6" width="22.19921875" style="16" bestFit="1" customWidth="1"/>
    <col min="7" max="16384" width="13" style="16"/>
  </cols>
  <sheetData>
    <row r="1" spans="1:21" x14ac:dyDescent="0.15">
      <c r="A1" s="26" t="s">
        <v>52</v>
      </c>
      <c r="B1" s="14" t="s">
        <v>40</v>
      </c>
      <c r="C1" s="14" t="s">
        <v>41</v>
      </c>
      <c r="D1" s="14" t="s">
        <v>42</v>
      </c>
      <c r="E1" s="14" t="s">
        <v>43</v>
      </c>
      <c r="F1" s="14" t="s">
        <v>44</v>
      </c>
      <c r="G1" s="14" t="s">
        <v>45</v>
      </c>
      <c r="H1" s="14"/>
      <c r="I1" s="14"/>
      <c r="J1" s="14"/>
      <c r="K1" s="14"/>
      <c r="L1" s="15"/>
      <c r="M1" s="15"/>
      <c r="N1" s="15"/>
      <c r="O1" s="15"/>
    </row>
    <row r="2" spans="1:21" x14ac:dyDescent="0.15">
      <c r="A2" s="43" t="s">
        <v>81</v>
      </c>
      <c r="B2" s="42" t="s">
        <v>78</v>
      </c>
      <c r="C2" s="37" t="str">
        <f>RIGHT(F2,4)</f>
        <v>7334</v>
      </c>
      <c r="D2" s="17" t="s">
        <v>46</v>
      </c>
      <c r="E2" s="15" t="str">
        <f t="shared" ref="E2:E8" si="0">B2&amp;C2&amp;D2</f>
        <v>gacha_select_tables_7334.tmp</v>
      </c>
      <c r="F2" s="48" t="s">
        <v>84</v>
      </c>
      <c r="G2" s="36" t="s">
        <v>65</v>
      </c>
      <c r="H2" s="20" t="s">
        <v>0</v>
      </c>
      <c r="I2" s="20" t="s">
        <v>3</v>
      </c>
      <c r="J2" s="20" t="s">
        <v>4</v>
      </c>
      <c r="K2" s="20" t="s">
        <v>5</v>
      </c>
      <c r="L2" s="20" t="s">
        <v>6</v>
      </c>
      <c r="M2" s="20" t="s">
        <v>7</v>
      </c>
      <c r="N2" s="20" t="s">
        <v>8</v>
      </c>
      <c r="O2" s="20" t="s">
        <v>9</v>
      </c>
    </row>
    <row r="3" spans="1:21" x14ac:dyDescent="0.15">
      <c r="A3" s="43" t="s">
        <v>81</v>
      </c>
      <c r="B3" s="42" t="s">
        <v>78</v>
      </c>
      <c r="C3" s="37" t="str">
        <f>RIGHT(F3,4)</f>
        <v>7335</v>
      </c>
      <c r="D3" s="17" t="s">
        <v>46</v>
      </c>
      <c r="E3" s="15" t="str">
        <f t="shared" ref="E3" si="1">B3&amp;C3&amp;D3</f>
        <v>gacha_select_tables_7335.tmp</v>
      </c>
      <c r="F3" s="48" t="s">
        <v>85</v>
      </c>
      <c r="G3" s="36" t="s">
        <v>65</v>
      </c>
      <c r="H3" s="20" t="s">
        <v>0</v>
      </c>
      <c r="I3" s="20" t="s">
        <v>3</v>
      </c>
      <c r="J3" s="20" t="s">
        <v>4</v>
      </c>
      <c r="K3" s="20" t="s">
        <v>5</v>
      </c>
      <c r="L3" s="20" t="s">
        <v>6</v>
      </c>
      <c r="M3" s="20" t="s">
        <v>7</v>
      </c>
      <c r="N3" s="20" t="s">
        <v>8</v>
      </c>
      <c r="O3" s="20" t="s">
        <v>9</v>
      </c>
    </row>
    <row r="4" spans="1:21" x14ac:dyDescent="0.15">
      <c r="A4" s="43" t="s">
        <v>81</v>
      </c>
      <c r="B4" s="42" t="s">
        <v>78</v>
      </c>
      <c r="C4" s="37" t="str">
        <f>RIGHT(F4,4)</f>
        <v>7336</v>
      </c>
      <c r="D4" s="17" t="s">
        <v>46</v>
      </c>
      <c r="E4" s="15" t="str">
        <f t="shared" ref="E4" si="2">B4&amp;C4&amp;D4</f>
        <v>gacha_select_tables_7336.tmp</v>
      </c>
      <c r="F4" s="48" t="s">
        <v>86</v>
      </c>
      <c r="G4" s="36" t="s">
        <v>64</v>
      </c>
      <c r="H4" s="20" t="s">
        <v>0</v>
      </c>
      <c r="I4" s="20" t="s">
        <v>3</v>
      </c>
      <c r="J4" s="20" t="s">
        <v>4</v>
      </c>
      <c r="K4" s="20" t="s">
        <v>5</v>
      </c>
      <c r="L4" s="20" t="s">
        <v>6</v>
      </c>
      <c r="M4" s="20" t="s">
        <v>7</v>
      </c>
      <c r="N4" s="20" t="s">
        <v>8</v>
      </c>
      <c r="O4" s="20" t="s">
        <v>9</v>
      </c>
    </row>
    <row r="5" spans="1:21" x14ac:dyDescent="0.15">
      <c r="A5" s="29" t="s">
        <v>54</v>
      </c>
      <c r="B5" s="44" t="s">
        <v>82</v>
      </c>
      <c r="C5" s="37">
        <v>7322</v>
      </c>
      <c r="D5" s="17" t="s">
        <v>46</v>
      </c>
      <c r="E5" s="15" t="str">
        <f>B5&amp;C5&amp;D5</f>
        <v>gacha_settle_tables_7322.tmp</v>
      </c>
      <c r="F5" s="45" t="s">
        <v>83</v>
      </c>
      <c r="G5" s="36" t="s">
        <v>65</v>
      </c>
      <c r="H5" s="20" t="s">
        <v>0</v>
      </c>
      <c r="I5" s="20" t="s">
        <v>3</v>
      </c>
      <c r="J5" s="20" t="s">
        <v>4</v>
      </c>
      <c r="K5" s="20" t="s">
        <v>5</v>
      </c>
      <c r="L5" s="20" t="s">
        <v>6</v>
      </c>
      <c r="M5" s="20" t="s">
        <v>7</v>
      </c>
      <c r="N5" s="20" t="s">
        <v>8</v>
      </c>
      <c r="O5" s="20" t="s">
        <v>9</v>
      </c>
    </row>
    <row r="6" spans="1:21" x14ac:dyDescent="0.15">
      <c r="A6" s="29" t="s">
        <v>54</v>
      </c>
      <c r="B6" s="25" t="s">
        <v>51</v>
      </c>
      <c r="C6" s="30" t="s">
        <v>55</v>
      </c>
      <c r="D6" s="17" t="s">
        <v>47</v>
      </c>
      <c r="E6" s="15" t="str">
        <f t="shared" si="0"/>
        <v>gacha_bonus_tables_hogehoge.tmp</v>
      </c>
      <c r="F6" s="17" t="s">
        <v>48</v>
      </c>
      <c r="G6" s="19" t="s">
        <v>11</v>
      </c>
      <c r="H6" s="21" t="s">
        <v>14</v>
      </c>
      <c r="I6" s="19" t="s">
        <v>12</v>
      </c>
      <c r="J6" s="18"/>
      <c r="K6" s="18"/>
      <c r="L6" s="18"/>
      <c r="M6" s="18"/>
      <c r="N6" s="18"/>
      <c r="O6" s="18"/>
    </row>
    <row r="7" spans="1:21" x14ac:dyDescent="0.15">
      <c r="A7" s="29" t="s">
        <v>54</v>
      </c>
      <c r="B7" s="17" t="s">
        <v>49</v>
      </c>
      <c r="C7" s="30" t="s">
        <v>55</v>
      </c>
      <c r="D7" s="17" t="s">
        <v>47</v>
      </c>
      <c r="E7" s="15" t="str">
        <f t="shared" si="0"/>
        <v>gifts_tmp_hogehoge.tmp</v>
      </c>
      <c r="F7" s="17" t="s">
        <v>48</v>
      </c>
      <c r="G7" s="21" t="s">
        <v>22</v>
      </c>
      <c r="H7" s="22" t="s">
        <v>30</v>
      </c>
      <c r="I7" s="21" t="s">
        <v>23</v>
      </c>
      <c r="J7" s="21" t="s">
        <v>24</v>
      </c>
      <c r="K7" s="21" t="s">
        <v>24</v>
      </c>
      <c r="L7" s="21" t="s">
        <v>25</v>
      </c>
      <c r="M7" s="21" t="s">
        <v>25</v>
      </c>
      <c r="N7" s="21" t="s">
        <v>25</v>
      </c>
      <c r="O7" s="38" t="s">
        <v>7</v>
      </c>
      <c r="P7" s="38" t="s">
        <v>9</v>
      </c>
      <c r="Q7" s="38" t="s">
        <v>6</v>
      </c>
      <c r="R7" s="38" t="s">
        <v>66</v>
      </c>
      <c r="S7" s="38" t="s">
        <v>8</v>
      </c>
      <c r="T7" s="38" t="s">
        <v>67</v>
      </c>
      <c r="U7" s="38" t="s">
        <v>5</v>
      </c>
    </row>
    <row r="8" spans="1:21" x14ac:dyDescent="0.15">
      <c r="A8" s="29" t="s">
        <v>54</v>
      </c>
      <c r="B8" s="17" t="s">
        <v>50</v>
      </c>
      <c r="C8" s="30" t="s">
        <v>55</v>
      </c>
      <c r="D8" s="17" t="s">
        <v>47</v>
      </c>
      <c r="E8" s="15" t="str">
        <f t="shared" si="0"/>
        <v>gifts_i18n_hogehoge.tmp</v>
      </c>
      <c r="F8" s="17" t="s">
        <v>48</v>
      </c>
      <c r="G8" s="21" t="s">
        <v>13</v>
      </c>
      <c r="H8" s="23" t="s">
        <v>26</v>
      </c>
      <c r="I8" s="23" t="s">
        <v>27</v>
      </c>
      <c r="J8" s="23" t="s">
        <v>28</v>
      </c>
      <c r="K8" s="23" t="s">
        <v>29</v>
      </c>
      <c r="L8" s="24"/>
      <c r="M8" s="21"/>
      <c r="N8" s="21"/>
      <c r="O8" s="17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Y2"/>
  <sheetViews>
    <sheetView showGridLines="0" zoomScale="75" zoomScaleNormal="75" zoomScalePageLayoutView="75" workbookViewId="0">
      <pane ySplit="1" topLeftCell="A2" activePane="bottomLeft" state="frozen"/>
      <selection activeCell="A266" sqref="A266:XFD266"/>
      <selection pane="bottomLeft" activeCell="V2" sqref="V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5" ht="21" customHeight="1" x14ac:dyDescent="0.15">
      <c r="A1" s="11" t="s">
        <v>64</v>
      </c>
      <c r="B1" s="13" t="s">
        <v>32</v>
      </c>
      <c r="C1" s="3" t="s">
        <v>31</v>
      </c>
      <c r="D1" s="3" t="s">
        <v>76</v>
      </c>
      <c r="E1" s="3" t="s">
        <v>79</v>
      </c>
      <c r="F1" s="3" t="s">
        <v>80</v>
      </c>
      <c r="G1" s="3" t="s">
        <v>77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56</v>
      </c>
      <c r="O1" s="13" t="s">
        <v>39</v>
      </c>
      <c r="P1" s="3" t="s">
        <v>58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5" ht="21" customHeight="1" x14ac:dyDescent="0.2">
      <c r="A2" s="2">
        <v>7334010</v>
      </c>
      <c r="B2" s="6">
        <v>1462</v>
      </c>
      <c r="C2" s="7" t="str">
        <f t="shared" ref="C2" si="0">D2&amp;J2&amp;E2&amp;F2&amp;G2</f>
        <v>PremiumSS5R5only</v>
      </c>
      <c r="D2" s="7" t="str">
        <f t="shared" ref="D2" si="1">IF(I2="PremiumSS",I2,IF(I2="PremiumSSS",I2,IF(I2="PremiumW",I2,"Premium")))</f>
        <v>PremiumSS</v>
      </c>
      <c r="E2" s="7" t="str">
        <f>IF(COUNTIF('R6追加前'!A:A,B2)=0,IF(I2="PremiumSS","R5only","R3less"),"")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エドワード・エルリック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technical</v>
      </c>
      <c r="M2" s="7" t="str">
        <f>VLOOKUP(B2,[1]characters!$A:$M,13,FALSE)</f>
        <v>human</v>
      </c>
      <c r="N2" s="7">
        <f>VLOOKUP(B2,[1]characters!$A:$G,7,FALSE)</f>
        <v>0</v>
      </c>
      <c r="O2" s="34">
        <v>150</v>
      </c>
      <c r="P2" s="35">
        <f>O2/SUM(O:O)</f>
        <v>1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49">
        <v>20</v>
      </c>
      <c r="X2" s="46"/>
      <c r="Y2" s="47"/>
    </row>
  </sheetData>
  <autoFilter ref="A1:V2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Y2"/>
  <sheetViews>
    <sheetView showGridLines="0" zoomScale="75" zoomScaleNormal="75" zoomScalePageLayoutView="75" workbookViewId="0">
      <pane ySplit="1" topLeftCell="A2" activePane="bottomLeft" state="frozen"/>
      <selection activeCell="A266" sqref="A266:XFD266"/>
      <selection pane="bottomLeft" activeCell="V2" sqref="V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5" ht="21" customHeight="1" x14ac:dyDescent="0.15">
      <c r="A1" s="11" t="s">
        <v>64</v>
      </c>
      <c r="B1" s="13" t="s">
        <v>1</v>
      </c>
      <c r="C1" s="3" t="s">
        <v>31</v>
      </c>
      <c r="D1" s="3" t="s">
        <v>76</v>
      </c>
      <c r="E1" s="3" t="s">
        <v>79</v>
      </c>
      <c r="F1" s="3" t="s">
        <v>80</v>
      </c>
      <c r="G1" s="3" t="s">
        <v>77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56</v>
      </c>
      <c r="O1" s="13" t="s">
        <v>2</v>
      </c>
      <c r="P1" s="3" t="s">
        <v>58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5" ht="21" customHeight="1" x14ac:dyDescent="0.2">
      <c r="A2" s="2">
        <v>7335010</v>
      </c>
      <c r="B2" s="6">
        <v>1464</v>
      </c>
      <c r="C2" s="7" t="str">
        <f t="shared" ref="C2" si="0">D2&amp;J2&amp;E2&amp;F2&amp;G2</f>
        <v>PremiumSS5R5only</v>
      </c>
      <c r="D2" s="7" t="str">
        <f t="shared" ref="D2" si="1">IF(I2="PremiumSS",I2,IF(I2="PremiumSSS",I2,IF(I2="PremiumW",I2,"Premium")))</f>
        <v>PremiumSS</v>
      </c>
      <c r="E2" s="7" t="str">
        <f>IF(COUNTIF('R6追加前'!A:A,B2)=0,IF(I2="PremiumSS","R5only","R3less"),"")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アルフォンス・エルリック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hp</v>
      </c>
      <c r="M2" s="7" t="str">
        <f>VLOOKUP(B2,[1]characters!$A:$M,13,FALSE)</f>
        <v>human</v>
      </c>
      <c r="N2" s="7">
        <f>VLOOKUP(B2,[1]characters!$A:$G,7,FALSE)</f>
        <v>0</v>
      </c>
      <c r="O2" s="34">
        <v>150</v>
      </c>
      <c r="P2" s="35">
        <f>O2/SUM(O:O)</f>
        <v>1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49">
        <v>20</v>
      </c>
      <c r="X2" s="46"/>
      <c r="Y2" s="47"/>
    </row>
  </sheetData>
  <autoFilter ref="A1:V2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Y2"/>
  <sheetViews>
    <sheetView showGridLines="0" zoomScale="75" zoomScaleNormal="75" zoomScalePageLayoutView="75" workbookViewId="0">
      <pane ySplit="1" topLeftCell="A2" activePane="bottomLeft" state="frozen"/>
      <selection activeCell="A266" sqref="A266:XFD266"/>
      <selection pane="bottomLeft" activeCell="V2" sqref="V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5" ht="21" customHeight="1" x14ac:dyDescent="0.15">
      <c r="A1" s="11" t="s">
        <v>64</v>
      </c>
      <c r="B1" s="13" t="s">
        <v>1</v>
      </c>
      <c r="C1" s="3" t="s">
        <v>31</v>
      </c>
      <c r="D1" s="3" t="s">
        <v>76</v>
      </c>
      <c r="E1" s="3" t="s">
        <v>79</v>
      </c>
      <c r="F1" s="3" t="s">
        <v>80</v>
      </c>
      <c r="G1" s="3" t="s">
        <v>77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56</v>
      </c>
      <c r="O1" s="13" t="s">
        <v>2</v>
      </c>
      <c r="P1" s="3" t="s">
        <v>58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5" ht="21" customHeight="1" x14ac:dyDescent="0.2">
      <c r="A2" s="2">
        <v>7336010</v>
      </c>
      <c r="B2" s="6">
        <v>1458</v>
      </c>
      <c r="C2" s="7" t="str">
        <f t="shared" ref="C2" si="0">D2&amp;J2&amp;E2&amp;F2&amp;G2</f>
        <v>PremiumSS5R5only</v>
      </c>
      <c r="D2" s="7" t="str">
        <f t="shared" ref="D2" si="1">IF(I2="PremiumSS",I2,IF(I2="PremiumSSS",I2,IF(I2="PremiumW",I2,"Premium")))</f>
        <v>PremiumSS</v>
      </c>
      <c r="E2" s="7" t="str">
        <f>IF(COUNTIF('R6追加前'!A:A,B2)=0,IF(I2="PremiumSS","R5only","R3less"),"")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ロイ・マスタング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>
        <f>VLOOKUP(B2,[1]characters!$A:$G,7,FALSE)</f>
        <v>0</v>
      </c>
      <c r="O2" s="34">
        <v>150</v>
      </c>
      <c r="P2" s="35">
        <f>O2/SUM(O:O)</f>
        <v>1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49">
        <v>20</v>
      </c>
      <c r="X2" s="46"/>
      <c r="Y2" s="47"/>
    </row>
  </sheetData>
  <autoFilter ref="A1:V2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1" t="s">
        <v>10</v>
      </c>
      <c r="B1" s="21" t="s">
        <v>13</v>
      </c>
      <c r="C1" s="12" t="s">
        <v>15</v>
      </c>
      <c r="D1" s="12" t="s">
        <v>16</v>
      </c>
      <c r="E1" s="12" t="s">
        <v>17</v>
      </c>
      <c r="F1" s="11" t="s">
        <v>2</v>
      </c>
      <c r="G1" s="39" t="s">
        <v>68</v>
      </c>
      <c r="H1" s="39" t="s">
        <v>69</v>
      </c>
      <c r="I1" s="40" t="s">
        <v>70</v>
      </c>
      <c r="J1" s="40" t="s">
        <v>71</v>
      </c>
      <c r="K1" s="40" t="s">
        <v>72</v>
      </c>
      <c r="L1" s="40" t="s">
        <v>73</v>
      </c>
      <c r="M1" s="40" t="s">
        <v>74</v>
      </c>
      <c r="N1" s="11" t="s">
        <v>18</v>
      </c>
      <c r="O1" s="11" t="s">
        <v>19</v>
      </c>
      <c r="P1" s="11" t="s">
        <v>20</v>
      </c>
      <c r="Q1" s="11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75</v>
      </c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workbookViewId="0">
      <selection activeCell="A272" sqref="A267:XFD272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3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41">
        <v>668</v>
      </c>
      <c r="B246" s="7" t="str">
        <f>VLOOKUP(A246,[1]characters!$A:$C,3,FALSE)</f>
        <v>アグニ</v>
      </c>
    </row>
    <row r="247" spans="1:2" x14ac:dyDescent="0.15">
      <c r="A247" s="41">
        <v>669</v>
      </c>
      <c r="B247" s="7" t="str">
        <f>VLOOKUP(A247,[1]characters!$A:$C,3,FALSE)</f>
        <v>天地の仲界 アグニ</v>
      </c>
    </row>
    <row r="248" spans="1:2" x14ac:dyDescent="0.15">
      <c r="A248" s="41">
        <v>670</v>
      </c>
      <c r="B248" s="7" t="str">
        <f>VLOOKUP(A248,[1]characters!$A:$C,3,FALSE)</f>
        <v>陽天の噴煙 アグニ</v>
      </c>
    </row>
    <row r="249" spans="1:2" x14ac:dyDescent="0.15">
      <c r="A249" s="41">
        <v>671</v>
      </c>
      <c r="B249" s="7" t="str">
        <f>VLOOKUP(A249,[1]characters!$A:$C,3,FALSE)</f>
        <v>ハヌマーン</v>
      </c>
    </row>
    <row r="250" spans="1:2" x14ac:dyDescent="0.15">
      <c r="A250" s="41">
        <v>672</v>
      </c>
      <c r="B250" s="7" t="str">
        <f>VLOOKUP(A250,[1]characters!$A:$C,3,FALSE)</f>
        <v>西遊韋駄天 ハヌマーン</v>
      </c>
    </row>
    <row r="251" spans="1:2" x14ac:dyDescent="0.15">
      <c r="A251" s="41">
        <v>673</v>
      </c>
      <c r="B251" s="7" t="str">
        <f>VLOOKUP(A251,[1]characters!$A:$C,3,FALSE)</f>
        <v>変幻自在の猿王 ハヌマーン</v>
      </c>
    </row>
    <row r="252" spans="1:2" x14ac:dyDescent="0.15">
      <c r="A252" s="41">
        <v>674</v>
      </c>
      <c r="B252" s="7" t="str">
        <f>VLOOKUP(A252,[1]characters!$A:$C,3,FALSE)</f>
        <v>サラスヴァティ</v>
      </c>
    </row>
    <row r="253" spans="1:2" x14ac:dyDescent="0.15">
      <c r="A253" s="41">
        <v>675</v>
      </c>
      <c r="B253" s="7" t="str">
        <f>VLOOKUP(A253,[1]characters!$A:$C,3,FALSE)</f>
        <v>芸楽の奔流 サラスヴァティ</v>
      </c>
    </row>
    <row r="254" spans="1:2" x14ac:dyDescent="0.15">
      <c r="A254" s="41">
        <v>676</v>
      </c>
      <c r="B254" s="7" t="str">
        <f>VLOOKUP(A254,[1]characters!$A:$C,3,FALSE)</f>
        <v>ヴィシュヌ</v>
      </c>
    </row>
    <row r="255" spans="1:2" x14ac:dyDescent="0.15">
      <c r="A255" s="41">
        <v>677</v>
      </c>
      <c r="B255" s="7" t="str">
        <f>VLOOKUP(A255,[1]characters!$A:$C,3,FALSE)</f>
        <v>武遊闊歩 ヴィシュヌ</v>
      </c>
    </row>
    <row r="256" spans="1:2" x14ac:dyDescent="0.15">
      <c r="A256" s="41">
        <v>770</v>
      </c>
      <c r="B256" s="7" t="str">
        <f>VLOOKUP(A256,[1]characters!$A:$C,3,FALSE)</f>
        <v>ハヅル</v>
      </c>
    </row>
    <row r="257" spans="1:2" x14ac:dyDescent="0.15">
      <c r="A257" s="41">
        <v>771</v>
      </c>
      <c r="B257" s="7" t="str">
        <f>VLOOKUP(A257,[1]characters!$A:$C,3,FALSE)</f>
        <v>天織羽鶴 ハヅル</v>
      </c>
    </row>
    <row r="258" spans="1:2" x14ac:dyDescent="0.15">
      <c r="A258" s="41">
        <v>772</v>
      </c>
      <c r="B258" s="7" t="str">
        <f>VLOOKUP(A258,[1]characters!$A:$C,3,FALSE)</f>
        <v>イナバ</v>
      </c>
    </row>
    <row r="259" spans="1:2" x14ac:dyDescent="0.15">
      <c r="A259" s="41">
        <v>773</v>
      </c>
      <c r="B259" s="7" t="str">
        <f>VLOOKUP(A259,[1]characters!$A:$C,3,FALSE)</f>
        <v>浮跳天兎 イナバ</v>
      </c>
    </row>
    <row r="260" spans="1:2" x14ac:dyDescent="0.15">
      <c r="A260" s="41">
        <v>774</v>
      </c>
      <c r="B260" s="7" t="str">
        <f>VLOOKUP(A260,[1]characters!$A:$C,3,FALSE)</f>
        <v>ミズチ</v>
      </c>
    </row>
    <row r="261" spans="1:2" x14ac:dyDescent="0.15">
      <c r="A261" s="41">
        <v>775</v>
      </c>
      <c r="B261" s="7" t="str">
        <f>VLOOKUP(A261,[1]characters!$A:$C,3,FALSE)</f>
        <v>水底霊竜 ミズチ</v>
      </c>
    </row>
    <row r="262" spans="1:2" x14ac:dyDescent="0.15">
      <c r="A262" s="41">
        <v>776</v>
      </c>
      <c r="B262" s="7" t="str">
        <f>VLOOKUP(A262,[1]characters!$A:$C,3,FALSE)</f>
        <v>水竜底主 ミズチ</v>
      </c>
    </row>
    <row r="263" spans="1:2" x14ac:dyDescent="0.15">
      <c r="A263" s="41">
        <v>777</v>
      </c>
      <c r="B263" s="7" t="str">
        <f>VLOOKUP(A263,[1]characters!$A:$C,3,FALSE)</f>
        <v>ガメック</v>
      </c>
    </row>
    <row r="264" spans="1:2" x14ac:dyDescent="0.15">
      <c r="A264" s="41">
        <v>778</v>
      </c>
      <c r="B264" s="7" t="str">
        <f>VLOOKUP(A264,[1]characters!$A:$C,3,FALSE)</f>
        <v>一亀懸明 ガメック</v>
      </c>
    </row>
    <row r="265" spans="1:2" x14ac:dyDescent="0.15">
      <c r="A265" s="41">
        <v>779</v>
      </c>
      <c r="B265" s="7" t="str">
        <f>VLOOKUP(A265,[1]characters!$A:$C,3,FALSE)</f>
        <v>頑堅咬亀 ガメック</v>
      </c>
    </row>
    <row r="266" spans="1:2" x14ac:dyDescent="0.15">
      <c r="A266" s="41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272" sqref="A267:XFD272"/>
    </sheetView>
  </sheetViews>
  <sheetFormatPr baseColWidth="12" defaultRowHeight="14" x14ac:dyDescent="0.15"/>
  <sheetData>
    <row r="1" spans="1:2" x14ac:dyDescent="0.15">
      <c r="A1" s="33" t="s">
        <v>57</v>
      </c>
      <c r="B1" s="33"/>
    </row>
    <row r="2" spans="1:2" x14ac:dyDescent="0.15">
      <c r="A2" s="31" t="s">
        <v>1</v>
      </c>
      <c r="B2" s="32" t="s">
        <v>59</v>
      </c>
    </row>
    <row r="3" spans="1:2" x14ac:dyDescent="0.15">
      <c r="A3" s="6">
        <v>166</v>
      </c>
      <c r="B3" s="32" t="str">
        <f>VLOOKUP(A3,[1]characters!$A:$C,3,FALSE)</f>
        <v>ベリアル</v>
      </c>
    </row>
    <row r="4" spans="1:2" x14ac:dyDescent="0.15">
      <c r="A4" s="6">
        <v>167</v>
      </c>
      <c r="B4" s="32" t="str">
        <f>VLOOKUP(A4,[1]characters!$A:$C,3,FALSE)</f>
        <v>逆徒 ベリアル</v>
      </c>
    </row>
    <row r="5" spans="1:2" x14ac:dyDescent="0.15">
      <c r="A5" s="6">
        <v>168</v>
      </c>
      <c r="B5" s="32" t="str">
        <f>VLOOKUP(A5,[1]characters!$A:$C,3,FALSE)</f>
        <v>猛進の大逆者 ベリアル</v>
      </c>
    </row>
    <row r="6" spans="1:2" x14ac:dyDescent="0.15">
      <c r="A6" s="31">
        <v>169</v>
      </c>
      <c r="B6" s="32" t="str">
        <f>VLOOKUP(A6,[1]characters!$A:$C,3,FALSE)</f>
        <v>オセ</v>
      </c>
    </row>
    <row r="7" spans="1:2" x14ac:dyDescent="0.15">
      <c r="A7" s="31">
        <v>170</v>
      </c>
      <c r="B7" s="32" t="str">
        <f>VLOOKUP(A7,[1]characters!$A:$C,3,FALSE)</f>
        <v>識徒 オセ</v>
      </c>
    </row>
    <row r="8" spans="1:2" x14ac:dyDescent="0.15">
      <c r="A8" s="31">
        <v>171</v>
      </c>
      <c r="B8" s="32" t="str">
        <f>VLOOKUP(A8,[1]characters!$A:$C,3,FALSE)</f>
        <v>精解の預知者 オセ</v>
      </c>
    </row>
    <row r="9" spans="1:2" x14ac:dyDescent="0.15">
      <c r="A9" s="31">
        <v>172</v>
      </c>
      <c r="B9" s="32" t="str">
        <f>VLOOKUP(A9,[1]characters!$A:$C,3,FALSE)</f>
        <v>フォルネウス</v>
      </c>
    </row>
    <row r="10" spans="1:2" x14ac:dyDescent="0.15">
      <c r="A10" s="31">
        <v>173</v>
      </c>
      <c r="B10" s="32" t="str">
        <f>VLOOKUP(A10,[1]characters!$A:$C,3,FALSE)</f>
        <v>公爵 フォルネウス</v>
      </c>
    </row>
    <row r="11" spans="1:2" x14ac:dyDescent="0.15">
      <c r="A11" s="31">
        <v>174</v>
      </c>
      <c r="B11" s="32" t="str">
        <f>VLOOKUP(A11,[1]characters!$A:$C,3,FALSE)</f>
        <v>偽愛の大公爵 フォルネウス</v>
      </c>
    </row>
    <row r="12" spans="1:2" x14ac:dyDescent="0.15">
      <c r="A12" s="31">
        <v>235</v>
      </c>
      <c r="B12" s="32" t="str">
        <f>VLOOKUP(A12,[1]characters!$A:$C,3,FALSE)</f>
        <v>イザナミ</v>
      </c>
    </row>
    <row r="13" spans="1:2" x14ac:dyDescent="0.15">
      <c r="A13" s="31">
        <v>236</v>
      </c>
      <c r="B13" s="32" t="str">
        <f>VLOOKUP(A13,[1]characters!$A:$C,3,FALSE)</f>
        <v>神産 イザナミ</v>
      </c>
    </row>
    <row r="14" spans="1:2" x14ac:dyDescent="0.15">
      <c r="A14" s="31">
        <v>237</v>
      </c>
      <c r="B14" s="32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output</vt:lpstr>
      <vt:lpstr>tables_7334</vt:lpstr>
      <vt:lpstr>tables_7335</vt:lpstr>
      <vt:lpstr>tables_7336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2017-05-17T11:53:05Z</dcterms:modified>
</cp:coreProperties>
</file>