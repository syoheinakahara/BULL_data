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5380" yWindow="2520" windowWidth="28140" windowHeight="1654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sets" sheetId="9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5" hidden="1">enemy_skill_sets!$A$1:$R$1</definedName>
    <definedName name="_xlnm._FilterDatabase" localSheetId="6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5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0" l="1"/>
  <c r="H13" i="10"/>
  <c r="I13" i="10"/>
  <c r="J13" i="10"/>
  <c r="K13" i="10"/>
  <c r="L13" i="10"/>
  <c r="M13" i="10"/>
  <c r="M24" i="10"/>
  <c r="S33" i="10"/>
  <c r="N24" i="10"/>
  <c r="Q24" i="10"/>
  <c r="P24" i="10"/>
  <c r="R24" i="10"/>
  <c r="O24" i="10"/>
  <c r="S24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J13" i="11"/>
  <c r="A13" i="9"/>
  <c r="D13" i="9"/>
  <c r="E13" i="9"/>
  <c r="G13" i="9"/>
  <c r="H13" i="9"/>
  <c r="I13" i="9"/>
  <c r="J13" i="9"/>
  <c r="K13" i="9"/>
  <c r="L13" i="9"/>
  <c r="M13" i="9"/>
  <c r="N13" i="9"/>
  <c r="O13" i="9"/>
  <c r="J7" i="11"/>
  <c r="A7" i="9"/>
  <c r="D7" i="9"/>
  <c r="E7" i="9"/>
  <c r="G7" i="9"/>
  <c r="H7" i="9"/>
  <c r="I7" i="9"/>
  <c r="J7" i="9"/>
  <c r="K7" i="9"/>
  <c r="L7" i="9"/>
  <c r="M7" i="9"/>
  <c r="N7" i="9"/>
  <c r="O7" i="9"/>
  <c r="G7" i="10"/>
  <c r="H7" i="10"/>
  <c r="I7" i="10"/>
  <c r="J7" i="10"/>
  <c r="K7" i="10"/>
  <c r="L7" i="10"/>
  <c r="M7" i="10"/>
  <c r="M19" i="10"/>
  <c r="M29" i="10"/>
  <c r="N29" i="10"/>
  <c r="Q29" i="10"/>
  <c r="P29" i="10"/>
  <c r="R29" i="10"/>
  <c r="O29" i="10"/>
  <c r="S29" i="10"/>
  <c r="N19" i="10"/>
  <c r="Q19" i="10"/>
  <c r="P19" i="10"/>
  <c r="R19" i="10"/>
  <c r="O19" i="10"/>
  <c r="S19" i="10"/>
  <c r="N7" i="10"/>
  <c r="O7" i="10"/>
  <c r="P7" i="10"/>
  <c r="Q7" i="10"/>
  <c r="R7" i="10"/>
  <c r="S7" i="10"/>
  <c r="T7" i="10"/>
  <c r="U7" i="10"/>
  <c r="V7" i="10"/>
  <c r="W7" i="10"/>
  <c r="X7" i="10"/>
  <c r="Y7" i="10"/>
  <c r="C7" i="18"/>
  <c r="D7" i="18"/>
  <c r="C8" i="18"/>
  <c r="D8" i="18"/>
  <c r="C6" i="21"/>
  <c r="D6" i="21"/>
  <c r="F6" i="21"/>
  <c r="G6" i="21"/>
  <c r="I6" i="21"/>
  <c r="J6" i="21"/>
  <c r="C7" i="21"/>
  <c r="D7" i="21"/>
  <c r="F7" i="21"/>
  <c r="G7" i="21"/>
  <c r="I7" i="21"/>
  <c r="J7" i="21"/>
  <c r="C5" i="21"/>
  <c r="D5" i="21"/>
  <c r="F5" i="21"/>
  <c r="G5" i="21"/>
  <c r="I5" i="21"/>
  <c r="J5" i="21"/>
  <c r="C3" i="21"/>
  <c r="D3" i="21"/>
  <c r="F3" i="21"/>
  <c r="G3" i="21"/>
  <c r="I3" i="21"/>
  <c r="J3" i="21"/>
  <c r="C4" i="21"/>
  <c r="D4" i="21"/>
  <c r="F4" i="21"/>
  <c r="G4" i="21"/>
  <c r="I4" i="21"/>
  <c r="J4" i="21"/>
  <c r="M20" i="10"/>
  <c r="N20" i="10"/>
  <c r="Q20" i="10"/>
  <c r="P20" i="10"/>
  <c r="R20" i="10"/>
  <c r="O20" i="10"/>
  <c r="S20" i="10"/>
  <c r="J9" i="11"/>
  <c r="J10" i="11"/>
  <c r="A10" i="9"/>
  <c r="D10" i="9"/>
  <c r="E10" i="9"/>
  <c r="G10" i="9"/>
  <c r="H10" i="9"/>
  <c r="I10" i="9"/>
  <c r="J10" i="9"/>
  <c r="K10" i="9"/>
  <c r="L10" i="9"/>
  <c r="M10" i="9"/>
  <c r="N10" i="9"/>
  <c r="O10" i="9"/>
  <c r="G11" i="10"/>
  <c r="H11" i="10"/>
  <c r="I11" i="10"/>
  <c r="J11" i="10"/>
  <c r="K11" i="10"/>
  <c r="L11" i="10"/>
  <c r="M11" i="10"/>
  <c r="M22" i="10"/>
  <c r="M31" i="10"/>
  <c r="N31" i="10"/>
  <c r="Q31" i="10"/>
  <c r="P31" i="10"/>
  <c r="R31" i="10"/>
  <c r="O31" i="10"/>
  <c r="S31" i="10"/>
  <c r="N22" i="10"/>
  <c r="Q22" i="10"/>
  <c r="P22" i="10"/>
  <c r="R22" i="10"/>
  <c r="O22" i="10"/>
  <c r="S22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C3" i="18"/>
  <c r="D3" i="18"/>
  <c r="C4" i="18"/>
  <c r="D4" i="18"/>
  <c r="C5" i="18"/>
  <c r="D5" i="18"/>
  <c r="C6" i="18"/>
  <c r="D6" i="18"/>
  <c r="A3" i="22"/>
  <c r="C3" i="22"/>
  <c r="D3" i="22"/>
  <c r="F3" i="22"/>
  <c r="G3" i="22"/>
  <c r="N3" i="22"/>
  <c r="J35" i="11"/>
  <c r="J36" i="11"/>
  <c r="J37" i="11"/>
  <c r="J33" i="11"/>
  <c r="J34" i="11"/>
  <c r="J32" i="11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T33" i="10"/>
  <c r="U33" i="10"/>
  <c r="V33" i="10"/>
  <c r="W33" i="10"/>
  <c r="X33" i="10"/>
  <c r="Y33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J3" i="11"/>
  <c r="A3" i="9"/>
  <c r="D3" i="9"/>
  <c r="E3" i="9"/>
  <c r="G3" i="9"/>
  <c r="H3" i="9"/>
  <c r="I3" i="9"/>
  <c r="J3" i="9"/>
  <c r="K3" i="9"/>
  <c r="L3" i="9"/>
  <c r="M3" i="9"/>
  <c r="N3" i="9"/>
  <c r="O3" i="9"/>
  <c r="G3" i="10"/>
  <c r="H3" i="10"/>
  <c r="I3" i="10"/>
  <c r="J3" i="10"/>
  <c r="K3" i="10"/>
  <c r="L3" i="10"/>
  <c r="M3" i="10"/>
  <c r="M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3" i="10"/>
  <c r="O3" i="10"/>
  <c r="P3" i="10"/>
  <c r="Q3" i="10"/>
  <c r="R3" i="10"/>
  <c r="S3" i="10"/>
  <c r="T3" i="10"/>
  <c r="U3" i="10"/>
  <c r="V3" i="10"/>
  <c r="W3" i="10"/>
  <c r="X3" i="10"/>
  <c r="Y3" i="10"/>
  <c r="G2" i="10"/>
  <c r="H2" i="10"/>
  <c r="I2" i="10"/>
  <c r="J2" i="10"/>
  <c r="K2" i="10"/>
  <c r="L2" i="10"/>
  <c r="M2" i="10"/>
  <c r="M15" i="10"/>
  <c r="N15" i="10"/>
  <c r="Q15" i="10"/>
  <c r="P15" i="10"/>
  <c r="R15" i="10"/>
  <c r="O15" i="10"/>
  <c r="S15" i="10"/>
  <c r="N2" i="10"/>
  <c r="O2" i="10"/>
  <c r="P2" i="10"/>
  <c r="Q2" i="10"/>
  <c r="R2" i="10"/>
  <c r="S2" i="10"/>
  <c r="T2" i="10"/>
  <c r="U2" i="10"/>
  <c r="V2" i="10"/>
  <c r="W2" i="10"/>
  <c r="X2" i="10"/>
  <c r="Y2" i="10"/>
  <c r="J31" i="11"/>
  <c r="J4" i="11"/>
  <c r="J5" i="11"/>
  <c r="J6" i="11"/>
  <c r="J8" i="11"/>
  <c r="J11" i="11"/>
  <c r="J12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A31" i="9"/>
  <c r="D31" i="9"/>
  <c r="E31" i="9"/>
  <c r="G31" i="9"/>
  <c r="H31" i="9"/>
  <c r="I31" i="9"/>
  <c r="J31" i="9"/>
  <c r="K31" i="9"/>
  <c r="L31" i="9"/>
  <c r="M31" i="9"/>
  <c r="N31" i="9"/>
  <c r="O31" i="9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6" i="10"/>
  <c r="O6" i="10"/>
  <c r="P6" i="10"/>
  <c r="Q6" i="10"/>
  <c r="R6" i="10"/>
  <c r="S6" i="10"/>
  <c r="T6" i="10"/>
  <c r="U6" i="10"/>
  <c r="V6" i="10"/>
  <c r="W6" i="10"/>
  <c r="X6" i="10"/>
  <c r="Y6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1" i="10"/>
  <c r="N21" i="10"/>
  <c r="Q21" i="10"/>
  <c r="P21" i="10"/>
  <c r="R21" i="10"/>
  <c r="O21" i="10"/>
  <c r="S21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2" i="10"/>
  <c r="H12" i="10"/>
  <c r="I12" i="10"/>
  <c r="J12" i="10"/>
  <c r="K12" i="10"/>
  <c r="L12" i="10"/>
  <c r="M12" i="10"/>
  <c r="M23" i="10"/>
  <c r="N23" i="10"/>
  <c r="Q23" i="10"/>
  <c r="P23" i="10"/>
  <c r="R23" i="10"/>
  <c r="O23" i="10"/>
  <c r="S23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G7" i="2"/>
  <c r="A7" i="2"/>
  <c r="H2" i="1"/>
  <c r="H3" i="1"/>
  <c r="H4" i="1"/>
  <c r="H5" i="1"/>
  <c r="H6" i="1"/>
  <c r="H7" i="1"/>
  <c r="H8" i="1"/>
  <c r="H9" i="1"/>
  <c r="H10" i="1"/>
  <c r="H11" i="1"/>
  <c r="H12" i="1"/>
  <c r="H13" i="1"/>
  <c r="B7" i="2"/>
  <c r="D7" i="2"/>
  <c r="E7" i="2"/>
  <c r="H7" i="2"/>
  <c r="G3" i="2"/>
  <c r="A3" i="2"/>
  <c r="B3" i="2"/>
  <c r="D3" i="2"/>
  <c r="E3" i="2"/>
  <c r="H3" i="2"/>
  <c r="G4" i="2"/>
  <c r="A4" i="2"/>
  <c r="B4" i="2"/>
  <c r="D4" i="2"/>
  <c r="E4" i="2"/>
  <c r="H4" i="2"/>
  <c r="G5" i="2"/>
  <c r="A5" i="2"/>
  <c r="B5" i="2"/>
  <c r="D5" i="2"/>
  <c r="E5" i="2"/>
  <c r="H5" i="2"/>
  <c r="G6" i="2"/>
  <c r="A6" i="2"/>
  <c r="B6" i="2"/>
  <c r="D6" i="2"/>
  <c r="E6" i="2"/>
  <c r="H6" i="2"/>
  <c r="A13" i="1"/>
  <c r="D13" i="1"/>
  <c r="E13" i="1"/>
  <c r="F13" i="1"/>
  <c r="G2" i="2"/>
  <c r="A2" i="2"/>
  <c r="I13" i="1"/>
  <c r="J13" i="1"/>
  <c r="M13" i="1"/>
  <c r="N13" i="1"/>
  <c r="O13" i="1"/>
  <c r="P13" i="1"/>
  <c r="Q13" i="1"/>
  <c r="T13" i="1"/>
  <c r="V13" i="1"/>
  <c r="X13" i="1"/>
  <c r="AD13" i="1"/>
  <c r="AE13" i="1"/>
  <c r="AF13" i="1"/>
  <c r="AG13" i="1"/>
  <c r="AI13" i="1"/>
  <c r="A3" i="1"/>
  <c r="D3" i="1"/>
  <c r="E3" i="1"/>
  <c r="F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4" i="1"/>
  <c r="D4" i="1"/>
  <c r="E4" i="1"/>
  <c r="F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5" i="1"/>
  <c r="D5" i="1"/>
  <c r="E5" i="1"/>
  <c r="F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C6" i="1"/>
  <c r="A6" i="1"/>
  <c r="D6" i="1"/>
  <c r="E6" i="1"/>
  <c r="F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C7" i="1"/>
  <c r="A7" i="1"/>
  <c r="D7" i="1"/>
  <c r="E7" i="1"/>
  <c r="F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A8" i="1"/>
  <c r="D8" i="1"/>
  <c r="E8" i="1"/>
  <c r="F8" i="1"/>
  <c r="I8" i="1"/>
  <c r="J8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A9" i="1"/>
  <c r="D9" i="1"/>
  <c r="E9" i="1"/>
  <c r="F9" i="1"/>
  <c r="I9" i="1"/>
  <c r="J9" i="1"/>
  <c r="M9" i="1"/>
  <c r="N9" i="1"/>
  <c r="O9" i="1"/>
  <c r="P9" i="1"/>
  <c r="Q9" i="1"/>
  <c r="T9" i="1"/>
  <c r="V9" i="1"/>
  <c r="X9" i="1"/>
  <c r="AD9" i="1"/>
  <c r="AE9" i="1"/>
  <c r="AF9" i="1"/>
  <c r="AG9" i="1"/>
  <c r="AI9" i="1"/>
  <c r="A10" i="1"/>
  <c r="D10" i="1"/>
  <c r="E10" i="1"/>
  <c r="F10" i="1"/>
  <c r="I10" i="1"/>
  <c r="J10" i="1"/>
  <c r="M10" i="1"/>
  <c r="N10" i="1"/>
  <c r="O10" i="1"/>
  <c r="P10" i="1"/>
  <c r="Q10" i="1"/>
  <c r="T10" i="1"/>
  <c r="V10" i="1"/>
  <c r="X10" i="1"/>
  <c r="AD10" i="1"/>
  <c r="AE10" i="1"/>
  <c r="AF10" i="1"/>
  <c r="AG10" i="1"/>
  <c r="AI10" i="1"/>
  <c r="A11" i="1"/>
  <c r="D11" i="1"/>
  <c r="E11" i="1"/>
  <c r="F11" i="1"/>
  <c r="I11" i="1"/>
  <c r="J11" i="1"/>
  <c r="M11" i="1"/>
  <c r="N11" i="1"/>
  <c r="O11" i="1"/>
  <c r="P11" i="1"/>
  <c r="Q11" i="1"/>
  <c r="T11" i="1"/>
  <c r="V11" i="1"/>
  <c r="X11" i="1"/>
  <c r="AD11" i="1"/>
  <c r="AE11" i="1"/>
  <c r="AF11" i="1"/>
  <c r="AG11" i="1"/>
  <c r="AI11" i="1"/>
  <c r="A12" i="1"/>
  <c r="D12" i="1"/>
  <c r="E12" i="1"/>
  <c r="F12" i="1"/>
  <c r="I12" i="1"/>
  <c r="J12" i="1"/>
  <c r="M12" i="1"/>
  <c r="N12" i="1"/>
  <c r="O12" i="1"/>
  <c r="P12" i="1"/>
  <c r="Q12" i="1"/>
  <c r="T12" i="1"/>
  <c r="V12" i="1"/>
  <c r="X12" i="1"/>
  <c r="AD12" i="1"/>
  <c r="AE12" i="1"/>
  <c r="AF12" i="1"/>
  <c r="AG12" i="1"/>
  <c r="AI12" i="1"/>
  <c r="W2" i="7"/>
  <c r="U2" i="7"/>
  <c r="V2" i="1"/>
  <c r="T2" i="1"/>
  <c r="N2" i="22"/>
  <c r="G2" i="22"/>
  <c r="F2" i="22"/>
  <c r="D2" i="22"/>
  <c r="C2" i="22"/>
  <c r="A2" i="22"/>
  <c r="E13" i="16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E9" i="16"/>
  <c r="Y2" i="7"/>
  <c r="R2" i="7"/>
  <c r="Q2" i="7"/>
  <c r="P2" i="7"/>
  <c r="O2" i="7"/>
  <c r="N2" i="7"/>
  <c r="AD2" i="1"/>
  <c r="AG2" i="1"/>
  <c r="AF2" i="1"/>
  <c r="AE2" i="1"/>
  <c r="AC2" i="1"/>
  <c r="X2" i="1"/>
  <c r="Q2" i="1"/>
  <c r="P2" i="1"/>
  <c r="O2" i="1"/>
  <c r="N2" i="1"/>
  <c r="M2" i="1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<sst xmlns="http://schemas.openxmlformats.org/spreadsheetml/2006/main" count="744" uniqueCount="374">
  <si>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</si>
  <si>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</si>
  <si>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</si>
  <si>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</si>
  <si>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</si>
  <si>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</si>
  <si>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</si>
  <si>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</si>
  <si>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</si>
  <si>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</si>
  <si>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</si>
  <si>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</si>
  <si>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</si>
  <si>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</si>
  <si>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</si>
  <si>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</si>
  <si>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</si>
  <si>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</si>
  <si>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</si>
  <si>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</si>
  <si>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</si>
  <si>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</si>
  <si>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</si>
  <si>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</si>
  <si>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</si>
  <si>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</si>
  <si>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</si>
  <si>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</si>
  <si>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</si>
  <si>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</si>
  <si>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</si>
  <si>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</si>
  <si>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</si>
  <si>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</si>
  <si>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</si>
  <si>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</si>
  <si>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</si>
  <si>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</si>
  <si>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</si>
  <si>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</si>
  <si>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</si>
  <si>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</si>
  <si>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</si>
  <si>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</si>
  <si>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</si>
  <si>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</si>
  <si>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</si>
  <si>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</si>
  <si>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</si>
  <si>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</si>
  <si>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</si>
  <si>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</si>
  <si>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</si>
  <si>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</si>
  <si>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</si>
  <si>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</si>
  <si>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</si>
  <si>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</si>
  <si>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</si>
  <si>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</si>
  <si>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</si>
  <si>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</si>
  <si>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</si>
  <si>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</si>
  <si>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</si>
  <si>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</si>
  <si>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</si>
  <si>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</si>
  <si>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</si>
  <si>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</si>
  <si>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</si>
  <si>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</si>
  <si>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</si>
  <si>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</si>
  <si>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</si>
  <si>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</si>
  <si>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</si>
  <si>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</si>
  <si>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</si>
  <si>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</si>
  <si>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</si>
  <si>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</si>
  <si>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</si>
  <si>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</si>
  <si>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</si>
  <si>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</si>
  <si>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</si>
  <si>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</si>
  <si>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</si>
  <si>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</si>
  <si>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</si>
  <si>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</si>
  <si>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</si>
  <si>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</si>
  <si>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</si>
  <si>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</si>
  <si>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</si>
  <si>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</si>
  <si>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</si>
  <si>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</si>
  <si>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</si>
  <si>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</si>
  <si>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</si>
  <si>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</si>
  <si>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</si>
  <si>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</si>
  <si>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</si>
  <si>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</si>
  <si>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</si>
  <si>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</si>
  <si>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</si>
  <si>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</si>
  <si>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</si>
  <si>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</si>
  <si>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</si>
  <si>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</si>
  <si>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</si>
  <si>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</si>
  <si>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</si>
  <si>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</si>
  <si>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</si>
  <si>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</si>
  <si>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</si>
  <si>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</si>
  <si>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</si>
  <si>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</si>
  <si>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</si>
  <si>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</si>
  <si>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</si>
  <si>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</si>
  <si>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</si>
  <si>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</si>
  <si>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</si>
  <si>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</si>
  <si>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</si>
  <si>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</si>
  <si>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</si>
  <si>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</si>
  <si>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</si>
  <si>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</si>
  <si>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</si>
  <si>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</si>
  <si>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</si>
  <si>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</si>
  <si>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</si>
  <si>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</si>
  <si>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</si>
  <si>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</si>
  <si>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</si>
  <si>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</si>
  <si>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</si>
  <si>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</si>
  <si>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</si>
  <si>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</si>
  <si>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</si>
  <si>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</si>
  <si>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</si>
  <si>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</si>
  <si>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</si>
  <si>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</si>
  <si>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</si>
  <si>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</si>
  <si>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</si>
  <si>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</si>
  <si>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</si>
  <si>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</si>
  <si>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</si>
  <si>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</si>
  <si>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</si>
  <si>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</si>
  <si>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</si>
  <si>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</si>
  <si>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</si>
  <si>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</si>
  <si>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</si>
  <si>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</si>
  <si>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</si>
  <si>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</si>
  <si>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</si>
  <si>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</si>
  <si>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</si>
  <si>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</si>
  <si>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</si>
  <si>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</si>
  <si>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</si>
  <si>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</si>
  <si>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</si>
  <si>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</si>
  <si>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</si>
  <si>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</si>
  <si>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</si>
  <si>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</si>
  <si>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</si>
  <si>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</si>
  <si>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</si>
  <si>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</si>
  <si>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</si>
  <si>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</si>
  <si>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</si>
  <si>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</si>
  <si>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</si>
  <si>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</si>
  <si>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</si>
  <si>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</si>
  <si>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</si>
  <si>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</si>
  <si>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</si>
  <si>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</si>
  <si>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</si>
  <si>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</si>
  <si>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</si>
  <si>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</si>
  <si>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</si>
  <si>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</si>
  <si>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</si>
  <si>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</si>
  <si>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</si>
  <si>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</si>
  <si>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</si>
  <si>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</si>
  <si>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</si>
  <si>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</si>
  <si>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</si>
  <si>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</si>
  <si>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</si>
  <si>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</si>
  <si>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</si>
  <si>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</si>
  <si>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</si>
  <si>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</si>
  <si>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</si>
  <si>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</si>
  <si>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</si>
  <si>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</si>
  <si>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</si>
  <si>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</si>
  <si>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</si>
  <si>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</si>
  <si>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</si>
  <si>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</si>
  <si>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</si>
  <si>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</si>
  <si>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</si>
  <si>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</si>
  <si>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</si>
  <si>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</si>
  <si>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</si>
  <si>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</si>
  <si>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</si>
  <si>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</si>
  <si>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</si>
  <si>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</si>
  <si>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</si>
  <si>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</si>
  <si>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</si>
  <si>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全体攻撃</t>
    <phoneticPr fontId="5"/>
  </si>
  <si>
    <t>クリティカル！</t>
    <phoneticPr fontId="5"/>
  </si>
  <si>
    <t>1ターンスキルバインド</t>
    <phoneticPr fontId="5"/>
  </si>
  <si>
    <t>全体攻撃</t>
    <phoneticPr fontId="5"/>
  </si>
  <si>
    <t>[effect:critical, val:1.5, animation:enemy_critical]</t>
    <phoneticPr fontId="5"/>
  </si>
  <si>
    <t>[effect:rush, count:3, val:0.34]</t>
    <phoneticPr fontId="5"/>
  </si>
  <si>
    <t>[effect:rush, count:3, val:0.34]</t>
    <phoneticPr fontId="5"/>
  </si>
  <si>
    <t>[effect:enemy_resurrection, target:id_41, val:1, rate:1, animation:enemy_resurrection]</t>
    <phoneticPr fontId="5"/>
  </si>
  <si>
    <t>[effect:hungup, target:unit_all, turn:1, rate:1, animation:hungup01],[effect:rush, count:3, val:0.33]</t>
    <phoneticPr fontId="5"/>
  </si>
  <si>
    <t>[effect:critical, val:1.4, animation:enemy_critical]</t>
    <phoneticPr fontId="5"/>
  </si>
  <si>
    <t>[effect:critical, val:1.8, animation:enemy_critical]</t>
    <phoneticPr fontId="5"/>
  </si>
  <si>
    <t>[effect:spread, val:0.25]</t>
    <phoneticPr fontId="5"/>
  </si>
  <si>
    <t>[effect:spread, val:0.28]</t>
    <phoneticPr fontId="5"/>
  </si>
  <si>
    <t>null</t>
    <phoneticPr fontId="5"/>
  </si>
  <si>
    <t>old</t>
  </si>
  <si>
    <t>.</t>
    <phoneticPr fontId="5"/>
  </si>
  <si>
    <t>null</t>
    <phoneticPr fontId="5"/>
  </si>
  <si>
    <t>[effect:degrade_fever, val:1000, animation:fevergauge_down]</t>
    <phoneticPr fontId="5"/>
  </si>
  <si>
    <t>4回連続攻撃</t>
    <phoneticPr fontId="5"/>
  </si>
  <si>
    <t>null</t>
    <phoneticPr fontId="5"/>
  </si>
  <si>
    <t>full_member</t>
    <phoneticPr fontId="5"/>
  </si>
  <si>
    <t>unit</t>
  </si>
  <si>
    <t>ローリング体当たり</t>
    <phoneticPr fontId="5"/>
  </si>
  <si>
    <t>ファイヤーボール</t>
    <phoneticPr fontId="5"/>
  </si>
  <si>
    <t>高ぶるエチュード</t>
    <phoneticPr fontId="5"/>
  </si>
  <si>
    <t>情熱のエチュード</t>
    <phoneticPr fontId="5"/>
  </si>
  <si>
    <t>マーチの番だよ！</t>
    <phoneticPr fontId="5"/>
  </si>
  <si>
    <t>正解だぜ！</t>
    <phoneticPr fontId="5"/>
  </si>
  <si>
    <t>KOイリュージョン！</t>
    <phoneticPr fontId="5"/>
  </si>
  <si>
    <t>…シッポデショウブ！！</t>
    <phoneticPr fontId="5"/>
  </si>
  <si>
    <t>もふもふラ〜ッシュ！</t>
    <phoneticPr fontId="5"/>
  </si>
  <si>
    <t>妨害プログラム</t>
    <phoneticPr fontId="5"/>
  </si>
  <si>
    <t>スキありでござる！</t>
    <phoneticPr fontId="5"/>
  </si>
  <si>
    <t>勝負はまだこれからでござる！！</t>
    <phoneticPr fontId="5"/>
  </si>
  <si>
    <t>こいこいでござる！</t>
    <phoneticPr fontId="5"/>
  </si>
  <si>
    <t>残念！ハズレだよん</t>
    <phoneticPr fontId="5"/>
  </si>
  <si>
    <t>あら？間違っちゃったかー</t>
    <phoneticPr fontId="5"/>
  </si>
  <si>
    <t>疾風迅雷！！</t>
    <phoneticPr fontId="5"/>
  </si>
  <si>
    <t>百花繚乱！！</t>
    <phoneticPr fontId="5"/>
  </si>
  <si>
    <t>ここ掘れワンワン</t>
    <phoneticPr fontId="5"/>
  </si>
  <si>
    <t>HP100%で復活</t>
    <phoneticPr fontId="5"/>
  </si>
  <si>
    <t>3回連続攻撃</t>
    <phoneticPr fontId="5"/>
  </si>
  <si>
    <t>HP100%で復活</t>
    <phoneticPr fontId="5"/>
  </si>
  <si>
    <t>3回連続攻撃+1ターンスキルバインド</t>
    <phoneticPr fontId="5"/>
  </si>
  <si>
    <t>しっぽビンタ</t>
    <phoneticPr fontId="5"/>
  </si>
  <si>
    <t>敵全体の行動頻度UP</t>
    <phoneticPr fontId="5"/>
  </si>
  <si>
    <t>HP100%で復活</t>
    <phoneticPr fontId="5"/>
  </si>
  <si>
    <t>クリティカル！</t>
    <phoneticPr fontId="5"/>
  </si>
  <si>
    <t>HP100%で復活</t>
    <phoneticPr fontId="5"/>
  </si>
  <si>
    <t>ワオーーーン！</t>
    <phoneticPr fontId="5"/>
  </si>
  <si>
    <t>フィーバーゲージ減少</t>
    <phoneticPr fontId="5"/>
  </si>
  <si>
    <t>状態異常耐性+フィーバーゲージ減少</t>
    <phoneticPr fontId="5"/>
  </si>
  <si>
    <t>状態異常耐性+フィーバーゲージ減少+
1ターン暗闇</t>
    <phoneticPr fontId="5"/>
  </si>
  <si>
    <t>黄パネルとハートパネルを吸収して攻撃(最大15個)</t>
    <phoneticPr fontId="5"/>
  </si>
  <si>
    <t>黄パネルを吸収して攻撃(最大15個)+
Cパネルプロテクト(最大5個)</t>
    <phoneticPr fontId="5"/>
  </si>
  <si>
    <t>緑パネル吸収して攻撃(最大7個)+
Cパネルプロテクト(最大1個)</t>
    <phoneticPr fontId="5"/>
  </si>
  <si>
    <t>リー、リリー！</t>
    <phoneticPr fontId="5"/>
  </si>
  <si>
    <t>勘兵衛と勝負？</t>
    <phoneticPr fontId="5"/>
  </si>
  <si>
    <t>せ、正解です！</t>
    <phoneticPr fontId="5"/>
  </si>
  <si>
    <t>ひとつ手合わせ願おう</t>
    <phoneticPr fontId="5"/>
  </si>
  <si>
    <t>勘兵衛の2ゲージ目は強力な黄パネルと
ハートパネル吸収攻撃を使用します
吸収するパネルを残しすぎないように
注意しましょう</t>
    <phoneticPr fontId="5"/>
  </si>
  <si>
    <t>勝負に勝つためには
謎のメッセージに則って戦う必要があります
干支の順に相手を倒しましょう</t>
    <phoneticPr fontId="5"/>
  </si>
  <si>
    <t>このフロアは短期決戦で決めましょう
攻撃する相手を見定めて
タップでロックオンしてから
フィーバーで倒しましょう</t>
    <phoneticPr fontId="5"/>
  </si>
  <si>
    <t>宴のトレンド</t>
    <phoneticPr fontId="5"/>
  </si>
  <si>
    <t>宴の開催を示唆する謎のメッセージは
年の瀬が近づくと毎年のようにとどきます
その度にアバターが集い
楽しく賑わっているようです</t>
    <phoneticPr fontId="5"/>
  </si>
  <si>
    <t>敗北した勘兵衛は満足そうな顔をしながらも
修行の旅に出ることを決意しました
困ったときは戦友として
力を貸してくれるでしょう</t>
    <phoneticPr fontId="5"/>
  </si>
  <si>
    <t>勘兵衛の敗北</t>
    <phoneticPr fontId="5"/>
  </si>
  <si>
    <t>恒例行事</t>
    <phoneticPr fontId="5"/>
  </si>
  <si>
    <t>もしかして何か知ってるのかい？
【全属性ダメージ軽減解除】</t>
    <phoneticPr fontId="5"/>
  </si>
  <si>
    <t>(負けを認めて応援しているようだ)
【全ユニットの攻撃力UP】</t>
    <phoneticPr fontId="5"/>
  </si>
  <si>
    <t>[effect:enemy_message, val1:1.1, val2:2.8],[effect:reduction, target:myself, color:all, turn:-1, val:0, animation:reduction_one01]</t>
    <phoneticPr fontId="5"/>
  </si>
  <si>
    <t>[effect:enemy_message, val1:1.1, val2:2],[effect:force_change_block, new_block:time_bomb, target:block_all, ignore01:crash, ignore02:crack_bomb, ignore03:time_bomb, ignore04:color_break, color:block_blue, count:10, val:0.2, min_time_count:2, max_time_count:3, animation:change_block]</t>
    <phoneticPr fontId="5"/>
  </si>
  <si>
    <t>[effect:enemy_message, val1:1.8, val2:2.6],[effect:tolerance, target:myself, turn:-1, count:-1, tolerance_effect:all, animation:enemy_tolerance],[effect:degrade_fever, val:450, animation:fevergauge_down],[effect:dark, target:unit_all, turn:1, animation:enemy_dark]</t>
    <phoneticPr fontId="5"/>
  </si>
  <si>
    <t>降参しても良いぞ？</t>
    <phoneticPr fontId="5"/>
  </si>
  <si>
    <t>判断を誤ってしまったか</t>
    <phoneticPr fontId="5"/>
  </si>
  <si>
    <t>[effect:enemy_message, val1:1.2, val2:1.8],[effect:enemy_resurrection, target:id_25, val:1, rate:1, animation:enemy_resurrection]</t>
    <phoneticPr fontId="5"/>
  </si>
  <si>
    <t>[effect:enemy_message, val1:1.2, val2:1.8],[effect:enemy_resurrection, target:id_671, val:1, rate:1, animation:enemy_resurrection]</t>
    <phoneticPr fontId="5"/>
  </si>
  <si>
    <t>[effect:enemy_message, val1:1.1, val2:1.8],[effect:rush, count:4, val:0.3]</t>
    <phoneticPr fontId="5"/>
  </si>
  <si>
    <t>勘兵衛さんは強いですよ？</t>
    <phoneticPr fontId="5"/>
  </si>
  <si>
    <t>[effect:enemy_message, val1:1.4, val2:1.8],[effect:fix_speed, target:enemy_all, turn:1]</t>
    <phoneticPr fontId="5"/>
  </si>
  <si>
    <t>シュルル…ハズレダヨ…</t>
    <phoneticPr fontId="5"/>
  </si>
  <si>
    <t>勘兵衛さんに勝てるかもしれませんね
【全ユニットの攻撃力UP】</t>
    <phoneticPr fontId="5"/>
  </si>
  <si>
    <t>もしかしたら、</t>
    <phoneticPr fontId="5"/>
  </si>
  <si>
    <t>黒焦げになるがいい！</t>
    <phoneticPr fontId="5"/>
  </si>
  <si>
    <t>さあ、力比べだ！</t>
    <phoneticPr fontId="5"/>
  </si>
  <si>
    <t>正解だ！</t>
    <phoneticPr fontId="5"/>
  </si>
  <si>
    <t>次はお前か…</t>
    <phoneticPr fontId="5"/>
  </si>
  <si>
    <t>よく見抜いたな</t>
    <phoneticPr fontId="5"/>
  </si>
  <si>
    <t>仕方ない、通してやるよ
【全ユニットの攻撃力UP】</t>
    <phoneticPr fontId="5"/>
  </si>
  <si>
    <t>お前なら勘兵衛に勝てそうだな…
【全属性ダメージ軽減解除+】
【全ユニットのスキルゲージを4ターン減少】</t>
    <phoneticPr fontId="5"/>
  </si>
  <si>
    <t>[effect:enemy_message, val1:1.1, val2:1.8],[effect:tolerance, target:myself, turn:-1, count:-1, tolerance_effect:all, animation:enemy_tolerance],[effect:degrade_fever, val:400, animation:fevergauge_down]</t>
    <phoneticPr fontId="5"/>
  </si>
  <si>
    <t>[effect:enemy_message, val1:1.1, val2:3.6],[effect:reduction, target:myself, color:all, turn:-1, val:0, animation:reduction_one01],[effect:sp_boost, target:unit_all, val:4, animation:sp_boost_one02]</t>
    <phoneticPr fontId="5"/>
  </si>
  <si>
    <t>[effect:enemy_message, val1:1.1, val2:2.4],[effect:break_attack_fix, target:unit_one, val:870, lowest_val:8110, count:15, color:yellow, block01:block_yellow],[effect:panel_freeze, target:crash, count:5]</t>
    <phoneticPr fontId="5"/>
  </si>
  <si>
    <t>[effect:enemy_message, val1:1.1, val2:2.4],[effect:break_attack_fix, target:unit_one, val:726, lowest_val:7110, count:15, color:yellow, block01:block_yellow, block02:block_heart]</t>
    <phoneticPr fontId="5"/>
  </si>
  <si>
    <t>[effect:enemy_message, val1:1, val2:2.6],[effect:break_attack_fix, target:unit_one, val:1600, lowest_val:6000, count:7, color:yellow, block01:block_green],[effect:panel_freeze, target:crash, count:1]</t>
    <phoneticPr fontId="5"/>
  </si>
  <si>
    <t>次に進んでくれ！
【フィーバーゲージMAX】</t>
    <phoneticPr fontId="5"/>
  </si>
  <si>
    <t>[effect:enemy_message, val1:1.4, val2:1.8],[effect:enemy_resurrection, target:id_1210, val:1, rate:1, animation:enemy_resurrection]</t>
    <phoneticPr fontId="5"/>
  </si>
  <si>
    <t>敵全体の攻撃力UP</t>
    <phoneticPr fontId="5"/>
  </si>
  <si>
    <t>[effect:enemy_message, val1:1.1, val2:1.8],[effect:enhance_enemy, target:enemy_all, turn:-1, status:attack, val:1.2, calc:mul, animation:enemy_enhance_attack]</t>
    <phoneticPr fontId="5"/>
  </si>
  <si>
    <t>[effect:enemy_message, val1:1.1, val2:1.8],[effect:enhance_enemy, target:enemy_all, turn:-1, status:attack, val:1.1, calc:mul, animation:enemy_enhance_attack]</t>
    <phoneticPr fontId="5"/>
  </si>
  <si>
    <t>[effect:enemy_message, val1:1, val2:2.4],[effect:enhance_unit, target:unit_all, turn:-1, status:attack, val:0.5, calc:mul],[effect:suicide, target:myself, val:1, dead_type:escape]</t>
    <phoneticPr fontId="5"/>
  </si>
  <si>
    <t>[effect:enemy_message, val1:1.1, val2:2.4],[effect:enhance_fever, val:1000, animation:fevergauge_up04],[effect:suicide, target:myself, val:1, dead_type:escape]</t>
    <phoneticPr fontId="5"/>
  </si>
  <si>
    <t>今年の宴は力試しがトレンドのようです
その中でも勘兵衛は
アナタが来るまで連戦連勝の猛者でした</t>
    <phoneticPr fontId="5"/>
  </si>
  <si>
    <t>ランダムで青の時限式ダメージパネルに10個変換</t>
    <phoneticPr fontId="5"/>
  </si>
  <si>
    <t>[effect:enemy_message, val1:1.2, val2:2.4],[effect:enhance_unit, target:unit_all, turn:-1, status:attack, val:0.55, calc:mul],[effect:suicide, target:myself, val:1, dead_type:escape]</t>
    <phoneticPr fontId="5"/>
  </si>
  <si>
    <t>[effect:enemy_message, val1:1.1, val2:2.4],[effect:enhance_unit, target:unit_all, turn:-1, status:attack, val:0.6, calc:mul],[effect:suicide, target:myself, val:1, dead_type:escape]</t>
    <phoneticPr fontId="5"/>
  </si>
  <si>
    <t>修復プログラム</t>
    <phoneticPr fontId="5"/>
  </si>
  <si>
    <t>[effect:heal, target:myself, val:1, animation:enemy_heal]</t>
    <phoneticPr fontId="5"/>
  </si>
  <si>
    <t>自己回復</t>
    <phoneticPr fontId="5"/>
  </si>
  <si>
    <t>(歓迎しているようだ)
【全属性ダメージ軽減+状態異常耐性】</t>
    <phoneticPr fontId="5"/>
  </si>
  <si>
    <t>簡単には通しませんよ
【全属性ダメージ軽減+状態異常耐性】</t>
    <phoneticPr fontId="5"/>
  </si>
  <si>
    <t>いざ、勝負！
【全属性ダメージ軽減+状態異常耐性】</t>
    <phoneticPr fontId="5"/>
  </si>
  <si>
    <t>[effect:enemy_message, val1:1.1, val2:2.4],[effect:reduction, target:myself, color:all, turn:-1, val:0.01, animation:reduction_one01],[effect:tolerance, target:myself, turn:-1, count:-1, tolerance_effect:all, animation:enemy_tolerance]</t>
    <phoneticPr fontId="5"/>
  </si>
  <si>
    <t>[effect:enemy_message, val1:1.1, val2:2.4],[effect:reduction, target:myself, color:all, turn:-1, val:1, animation:reduction_one01],[effect:tolerance, target:myself, turn:-1, count:-1, tolerance_effect:all, animation:enemy_tolerance]</t>
    <phoneticPr fontId="5"/>
  </si>
  <si>
    <t>[effect:enemy_message, val1:1.1, val2:2.4],[effect:reduction, target:myself, color:all, turn:-1, val:1, animation:reduction_one01],[effect:tolerance, target:myself, turn:-1, count:-1, tolerance_effect:all, animation:enemy_tolerance]</t>
    <phoneticPr fontId="5"/>
  </si>
  <si>
    <t>状態異常耐性</t>
    <phoneticPr fontId="5"/>
  </si>
  <si>
    <t>ここを突破できるかな！</t>
    <phoneticPr fontId="5"/>
  </si>
  <si>
    <t>[effect:enemy_message, val1:1.4, val2:1.8],[effect:hungup, target:unit_all, turn:1, rate:1, animation:hungup01]</t>
    <phoneticPr fontId="5"/>
  </si>
  <si>
    <t>[effect:enemy_message, val1:1.2, val2:1.8],[effect:tolerance, target:myself, turn:-1, count:-1, tolerance_effect:all, animation:enemy_tolerance]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</si>
</sst>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177" fontId="8" fillId="32" borderId="4" xfId="0" applyNumberFormat="1" applyFont="1" applyFill="1" applyBorder="1" applyAlignment="1">
      <alignment vertical="center"/>
    </xf>
    <xf numFmtId="177" fontId="8" fillId="35" borderId="4" xfId="0" applyNumberFormat="1" applyFont="1" applyFill="1" applyBorder="1" applyAlignment="1">
      <alignment vertical="center"/>
    </xf>
    <xf numFmtId="177" fontId="8" fillId="33" borderId="4" xfId="0" applyNumberFormat="1" applyFont="1" applyFill="1" applyBorder="1" applyAlignment="1">
      <alignment vertical="center"/>
    </xf>
    <xf numFmtId="177" fontId="8" fillId="34" borderId="4" xfId="0" applyNumberFormat="1" applyFont="1" applyFill="1" applyBorder="1" applyAlignment="1">
      <alignment vertical="center"/>
    </xf>
    <xf numFmtId="177" fontId="8" fillId="6" borderId="4" xfId="0" applyNumberFormat="1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4" fillId="37" borderId="6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20022</v>
          </cell>
        </row>
        <row r="128">
          <cell r="A128">
            <v>30001</v>
          </cell>
        </row>
        <row r="129">
          <cell r="A129">
            <v>30002</v>
          </cell>
        </row>
        <row r="130">
          <cell r="A130">
            <v>30003</v>
          </cell>
        </row>
        <row r="131">
          <cell r="A131">
            <v>30004</v>
          </cell>
        </row>
        <row r="132">
          <cell r="A132">
            <v>30005</v>
          </cell>
        </row>
        <row r="133">
          <cell r="A133">
            <v>30006</v>
          </cell>
        </row>
        <row r="134">
          <cell r="A134">
            <v>30007</v>
          </cell>
        </row>
        <row r="135">
          <cell r="A135">
            <v>30008</v>
          </cell>
        </row>
        <row r="136">
          <cell r="A136">
            <v>30009</v>
          </cell>
        </row>
        <row r="137">
          <cell r="A137">
            <v>30010</v>
          </cell>
        </row>
        <row r="138">
          <cell r="A138">
            <v>30011</v>
          </cell>
        </row>
        <row r="139">
          <cell r="A139">
            <v>30012</v>
          </cell>
        </row>
        <row r="140">
          <cell r="A140">
            <v>30013</v>
          </cell>
        </row>
        <row r="141">
          <cell r="A141">
            <v>30014</v>
          </cell>
        </row>
        <row r="142">
          <cell r="A142">
            <v>30015</v>
          </cell>
        </row>
        <row r="143">
          <cell r="A143">
            <v>30016</v>
          </cell>
        </row>
        <row r="144">
          <cell r="A144">
            <v>30017</v>
          </cell>
        </row>
        <row r="145">
          <cell r="A145">
            <v>30018</v>
          </cell>
        </row>
        <row r="146">
          <cell r="A146">
            <v>30019</v>
          </cell>
        </row>
        <row r="147">
          <cell r="A147">
            <v>30020</v>
          </cell>
        </row>
        <row r="148">
          <cell r="A148">
            <v>30021</v>
          </cell>
        </row>
        <row r="149">
          <cell r="A149">
            <v>30022</v>
          </cell>
        </row>
        <row r="150">
          <cell r="A150">
            <v>30023</v>
          </cell>
        </row>
        <row r="151">
          <cell r="A151">
            <v>30024</v>
          </cell>
        </row>
        <row r="152">
          <cell r="A152">
            <v>30025</v>
          </cell>
        </row>
        <row r="153">
          <cell r="A153">
            <v>30026</v>
          </cell>
        </row>
        <row r="154">
          <cell r="A154">
            <v>30027</v>
          </cell>
        </row>
        <row r="155">
          <cell r="A155">
            <v>30028</v>
          </cell>
        </row>
        <row r="156">
          <cell r="A156">
            <v>30029</v>
          </cell>
        </row>
        <row r="157">
          <cell r="A157">
            <v>30030</v>
          </cell>
        </row>
        <row r="158">
          <cell r="A158">
            <v>30031</v>
          </cell>
        </row>
        <row r="159">
          <cell r="A159">
            <v>30032</v>
          </cell>
        </row>
        <row r="160">
          <cell r="A160">
            <v>30033</v>
          </cell>
        </row>
        <row r="161">
          <cell r="A161">
            <v>30034</v>
          </cell>
        </row>
        <row r="162">
          <cell r="A162">
            <v>30035</v>
          </cell>
        </row>
        <row r="163">
          <cell r="A163">
            <v>30036</v>
          </cell>
        </row>
        <row r="164">
          <cell r="A164">
            <v>30037</v>
          </cell>
        </row>
        <row r="165">
          <cell r="A165">
            <v>30038</v>
          </cell>
        </row>
        <row r="166">
          <cell r="A166">
            <v>30039</v>
          </cell>
        </row>
        <row r="167">
          <cell r="A167">
            <v>30040</v>
          </cell>
        </row>
        <row r="168">
          <cell r="A168">
            <v>30041</v>
          </cell>
        </row>
        <row r="169">
          <cell r="A169">
            <v>30042</v>
          </cell>
        </row>
        <row r="170">
          <cell r="A170">
            <v>30043</v>
          </cell>
        </row>
        <row r="171">
          <cell r="A171">
            <v>30044</v>
          </cell>
        </row>
        <row r="172">
          <cell r="A172">
            <v>30045</v>
          </cell>
        </row>
        <row r="173">
          <cell r="A173">
            <v>30046</v>
          </cell>
        </row>
        <row r="174">
          <cell r="A174">
            <v>30047</v>
          </cell>
        </row>
        <row r="175">
          <cell r="A175">
            <v>39001</v>
          </cell>
        </row>
        <row r="176">
          <cell r="A176">
            <v>39002</v>
          </cell>
        </row>
        <row r="177">
          <cell r="A177">
            <v>39003</v>
          </cell>
        </row>
        <row r="178">
          <cell r="A178">
            <v>39004</v>
          </cell>
        </row>
        <row r="179">
          <cell r="A179">
            <v>39005</v>
          </cell>
        </row>
        <row r="180">
          <cell r="A180">
            <v>39006</v>
          </cell>
        </row>
        <row r="181">
          <cell r="A181">
            <v>39007</v>
          </cell>
        </row>
        <row r="182">
          <cell r="A182">
            <v>39008</v>
          </cell>
        </row>
        <row r="183">
          <cell r="A183">
            <v>39009</v>
          </cell>
        </row>
        <row r="184">
          <cell r="A184">
            <v>39010</v>
          </cell>
        </row>
        <row r="185">
          <cell r="A185">
            <v>39011</v>
          </cell>
        </row>
        <row r="186">
          <cell r="A186">
            <v>40001</v>
          </cell>
        </row>
        <row r="187">
          <cell r="A187">
            <v>40002</v>
          </cell>
        </row>
        <row r="188">
          <cell r="A188">
            <v>40003</v>
          </cell>
        </row>
        <row r="189">
          <cell r="A189">
            <v>40004</v>
          </cell>
        </row>
        <row r="190">
          <cell r="A190">
            <v>40005</v>
          </cell>
        </row>
        <row r="191">
          <cell r="A191">
            <v>40006</v>
          </cell>
        </row>
        <row r="192">
          <cell r="A192">
            <v>40007</v>
          </cell>
        </row>
        <row r="193">
          <cell r="A193">
            <v>40008</v>
          </cell>
        </row>
        <row r="194">
          <cell r="A194">
            <v>40009</v>
          </cell>
        </row>
        <row r="195">
          <cell r="A195">
            <v>40010</v>
          </cell>
        </row>
        <row r="196">
          <cell r="A196">
            <v>40011</v>
          </cell>
        </row>
        <row r="197">
          <cell r="A197">
            <v>40012</v>
          </cell>
        </row>
        <row r="198">
          <cell r="A198">
            <v>40013</v>
          </cell>
        </row>
        <row r="199">
          <cell r="A199">
            <v>40014</v>
          </cell>
        </row>
        <row r="200">
          <cell r="A200">
            <v>40015</v>
          </cell>
        </row>
        <row r="201">
          <cell r="A201">
            <v>40016</v>
          </cell>
        </row>
        <row r="202">
          <cell r="A202">
            <v>40017</v>
          </cell>
        </row>
        <row r="203">
          <cell r="A203">
            <v>40018</v>
          </cell>
        </row>
        <row r="204">
          <cell r="A204">
            <v>40019</v>
          </cell>
        </row>
        <row r="205">
          <cell r="A205">
            <v>40021</v>
          </cell>
        </row>
        <row r="206">
          <cell r="A206">
            <v>40022</v>
          </cell>
        </row>
        <row r="207">
          <cell r="A207">
            <v>40023</v>
          </cell>
        </row>
        <row r="208">
          <cell r="A208">
            <v>40024</v>
          </cell>
        </row>
        <row r="209">
          <cell r="A209">
            <v>40025</v>
          </cell>
        </row>
        <row r="210">
          <cell r="A210">
            <v>40026</v>
          </cell>
        </row>
        <row r="211">
          <cell r="A211">
            <v>40027</v>
          </cell>
        </row>
        <row r="212">
          <cell r="A212">
            <v>40028</v>
          </cell>
        </row>
        <row r="213">
          <cell r="A213">
            <v>40029</v>
          </cell>
        </row>
        <row r="214">
          <cell r="A214">
            <v>40030</v>
          </cell>
        </row>
        <row r="215">
          <cell r="A215">
            <v>40031</v>
          </cell>
        </row>
        <row r="216">
          <cell r="A216">
            <v>40032</v>
          </cell>
        </row>
        <row r="217">
          <cell r="A217">
            <v>40033</v>
          </cell>
        </row>
        <row r="218">
          <cell r="A218">
            <v>40034</v>
          </cell>
        </row>
        <row r="219">
          <cell r="A219">
            <v>40035</v>
          </cell>
        </row>
        <row r="220">
          <cell r="A220">
            <v>40036</v>
          </cell>
        </row>
        <row r="221">
          <cell r="A221">
            <v>40037</v>
          </cell>
        </row>
        <row r="222">
          <cell r="A222">
            <v>40038</v>
          </cell>
        </row>
        <row r="223">
          <cell r="A223">
            <v>40039</v>
          </cell>
        </row>
        <row r="224">
          <cell r="A224">
            <v>40040</v>
          </cell>
        </row>
        <row r="225">
          <cell r="A225">
            <v>40041</v>
          </cell>
        </row>
        <row r="226">
          <cell r="A226">
            <v>40042</v>
          </cell>
        </row>
        <row r="227">
          <cell r="A227">
            <v>48001</v>
          </cell>
        </row>
        <row r="228">
          <cell r="A228">
            <v>48002</v>
          </cell>
        </row>
        <row r="229">
          <cell r="A229">
            <v>48003</v>
          </cell>
        </row>
        <row r="230">
          <cell r="A230">
            <v>48004</v>
          </cell>
        </row>
        <row r="231">
          <cell r="A231">
            <v>48005</v>
          </cell>
        </row>
        <row r="232">
          <cell r="A232">
            <v>48006</v>
          </cell>
        </row>
        <row r="233">
          <cell r="A233">
            <v>48007</v>
          </cell>
        </row>
        <row r="234">
          <cell r="A234">
            <v>48008</v>
          </cell>
        </row>
        <row r="235">
          <cell r="A235">
            <v>48009</v>
          </cell>
        </row>
        <row r="236">
          <cell r="A236">
            <v>48010</v>
          </cell>
        </row>
        <row r="237">
          <cell r="A237">
            <v>48011</v>
          </cell>
        </row>
        <row r="238">
          <cell r="A238">
            <v>48501</v>
          </cell>
        </row>
        <row r="239">
          <cell r="A239">
            <v>41001</v>
          </cell>
        </row>
        <row r="240">
          <cell r="A240">
            <v>41002</v>
          </cell>
        </row>
        <row r="241">
          <cell r="A241">
            <v>41003</v>
          </cell>
        </row>
        <row r="242">
          <cell r="A242">
            <v>41004</v>
          </cell>
        </row>
        <row r="243">
          <cell r="A243">
            <v>41005</v>
          </cell>
        </row>
        <row r="244">
          <cell r="A244">
            <v>41006</v>
          </cell>
        </row>
        <row r="245">
          <cell r="A245">
            <v>41007</v>
          </cell>
        </row>
        <row r="246">
          <cell r="A246">
            <v>41008</v>
          </cell>
        </row>
        <row r="247">
          <cell r="A247">
            <v>41009</v>
          </cell>
        </row>
        <row r="248">
          <cell r="A248">
            <v>41010</v>
          </cell>
        </row>
        <row r="249">
          <cell r="A249">
            <v>41011</v>
          </cell>
        </row>
        <row r="250">
          <cell r="A250">
            <v>41012</v>
          </cell>
        </row>
        <row r="251">
          <cell r="A251">
            <v>41013</v>
          </cell>
        </row>
        <row r="252">
          <cell r="A252">
            <v>41014</v>
          </cell>
        </row>
        <row r="253">
          <cell r="A253">
            <v>41015</v>
          </cell>
        </row>
        <row r="254">
          <cell r="A254">
            <v>47001</v>
          </cell>
        </row>
        <row r="255">
          <cell r="A255">
            <v>47002</v>
          </cell>
        </row>
        <row r="256">
          <cell r="A256">
            <v>47003</v>
          </cell>
        </row>
        <row r="257">
          <cell r="A257">
            <v>47004</v>
          </cell>
        </row>
        <row r="258">
          <cell r="A258">
            <v>47005</v>
          </cell>
        </row>
        <row r="259">
          <cell r="A259">
            <v>47006</v>
          </cell>
        </row>
        <row r="260">
          <cell r="A260">
            <v>49001</v>
          </cell>
        </row>
        <row r="261">
          <cell r="A261">
            <v>49002</v>
          </cell>
        </row>
        <row r="262">
          <cell r="A262">
            <v>49003</v>
          </cell>
        </row>
        <row r="263">
          <cell r="A263">
            <v>49004</v>
          </cell>
        </row>
        <row r="264">
          <cell r="A264">
            <v>49005</v>
          </cell>
        </row>
        <row r="265">
          <cell r="A265">
            <v>49006</v>
          </cell>
        </row>
        <row r="266">
          <cell r="A266">
            <v>49007</v>
          </cell>
        </row>
        <row r="267">
          <cell r="A267">
            <v>49008</v>
          </cell>
        </row>
        <row r="268">
          <cell r="A268">
            <v>49009</v>
          </cell>
        </row>
        <row r="269">
          <cell r="A269">
            <v>49010</v>
          </cell>
        </row>
        <row r="270">
          <cell r="A270">
            <v>49011</v>
          </cell>
        </row>
        <row r="271">
          <cell r="A271">
            <v>49012</v>
          </cell>
        </row>
        <row r="272">
          <cell r="A272">
            <v>49013</v>
          </cell>
        </row>
        <row r="273">
          <cell r="A273">
            <v>50001</v>
          </cell>
        </row>
        <row r="274">
          <cell r="A274">
            <v>50002</v>
          </cell>
        </row>
        <row r="275">
          <cell r="A275">
            <v>50003</v>
          </cell>
        </row>
        <row r="276">
          <cell r="A276">
            <v>50004</v>
          </cell>
        </row>
        <row r="277">
          <cell r="A277">
            <v>50005</v>
          </cell>
        </row>
        <row r="278">
          <cell r="A278">
            <v>50006</v>
          </cell>
        </row>
        <row r="279">
          <cell r="A279">
            <v>50007</v>
          </cell>
        </row>
        <row r="280">
          <cell r="A280">
            <v>50008</v>
          </cell>
        </row>
        <row r="281">
          <cell r="A281">
            <v>50009</v>
          </cell>
        </row>
        <row r="282">
          <cell r="A282">
            <v>50010</v>
          </cell>
        </row>
        <row r="283">
          <cell r="A283">
            <v>50011</v>
          </cell>
        </row>
        <row r="284">
          <cell r="A284">
            <v>50012</v>
          </cell>
        </row>
        <row r="285">
          <cell r="A285">
            <v>50013</v>
          </cell>
        </row>
        <row r="286">
          <cell r="A286">
            <v>51001</v>
          </cell>
        </row>
        <row r="287">
          <cell r="A287">
            <v>51002</v>
          </cell>
        </row>
        <row r="288">
          <cell r="A288">
            <v>59001</v>
          </cell>
        </row>
        <row r="289">
          <cell r="A289">
            <v>60001</v>
          </cell>
        </row>
        <row r="290">
          <cell r="A290">
            <v>60002</v>
          </cell>
        </row>
        <row r="291">
          <cell r="A291">
            <v>60003</v>
          </cell>
        </row>
        <row r="292">
          <cell r="A292">
            <v>60004</v>
          </cell>
        </row>
        <row r="293">
          <cell r="A293">
            <v>60005</v>
          </cell>
        </row>
        <row r="294">
          <cell r="A294">
            <v>60006</v>
          </cell>
        </row>
        <row r="295">
          <cell r="A295">
            <v>60007</v>
          </cell>
        </row>
        <row r="296">
          <cell r="A296">
            <v>60010</v>
          </cell>
        </row>
        <row r="297">
          <cell r="A297">
            <v>60011</v>
          </cell>
        </row>
        <row r="298">
          <cell r="A298">
            <v>61011</v>
          </cell>
        </row>
        <row r="299">
          <cell r="A299">
            <v>60012</v>
          </cell>
        </row>
        <row r="300">
          <cell r="A300">
            <v>60013</v>
          </cell>
        </row>
        <row r="301">
          <cell r="A301">
            <v>60014</v>
          </cell>
        </row>
        <row r="302">
          <cell r="A302">
            <v>60015</v>
          </cell>
        </row>
        <row r="303">
          <cell r="A303">
            <v>60016</v>
          </cell>
        </row>
        <row r="304">
          <cell r="A304">
            <v>60017</v>
          </cell>
        </row>
        <row r="305">
          <cell r="A305">
            <v>60018</v>
          </cell>
        </row>
        <row r="306">
          <cell r="A306">
            <v>60019</v>
          </cell>
        </row>
        <row r="307">
          <cell r="A307">
            <v>60020</v>
          </cell>
        </row>
        <row r="308">
          <cell r="A308">
            <v>60025</v>
          </cell>
        </row>
        <row r="309">
          <cell r="A309">
            <v>60026</v>
          </cell>
        </row>
        <row r="310">
          <cell r="A310">
            <v>60027</v>
          </cell>
        </row>
        <row r="311">
          <cell r="A311">
            <v>65525</v>
          </cell>
        </row>
        <row r="312">
          <cell r="A312">
            <v>65526</v>
          </cell>
        </row>
        <row r="313">
          <cell r="A313">
            <v>65527</v>
          </cell>
        </row>
        <row r="314">
          <cell r="A314">
            <v>65528</v>
          </cell>
        </row>
        <row r="315">
          <cell r="A315">
            <v>65529</v>
          </cell>
        </row>
        <row r="316">
          <cell r="A316">
            <v>65530</v>
          </cell>
        </row>
        <row r="317">
          <cell r="A317">
            <v>65531</v>
          </cell>
        </row>
        <row r="318">
          <cell r="A318">
            <v>65532</v>
          </cell>
        </row>
        <row r="319">
          <cell r="A319">
            <v>65533</v>
          </cell>
        </row>
        <row r="320">
          <cell r="A320">
            <v>65534</v>
          </cell>
        </row>
        <row r="321">
          <cell r="A321">
            <v>65535</v>
          </cell>
        </row>
        <row r="322">
          <cell r="A322">
            <v>60021</v>
          </cell>
        </row>
        <row r="323">
          <cell r="A323">
            <v>60022</v>
          </cell>
        </row>
        <row r="324">
          <cell r="A324">
            <v>60023</v>
          </cell>
        </row>
        <row r="325">
          <cell r="A32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20022_1</v>
          </cell>
        </row>
        <row r="505">
          <cell r="A505" t="str">
            <v>30001_1</v>
          </cell>
        </row>
        <row r="506">
          <cell r="A506" t="str">
            <v>30001_2</v>
          </cell>
        </row>
        <row r="507">
          <cell r="A507" t="str">
            <v>30001_3</v>
          </cell>
        </row>
        <row r="508">
          <cell r="A508" t="str">
            <v>30002_1</v>
          </cell>
        </row>
        <row r="509">
          <cell r="A509" t="str">
            <v>30002_2</v>
          </cell>
        </row>
        <row r="510">
          <cell r="A510" t="str">
            <v>30002_3</v>
          </cell>
        </row>
        <row r="511">
          <cell r="A511" t="str">
            <v>30003_1</v>
          </cell>
        </row>
        <row r="512">
          <cell r="A512" t="str">
            <v>30003_2</v>
          </cell>
        </row>
        <row r="513">
          <cell r="A513" t="str">
            <v>30003_3</v>
          </cell>
        </row>
        <row r="514">
          <cell r="A514" t="str">
            <v>30004_1</v>
          </cell>
        </row>
        <row r="515">
          <cell r="A515" t="str">
            <v>30004_2</v>
          </cell>
        </row>
        <row r="516">
          <cell r="A516" t="str">
            <v>30004_3</v>
          </cell>
        </row>
        <row r="517">
          <cell r="A517" t="str">
            <v>30005_1</v>
          </cell>
        </row>
        <row r="518">
          <cell r="A518" t="str">
            <v>30005_2</v>
          </cell>
        </row>
        <row r="519">
          <cell r="A519" t="str">
            <v>30005_3</v>
          </cell>
        </row>
        <row r="520">
          <cell r="A520" t="str">
            <v>30006_1</v>
          </cell>
        </row>
        <row r="521">
          <cell r="A521" t="str">
            <v>30006_2</v>
          </cell>
        </row>
        <row r="522">
          <cell r="A522" t="str">
            <v>30006_3</v>
          </cell>
        </row>
        <row r="523">
          <cell r="A523" t="str">
            <v>30007_1</v>
          </cell>
        </row>
        <row r="524">
          <cell r="A524" t="str">
            <v>30007_2</v>
          </cell>
        </row>
        <row r="525">
          <cell r="A525" t="str">
            <v>30007_3</v>
          </cell>
        </row>
        <row r="526">
          <cell r="A526" t="str">
            <v>30008_1</v>
          </cell>
        </row>
        <row r="527">
          <cell r="A527" t="str">
            <v>30008_2</v>
          </cell>
        </row>
        <row r="528">
          <cell r="A528" t="str">
            <v>30008_3</v>
          </cell>
        </row>
        <row r="529">
          <cell r="A529" t="str">
            <v>30009_3</v>
          </cell>
        </row>
        <row r="530">
          <cell r="A530" t="str">
            <v>30009_1</v>
          </cell>
        </row>
        <row r="531">
          <cell r="A531" t="str">
            <v>30009_2</v>
          </cell>
        </row>
        <row r="532">
          <cell r="A532" t="str">
            <v>30010_1</v>
          </cell>
        </row>
        <row r="533">
          <cell r="A533" t="str">
            <v>30010_2</v>
          </cell>
        </row>
        <row r="534">
          <cell r="A534" t="str">
            <v>30010_3</v>
          </cell>
        </row>
        <row r="535">
          <cell r="A535" t="str">
            <v>30011_1</v>
          </cell>
        </row>
        <row r="536">
          <cell r="A536" t="str">
            <v>30011_2</v>
          </cell>
        </row>
        <row r="537">
          <cell r="A537" t="str">
            <v>30011_3</v>
          </cell>
        </row>
        <row r="538">
          <cell r="A538" t="str">
            <v>30012_1</v>
          </cell>
        </row>
        <row r="539">
          <cell r="A539" t="str">
            <v>30012_2</v>
          </cell>
        </row>
        <row r="540">
          <cell r="A540" t="str">
            <v>30012_3</v>
          </cell>
        </row>
        <row r="541">
          <cell r="A541" t="str">
            <v>30013_1</v>
          </cell>
        </row>
        <row r="542">
          <cell r="A542" t="str">
            <v>30013_2</v>
          </cell>
        </row>
        <row r="543">
          <cell r="A543" t="str">
            <v>30014_1</v>
          </cell>
        </row>
        <row r="544">
          <cell r="A544" t="str">
            <v>30014_2</v>
          </cell>
        </row>
        <row r="545">
          <cell r="A545" t="str">
            <v>30015_1</v>
          </cell>
        </row>
        <row r="546">
          <cell r="A546" t="str">
            <v>30015_2</v>
          </cell>
        </row>
        <row r="547">
          <cell r="A547" t="str">
            <v>30016_1</v>
          </cell>
        </row>
        <row r="548">
          <cell r="A548" t="str">
            <v>30016_2</v>
          </cell>
        </row>
        <row r="549">
          <cell r="A549" t="str">
            <v>30017_1</v>
          </cell>
        </row>
        <row r="550">
          <cell r="A550" t="str">
            <v>30017_2</v>
          </cell>
        </row>
        <row r="551">
          <cell r="A551" t="str">
            <v>30018_1</v>
          </cell>
        </row>
        <row r="552">
          <cell r="A552" t="str">
            <v>30018_2</v>
          </cell>
        </row>
        <row r="553">
          <cell r="A553" t="str">
            <v>30019_1</v>
          </cell>
        </row>
        <row r="554">
          <cell r="A554" t="str">
            <v>30019_2</v>
          </cell>
        </row>
        <row r="555">
          <cell r="A555" t="str">
            <v>30020_1</v>
          </cell>
        </row>
        <row r="556">
          <cell r="A556" t="str">
            <v>30020_2</v>
          </cell>
        </row>
        <row r="557">
          <cell r="A557" t="str">
            <v>30021_1</v>
          </cell>
        </row>
        <row r="558">
          <cell r="A558" t="str">
            <v>30021_2</v>
          </cell>
        </row>
        <row r="559">
          <cell r="A559" t="str">
            <v>30021_3</v>
          </cell>
        </row>
        <row r="560">
          <cell r="A560" t="str">
            <v>30022_1</v>
          </cell>
        </row>
        <row r="561">
          <cell r="A561" t="str">
            <v>30022_2</v>
          </cell>
        </row>
        <row r="562">
          <cell r="A562" t="str">
            <v>30023_1</v>
          </cell>
        </row>
        <row r="563">
          <cell r="A563" t="str">
            <v>30023_2</v>
          </cell>
        </row>
        <row r="564">
          <cell r="A564" t="str">
            <v>30023_3</v>
          </cell>
        </row>
        <row r="565">
          <cell r="A565" t="str">
            <v>30024_1</v>
          </cell>
        </row>
        <row r="566">
          <cell r="A566" t="str">
            <v>30024_2</v>
          </cell>
        </row>
        <row r="567">
          <cell r="A567" t="str">
            <v>30024_3</v>
          </cell>
        </row>
        <row r="568">
          <cell r="A568" t="str">
            <v>30025_1</v>
          </cell>
        </row>
        <row r="569">
          <cell r="A569" t="str">
            <v>30025_2</v>
          </cell>
        </row>
        <row r="570">
          <cell r="A570" t="str">
            <v>30025_3</v>
          </cell>
        </row>
        <row r="571">
          <cell r="A571" t="str">
            <v>30026_1</v>
          </cell>
        </row>
        <row r="572">
          <cell r="A572" t="str">
            <v>30026_2</v>
          </cell>
        </row>
        <row r="573">
          <cell r="A573" t="str">
            <v>30026_3</v>
          </cell>
        </row>
        <row r="574">
          <cell r="A574" t="str">
            <v>30027_1</v>
          </cell>
        </row>
        <row r="575">
          <cell r="A575" t="str">
            <v>30027_2</v>
          </cell>
        </row>
        <row r="576">
          <cell r="A576" t="str">
            <v>30027_3</v>
          </cell>
        </row>
        <row r="577">
          <cell r="A577" t="str">
            <v>30028_1</v>
          </cell>
        </row>
        <row r="578">
          <cell r="A578" t="str">
            <v>30028_2</v>
          </cell>
        </row>
        <row r="579">
          <cell r="A579" t="str">
            <v>30028_3</v>
          </cell>
        </row>
        <row r="580">
          <cell r="A580" t="str">
            <v>30029_1</v>
          </cell>
        </row>
        <row r="581">
          <cell r="A581" t="str">
            <v>30029_2</v>
          </cell>
        </row>
        <row r="582">
          <cell r="A582" t="str">
            <v>30029_3</v>
          </cell>
        </row>
        <row r="583">
          <cell r="A583" t="str">
            <v>30030_1</v>
          </cell>
        </row>
        <row r="584">
          <cell r="A584" t="str">
            <v>30030_2</v>
          </cell>
        </row>
        <row r="585">
          <cell r="A585" t="str">
            <v>30030_3</v>
          </cell>
        </row>
        <row r="586">
          <cell r="A586" t="str">
            <v>30031_1</v>
          </cell>
        </row>
        <row r="587">
          <cell r="A587" t="str">
            <v>30031_2</v>
          </cell>
        </row>
        <row r="588">
          <cell r="A588" t="str">
            <v>30031_3</v>
          </cell>
        </row>
        <row r="589">
          <cell r="A589" t="str">
            <v>30032_1</v>
          </cell>
        </row>
        <row r="590">
          <cell r="A590" t="str">
            <v>30032_2</v>
          </cell>
        </row>
        <row r="591">
          <cell r="A591" t="str">
            <v>30032_3</v>
          </cell>
        </row>
        <row r="592">
          <cell r="A592" t="str">
            <v>30033_1</v>
          </cell>
        </row>
        <row r="593">
          <cell r="A593" t="str">
            <v>30033_2</v>
          </cell>
        </row>
        <row r="594">
          <cell r="A594" t="str">
            <v>30033_3</v>
          </cell>
        </row>
        <row r="595">
          <cell r="A595" t="str">
            <v>30034_1</v>
          </cell>
        </row>
        <row r="596">
          <cell r="A596" t="str">
            <v>30034_2</v>
          </cell>
        </row>
        <row r="597">
          <cell r="A597" t="str">
            <v>30034_3</v>
          </cell>
        </row>
        <row r="598">
          <cell r="A598" t="str">
            <v>30035_1</v>
          </cell>
        </row>
        <row r="599">
          <cell r="A599" t="str">
            <v>30035_2</v>
          </cell>
        </row>
        <row r="600">
          <cell r="A600" t="str">
            <v>30035_3</v>
          </cell>
        </row>
        <row r="601">
          <cell r="A601" t="str">
            <v>30036_1</v>
          </cell>
        </row>
        <row r="602">
          <cell r="A602" t="str">
            <v>30036_2</v>
          </cell>
        </row>
        <row r="603">
          <cell r="A603" t="str">
            <v>30036_3</v>
          </cell>
        </row>
        <row r="604">
          <cell r="A604" t="str">
            <v>30037_1</v>
          </cell>
        </row>
        <row r="605">
          <cell r="A605" t="str">
            <v>30037_2</v>
          </cell>
        </row>
        <row r="606">
          <cell r="A606" t="str">
            <v>30037_3</v>
          </cell>
        </row>
        <row r="607">
          <cell r="A607" t="str">
            <v>30038_1</v>
          </cell>
        </row>
        <row r="608">
          <cell r="A608" t="str">
            <v>30038_2</v>
          </cell>
        </row>
        <row r="609">
          <cell r="A609" t="str">
            <v>30038_3</v>
          </cell>
        </row>
        <row r="610">
          <cell r="A610" t="str">
            <v>30039_1</v>
          </cell>
        </row>
        <row r="611">
          <cell r="A611" t="str">
            <v>30039_2</v>
          </cell>
        </row>
        <row r="612">
          <cell r="A612" t="str">
            <v>30039_3</v>
          </cell>
        </row>
        <row r="613">
          <cell r="A613" t="str">
            <v>30040_1</v>
          </cell>
        </row>
        <row r="614">
          <cell r="A614" t="str">
            <v>30040_2</v>
          </cell>
        </row>
        <row r="615">
          <cell r="A615" t="str">
            <v>30040_3</v>
          </cell>
        </row>
        <row r="616">
          <cell r="A616" t="str">
            <v>30041_1</v>
          </cell>
        </row>
        <row r="617">
          <cell r="A617" t="str">
            <v>30041_2</v>
          </cell>
        </row>
        <row r="618">
          <cell r="A618" t="str">
            <v>30041_3</v>
          </cell>
        </row>
        <row r="619">
          <cell r="A619" t="str">
            <v>30042_1</v>
          </cell>
        </row>
        <row r="620">
          <cell r="A620" t="str">
            <v>30042_2</v>
          </cell>
        </row>
        <row r="621">
          <cell r="A621" t="str">
            <v>30042_3</v>
          </cell>
        </row>
        <row r="622">
          <cell r="A622" t="str">
            <v>30043_1</v>
          </cell>
        </row>
        <row r="623">
          <cell r="A623" t="str">
            <v>30043_2</v>
          </cell>
        </row>
        <row r="624">
          <cell r="A624" t="str">
            <v>30043_3</v>
          </cell>
        </row>
        <row r="625">
          <cell r="A625" t="str">
            <v>30044_1</v>
          </cell>
        </row>
        <row r="626">
          <cell r="A626" t="str">
            <v>30044_2</v>
          </cell>
        </row>
        <row r="627">
          <cell r="A627" t="str">
            <v>30044_3</v>
          </cell>
        </row>
        <row r="628">
          <cell r="A628" t="str">
            <v>30045_1</v>
          </cell>
        </row>
        <row r="629">
          <cell r="A629" t="str">
            <v>30045_2</v>
          </cell>
        </row>
        <row r="630">
          <cell r="A630" t="str">
            <v>30045_3</v>
          </cell>
        </row>
        <row r="631">
          <cell r="A631" t="str">
            <v>30046_1</v>
          </cell>
        </row>
        <row r="632">
          <cell r="A632" t="str">
            <v>30046_2</v>
          </cell>
        </row>
        <row r="633">
          <cell r="A633" t="str">
            <v>30046_3</v>
          </cell>
        </row>
        <row r="634">
          <cell r="A634" t="str">
            <v>30047_1</v>
          </cell>
        </row>
        <row r="635">
          <cell r="A635" t="str">
            <v>30047_2</v>
          </cell>
        </row>
        <row r="636">
          <cell r="A636" t="str">
            <v>30047_3</v>
          </cell>
        </row>
        <row r="637">
          <cell r="A637" t="str">
            <v>39001_1</v>
          </cell>
        </row>
        <row r="638">
          <cell r="A638" t="str">
            <v>39001_2</v>
          </cell>
        </row>
        <row r="639">
          <cell r="A639" t="str">
            <v>39001_3</v>
          </cell>
        </row>
        <row r="640">
          <cell r="A640" t="str">
            <v>39001_4</v>
          </cell>
        </row>
        <row r="641">
          <cell r="A641" t="str">
            <v>39001_5</v>
          </cell>
        </row>
        <row r="642">
          <cell r="A642" t="str">
            <v>39002_1</v>
          </cell>
        </row>
        <row r="643">
          <cell r="A643" t="str">
            <v>39002_2</v>
          </cell>
        </row>
        <row r="644">
          <cell r="A644" t="str">
            <v>39002_3</v>
          </cell>
        </row>
        <row r="645">
          <cell r="A645" t="str">
            <v>39002_4</v>
          </cell>
        </row>
        <row r="646">
          <cell r="A646" t="str">
            <v>39003_1</v>
          </cell>
        </row>
        <row r="647">
          <cell r="A647" t="str">
            <v>39003_2</v>
          </cell>
        </row>
        <row r="648">
          <cell r="A648" t="str">
            <v>39003_3</v>
          </cell>
        </row>
        <row r="649">
          <cell r="A649" t="str">
            <v>39003_4</v>
          </cell>
        </row>
        <row r="650">
          <cell r="A650" t="str">
            <v>39004_1</v>
          </cell>
        </row>
        <row r="651">
          <cell r="A651" t="str">
            <v>39004_2</v>
          </cell>
        </row>
        <row r="652">
          <cell r="A652" t="str">
            <v>39004_3</v>
          </cell>
        </row>
        <row r="653">
          <cell r="A653" t="str">
            <v>39004_4</v>
          </cell>
        </row>
        <row r="654">
          <cell r="A654" t="str">
            <v>39005_1</v>
          </cell>
        </row>
        <row r="655">
          <cell r="A655" t="str">
            <v>39005_2</v>
          </cell>
        </row>
        <row r="656">
          <cell r="A656" t="str">
            <v>39005_3</v>
          </cell>
        </row>
        <row r="657">
          <cell r="A657" t="str">
            <v>39005_4</v>
          </cell>
        </row>
        <row r="658">
          <cell r="A658" t="str">
            <v>39005_5</v>
          </cell>
        </row>
        <row r="659">
          <cell r="A659" t="str">
            <v>39006_1</v>
          </cell>
        </row>
        <row r="660">
          <cell r="A660" t="str">
            <v>39006_2</v>
          </cell>
        </row>
        <row r="661">
          <cell r="A661" t="str">
            <v>39006_3</v>
          </cell>
        </row>
        <row r="662">
          <cell r="A662" t="str">
            <v>39006_4</v>
          </cell>
        </row>
        <row r="663">
          <cell r="A663" t="str">
            <v>39007_1</v>
          </cell>
        </row>
        <row r="664">
          <cell r="A664" t="str">
            <v>39007_2</v>
          </cell>
        </row>
        <row r="665">
          <cell r="A665" t="str">
            <v>39007_3</v>
          </cell>
        </row>
        <row r="666">
          <cell r="A666" t="str">
            <v>39007_4</v>
          </cell>
        </row>
        <row r="667">
          <cell r="A667" t="str">
            <v>39008_1</v>
          </cell>
        </row>
        <row r="668">
          <cell r="A668" t="str">
            <v>39008_2</v>
          </cell>
        </row>
        <row r="669">
          <cell r="A669" t="str">
            <v>39008_3</v>
          </cell>
        </row>
        <row r="670">
          <cell r="A670" t="str">
            <v>39008_4</v>
          </cell>
        </row>
        <row r="671">
          <cell r="A671" t="str">
            <v>39008_5</v>
          </cell>
        </row>
        <row r="672">
          <cell r="A672" t="str">
            <v>39009_1</v>
          </cell>
        </row>
        <row r="673">
          <cell r="A673" t="str">
            <v>39009_2</v>
          </cell>
        </row>
        <row r="674">
          <cell r="A674" t="str">
            <v>39009_3</v>
          </cell>
        </row>
        <row r="675">
          <cell r="A675" t="str">
            <v>39009_4</v>
          </cell>
        </row>
        <row r="676">
          <cell r="A676" t="str">
            <v>39009_5</v>
          </cell>
        </row>
        <row r="677">
          <cell r="A677" t="str">
            <v>39010_1</v>
          </cell>
        </row>
        <row r="678">
          <cell r="A678" t="str">
            <v>39010_2</v>
          </cell>
        </row>
        <row r="679">
          <cell r="A679" t="str">
            <v>39010_3</v>
          </cell>
        </row>
        <row r="680">
          <cell r="A680" t="str">
            <v>39010_4</v>
          </cell>
        </row>
        <row r="681">
          <cell r="A681" t="str">
            <v>39011_1</v>
          </cell>
        </row>
        <row r="682">
          <cell r="A682" t="str">
            <v>39011_2</v>
          </cell>
        </row>
        <row r="683">
          <cell r="A683" t="str">
            <v>39011_3</v>
          </cell>
        </row>
        <row r="684">
          <cell r="A684" t="str">
            <v>39011_4</v>
          </cell>
        </row>
        <row r="685">
          <cell r="A685" t="str">
            <v>40001_1</v>
          </cell>
        </row>
        <row r="686">
          <cell r="A686" t="str">
            <v>40002_1</v>
          </cell>
        </row>
        <row r="687">
          <cell r="A687" t="str">
            <v>40002_2</v>
          </cell>
        </row>
        <row r="688">
          <cell r="A688" t="str">
            <v>40002_3</v>
          </cell>
        </row>
        <row r="689">
          <cell r="A689" t="str">
            <v>40003_1</v>
          </cell>
        </row>
        <row r="690">
          <cell r="A690" t="str">
            <v>40004_1</v>
          </cell>
        </row>
        <row r="691">
          <cell r="A691" t="str">
            <v>40005_1</v>
          </cell>
        </row>
        <row r="692">
          <cell r="A692" t="str">
            <v>40006_1</v>
          </cell>
        </row>
        <row r="693">
          <cell r="A693" t="str">
            <v>40007_1</v>
          </cell>
        </row>
        <row r="694">
          <cell r="A694" t="str">
            <v>40008_1</v>
          </cell>
        </row>
        <row r="695">
          <cell r="A695" t="str">
            <v>40009_1</v>
          </cell>
        </row>
        <row r="696">
          <cell r="A696" t="str">
            <v>40010_1</v>
          </cell>
        </row>
        <row r="697">
          <cell r="A697" t="str">
            <v>40011_1</v>
          </cell>
        </row>
        <row r="698">
          <cell r="A698" t="str">
            <v>40012_1</v>
          </cell>
        </row>
        <row r="699">
          <cell r="A699" t="str">
            <v>40013_1</v>
          </cell>
        </row>
        <row r="700">
          <cell r="A700" t="str">
            <v>40014_1</v>
          </cell>
        </row>
        <row r="701">
          <cell r="A701" t="str">
            <v>40015_1</v>
          </cell>
        </row>
        <row r="702">
          <cell r="A702" t="str">
            <v>40016_1</v>
          </cell>
        </row>
        <row r="703">
          <cell r="A703" t="str">
            <v>40016_2</v>
          </cell>
        </row>
        <row r="704">
          <cell r="A704" t="str">
            <v>40017_1</v>
          </cell>
        </row>
        <row r="705">
          <cell r="A705" t="str">
            <v>40017_2</v>
          </cell>
        </row>
        <row r="706">
          <cell r="A706" t="str">
            <v>40017_3</v>
          </cell>
        </row>
        <row r="707">
          <cell r="A707" t="str">
            <v>40018_1</v>
          </cell>
        </row>
        <row r="708">
          <cell r="A708" t="str">
            <v>40018_2</v>
          </cell>
        </row>
        <row r="709">
          <cell r="A709" t="str">
            <v>40018_3</v>
          </cell>
        </row>
        <row r="710">
          <cell r="A710" t="str">
            <v>40019_1</v>
          </cell>
        </row>
        <row r="711">
          <cell r="A711" t="str">
            <v>40019_2</v>
          </cell>
        </row>
        <row r="712">
          <cell r="A712" t="str">
            <v>40019_3</v>
          </cell>
        </row>
        <row r="713">
          <cell r="A713" t="str">
            <v>40021_1</v>
          </cell>
        </row>
        <row r="714">
          <cell r="A714" t="str">
            <v>40021_2</v>
          </cell>
        </row>
        <row r="715">
          <cell r="A715" t="str">
            <v>40022_1</v>
          </cell>
        </row>
        <row r="716">
          <cell r="A716" t="str">
            <v>40022_2</v>
          </cell>
        </row>
        <row r="717">
          <cell r="A717" t="str">
            <v>40023_1</v>
          </cell>
        </row>
        <row r="718">
          <cell r="A718" t="str">
            <v>40023_2</v>
          </cell>
        </row>
        <row r="719">
          <cell r="A719" t="str">
            <v>40024_1</v>
          </cell>
        </row>
        <row r="720">
          <cell r="A720" t="str">
            <v>40024_2</v>
          </cell>
        </row>
        <row r="721">
          <cell r="A721" t="str">
            <v>40025_1</v>
          </cell>
        </row>
        <row r="722">
          <cell r="A722" t="str">
            <v>40025_2</v>
          </cell>
        </row>
        <row r="723">
          <cell r="A723" t="str">
            <v>40026_1</v>
          </cell>
        </row>
        <row r="724">
          <cell r="A724" t="str">
            <v>40026_2</v>
          </cell>
        </row>
        <row r="725">
          <cell r="A725" t="str">
            <v>40027_1</v>
          </cell>
        </row>
        <row r="726">
          <cell r="A726" t="str">
            <v>40027_2</v>
          </cell>
        </row>
        <row r="727">
          <cell r="A727" t="str">
            <v>40028_1</v>
          </cell>
        </row>
        <row r="728">
          <cell r="A728" t="str">
            <v>40028_2</v>
          </cell>
        </row>
        <row r="729">
          <cell r="A729" t="str">
            <v>40029_1</v>
          </cell>
        </row>
        <row r="730">
          <cell r="A730" t="str">
            <v>40029_2</v>
          </cell>
        </row>
        <row r="731">
          <cell r="A731" t="str">
            <v>40030_1</v>
          </cell>
        </row>
        <row r="732">
          <cell r="A732" t="str">
            <v>40030_2</v>
          </cell>
        </row>
        <row r="733">
          <cell r="A733" t="str">
            <v>40031_1</v>
          </cell>
        </row>
        <row r="734">
          <cell r="A734" t="str">
            <v>40031_2</v>
          </cell>
        </row>
        <row r="735">
          <cell r="A735" t="str">
            <v>40032_1</v>
          </cell>
        </row>
        <row r="736">
          <cell r="A736" t="str">
            <v>40032_2</v>
          </cell>
        </row>
        <row r="737">
          <cell r="A737" t="str">
            <v>40033_1</v>
          </cell>
        </row>
        <row r="738">
          <cell r="A738" t="str">
            <v>40033_2</v>
          </cell>
        </row>
        <row r="739">
          <cell r="A739" t="str">
            <v>40034_1</v>
          </cell>
        </row>
        <row r="740">
          <cell r="A740" t="str">
            <v>40034_2</v>
          </cell>
        </row>
        <row r="741">
          <cell r="A741" t="str">
            <v>40035_1</v>
          </cell>
        </row>
        <row r="742">
          <cell r="A742" t="str">
            <v>40035_2</v>
          </cell>
        </row>
        <row r="743">
          <cell r="A743" t="str">
            <v>40036_1</v>
          </cell>
        </row>
        <row r="744">
          <cell r="A744" t="str">
            <v>40036_2</v>
          </cell>
        </row>
        <row r="745">
          <cell r="A745" t="str">
            <v>40037_1</v>
          </cell>
        </row>
        <row r="746">
          <cell r="A746" t="str">
            <v>40037_2</v>
          </cell>
        </row>
        <row r="747">
          <cell r="A747" t="str">
            <v>40038_1</v>
          </cell>
        </row>
        <row r="748">
          <cell r="A748" t="str">
            <v>40038_2</v>
          </cell>
        </row>
        <row r="749">
          <cell r="A749" t="str">
            <v>40039_1</v>
          </cell>
        </row>
        <row r="750">
          <cell r="A750" t="str">
            <v>40039_2</v>
          </cell>
        </row>
        <row r="751">
          <cell r="A751" t="str">
            <v>40040_1</v>
          </cell>
        </row>
        <row r="752">
          <cell r="A752" t="str">
            <v>40040_2</v>
          </cell>
        </row>
        <row r="753">
          <cell r="A753" t="str">
            <v>40041_1</v>
          </cell>
        </row>
        <row r="754">
          <cell r="A754" t="str">
            <v>40041_2</v>
          </cell>
        </row>
        <row r="755">
          <cell r="A755" t="str">
            <v>40042_1</v>
          </cell>
        </row>
        <row r="756">
          <cell r="A756" t="str">
            <v>40042_2</v>
          </cell>
        </row>
        <row r="757">
          <cell r="A757" t="str">
            <v>41001_1</v>
          </cell>
        </row>
        <row r="758">
          <cell r="A758" t="str">
            <v>41001_2</v>
          </cell>
        </row>
        <row r="759">
          <cell r="A759" t="str">
            <v>41001_3</v>
          </cell>
        </row>
        <row r="760">
          <cell r="A760" t="str">
            <v>41002_1</v>
          </cell>
        </row>
        <row r="761">
          <cell r="A761" t="str">
            <v>41002_2</v>
          </cell>
        </row>
        <row r="762">
          <cell r="A762" t="str">
            <v>41002_3</v>
          </cell>
        </row>
        <row r="763">
          <cell r="A763" t="str">
            <v>41003_1</v>
          </cell>
        </row>
        <row r="764">
          <cell r="A764" t="str">
            <v>41003_2</v>
          </cell>
        </row>
        <row r="765">
          <cell r="A765" t="str">
            <v>41003_3</v>
          </cell>
        </row>
        <row r="766">
          <cell r="A766" t="str">
            <v>41004_1</v>
          </cell>
        </row>
        <row r="767">
          <cell r="A767" t="str">
            <v>41004_2</v>
          </cell>
        </row>
        <row r="768">
          <cell r="A768" t="str">
            <v>41004_3</v>
          </cell>
        </row>
        <row r="769">
          <cell r="A769" t="str">
            <v>41005_1</v>
          </cell>
        </row>
        <row r="770">
          <cell r="A770" t="str">
            <v>41005_2</v>
          </cell>
        </row>
        <row r="771">
          <cell r="A771" t="str">
            <v>41005_3</v>
          </cell>
        </row>
        <row r="772">
          <cell r="A772" t="str">
            <v>41006_1</v>
          </cell>
        </row>
        <row r="773">
          <cell r="A773" t="str">
            <v>41006_2</v>
          </cell>
        </row>
        <row r="774">
          <cell r="A774" t="str">
            <v>41006_3</v>
          </cell>
        </row>
        <row r="775">
          <cell r="A775" t="str">
            <v>41007_1</v>
          </cell>
        </row>
        <row r="776">
          <cell r="A776" t="str">
            <v>41007_2</v>
          </cell>
        </row>
        <row r="777">
          <cell r="A777" t="str">
            <v>41007_3</v>
          </cell>
        </row>
        <row r="778">
          <cell r="A778" t="str">
            <v>41008_1</v>
          </cell>
        </row>
        <row r="779">
          <cell r="A779" t="str">
            <v>41008_2</v>
          </cell>
        </row>
        <row r="780">
          <cell r="A780" t="str">
            <v>41008_3</v>
          </cell>
        </row>
        <row r="781">
          <cell r="A781" t="str">
            <v>41009_1</v>
          </cell>
        </row>
        <row r="782">
          <cell r="A782" t="str">
            <v>41009_2</v>
          </cell>
        </row>
        <row r="783">
          <cell r="A783" t="str">
            <v>41009_3</v>
          </cell>
        </row>
        <row r="784">
          <cell r="A784" t="str">
            <v>41010_1</v>
          </cell>
        </row>
        <row r="785">
          <cell r="A785" t="str">
            <v>41010_2</v>
          </cell>
        </row>
        <row r="786">
          <cell r="A786" t="str">
            <v>41010_3</v>
          </cell>
        </row>
        <row r="787">
          <cell r="A787" t="str">
            <v>41011_1</v>
          </cell>
        </row>
        <row r="788">
          <cell r="A788" t="str">
            <v>41011_2</v>
          </cell>
        </row>
        <row r="789">
          <cell r="A789" t="str">
            <v>41012_1</v>
          </cell>
        </row>
        <row r="790">
          <cell r="A790" t="str">
            <v>41012_2</v>
          </cell>
        </row>
        <row r="791">
          <cell r="A791" t="str">
            <v>41013_1</v>
          </cell>
        </row>
        <row r="792">
          <cell r="A792" t="str">
            <v>41013_2</v>
          </cell>
        </row>
        <row r="793">
          <cell r="A793" t="str">
            <v>41014_1</v>
          </cell>
        </row>
        <row r="794">
          <cell r="A794" t="str">
            <v>41014_2</v>
          </cell>
        </row>
        <row r="795">
          <cell r="A795" t="str">
            <v>41015_1</v>
          </cell>
        </row>
        <row r="796">
          <cell r="A796" t="str">
            <v>41015_2</v>
          </cell>
        </row>
        <row r="797">
          <cell r="A797" t="str">
            <v>47001_1</v>
          </cell>
        </row>
        <row r="798">
          <cell r="A798" t="str">
            <v>47001_2</v>
          </cell>
        </row>
        <row r="799">
          <cell r="A799" t="str">
            <v>47002_1</v>
          </cell>
        </row>
        <row r="800">
          <cell r="A800" t="str">
            <v>47002_2</v>
          </cell>
        </row>
        <row r="801">
          <cell r="A801" t="str">
            <v>47003_1</v>
          </cell>
        </row>
        <row r="802">
          <cell r="A802" t="str">
            <v>47003_2</v>
          </cell>
        </row>
        <row r="803">
          <cell r="A803" t="str">
            <v>47003_3</v>
          </cell>
        </row>
        <row r="804">
          <cell r="A804" t="str">
            <v>47003_4</v>
          </cell>
        </row>
        <row r="805">
          <cell r="A805" t="str">
            <v>47004_1</v>
          </cell>
        </row>
        <row r="806">
          <cell r="A806" t="str">
            <v>47004_2</v>
          </cell>
        </row>
        <row r="807">
          <cell r="A807" t="str">
            <v>47004_3</v>
          </cell>
        </row>
        <row r="808">
          <cell r="A808" t="str">
            <v>47004_4</v>
          </cell>
        </row>
        <row r="809">
          <cell r="A809" t="str">
            <v>47005_1</v>
          </cell>
        </row>
        <row r="810">
          <cell r="A810" t="str">
            <v>47006_1</v>
          </cell>
        </row>
        <row r="811">
          <cell r="A811" t="str">
            <v>47006_2</v>
          </cell>
        </row>
        <row r="812">
          <cell r="A812" t="str">
            <v>48001_1</v>
          </cell>
        </row>
        <row r="813">
          <cell r="A813" t="str">
            <v>48002_1</v>
          </cell>
        </row>
        <row r="814">
          <cell r="A814" t="str">
            <v>48002_2</v>
          </cell>
        </row>
        <row r="815">
          <cell r="A815" t="str">
            <v>48002_3</v>
          </cell>
        </row>
        <row r="816">
          <cell r="A816" t="str">
            <v>48003_1</v>
          </cell>
        </row>
        <row r="817">
          <cell r="A817" t="str">
            <v>48003_2</v>
          </cell>
        </row>
        <row r="818">
          <cell r="A818" t="str">
            <v>48004_1</v>
          </cell>
        </row>
        <row r="819">
          <cell r="A819" t="str">
            <v>48004_2</v>
          </cell>
        </row>
        <row r="820">
          <cell r="A820" t="str">
            <v>48005_1</v>
          </cell>
        </row>
        <row r="821">
          <cell r="A821" t="str">
            <v>48005_2</v>
          </cell>
        </row>
        <row r="822">
          <cell r="A822" t="str">
            <v>48006_1</v>
          </cell>
        </row>
        <row r="823">
          <cell r="A823" t="str">
            <v>48006_2</v>
          </cell>
        </row>
        <row r="824">
          <cell r="A824" t="str">
            <v>48007_1</v>
          </cell>
        </row>
        <row r="825">
          <cell r="A825" t="str">
            <v>48007_2</v>
          </cell>
        </row>
        <row r="826">
          <cell r="A826" t="str">
            <v>48008_1</v>
          </cell>
        </row>
        <row r="827">
          <cell r="A827" t="str">
            <v>48008_2</v>
          </cell>
        </row>
        <row r="828">
          <cell r="A828" t="str">
            <v>48009_1</v>
          </cell>
        </row>
        <row r="829">
          <cell r="A829" t="str">
            <v>48009_2</v>
          </cell>
        </row>
        <row r="830">
          <cell r="A830" t="str">
            <v>48010_1</v>
          </cell>
        </row>
        <row r="831">
          <cell r="A831" t="str">
            <v>48011_1</v>
          </cell>
        </row>
        <row r="832">
          <cell r="A832" t="str">
            <v>48011_2</v>
          </cell>
        </row>
        <row r="833">
          <cell r="A833" t="str">
            <v>48501_1</v>
          </cell>
        </row>
        <row r="834">
          <cell r="A834" t="str">
            <v>48501_2</v>
          </cell>
        </row>
        <row r="835">
          <cell r="A835" t="str">
            <v>49001_1</v>
          </cell>
        </row>
        <row r="836">
          <cell r="A836" t="str">
            <v>49002_1</v>
          </cell>
        </row>
        <row r="837">
          <cell r="A837" t="str">
            <v>49002_2</v>
          </cell>
        </row>
        <row r="838">
          <cell r="A838" t="str">
            <v>49003_1</v>
          </cell>
        </row>
        <row r="839">
          <cell r="A839" t="str">
            <v>49003_2</v>
          </cell>
        </row>
        <row r="840">
          <cell r="A840" t="str">
            <v>49004_1</v>
          </cell>
        </row>
        <row r="841">
          <cell r="A841" t="str">
            <v>49004_2</v>
          </cell>
        </row>
        <row r="842">
          <cell r="A842" t="str">
            <v>49004_3</v>
          </cell>
        </row>
        <row r="843">
          <cell r="A843" t="str">
            <v>49005_1</v>
          </cell>
        </row>
        <row r="844">
          <cell r="A844" t="str">
            <v>49006_1</v>
          </cell>
        </row>
        <row r="845">
          <cell r="A845" t="str">
            <v>49006_2</v>
          </cell>
        </row>
        <row r="846">
          <cell r="A846" t="str">
            <v>49007_1</v>
          </cell>
        </row>
        <row r="847">
          <cell r="A847" t="str">
            <v>49007_2</v>
          </cell>
        </row>
        <row r="848">
          <cell r="A848" t="str">
            <v>49007_3</v>
          </cell>
        </row>
        <row r="849">
          <cell r="A849" t="str">
            <v>49008_1</v>
          </cell>
        </row>
        <row r="850">
          <cell r="A850" t="str">
            <v>49009_1</v>
          </cell>
        </row>
        <row r="851">
          <cell r="A851" t="str">
            <v>49010_1</v>
          </cell>
        </row>
        <row r="852">
          <cell r="A852" t="str">
            <v>49011_1</v>
          </cell>
        </row>
        <row r="853">
          <cell r="A853" t="str">
            <v>49012_1</v>
          </cell>
        </row>
        <row r="854">
          <cell r="A854" t="str">
            <v>49013_1</v>
          </cell>
        </row>
        <row r="855">
          <cell r="A855" t="str">
            <v>50001_1</v>
          </cell>
        </row>
        <row r="856">
          <cell r="A856" t="str">
            <v>50002_1</v>
          </cell>
        </row>
        <row r="857">
          <cell r="A857" t="str">
            <v>50003_1</v>
          </cell>
        </row>
        <row r="858">
          <cell r="A858" t="str">
            <v>50004_1</v>
          </cell>
        </row>
        <row r="859">
          <cell r="A859" t="str">
            <v>50005_1</v>
          </cell>
        </row>
        <row r="860">
          <cell r="A860" t="str">
            <v>50006_1</v>
          </cell>
        </row>
        <row r="861">
          <cell r="A861" t="str">
            <v>50007_1</v>
          </cell>
        </row>
        <row r="862">
          <cell r="A862" t="str">
            <v>50008_1</v>
          </cell>
        </row>
        <row r="863">
          <cell r="A863" t="str">
            <v>50009_1</v>
          </cell>
        </row>
        <row r="864">
          <cell r="A864" t="str">
            <v>50010_1</v>
          </cell>
        </row>
        <row r="865">
          <cell r="A865" t="str">
            <v>50011_1</v>
          </cell>
        </row>
        <row r="866">
          <cell r="A866" t="str">
            <v>50012_1</v>
          </cell>
        </row>
        <row r="867">
          <cell r="A867" t="str">
            <v>50013_1</v>
          </cell>
        </row>
        <row r="868">
          <cell r="A868" t="str">
            <v>51001_1</v>
          </cell>
        </row>
        <row r="869">
          <cell r="A869" t="str">
            <v>51002_1</v>
          </cell>
        </row>
        <row r="870">
          <cell r="A870" t="str">
            <v>59001_1</v>
          </cell>
        </row>
        <row r="871">
          <cell r="A871" t="str">
            <v>60001_1</v>
          </cell>
        </row>
        <row r="872">
          <cell r="A872" t="str">
            <v>60002_1</v>
          </cell>
        </row>
        <row r="873">
          <cell r="A873" t="str">
            <v>60002_2</v>
          </cell>
        </row>
        <row r="874">
          <cell r="A874" t="str">
            <v>60003_1</v>
          </cell>
        </row>
        <row r="875">
          <cell r="A875" t="str">
            <v>60003_2</v>
          </cell>
        </row>
        <row r="876">
          <cell r="A876" t="str">
            <v>60003_3</v>
          </cell>
        </row>
        <row r="877">
          <cell r="A877" t="str">
            <v>60004_1</v>
          </cell>
        </row>
        <row r="878">
          <cell r="A878" t="str">
            <v>60005_1</v>
          </cell>
        </row>
        <row r="879">
          <cell r="A879" t="str">
            <v>60006_1</v>
          </cell>
        </row>
        <row r="880">
          <cell r="A880" t="str">
            <v>60006_2</v>
          </cell>
        </row>
        <row r="881">
          <cell r="A881" t="str">
            <v>60006_3</v>
          </cell>
        </row>
        <row r="882">
          <cell r="A882" t="str">
            <v>60007_1</v>
          </cell>
        </row>
        <row r="883">
          <cell r="A883" t="str">
            <v>60007_2</v>
          </cell>
        </row>
        <row r="884">
          <cell r="A884" t="str">
            <v>60007_3</v>
          </cell>
        </row>
        <row r="885">
          <cell r="A885" t="str">
            <v>60010_1</v>
          </cell>
        </row>
        <row r="886">
          <cell r="A886" t="str">
            <v>60011_1</v>
          </cell>
        </row>
        <row r="887">
          <cell r="A887" t="str">
            <v>60011_2</v>
          </cell>
        </row>
        <row r="888">
          <cell r="A888" t="str">
            <v>60012_1</v>
          </cell>
        </row>
        <row r="889">
          <cell r="A889" t="str">
            <v>60013_1</v>
          </cell>
        </row>
        <row r="890">
          <cell r="A890" t="str">
            <v>60013_2</v>
          </cell>
        </row>
        <row r="891">
          <cell r="A891" t="str">
            <v>60013_3</v>
          </cell>
        </row>
        <row r="892">
          <cell r="A892" t="str">
            <v>60014_1</v>
          </cell>
        </row>
        <row r="893">
          <cell r="A893" t="str">
            <v>60015_1</v>
          </cell>
        </row>
        <row r="894">
          <cell r="A894" t="str">
            <v>60016_1</v>
          </cell>
        </row>
        <row r="895">
          <cell r="A895" t="str">
            <v>60017_1</v>
          </cell>
        </row>
        <row r="896">
          <cell r="A896" t="str">
            <v>60018_1</v>
          </cell>
        </row>
        <row r="897">
          <cell r="A897" t="str">
            <v>60019_1</v>
          </cell>
        </row>
        <row r="898">
          <cell r="A898" t="str">
            <v>60020_1</v>
          </cell>
        </row>
        <row r="899">
          <cell r="A899" t="str">
            <v>60021_3</v>
          </cell>
        </row>
        <row r="900">
          <cell r="A900" t="str">
            <v>60022_3</v>
          </cell>
        </row>
        <row r="901">
          <cell r="A901" t="str">
            <v>60023_3</v>
          </cell>
        </row>
        <row r="902">
          <cell r="A902" t="str">
            <v>60024_3</v>
          </cell>
        </row>
        <row r="903">
          <cell r="A903" t="str">
            <v>60025_1</v>
          </cell>
        </row>
        <row r="904">
          <cell r="A904" t="str">
            <v>60026_1</v>
          </cell>
        </row>
        <row r="905">
          <cell r="A905" t="str">
            <v>61011_1</v>
          </cell>
        </row>
        <row r="906">
          <cell r="A906" t="str">
            <v>60027_1</v>
          </cell>
        </row>
        <row r="907">
          <cell r="A907" t="str">
            <v>65525_1</v>
          </cell>
        </row>
        <row r="908">
          <cell r="A908" t="str">
            <v>65526_1</v>
          </cell>
        </row>
        <row r="909">
          <cell r="A909" t="str">
            <v>65526_2</v>
          </cell>
        </row>
        <row r="910">
          <cell r="A910" t="str">
            <v>65527_1</v>
          </cell>
        </row>
        <row r="911">
          <cell r="A911" t="str">
            <v>65528_1</v>
          </cell>
        </row>
        <row r="912">
          <cell r="A912" t="str">
            <v>65529_1</v>
          </cell>
        </row>
        <row r="913">
          <cell r="A913" t="str">
            <v>65530_1</v>
          </cell>
        </row>
        <row r="914">
          <cell r="A914" t="str">
            <v>65531_1</v>
          </cell>
        </row>
        <row r="915">
          <cell r="A915" t="str">
            <v>65531_2</v>
          </cell>
        </row>
        <row r="916">
          <cell r="A916" t="str">
            <v>65532_1</v>
          </cell>
        </row>
        <row r="917">
          <cell r="A917" t="str">
            <v>65532_2</v>
          </cell>
        </row>
        <row r="918">
          <cell r="A918" t="str">
            <v>65533_1</v>
          </cell>
        </row>
        <row r="919">
          <cell r="A919" t="str">
            <v>65533_2</v>
          </cell>
        </row>
        <row r="920">
          <cell r="A920" t="str">
            <v>65534_1</v>
          </cell>
        </row>
        <row r="921">
          <cell r="A921" t="str">
            <v>65535_1</v>
          </cell>
        </row>
        <row r="922">
          <cell r="A922" t="str">
            <v>65535_2</v>
          </cell>
        </row>
        <row r="923">
          <cell r="A923" t="str">
            <v>65535_3</v>
          </cell>
        </row>
        <row r="924">
          <cell r="A924" t="str">
            <v>65535_4</v>
          </cell>
        </row>
        <row r="925">
          <cell r="A925" t="str">
            <v>65535_5</v>
          </cell>
        </row>
        <row r="926">
          <cell r="A926" t="str">
            <v>65535_6</v>
          </cell>
        </row>
        <row r="927">
          <cell r="A927" t="str">
            <v>65535_7</v>
          </cell>
        </row>
        <row r="928">
          <cell r="A928" t="str">
            <v>65535_8</v>
          </cell>
        </row>
        <row r="929">
          <cell r="A929" t="str">
            <v>65535_9</v>
          </cell>
        </row>
        <row r="930">
          <cell r="A930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/>
  </sheetViews>
  <sheetFormatPr baseColWidth="12" defaultRowHeight="15" x14ac:dyDescent="0.15"/>
  <cols>
    <col min="2" max="2" width="17.5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129</v>
      </c>
      <c r="B1" s="54" t="s">
        <v>99</v>
      </c>
      <c r="C1" s="54" t="s">
        <v>100</v>
      </c>
      <c r="D1" s="54" t="s">
        <v>101</v>
      </c>
      <c r="E1" s="54" t="s">
        <v>102</v>
      </c>
      <c r="F1" s="54" t="s">
        <v>103</v>
      </c>
      <c r="G1" s="54" t="s">
        <v>104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269</v>
      </c>
      <c r="B2" s="56" t="s">
        <v>105</v>
      </c>
      <c r="C2" s="62">
        <v>47005</v>
      </c>
      <c r="D2" s="56" t="s">
        <v>106</v>
      </c>
      <c r="E2" s="55" t="str">
        <f>B2&amp;C2&amp;D2</f>
        <v>floors_47005.tmp</v>
      </c>
      <c r="F2" s="56" t="s">
        <v>107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269</v>
      </c>
      <c r="B3" s="56" t="s">
        <v>108</v>
      </c>
      <c r="C3" s="62">
        <v>47005</v>
      </c>
      <c r="D3" s="56" t="s">
        <v>106</v>
      </c>
      <c r="E3" s="55" t="str">
        <f>B3&amp;C3&amp;D3</f>
        <v>enemy_habitats_47005.tmp</v>
      </c>
      <c r="F3" s="56" t="s">
        <v>109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53</v>
      </c>
      <c r="AD3" s="57" t="s">
        <v>177</v>
      </c>
    </row>
    <row r="4" spans="1:30" x14ac:dyDescent="0.15">
      <c r="A4" s="60" t="s">
        <v>269</v>
      </c>
      <c r="B4" s="56" t="s">
        <v>110</v>
      </c>
      <c r="C4" s="62">
        <v>47005</v>
      </c>
      <c r="D4" s="56" t="s">
        <v>106</v>
      </c>
      <c r="E4" s="55" t="str">
        <f>B4&amp;C4&amp;D4</f>
        <v>enemy_habitat_S_47005.tmp</v>
      </c>
      <c r="F4" s="56" t="s">
        <v>111</v>
      </c>
      <c r="G4" s="57" t="s">
        <v>0</v>
      </c>
      <c r="H4" s="57" t="s">
        <v>1</v>
      </c>
      <c r="I4" s="57" t="s">
        <v>13</v>
      </c>
      <c r="J4" s="57" t="s">
        <v>53</v>
      </c>
      <c r="K4" s="57" t="s">
        <v>54</v>
      </c>
      <c r="L4" s="57" t="s">
        <v>55</v>
      </c>
      <c r="M4" s="57" t="s">
        <v>56</v>
      </c>
      <c r="N4" s="57" t="s">
        <v>57</v>
      </c>
      <c r="O4" s="57" t="s">
        <v>58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269</v>
      </c>
      <c r="B5" s="56" t="s">
        <v>112</v>
      </c>
      <c r="C5" s="62">
        <v>47005</v>
      </c>
      <c r="D5" s="56" t="s">
        <v>106</v>
      </c>
      <c r="E5" s="55" t="str">
        <f>B5&amp;C5&amp;D5</f>
        <v>enemy_skill_sets_47005.tmp</v>
      </c>
      <c r="F5" s="56" t="s">
        <v>113</v>
      </c>
      <c r="G5" s="58" t="s">
        <v>22</v>
      </c>
      <c r="H5" s="58" t="s">
        <v>98</v>
      </c>
      <c r="I5" s="58" t="s">
        <v>93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269</v>
      </c>
      <c r="B6" s="56" t="s">
        <v>114</v>
      </c>
      <c r="C6" s="62">
        <v>47005</v>
      </c>
      <c r="D6" s="56" t="s">
        <v>115</v>
      </c>
      <c r="E6" s="55" t="str">
        <f t="shared" ref="E6:E10" si="0">B6&amp;C6&amp;D6</f>
        <v>enemy_skills_tmp_47005.tmp</v>
      </c>
      <c r="F6" s="56" t="s">
        <v>89</v>
      </c>
      <c r="G6" s="57" t="s">
        <v>78</v>
      </c>
      <c r="H6" s="57" t="s">
        <v>79</v>
      </c>
      <c r="I6" s="57" t="s">
        <v>80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269</v>
      </c>
      <c r="B7" s="56" t="s">
        <v>116</v>
      </c>
      <c r="C7" s="62">
        <v>47005</v>
      </c>
      <c r="D7" s="56" t="s">
        <v>106</v>
      </c>
      <c r="E7" s="55" t="str">
        <f>B7&amp;C7&amp;D7</f>
        <v>enemy_skills_i18n_47005.tmp</v>
      </c>
      <c r="F7" s="56" t="s">
        <v>117</v>
      </c>
      <c r="G7" s="57" t="s">
        <v>78</v>
      </c>
      <c r="H7" s="57" t="s">
        <v>90</v>
      </c>
      <c r="I7" s="57" t="s">
        <v>91</v>
      </c>
      <c r="J7" s="57" t="s">
        <v>92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269</v>
      </c>
      <c r="B8" s="56" t="s">
        <v>118</v>
      </c>
      <c r="C8" s="62">
        <v>47005</v>
      </c>
      <c r="D8" s="56" t="s">
        <v>119</v>
      </c>
      <c r="E8" s="55" t="str">
        <f t="shared" si="0"/>
        <v>enemy_skill_triggers_47005.tmp</v>
      </c>
      <c r="F8" s="56" t="s">
        <v>120</v>
      </c>
      <c r="G8" s="57" t="s">
        <v>93</v>
      </c>
      <c r="H8" s="57" t="s">
        <v>94</v>
      </c>
      <c r="I8" s="57" t="s">
        <v>95</v>
      </c>
      <c r="J8" s="57" t="s">
        <v>96</v>
      </c>
      <c r="K8" s="57" t="s">
        <v>121</v>
      </c>
      <c r="L8" s="57" t="s">
        <v>97</v>
      </c>
      <c r="M8" s="57" t="s">
        <v>122</v>
      </c>
      <c r="N8" s="57" t="s">
        <v>123</v>
      </c>
      <c r="O8" s="57" t="s">
        <v>124</v>
      </c>
      <c r="P8" s="57" t="s">
        <v>66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269</v>
      </c>
      <c r="B9" s="67" t="s">
        <v>176</v>
      </c>
      <c r="C9" s="62">
        <v>47005</v>
      </c>
      <c r="D9" s="67" t="s">
        <v>170</v>
      </c>
      <c r="E9" s="68" t="str">
        <f t="shared" si="0"/>
        <v>stage_bug_bonuses_47005.tmp</v>
      </c>
      <c r="F9" s="67" t="s">
        <v>171</v>
      </c>
      <c r="G9" s="64" t="s">
        <v>149</v>
      </c>
      <c r="H9" s="64" t="s">
        <v>172</v>
      </c>
      <c r="I9" s="64" t="s">
        <v>173</v>
      </c>
      <c r="J9" s="66" t="s">
        <v>174</v>
      </c>
      <c r="K9" s="64" t="s">
        <v>175</v>
      </c>
      <c r="L9" s="64" t="s">
        <v>155</v>
      </c>
      <c r="M9" s="64" t="s">
        <v>156</v>
      </c>
      <c r="N9" s="64" t="s">
        <v>157</v>
      </c>
      <c r="O9" s="64" t="s">
        <v>158</v>
      </c>
      <c r="P9" s="64" t="s">
        <v>159</v>
      </c>
      <c r="Q9" s="64" t="s">
        <v>160</v>
      </c>
      <c r="R9" s="64" t="s">
        <v>161</v>
      </c>
      <c r="S9" s="64" t="s">
        <v>162</v>
      </c>
      <c r="T9" s="64" t="s">
        <v>163</v>
      </c>
      <c r="U9" s="64" t="s">
        <v>164</v>
      </c>
      <c r="V9" s="64" t="s">
        <v>165</v>
      </c>
      <c r="W9" s="64" t="s">
        <v>166</v>
      </c>
      <c r="X9" s="56"/>
      <c r="Y9" s="56"/>
      <c r="Z9" s="56"/>
      <c r="AA9" s="56"/>
      <c r="AB9" s="56"/>
      <c r="AC9" s="56"/>
      <c r="AD9" s="56"/>
    </row>
    <row r="10" spans="1:30" s="75" customFormat="1" x14ac:dyDescent="0.15">
      <c r="A10" s="60" t="s">
        <v>186</v>
      </c>
      <c r="B10" s="67" t="s">
        <v>201</v>
      </c>
      <c r="C10" s="62">
        <v>47005</v>
      </c>
      <c r="D10" s="67" t="s">
        <v>179</v>
      </c>
      <c r="E10" s="68" t="str">
        <f t="shared" si="0"/>
        <v>stage_hints_data_c_47005.tmp</v>
      </c>
      <c r="F10" s="67" t="s">
        <v>209</v>
      </c>
      <c r="G10" s="73" t="s">
        <v>180</v>
      </c>
      <c r="H10" s="73" t="s">
        <v>172</v>
      </c>
      <c r="I10" s="74" t="s">
        <v>181</v>
      </c>
      <c r="J10" s="66" t="s">
        <v>182</v>
      </c>
      <c r="K10" s="66" t="s">
        <v>183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0" t="s">
        <v>269</v>
      </c>
      <c r="B11" s="67" t="s">
        <v>202</v>
      </c>
      <c r="C11" s="62">
        <v>47005</v>
      </c>
      <c r="D11" s="67" t="s">
        <v>170</v>
      </c>
      <c r="E11" s="68" t="str">
        <f t="shared" ref="E11:E13" si="1">B11&amp;C11&amp;D11</f>
        <v>stage_hints_data_f_47005.tmp</v>
      </c>
      <c r="F11" s="67" t="s">
        <v>210</v>
      </c>
      <c r="G11" s="73" t="s">
        <v>180</v>
      </c>
      <c r="H11" s="73" t="s">
        <v>172</v>
      </c>
      <c r="I11" s="74" t="s">
        <v>181</v>
      </c>
      <c r="J11" s="66" t="s">
        <v>182</v>
      </c>
      <c r="K11" s="66" t="s">
        <v>183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0" t="s">
        <v>269</v>
      </c>
      <c r="B12" s="67" t="s">
        <v>203</v>
      </c>
      <c r="C12" s="62">
        <v>47005</v>
      </c>
      <c r="D12" s="67" t="s">
        <v>170</v>
      </c>
      <c r="E12" s="68" t="str">
        <f t="shared" si="1"/>
        <v>stage_hints_i18n_47005.tmp</v>
      </c>
      <c r="F12" s="67" t="s">
        <v>211</v>
      </c>
      <c r="G12" s="74" t="s">
        <v>204</v>
      </c>
      <c r="H12" s="93" t="s">
        <v>205</v>
      </c>
      <c r="I12" s="73" t="s">
        <v>206</v>
      </c>
      <c r="J12" s="101" t="s">
        <v>207</v>
      </c>
      <c r="K12" s="66" t="s">
        <v>208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0" t="s">
        <v>269</v>
      </c>
      <c r="B13" s="67" t="s">
        <v>251</v>
      </c>
      <c r="C13" s="62">
        <v>47005</v>
      </c>
      <c r="D13" s="67" t="s">
        <v>232</v>
      </c>
      <c r="E13" s="68" t="str">
        <f t="shared" si="1"/>
        <v>stage_bonuses_47005.tmp</v>
      </c>
      <c r="F13" s="67" t="s">
        <v>231</v>
      </c>
      <c r="G13" s="73" t="s">
        <v>233</v>
      </c>
      <c r="H13" s="73" t="s">
        <v>234</v>
      </c>
      <c r="I13" s="73" t="s">
        <v>235</v>
      </c>
      <c r="J13" s="73" t="s">
        <v>236</v>
      </c>
      <c r="K13" s="73" t="s">
        <v>237</v>
      </c>
      <c r="L13" s="73" t="s">
        <v>238</v>
      </c>
      <c r="M13" s="73" t="s">
        <v>239</v>
      </c>
      <c r="N13" s="73" t="s">
        <v>240</v>
      </c>
      <c r="O13" s="73" t="s">
        <v>241</v>
      </c>
      <c r="P13" s="73" t="s">
        <v>242</v>
      </c>
      <c r="Q13" s="73" t="s">
        <v>243</v>
      </c>
      <c r="R13" s="73" t="s">
        <v>244</v>
      </c>
      <c r="S13" s="73" t="s">
        <v>245</v>
      </c>
      <c r="T13" s="73" t="s">
        <v>246</v>
      </c>
      <c r="U13" s="73" t="s">
        <v>247</v>
      </c>
      <c r="V13" s="73" t="s">
        <v>248</v>
      </c>
      <c r="W13" s="73" t="s">
        <v>249</v>
      </c>
      <c r="X13" s="73" t="s">
        <v>250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22.832031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47005_1-1</v>
      </c>
      <c r="B2" s="16" t="str">
        <f>IF(COUNTIF(enemy_habitats!$H:$H,A2),"OK","NG")</f>
        <v>OK</v>
      </c>
      <c r="C2" s="7">
        <v>47005</v>
      </c>
      <c r="D2" s="11" t="str">
        <f ca="1">VLOOKUP($C2,OFFSET([2]quests!$A$1,0,0,COUNTA([2]quests!$A:$A),MATCH(D$1,[2]quests!$1:$1,0)-MATCH($C$1,[2]quests!$1:$1,0)+1),MATCH(D$1,[2]quests!$1:$1,0)-MATCH($C$1,[2]quests!$1:$1,0)+1,FALSE)</f>
        <v>年を越える儀式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1</v>
      </c>
      <c r="G2" s="23" t="str">
        <f>C2&amp;"_"&amp;F2</f>
        <v>47005_1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【ウィザード級】年を越える儀式</v>
      </c>
      <c r="I2" s="21">
        <v>1</v>
      </c>
      <c r="J2" s="12">
        <v>50</v>
      </c>
      <c r="K2" s="12">
        <v>50</v>
      </c>
    </row>
    <row r="3" spans="1:11" ht="21" customHeight="1" x14ac:dyDescent="0.15">
      <c r="A3" s="16" t="str">
        <f t="shared" ref="A3:A6" si="0">G3&amp;"-"&amp;I3</f>
        <v>47005_1-2</v>
      </c>
      <c r="B3" s="16" t="str">
        <f>IF(COUNTIF(enemy_habitats!$H:$H,A3),"OK","NG")</f>
        <v>OK</v>
      </c>
      <c r="C3" s="7">
        <v>47005</v>
      </c>
      <c r="D3" s="11" t="str">
        <f ca="1">VLOOKUP($C3,OFFSET([2]quests!$A$1,0,0,COUNTA([2]quests!$A:$A),MATCH(D$1,[2]quests!$1:$1,0)-MATCH($C$1,[2]quests!$1:$1,0)+1),MATCH(D$1,[2]quests!$1:$1,0)-MATCH($C$1,[2]quests!$1:$1,0)+1,FALSE)</f>
        <v>年を越える儀式</v>
      </c>
      <c r="E3" s="18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21">
        <v>1</v>
      </c>
      <c r="G3" s="23" t="str">
        <f t="shared" ref="G3:G6" si="1">C3&amp;"_"&amp;F3</f>
        <v>47005_1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【ウィザード級】年を越える儀式</v>
      </c>
      <c r="I3" s="21">
        <v>2</v>
      </c>
      <c r="J3" s="12">
        <v>30</v>
      </c>
      <c r="K3" s="12">
        <v>30</v>
      </c>
    </row>
    <row r="4" spans="1:11" ht="21" customHeight="1" x14ac:dyDescent="0.15">
      <c r="A4" s="16" t="str">
        <f t="shared" si="0"/>
        <v>47005_1-3</v>
      </c>
      <c r="B4" s="16" t="str">
        <f>IF(COUNTIF(enemy_habitats!$H:$H,A4),"OK","NG")</f>
        <v>OK</v>
      </c>
      <c r="C4" s="7">
        <v>47005</v>
      </c>
      <c r="D4" s="11" t="str">
        <f ca="1">VLOOKUP($C4,OFFSET([2]quests!$A$1,0,0,COUNTA([2]quests!$A:$A),MATCH(D$1,[2]quests!$1:$1,0)-MATCH($C$1,[2]quests!$1:$1,0)+1),MATCH(D$1,[2]quests!$1:$1,0)-MATCH($C$1,[2]quests!$1:$1,0)+1,FALSE)</f>
        <v>年を越える儀式</v>
      </c>
      <c r="E4" s="18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21">
        <v>1</v>
      </c>
      <c r="G4" s="23" t="str">
        <f t="shared" si="1"/>
        <v>47005_1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【ウィザード級】年を越える儀式</v>
      </c>
      <c r="I4" s="21">
        <v>3</v>
      </c>
      <c r="J4" s="12">
        <v>55</v>
      </c>
      <c r="K4" s="12">
        <v>55</v>
      </c>
    </row>
    <row r="5" spans="1:11" ht="21" customHeight="1" x14ac:dyDescent="0.15">
      <c r="A5" s="16" t="str">
        <f t="shared" si="0"/>
        <v>47005_1-4</v>
      </c>
      <c r="B5" s="16" t="str">
        <f>IF(COUNTIF(enemy_habitats!$H:$H,A5),"OK","NG")</f>
        <v>OK</v>
      </c>
      <c r="C5" s="7">
        <v>47005</v>
      </c>
      <c r="D5" s="11" t="str">
        <f ca="1">VLOOKUP($C5,OFFSET([2]quests!$A$1,0,0,COUNTA([2]quests!$A:$A),MATCH(D$1,[2]quests!$1:$1,0)-MATCH($C$1,[2]quests!$1:$1,0)+1),MATCH(D$1,[2]quests!$1:$1,0)-MATCH($C$1,[2]quests!$1:$1,0)+1,FALSE)</f>
        <v>年を越える儀式</v>
      </c>
      <c r="E5" s="18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21">
        <v>1</v>
      </c>
      <c r="G5" s="23" t="str">
        <f t="shared" si="1"/>
        <v>47005_1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【ウィザード級】年を越える儀式</v>
      </c>
      <c r="I5" s="21">
        <v>4</v>
      </c>
      <c r="J5" s="12">
        <v>55</v>
      </c>
      <c r="K5" s="12">
        <v>55</v>
      </c>
    </row>
    <row r="6" spans="1:11" ht="21" customHeight="1" x14ac:dyDescent="0.15">
      <c r="A6" s="16" t="str">
        <f t="shared" si="0"/>
        <v>47005_1-5</v>
      </c>
      <c r="B6" s="16" t="str">
        <f>IF(COUNTIF(enemy_habitats!$H:$H,A6),"OK","NG")</f>
        <v>OK</v>
      </c>
      <c r="C6" s="7">
        <v>47005</v>
      </c>
      <c r="D6" s="11" t="str">
        <f ca="1">VLOOKUP($C6,OFFSET([2]quests!$A$1,0,0,COUNTA([2]quests!$A:$A),MATCH(D$1,[2]quests!$1:$1,0)-MATCH($C$1,[2]quests!$1:$1,0)+1),MATCH(D$1,[2]quests!$1:$1,0)-MATCH($C$1,[2]quests!$1:$1,0)+1,FALSE)</f>
        <v>年を越える儀式</v>
      </c>
      <c r="E6" s="18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21">
        <v>1</v>
      </c>
      <c r="G6" s="23" t="str">
        <f t="shared" si="1"/>
        <v>47005_1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【ウィザード級】年を越える儀式</v>
      </c>
      <c r="I6" s="21">
        <v>5</v>
      </c>
      <c r="J6" s="12">
        <v>35</v>
      </c>
      <c r="K6" s="12">
        <v>35</v>
      </c>
    </row>
    <row r="7" spans="1:11" ht="21" customHeight="1" x14ac:dyDescent="0.15">
      <c r="A7" s="16" t="str">
        <f t="shared" ref="A7" si="2">G7&amp;"-"&amp;I7</f>
        <v>47005_1-6</v>
      </c>
      <c r="B7" s="16" t="str">
        <f>IF(COUNTIF(enemy_habitats!$H:$H,A7),"OK","NG")</f>
        <v>OK</v>
      </c>
      <c r="C7" s="7">
        <v>47005</v>
      </c>
      <c r="D7" s="11" t="str">
        <f ca="1">VLOOKUP($C7,OFFSET([2]quests!$A$1,0,0,COUNTA([2]quests!$A:$A),MATCH(D$1,[2]quests!$1:$1,0)-MATCH($C$1,[2]quests!$1:$1,0)+1),MATCH(D$1,[2]quests!$1:$1,0)-MATCH($C$1,[2]quests!$1:$1,0)+1,FALSE)</f>
        <v>年を越える儀式</v>
      </c>
      <c r="E7" s="18" t="str">
        <f ca="1">VLOOKUP($C7,OFFSET([2]quests!$A$1,0,0,COUNTA([2]quests!$A:$A),MATCH(E$1,[2]quests!$1:$1,0)-MATCH($C$1,[2]quests!$1:$1,0)+1),MATCH(E$1,[2]quests!$1:$1,0)-MATCH($C$1,[2]quests!$1:$1,0)+1,FALSE)</f>
        <v>季節イベント</v>
      </c>
      <c r="F7" s="21">
        <v>1</v>
      </c>
      <c r="G7" s="23" t="str">
        <f t="shared" ref="G7" si="3">C7&amp;"_"&amp;F7</f>
        <v>47005_1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【ウィザード級】年を越える儀式</v>
      </c>
      <c r="I7" s="21">
        <v>6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0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252</v>
      </c>
      <c r="U1" s="26" t="s">
        <v>50</v>
      </c>
      <c r="V1" s="102" t="s">
        <v>253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 ca="1">B2&amp;"_"&amp;C2&amp;"-"&amp;G2&amp;"/"&amp;L2&amp;"&lt;lv"&amp;R2&amp;"&gt;s"&amp;AC2</f>
        <v>47005_1-1/1&lt;lv80&gt;s1</v>
      </c>
      <c r="B2" s="22">
        <v>47005</v>
      </c>
      <c r="C2" s="21">
        <v>1</v>
      </c>
      <c r="D2" s="2" t="str">
        <f>B2&amp;"_"&amp;C2</f>
        <v>47005_1</v>
      </c>
      <c r="E2" s="4" t="str">
        <f ca="1">VLOOKUP($B2,OFFSET([2]quests!$A$1,0,0,COUNTA([2]quests!$A:$A),MATCH(E$1,[2]quests!$1:$1,0)-MATCH($B$1,[2]quests!$1:$1,0)+1),MATCH(E$1,[2]quests!$1:$1,0)-MATCH($B$1,[2]quests!$1:$1,0)+1,FALSE)</f>
        <v>年を越える儀式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【ウィザード級】年を越える儀式</v>
      </c>
      <c r="G2" s="21">
        <v>1</v>
      </c>
      <c r="H2" s="15" t="str">
        <f>B2&amp;"_"&amp;C2&amp;"-"&amp;G2</f>
        <v>47005_1-1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 t="s">
        <v>254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109">
        <v>0.3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4890</v>
      </c>
      <c r="U2" s="109">
        <v>1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5970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(歓迎しているようだ)_x000D_【全属性ダメージ軽減+状態異常耐性】</v>
      </c>
      <c r="Y2" s="61">
        <v>47005001</v>
      </c>
      <c r="Z2" s="6">
        <v>1</v>
      </c>
      <c r="AA2" s="6">
        <v>100</v>
      </c>
      <c r="AB2" s="6">
        <v>0</v>
      </c>
      <c r="AC2" s="17">
        <f ca="1">VLOOKUP($L2,OFFSET([3]enemies!$A$1,0,0,COUNTA([3]enemies!$A:$A),MATCH(AC$1,[3]enemies!$1:$1,0)-MATCH($L$1,[3]enemies!$1:$1,0)+1),MATCH(AC$1,[3]enemies!$1:$1,0)-MATCH($L$1,[3]enemies!$1:$1,0)+1,FALSE)</f>
        <v>1</v>
      </c>
      <c r="AD2" s="24">
        <f>L2</f>
        <v>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ca="1">AF2</f>
        <v>1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ref="A3:A12" si="0">B3&amp;"_"&amp;C3&amp;"-"&amp;G3&amp;"/"&amp;L3&amp;"&lt;lv"&amp;R3&amp;"&gt;s"&amp;AC3</f>
        <v>47005_1-1/68&lt;lv80&gt;s1</v>
      </c>
      <c r="B3" s="22">
        <v>47005</v>
      </c>
      <c r="C3" s="21">
        <v>1</v>
      </c>
      <c r="D3" s="2" t="str">
        <f t="shared" ref="D3:D12" si="1">B3&amp;"_"&amp;C3</f>
        <v>47005_1</v>
      </c>
      <c r="E3" s="4" t="str">
        <f ca="1">VLOOKUP($B3,OFFSET([2]quests!$A$1,0,0,COUNTA([2]quests!$A:$A),MATCH(E$1,[2]quests!$1:$1,0)-MATCH($B$1,[2]quests!$1:$1,0)+1),MATCH(E$1,[2]quests!$1:$1,0)-MATCH($B$1,[2]quests!$1:$1,0)+1,FALSE)</f>
        <v>年を越える儀式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【ウィザード級】年を越える儀式</v>
      </c>
      <c r="G3" s="21">
        <v>1</v>
      </c>
      <c r="H3" s="15" t="str">
        <f t="shared" ref="H3:H12" si="2">B3&amp;"_"&amp;C3&amp;"-"&amp;G3</f>
        <v>47005_1-1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254</v>
      </c>
      <c r="L3" s="20">
        <v>68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ストール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109">
        <v>0.3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7232.4</v>
      </c>
      <c r="U3" s="109">
        <v>1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4481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簡単には通しませんよ_x000D_【全属性ダメージ軽減+状態異常耐性】</v>
      </c>
      <c r="Y3" s="61">
        <v>47005002</v>
      </c>
      <c r="Z3" s="6">
        <v>1</v>
      </c>
      <c r="AA3" s="6">
        <v>100</v>
      </c>
      <c r="AB3" s="6">
        <v>0</v>
      </c>
      <c r="AC3" s="17">
        <v>1</v>
      </c>
      <c r="AD3" s="24">
        <f t="shared" ref="AD3:AD12" si="3">L3</f>
        <v>68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ストール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ref="AI3:AI12" ca="1" si="4">AF3</f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47005_1-1/94&lt;lv80&gt;s5</v>
      </c>
      <c r="B4" s="22">
        <v>47005</v>
      </c>
      <c r="C4" s="21">
        <v>1</v>
      </c>
      <c r="D4" s="2" t="str">
        <f t="shared" si="1"/>
        <v>47005_1</v>
      </c>
      <c r="E4" s="4" t="str">
        <f ca="1">VLOOKUP($B4,OFFSET([2]quests!$A$1,0,0,COUNTA([2]quests!$A:$A),MATCH(E$1,[2]quests!$1:$1,0)-MATCH($B$1,[2]quests!$1:$1,0)+1),MATCH(E$1,[2]quests!$1:$1,0)-MATCH($B$1,[2]quests!$1:$1,0)+1,FALSE)</f>
        <v>年を越える儀式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【ウィザード級】年を越える儀式</v>
      </c>
      <c r="G4" s="21">
        <v>1</v>
      </c>
      <c r="H4" s="15" t="str">
        <f t="shared" si="2"/>
        <v>47005_1-1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 t="s">
        <v>254</v>
      </c>
      <c r="L4" s="20">
        <v>94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白虎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80</v>
      </c>
      <c r="S4" s="109">
        <v>0.2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17571.400000000001</v>
      </c>
      <c r="U4" s="109">
        <v>0.5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5636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いざ、勝負！_x000D_【全属性ダメージ軽減+状態異常耐性】</v>
      </c>
      <c r="Y4" s="61">
        <v>47005003</v>
      </c>
      <c r="Z4" s="6">
        <v>1</v>
      </c>
      <c r="AA4" s="6">
        <v>100</v>
      </c>
      <c r="AB4" s="6">
        <v>0</v>
      </c>
      <c r="AC4" s="17">
        <v>5</v>
      </c>
      <c r="AD4" s="24">
        <f t="shared" si="3"/>
        <v>94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白虎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t="shared" ca="1" si="4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47005_1-2/59&lt;lv80&gt;s1</v>
      </c>
      <c r="B5" s="22">
        <v>47005</v>
      </c>
      <c r="C5" s="21">
        <v>1</v>
      </c>
      <c r="D5" s="2" t="str">
        <f t="shared" si="1"/>
        <v>47005_1</v>
      </c>
      <c r="E5" s="4" t="str">
        <f ca="1">VLOOKUP($B5,OFFSET([2]quests!$A$1,0,0,COUNTA([2]quests!$A:$A),MATCH(E$1,[2]quests!$1:$1,0)-MATCH($B$1,[2]quests!$1:$1,0)+1),MATCH(E$1,[2]quests!$1:$1,0)-MATCH($B$1,[2]quests!$1:$1,0)+1,FALSE)</f>
        <v>年を越える儀式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【ウィザード級】年を越える儀式</v>
      </c>
      <c r="G5" s="21">
        <v>2</v>
      </c>
      <c r="H5" s="15" t="str">
        <f t="shared" si="2"/>
        <v>47005_1-2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254</v>
      </c>
      <c r="L5" s="20">
        <v>59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マーチ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80</v>
      </c>
      <c r="S5" s="110">
        <v>4.5999999999999996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61184.6</v>
      </c>
      <c r="U5" s="110">
        <v>1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4112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HP100%で復活</v>
      </c>
      <c r="Y5" s="61">
        <v>47005004</v>
      </c>
      <c r="Z5" s="6">
        <v>1</v>
      </c>
      <c r="AA5" s="6">
        <v>100</v>
      </c>
      <c r="AB5" s="6">
        <v>0</v>
      </c>
      <c r="AC5" s="17">
        <v>1</v>
      </c>
      <c r="AD5" s="24">
        <f t="shared" si="3"/>
        <v>59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マーチ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4">
        <f t="shared" ca="1" si="4"/>
        <v>2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ca="1" si="0"/>
        <v>47005_1-2/41&lt;lv80&gt;s1</v>
      </c>
      <c r="B6" s="22">
        <v>47005</v>
      </c>
      <c r="C6" s="21">
        <v>1</v>
      </c>
      <c r="D6" s="2" t="str">
        <f t="shared" si="1"/>
        <v>47005_1</v>
      </c>
      <c r="E6" s="4" t="str">
        <f ca="1">VLOOKUP($B6,OFFSET([2]quests!$A$1,0,0,COUNTA([2]quests!$A:$A),MATCH(E$1,[2]quests!$1:$1,0)-MATCH($B$1,[2]quests!$1:$1,0)+1),MATCH(E$1,[2]quests!$1:$1,0)-MATCH($B$1,[2]quests!$1:$1,0)+1,FALSE)</f>
        <v>年を越える儀式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【ウィザード級】年を越える儀式</v>
      </c>
      <c r="G6" s="21">
        <v>2</v>
      </c>
      <c r="H6" s="15" t="str">
        <f t="shared" si="2"/>
        <v>47005_1-2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 t="s">
        <v>254</v>
      </c>
      <c r="L6" s="20">
        <v>41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ヒュウガ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80</v>
      </c>
      <c r="S6" s="110">
        <v>99.9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1872625.5</v>
      </c>
      <c r="U6" s="110">
        <v>0.9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6567.3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6" s="61">
        <v>47005005</v>
      </c>
      <c r="Z6" s="6">
        <v>1</v>
      </c>
      <c r="AA6" s="6">
        <v>100</v>
      </c>
      <c r="AB6" s="6">
        <v>0</v>
      </c>
      <c r="AC6" s="17">
        <f ca="1">VLOOKUP($L6,OFFSET([3]enemies!$A$1,0,0,COUNTA([3]enemies!$A:$A),MATCH(AC$1,[3]enemies!$1:$1,0)-MATCH($L$1,[3]enemies!$1:$1,0)+1),MATCH(AC$1,[3]enemies!$1:$1,0)-MATCH($L$1,[3]enemies!$1:$1,0)+1,FALSE)</f>
        <v>1</v>
      </c>
      <c r="AD6" s="24">
        <f t="shared" si="3"/>
        <v>41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ヒュウガ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7">
        <v>1</v>
      </c>
      <c r="AI6" s="24">
        <f t="shared" ca="1" si="4"/>
        <v>2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ca="1" si="0"/>
        <v>47005_1-3/599&lt;lv80&gt;s3</v>
      </c>
      <c r="B7" s="22">
        <v>47005</v>
      </c>
      <c r="C7" s="21">
        <v>1</v>
      </c>
      <c r="D7" s="2" t="str">
        <f t="shared" si="1"/>
        <v>47005_1</v>
      </c>
      <c r="E7" s="4" t="str">
        <f ca="1">VLOOKUP($B7,OFFSET([2]quests!$A$1,0,0,COUNTA([2]quests!$A:$A),MATCH(E$1,[2]quests!$1:$1,0)-MATCH($B$1,[2]quests!$1:$1,0)+1),MATCH(E$1,[2]quests!$1:$1,0)-MATCH($B$1,[2]quests!$1:$1,0)+1,FALSE)</f>
        <v>年を越える儀式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【ウィザード級】年を越える儀式</v>
      </c>
      <c r="G7" s="21">
        <v>3</v>
      </c>
      <c r="H7" s="15" t="str">
        <f t="shared" si="2"/>
        <v>47005_1-3</v>
      </c>
      <c r="I7" s="4">
        <f ca="1">VLOOKUP($H7,OFFSET(floors!$A$1,0,0,COUNTA(floors!$A:$A),MATCH(I$1,floors!$1:$1,0)-MATCH($H$1,floors!$1:$1,0)+1),MATCH(I$1,floors!$1:$1,0)-MATCH($H$1,floors!$1:$1,0)+1,FALSE)</f>
        <v>55</v>
      </c>
      <c r="J7" s="4">
        <f ca="1">VLOOKUP($H7,OFFSET(floors!$A$1,0,0,COUNTA(floors!$A:$A),MATCH(J$1,floors!$1:$1,0)-MATCH($H$1,floors!$1:$1,0)+1),MATCH(J$1,floors!$1:$1,0)-MATCH($H$1,floors!$1:$1,0)+1,FALSE)</f>
        <v>55</v>
      </c>
      <c r="K7" s="38" t="s">
        <v>254</v>
      </c>
      <c r="L7" s="20">
        <v>599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ニーズヘッグ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25</v>
      </c>
      <c r="R7" s="5">
        <v>80</v>
      </c>
      <c r="S7" s="111">
        <v>1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114719</v>
      </c>
      <c r="U7" s="111">
        <v>0.6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6835.8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1ターンスキルバインド</v>
      </c>
      <c r="Y7" s="61">
        <v>47005006</v>
      </c>
      <c r="Z7" s="6">
        <v>1</v>
      </c>
      <c r="AA7" s="6">
        <v>100</v>
      </c>
      <c r="AB7" s="6">
        <v>0</v>
      </c>
      <c r="AC7" s="17">
        <f ca="1">VLOOKUP($L7,OFFSET([3]enemies!$A$1,0,0,COUNTA([3]enemies!$A:$A),MATCH(AC$1,[3]enemies!$1:$1,0)-MATCH($L$1,[3]enemies!$1:$1,0)+1),MATCH(AC$1,[3]enemies!$1:$1,0)-MATCH($L$1,[3]enemies!$1:$1,0)+1,FALSE)</f>
        <v>3</v>
      </c>
      <c r="AD7" s="24">
        <f t="shared" si="3"/>
        <v>599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ニーズヘッグ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4">
        <f t="shared" ca="1" si="4"/>
        <v>3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47005_1-3/1210&lt;lv80&gt;s1</v>
      </c>
      <c r="B8" s="22">
        <v>47005</v>
      </c>
      <c r="C8" s="21">
        <v>1</v>
      </c>
      <c r="D8" s="2" t="str">
        <f t="shared" si="1"/>
        <v>47005_1</v>
      </c>
      <c r="E8" s="4" t="str">
        <f ca="1">VLOOKUP($B8,OFFSET([2]quests!$A$1,0,0,COUNTA([2]quests!$A:$A),MATCH(E$1,[2]quests!$1:$1,0)-MATCH($B$1,[2]quests!$1:$1,0)+1),MATCH(E$1,[2]quests!$1:$1,0)-MATCH($B$1,[2]quests!$1:$1,0)+1,FALSE)</f>
        <v>年を越える儀式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【ウィザード級】年を越える儀式</v>
      </c>
      <c r="G8" s="21">
        <v>3</v>
      </c>
      <c r="H8" s="15" t="str">
        <f t="shared" si="2"/>
        <v>47005_1-3</v>
      </c>
      <c r="I8" s="4">
        <f ca="1">VLOOKUP($H8,OFFSET(floors!$A$1,0,0,COUNTA(floors!$A:$A),MATCH(I$1,floors!$1:$1,0)-MATCH($H$1,floors!$1:$1,0)+1),MATCH(I$1,floors!$1:$1,0)-MATCH($H$1,floors!$1:$1,0)+1,FALSE)</f>
        <v>55</v>
      </c>
      <c r="J8" s="4">
        <f ca="1">VLOOKUP($H8,OFFSET(floors!$A$1,0,0,COUNTA(floors!$A:$A),MATCH(J$1,floors!$1:$1,0)-MATCH($H$1,floors!$1:$1,0)+1),MATCH(J$1,floors!$1:$1,0)-MATCH($H$1,floors!$1:$1,0)+1,FALSE)</f>
        <v>55</v>
      </c>
      <c r="K8" s="38" t="s">
        <v>254</v>
      </c>
      <c r="L8" s="20">
        <v>1210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ケンタウロス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80</v>
      </c>
      <c r="S8" s="111">
        <v>3.8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394234.8</v>
      </c>
      <c r="U8" s="111">
        <v>0.6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6592.2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敵全体の行動頻度UP</v>
      </c>
      <c r="Y8" s="61">
        <v>47005007</v>
      </c>
      <c r="Z8" s="6">
        <v>1</v>
      </c>
      <c r="AA8" s="6">
        <v>100</v>
      </c>
      <c r="AB8" s="6">
        <v>0</v>
      </c>
      <c r="AC8" s="17">
        <v>1</v>
      </c>
      <c r="AD8" s="24">
        <f t="shared" si="3"/>
        <v>1210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ケンタウロス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4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0"/>
        <v>47005_1-4/748&lt;lv80&gt;s2</v>
      </c>
      <c r="B9" s="22">
        <v>47005</v>
      </c>
      <c r="C9" s="21">
        <v>1</v>
      </c>
      <c r="D9" s="2" t="str">
        <f t="shared" si="1"/>
        <v>47005_1</v>
      </c>
      <c r="E9" s="4" t="str">
        <f ca="1">VLOOKUP($B9,OFFSET([2]quests!$A$1,0,0,COUNTA([2]quests!$A:$A),MATCH(E$1,[2]quests!$1:$1,0)-MATCH($B$1,[2]quests!$1:$1,0)+1),MATCH(E$1,[2]quests!$1:$1,0)-MATCH($B$1,[2]quests!$1:$1,0)+1,FALSE)</f>
        <v>年を越える儀式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【ウィザード級】年を越える儀式</v>
      </c>
      <c r="G9" s="21">
        <v>4</v>
      </c>
      <c r="H9" s="15" t="str">
        <f t="shared" si="2"/>
        <v>47005_1-4</v>
      </c>
      <c r="I9" s="4">
        <f ca="1">VLOOKUP($H9,OFFSET(floors!$A$1,0,0,COUNTA(floors!$A:$A),MATCH(I$1,floors!$1:$1,0)-MATCH($H$1,floors!$1:$1,0)+1),MATCH(I$1,floors!$1:$1,0)-MATCH($H$1,floors!$1:$1,0)+1,FALSE)</f>
        <v>55</v>
      </c>
      <c r="J9" s="4">
        <f ca="1">VLOOKUP($H9,OFFSET(floors!$A$1,0,0,COUNTA(floors!$A:$A),MATCH(J$1,floors!$1:$1,0)-MATCH($H$1,floors!$1:$1,0)+1),MATCH(J$1,floors!$1:$1,0)-MATCH($H$1,floors!$1:$1,0)+1,FALSE)</f>
        <v>55</v>
      </c>
      <c r="K9" s="38" t="s">
        <v>254</v>
      </c>
      <c r="L9" s="20">
        <v>748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パーン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80</v>
      </c>
      <c r="S9" s="112">
        <v>3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249195</v>
      </c>
      <c r="U9" s="112">
        <v>1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7162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HP100%で復活</v>
      </c>
      <c r="Y9" s="61">
        <v>47005008</v>
      </c>
      <c r="Z9" s="6">
        <v>1</v>
      </c>
      <c r="AA9" s="6">
        <v>100</v>
      </c>
      <c r="AB9" s="6">
        <v>0</v>
      </c>
      <c r="AC9" s="17">
        <v>2</v>
      </c>
      <c r="AD9" s="24">
        <f t="shared" si="3"/>
        <v>748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パーン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7">
        <v>1</v>
      </c>
      <c r="AI9" s="24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47005_1-4/671&lt;lv80&gt;s6</v>
      </c>
      <c r="B10" s="22">
        <v>47005</v>
      </c>
      <c r="C10" s="21">
        <v>1</v>
      </c>
      <c r="D10" s="2" t="str">
        <f t="shared" si="1"/>
        <v>47005_1</v>
      </c>
      <c r="E10" s="4" t="str">
        <f ca="1">VLOOKUP($B10,OFFSET([2]quests!$A$1,0,0,COUNTA([2]quests!$A:$A),MATCH(E$1,[2]quests!$1:$1,0)-MATCH($B$1,[2]quests!$1:$1,0)+1),MATCH(E$1,[2]quests!$1:$1,0)-MATCH($B$1,[2]quests!$1:$1,0)+1,FALSE)</f>
        <v>年を越える儀式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【ウィザード級】年を越える儀式</v>
      </c>
      <c r="G10" s="21">
        <v>4</v>
      </c>
      <c r="H10" s="15" t="str">
        <f t="shared" si="2"/>
        <v>47005_1-4</v>
      </c>
      <c r="I10" s="4">
        <f ca="1">VLOOKUP($H10,OFFSET(floors!$A$1,0,0,COUNTA(floors!$A:$A),MATCH(I$1,floors!$1:$1,0)-MATCH($H$1,floors!$1:$1,0)+1),MATCH(I$1,floors!$1:$1,0)-MATCH($H$1,floors!$1:$1,0)+1,FALSE)</f>
        <v>55</v>
      </c>
      <c r="J10" s="4">
        <f ca="1">VLOOKUP($H10,OFFSET(floors!$A$1,0,0,COUNTA(floors!$A:$A),MATCH(J$1,floors!$1:$1,0)-MATCH($H$1,floors!$1:$1,0)+1),MATCH(J$1,floors!$1:$1,0)-MATCH($H$1,floors!$1:$1,0)+1,FALSE)</f>
        <v>55</v>
      </c>
      <c r="K10" s="38" t="s">
        <v>254</v>
      </c>
      <c r="L10" s="20">
        <v>671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ハヌマーン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25</v>
      </c>
      <c r="R10" s="5">
        <v>80</v>
      </c>
      <c r="S10" s="112">
        <v>1.5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149634</v>
      </c>
      <c r="U10" s="112">
        <v>0.7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7975.0999999999995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仕方ない、通してやるよ_x000D_【全ユニットの攻撃力UP】</v>
      </c>
      <c r="Y10" s="61">
        <v>47005009</v>
      </c>
      <c r="Z10" s="6">
        <v>1</v>
      </c>
      <c r="AA10" s="6">
        <v>100</v>
      </c>
      <c r="AB10" s="6">
        <v>0</v>
      </c>
      <c r="AC10" s="17">
        <v>6</v>
      </c>
      <c r="AD10" s="24">
        <f t="shared" si="3"/>
        <v>671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ハヌマーン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0" s="7">
        <v>1</v>
      </c>
      <c r="AI10" s="24">
        <f t="shared" ca="1" si="4"/>
        <v>3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0"/>
        <v>47005_1-5/85&lt;lv75&gt;s1</v>
      </c>
      <c r="B11" s="22">
        <v>47005</v>
      </c>
      <c r="C11" s="21">
        <v>1</v>
      </c>
      <c r="D11" s="2" t="str">
        <f t="shared" si="1"/>
        <v>47005_1</v>
      </c>
      <c r="E11" s="4" t="str">
        <f ca="1">VLOOKUP($B11,OFFSET([2]quests!$A$1,0,0,COUNTA([2]quests!$A:$A),MATCH(E$1,[2]quests!$1:$1,0)-MATCH($B$1,[2]quests!$1:$1,0)+1),MATCH(E$1,[2]quests!$1:$1,0)-MATCH($B$1,[2]quests!$1:$1,0)+1,FALSE)</f>
        <v>年を越える儀式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【ウィザード級】年を越える儀式</v>
      </c>
      <c r="G11" s="21">
        <v>5</v>
      </c>
      <c r="H11" s="15" t="str">
        <f t="shared" si="2"/>
        <v>47005_1-5</v>
      </c>
      <c r="I11" s="4">
        <f ca="1">VLOOKUP($H11,OFFSET(floors!$A$1,0,0,COUNTA(floors!$A:$A),MATCH(I$1,floors!$1:$1,0)-MATCH($H$1,floors!$1:$1,0)+1),MATCH(I$1,floors!$1:$1,0)-MATCH($H$1,floors!$1:$1,0)+1,FALSE)</f>
        <v>35</v>
      </c>
      <c r="J11" s="4">
        <f ca="1">VLOOKUP($H11,OFFSET(floors!$A$1,0,0,COUNTA(floors!$A:$A),MATCH(J$1,floors!$1:$1,0)-MATCH($H$1,floors!$1:$1,0)+1),MATCH(J$1,floors!$1:$1,0)-MATCH($H$1,floors!$1:$1,0)+1,FALSE)</f>
        <v>35</v>
      </c>
      <c r="K11" s="38" t="s">
        <v>254</v>
      </c>
      <c r="L11" s="20">
        <v>85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朱雀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75</v>
      </c>
      <c r="S11" s="109">
        <v>1.8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196911</v>
      </c>
      <c r="U11" s="109">
        <v>1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6427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HP100%で復活</v>
      </c>
      <c r="Y11" s="61">
        <v>47005010</v>
      </c>
      <c r="Z11" s="6">
        <v>1</v>
      </c>
      <c r="AA11" s="6">
        <v>100</v>
      </c>
      <c r="AB11" s="6">
        <v>0</v>
      </c>
      <c r="AC11" s="17">
        <v>1</v>
      </c>
      <c r="AD11" s="24">
        <f t="shared" si="3"/>
        <v>85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朱雀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4">
        <f t="shared" ca="1" si="4"/>
        <v>3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0"/>
        <v>47005_1-5/25&lt;lv80&gt;s2</v>
      </c>
      <c r="B12" s="22">
        <v>47005</v>
      </c>
      <c r="C12" s="21">
        <v>1</v>
      </c>
      <c r="D12" s="2" t="str">
        <f t="shared" si="1"/>
        <v>47005_1</v>
      </c>
      <c r="E12" s="4" t="str">
        <f ca="1">VLOOKUP($B12,OFFSET([2]quests!$A$1,0,0,COUNTA([2]quests!$A:$A),MATCH(E$1,[2]quests!$1:$1,0)-MATCH($B$1,[2]quests!$1:$1,0)+1),MATCH(E$1,[2]quests!$1:$1,0)-MATCH($B$1,[2]quests!$1:$1,0)+1,FALSE)</f>
        <v>年を越える儀式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【ウィザード級】年を越える儀式</v>
      </c>
      <c r="G12" s="21">
        <v>5</v>
      </c>
      <c r="H12" s="15" t="str">
        <f t="shared" si="2"/>
        <v>47005_1-5</v>
      </c>
      <c r="I12" s="4">
        <f ca="1">VLOOKUP($H12,OFFSET(floors!$A$1,0,0,COUNTA(floors!$A:$A),MATCH(I$1,floors!$1:$1,0)-MATCH($H$1,floors!$1:$1,0)+1),MATCH(I$1,floors!$1:$1,0)-MATCH($H$1,floors!$1:$1,0)+1,FALSE)</f>
        <v>35</v>
      </c>
      <c r="J12" s="4">
        <f ca="1">VLOOKUP($H12,OFFSET(floors!$A$1,0,0,COUNTA(floors!$A:$A),MATCH(J$1,floors!$1:$1,0)-MATCH($H$1,floors!$1:$1,0)+1),MATCH(J$1,floors!$1:$1,0)-MATCH($H$1,floors!$1:$1,0)+1,FALSE)</f>
        <v>35</v>
      </c>
      <c r="K12" s="38" t="s">
        <v>254</v>
      </c>
      <c r="L12" s="20">
        <v>25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ハチ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80</v>
      </c>
      <c r="S12" s="109">
        <v>16.5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389977.5</v>
      </c>
      <c r="U12" s="109">
        <v>1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4481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(負けを認めて応援しているようだ)_x000D_【全ユニットの攻撃力UP】</v>
      </c>
      <c r="Y12" s="61">
        <v>47005011</v>
      </c>
      <c r="Z12" s="6">
        <v>1</v>
      </c>
      <c r="AA12" s="6">
        <v>100</v>
      </c>
      <c r="AB12" s="6">
        <v>0</v>
      </c>
      <c r="AC12" s="17">
        <v>2</v>
      </c>
      <c r="AD12" s="24">
        <f t="shared" si="3"/>
        <v>25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ハチ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1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Drop1N</v>
      </c>
      <c r="AH12" s="7">
        <v>1</v>
      </c>
      <c r="AI12" s="24">
        <f t="shared" ca="1" si="4"/>
        <v>1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ref="A13" si="5">B13&amp;"_"&amp;C13&amp;"-"&amp;G13&amp;"/"&amp;L13&amp;"&lt;lv"&amp;R13&amp;"&gt;s"&amp;AC13</f>
        <v>47005_1-6/1291&lt;lv80&gt;s2</v>
      </c>
      <c r="B13" s="22">
        <v>47005</v>
      </c>
      <c r="C13" s="21">
        <v>1</v>
      </c>
      <c r="D13" s="2" t="str">
        <f t="shared" ref="D13" si="6">B13&amp;"_"&amp;C13</f>
        <v>47005_1</v>
      </c>
      <c r="E13" s="4" t="str">
        <f ca="1">VLOOKUP($B13,OFFSET([2]quests!$A$1,0,0,COUNTA([2]quests!$A:$A),MATCH(E$1,[2]quests!$1:$1,0)-MATCH($B$1,[2]quests!$1:$1,0)+1),MATCH(E$1,[2]quests!$1:$1,0)-MATCH($B$1,[2]quests!$1:$1,0)+1,FALSE)</f>
        <v>年を越える儀式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【ウィザード級】年を越える儀式</v>
      </c>
      <c r="G13" s="21">
        <v>6</v>
      </c>
      <c r="H13" s="15" t="str">
        <f t="shared" ref="H13" si="7">B13&amp;"_"&amp;C13&amp;"-"&amp;G13</f>
        <v>47005_1-6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1</v>
      </c>
      <c r="L13" s="20">
        <v>1291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望雅の煌明鹿剣 勘兵衛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80</v>
      </c>
      <c r="S13" s="113">
        <v>2.8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342162.8</v>
      </c>
      <c r="U13" s="113">
        <v>0.9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8009.1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状態異常耐性+フィーバーゲージ減少</v>
      </c>
      <c r="Y13" s="61">
        <v>47005012</v>
      </c>
      <c r="Z13" s="6">
        <v>1</v>
      </c>
      <c r="AA13" s="6">
        <v>100</v>
      </c>
      <c r="AB13" s="6">
        <v>1</v>
      </c>
      <c r="AC13" s="17">
        <v>2</v>
      </c>
      <c r="AD13" s="24">
        <f t="shared" ref="AD13" si="8">L13</f>
        <v>1291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望雅の煌明鹿剣 勘兵衛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ref="AI13" ca="1" si="9">AF13</f>
        <v>5</v>
      </c>
      <c r="AJ13" s="121">
        <v>100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252</v>
      </c>
      <c r="V1" s="26" t="s">
        <v>50</v>
      </c>
      <c r="W1" s="102" t="s">
        <v>253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47005_1-6/1292&lt;lv80&gt;sq1st2</v>
      </c>
      <c r="B2" s="22">
        <v>47005</v>
      </c>
      <c r="C2" s="21">
        <v>1</v>
      </c>
      <c r="D2" s="2" t="str">
        <f>B2&amp;"_"&amp;C2</f>
        <v>47005_1</v>
      </c>
      <c r="E2" s="4" t="str">
        <f ca="1">VLOOKUP($B2,OFFSET([2]quests!$A$1,0,0,COUNTA([2]quests!$A:$A),MATCH(E$1,[2]quests!$1:$1,0)-MATCH($B$1,[2]quests!$1:$1,0)+1),MATCH(E$1,[2]quests!$1:$1,0)-MATCH($B$1,[2]quests!$1:$1,0)+1,FALSE)</f>
        <v>年を越える儀式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【ウィザード級】年を越える儀式</v>
      </c>
      <c r="G2" s="21">
        <v>6</v>
      </c>
      <c r="H2" s="15" t="str">
        <f>B2&amp;"_"&amp;C2&amp;"-"&amp;G2</f>
        <v>47005_1-6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1292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風光明媚の雅鹿剣 勘兵衛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3.4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415483.39999999997</v>
      </c>
      <c r="V2" s="25">
        <v>0.9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8009.1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61">
        <v>47005013</v>
      </c>
      <c r="AA2" s="70">
        <v>2</v>
      </c>
    </row>
    <row r="3" spans="1:27" ht="21" customHeight="1" x14ac:dyDescent="0.15">
      <c r="S3" s="3" t="s">
        <v>270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7"/>
  <sheetViews>
    <sheetView showGridLines="0" zoomScale="110" zoomScaleNormal="110" zoomScalePageLayoutView="110" workbookViewId="0">
      <pane ySplit="1" topLeftCell="A2" activePane="bottomLeft" state="frozenSplit"/>
      <selection pane="bottomLeft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105">
        <v>47005001</v>
      </c>
      <c r="B2" s="47" t="s">
        <v>367</v>
      </c>
      <c r="C2" s="50">
        <v>3</v>
      </c>
      <c r="D2" s="50" t="s">
        <v>126</v>
      </c>
      <c r="E2" s="114" t="s">
        <v>311</v>
      </c>
      <c r="F2" s="114" t="s">
        <v>364</v>
      </c>
      <c r="G2" s="63" t="str">
        <f>IFERROR(LEFT(B2,FIND("],",B2)),B2)</f>
        <v>[effect:enemy_message, val1:1.1, val2:2.4]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[effect:reduction, target:myself, color:all, turn:-1, val:0.01, animation:reduction_one01],[effect:tolerance, target:myself, turn:-1, count:-1, tolerance_effect:all, animation:enemy_tolerance]</v>
      </c>
      <c r="N2" s="48" t="str">
        <f>IFERROR(LEFT(M2,FIND("],",M2)+S15),M2)</f>
        <v>[effect:reduction, target:myself, color:all, turn:-1, val:0.01, animation:reduction_one01],[effect:tolerance, target:myself, turn:-1, count:-1, tolerance_effect:all, animation:enemy_tolerance]</v>
      </c>
      <c r="O2" s="63">
        <f>FIND("effect:",N2)+7</f>
        <v>9</v>
      </c>
      <c r="P2" s="63">
        <f>IFERROR(FIND(",",N2),LEN(N2))</f>
        <v>18</v>
      </c>
      <c r="Q2" s="63">
        <f>FIND("target:",N2)+7</f>
        <v>27</v>
      </c>
      <c r="R2" s="63">
        <f>FIND(",",N2,P2+1)</f>
        <v>33</v>
      </c>
      <c r="S2" s="63" t="str">
        <f>IFERROR(VLOOKUP(MID(N2,Q2,R2-Q2),[6]skilldef!$C:$D,2,FALSE),"-") &amp; " / " &amp; IFERROR(VLOOKUP(MID(N2,O2,P2-O2),[6]skilldef!$A:$B,2,FALSE),"-")</f>
        <v>自分自身に / -</v>
      </c>
      <c r="T2" s="48" t="str">
        <f>IFERROR(RIGHT(M2,LEN(M2)-FIND("],",M2)-1),"none")</f>
        <v>[effect:tolerance, target:myself, turn:-1, count:-1, tolerance_effect:all, animation:enemy_tolerance]</v>
      </c>
      <c r="U2" s="63">
        <f>FIND("effect:",T2)+7</f>
        <v>9</v>
      </c>
      <c r="V2" s="63">
        <f>IFERROR(FIND(",",T2),LEN(T2))</f>
        <v>18</v>
      </c>
      <c r="W2" s="63">
        <f>FIND("target:",T2)+7</f>
        <v>27</v>
      </c>
      <c r="X2" s="63">
        <f>FIND(",",T2,V2+1)</f>
        <v>33</v>
      </c>
      <c r="Y2" s="63" t="str">
        <f>IFERROR(VLOOKUP(MID(T2,W2,X2-W2),[6]skilldef!$C:$D,2,FALSE),"-") &amp; " / " &amp; IFERROR(VLOOKUP(MID(T2,U2,V2-U2),[6]skilldef!$A:$B,2,FALSE),"-")</f>
        <v>自分自身に / 状態異常耐性</v>
      </c>
      <c r="Z2" s="50"/>
      <c r="AA2" s="51"/>
      <c r="AB2" s="50"/>
    </row>
    <row r="3" spans="1:28" ht="21" customHeight="1" x14ac:dyDescent="0.15">
      <c r="A3" s="105">
        <v>47005002</v>
      </c>
      <c r="B3" s="47" t="s">
        <v>266</v>
      </c>
      <c r="C3" s="50">
        <v>3</v>
      </c>
      <c r="D3" s="50" t="s">
        <v>126</v>
      </c>
      <c r="E3" s="114" t="s">
        <v>277</v>
      </c>
      <c r="F3" s="114" t="s">
        <v>255</v>
      </c>
      <c r="G3" s="63" t="str">
        <f>IFERROR(LEFT(B3,FIND("],",B3)),B3)</f>
        <v>[effect:spread, val:0.25]</v>
      </c>
      <c r="H3" s="63">
        <f>FIND("effect:",G3)+7</f>
        <v>9</v>
      </c>
      <c r="I3" s="63">
        <f>IFERROR(FIND(",",G3),LEN(G3))</f>
        <v>15</v>
      </c>
      <c r="J3" s="63" t="e">
        <f>FIND("target:",G3)+7</f>
        <v>#VALUE!</v>
      </c>
      <c r="K3" s="63" t="e">
        <f>FIND(",",G3,I3+1)</f>
        <v>#VALUE!</v>
      </c>
      <c r="L3" s="63" t="str">
        <f>IFERROR(VLOOKUP(MID(G3,J3,K3-J3),[6]skilldef!$C:$D,2,FALSE),"-") &amp; " / " &amp; IFERROR(VLOOKUP(MID(G3,H3,I3-H3),[6]skilldef!$A:$B,2,FALSE),"-")</f>
        <v>- / 全体攻撃</v>
      </c>
      <c r="M3" s="63" t="str">
        <f>IFERROR(RIGHT(B3,LEN(B3)-FIND("],",B3)-1),"none")</f>
        <v>none</v>
      </c>
      <c r="N3" s="48" t="str">
        <f>IFERROR(LEFT(M3,FIND("],",M3)+S16),M3)</f>
        <v>none</v>
      </c>
      <c r="O3" s="63" t="e">
        <f>FIND("effect:",N3)+7</f>
        <v>#VALUE!</v>
      </c>
      <c r="P3" s="63">
        <f>IFERROR(FIND(",",N3),LEN(N3))</f>
        <v>4</v>
      </c>
      <c r="Q3" s="63" t="e">
        <f>FIND("target:",N3)+7</f>
        <v>#VALUE!</v>
      </c>
      <c r="R3" s="63" t="e">
        <f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>IFERROR(RIGHT(M3,LEN(M3)-FIND("],",M3)-1),"none")</f>
        <v>none</v>
      </c>
      <c r="U3" s="63" t="e">
        <f>FIND("effect:",T3)+7</f>
        <v>#VALUE!</v>
      </c>
      <c r="V3" s="63">
        <f>IFERROR(FIND(",",T3),LEN(T3))</f>
        <v>4</v>
      </c>
      <c r="W3" s="63" t="e">
        <f>FIND("target:",T3)+7</f>
        <v>#VALUE!</v>
      </c>
      <c r="X3" s="63" t="e">
        <f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21" customHeight="1" x14ac:dyDescent="0.15">
      <c r="A4" s="106">
        <v>47005003</v>
      </c>
      <c r="B4" s="47" t="s">
        <v>368</v>
      </c>
      <c r="C4" s="50">
        <v>3</v>
      </c>
      <c r="D4" s="50" t="s">
        <v>126</v>
      </c>
      <c r="E4" s="115" t="s">
        <v>312</v>
      </c>
      <c r="F4" s="115" t="s">
        <v>365</v>
      </c>
      <c r="G4" s="63" t="str">
        <f t="shared" ref="G4:G29" si="0">IFERROR(LEFT(B4,FIND("],",B4)),B4)</f>
        <v>[effect:enemy_message, val1:1.1, val2:2.4]</v>
      </c>
      <c r="H4" s="63">
        <f t="shared" ref="H4:H30" si="1">FIND("effect:",G4)+7</f>
        <v>9</v>
      </c>
      <c r="I4" s="63">
        <f t="shared" ref="I4:I29" si="2">IFERROR(FIND(",",G4),LEN(G4))</f>
        <v>22</v>
      </c>
      <c r="J4" s="63" t="e">
        <f t="shared" ref="J4:J29" si="3">FIND("target:",G4)+7</f>
        <v>#VALUE!</v>
      </c>
      <c r="K4" s="63">
        <f t="shared" ref="K4:K29" si="4">FIND(",",G4,I4+1)</f>
        <v>32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ref="M4:M29" si="5">IFERROR(RIGHT(B4,LEN(B4)-FIND("],",B4)-1),"none")</f>
        <v>[effect:reduction, target:myself, color:all, turn:-1, val:1, animation:reduction_one01],[effect:tolerance, target:myself, turn:-1, count:-1, tolerance_effect:all, animation:enemy_tolerance]</v>
      </c>
      <c r="N4" s="48" t="str">
        <f>IFERROR(LEFT(M4,FIND("],",M4)+S16),M4)</f>
        <v>[effect:reduction, target:myself, color:all, turn:-1, val:1, animation:reduction_one01],[effect:tolerance, target:myself, turn:-1, count:-1, tolerance_effect:all, animation:enemy_tolerance]</v>
      </c>
      <c r="O4" s="63">
        <f t="shared" ref="O4:O30" si="6">FIND("effect:",N4)+7</f>
        <v>9</v>
      </c>
      <c r="P4" s="63">
        <f t="shared" ref="P4:P29" si="7">IFERROR(FIND(",",N4),LEN(N4))</f>
        <v>18</v>
      </c>
      <c r="Q4" s="63">
        <f t="shared" ref="Q4:Q29" si="8">FIND("target:",N4)+7</f>
        <v>27</v>
      </c>
      <c r="R4" s="63">
        <f t="shared" ref="R4:R29" si="9">FIND(",",N4,P4+1)</f>
        <v>33</v>
      </c>
      <c r="S4" s="63" t="str">
        <f>IFERROR(VLOOKUP(MID(N4,Q4,R4-Q4),[6]skilldef!$C:$D,2,FALSE),"-") &amp; " / " &amp; IFERROR(VLOOKUP(MID(N4,O4,P4-O4),[6]skilldef!$A:$B,2,FALSE),"-")</f>
        <v>自分自身に / -</v>
      </c>
      <c r="T4" s="48" t="str">
        <f t="shared" ref="T4:T29" si="10">IFERROR(RIGHT(M4,LEN(M4)-FIND("],",M4)-1),"none")</f>
        <v>[effect:tolerance, target:myself, turn:-1, count:-1, tolerance_effect:all, animation:enemy_tolerance]</v>
      </c>
      <c r="U4" s="63">
        <f t="shared" ref="U4:U30" si="11">FIND("effect:",T4)+7</f>
        <v>9</v>
      </c>
      <c r="V4" s="63">
        <f t="shared" ref="V4:V29" si="12">IFERROR(FIND(",",T4),LEN(T4))</f>
        <v>18</v>
      </c>
      <c r="W4" s="63">
        <f t="shared" ref="W4:W29" si="13">FIND("target:",T4)+7</f>
        <v>27</v>
      </c>
      <c r="X4" s="63">
        <f t="shared" ref="X4:X29" si="14">FIND(",",T4,V4+1)</f>
        <v>33</v>
      </c>
      <c r="Y4" s="63" t="str">
        <f>IFERROR(VLOOKUP(MID(T4,W4,X4-W4),[6]skilldef!$C:$D,2,FALSE),"-") &amp; " / " &amp; IFERROR(VLOOKUP(MID(T4,U4,V4-U4),[6]skilldef!$A:$B,2,FALSE),"-")</f>
        <v>自分自身に / 状態異常耐性</v>
      </c>
      <c r="Z4" s="50"/>
      <c r="AA4" s="51"/>
      <c r="AB4" s="50"/>
    </row>
    <row r="5" spans="1:28" ht="21" customHeight="1" x14ac:dyDescent="0.15">
      <c r="A5" s="106">
        <v>47005004</v>
      </c>
      <c r="B5" s="47" t="s">
        <v>325</v>
      </c>
      <c r="C5" s="50">
        <v>3</v>
      </c>
      <c r="D5" s="50" t="s">
        <v>126</v>
      </c>
      <c r="E5" s="115" t="s">
        <v>313</v>
      </c>
      <c r="F5" s="115" t="s">
        <v>323</v>
      </c>
      <c r="G5" s="63" t="str">
        <f t="shared" si="0"/>
        <v>[effect:enemy_message, val1:1.1, val2:2.8]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>[effect:reduction, target:myself, color:all, turn:-1, val:0, animation:reduction_one01]</v>
      </c>
      <c r="N5" s="48" t="str">
        <f>IFERROR(LEFT(M5,FIND("],",M5)+S17),M5)</f>
        <v>[effect:reduction, target:myself, color:all, turn:-1, val:0, animation:reduction_one01]</v>
      </c>
      <c r="O5" s="63">
        <f t="shared" si="6"/>
        <v>9</v>
      </c>
      <c r="P5" s="63">
        <f t="shared" si="7"/>
        <v>18</v>
      </c>
      <c r="Q5" s="63">
        <f t="shared" si="8"/>
        <v>27</v>
      </c>
      <c r="R5" s="63">
        <f t="shared" si="9"/>
        <v>33</v>
      </c>
      <c r="S5" s="63" t="str">
        <f>IFERROR(VLOOKUP(MID(N5,Q5,R5-Q5),[6]skilldef!$C:$D,2,FALSE),"-") &amp; " / " &amp; IFERROR(VLOOKUP(MID(N5,O5,P5-O5),[6]skilldef!$A:$B,2,FALSE),"-")</f>
        <v>自分自身に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21" customHeight="1" x14ac:dyDescent="0.15">
      <c r="A6" s="106">
        <v>47005005</v>
      </c>
      <c r="B6" s="47" t="s">
        <v>362</v>
      </c>
      <c r="C6" s="50">
        <v>3</v>
      </c>
      <c r="D6" s="50" t="s">
        <v>126</v>
      </c>
      <c r="E6" s="115" t="s">
        <v>361</v>
      </c>
      <c r="F6" s="115" t="s">
        <v>363</v>
      </c>
      <c r="G6" s="63" t="str">
        <f t="shared" si="0"/>
        <v>[effect:heal, target:myself, val:1, animation:enemy_heal]</v>
      </c>
      <c r="H6" s="63">
        <f t="shared" si="1"/>
        <v>9</v>
      </c>
      <c r="I6" s="63">
        <f t="shared" si="2"/>
        <v>13</v>
      </c>
      <c r="J6" s="63">
        <f t="shared" si="3"/>
        <v>22</v>
      </c>
      <c r="K6" s="63">
        <f t="shared" si="4"/>
        <v>28</v>
      </c>
      <c r="L6" s="63" t="str">
        <f>IFERROR(VLOOKUP(MID(G6,J6,K6-J6),[6]skilldef!$C:$D,2,FALSE),"-") &amp; " / " &amp; IFERROR(VLOOKUP(MID(G6,H6,I6-H6),[6]skilldef!$A:$B,2,FALSE),"-")</f>
        <v>自分自身に / 回復</v>
      </c>
      <c r="M6" s="63" t="str">
        <f t="shared" si="5"/>
        <v>none</v>
      </c>
      <c r="N6" s="48" t="str">
        <f>IFERROR(LEFT(M6,FIND("],",M6)+S18),M6)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</row>
    <row r="7" spans="1:28" ht="21" customHeight="1" x14ac:dyDescent="0.15">
      <c r="A7" s="106">
        <v>47005006</v>
      </c>
      <c r="B7" s="47" t="s">
        <v>272</v>
      </c>
      <c r="C7" s="50">
        <v>3</v>
      </c>
      <c r="D7" s="50" t="s">
        <v>126</v>
      </c>
      <c r="E7" s="115" t="s">
        <v>286</v>
      </c>
      <c r="F7" s="115" t="s">
        <v>305</v>
      </c>
      <c r="G7" s="63" t="str">
        <f t="shared" ref="G7" si="15">IFERROR(LEFT(B7,FIND("],",B7)),B7)</f>
        <v>[effect:degrade_fever, val:1000, animation:fevergauge_down]</v>
      </c>
      <c r="H7" s="63">
        <f t="shared" ref="H7" si="16">FIND("effect:",G7)+7</f>
        <v>9</v>
      </c>
      <c r="I7" s="63">
        <f t="shared" ref="I7" si="17">IFERROR(FIND(",",G7),LEN(G7))</f>
        <v>22</v>
      </c>
      <c r="J7" s="63" t="e">
        <f t="shared" ref="J7" si="18">FIND("target:",G7)+7</f>
        <v>#VALUE!</v>
      </c>
      <c r="K7" s="63">
        <f t="shared" ref="K7" si="19">FIND(",",G7,I7+1)</f>
        <v>32</v>
      </c>
      <c r="L7" s="63" t="str">
        <f>IFERROR(VLOOKUP(MID(G7,J7,K7-J7),[6]skilldef!$C:$D,2,FALSE),"-") &amp; " / " &amp; IFERROR(VLOOKUP(MID(G7,H7,I7-H7),[6]skilldef!$A:$B,2,FALSE),"-")</f>
        <v>- / フィーバーゲージ減少</v>
      </c>
      <c r="M7" s="63" t="str">
        <f t="shared" ref="M7" si="20">IFERROR(RIGHT(B7,LEN(B7)-FIND("],",B7)-1),"none")</f>
        <v>none</v>
      </c>
      <c r="N7" s="48" t="str">
        <f>IFERROR(LEFT(M7,FIND("],",M7)+S19),M7)</f>
        <v>none</v>
      </c>
      <c r="O7" s="63" t="e">
        <f t="shared" ref="O7" si="21">FIND("effect:",N7)+7</f>
        <v>#VALUE!</v>
      </c>
      <c r="P7" s="63">
        <f t="shared" ref="P7" si="22">IFERROR(FIND(",",N7),LEN(N7))</f>
        <v>4</v>
      </c>
      <c r="Q7" s="63" t="e">
        <f t="shared" ref="Q7" si="23">FIND("target:",N7)+7</f>
        <v>#VALUE!</v>
      </c>
      <c r="R7" s="63" t="e">
        <f t="shared" ref="R7" si="24">FIND(",",N7,P7+1)</f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ref="T7" si="25">IFERROR(RIGHT(M7,LEN(M7)-FIND("],",M7)-1),"none")</f>
        <v>none</v>
      </c>
      <c r="U7" s="63" t="e">
        <f t="shared" ref="U7" si="26">FIND("effect:",T7)+7</f>
        <v>#VALUE!</v>
      </c>
      <c r="V7" s="63">
        <f t="shared" ref="V7" si="27">IFERROR(FIND(",",T7),LEN(T7))</f>
        <v>4</v>
      </c>
      <c r="W7" s="63" t="e">
        <f t="shared" ref="W7" si="28">FIND("target:",T7)+7</f>
        <v>#VALUE!</v>
      </c>
      <c r="X7" s="63" t="e">
        <f t="shared" ref="X7" si="29">FIND(",",T7,V7+1)</f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21" customHeight="1" x14ac:dyDescent="0.15">
      <c r="A8" s="107">
        <v>47005007</v>
      </c>
      <c r="B8" s="47" t="s">
        <v>369</v>
      </c>
      <c r="C8" s="50">
        <v>3</v>
      </c>
      <c r="D8" s="50" t="s">
        <v>126</v>
      </c>
      <c r="E8" s="116" t="s">
        <v>341</v>
      </c>
      <c r="F8" s="116" t="s">
        <v>366</v>
      </c>
      <c r="G8" s="63" t="str">
        <f t="shared" si="0"/>
        <v>[effect:enemy_message, val1:1.1, val2:2.4]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[effect:reduction, target:myself, color:all, turn:-1, val:1, animation:reduction_one01],[effect:tolerance, target:myself, turn:-1, count:-1, tolerance_effect:all, animation:enemy_tolerance]</v>
      </c>
      <c r="N8" s="48" t="str">
        <f t="shared" ref="N8:N13" si="30">IFERROR(LEFT(M8,FIND("],",M8)+S19),M8)</f>
        <v>[effect:reduction, target:myself, color:all, turn:-1, val:1, animation:reduction_one01],[effect:tolerance, target:myself, turn:-1, count:-1, tolerance_effect:all, animation:enemy_tolerance]</v>
      </c>
      <c r="O8" s="63">
        <f t="shared" si="6"/>
        <v>9</v>
      </c>
      <c r="P8" s="63">
        <f t="shared" si="7"/>
        <v>18</v>
      </c>
      <c r="Q8" s="63">
        <f t="shared" si="8"/>
        <v>27</v>
      </c>
      <c r="R8" s="63">
        <f t="shared" si="9"/>
        <v>33</v>
      </c>
      <c r="S8" s="63" t="str">
        <f>IFERROR(VLOOKUP(MID(N8,Q8,R8-Q8),[6]skilldef!$C:$D,2,FALSE),"-") &amp; " / " &amp; IFERROR(VLOOKUP(MID(N8,O8,P8-O8),[6]skilldef!$A:$B,2,FALSE),"-")</f>
        <v>自分自身に / -</v>
      </c>
      <c r="T8" s="48" t="str">
        <f t="shared" si="10"/>
        <v>[effect:tolerance, target:myself, turn:-1, count:-1, tolerance_effect:all, animation:enemy_tolerance]</v>
      </c>
      <c r="U8" s="63">
        <f t="shared" si="11"/>
        <v>9</v>
      </c>
      <c r="V8" s="63">
        <f t="shared" si="12"/>
        <v>18</v>
      </c>
      <c r="W8" s="63">
        <f t="shared" si="13"/>
        <v>27</v>
      </c>
      <c r="X8" s="63">
        <f t="shared" si="14"/>
        <v>33</v>
      </c>
      <c r="Y8" s="63" t="str">
        <f>IFERROR(VLOOKUP(MID(T8,W8,X8-W8),[6]skilldef!$C:$D,2,FALSE),"-") &amp; " / " &amp; IFERROR(VLOOKUP(MID(T8,U8,V8-U8),[6]skilldef!$A:$B,2,FALSE),"-")</f>
        <v>自分自身に / 状態異常耐性</v>
      </c>
      <c r="Z8" s="50"/>
      <c r="AA8" s="51"/>
      <c r="AB8" s="50"/>
    </row>
    <row r="9" spans="1:28" ht="21" customHeight="1" x14ac:dyDescent="0.15">
      <c r="A9" s="107">
        <v>47005008</v>
      </c>
      <c r="B9" s="47" t="s">
        <v>346</v>
      </c>
      <c r="C9" s="50">
        <v>3</v>
      </c>
      <c r="D9" s="50" t="s">
        <v>126</v>
      </c>
      <c r="E9" s="116" t="s">
        <v>340</v>
      </c>
      <c r="F9" s="116" t="s">
        <v>344</v>
      </c>
      <c r="G9" s="63" t="str">
        <f t="shared" si="0"/>
        <v>[effect:enemy_message, val1:1.1, val2:3.6]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>[effect:reduction, target:myself, color:all, turn:-1, val:0, animation:reduction_one01],[effect:sp_boost, target:unit_all, val:4, animation:sp_boost_one02]</v>
      </c>
      <c r="N9" s="48" t="str">
        <f t="shared" si="30"/>
        <v>[effect:reduction, target:myself, color:all, turn:-1, val:0, animation:reduction_one01],[effect:sp_boost, target:unit_all, val:4, animation:sp_boost_one02]</v>
      </c>
      <c r="O9" s="63">
        <f t="shared" si="6"/>
        <v>9</v>
      </c>
      <c r="P9" s="63">
        <f t="shared" si="7"/>
        <v>18</v>
      </c>
      <c r="Q9" s="63">
        <f t="shared" si="8"/>
        <v>27</v>
      </c>
      <c r="R9" s="63">
        <f t="shared" si="9"/>
        <v>33</v>
      </c>
      <c r="S9" s="63" t="str">
        <f>IFERROR(VLOOKUP(MID(N9,Q9,R9-Q9),[6]skilldef!$C:$D,2,FALSE),"-") &amp; " / " &amp; IFERROR(VLOOKUP(MID(N9,O9,P9-O9),[6]skilldef!$A:$B,2,FALSE),"-")</f>
        <v>自分自身に / -</v>
      </c>
      <c r="T9" s="48" t="str">
        <f t="shared" si="10"/>
        <v>[effect:sp_boost, target:unit_all, val:4, animation:sp_boost_one02]</v>
      </c>
      <c r="U9" s="63">
        <f t="shared" si="11"/>
        <v>9</v>
      </c>
      <c r="V9" s="63">
        <f t="shared" si="12"/>
        <v>17</v>
      </c>
      <c r="W9" s="63">
        <f t="shared" si="13"/>
        <v>26</v>
      </c>
      <c r="X9" s="63">
        <f t="shared" si="14"/>
        <v>34</v>
      </c>
      <c r="Y9" s="63" t="str">
        <f>IFERROR(VLOOKUP(MID(T9,W9,X9-W9),[6]skilldef!$C:$D,2,FALSE),"-") &amp; " / " &amp; IFERROR(VLOOKUP(MID(T9,U9,V9-U9),[6]skilldef!$A:$B,2,FALSE),"-")</f>
        <v>味方全体に / -</v>
      </c>
      <c r="Z9" s="50"/>
      <c r="AA9" s="51"/>
      <c r="AB9" s="50"/>
    </row>
    <row r="10" spans="1:28" ht="21" customHeight="1" x14ac:dyDescent="0.15">
      <c r="A10" s="107">
        <v>47005009</v>
      </c>
      <c r="B10" s="47" t="s">
        <v>264</v>
      </c>
      <c r="C10" s="50">
        <v>3</v>
      </c>
      <c r="D10" s="50" t="s">
        <v>126</v>
      </c>
      <c r="E10" s="116" t="s">
        <v>339</v>
      </c>
      <c r="F10" s="116" t="s">
        <v>256</v>
      </c>
      <c r="G10" s="63" t="str">
        <f t="shared" si="0"/>
        <v>[effect:critical, val:1.4, animation:enemy_critical]</v>
      </c>
      <c r="H10" s="63">
        <f t="shared" si="1"/>
        <v>9</v>
      </c>
      <c r="I10" s="63">
        <f t="shared" si="2"/>
        <v>17</v>
      </c>
      <c r="J10" s="63" t="e">
        <f t="shared" si="3"/>
        <v>#VALUE!</v>
      </c>
      <c r="K10" s="63">
        <f t="shared" si="4"/>
        <v>26</v>
      </c>
      <c r="L10" s="63" t="str">
        <f>IFERROR(VLOOKUP(MID(G10,J10,K10-J10),[6]skilldef!$C:$D,2,FALSE),"-") &amp; " / " &amp; IFERROR(VLOOKUP(MID(G10,H10,I10-H10),[6]skilldef!$A:$B,2,FALSE),"-")</f>
        <v>- / 大攻撃</v>
      </c>
      <c r="M10" s="63" t="str">
        <f t="shared" si="5"/>
        <v>none</v>
      </c>
      <c r="N10" s="48" t="str">
        <f t="shared" si="30"/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1"/>
      <c r="AB10" s="50"/>
    </row>
    <row r="11" spans="1:28" ht="21" customHeight="1" x14ac:dyDescent="0.15">
      <c r="A11" s="108">
        <v>47005010</v>
      </c>
      <c r="B11" s="47" t="s">
        <v>262</v>
      </c>
      <c r="C11" s="50">
        <v>3</v>
      </c>
      <c r="D11" s="50" t="s">
        <v>126</v>
      </c>
      <c r="E11" s="117" t="s">
        <v>290</v>
      </c>
      <c r="F11" s="117" t="s">
        <v>295</v>
      </c>
      <c r="G11" s="63" t="str">
        <f t="shared" si="0"/>
        <v>[effect:enemy_resurrection, target:id_41, val:1, rate:1, animation:enemy_resurrection]</v>
      </c>
      <c r="H11" s="63">
        <f t="shared" si="1"/>
        <v>9</v>
      </c>
      <c r="I11" s="63">
        <f t="shared" si="2"/>
        <v>27</v>
      </c>
      <c r="J11" s="63">
        <f t="shared" si="3"/>
        <v>36</v>
      </c>
      <c r="K11" s="63">
        <f t="shared" si="4"/>
        <v>41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none</v>
      </c>
      <c r="N11" s="48" t="str">
        <f t="shared" si="30"/>
        <v>none</v>
      </c>
      <c r="O11" s="63" t="e">
        <f t="shared" si="6"/>
        <v>#VALUE!</v>
      </c>
      <c r="P11" s="63">
        <f t="shared" si="7"/>
        <v>4</v>
      </c>
      <c r="Q11" s="63" t="e">
        <f t="shared" si="8"/>
        <v>#VALUE!</v>
      </c>
      <c r="R11" s="63" t="e">
        <f t="shared" si="9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</row>
    <row r="12" spans="1:28" ht="21" customHeight="1" x14ac:dyDescent="0.15">
      <c r="A12" s="108">
        <v>47005011</v>
      </c>
      <c r="B12" s="47" t="s">
        <v>260</v>
      </c>
      <c r="C12" s="50">
        <v>3</v>
      </c>
      <c r="D12" s="50" t="s">
        <v>126</v>
      </c>
      <c r="E12" s="117" t="s">
        <v>281</v>
      </c>
      <c r="F12" s="117" t="s">
        <v>296</v>
      </c>
      <c r="G12" s="63" t="str">
        <f t="shared" si="0"/>
        <v>[effect:rush, count:3, val:0.34]</v>
      </c>
      <c r="H12" s="63">
        <f t="shared" si="1"/>
        <v>9</v>
      </c>
      <c r="I12" s="63">
        <f t="shared" si="2"/>
        <v>13</v>
      </c>
      <c r="J12" s="63" t="e">
        <f t="shared" si="3"/>
        <v>#VALUE!</v>
      </c>
      <c r="K12" s="63">
        <f t="shared" si="4"/>
        <v>22</v>
      </c>
      <c r="L12" s="63" t="str">
        <f>IFERROR(VLOOKUP(MID(G12,J12,K12-J12),[6]skilldef!$C:$D,2,FALSE),"-") &amp; " / " &amp; IFERROR(VLOOKUP(MID(G12,H12,I12-H12),[6]skilldef!$A:$B,2,FALSE),"-")</f>
        <v>- / 連続攻撃</v>
      </c>
      <c r="M12" s="63" t="str">
        <f t="shared" si="5"/>
        <v>none</v>
      </c>
      <c r="N12" s="48" t="str">
        <f t="shared" si="30"/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</row>
    <row r="13" spans="1:28" ht="21" customHeight="1" x14ac:dyDescent="0.15">
      <c r="A13" s="105">
        <v>47005012</v>
      </c>
      <c r="B13" s="47" t="s">
        <v>373</v>
      </c>
      <c r="C13" s="50">
        <v>3</v>
      </c>
      <c r="D13" s="50" t="s">
        <v>126</v>
      </c>
      <c r="E13" s="114" t="s">
        <v>371</v>
      </c>
      <c r="F13" s="114" t="s">
        <v>370</v>
      </c>
      <c r="G13" s="63" t="str">
        <f t="shared" ref="G13" si="31">IFERROR(LEFT(B13,FIND("],",B13)),B13)</f>
        <v>[effect:enemy_message, val1:1.2, val2:1.8]</v>
      </c>
      <c r="H13" s="63">
        <f t="shared" ref="H13" si="32">FIND("effect:",G13)+7</f>
        <v>9</v>
      </c>
      <c r="I13" s="63">
        <f t="shared" ref="I13" si="33">IFERROR(FIND(",",G13),LEN(G13))</f>
        <v>22</v>
      </c>
      <c r="J13" s="63" t="e">
        <f t="shared" ref="J13" si="34">FIND("target:",G13)+7</f>
        <v>#VALUE!</v>
      </c>
      <c r="K13" s="63">
        <f t="shared" ref="K13" si="35">FIND(",",G13,I13+1)</f>
        <v>32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ref="M13" si="36">IFERROR(RIGHT(B13,LEN(B13)-FIND("],",B13)-1),"none")</f>
        <v>[effect:tolerance, target:myself, turn:-1, count:-1, tolerance_effect:all, animation:enemy_tolerance]</v>
      </c>
      <c r="N13" s="48" t="str">
        <f t="shared" si="30"/>
        <v>[effect:tolerance, target:myself, turn:-1, count:-1, tolerance_effect:all, animation:enemy_tolerance]</v>
      </c>
      <c r="O13" s="63">
        <f t="shared" ref="O13" si="37">FIND("effect:",N13)+7</f>
        <v>9</v>
      </c>
      <c r="P13" s="63">
        <f t="shared" ref="P13" si="38">IFERROR(FIND(",",N13),LEN(N13))</f>
        <v>18</v>
      </c>
      <c r="Q13" s="63">
        <f t="shared" ref="Q13" si="39">FIND("target:",N13)+7</f>
        <v>27</v>
      </c>
      <c r="R13" s="63">
        <f t="shared" ref="R13" si="40">FIND(",",N13,P13+1)</f>
        <v>33</v>
      </c>
      <c r="S13" s="63" t="str">
        <f>IFERROR(VLOOKUP(MID(N13,Q13,R13-Q13),[6]skilldef!$C:$D,2,FALSE),"-") &amp; " / " &amp; IFERROR(VLOOKUP(MID(N13,O13,P13-O13),[6]skilldef!$A:$B,2,FALSE),"-")</f>
        <v>自分自身に / 状態異常耐性</v>
      </c>
      <c r="T13" s="48" t="str">
        <f t="shared" ref="T13" si="41">IFERROR(RIGHT(M13,LEN(M13)-FIND("],",M13)-1),"none")</f>
        <v>none</v>
      </c>
      <c r="U13" s="63" t="e">
        <f t="shared" ref="U13" si="42">FIND("effect:",T13)+7</f>
        <v>#VALUE!</v>
      </c>
      <c r="V13" s="63">
        <f t="shared" ref="V13" si="43">IFERROR(FIND(",",T13),LEN(T13))</f>
        <v>4</v>
      </c>
      <c r="W13" s="63" t="e">
        <f t="shared" ref="W13" si="44">FIND("target:",T13)+7</f>
        <v>#VALUE!</v>
      </c>
      <c r="X13" s="63" t="e">
        <f t="shared" ref="X13" si="45">FIND(",",T13,V13+1)</f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</row>
    <row r="14" spans="1:28" ht="21" customHeight="1" x14ac:dyDescent="0.15">
      <c r="A14" s="105">
        <v>47005013</v>
      </c>
      <c r="B14" s="47" t="s">
        <v>356</v>
      </c>
      <c r="C14" s="50">
        <v>3</v>
      </c>
      <c r="D14" s="50" t="s">
        <v>126</v>
      </c>
      <c r="E14" s="114" t="s">
        <v>282</v>
      </c>
      <c r="F14" s="114" t="s">
        <v>350</v>
      </c>
      <c r="G14" s="63" t="str">
        <f t="shared" ref="G14" si="46">IFERROR(LEFT(B14,FIND("],",B14)),B14)</f>
        <v>[effect:enemy_message, val1:1.1, val2:2.4]</v>
      </c>
      <c r="H14" s="63">
        <f t="shared" ref="H14" si="47">FIND("effect:",G14)+7</f>
        <v>9</v>
      </c>
      <c r="I14" s="63">
        <f t="shared" ref="I14" si="48">IFERROR(FIND(",",G14),LEN(G14))</f>
        <v>22</v>
      </c>
      <c r="J14" s="63" t="e">
        <f t="shared" ref="J14" si="49">FIND("target:",G14)+7</f>
        <v>#VALUE!</v>
      </c>
      <c r="K14" s="63">
        <f t="shared" ref="K14" si="50">FIND(",",G14,I14+1)</f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ref="M14" si="51">IFERROR(RIGHT(B14,LEN(B14)-FIND("],",B14)-1),"none")</f>
        <v>[effect:enhance_fever, val:1000, animation:fevergauge_up04],[effect:suicide, target:myself, val:1, dead_type:escape]</v>
      </c>
      <c r="N14" s="48" t="str">
        <f>IFERROR(LEFT(M14,FIND("],",M14)+#REF!),M14)</f>
        <v>[effect:enhance_fever, val:1000, animation:fevergauge_up04],[effect:suicide, target:myself, val:1, dead_type:escape]</v>
      </c>
      <c r="O14" s="63">
        <f t="shared" ref="O14" si="52">FIND("effect:",N14)+7</f>
        <v>9</v>
      </c>
      <c r="P14" s="63">
        <f t="shared" ref="P14" si="53">IFERROR(FIND(",",N14),LEN(N14))</f>
        <v>22</v>
      </c>
      <c r="Q14" s="63">
        <f t="shared" ref="Q14" si="54">FIND("target:",N14)+7</f>
        <v>85</v>
      </c>
      <c r="R14" s="63">
        <f t="shared" ref="R14" si="55">FIND(",",N14,P14+1)</f>
        <v>32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ref="T14" si="56">IFERROR(RIGHT(M14,LEN(M14)-FIND("],",M14)-1),"none")</f>
        <v>[effect:suicide, target:myself, val:1, dead_type:escape]</v>
      </c>
      <c r="U14" s="63">
        <f t="shared" ref="U14" si="57">FIND("effect:",T14)+7</f>
        <v>9</v>
      </c>
      <c r="V14" s="63">
        <f t="shared" ref="V14" si="58">IFERROR(FIND(",",T14),LEN(T14))</f>
        <v>16</v>
      </c>
      <c r="W14" s="63">
        <f t="shared" ref="W14" si="59">FIND("target:",T14)+7</f>
        <v>25</v>
      </c>
      <c r="X14" s="63">
        <f t="shared" ref="X14" si="60">FIND(",",T14,V14+1)</f>
        <v>31</v>
      </c>
      <c r="Y14" s="63" t="str">
        <f>IFERROR(VLOOKUP(MID(T14,W14,X14-W14),[6]skilldef!$C:$D,2,FALSE),"-") &amp; " / " &amp; IFERROR(VLOOKUP(MID(T14,U14,V14-U14),[6]skilldef!$A:$B,2,FALSE),"-")</f>
        <v>自分自身に / -</v>
      </c>
      <c r="Z14" s="50"/>
      <c r="AA14" s="51"/>
      <c r="AB14" s="50"/>
    </row>
    <row r="15" spans="1:28" ht="21" customHeight="1" x14ac:dyDescent="0.15">
      <c r="A15" s="105">
        <v>47005014</v>
      </c>
      <c r="B15" s="47" t="s">
        <v>261</v>
      </c>
      <c r="C15" s="50">
        <v>3</v>
      </c>
      <c r="D15" s="50" t="s">
        <v>126</v>
      </c>
      <c r="E15" s="114" t="s">
        <v>278</v>
      </c>
      <c r="F15" s="114" t="s">
        <v>296</v>
      </c>
      <c r="G15" s="63" t="str">
        <f t="shared" si="0"/>
        <v>[effect:rush, count:3, val:0.34]</v>
      </c>
      <c r="H15" s="63">
        <f t="shared" si="1"/>
        <v>9</v>
      </c>
      <c r="I15" s="63">
        <f t="shared" si="2"/>
        <v>13</v>
      </c>
      <c r="J15" s="63" t="e">
        <f t="shared" si="3"/>
        <v>#VALUE!</v>
      </c>
      <c r="K15" s="63">
        <f t="shared" si="4"/>
        <v>22</v>
      </c>
      <c r="L15" s="63" t="str">
        <f>IFERROR(VLOOKUP(MID(G15,J15,K15-J15),[6]skilldef!$C:$D,2,FALSE),"-") &amp; " / " &amp; IFERROR(VLOOKUP(MID(G15,H15,I15-H15),[6]skilldef!$A:$B,2,FALSE),"-")</f>
        <v>- / 連続攻撃</v>
      </c>
      <c r="M15" s="63" t="str">
        <f t="shared" si="5"/>
        <v>none</v>
      </c>
      <c r="N15" s="48" t="str">
        <f>IFERROR(LEFT(M15,FIND("],",M15)+#REF!),M15)</f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</row>
    <row r="16" spans="1:28" ht="21" customHeight="1" x14ac:dyDescent="0.15">
      <c r="A16" s="106">
        <v>47005015</v>
      </c>
      <c r="B16" s="47" t="s">
        <v>372</v>
      </c>
      <c r="C16" s="50">
        <v>3</v>
      </c>
      <c r="D16" s="50" t="s">
        <v>126</v>
      </c>
      <c r="E16" s="115" t="s">
        <v>284</v>
      </c>
      <c r="F16" s="115" t="s">
        <v>257</v>
      </c>
      <c r="G16" s="63" t="str">
        <f t="shared" si="0"/>
        <v>[effect:enemy_message, val1:1.4, val2:1.8]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[effect:hungup, target:unit_all, turn:1, rate:1, animation:hungup01]</v>
      </c>
      <c r="N16" s="48" t="str">
        <f>IFERROR(LEFT(M16,FIND("],",M16)+S26),M16)</f>
        <v>[effect:hungup, target:unit_all, turn:1, rate:1, animation:hungup01]</v>
      </c>
      <c r="O16" s="63">
        <f t="shared" si="6"/>
        <v>9</v>
      </c>
      <c r="P16" s="63">
        <f t="shared" si="7"/>
        <v>15</v>
      </c>
      <c r="Q16" s="63">
        <f t="shared" si="8"/>
        <v>24</v>
      </c>
      <c r="R16" s="63">
        <f t="shared" si="9"/>
        <v>32</v>
      </c>
      <c r="S16" s="63" t="str">
        <f>IFERROR(VLOOKUP(MID(N16,Q16,R16-Q16),[6]skilldef!$C:$D,2,FALSE),"-") &amp; " / " &amp; IFERROR(VLOOKUP(MID(N16,O16,P16-O16),[6]skilldef!$A:$B,2,FALSE),"-")</f>
        <v>味方全体に / ハングアップ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</row>
    <row r="17" spans="1:28" ht="21" customHeight="1" x14ac:dyDescent="0.15">
      <c r="A17" s="106">
        <v>47005016</v>
      </c>
      <c r="B17" s="47" t="s">
        <v>351</v>
      </c>
      <c r="C17" s="50">
        <v>3</v>
      </c>
      <c r="D17" s="50" t="s">
        <v>126</v>
      </c>
      <c r="E17" s="115" t="s">
        <v>335</v>
      </c>
      <c r="F17" s="115" t="s">
        <v>297</v>
      </c>
      <c r="G17" s="63" t="str">
        <f t="shared" si="0"/>
        <v>[effect:enemy_message, val1:1.4, val2:1.8]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[effect:enemy_resurrection, target:id_1210, val:1, rate:1, animation:enemy_resurrection]</v>
      </c>
      <c r="N17" s="48" t="str">
        <f>IFERROR(LEFT(M17,FIND("],",M17)+S27),M17)</f>
        <v>[effect:enemy_resurrection, target:id_1210, val:1, rate:1, animation:enemy_resurrection]</v>
      </c>
      <c r="O17" s="63">
        <f t="shared" si="6"/>
        <v>9</v>
      </c>
      <c r="P17" s="63">
        <f t="shared" si="7"/>
        <v>27</v>
      </c>
      <c r="Q17" s="63">
        <f t="shared" si="8"/>
        <v>36</v>
      </c>
      <c r="R17" s="63">
        <f t="shared" si="9"/>
        <v>43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21" customHeight="1" x14ac:dyDescent="0.15">
      <c r="A18" s="106">
        <v>47005017</v>
      </c>
      <c r="B18" s="47" t="s">
        <v>263</v>
      </c>
      <c r="C18" s="50">
        <v>3</v>
      </c>
      <c r="D18" s="50" t="s">
        <v>126</v>
      </c>
      <c r="E18" s="115" t="s">
        <v>299</v>
      </c>
      <c r="F18" s="115" t="s">
        <v>298</v>
      </c>
      <c r="G18" s="63" t="str">
        <f t="shared" si="0"/>
        <v>[effect:hungup, target:unit_all, turn:1, rate:1, animation:hungup01]</v>
      </c>
      <c r="H18" s="63">
        <f t="shared" si="1"/>
        <v>9</v>
      </c>
      <c r="I18" s="63">
        <f t="shared" si="2"/>
        <v>15</v>
      </c>
      <c r="J18" s="63">
        <f t="shared" si="3"/>
        <v>24</v>
      </c>
      <c r="K18" s="63">
        <f t="shared" si="4"/>
        <v>32</v>
      </c>
      <c r="L18" s="63" t="str">
        <f>IFERROR(VLOOKUP(MID(G18,J18,K18-J18),[6]skilldef!$C:$D,2,FALSE),"-") &amp; " / " &amp; IFERROR(VLOOKUP(MID(G18,H18,I18-H18),[6]skilldef!$A:$B,2,FALSE),"-")</f>
        <v>味方全体に / ハングアップ</v>
      </c>
      <c r="M18" s="63" t="str">
        <f t="shared" si="5"/>
        <v>[effect:rush, count:3, val:0.33]</v>
      </c>
      <c r="N18" s="48" t="str">
        <f>IFERROR(LEFT(M18,FIND("],",M18)+S28),M18)</f>
        <v>[effect:rush, count:3, val:0.33]</v>
      </c>
      <c r="O18" s="63">
        <f t="shared" si="6"/>
        <v>9</v>
      </c>
      <c r="P18" s="63">
        <f t="shared" si="7"/>
        <v>13</v>
      </c>
      <c r="Q18" s="63" t="e">
        <f t="shared" si="8"/>
        <v>#VALUE!</v>
      </c>
      <c r="R18" s="63">
        <f t="shared" si="9"/>
        <v>22</v>
      </c>
      <c r="S18" s="63" t="str">
        <f>IFERROR(VLOOKUP(MID(N18,Q18,R18-Q18),[6]skilldef!$C:$D,2,FALSE),"-") &amp; " / " &amp; IFERROR(VLOOKUP(MID(N18,O18,P18-O18),[6]skilldef!$A:$B,2,FALSE),"-")</f>
        <v>- / 連続攻撃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</row>
    <row r="19" spans="1:28" ht="21" customHeight="1" x14ac:dyDescent="0.15">
      <c r="A19" s="107">
        <v>47005018</v>
      </c>
      <c r="B19" s="47" t="s">
        <v>334</v>
      </c>
      <c r="C19" s="50">
        <v>3</v>
      </c>
      <c r="D19" s="50" t="s">
        <v>126</v>
      </c>
      <c r="E19" s="116" t="s">
        <v>333</v>
      </c>
      <c r="F19" s="116" t="s">
        <v>300</v>
      </c>
      <c r="G19" s="63" t="str">
        <f t="shared" si="0"/>
        <v>[effect:enemy_message, val1:1.4, val2:1.8]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>[effect:fix_speed, target:enemy_all, turn:1]</v>
      </c>
      <c r="N19" s="48" t="str">
        <f>IFERROR(LEFT(M19,FIND("],",M19)+S29),M19)</f>
        <v>[effect:fix_speed, target:enemy_all, turn:1]</v>
      </c>
      <c r="O19" s="63">
        <f t="shared" si="6"/>
        <v>9</v>
      </c>
      <c r="P19" s="63">
        <f t="shared" si="7"/>
        <v>18</v>
      </c>
      <c r="Q19" s="63">
        <f t="shared" si="8"/>
        <v>27</v>
      </c>
      <c r="R19" s="63">
        <f t="shared" si="9"/>
        <v>36</v>
      </c>
      <c r="S19" s="63" t="str">
        <f>IFERROR(VLOOKUP(MID(N19,Q19,R19-Q19),[6]skilldef!$C:$D,2,FALSE),"-") &amp; " / " &amp; IFERROR(VLOOKUP(MID(N19,O19,P19-O19),[6]skilldef!$A:$B,2,FALSE),"-")</f>
        <v>敵全体に / 行動値設定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21" customHeight="1" x14ac:dyDescent="0.15">
      <c r="A20" s="107">
        <v>47005019</v>
      </c>
      <c r="B20" s="47" t="s">
        <v>355</v>
      </c>
      <c r="C20" s="50">
        <v>3</v>
      </c>
      <c r="D20" s="50" t="s">
        <v>126</v>
      </c>
      <c r="E20" s="116" t="s">
        <v>337</v>
      </c>
      <c r="F20" s="116" t="s">
        <v>336</v>
      </c>
      <c r="G20" s="63" t="str">
        <f t="shared" si="0"/>
        <v>[effect:enemy_message, val1:1, val2:2.4]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30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[effect:enhance_unit, target:unit_all, turn:-1, status:attack, val:0.5, calc:mul],[effect:suicide, target:myself, val:1, dead_type:escape]</v>
      </c>
      <c r="N20" s="48" t="str">
        <f>IFERROR(LEFT(M20,FIND("],",M20)+#REF!),M20)</f>
        <v>[effect:enhance_unit, target:unit_all, turn:-1, status:attack, val:0.5, calc:mul],[effect:suicide, target:myself, val:1, dead_type:escape]</v>
      </c>
      <c r="O20" s="63">
        <f t="shared" si="6"/>
        <v>9</v>
      </c>
      <c r="P20" s="63">
        <f t="shared" si="7"/>
        <v>21</v>
      </c>
      <c r="Q20" s="63">
        <f t="shared" si="8"/>
        <v>30</v>
      </c>
      <c r="R20" s="63">
        <f t="shared" si="9"/>
        <v>38</v>
      </c>
      <c r="S20" s="63" t="str">
        <f>IFERROR(VLOOKUP(MID(N20,Q20,R20-Q20),[6]skilldef!$C:$D,2,FALSE),"-") &amp; " / " &amp; IFERROR(VLOOKUP(MID(N20,O20,P20-O20),[6]skilldef!$A:$B,2,FALSE),"-")</f>
        <v>味方全体に / -</v>
      </c>
      <c r="T20" s="48" t="str">
        <f t="shared" si="10"/>
        <v>[effect:suicide, target:myself, val:1, dead_type:escape]</v>
      </c>
      <c r="U20" s="63">
        <f t="shared" si="11"/>
        <v>9</v>
      </c>
      <c r="V20" s="63">
        <f t="shared" si="12"/>
        <v>16</v>
      </c>
      <c r="W20" s="63">
        <f t="shared" si="13"/>
        <v>25</v>
      </c>
      <c r="X20" s="63">
        <f t="shared" si="14"/>
        <v>31</v>
      </c>
      <c r="Y20" s="63" t="str">
        <f>IFERROR(VLOOKUP(MID(T20,W20,X20-W20),[6]skilldef!$C:$D,2,FALSE),"-") &amp; " / " &amp; IFERROR(VLOOKUP(MID(T20,U20,V20-U20),[6]skilldef!$A:$B,2,FALSE),"-")</f>
        <v>自分自身に / -</v>
      </c>
      <c r="Z20" s="50"/>
      <c r="AA20" s="51"/>
      <c r="AB20" s="50"/>
    </row>
    <row r="21" spans="1:28" ht="21" customHeight="1" x14ac:dyDescent="0.15">
      <c r="A21" s="107">
        <v>47005020</v>
      </c>
      <c r="B21" s="47" t="s">
        <v>354</v>
      </c>
      <c r="C21" s="50">
        <v>3</v>
      </c>
      <c r="D21" s="50" t="s">
        <v>126</v>
      </c>
      <c r="E21" s="116" t="s">
        <v>279</v>
      </c>
      <c r="F21" s="116" t="s">
        <v>352</v>
      </c>
      <c r="G21" s="63" t="str">
        <f t="shared" si="0"/>
        <v>[effect:enemy_message, val1:1.1, val2:1.8]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5"/>
        <v>[effect:enhance_enemy, target:enemy_all, turn:-1, status:attack, val:1.1, calc:mul, animation:enemy_enhance_attack]</v>
      </c>
      <c r="N21" s="48" t="str">
        <f t="shared" ref="N21:N29" si="61">IFERROR(LEFT(M21,FIND("],",M21)+S30),M21)</f>
        <v>[effect:enhance_enemy, target:enemy_all, turn:-1, status:attack, val:1.1, calc:mul, animation:enemy_enhance_attack]</v>
      </c>
      <c r="O21" s="63">
        <f t="shared" si="6"/>
        <v>9</v>
      </c>
      <c r="P21" s="63">
        <f t="shared" si="7"/>
        <v>22</v>
      </c>
      <c r="Q21" s="63">
        <f t="shared" si="8"/>
        <v>31</v>
      </c>
      <c r="R21" s="63">
        <f t="shared" si="9"/>
        <v>40</v>
      </c>
      <c r="S21" s="63" t="str">
        <f>IFERROR(VLOOKUP(MID(N21,Q21,R21-Q21),[6]skilldef!$C:$D,2,FALSE),"-") &amp; " / " &amp; IFERROR(VLOOKUP(MID(N21,O21,P21-O21),[6]skilldef!$A:$B,2,FALSE),"-")</f>
        <v>敵全体に / ステータス強化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</row>
    <row r="22" spans="1:28" ht="21" customHeight="1" x14ac:dyDescent="0.15">
      <c r="A22" s="107">
        <v>47005021</v>
      </c>
      <c r="B22" s="47" t="s">
        <v>353</v>
      </c>
      <c r="C22" s="50">
        <v>3</v>
      </c>
      <c r="D22" s="50" t="s">
        <v>126</v>
      </c>
      <c r="E22" s="116" t="s">
        <v>280</v>
      </c>
      <c r="F22" s="116" t="s">
        <v>352</v>
      </c>
      <c r="G22" s="63" t="str">
        <f t="shared" si="0"/>
        <v>[effect:enemy_message, val1:1.1, val2:1.8]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[effect:enhance_enemy, target:enemy_all, turn:-1, status:attack, val:1.2, calc:mul, animation:enemy_enhance_attack]</v>
      </c>
      <c r="N22" s="48" t="str">
        <f t="shared" si="61"/>
        <v>[effect:enhance_enemy, target:enemy_all, turn:-1, status:attack, val:1.2, calc:mul, animation:enemy_enhance_attack]</v>
      </c>
      <c r="O22" s="63">
        <f t="shared" si="6"/>
        <v>9</v>
      </c>
      <c r="P22" s="63">
        <f t="shared" si="7"/>
        <v>22</v>
      </c>
      <c r="Q22" s="63">
        <f t="shared" si="8"/>
        <v>31</v>
      </c>
      <c r="R22" s="63">
        <f t="shared" si="9"/>
        <v>40</v>
      </c>
      <c r="S22" s="63" t="str">
        <f>IFERROR(VLOOKUP(MID(N22,Q22,R22-Q22),[6]skilldef!$C:$D,2,FALSE),"-") &amp; " / " &amp; IFERROR(VLOOKUP(MID(N22,O22,P22-O22),[6]skilldef!$A:$B,2,FALSE),"-")</f>
        <v>敵全体に / ステータス強化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21" customHeight="1" x14ac:dyDescent="0.15">
      <c r="A23" s="108">
        <v>47005022</v>
      </c>
      <c r="B23" s="47" t="s">
        <v>331</v>
      </c>
      <c r="C23" s="50">
        <v>3</v>
      </c>
      <c r="D23" s="50" t="s">
        <v>126</v>
      </c>
      <c r="E23" s="117" t="s">
        <v>291</v>
      </c>
      <c r="F23" s="117" t="s">
        <v>301</v>
      </c>
      <c r="G23" s="63" t="str">
        <f t="shared" si="0"/>
        <v>[effect:enemy_message, val1:1.2, val2:1.8]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5"/>
        <v>[effect:enemy_resurrection, target:id_671, val:1, rate:1, animation:enemy_resurrection]</v>
      </c>
      <c r="N23" s="48" t="str">
        <f t="shared" si="61"/>
        <v>[effect:enemy_resurrection, target:id_671, val:1, rate:1, animation:enemy_resurrection]</v>
      </c>
      <c r="O23" s="63">
        <f t="shared" si="6"/>
        <v>9</v>
      </c>
      <c r="P23" s="63">
        <f t="shared" si="7"/>
        <v>27</v>
      </c>
      <c r="Q23" s="63">
        <f t="shared" si="8"/>
        <v>36</v>
      </c>
      <c r="R23" s="63">
        <f t="shared" si="9"/>
        <v>42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</row>
    <row r="24" spans="1:28" ht="21" customHeight="1" x14ac:dyDescent="0.15">
      <c r="A24" s="108">
        <v>47005023</v>
      </c>
      <c r="B24" s="47" t="s">
        <v>259</v>
      </c>
      <c r="C24" s="50">
        <v>3</v>
      </c>
      <c r="D24" s="50" t="s">
        <v>126</v>
      </c>
      <c r="E24" s="117" t="s">
        <v>285</v>
      </c>
      <c r="F24" s="117" t="s">
        <v>256</v>
      </c>
      <c r="G24" s="63" t="str">
        <f t="shared" si="0"/>
        <v>[effect:critical, val:1.5, animation:enemy_critical]</v>
      </c>
      <c r="H24" s="63">
        <f t="shared" si="1"/>
        <v>9</v>
      </c>
      <c r="I24" s="63">
        <f t="shared" si="2"/>
        <v>17</v>
      </c>
      <c r="J24" s="63" t="e">
        <f t="shared" si="3"/>
        <v>#VALUE!</v>
      </c>
      <c r="K24" s="63">
        <f t="shared" si="4"/>
        <v>26</v>
      </c>
      <c r="L24" s="63" t="str">
        <f>IFERROR(VLOOKUP(MID(G24,J24,K24-J24),[6]skilldef!$C:$D,2,FALSE),"-") &amp; " / " &amp; IFERROR(VLOOKUP(MID(G24,H24,I24-H24),[6]skilldef!$A:$B,2,FALSE),"-")</f>
        <v>- / 大攻撃</v>
      </c>
      <c r="M24" s="63" t="str">
        <f t="shared" si="5"/>
        <v>none</v>
      </c>
      <c r="N24" s="48" t="str">
        <f t="shared" si="61"/>
        <v>none</v>
      </c>
      <c r="O24" s="63" t="e">
        <f t="shared" si="6"/>
        <v>#VALUE!</v>
      </c>
      <c r="P24" s="63">
        <f t="shared" si="7"/>
        <v>4</v>
      </c>
      <c r="Q24" s="63" t="e">
        <f t="shared" si="8"/>
        <v>#VALUE!</v>
      </c>
      <c r="R24" s="63" t="e">
        <f t="shared" si="9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>none</v>
      </c>
      <c r="U24" s="63" t="e">
        <f t="shared" si="11"/>
        <v>#VALUE!</v>
      </c>
      <c r="V24" s="63">
        <f t="shared" si="12"/>
        <v>4</v>
      </c>
      <c r="W24" s="63" t="e">
        <f t="shared" si="13"/>
        <v>#VALUE!</v>
      </c>
      <c r="X24" s="63" t="e">
        <f t="shared" si="14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21" customHeight="1" x14ac:dyDescent="0.15">
      <c r="A25" s="105">
        <v>47005024</v>
      </c>
      <c r="B25" s="47" t="s">
        <v>359</v>
      </c>
      <c r="C25" s="50">
        <v>3</v>
      </c>
      <c r="D25" s="50" t="s">
        <v>126</v>
      </c>
      <c r="E25" s="114" t="s">
        <v>342</v>
      </c>
      <c r="F25" s="114" t="s">
        <v>343</v>
      </c>
      <c r="G25" s="63" t="str">
        <f t="shared" ref="G25" si="62">IFERROR(LEFT(B25,FIND("],",B25)),B25)</f>
        <v>[effect:enemy_message, val1:1.2, val2:2.4]</v>
      </c>
      <c r="H25" s="63">
        <f t="shared" ref="H25" si="63">FIND("effect:",G25)+7</f>
        <v>9</v>
      </c>
      <c r="I25" s="63">
        <f t="shared" ref="I25" si="64">IFERROR(FIND(",",G25),LEN(G25))</f>
        <v>22</v>
      </c>
      <c r="J25" s="63" t="e">
        <f t="shared" ref="J25" si="65">FIND("target:",G25)+7</f>
        <v>#VALUE!</v>
      </c>
      <c r="K25" s="63">
        <f t="shared" ref="K25" si="66">FIND(",",G25,I25+1)</f>
        <v>32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ref="M25" si="67">IFERROR(RIGHT(B25,LEN(B25)-FIND("],",B25)-1),"none")</f>
        <v>[effect:enhance_unit, target:unit_all, turn:-1, status:attack, val:0.55, calc:mul],[effect:suicide, target:myself, val:1, dead_type:escape]</v>
      </c>
      <c r="N25" s="48" t="str">
        <f t="shared" si="61"/>
        <v>[effect:enhance_unit, target:unit_all, turn:-1, status:attack, val:0.55, calc:mul],[effect:suicide, target:myself, val:1, dead_type:escape]</v>
      </c>
      <c r="O25" s="63">
        <f t="shared" ref="O25" si="68">FIND("effect:",N25)+7</f>
        <v>9</v>
      </c>
      <c r="P25" s="63">
        <f t="shared" ref="P25" si="69">IFERROR(FIND(",",N25),LEN(N25))</f>
        <v>21</v>
      </c>
      <c r="Q25" s="63">
        <f t="shared" ref="Q25" si="70">FIND("target:",N25)+7</f>
        <v>30</v>
      </c>
      <c r="R25" s="63">
        <f t="shared" ref="R25" si="71">FIND(",",N25,P25+1)</f>
        <v>38</v>
      </c>
      <c r="S25" s="63" t="str">
        <f>IFERROR(VLOOKUP(MID(N25,Q25,R25-Q25),[6]skilldef!$C:$D,2,FALSE),"-") &amp; " / " &amp; IFERROR(VLOOKUP(MID(N25,O25,P25-O25),[6]skilldef!$A:$B,2,FALSE),"-")</f>
        <v>味方全体に / -</v>
      </c>
      <c r="T25" s="48" t="str">
        <f t="shared" ref="T25" si="72">IFERROR(RIGHT(M25,LEN(M25)-FIND("],",M25)-1),"none")</f>
        <v>[effect:suicide, target:myself, val:1, dead_type:escape]</v>
      </c>
      <c r="U25" s="63">
        <f t="shared" ref="U25" si="73">FIND("effect:",T25)+7</f>
        <v>9</v>
      </c>
      <c r="V25" s="63">
        <f t="shared" ref="V25" si="74">IFERROR(FIND(",",T25),LEN(T25))</f>
        <v>16</v>
      </c>
      <c r="W25" s="63">
        <f t="shared" ref="W25" si="75">FIND("target:",T25)+7</f>
        <v>25</v>
      </c>
      <c r="X25" s="63">
        <f t="shared" ref="X25" si="76">FIND(",",T25,V25+1)</f>
        <v>31</v>
      </c>
      <c r="Y25" s="63" t="str">
        <f>IFERROR(VLOOKUP(MID(T25,W25,X25-W25),[6]skilldef!$C:$D,2,FALSE),"-") &amp; " / " &amp; IFERROR(VLOOKUP(MID(T25,U25,V25-U25),[6]skilldef!$A:$B,2,FALSE),"-")</f>
        <v>自分自身に / -</v>
      </c>
      <c r="Z25" s="50"/>
      <c r="AA25" s="51"/>
      <c r="AB25" s="50"/>
    </row>
    <row r="26" spans="1:28" ht="21" customHeight="1" x14ac:dyDescent="0.15">
      <c r="A26" s="105">
        <v>47005025</v>
      </c>
      <c r="B26" s="47" t="s">
        <v>265</v>
      </c>
      <c r="C26" s="50">
        <v>3</v>
      </c>
      <c r="D26" s="50" t="s">
        <v>126</v>
      </c>
      <c r="E26" s="114" t="s">
        <v>283</v>
      </c>
      <c r="F26" s="114" t="s">
        <v>302</v>
      </c>
      <c r="G26" s="63" t="str">
        <f t="shared" si="0"/>
        <v>[effect:critical, val:1.8, animation:enemy_critical]</v>
      </c>
      <c r="H26" s="63">
        <f t="shared" si="1"/>
        <v>9</v>
      </c>
      <c r="I26" s="63">
        <f t="shared" si="2"/>
        <v>17</v>
      </c>
      <c r="J26" s="63" t="e">
        <f t="shared" si="3"/>
        <v>#VALUE!</v>
      </c>
      <c r="K26" s="63">
        <f t="shared" si="4"/>
        <v>26</v>
      </c>
      <c r="L26" s="63" t="str">
        <f>IFERROR(VLOOKUP(MID(G26,J26,K26-J26),[6]skilldef!$C:$D,2,FALSE),"-") &amp; " / " &amp; IFERROR(VLOOKUP(MID(G26,H26,I26-H26),[6]skilldef!$A:$B,2,FALSE),"-")</f>
        <v>- / 大攻撃</v>
      </c>
      <c r="M26" s="63" t="str">
        <f t="shared" si="5"/>
        <v>none</v>
      </c>
      <c r="N26" s="48" t="str">
        <f t="shared" si="61"/>
        <v>none</v>
      </c>
      <c r="O26" s="63" t="e">
        <f t="shared" si="6"/>
        <v>#VALUE!</v>
      </c>
      <c r="P26" s="63">
        <f t="shared" si="7"/>
        <v>4</v>
      </c>
      <c r="Q26" s="63" t="e">
        <f t="shared" si="8"/>
        <v>#VALUE!</v>
      </c>
      <c r="R26" s="63" t="e">
        <f t="shared" si="9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</row>
    <row r="27" spans="1:28" ht="21" customHeight="1" x14ac:dyDescent="0.15">
      <c r="A27" s="106">
        <v>47005026</v>
      </c>
      <c r="B27" s="47" t="s">
        <v>330</v>
      </c>
      <c r="C27" s="50">
        <v>3</v>
      </c>
      <c r="D27" s="50" t="s">
        <v>126</v>
      </c>
      <c r="E27" s="115" t="s">
        <v>329</v>
      </c>
      <c r="F27" s="115" t="s">
        <v>303</v>
      </c>
      <c r="G27" s="63" t="str">
        <f t="shared" si="0"/>
        <v>[effect:enemy_message, val1:1.2, val2:1.8]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>[effect:enemy_resurrection, target:id_25, val:1, rate:1, animation:enemy_resurrection]</v>
      </c>
      <c r="N27" s="48" t="str">
        <f t="shared" si="61"/>
        <v>[effect:enemy_resurrection, target:id_25, val:1, rate:1, animation:enemy_resurrection]</v>
      </c>
      <c r="O27" s="63">
        <f t="shared" si="6"/>
        <v>9</v>
      </c>
      <c r="P27" s="63">
        <f t="shared" si="7"/>
        <v>27</v>
      </c>
      <c r="Q27" s="63">
        <f t="shared" si="8"/>
        <v>36</v>
      </c>
      <c r="R27" s="63">
        <f t="shared" si="9"/>
        <v>41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/>
    </row>
    <row r="28" spans="1:28" ht="21" customHeight="1" x14ac:dyDescent="0.15">
      <c r="A28" s="106">
        <v>47005027</v>
      </c>
      <c r="B28" s="47" t="s">
        <v>260</v>
      </c>
      <c r="C28" s="50">
        <v>3</v>
      </c>
      <c r="D28" s="50" t="s">
        <v>126</v>
      </c>
      <c r="E28" s="115" t="s">
        <v>328</v>
      </c>
      <c r="F28" s="115" t="s">
        <v>296</v>
      </c>
      <c r="G28" s="63" t="str">
        <f t="shared" si="0"/>
        <v>[effect:rush, count:3, val:0.34]</v>
      </c>
      <c r="H28" s="63">
        <f t="shared" si="1"/>
        <v>9</v>
      </c>
      <c r="I28" s="63">
        <f t="shared" si="2"/>
        <v>13</v>
      </c>
      <c r="J28" s="63" t="e">
        <f t="shared" si="3"/>
        <v>#VALUE!</v>
      </c>
      <c r="K28" s="63">
        <f t="shared" si="4"/>
        <v>22</v>
      </c>
      <c r="L28" s="63" t="str">
        <f>IFERROR(VLOOKUP(MID(G28,J28,K28-J28),[6]skilldef!$C:$D,2,FALSE),"-") &amp; " / " &amp; IFERROR(VLOOKUP(MID(G28,H28,I28-H28),[6]skilldef!$A:$B,2,FALSE),"-")</f>
        <v>- / 連続攻撃</v>
      </c>
      <c r="M28" s="63" t="str">
        <f t="shared" si="5"/>
        <v>none</v>
      </c>
      <c r="N28" s="48" t="str">
        <f t="shared" si="61"/>
        <v>none</v>
      </c>
      <c r="O28" s="63" t="e">
        <f t="shared" si="6"/>
        <v>#VALUE!</v>
      </c>
      <c r="P28" s="63">
        <f t="shared" si="7"/>
        <v>4</v>
      </c>
      <c r="Q28" s="63" t="e">
        <f t="shared" si="8"/>
        <v>#VALUE!</v>
      </c>
      <c r="R28" s="63" t="e">
        <f t="shared" si="9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0"/>
        <v>none</v>
      </c>
      <c r="U28" s="63" t="e">
        <f t="shared" si="11"/>
        <v>#VALUE!</v>
      </c>
      <c r="V28" s="63">
        <f t="shared" si="12"/>
        <v>4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/>
    </row>
    <row r="29" spans="1:28" ht="21" customHeight="1" x14ac:dyDescent="0.15">
      <c r="A29" s="106">
        <v>47005028</v>
      </c>
      <c r="B29" s="47" t="s">
        <v>267</v>
      </c>
      <c r="C29" s="50">
        <v>3</v>
      </c>
      <c r="D29" s="50" t="s">
        <v>126</v>
      </c>
      <c r="E29" s="115" t="s">
        <v>338</v>
      </c>
      <c r="F29" s="115" t="s">
        <v>258</v>
      </c>
      <c r="G29" s="63" t="str">
        <f t="shared" si="0"/>
        <v>[effect:spread, val:0.28]</v>
      </c>
      <c r="H29" s="63">
        <f t="shared" si="1"/>
        <v>9</v>
      </c>
      <c r="I29" s="63">
        <f t="shared" si="2"/>
        <v>15</v>
      </c>
      <c r="J29" s="63" t="e">
        <f t="shared" si="3"/>
        <v>#VALUE!</v>
      </c>
      <c r="K29" s="63" t="e">
        <f t="shared" si="4"/>
        <v>#VALUE!</v>
      </c>
      <c r="L29" s="63" t="str">
        <f>IFERROR(VLOOKUP(MID(G29,J29,K29-J29),[6]skilldef!$C:$D,2,FALSE),"-") &amp; " / " &amp; IFERROR(VLOOKUP(MID(G29,H29,I29-H29),[6]skilldef!$A:$B,2,FALSE),"-")</f>
        <v>- / 全体攻撃</v>
      </c>
      <c r="M29" s="63" t="str">
        <f t="shared" si="5"/>
        <v>none</v>
      </c>
      <c r="N29" s="48" t="str">
        <f t="shared" si="61"/>
        <v>none</v>
      </c>
      <c r="O29" s="63" t="e">
        <f t="shared" si="6"/>
        <v>#VALUE!</v>
      </c>
      <c r="P29" s="63">
        <f t="shared" si="7"/>
        <v>4</v>
      </c>
      <c r="Q29" s="63" t="e">
        <f t="shared" si="8"/>
        <v>#VALUE!</v>
      </c>
      <c r="R29" s="63" t="e">
        <f t="shared" si="9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0"/>
        <v>none</v>
      </c>
      <c r="U29" s="63" t="e">
        <f t="shared" si="11"/>
        <v>#VALUE!</v>
      </c>
      <c r="V29" s="63">
        <f t="shared" si="12"/>
        <v>4</v>
      </c>
      <c r="W29" s="63" t="e">
        <f t="shared" si="13"/>
        <v>#VALUE!</v>
      </c>
      <c r="X29" s="63" t="e">
        <f t="shared" si="14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</row>
    <row r="30" spans="1:28" ht="21" customHeight="1" x14ac:dyDescent="0.15">
      <c r="A30" s="107">
        <v>47005029</v>
      </c>
      <c r="B30" s="47" t="s">
        <v>360</v>
      </c>
      <c r="C30" s="50">
        <v>3</v>
      </c>
      <c r="D30" s="50" t="s">
        <v>126</v>
      </c>
      <c r="E30" s="116" t="s">
        <v>304</v>
      </c>
      <c r="F30" s="116" t="s">
        <v>324</v>
      </c>
      <c r="G30" s="63" t="str">
        <f t="shared" ref="G30" si="77">IFERROR(LEFT(B30,FIND("],",B30)),B30)</f>
        <v>[effect:enemy_message, val1:1.1, val2:2.4]</v>
      </c>
      <c r="H30" s="63">
        <f t="shared" si="1"/>
        <v>9</v>
      </c>
      <c r="I30" s="63">
        <f t="shared" ref="I30" si="78">IFERROR(FIND(",",G30),LEN(G30))</f>
        <v>22</v>
      </c>
      <c r="J30" s="63" t="e">
        <f t="shared" ref="J30" si="79">FIND("target:",G30)+7</f>
        <v>#VALUE!</v>
      </c>
      <c r="K30" s="63">
        <f t="shared" ref="K30" si="80">FIND(",",G30,I30+1)</f>
        <v>32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ref="M30" si="81">IFERROR(RIGHT(B30,LEN(B30)-FIND("],",B30)-1),"none")</f>
        <v>[effect:enhance_unit, target:unit_all, turn:-1, status:attack, val:0.6, calc:mul],[effect:suicide, target:myself, val:1, dead_type:escape]</v>
      </c>
      <c r="N30" s="48" t="str">
        <f t="shared" ref="N30" si="82">IFERROR(LEFT(M30,FIND("],",M30)+S40),M30)</f>
        <v>[effect:enhance_unit, target:unit_all, turn:-1, status:attack, val:0.6, calc:mul]</v>
      </c>
      <c r="O30" s="63">
        <f t="shared" si="6"/>
        <v>9</v>
      </c>
      <c r="P30" s="63">
        <f t="shared" ref="P30" si="83">IFERROR(FIND(",",N30),LEN(N30))</f>
        <v>21</v>
      </c>
      <c r="Q30" s="63">
        <f t="shared" ref="Q30" si="84">FIND("target:",N30)+7</f>
        <v>30</v>
      </c>
      <c r="R30" s="63">
        <f t="shared" ref="R30" si="85">FIND(",",N30,P30+1)</f>
        <v>38</v>
      </c>
      <c r="S30" s="63" t="str">
        <f>IFERROR(VLOOKUP(MID(N30,Q30,R30-Q30),[6]skilldef!$C:$D,2,FALSE),"-") &amp; " / " &amp; IFERROR(VLOOKUP(MID(N30,O30,P30-O30),[6]skilldef!$A:$B,2,FALSE),"-")</f>
        <v>味方全体に / -</v>
      </c>
      <c r="T30" s="48" t="str">
        <f t="shared" ref="T30" si="86">IFERROR(RIGHT(M30,LEN(M30)-FIND("],",M30)-1),"none")</f>
        <v>[effect:suicide, target:myself, val:1, dead_type:escape]</v>
      </c>
      <c r="U30" s="63">
        <f t="shared" si="11"/>
        <v>9</v>
      </c>
      <c r="V30" s="63">
        <f t="shared" ref="V30" si="87">IFERROR(FIND(",",T30),LEN(T30))</f>
        <v>16</v>
      </c>
      <c r="W30" s="63">
        <f t="shared" ref="W30" si="88">FIND("target:",T30)+7</f>
        <v>25</v>
      </c>
      <c r="X30" s="63">
        <f t="shared" ref="X30" si="89">FIND(",",T30,V30+1)</f>
        <v>31</v>
      </c>
      <c r="Y30" s="63" t="str">
        <f>IFERROR(VLOOKUP(MID(T30,W30,X30-W30),[6]skilldef!$C:$D,2,FALSE),"-") &amp; " / " &amp; IFERROR(VLOOKUP(MID(T30,U30,V30-U30),[6]skilldef!$A:$B,2,FALSE),"-")</f>
        <v>自分自身に / -</v>
      </c>
      <c r="Z30" s="50"/>
      <c r="AA30" s="51"/>
      <c r="AB30" s="50"/>
    </row>
    <row r="31" spans="1:28" ht="21" customHeight="1" x14ac:dyDescent="0.15">
      <c r="A31" s="107">
        <v>47005030</v>
      </c>
      <c r="B31" s="47" t="s">
        <v>326</v>
      </c>
      <c r="C31" s="50">
        <v>3</v>
      </c>
      <c r="D31" s="50" t="s">
        <v>126</v>
      </c>
      <c r="E31" s="116" t="s">
        <v>294</v>
      </c>
      <c r="F31" s="116" t="s">
        <v>358</v>
      </c>
      <c r="G31" s="63" t="str">
        <f t="shared" ref="G31" si="90">IFERROR(LEFT(B31,FIND("],",B31)),B31)</f>
        <v>[effect:enemy_message, val1:1.1, val2:2]</v>
      </c>
      <c r="H31" s="63">
        <f t="shared" ref="H31" si="91">FIND("effect:",G31)+7</f>
        <v>9</v>
      </c>
      <c r="I31" s="63">
        <f t="shared" ref="I31" si="92">IFERROR(FIND(",",G31),LEN(G31))</f>
        <v>22</v>
      </c>
      <c r="J31" s="63" t="e">
        <f t="shared" ref="J31" si="93">FIND("target:",G31)+7</f>
        <v>#VALUE!</v>
      </c>
      <c r="K31" s="63">
        <f t="shared" ref="K31" si="94">FIND(",",G31,I31+1)</f>
        <v>32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ref="M31" si="95">IFERROR(RIGHT(B31,LEN(B31)-FIND("],",B31)-1),"none")</f>
        <v>[effect:force_change_block, new_block:time_bomb, target:block_all, ignore01:crash, ignore02:crack_bomb, ignore03:time_bomb, ignore04:color_break, color:block_blue, count:10, val:0.2, min_time_count:2, max_time_count:3, animation:change_block]</v>
      </c>
      <c r="N31" s="48" t="str">
        <f t="shared" ref="N31" si="96">IFERROR(LEFT(M31,FIND("],",M31)+S41),M31)</f>
        <v>[effect:force_change_block, new_block:time_bomb, target:block_all, ignore01:crash, ignore02:crack_bomb, ignore03:time_bomb, ignore04:color_break, color:block_blue, count:10, val:0.2, min_time_count:2, max_time_count:3, animation:change_block]</v>
      </c>
      <c r="O31" s="63">
        <f t="shared" ref="O31" si="97">FIND("effect:",N31)+7</f>
        <v>9</v>
      </c>
      <c r="P31" s="63">
        <f t="shared" ref="P31" si="98">IFERROR(FIND(",",N31),LEN(N31))</f>
        <v>27</v>
      </c>
      <c r="Q31" s="63">
        <f t="shared" ref="Q31" si="99">FIND("target:",N31)+7</f>
        <v>57</v>
      </c>
      <c r="R31" s="63">
        <f t="shared" ref="R31" si="100">FIND(",",N31,P31+1)</f>
        <v>48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ref="T31" si="101">IFERROR(RIGHT(M31,LEN(M31)-FIND("],",M31)-1),"none")</f>
        <v>none</v>
      </c>
      <c r="U31" s="63" t="e">
        <f t="shared" ref="U31" si="102">FIND("effect:",T31)+7</f>
        <v>#VALUE!</v>
      </c>
      <c r="V31" s="63">
        <f t="shared" ref="V31" si="103">IFERROR(FIND(",",T31),LEN(T31))</f>
        <v>4</v>
      </c>
      <c r="W31" s="63" t="e">
        <f t="shared" ref="W31" si="104">FIND("target:",T31)+7</f>
        <v>#VALUE!</v>
      </c>
      <c r="X31" s="63" t="e">
        <f t="shared" ref="X31" si="105">FIND(",",T31,V31+1)</f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1"/>
      <c r="AB31" s="50"/>
    </row>
    <row r="32" spans="1:28" ht="21" customHeight="1" x14ac:dyDescent="0.15">
      <c r="A32" s="108">
        <v>47005031</v>
      </c>
      <c r="B32" s="47" t="s">
        <v>345</v>
      </c>
      <c r="C32" s="50">
        <v>3</v>
      </c>
      <c r="D32" s="50" t="s">
        <v>126</v>
      </c>
      <c r="E32" s="117" t="s">
        <v>314</v>
      </c>
      <c r="F32" s="117" t="s">
        <v>306</v>
      </c>
      <c r="G32" s="63" t="str">
        <f t="shared" ref="G32" si="106">IFERROR(LEFT(B32,FIND("],",B32)),B32)</f>
        <v>[effect:enemy_message, val1:1.1, val2:1.8]</v>
      </c>
      <c r="H32" s="63">
        <f t="shared" ref="H32" si="107">FIND("effect:",G32)+7</f>
        <v>9</v>
      </c>
      <c r="I32" s="63">
        <f t="shared" ref="I32" si="108">IFERROR(FIND(",",G32),LEN(G32))</f>
        <v>22</v>
      </c>
      <c r="J32" s="63" t="e">
        <f t="shared" ref="J32" si="109">FIND("target:",G32)+7</f>
        <v>#VALUE!</v>
      </c>
      <c r="K32" s="63">
        <f t="shared" ref="K32" si="110">FIND(",",G32,I32+1)</f>
        <v>32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ref="M32" si="111">IFERROR(RIGHT(B32,LEN(B32)-FIND("],",B32)-1),"none")</f>
        <v>[effect:tolerance, target:myself, turn:-1, count:-1, tolerance_effect:all, animation:enemy_tolerance],[effect:degrade_fever, val:400, animation:fevergauge_down]</v>
      </c>
      <c r="N32" s="48" t="str">
        <f t="shared" ref="N32" si="112">IFERROR(LEFT(M32,FIND("],",M32)+S42),M32)</f>
        <v>[effect:tolerance, target:myself, turn:-1, count:-1, tolerance_effect:all, animation:enemy_tolerance]</v>
      </c>
      <c r="O32" s="63">
        <f t="shared" ref="O32" si="113">FIND("effect:",N32)+7</f>
        <v>9</v>
      </c>
      <c r="P32" s="63">
        <f t="shared" ref="P32" si="114">IFERROR(FIND(",",N32),LEN(N32))</f>
        <v>18</v>
      </c>
      <c r="Q32" s="63">
        <f t="shared" ref="Q32" si="115">FIND("target:",N32)+7</f>
        <v>27</v>
      </c>
      <c r="R32" s="63">
        <f t="shared" ref="R32" si="116">FIND(",",N32,P32+1)</f>
        <v>33</v>
      </c>
      <c r="S32" s="63" t="str">
        <f>IFERROR(VLOOKUP(MID(N32,Q32,R32-Q32),[6]skilldef!$C:$D,2,FALSE),"-") &amp; " / " &amp; IFERROR(VLOOKUP(MID(N32,O32,P32-O32),[6]skilldef!$A:$B,2,FALSE),"-")</f>
        <v>自分自身に / 状態異常耐性</v>
      </c>
      <c r="T32" s="48" t="str">
        <f t="shared" ref="T32" si="117">IFERROR(RIGHT(M32,LEN(M32)-FIND("],",M32)-1),"none")</f>
        <v>[effect:degrade_fever, val:400, animation:fevergauge_down]</v>
      </c>
      <c r="U32" s="63">
        <f t="shared" ref="U32" si="118">FIND("effect:",T32)+7</f>
        <v>9</v>
      </c>
      <c r="V32" s="63">
        <f t="shared" ref="V32" si="119">IFERROR(FIND(",",T32),LEN(T32))</f>
        <v>22</v>
      </c>
      <c r="W32" s="63" t="e">
        <f t="shared" ref="W32" si="120">FIND("target:",T32)+7</f>
        <v>#VALUE!</v>
      </c>
      <c r="X32" s="63">
        <f t="shared" ref="X32" si="121">FIND(",",T32,V32+1)</f>
        <v>31</v>
      </c>
      <c r="Y32" s="63" t="str">
        <f>IFERROR(VLOOKUP(MID(T32,W32,X32-W32),[6]skilldef!$C:$D,2,FALSE),"-") &amp; " / " &amp; IFERROR(VLOOKUP(MID(T32,U32,V32-U32),[6]skilldef!$A:$B,2,FALSE),"-")</f>
        <v>- / フィーバーゲージ減少</v>
      </c>
      <c r="Z32" s="50"/>
      <c r="AA32" s="51"/>
      <c r="AB32" s="50"/>
    </row>
    <row r="33" spans="1:28" ht="21" customHeight="1" x14ac:dyDescent="0.15">
      <c r="A33" s="108">
        <v>47005032</v>
      </c>
      <c r="B33" s="47" t="s">
        <v>332</v>
      </c>
      <c r="C33" s="50">
        <v>3</v>
      </c>
      <c r="D33" s="50" t="s">
        <v>126</v>
      </c>
      <c r="E33" s="117" t="s">
        <v>287</v>
      </c>
      <c r="F33" s="117" t="s">
        <v>273</v>
      </c>
      <c r="G33" s="63" t="str">
        <f t="shared" ref="G33" si="122">IFERROR(LEFT(B33,FIND("],",B33)),B33)</f>
        <v>[effect:enemy_message, val1:1.1, val2:1.8]</v>
      </c>
      <c r="H33" s="63">
        <f t="shared" ref="H33" si="123">FIND("effect:",G33)+7</f>
        <v>9</v>
      </c>
      <c r="I33" s="63">
        <f t="shared" ref="I33" si="124">IFERROR(FIND(",",G33),LEN(G33))</f>
        <v>22</v>
      </c>
      <c r="J33" s="63" t="e">
        <f t="shared" ref="J33" si="125">FIND("target:",G33)+7</f>
        <v>#VALUE!</v>
      </c>
      <c r="K33" s="63">
        <f t="shared" ref="K33" si="126">FIND(",",G33,I33+1)</f>
        <v>32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ref="M33" si="127">IFERROR(RIGHT(B33,LEN(B33)-FIND("],",B33)-1),"none")</f>
        <v>[effect:rush, count:4, val:0.3]</v>
      </c>
      <c r="N33" s="48" t="str">
        <f t="shared" ref="N33" si="128">IFERROR(LEFT(M33,FIND("],",M33)+S43),M33)</f>
        <v>[effect:rush, count:4, val:0.3]</v>
      </c>
      <c r="O33" s="63">
        <f t="shared" ref="O33" si="129">FIND("effect:",N33)+7</f>
        <v>9</v>
      </c>
      <c r="P33" s="63">
        <f t="shared" ref="P33" si="130">IFERROR(FIND(",",N33),LEN(N33))</f>
        <v>13</v>
      </c>
      <c r="Q33" s="63" t="e">
        <f t="shared" ref="Q33" si="131">FIND("target:",N33)+7</f>
        <v>#VALUE!</v>
      </c>
      <c r="R33" s="63">
        <f t="shared" ref="R33" si="132">FIND(",",N33,P33+1)</f>
        <v>22</v>
      </c>
      <c r="S33" s="63" t="str">
        <f>IFERROR(VLOOKUP(MID(N33,Q33,R33-Q33),[6]skilldef!$C:$D,2,FALSE),"-") &amp; " / " &amp; IFERROR(VLOOKUP(MID(N33,O33,P33-O33),[6]skilldef!$A:$B,2,FALSE),"-")</f>
        <v>- / 連続攻撃</v>
      </c>
      <c r="T33" s="48" t="str">
        <f t="shared" ref="T33" si="133">IFERROR(RIGHT(M33,LEN(M33)-FIND("],",M33)-1),"none")</f>
        <v>none</v>
      </c>
      <c r="U33" s="63" t="e">
        <f t="shared" ref="U33" si="134">FIND("effect:",T33)+7</f>
        <v>#VALUE!</v>
      </c>
      <c r="V33" s="63">
        <f t="shared" ref="V33" si="135">IFERROR(FIND(",",T33),LEN(T33))</f>
        <v>4</v>
      </c>
      <c r="W33" s="63" t="e">
        <f t="shared" ref="W33" si="136">FIND("target:",T33)+7</f>
        <v>#VALUE!</v>
      </c>
      <c r="X33" s="63" t="e">
        <f t="shared" ref="X33" si="137">FIND(",",T33,V33+1)</f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</row>
    <row r="34" spans="1:28" ht="21" customHeight="1" x14ac:dyDescent="0.15">
      <c r="A34" s="108">
        <v>47005033</v>
      </c>
      <c r="B34" s="47" t="s">
        <v>349</v>
      </c>
      <c r="C34" s="50">
        <v>3</v>
      </c>
      <c r="D34" s="50" t="s">
        <v>126</v>
      </c>
      <c r="E34" s="117" t="s">
        <v>289</v>
      </c>
      <c r="F34" s="117" t="s">
        <v>310</v>
      </c>
      <c r="G34" s="63" t="str">
        <f t="shared" ref="G34" si="138">IFERROR(LEFT(B34,FIND("],",B34)),B34)</f>
        <v>[effect:enemy_message, val1:1, val2:2.6]</v>
      </c>
      <c r="H34" s="63">
        <f t="shared" ref="H34" si="139">FIND("effect:",G34)+7</f>
        <v>9</v>
      </c>
      <c r="I34" s="63">
        <f t="shared" ref="I34" si="140">IFERROR(FIND(",",G34),LEN(G34))</f>
        <v>22</v>
      </c>
      <c r="J34" s="63" t="e">
        <f t="shared" ref="J34" si="141">FIND("target:",G34)+7</f>
        <v>#VALUE!</v>
      </c>
      <c r="K34" s="63">
        <f t="shared" ref="K34" si="142">FIND(",",G34,I34+1)</f>
        <v>30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ref="M34" si="143">IFERROR(RIGHT(B34,LEN(B34)-FIND("],",B34)-1),"none")</f>
        <v>[effect:break_attack_fix, target:unit_one, val:1600, lowest_val:6000, count:7, color:yellow, block01:block_green],[effect:panel_freeze, target:crash, count:1]</v>
      </c>
      <c r="N34" s="48" t="str">
        <f t="shared" ref="N34" si="144">IFERROR(LEFT(M34,FIND("],",M34)+S44),M34)</f>
        <v>[effect:break_attack_fix, target:unit_one, val:1600, lowest_val:6000, count:7, color:yellow, block01:block_green]</v>
      </c>
      <c r="O34" s="63">
        <f t="shared" ref="O34" si="145">FIND("effect:",N34)+7</f>
        <v>9</v>
      </c>
      <c r="P34" s="63">
        <f t="shared" ref="P34" si="146">IFERROR(FIND(",",N34),LEN(N34))</f>
        <v>25</v>
      </c>
      <c r="Q34" s="63">
        <f t="shared" ref="Q34" si="147">FIND("target:",N34)+7</f>
        <v>34</v>
      </c>
      <c r="R34" s="63">
        <f t="shared" ref="R34" si="148">FIND(",",N34,P34+1)</f>
        <v>42</v>
      </c>
      <c r="S34" s="63" t="str">
        <f>IFERROR(VLOOKUP(MID(N34,Q34,R34-Q34),[6]skilldef!$C:$D,2,FALSE),"-") &amp; " / " &amp; IFERROR(VLOOKUP(MID(N34,O34,P34-O34),[6]skilldef!$A:$B,2,FALSE),"-")</f>
        <v>味方単体に / -</v>
      </c>
      <c r="T34" s="48" t="str">
        <f t="shared" ref="T34" si="149">IFERROR(RIGHT(M34,LEN(M34)-FIND("],",M34)-1),"none")</f>
        <v>[effect:panel_freeze, target:crash, count:1]</v>
      </c>
      <c r="U34" s="63">
        <f t="shared" ref="U34" si="150">FIND("effect:",T34)+7</f>
        <v>9</v>
      </c>
      <c r="V34" s="63">
        <f t="shared" ref="V34" si="151">IFERROR(FIND(",",T34),LEN(T34))</f>
        <v>21</v>
      </c>
      <c r="W34" s="63">
        <f t="shared" ref="W34" si="152">FIND("target:",T34)+7</f>
        <v>30</v>
      </c>
      <c r="X34" s="63">
        <f t="shared" ref="X34" si="153">FIND(",",T34,V34+1)</f>
        <v>35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1"/>
      <c r="AB34" s="50"/>
    </row>
    <row r="35" spans="1:28" ht="21" customHeight="1" x14ac:dyDescent="0.15">
      <c r="A35" s="118">
        <v>47005034</v>
      </c>
      <c r="B35" s="47" t="s">
        <v>327</v>
      </c>
      <c r="C35" s="50">
        <v>3</v>
      </c>
      <c r="D35" s="50" t="s">
        <v>126</v>
      </c>
      <c r="E35" s="119" t="s">
        <v>288</v>
      </c>
      <c r="F35" s="119" t="s">
        <v>307</v>
      </c>
      <c r="G35" s="63" t="str">
        <f t="shared" ref="G35" si="154">IFERROR(LEFT(B35,FIND("],",B35)),B35)</f>
        <v>[effect:enemy_message, val1:1.8, val2:2.6]</v>
      </c>
      <c r="H35" s="63">
        <f t="shared" ref="H35" si="155">FIND("effect:",G35)+7</f>
        <v>9</v>
      </c>
      <c r="I35" s="63">
        <f t="shared" ref="I35" si="156">IFERROR(FIND(",",G35),LEN(G35))</f>
        <v>22</v>
      </c>
      <c r="J35" s="63" t="e">
        <f t="shared" ref="J35" si="157">FIND("target:",G35)+7</f>
        <v>#VALUE!</v>
      </c>
      <c r="K35" s="63">
        <f t="shared" ref="K35" si="158">FIND(",",G35,I35+1)</f>
        <v>32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ref="M35" si="159">IFERROR(RIGHT(B35,LEN(B35)-FIND("],",B35)-1),"none")</f>
        <v>[effect:tolerance, target:myself, turn:-1, count:-1, tolerance_effect:all, animation:enemy_tolerance],[effect:degrade_fever, val:450, animation:fevergauge_down],[effect:dark, target:unit_all, turn:1, animation:enemy_dark]</v>
      </c>
      <c r="N35" s="48" t="str">
        <f t="shared" ref="N35" si="160">IFERROR(LEFT(M35,FIND("],",M35)+S45),M35)</f>
        <v>[effect:tolerance, target:myself, turn:-1, count:-1, tolerance_effect:all, animation:enemy_tolerance]</v>
      </c>
      <c r="O35" s="63">
        <f t="shared" ref="O35" si="161">FIND("effect:",N35)+7</f>
        <v>9</v>
      </c>
      <c r="P35" s="63">
        <f t="shared" ref="P35" si="162">IFERROR(FIND(",",N35),LEN(N35))</f>
        <v>18</v>
      </c>
      <c r="Q35" s="63">
        <f t="shared" ref="Q35" si="163">FIND("target:",N35)+7</f>
        <v>27</v>
      </c>
      <c r="R35" s="63">
        <f t="shared" ref="R35" si="164">FIND(",",N35,P35+1)</f>
        <v>33</v>
      </c>
      <c r="S35" s="63" t="str">
        <f>IFERROR(VLOOKUP(MID(N35,Q35,R35-Q35),[6]skilldef!$C:$D,2,FALSE),"-") &amp; " / " &amp; IFERROR(VLOOKUP(MID(N35,O35,P35-O35),[6]skilldef!$A:$B,2,FALSE),"-")</f>
        <v>自分自身に / 状態異常耐性</v>
      </c>
      <c r="T35" s="48" t="str">
        <f t="shared" ref="T35" si="165">IFERROR(RIGHT(M35,LEN(M35)-FIND("],",M35)-1),"none")</f>
        <v>[effect:degrade_fever, val:450, animation:fevergauge_down],[effect:dark, target:unit_all, turn:1, animation:enemy_dark]</v>
      </c>
      <c r="U35" s="63">
        <f t="shared" ref="U35" si="166">FIND("effect:",T35)+7</f>
        <v>9</v>
      </c>
      <c r="V35" s="63">
        <f t="shared" ref="V35" si="167">IFERROR(FIND(",",T35),LEN(T35))</f>
        <v>22</v>
      </c>
      <c r="W35" s="63">
        <f t="shared" ref="W35" si="168">FIND("target:",T35)+7</f>
        <v>81</v>
      </c>
      <c r="X35" s="63">
        <f t="shared" ref="X35" si="169">FIND(",",T35,V35+1)</f>
        <v>31</v>
      </c>
      <c r="Y35" s="63" t="str">
        <f>IFERROR(VLOOKUP(MID(T35,W35,X35-W35),[6]skilldef!$C:$D,2,FALSE),"-") &amp; " / " &amp; IFERROR(VLOOKUP(MID(T35,U35,V35-U35),[6]skilldef!$A:$B,2,FALSE),"-")</f>
        <v>- / フィーバーゲージ減少</v>
      </c>
      <c r="Z35" s="50"/>
      <c r="AA35" s="51"/>
      <c r="AB35" s="50"/>
    </row>
    <row r="36" spans="1:28" ht="21" customHeight="1" x14ac:dyDescent="0.15">
      <c r="A36" s="118">
        <v>47005035</v>
      </c>
      <c r="B36" s="47" t="s">
        <v>348</v>
      </c>
      <c r="C36" s="50">
        <v>3</v>
      </c>
      <c r="D36" s="50" t="s">
        <v>126</v>
      </c>
      <c r="E36" s="119" t="s">
        <v>293</v>
      </c>
      <c r="F36" s="119" t="s">
        <v>308</v>
      </c>
      <c r="G36" s="63" t="str">
        <f t="shared" ref="G36" si="170">IFERROR(LEFT(B36,FIND("],",B36)),B36)</f>
        <v>[effect:enemy_message, val1:1.1, val2:2.4]</v>
      </c>
      <c r="H36" s="63">
        <f t="shared" ref="H36" si="171">FIND("effect:",G36)+7</f>
        <v>9</v>
      </c>
      <c r="I36" s="63">
        <f t="shared" ref="I36" si="172">IFERROR(FIND(",",G36),LEN(G36))</f>
        <v>22</v>
      </c>
      <c r="J36" s="63" t="e">
        <f t="shared" ref="J36" si="173">FIND("target:",G36)+7</f>
        <v>#VALUE!</v>
      </c>
      <c r="K36" s="63">
        <f t="shared" ref="K36" si="174">FIND(",",G36,I36+1)</f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ref="M36" si="175">IFERROR(RIGHT(B36,LEN(B36)-FIND("],",B36)-1),"none")</f>
        <v>[effect:break_attack_fix, target:unit_one, val:726, lowest_val:7110, count:15, color:yellow, block01:block_yellow, block02:block_heart]</v>
      </c>
      <c r="N36" s="48" t="str">
        <f t="shared" ref="N36" si="176">IFERROR(LEFT(M36,FIND("],",M36)+S46),M36)</f>
        <v>[effect:break_attack_fix, target:unit_one, val:726, lowest_val:7110, count:15, color:yellow, block01:block_yellow, block02:block_heart]</v>
      </c>
      <c r="O36" s="63">
        <f t="shared" ref="O36" si="177">FIND("effect:",N36)+7</f>
        <v>9</v>
      </c>
      <c r="P36" s="63">
        <f t="shared" ref="P36" si="178">IFERROR(FIND(",",N36),LEN(N36))</f>
        <v>25</v>
      </c>
      <c r="Q36" s="63">
        <f t="shared" ref="Q36" si="179">FIND("target:",N36)+7</f>
        <v>34</v>
      </c>
      <c r="R36" s="63">
        <f t="shared" ref="R36" si="180">FIND(",",N36,P36+1)</f>
        <v>42</v>
      </c>
      <c r="S36" s="63" t="str">
        <f>IFERROR(VLOOKUP(MID(N36,Q36,R36-Q36),[6]skilldef!$C:$D,2,FALSE),"-") &amp; " / " &amp; IFERROR(VLOOKUP(MID(N36,O36,P36-O36),[6]skilldef!$A:$B,2,FALSE),"-")</f>
        <v>味方単体に / -</v>
      </c>
      <c r="T36" s="48" t="str">
        <f t="shared" ref="T36" si="181">IFERROR(RIGHT(M36,LEN(M36)-FIND("],",M36)-1),"none")</f>
        <v>none</v>
      </c>
      <c r="U36" s="63" t="e">
        <f t="shared" ref="U36" si="182">FIND("effect:",T36)+7</f>
        <v>#VALUE!</v>
      </c>
      <c r="V36" s="63">
        <f t="shared" ref="V36" si="183">IFERROR(FIND(",",T36),LEN(T36))</f>
        <v>4</v>
      </c>
      <c r="W36" s="63" t="e">
        <f t="shared" ref="W36" si="184">FIND("target:",T36)+7</f>
        <v>#VALUE!</v>
      </c>
      <c r="X36" s="63" t="e">
        <f t="shared" ref="X36" si="185">FIND(",",T36,V36+1)</f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1"/>
      <c r="AB36" s="50"/>
    </row>
    <row r="37" spans="1:28" ht="21" customHeight="1" x14ac:dyDescent="0.15">
      <c r="A37" s="118">
        <v>47005036</v>
      </c>
      <c r="B37" s="47" t="s">
        <v>347</v>
      </c>
      <c r="C37" s="50">
        <v>3</v>
      </c>
      <c r="D37" s="50" t="s">
        <v>126</v>
      </c>
      <c r="E37" s="119" t="s">
        <v>292</v>
      </c>
      <c r="F37" s="119" t="s">
        <v>309</v>
      </c>
      <c r="G37" s="63" t="str">
        <f t="shared" ref="G37" si="186">IFERROR(LEFT(B37,FIND("],",B37)),B37)</f>
        <v>[effect:enemy_message, val1:1.1, val2:2.4]</v>
      </c>
      <c r="H37" s="63">
        <f t="shared" ref="H37" si="187">FIND("effect:",G37)+7</f>
        <v>9</v>
      </c>
      <c r="I37" s="63">
        <f t="shared" ref="I37" si="188">IFERROR(FIND(",",G37),LEN(G37))</f>
        <v>22</v>
      </c>
      <c r="J37" s="63" t="e">
        <f t="shared" ref="J37" si="189">FIND("target:",G37)+7</f>
        <v>#VALUE!</v>
      </c>
      <c r="K37" s="63">
        <f t="shared" ref="K37" si="190">FIND(",",G37,I37+1)</f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ref="M37" si="191">IFERROR(RIGHT(B37,LEN(B37)-FIND("],",B37)-1),"none")</f>
        <v>[effect:break_attack_fix, target:unit_one, val:870, lowest_val:8110, count:15, color:yellow, block01:block_yellow],[effect:panel_freeze, target:crash, count:5]</v>
      </c>
      <c r="N37" s="48" t="str">
        <f t="shared" ref="N37" si="192">IFERROR(LEFT(M37,FIND("],",M37)+S47),M37)</f>
        <v>[effect:break_attack_fix, target:unit_one, val:870, lowest_val:8110, count:15, color:yellow, block01:block_yellow]</v>
      </c>
      <c r="O37" s="63">
        <f t="shared" ref="O37" si="193">FIND("effect:",N37)+7</f>
        <v>9</v>
      </c>
      <c r="P37" s="63">
        <f t="shared" ref="P37" si="194">IFERROR(FIND(",",N37),LEN(N37))</f>
        <v>25</v>
      </c>
      <c r="Q37" s="63">
        <f t="shared" ref="Q37" si="195">FIND("target:",N37)+7</f>
        <v>34</v>
      </c>
      <c r="R37" s="63">
        <f t="shared" ref="R37" si="196">FIND(",",N37,P37+1)</f>
        <v>42</v>
      </c>
      <c r="S37" s="63" t="str">
        <f>IFERROR(VLOOKUP(MID(N37,Q37,R37-Q37),[6]skilldef!$C:$D,2,FALSE),"-") &amp; " / " &amp; IFERROR(VLOOKUP(MID(N37,O37,P37-O37),[6]skilldef!$A:$B,2,FALSE),"-")</f>
        <v>味方単体に / -</v>
      </c>
      <c r="T37" s="48" t="str">
        <f t="shared" ref="T37" si="197">IFERROR(RIGHT(M37,LEN(M37)-FIND("],",M37)-1),"none")</f>
        <v>[effect:panel_freeze, target:crash, count:5]</v>
      </c>
      <c r="U37" s="63">
        <f t="shared" ref="U37" si="198">FIND("effect:",T37)+7</f>
        <v>9</v>
      </c>
      <c r="V37" s="63">
        <f t="shared" ref="V37" si="199">IFERROR(FIND(",",T37),LEN(T37))</f>
        <v>21</v>
      </c>
      <c r="W37" s="63">
        <f t="shared" ref="W37" si="200">FIND("target:",T37)+7</f>
        <v>30</v>
      </c>
      <c r="X37" s="63">
        <f t="shared" ref="X37" si="201">FIND(",",T37,V37+1)</f>
        <v>35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7"/>
  <sheetViews>
    <sheetView showGridLines="0" workbookViewId="0">
      <pane xSplit="5" ySplit="1" topLeftCell="F2" activePane="bottomRight" state="frozen"/>
      <selection pane="topRight"/>
      <selection pane="bottomLeft"/>
      <selection pane="bottomRight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47005001_47005001</v>
      </c>
      <c r="B2" s="47">
        <v>47005001</v>
      </c>
      <c r="C2" s="47">
        <v>47005001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リー、リリー！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(歓迎しているようだ)_x000D_【全属性ダメージ軽減+状態異常耐性】</v>
      </c>
      <c r="F2" s="47">
        <v>47005001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47005001_47005002</v>
      </c>
      <c r="B3" s="47">
        <v>47005001</v>
      </c>
      <c r="C3" s="47">
        <v>47005002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ローリング体当たり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7">
        <v>47005002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:A28" si="2">B4&amp;"_"&amp;C4</f>
        <v>47005002_47005003</v>
      </c>
      <c r="B4" s="47">
        <v>47005002</v>
      </c>
      <c r="C4" s="47">
        <v>47005003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勘兵衛と勝負？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簡単には通しませんよ_x000D_【全属性ダメージ軽減+状態異常耐性】</v>
      </c>
      <c r="F4" s="47">
        <v>47005003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2"/>
        <v>47005002_47005004</v>
      </c>
      <c r="B5" s="47">
        <v>47005002</v>
      </c>
      <c r="C5" s="47">
        <v>47005004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せ、正解です！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もしかして何か知ってるのかい？_x000D_【全属性ダメージ軽減解除】</v>
      </c>
      <c r="F5" s="47">
        <v>47005004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1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47005002_47005005</v>
      </c>
      <c r="B6" s="47">
        <v>47005002</v>
      </c>
      <c r="C6" s="47">
        <v>47005005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修復プログラム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自己回復</v>
      </c>
      <c r="F6" s="47">
        <v>47005005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" si="3">B7&amp;"_"&amp;C7</f>
        <v>47005002_47005006</v>
      </c>
      <c r="B7" s="47">
        <v>47005002</v>
      </c>
      <c r="C7" s="47">
        <v>47005006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妨害プログラム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フィーバーゲージ減少</v>
      </c>
      <c r="F7" s="47">
        <v>47005006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7" s="47"/>
      <c r="Q7" s="47"/>
      <c r="R7" s="47"/>
    </row>
    <row r="8" spans="1:18" ht="21" customHeight="1" x14ac:dyDescent="0.15">
      <c r="A8" s="39" t="str">
        <f t="shared" si="2"/>
        <v>47005003_47005007</v>
      </c>
      <c r="B8" s="47">
        <v>47005003</v>
      </c>
      <c r="C8" s="47">
        <v>47005007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次はお前か…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いざ、勝負！_x000D_【全属性ダメージ軽減+状態異常耐性】</v>
      </c>
      <c r="F8" s="47">
        <v>47005007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47005003_47005008</v>
      </c>
      <c r="B9" s="47">
        <v>47005003</v>
      </c>
      <c r="C9" s="47">
        <v>47005008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正解だ！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お前なら勘兵衛に勝てそうだな…_x000D_【全属性ダメージ軽減解除+】_x000D_【全ユニットのスキルゲージを4ターン減少】</v>
      </c>
      <c r="F9" s="47">
        <v>47005008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68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" si="4">B10&amp;"_"&amp;C10</f>
        <v>47005003_47005009</v>
      </c>
      <c r="B10" s="47">
        <v>47005003</v>
      </c>
      <c r="C10" s="47">
        <v>47005009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さあ、力比べだ！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47">
        <v>47005009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10" s="47"/>
      <c r="Q10" s="47"/>
      <c r="R10" s="47"/>
    </row>
    <row r="11" spans="1:18" ht="21" customHeight="1" x14ac:dyDescent="0.15">
      <c r="A11" s="39" t="str">
        <f t="shared" si="2"/>
        <v>47005004_47005010</v>
      </c>
      <c r="B11" s="47">
        <v>47005004</v>
      </c>
      <c r="C11" s="47">
        <v>47005010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残念！ハズレだよん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HP100%で復活</v>
      </c>
      <c r="F11" s="47">
        <v>47005010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41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2"/>
        <v>47005004_47005011</v>
      </c>
      <c r="B12" s="47">
        <v>47005004</v>
      </c>
      <c r="C12" s="47">
        <v>47005011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マーチの番だよ！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2" s="47">
        <v>47005011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2" s="47"/>
      <c r="Q12" s="47"/>
      <c r="R12" s="47"/>
    </row>
    <row r="13" spans="1:18" ht="21" customHeight="1" x14ac:dyDescent="0.15">
      <c r="A13" s="39" t="str">
        <f t="shared" ref="A13" si="5">B13&amp;"_"&amp;C13</f>
        <v>47005005_47005012</v>
      </c>
      <c r="B13" s="47">
        <v>47005005</v>
      </c>
      <c r="C13" s="47">
        <v>47005012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ここを突破できるかな！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3" s="47">
        <v>47005012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47005005_47005013</v>
      </c>
      <c r="B14" s="47">
        <v>47005005</v>
      </c>
      <c r="C14" s="47">
        <v>47005013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正解だぜ！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次に進んでくれ！_x000D_【フィーバーゲージMAX】</v>
      </c>
      <c r="F14" s="47">
        <v>47005013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59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47005005_47005014</v>
      </c>
      <c r="B15" s="47">
        <v>47005005</v>
      </c>
      <c r="C15" s="47">
        <v>47005014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ファイヤーボール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5" s="47">
        <v>47005014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15" s="47"/>
      <c r="Q15" s="47"/>
      <c r="R15" s="47"/>
    </row>
    <row r="16" spans="1:18" ht="21" customHeight="1" x14ac:dyDescent="0.15">
      <c r="A16" s="39" t="str">
        <f t="shared" si="2"/>
        <v>47005006_47005015</v>
      </c>
      <c r="B16" s="47">
        <v>47005006</v>
      </c>
      <c r="C16" s="47">
        <v>47005015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…シッポデショウブ！！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1ターンスキルバインド</v>
      </c>
      <c r="F16" s="47">
        <v>47005015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47005006_47005016</v>
      </c>
      <c r="B17" s="47">
        <v>47005006</v>
      </c>
      <c r="C17" s="47">
        <v>47005016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シュルル…ハズレダヨ…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HP100%で復活</v>
      </c>
      <c r="F17" s="47">
        <v>47005016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1210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47005006_47005017</v>
      </c>
      <c r="B18" s="47">
        <v>47005006</v>
      </c>
      <c r="C18" s="47">
        <v>47005017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しっぽビンタ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3回連続攻撃+1ターンスキルバインド</v>
      </c>
      <c r="F18" s="47">
        <v>47005017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8" s="47"/>
      <c r="Q18" s="47"/>
      <c r="R18" s="47"/>
    </row>
    <row r="19" spans="1:18" ht="21" customHeight="1" x14ac:dyDescent="0.15">
      <c r="A19" s="39" t="str">
        <f t="shared" si="2"/>
        <v>47005007_47005018</v>
      </c>
      <c r="B19" s="47">
        <v>47005007</v>
      </c>
      <c r="C19" s="47">
        <v>47005018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勘兵衛さんは強いですよ？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敵全体の行動頻度UP</v>
      </c>
      <c r="F19" s="47">
        <v>47005018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2"/>
        <v>47005007_47005019</v>
      </c>
      <c r="B20" s="47">
        <v>47005007</v>
      </c>
      <c r="C20" s="47">
        <v>47005019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もしかしたら、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勘兵衛さんに勝てるかもしれませんね_x000D_【全ユニットの攻撃力UP】</v>
      </c>
      <c r="F20" s="47">
        <v>47005019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599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2"/>
        <v>47005007_47005020</v>
      </c>
      <c r="B21" s="47">
        <v>47005007</v>
      </c>
      <c r="C21" s="47">
        <v>47005020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高ぶるエチュード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敵全体の攻撃力UP</v>
      </c>
      <c r="F21" s="47">
        <v>47005020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47005007_47005021</v>
      </c>
      <c r="B22" s="47">
        <v>47005007</v>
      </c>
      <c r="C22" s="47">
        <v>47005021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情熱のエチュード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敵全体の攻撃力UP</v>
      </c>
      <c r="F22" s="47">
        <v>47005021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47005008_47005022</v>
      </c>
      <c r="B23" s="47">
        <v>47005008</v>
      </c>
      <c r="C23" s="47">
        <v>47005022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あら？間違っちゃったかー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HP100%で復活</v>
      </c>
      <c r="F23" s="47">
        <v>47005022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671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2"/>
        <v>47005008_47005023</v>
      </c>
      <c r="B24" s="47">
        <v>47005008</v>
      </c>
      <c r="C24" s="47">
        <v>47005023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もふもふラ〜ッシュ！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4" s="47">
        <v>47005023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47005009_47005024</v>
      </c>
      <c r="B25" s="47">
        <v>47005009</v>
      </c>
      <c r="C25" s="47">
        <v>47005024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よく見抜いたな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仕方ない、通してやるよ_x000D_【全ユニットの攻撃力UP】</v>
      </c>
      <c r="F25" s="47">
        <v>47005024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748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2"/>
        <v>47005009_47005025</v>
      </c>
      <c r="B26" s="47">
        <v>47005009</v>
      </c>
      <c r="C26" s="47">
        <v>47005025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KOイリュージョン！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6" s="47">
        <v>47005025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6" s="47"/>
      <c r="Q26" s="47"/>
      <c r="R26" s="47"/>
    </row>
    <row r="27" spans="1:18" ht="21" customHeight="1" x14ac:dyDescent="0.15">
      <c r="A27" s="39" t="str">
        <f t="shared" si="2"/>
        <v>47005010_47005026</v>
      </c>
      <c r="B27" s="47">
        <v>47005010</v>
      </c>
      <c r="C27" s="47">
        <v>47005026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判断を誤ってしまったか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HP100%で復活</v>
      </c>
      <c r="F27" s="47">
        <v>47005026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25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2"/>
        <v>47005010_47005027</v>
      </c>
      <c r="B28" s="47">
        <v>47005010</v>
      </c>
      <c r="C28" s="47">
        <v>47005027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降参しても良いぞ？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8" s="47">
        <v>47005027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7"/>
      <c r="Q28" s="47"/>
      <c r="R28" s="47"/>
    </row>
    <row r="29" spans="1:18" ht="21" customHeight="1" x14ac:dyDescent="0.15">
      <c r="A29" s="39" t="str">
        <f t="shared" ref="A29:A30" si="6">B29&amp;"_"&amp;C29</f>
        <v>47005010_47005028</v>
      </c>
      <c r="B29" s="47">
        <v>47005010</v>
      </c>
      <c r="C29" s="47">
        <v>47005028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黒焦げになるがいい！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47">
        <v>47005028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6"/>
        <v>47005011_47005029</v>
      </c>
      <c r="B30" s="47">
        <v>47005011</v>
      </c>
      <c r="C30" s="47">
        <v>47005029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ワオーーーン！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(負けを認めて応援しているようだ)_x000D_【全ユニットの攻撃力UP】</v>
      </c>
      <c r="F30" s="47">
        <v>47005029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85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" si="7">B31&amp;"_"&amp;C31</f>
        <v>47005011_47005030</v>
      </c>
      <c r="B31" s="47">
        <v>47005011</v>
      </c>
      <c r="C31" s="47">
        <v>47005030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ここ掘れワンワン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ランダムで青の時限式ダメージパネルに10個変換</v>
      </c>
      <c r="F31" s="47">
        <v>47005030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31" s="47"/>
      <c r="Q31" s="47"/>
      <c r="R31" s="47"/>
    </row>
    <row r="32" spans="1:18" ht="21" customHeight="1" x14ac:dyDescent="0.15">
      <c r="A32" s="39" t="str">
        <f t="shared" ref="A32:A35" si="8">B32&amp;"_"&amp;C32</f>
        <v>47005012_47005031</v>
      </c>
      <c r="B32" s="47">
        <v>47005012</v>
      </c>
      <c r="C32" s="47">
        <v>47005031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ひとつ手合わせ願おう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状態異常耐性+フィーバーゲージ減少</v>
      </c>
      <c r="F32" s="47">
        <v>47005031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8"/>
        <v>47005012_47005032</v>
      </c>
      <c r="B33" s="47">
        <v>47005012</v>
      </c>
      <c r="C33" s="47">
        <v>47005032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スキありでござる！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3" s="47">
        <v>47005032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3" s="47"/>
      <c r="Q33" s="47"/>
      <c r="R33" s="47"/>
    </row>
    <row r="34" spans="1:18" ht="21" customHeight="1" x14ac:dyDescent="0.15">
      <c r="A34" s="39" t="str">
        <f t="shared" si="8"/>
        <v>47005012_47005033</v>
      </c>
      <c r="B34" s="47">
        <v>47005012</v>
      </c>
      <c r="C34" s="47">
        <v>47005033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こいこいでござる！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緑パネル吸収して攻撃(最大7個)+_x000D_Cパネルプロテクト(最大1個)</v>
      </c>
      <c r="F34" s="47">
        <v>47005033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8"/>
        <v>47005013_47005034</v>
      </c>
      <c r="B35" s="47">
        <v>47005013</v>
      </c>
      <c r="C35" s="47">
        <v>47005034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勝負はまだこれからでござる！！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状態異常耐性+フィーバーゲージ減少+_x000D_1ターン暗闇</v>
      </c>
      <c r="F35" s="47">
        <v>47005034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:A37" si="9">B36&amp;"_"&amp;C36</f>
        <v>47005013_47005035</v>
      </c>
      <c r="B36" s="47">
        <v>47005013</v>
      </c>
      <c r="C36" s="47">
        <v>47005035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百花繚乱！！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黄パネルとハートパネルを吸収して攻撃(最大15個)</v>
      </c>
      <c r="F36" s="47">
        <v>47005035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7"/>
      <c r="Q36" s="47"/>
      <c r="R36" s="47"/>
    </row>
    <row r="37" spans="1:18" ht="21" customHeight="1" x14ac:dyDescent="0.15">
      <c r="A37" s="39" t="str">
        <f t="shared" si="9"/>
        <v>47005013_47005036</v>
      </c>
      <c r="B37" s="47">
        <v>47005013</v>
      </c>
      <c r="C37" s="47">
        <v>47005036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疾風迅雷！！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黄パネルを吸収して攻撃(最大15個)+_x000D_Cパネルプロテクト(最大5個)</v>
      </c>
      <c r="F37" s="47">
        <v>47005036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7"/>
  <sheetViews>
    <sheetView showGridLines="0" zoomScale="110" zoomScaleNormal="110" zoomScalePageLayoutView="110" workbookViewId="0">
      <pane ySplit="1" topLeftCell="A2" activePane="bottomLeft" state="frozenSplit"/>
      <selection pane="bottomLeft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2" t="s">
        <v>70</v>
      </c>
      <c r="G1" s="52" t="s">
        <v>71</v>
      </c>
      <c r="H1" s="42" t="s">
        <v>72</v>
      </c>
      <c r="I1" s="42" t="s">
        <v>73</v>
      </c>
      <c r="J1" s="42" t="s">
        <v>74</v>
      </c>
      <c r="K1" s="53" t="s">
        <v>87</v>
      </c>
    </row>
    <row r="2" spans="1:11" ht="21" customHeight="1" x14ac:dyDescent="0.15">
      <c r="A2" s="105">
        <v>47005001</v>
      </c>
      <c r="B2" s="47">
        <v>1</v>
      </c>
      <c r="C2" s="47">
        <v>150</v>
      </c>
      <c r="D2" s="47">
        <v>100</v>
      </c>
      <c r="E2" s="47" t="s">
        <v>268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" si="0">D2</f>
        <v>100</v>
      </c>
    </row>
    <row r="3" spans="1:11" ht="21" customHeight="1" x14ac:dyDescent="0.15">
      <c r="A3" s="105">
        <v>47005002</v>
      </c>
      <c r="B3" s="47">
        <v>0</v>
      </c>
      <c r="C3" s="47">
        <v>10</v>
      </c>
      <c r="D3" s="47">
        <v>100</v>
      </c>
      <c r="E3" s="47" t="s">
        <v>167</v>
      </c>
      <c r="F3" s="47" t="s">
        <v>88</v>
      </c>
      <c r="G3" s="47" t="s">
        <v>88</v>
      </c>
      <c r="H3" s="47" t="s">
        <v>88</v>
      </c>
      <c r="I3" s="47" t="s">
        <v>88</v>
      </c>
      <c r="J3" s="48">
        <f t="shared" ref="J3" si="1">D3</f>
        <v>100</v>
      </c>
    </row>
    <row r="4" spans="1:11" ht="21" customHeight="1" x14ac:dyDescent="0.15">
      <c r="A4" s="106">
        <v>47005003</v>
      </c>
      <c r="B4" s="47">
        <v>1</v>
      </c>
      <c r="C4" s="47">
        <v>150</v>
      </c>
      <c r="D4" s="47">
        <v>100</v>
      </c>
      <c r="E4" s="47" t="s">
        <v>268</v>
      </c>
      <c r="F4" s="47" t="s">
        <v>88</v>
      </c>
      <c r="G4" s="47">
        <v>1</v>
      </c>
      <c r="H4" s="47" t="s">
        <v>88</v>
      </c>
      <c r="I4" s="47" t="s">
        <v>167</v>
      </c>
      <c r="J4" s="48">
        <f t="shared" ref="J4:J31" si="2">D4</f>
        <v>100</v>
      </c>
    </row>
    <row r="5" spans="1:11" ht="21" customHeight="1" x14ac:dyDescent="0.15">
      <c r="A5" s="106">
        <v>47005004</v>
      </c>
      <c r="B5" s="47">
        <v>0</v>
      </c>
      <c r="C5" s="47">
        <v>100</v>
      </c>
      <c r="D5" s="47">
        <v>100</v>
      </c>
      <c r="E5" s="47" t="s">
        <v>268</v>
      </c>
      <c r="F5" s="47" t="s">
        <v>88</v>
      </c>
      <c r="G5" s="47">
        <v>1</v>
      </c>
      <c r="H5" s="47" t="s">
        <v>88</v>
      </c>
      <c r="I5" s="47">
        <v>1</v>
      </c>
      <c r="J5" s="48">
        <f t="shared" si="2"/>
        <v>100</v>
      </c>
    </row>
    <row r="6" spans="1:11" ht="21" customHeight="1" x14ac:dyDescent="0.15">
      <c r="A6" s="106">
        <v>47005005</v>
      </c>
      <c r="B6" s="47">
        <v>0</v>
      </c>
      <c r="C6" s="47">
        <v>20</v>
      </c>
      <c r="D6" s="47">
        <v>100</v>
      </c>
      <c r="E6" s="47" t="s">
        <v>268</v>
      </c>
      <c r="F6" s="47" t="s">
        <v>88</v>
      </c>
      <c r="G6" s="47" t="s">
        <v>88</v>
      </c>
      <c r="H6" s="47">
        <v>2</v>
      </c>
      <c r="I6" s="47" t="s">
        <v>88</v>
      </c>
      <c r="J6" s="48">
        <f t="shared" si="2"/>
        <v>100</v>
      </c>
    </row>
    <row r="7" spans="1:11" ht="21" customHeight="1" x14ac:dyDescent="0.15">
      <c r="A7" s="106">
        <v>47005006</v>
      </c>
      <c r="B7" s="47">
        <v>0</v>
      </c>
      <c r="C7" s="47">
        <v>10</v>
      </c>
      <c r="D7" s="47">
        <v>90</v>
      </c>
      <c r="E7" s="47" t="s">
        <v>88</v>
      </c>
      <c r="F7" s="47" t="s">
        <v>88</v>
      </c>
      <c r="G7" s="47" t="s">
        <v>88</v>
      </c>
      <c r="H7" s="47" t="s">
        <v>88</v>
      </c>
      <c r="I7" s="47" t="s">
        <v>88</v>
      </c>
      <c r="J7" s="48">
        <f t="shared" si="2"/>
        <v>90</v>
      </c>
    </row>
    <row r="8" spans="1:11" ht="21" customHeight="1" x14ac:dyDescent="0.15">
      <c r="A8" s="107">
        <v>47005007</v>
      </c>
      <c r="B8" s="47">
        <v>1</v>
      </c>
      <c r="C8" s="47">
        <v>150</v>
      </c>
      <c r="D8" s="47">
        <v>100</v>
      </c>
      <c r="E8" s="47" t="s">
        <v>268</v>
      </c>
      <c r="F8" s="47" t="s">
        <v>88</v>
      </c>
      <c r="G8" s="47">
        <v>1</v>
      </c>
      <c r="H8" s="47" t="s">
        <v>88</v>
      </c>
      <c r="I8" s="47" t="s">
        <v>88</v>
      </c>
      <c r="J8" s="48">
        <f t="shared" si="2"/>
        <v>100</v>
      </c>
    </row>
    <row r="9" spans="1:11" ht="21" customHeight="1" x14ac:dyDescent="0.15">
      <c r="A9" s="107">
        <v>47005008</v>
      </c>
      <c r="B9" s="47">
        <v>0</v>
      </c>
      <c r="C9" s="47">
        <v>100</v>
      </c>
      <c r="D9" s="47">
        <v>100</v>
      </c>
      <c r="E9" s="47" t="s">
        <v>88</v>
      </c>
      <c r="F9" s="47" t="s">
        <v>88</v>
      </c>
      <c r="G9" s="47">
        <v>1</v>
      </c>
      <c r="H9" s="47" t="s">
        <v>88</v>
      </c>
      <c r="I9" s="47">
        <v>68</v>
      </c>
      <c r="J9" s="48">
        <f t="shared" ref="J9:J10" si="3">D9</f>
        <v>100</v>
      </c>
    </row>
    <row r="10" spans="1:11" ht="21" customHeight="1" x14ac:dyDescent="0.15">
      <c r="A10" s="107">
        <v>47005009</v>
      </c>
      <c r="B10" s="47">
        <v>0</v>
      </c>
      <c r="C10" s="47">
        <v>10</v>
      </c>
      <c r="D10" s="47">
        <v>55</v>
      </c>
      <c r="E10" s="47" t="s">
        <v>88</v>
      </c>
      <c r="F10" s="47" t="s">
        <v>88</v>
      </c>
      <c r="G10" s="47" t="s">
        <v>88</v>
      </c>
      <c r="H10" s="47" t="s">
        <v>88</v>
      </c>
      <c r="I10" s="47" t="s">
        <v>88</v>
      </c>
      <c r="J10" s="48">
        <f t="shared" si="3"/>
        <v>55</v>
      </c>
    </row>
    <row r="11" spans="1:11" ht="21" customHeight="1" x14ac:dyDescent="0.15">
      <c r="A11" s="108">
        <v>47005010</v>
      </c>
      <c r="B11" s="47">
        <v>0</v>
      </c>
      <c r="C11" s="47">
        <v>150</v>
      </c>
      <c r="D11" s="47">
        <v>100</v>
      </c>
      <c r="E11" s="47" t="s">
        <v>268</v>
      </c>
      <c r="F11" s="47" t="s">
        <v>88</v>
      </c>
      <c r="G11" s="47" t="s">
        <v>88</v>
      </c>
      <c r="H11" s="47" t="s">
        <v>88</v>
      </c>
      <c r="I11" s="47">
        <v>41</v>
      </c>
      <c r="J11" s="48">
        <f t="shared" si="2"/>
        <v>100</v>
      </c>
    </row>
    <row r="12" spans="1:11" ht="21" customHeight="1" x14ac:dyDescent="0.15">
      <c r="A12" s="108">
        <v>47005011</v>
      </c>
      <c r="B12" s="47">
        <v>0</v>
      </c>
      <c r="C12" s="47">
        <v>10</v>
      </c>
      <c r="D12" s="47">
        <v>35</v>
      </c>
      <c r="E12" s="47" t="s">
        <v>268</v>
      </c>
      <c r="F12" s="47" t="s">
        <v>88</v>
      </c>
      <c r="G12" s="47" t="s">
        <v>88</v>
      </c>
      <c r="H12" s="47" t="s">
        <v>88</v>
      </c>
      <c r="I12" s="47" t="s">
        <v>271</v>
      </c>
      <c r="J12" s="48">
        <f t="shared" si="2"/>
        <v>35</v>
      </c>
    </row>
    <row r="13" spans="1:11" ht="21" customHeight="1" x14ac:dyDescent="0.15">
      <c r="A13" s="105">
        <v>47005012</v>
      </c>
      <c r="B13" s="47">
        <v>1</v>
      </c>
      <c r="C13" s="47">
        <v>150</v>
      </c>
      <c r="D13" s="47">
        <v>100</v>
      </c>
      <c r="E13" s="47" t="s">
        <v>268</v>
      </c>
      <c r="F13" s="47" t="s">
        <v>88</v>
      </c>
      <c r="G13" s="47">
        <v>1</v>
      </c>
      <c r="H13" s="47" t="s">
        <v>88</v>
      </c>
      <c r="I13" s="47" t="s">
        <v>271</v>
      </c>
      <c r="J13" s="48">
        <f t="shared" si="2"/>
        <v>100</v>
      </c>
    </row>
    <row r="14" spans="1:11" ht="21" customHeight="1" x14ac:dyDescent="0.15">
      <c r="A14" s="105">
        <v>47005013</v>
      </c>
      <c r="B14" s="47">
        <v>0</v>
      </c>
      <c r="C14" s="47">
        <v>100</v>
      </c>
      <c r="D14" s="47">
        <v>100</v>
      </c>
      <c r="E14" s="47" t="s">
        <v>268</v>
      </c>
      <c r="F14" s="47" t="s">
        <v>88</v>
      </c>
      <c r="G14" s="47" t="s">
        <v>88</v>
      </c>
      <c r="H14" s="47" t="s">
        <v>88</v>
      </c>
      <c r="I14" s="47">
        <v>59</v>
      </c>
      <c r="J14" s="48">
        <f t="shared" si="2"/>
        <v>100</v>
      </c>
    </row>
    <row r="15" spans="1:11" ht="21" customHeight="1" x14ac:dyDescent="0.15">
      <c r="A15" s="105">
        <v>47005014</v>
      </c>
      <c r="B15" s="47">
        <v>0</v>
      </c>
      <c r="C15" s="47">
        <v>10</v>
      </c>
      <c r="D15" s="47">
        <v>55</v>
      </c>
      <c r="E15" s="47" t="s">
        <v>268</v>
      </c>
      <c r="F15" s="47" t="s">
        <v>88</v>
      </c>
      <c r="G15" s="47" t="s">
        <v>88</v>
      </c>
      <c r="H15" s="47" t="s">
        <v>88</v>
      </c>
      <c r="I15" s="47" t="s">
        <v>88</v>
      </c>
      <c r="J15" s="48">
        <f t="shared" si="2"/>
        <v>55</v>
      </c>
    </row>
    <row r="16" spans="1:11" ht="21" customHeight="1" x14ac:dyDescent="0.15">
      <c r="A16" s="106">
        <v>47005015</v>
      </c>
      <c r="B16" s="47">
        <v>1</v>
      </c>
      <c r="C16" s="47">
        <v>150</v>
      </c>
      <c r="D16" s="47">
        <v>100</v>
      </c>
      <c r="E16" s="47" t="s">
        <v>268</v>
      </c>
      <c r="F16" s="47" t="s">
        <v>88</v>
      </c>
      <c r="G16" s="47">
        <v>1</v>
      </c>
      <c r="H16" s="47" t="s">
        <v>88</v>
      </c>
      <c r="I16" s="47" t="s">
        <v>88</v>
      </c>
      <c r="J16" s="48">
        <f t="shared" si="2"/>
        <v>100</v>
      </c>
    </row>
    <row r="17" spans="1:10" ht="21" customHeight="1" x14ac:dyDescent="0.15">
      <c r="A17" s="106">
        <v>47005016</v>
      </c>
      <c r="B17" s="47">
        <v>0</v>
      </c>
      <c r="C17" s="47">
        <v>100</v>
      </c>
      <c r="D17" s="47">
        <v>100</v>
      </c>
      <c r="E17" s="47" t="s">
        <v>268</v>
      </c>
      <c r="F17" s="47" t="s">
        <v>88</v>
      </c>
      <c r="G17" s="47" t="s">
        <v>88</v>
      </c>
      <c r="H17" s="47" t="s">
        <v>88</v>
      </c>
      <c r="I17" s="47">
        <v>1210</v>
      </c>
      <c r="J17" s="48">
        <f t="shared" si="2"/>
        <v>100</v>
      </c>
    </row>
    <row r="18" spans="1:10" ht="21" customHeight="1" x14ac:dyDescent="0.15">
      <c r="A18" s="106">
        <v>47005017</v>
      </c>
      <c r="B18" s="47">
        <v>0</v>
      </c>
      <c r="C18" s="47">
        <v>10</v>
      </c>
      <c r="D18" s="47">
        <v>60</v>
      </c>
      <c r="E18" s="47" t="s">
        <v>268</v>
      </c>
      <c r="F18" s="47" t="s">
        <v>88</v>
      </c>
      <c r="G18" s="47">
        <v>1</v>
      </c>
      <c r="H18" s="47" t="s">
        <v>88</v>
      </c>
      <c r="I18" s="47" t="s">
        <v>88</v>
      </c>
      <c r="J18" s="48">
        <f t="shared" si="2"/>
        <v>60</v>
      </c>
    </row>
    <row r="19" spans="1:10" ht="21" customHeight="1" x14ac:dyDescent="0.15">
      <c r="A19" s="107">
        <v>47005018</v>
      </c>
      <c r="B19" s="47">
        <v>1</v>
      </c>
      <c r="C19" s="47">
        <v>150</v>
      </c>
      <c r="D19" s="47">
        <v>100</v>
      </c>
      <c r="E19" s="47" t="s">
        <v>268</v>
      </c>
      <c r="F19" s="47" t="s">
        <v>88</v>
      </c>
      <c r="G19" s="47">
        <v>1</v>
      </c>
      <c r="H19" s="47" t="s">
        <v>88</v>
      </c>
      <c r="I19" s="47" t="s">
        <v>88</v>
      </c>
      <c r="J19" s="48">
        <f t="shared" si="2"/>
        <v>100</v>
      </c>
    </row>
    <row r="20" spans="1:10" ht="21" customHeight="1" x14ac:dyDescent="0.15">
      <c r="A20" s="107">
        <v>47005019</v>
      </c>
      <c r="B20" s="47">
        <v>0</v>
      </c>
      <c r="C20" s="47">
        <v>100</v>
      </c>
      <c r="D20" s="47">
        <v>100</v>
      </c>
      <c r="E20" s="47" t="s">
        <v>268</v>
      </c>
      <c r="F20" s="47" t="s">
        <v>88</v>
      </c>
      <c r="G20" s="47" t="s">
        <v>88</v>
      </c>
      <c r="H20" s="47" t="s">
        <v>88</v>
      </c>
      <c r="I20" s="47">
        <v>599</v>
      </c>
      <c r="J20" s="48">
        <f t="shared" si="2"/>
        <v>100</v>
      </c>
    </row>
    <row r="21" spans="1:10" ht="21" customHeight="1" x14ac:dyDescent="0.15">
      <c r="A21" s="107">
        <v>47005020</v>
      </c>
      <c r="B21" s="47">
        <v>0</v>
      </c>
      <c r="C21" s="47">
        <v>20</v>
      </c>
      <c r="D21" s="47">
        <v>100</v>
      </c>
      <c r="E21" s="47" t="s">
        <v>268</v>
      </c>
      <c r="F21" s="47" t="s">
        <v>88</v>
      </c>
      <c r="G21" s="47">
        <v>1</v>
      </c>
      <c r="H21" s="47" t="s">
        <v>88</v>
      </c>
      <c r="I21" s="47" t="s">
        <v>88</v>
      </c>
      <c r="J21" s="48">
        <f t="shared" si="2"/>
        <v>100</v>
      </c>
    </row>
    <row r="22" spans="1:10" ht="21" customHeight="1" x14ac:dyDescent="0.15">
      <c r="A22" s="107">
        <v>47005021</v>
      </c>
      <c r="B22" s="47">
        <v>0</v>
      </c>
      <c r="C22" s="47">
        <v>10</v>
      </c>
      <c r="D22" s="47">
        <v>100</v>
      </c>
      <c r="E22" s="47" t="s">
        <v>268</v>
      </c>
      <c r="F22" s="47" t="s">
        <v>88</v>
      </c>
      <c r="G22" s="47">
        <v>1</v>
      </c>
      <c r="H22" s="47" t="s">
        <v>88</v>
      </c>
      <c r="I22" s="47" t="s">
        <v>88</v>
      </c>
      <c r="J22" s="48">
        <f t="shared" si="2"/>
        <v>100</v>
      </c>
    </row>
    <row r="23" spans="1:10" ht="21" customHeight="1" x14ac:dyDescent="0.15">
      <c r="A23" s="108">
        <v>47005022</v>
      </c>
      <c r="B23" s="47">
        <v>0</v>
      </c>
      <c r="C23" s="47">
        <v>110</v>
      </c>
      <c r="D23" s="47">
        <v>100</v>
      </c>
      <c r="E23" s="47" t="s">
        <v>268</v>
      </c>
      <c r="F23" s="47" t="s">
        <v>88</v>
      </c>
      <c r="G23" s="47" t="s">
        <v>88</v>
      </c>
      <c r="H23" s="47" t="s">
        <v>88</v>
      </c>
      <c r="I23" s="47">
        <v>671</v>
      </c>
      <c r="J23" s="48">
        <f t="shared" si="2"/>
        <v>100</v>
      </c>
    </row>
    <row r="24" spans="1:10" ht="21" customHeight="1" x14ac:dyDescent="0.15">
      <c r="A24" s="108">
        <v>47005023</v>
      </c>
      <c r="B24" s="47">
        <v>0</v>
      </c>
      <c r="C24" s="47">
        <v>100</v>
      </c>
      <c r="D24" s="47">
        <v>100</v>
      </c>
      <c r="E24" s="47" t="s">
        <v>268</v>
      </c>
      <c r="F24" s="47" t="s">
        <v>88</v>
      </c>
      <c r="G24" s="47" t="s">
        <v>88</v>
      </c>
      <c r="H24" s="47" t="s">
        <v>88</v>
      </c>
      <c r="I24" s="47" t="s">
        <v>88</v>
      </c>
      <c r="J24" s="48">
        <f t="shared" si="2"/>
        <v>100</v>
      </c>
    </row>
    <row r="25" spans="1:10" ht="21" customHeight="1" x14ac:dyDescent="0.15">
      <c r="A25" s="105">
        <v>47005024</v>
      </c>
      <c r="B25" s="47">
        <v>0</v>
      </c>
      <c r="C25" s="47">
        <v>150</v>
      </c>
      <c r="D25" s="47">
        <v>100</v>
      </c>
      <c r="E25" s="47" t="s">
        <v>268</v>
      </c>
      <c r="F25" s="47" t="s">
        <v>88</v>
      </c>
      <c r="G25" s="47" t="s">
        <v>88</v>
      </c>
      <c r="H25" s="47" t="s">
        <v>88</v>
      </c>
      <c r="I25" s="47">
        <v>748</v>
      </c>
      <c r="J25" s="48">
        <f t="shared" si="2"/>
        <v>100</v>
      </c>
    </row>
    <row r="26" spans="1:10" ht="21" customHeight="1" x14ac:dyDescent="0.15">
      <c r="A26" s="105">
        <v>47005025</v>
      </c>
      <c r="B26" s="47">
        <v>0</v>
      </c>
      <c r="C26" s="47">
        <v>10</v>
      </c>
      <c r="D26" s="47">
        <v>60</v>
      </c>
      <c r="E26" s="47" t="s">
        <v>268</v>
      </c>
      <c r="F26" s="47" t="s">
        <v>88</v>
      </c>
      <c r="G26" s="47" t="s">
        <v>88</v>
      </c>
      <c r="H26" s="47" t="s">
        <v>88</v>
      </c>
      <c r="I26" s="47" t="s">
        <v>88</v>
      </c>
      <c r="J26" s="48">
        <f t="shared" si="2"/>
        <v>60</v>
      </c>
    </row>
    <row r="27" spans="1:10" ht="21" customHeight="1" x14ac:dyDescent="0.15">
      <c r="A27" s="106">
        <v>47005026</v>
      </c>
      <c r="B27" s="47">
        <v>0</v>
      </c>
      <c r="C27" s="47">
        <v>110</v>
      </c>
      <c r="D27" s="47">
        <v>100</v>
      </c>
      <c r="E27" s="47" t="s">
        <v>268</v>
      </c>
      <c r="F27" s="47" t="s">
        <v>88</v>
      </c>
      <c r="G27" s="47" t="s">
        <v>88</v>
      </c>
      <c r="H27" s="47" t="s">
        <v>88</v>
      </c>
      <c r="I27" s="47">
        <v>25</v>
      </c>
      <c r="J27" s="48">
        <f t="shared" si="2"/>
        <v>100</v>
      </c>
    </row>
    <row r="28" spans="1:10" ht="21" customHeight="1" x14ac:dyDescent="0.15">
      <c r="A28" s="106">
        <v>47005027</v>
      </c>
      <c r="B28" s="47">
        <v>0</v>
      </c>
      <c r="C28" s="47">
        <v>20</v>
      </c>
      <c r="D28" s="47">
        <v>50</v>
      </c>
      <c r="E28" s="47" t="s">
        <v>268</v>
      </c>
      <c r="F28" s="47" t="s">
        <v>88</v>
      </c>
      <c r="G28" s="47" t="s">
        <v>88</v>
      </c>
      <c r="H28" s="47" t="s">
        <v>88</v>
      </c>
      <c r="I28" s="47" t="s">
        <v>88</v>
      </c>
      <c r="J28" s="48">
        <f t="shared" si="2"/>
        <v>50</v>
      </c>
    </row>
    <row r="29" spans="1:10" ht="21" customHeight="1" x14ac:dyDescent="0.15">
      <c r="A29" s="106">
        <v>47005028</v>
      </c>
      <c r="B29" s="47">
        <v>0</v>
      </c>
      <c r="C29" s="47">
        <v>10</v>
      </c>
      <c r="D29" s="47">
        <v>100</v>
      </c>
      <c r="E29" s="47" t="s">
        <v>268</v>
      </c>
      <c r="F29" s="47" t="s">
        <v>88</v>
      </c>
      <c r="G29" s="47" t="s">
        <v>88</v>
      </c>
      <c r="H29" s="47" t="s">
        <v>88</v>
      </c>
      <c r="I29" s="47" t="s">
        <v>88</v>
      </c>
      <c r="J29" s="48">
        <f t="shared" si="2"/>
        <v>100</v>
      </c>
    </row>
    <row r="30" spans="1:10" ht="21" customHeight="1" x14ac:dyDescent="0.15">
      <c r="A30" s="107">
        <v>47005029</v>
      </c>
      <c r="B30" s="47">
        <v>0</v>
      </c>
      <c r="C30" s="47">
        <v>150</v>
      </c>
      <c r="D30" s="47">
        <v>100</v>
      </c>
      <c r="E30" s="47" t="s">
        <v>268</v>
      </c>
      <c r="F30" s="47" t="s">
        <v>88</v>
      </c>
      <c r="G30" s="47" t="s">
        <v>88</v>
      </c>
      <c r="H30" s="47" t="s">
        <v>88</v>
      </c>
      <c r="I30" s="47">
        <v>85</v>
      </c>
      <c r="J30" s="48">
        <f t="shared" si="2"/>
        <v>100</v>
      </c>
    </row>
    <row r="31" spans="1:10" ht="21" customHeight="1" x14ac:dyDescent="0.15">
      <c r="A31" s="107">
        <v>47005030</v>
      </c>
      <c r="B31" s="47">
        <v>0</v>
      </c>
      <c r="C31" s="47">
        <v>10</v>
      </c>
      <c r="D31" s="47">
        <v>90</v>
      </c>
      <c r="E31" s="47" t="s">
        <v>268</v>
      </c>
      <c r="F31" s="47" t="s">
        <v>88</v>
      </c>
      <c r="G31" s="47" t="s">
        <v>88</v>
      </c>
      <c r="H31" s="47" t="s">
        <v>88</v>
      </c>
      <c r="I31" s="47" t="s">
        <v>88</v>
      </c>
      <c r="J31" s="48">
        <f t="shared" si="2"/>
        <v>90</v>
      </c>
    </row>
    <row r="32" spans="1:10" ht="21" customHeight="1" x14ac:dyDescent="0.15">
      <c r="A32" s="108">
        <v>47005031</v>
      </c>
      <c r="B32" s="47">
        <v>1</v>
      </c>
      <c r="C32" s="47">
        <v>100</v>
      </c>
      <c r="D32" s="47">
        <v>100</v>
      </c>
      <c r="E32" s="47" t="s">
        <v>268</v>
      </c>
      <c r="F32" s="47" t="s">
        <v>88</v>
      </c>
      <c r="G32" s="47">
        <v>1</v>
      </c>
      <c r="H32" s="47" t="s">
        <v>88</v>
      </c>
      <c r="I32" s="47" t="s">
        <v>88</v>
      </c>
      <c r="J32" s="48">
        <f t="shared" ref="J32" si="4">D32</f>
        <v>100</v>
      </c>
    </row>
    <row r="33" spans="1:10" ht="21" customHeight="1" x14ac:dyDescent="0.15">
      <c r="A33" s="108">
        <v>47005032</v>
      </c>
      <c r="B33" s="47">
        <v>0</v>
      </c>
      <c r="C33" s="47">
        <v>20</v>
      </c>
      <c r="D33" s="47">
        <v>30</v>
      </c>
      <c r="E33" s="47" t="s">
        <v>268</v>
      </c>
      <c r="F33" s="47" t="s">
        <v>88</v>
      </c>
      <c r="G33" s="47" t="s">
        <v>274</v>
      </c>
      <c r="H33" s="47" t="s">
        <v>88</v>
      </c>
      <c r="I33" s="47" t="s">
        <v>88</v>
      </c>
      <c r="J33" s="48">
        <f t="shared" ref="J33:J34" si="5">D33</f>
        <v>30</v>
      </c>
    </row>
    <row r="34" spans="1:10" ht="21" customHeight="1" x14ac:dyDescent="0.15">
      <c r="A34" s="108">
        <v>47005033</v>
      </c>
      <c r="B34" s="47">
        <v>0</v>
      </c>
      <c r="C34" s="47">
        <v>10</v>
      </c>
      <c r="D34" s="47">
        <v>100</v>
      </c>
      <c r="E34" s="47" t="s">
        <v>268</v>
      </c>
      <c r="F34" s="47" t="s">
        <v>88</v>
      </c>
      <c r="G34" s="47" t="s">
        <v>88</v>
      </c>
      <c r="H34" s="47" t="s">
        <v>88</v>
      </c>
      <c r="I34" s="47" t="s">
        <v>88</v>
      </c>
      <c r="J34" s="48">
        <f t="shared" si="5"/>
        <v>100</v>
      </c>
    </row>
    <row r="35" spans="1:10" ht="21" customHeight="1" x14ac:dyDescent="0.15">
      <c r="A35" s="118">
        <v>47005034</v>
      </c>
      <c r="B35" s="47">
        <v>1</v>
      </c>
      <c r="C35" s="47">
        <v>100</v>
      </c>
      <c r="D35" s="47">
        <v>100</v>
      </c>
      <c r="E35" s="47" t="s">
        <v>268</v>
      </c>
      <c r="F35" s="47" t="s">
        <v>88</v>
      </c>
      <c r="G35" s="47">
        <v>1</v>
      </c>
      <c r="H35" s="47" t="s">
        <v>88</v>
      </c>
      <c r="I35" s="47" t="s">
        <v>88</v>
      </c>
      <c r="J35" s="48">
        <f t="shared" ref="J35:J37" si="6">D35</f>
        <v>100</v>
      </c>
    </row>
    <row r="36" spans="1:10" ht="21" customHeight="1" x14ac:dyDescent="0.15">
      <c r="A36" s="118">
        <v>47005035</v>
      </c>
      <c r="B36" s="47">
        <v>0</v>
      </c>
      <c r="C36" s="47">
        <v>20</v>
      </c>
      <c r="D36" s="47">
        <v>50</v>
      </c>
      <c r="E36" s="47" t="s">
        <v>268</v>
      </c>
      <c r="F36" s="47" t="s">
        <v>88</v>
      </c>
      <c r="G36" s="47">
        <v>1</v>
      </c>
      <c r="H36" s="47" t="s">
        <v>88</v>
      </c>
      <c r="I36" s="47" t="s">
        <v>88</v>
      </c>
      <c r="J36" s="48">
        <f t="shared" si="6"/>
        <v>50</v>
      </c>
    </row>
    <row r="37" spans="1:10" ht="21" customHeight="1" x14ac:dyDescent="0.15">
      <c r="A37" s="118">
        <v>47005036</v>
      </c>
      <c r="B37" s="47">
        <v>0</v>
      </c>
      <c r="C37" s="47">
        <v>10</v>
      </c>
      <c r="D37" s="47">
        <v>100</v>
      </c>
      <c r="E37" s="47" t="s">
        <v>268</v>
      </c>
      <c r="F37" s="47" t="s">
        <v>88</v>
      </c>
      <c r="G37" s="47" t="s">
        <v>88</v>
      </c>
      <c r="H37" s="47" t="s">
        <v>88</v>
      </c>
      <c r="I37" s="47" t="s">
        <v>88</v>
      </c>
      <c r="J37" s="48">
        <f t="shared" si="6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149</v>
      </c>
      <c r="B1" s="64" t="s">
        <v>150</v>
      </c>
      <c r="C1" s="65" t="s">
        <v>151</v>
      </c>
      <c r="D1" s="72" t="s">
        <v>152</v>
      </c>
      <c r="E1" s="66" t="s">
        <v>153</v>
      </c>
      <c r="F1" s="64" t="s">
        <v>154</v>
      </c>
      <c r="G1" s="64" t="s">
        <v>155</v>
      </c>
      <c r="H1" s="64" t="s">
        <v>156</v>
      </c>
      <c r="I1" s="64" t="s">
        <v>157</v>
      </c>
      <c r="J1" s="64" t="s">
        <v>158</v>
      </c>
      <c r="K1" s="64" t="s">
        <v>159</v>
      </c>
      <c r="L1" s="64" t="s">
        <v>160</v>
      </c>
      <c r="M1" s="64" t="s">
        <v>161</v>
      </c>
      <c r="N1" s="64" t="s">
        <v>162</v>
      </c>
      <c r="O1" s="64" t="s">
        <v>163</v>
      </c>
      <c r="P1" s="64" t="s">
        <v>164</v>
      </c>
      <c r="Q1" s="64" t="s">
        <v>165</v>
      </c>
      <c r="R1" s="64" t="s">
        <v>166</v>
      </c>
    </row>
    <row r="2" spans="1:18" x14ac:dyDescent="0.15">
      <c r="A2" s="56">
        <v>47005</v>
      </c>
      <c r="B2" s="56">
        <v>1</v>
      </c>
      <c r="C2" s="71" t="str">
        <f>A2&amp; "_"&amp;B2</f>
        <v>47005_1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276</v>
      </c>
      <c r="G2" s="56">
        <v>346</v>
      </c>
      <c r="H2" s="56">
        <v>1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100</v>
      </c>
      <c r="Q2" s="56" t="s">
        <v>168</v>
      </c>
      <c r="R2" s="56" t="s">
        <v>169</v>
      </c>
    </row>
    <row r="3" spans="1:18" x14ac:dyDescent="0.15">
      <c r="A3" s="56">
        <v>47005</v>
      </c>
      <c r="B3" s="56">
        <v>1</v>
      </c>
      <c r="C3" s="71" t="str">
        <f t="shared" ref="C3:C6" si="0">A3&amp; "_"&amp;B3</f>
        <v>47005_1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276</v>
      </c>
      <c r="G3" s="56">
        <v>607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100</v>
      </c>
      <c r="Q3" s="56" t="s">
        <v>168</v>
      </c>
      <c r="R3" s="56" t="s">
        <v>169</v>
      </c>
    </row>
    <row r="4" spans="1:18" x14ac:dyDescent="0.15">
      <c r="A4" s="56">
        <v>47005</v>
      </c>
      <c r="B4" s="56">
        <v>1</v>
      </c>
      <c r="C4" s="71" t="str">
        <f t="shared" si="0"/>
        <v>47005_1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276</v>
      </c>
      <c r="G4" s="56">
        <v>608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100</v>
      </c>
      <c r="Q4" s="56" t="s">
        <v>168</v>
      </c>
      <c r="R4" s="56" t="s">
        <v>169</v>
      </c>
    </row>
    <row r="5" spans="1:18" x14ac:dyDescent="0.15">
      <c r="A5" s="56">
        <v>47005</v>
      </c>
      <c r="B5" s="56">
        <v>1</v>
      </c>
      <c r="C5" s="71" t="str">
        <f t="shared" si="0"/>
        <v>47005_1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276</v>
      </c>
      <c r="G5" s="56">
        <v>609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100</v>
      </c>
      <c r="Q5" s="56" t="s">
        <v>168</v>
      </c>
      <c r="R5" s="56" t="s">
        <v>169</v>
      </c>
    </row>
    <row r="6" spans="1:18" x14ac:dyDescent="0.15">
      <c r="A6" s="56">
        <v>47005</v>
      </c>
      <c r="B6" s="56">
        <v>1</v>
      </c>
      <c r="C6" s="71" t="str">
        <f t="shared" si="0"/>
        <v>47005_1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276</v>
      </c>
      <c r="G6" s="56">
        <v>125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30</v>
      </c>
      <c r="Q6" s="56" t="s">
        <v>168</v>
      </c>
      <c r="R6" s="56" t="s">
        <v>169</v>
      </c>
    </row>
    <row r="7" spans="1:18" x14ac:dyDescent="0.15">
      <c r="A7" s="56">
        <v>47005</v>
      </c>
      <c r="B7" s="56">
        <v>1</v>
      </c>
      <c r="C7" s="71" t="str">
        <f t="shared" ref="C7" si="1">A7&amp; "_"&amp;B7</f>
        <v>47005_1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276</v>
      </c>
      <c r="G7" s="56">
        <v>1291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500</v>
      </c>
      <c r="Q7" s="56" t="s">
        <v>168</v>
      </c>
      <c r="R7" s="56" t="s">
        <v>169</v>
      </c>
    </row>
    <row r="8" spans="1:18" x14ac:dyDescent="0.15">
      <c r="A8" s="56">
        <v>47005</v>
      </c>
      <c r="B8" s="56">
        <v>1</v>
      </c>
      <c r="C8" s="71" t="str">
        <f t="shared" ref="C8" si="2">A8&amp; "_"&amp;B8</f>
        <v>47005_1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276</v>
      </c>
      <c r="G8" s="56">
        <v>347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70</v>
      </c>
      <c r="Q8" s="56" t="s">
        <v>168</v>
      </c>
      <c r="R8" s="56" t="s">
        <v>169</v>
      </c>
    </row>
  </sheetData>
  <phoneticPr fontId="5"/>
  <dataValidations count="1">
    <dataValidation type="list" allowBlank="1" showInputMessage="1" showErrorMessage="1" sqref="F2:F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3" t="s">
        <v>188</v>
      </c>
      <c r="C1" s="77" t="s">
        <v>189</v>
      </c>
      <c r="D1" s="77" t="s">
        <v>33</v>
      </c>
      <c r="E1" s="73" t="s">
        <v>190</v>
      </c>
      <c r="F1" s="77" t="s">
        <v>191</v>
      </c>
      <c r="G1" s="77" t="s">
        <v>33</v>
      </c>
      <c r="H1" s="73" t="s">
        <v>192</v>
      </c>
      <c r="I1" s="91" t="s">
        <v>194</v>
      </c>
      <c r="J1" s="79" t="s">
        <v>125</v>
      </c>
      <c r="K1" s="78" t="s">
        <v>185</v>
      </c>
      <c r="L1" s="92" t="s">
        <v>184</v>
      </c>
      <c r="M1" s="80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7"/>
  <sheetViews>
    <sheetView showGridLines="0" workbookViewId="0">
      <pane ySplit="1" topLeftCell="A2" activePane="bottomLeft" state="frozen"/>
      <selection pane="bottomLeft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187</v>
      </c>
      <c r="B1" s="73" t="s">
        <v>149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9" t="s">
        <v>193</v>
      </c>
      <c r="J1" s="91" t="s">
        <v>194</v>
      </c>
      <c r="K1" s="79" t="s">
        <v>125</v>
      </c>
      <c r="L1" s="78" t="s">
        <v>185</v>
      </c>
      <c r="M1" s="92" t="s">
        <v>184</v>
      </c>
      <c r="N1" s="80" t="s">
        <v>195</v>
      </c>
    </row>
    <row r="2" spans="1:14" ht="42" x14ac:dyDescent="0.15">
      <c r="A2" s="81" t="s">
        <v>196</v>
      </c>
      <c r="B2" s="82">
        <v>47005</v>
      </c>
      <c r="C2" s="83" t="str">
        <f ca="1">VLOOKUP($B2,OFFSET([2]quests!$A$1,0,0,COUNTA([2]quests!$A:$A),MATCH(C$1,[2]quests!$1:$1,0)-MATCH($B$1,[2]quests!$1:$1,0)+1),MATCH(C$1,[2]quests!$1:$1,0)-MATCH($B$1,[2]quests!$1:$1,0)+1,FALSE)</f>
        <v>年を越える儀式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【ウィザード級】年を越える儀式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5">
        <v>0</v>
      </c>
      <c r="I2" s="90">
        <f>ROW()-1</f>
        <v>1</v>
      </c>
      <c r="J2" s="86" t="str">
        <f>B2&amp;TEXT(I2,"00")</f>
        <v>4700501</v>
      </c>
      <c r="K2" s="84" t="s">
        <v>197</v>
      </c>
      <c r="L2" s="87" t="s">
        <v>198</v>
      </c>
      <c r="M2" s="120" t="s">
        <v>316</v>
      </c>
      <c r="N2" s="56" t="s">
        <v>199</v>
      </c>
    </row>
    <row r="3" spans="1:14" ht="56" x14ac:dyDescent="0.15">
      <c r="A3" s="81" t="s">
        <v>196</v>
      </c>
      <c r="B3" s="82">
        <v>47005</v>
      </c>
      <c r="C3" s="83" t="str">
        <f ca="1">VLOOKUP($B3,OFFSET([2]quests!$A$1,0,0,COUNTA([2]quests!$A:$A),MATCH(C$1,[2]quests!$1:$1,0)-MATCH($B$1,[2]quests!$1:$1,0)+1),MATCH(C$1,[2]quests!$1:$1,0)-MATCH($B$1,[2]quests!$1:$1,0)+1,FALSE)</f>
        <v>年を越える儀式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【ウィザード級】年を越える儀式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5">
        <v>3</v>
      </c>
      <c r="I3" s="90">
        <f t="shared" ref="I3:I7" si="0">ROW()-1</f>
        <v>2</v>
      </c>
      <c r="J3" s="86" t="str">
        <f t="shared" ref="J3:J4" si="1">B3&amp;TEXT(I3,"00")</f>
        <v>4700502</v>
      </c>
      <c r="K3" s="84" t="s">
        <v>197</v>
      </c>
      <c r="L3" s="87" t="s">
        <v>198</v>
      </c>
      <c r="M3" s="120" t="s">
        <v>317</v>
      </c>
      <c r="N3" s="56" t="s">
        <v>199</v>
      </c>
    </row>
    <row r="4" spans="1:14" ht="70" x14ac:dyDescent="0.15">
      <c r="A4" s="81" t="s">
        <v>196</v>
      </c>
      <c r="B4" s="82">
        <v>47005</v>
      </c>
      <c r="C4" s="83" t="str">
        <f ca="1">VLOOKUP($B4,OFFSET([2]quests!$A$1,0,0,COUNTA([2]quests!$A:$A),MATCH(C$1,[2]quests!$1:$1,0)-MATCH($B$1,[2]quests!$1:$1,0)+1),MATCH(C$1,[2]quests!$1:$1,0)-MATCH($B$1,[2]quests!$1:$1,0)+1,FALSE)</f>
        <v>年を越える儀式</v>
      </c>
      <c r="D4" s="83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【ウィザード級】年を越える儀式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5">
        <v>6</v>
      </c>
      <c r="I4" s="90">
        <f t="shared" si="0"/>
        <v>3</v>
      </c>
      <c r="J4" s="86" t="str">
        <f t="shared" si="1"/>
        <v>4700503</v>
      </c>
      <c r="K4" s="84" t="s">
        <v>197</v>
      </c>
      <c r="L4" s="87" t="s">
        <v>198</v>
      </c>
      <c r="M4" s="120" t="s">
        <v>315</v>
      </c>
      <c r="N4" s="56" t="s">
        <v>199</v>
      </c>
    </row>
    <row r="5" spans="1:14" ht="42" x14ac:dyDescent="0.15">
      <c r="A5" s="81" t="s">
        <v>200</v>
      </c>
      <c r="B5" s="82">
        <v>47005</v>
      </c>
      <c r="C5" s="83" t="str">
        <f ca="1">VLOOKUP($B5,OFFSET([2]quests!$A$1,0,0,COUNTA([2]quests!$A:$A),MATCH(C$1,[2]quests!$1:$1,0)-MATCH($B$1,[2]quests!$1:$1,0)+1),MATCH(C$1,[2]quests!$1:$1,0)-MATCH($B$1,[2]quests!$1:$1,0)+1,FALSE)</f>
        <v>年を越える儀式</v>
      </c>
      <c r="D5" s="83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【ウィザード級】年を越える儀式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5">
        <v>0</v>
      </c>
      <c r="I5" s="90">
        <f t="shared" si="0"/>
        <v>4</v>
      </c>
      <c r="J5" s="86" t="str">
        <f t="shared" ref="J5" si="2">B5&amp;TEXT(I5,"00")</f>
        <v>4700504</v>
      </c>
      <c r="K5" s="84" t="s">
        <v>126</v>
      </c>
      <c r="L5" s="87" t="s">
        <v>318</v>
      </c>
      <c r="M5" s="120" t="s">
        <v>357</v>
      </c>
      <c r="N5" s="56" t="s">
        <v>199</v>
      </c>
    </row>
    <row r="6" spans="1:14" ht="70" x14ac:dyDescent="0.15">
      <c r="A6" s="81" t="s">
        <v>200</v>
      </c>
      <c r="B6" s="82">
        <v>47005</v>
      </c>
      <c r="C6" s="83" t="str">
        <f ca="1">VLOOKUP($B6,OFFSET([2]quests!$A$1,0,0,COUNTA([2]quests!$A:$A),MATCH(C$1,[2]quests!$1:$1,0)-MATCH($B$1,[2]quests!$1:$1,0)+1),MATCH(C$1,[2]quests!$1:$1,0)-MATCH($B$1,[2]quests!$1:$1,0)+1,FALSE)</f>
        <v>年を越える儀式</v>
      </c>
      <c r="D6" s="83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【ウィザード級】年を越える儀式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5">
        <v>0</v>
      </c>
      <c r="I6" s="90">
        <f t="shared" si="0"/>
        <v>5</v>
      </c>
      <c r="J6" s="86" t="str">
        <f t="shared" ref="J6:J7" si="3">B6&amp;TEXT(I6,"00")</f>
        <v>4700505</v>
      </c>
      <c r="K6" s="84" t="s">
        <v>126</v>
      </c>
      <c r="L6" s="87" t="s">
        <v>322</v>
      </c>
      <c r="M6" s="120" t="s">
        <v>319</v>
      </c>
      <c r="N6" s="56" t="s">
        <v>199</v>
      </c>
    </row>
    <row r="7" spans="1:14" ht="70" x14ac:dyDescent="0.15">
      <c r="A7" s="81" t="s">
        <v>200</v>
      </c>
      <c r="B7" s="82">
        <v>47005</v>
      </c>
      <c r="C7" s="83" t="str">
        <f ca="1">VLOOKUP($B7,OFFSET([2]quests!$A$1,0,0,COUNTA([2]quests!$A:$A),MATCH(C$1,[2]quests!$1:$1,0)-MATCH($B$1,[2]quests!$1:$1,0)+1),MATCH(C$1,[2]quests!$1:$1,0)-MATCH($B$1,[2]quests!$1:$1,0)+1,FALSE)</f>
        <v>年を越える儀式</v>
      </c>
      <c r="D7" s="83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【ウィザード級】年を越える儀式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5">
        <v>0</v>
      </c>
      <c r="I7" s="90">
        <f t="shared" si="0"/>
        <v>6</v>
      </c>
      <c r="J7" s="86" t="str">
        <f t="shared" si="3"/>
        <v>4700506</v>
      </c>
      <c r="K7" s="84" t="s">
        <v>126</v>
      </c>
      <c r="L7" s="87" t="s">
        <v>321</v>
      </c>
      <c r="M7" s="120" t="s">
        <v>320</v>
      </c>
      <c r="N7" s="56" t="s">
        <v>199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212</v>
      </c>
      <c r="B1" s="95" t="s">
        <v>213</v>
      </c>
      <c r="C1" s="77" t="s">
        <v>214</v>
      </c>
      <c r="D1" s="77" t="s">
        <v>33</v>
      </c>
      <c r="E1" s="95" t="s">
        <v>215</v>
      </c>
      <c r="F1" s="77" t="s">
        <v>216</v>
      </c>
      <c r="G1" s="77" t="s">
        <v>33</v>
      </c>
      <c r="H1" s="95" t="s">
        <v>217</v>
      </c>
      <c r="I1" s="95" t="s">
        <v>218</v>
      </c>
      <c r="J1" s="95" t="s">
        <v>219</v>
      </c>
      <c r="K1" s="73" t="s">
        <v>220</v>
      </c>
      <c r="L1" s="73" t="s">
        <v>221</v>
      </c>
      <c r="M1" s="73" t="s">
        <v>155</v>
      </c>
      <c r="N1" s="77" t="s">
        <v>16</v>
      </c>
      <c r="O1" s="73" t="s">
        <v>222</v>
      </c>
      <c r="P1" s="73" t="s">
        <v>56</v>
      </c>
      <c r="Q1" s="73" t="s">
        <v>223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224</v>
      </c>
      <c r="X1" s="73" t="s">
        <v>225</v>
      </c>
    </row>
    <row r="2" spans="1:24" x14ac:dyDescent="0.15">
      <c r="A2" s="96" t="str">
        <f>B2&amp;"_"&amp;E2&amp;"_"&amp;H2&amp;"_"&amp;I2&amp;"_"&amp;J2</f>
        <v>47005_1_everyone_no_continue_1</v>
      </c>
      <c r="B2" s="82">
        <v>47005</v>
      </c>
      <c r="C2" s="83" t="str">
        <f ca="1">VLOOKUP($B2,OFFSET([2]quests!$A$1,0,0,COUNTA([2]quests!$A:$A),MATCH(C$1,[2]quests!$1:$1,0)-MATCH($B$1,[2]quests!$1:$1,0)+1),MATCH(C$1,[2]quests!$1:$1,0)-MATCH($B$1,[2]quests!$1:$1,0)+1,FALSE)</f>
        <v>年を越える儀式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【ウィザード級】年を越える儀式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5" t="s">
        <v>226</v>
      </c>
      <c r="I2" s="84" t="s">
        <v>230</v>
      </c>
      <c r="J2" s="84">
        <v>1</v>
      </c>
      <c r="K2" s="84">
        <v>1000</v>
      </c>
      <c r="L2" s="84" t="s">
        <v>227</v>
      </c>
      <c r="M2" s="84">
        <v>1291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望雅の煌明鹿剣 勘兵衛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228</v>
      </c>
      <c r="X2" s="99" t="s">
        <v>229</v>
      </c>
    </row>
    <row r="3" spans="1:24" x14ac:dyDescent="0.15">
      <c r="A3" s="96" t="str">
        <f>B3&amp;"_"&amp;E3&amp;"_"&amp;H3&amp;"_"&amp;I3&amp;"_"&amp;J3</f>
        <v>47005_1_everyone_full_member_1</v>
      </c>
      <c r="B3" s="82">
        <v>47005</v>
      </c>
      <c r="C3" s="83" t="str">
        <f ca="1">VLOOKUP($B3,OFFSET([2]quests!$A$1,0,0,COUNTA([2]quests!$A:$A),MATCH(C$1,[2]quests!$1:$1,0)-MATCH($B$1,[2]quests!$1:$1,0)+1),MATCH(C$1,[2]quests!$1:$1,0)-MATCH($B$1,[2]quests!$1:$1,0)+1,FALSE)</f>
        <v>年を越える儀式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【ウィザード級】年を越える儀式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5" t="s">
        <v>226</v>
      </c>
      <c r="I3" s="84" t="s">
        <v>275</v>
      </c>
      <c r="J3" s="84">
        <v>1</v>
      </c>
      <c r="K3" s="84">
        <v>1000</v>
      </c>
      <c r="L3" s="84" t="s">
        <v>227</v>
      </c>
      <c r="M3" s="84">
        <v>1291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望雅の煌明鹿剣 勘兵衛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228</v>
      </c>
      <c r="X3" s="99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enemy_skill_sets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2017-01-05T08:36:27Z</dcterms:modified>
</cp:coreProperties>
</file>